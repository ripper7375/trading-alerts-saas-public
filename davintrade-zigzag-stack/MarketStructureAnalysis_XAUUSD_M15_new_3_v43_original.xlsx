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WiN\Desktop\ZigZag_Modification\"/>
    </mc:Choice>
  </mc:AlternateContent>
  <xr:revisionPtr revIDLastSave="0" documentId="13_ncr:1_{2BE38277-CA92-41E9-B5E2-4D1FD1C99CEC}" xr6:coauthVersionLast="47" xr6:coauthVersionMax="47" xr10:uidLastSave="{00000000-0000-0000-0000-000000000000}"/>
  <bookViews>
    <workbookView xWindow="-7536" yWindow="2094" windowWidth="15306" windowHeight="8952" tabRatio="500" activeTab="5" xr2:uid="{00000000-000D-0000-FFFF-FFFF00000000}"/>
  </bookViews>
  <sheets>
    <sheet name="Original" sheetId="1" r:id="rId1"/>
    <sheet name="New" sheetId="2" r:id="rId2"/>
    <sheet name="V42" sheetId="3" r:id="rId3"/>
    <sheet name="V43" sheetId="4" r:id="rId4"/>
    <sheet name="V43andV42Compare" sheetId="5" r:id="rId5"/>
    <sheet name="V43_New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N3" i="6" l="1"/>
  <c r="FO3" i="6" s="1"/>
  <c r="FN4" i="6"/>
  <c r="FO4" i="6" s="1"/>
  <c r="FN5" i="6"/>
  <c r="FO5" i="6" s="1"/>
  <c r="FN6" i="6"/>
  <c r="FO6" i="6" s="1"/>
  <c r="FN7" i="6"/>
  <c r="FO7" i="6" s="1"/>
  <c r="FN8" i="6"/>
  <c r="FO8" i="6" s="1"/>
  <c r="FN9" i="6"/>
  <c r="FO9" i="6" s="1"/>
  <c r="FN10" i="6"/>
  <c r="FO10" i="6" s="1"/>
  <c r="FN11" i="6"/>
  <c r="FO11" i="6" s="1"/>
  <c r="FN12" i="6"/>
  <c r="FO12" i="6" s="1"/>
  <c r="FN13" i="6"/>
  <c r="FO13" i="6" s="1"/>
  <c r="FN14" i="6"/>
  <c r="FO14" i="6" s="1"/>
  <c r="FN15" i="6"/>
  <c r="FO15" i="6" s="1"/>
  <c r="FN16" i="6"/>
  <c r="FO16" i="6" s="1"/>
  <c r="FN17" i="6"/>
  <c r="FO17" i="6" s="1"/>
  <c r="FN18" i="6"/>
  <c r="FO18" i="6" s="1"/>
  <c r="FN19" i="6"/>
  <c r="FO19" i="6" s="1"/>
  <c r="FN20" i="6"/>
  <c r="FO20" i="6" s="1"/>
  <c r="FN21" i="6"/>
  <c r="FO21" i="6" s="1"/>
  <c r="FN22" i="6"/>
  <c r="FO22" i="6" s="1"/>
  <c r="FN23" i="6"/>
  <c r="FO23" i="6" s="1"/>
  <c r="FN24" i="6"/>
  <c r="FO24" i="6" s="1"/>
  <c r="FN25" i="6"/>
  <c r="FO25" i="6" s="1"/>
  <c r="FN26" i="6"/>
  <c r="FO26" i="6" s="1"/>
  <c r="FN27" i="6"/>
  <c r="FO27" i="6" s="1"/>
  <c r="FN28" i="6"/>
  <c r="FO28" i="6" s="1"/>
  <c r="FN29" i="6"/>
  <c r="FO29" i="6" s="1"/>
  <c r="FN30" i="6"/>
  <c r="FO30" i="6" s="1"/>
  <c r="FN31" i="6"/>
  <c r="FO31" i="6" s="1"/>
  <c r="FN32" i="6"/>
  <c r="FO32" i="6" s="1"/>
  <c r="FN33" i="6"/>
  <c r="FO33" i="6" s="1"/>
  <c r="FN34" i="6"/>
  <c r="FO34" i="6" s="1"/>
  <c r="FN35" i="6"/>
  <c r="FO35" i="6" s="1"/>
  <c r="FN36" i="6"/>
  <c r="FO36" i="6" s="1"/>
  <c r="FN37" i="6"/>
  <c r="FO37" i="6" s="1"/>
  <c r="FN38" i="6"/>
  <c r="FO38" i="6" s="1"/>
  <c r="FN39" i="6"/>
  <c r="FO39" i="6" s="1"/>
  <c r="FN40" i="6"/>
  <c r="FO40" i="6" s="1"/>
  <c r="FN41" i="6"/>
  <c r="FO41" i="6" s="1"/>
  <c r="FN42" i="6"/>
  <c r="FO42" i="6" s="1"/>
  <c r="FN43" i="6"/>
  <c r="FO43" i="6" s="1"/>
  <c r="FN44" i="6"/>
  <c r="FO44" i="6" s="1"/>
  <c r="FN45" i="6"/>
  <c r="FO45" i="6" s="1"/>
  <c r="FN46" i="6"/>
  <c r="FO46" i="6" s="1"/>
  <c r="FN47" i="6"/>
  <c r="FO47" i="6" s="1"/>
  <c r="FN48" i="6"/>
  <c r="FO48" i="6" s="1"/>
  <c r="FN49" i="6"/>
  <c r="FO49" i="6" s="1"/>
  <c r="FN50" i="6"/>
  <c r="FO50" i="6" s="1"/>
  <c r="FN51" i="6"/>
  <c r="FO51" i="6" s="1"/>
  <c r="FN52" i="6"/>
  <c r="FO52" i="6" s="1"/>
  <c r="FN53" i="6"/>
  <c r="FO53" i="6" s="1"/>
  <c r="FN54" i="6"/>
  <c r="FO54" i="6" s="1"/>
  <c r="FN55" i="6"/>
  <c r="FO55" i="6" s="1"/>
  <c r="FN56" i="6"/>
  <c r="FO56" i="6" s="1"/>
  <c r="FN57" i="6"/>
  <c r="FO57" i="6" s="1"/>
  <c r="FN58" i="6"/>
  <c r="FO58" i="6" s="1"/>
  <c r="FN59" i="6"/>
  <c r="FO59" i="6" s="1"/>
  <c r="FN60" i="6"/>
  <c r="FO60" i="6" s="1"/>
  <c r="FN61" i="6"/>
  <c r="FO61" i="6" s="1"/>
  <c r="FN62" i="6"/>
  <c r="FO62" i="6" s="1"/>
  <c r="FN63" i="6"/>
  <c r="FO63" i="6" s="1"/>
  <c r="FN64" i="6"/>
  <c r="FO64" i="6" s="1"/>
  <c r="FN65" i="6"/>
  <c r="FO65" i="6" s="1"/>
  <c r="FN66" i="6"/>
  <c r="FO66" i="6" s="1"/>
  <c r="FN67" i="6"/>
  <c r="FO67" i="6" s="1"/>
  <c r="FN68" i="6"/>
  <c r="FO68" i="6" s="1"/>
  <c r="FN69" i="6"/>
  <c r="FO69" i="6" s="1"/>
  <c r="FN70" i="6"/>
  <c r="FO70" i="6" s="1"/>
  <c r="FN71" i="6"/>
  <c r="FO71" i="6" s="1"/>
  <c r="FN72" i="6"/>
  <c r="FO72" i="6" s="1"/>
  <c r="FN73" i="6"/>
  <c r="FO73" i="6" s="1"/>
  <c r="FN74" i="6"/>
  <c r="FO74" i="6" s="1"/>
  <c r="FN75" i="6"/>
  <c r="FO75" i="6" s="1"/>
  <c r="FN76" i="6"/>
  <c r="FO76" i="6" s="1"/>
  <c r="FN77" i="6"/>
  <c r="FO77" i="6" s="1"/>
  <c r="FN78" i="6"/>
  <c r="FO78" i="6" s="1"/>
  <c r="FN79" i="6"/>
  <c r="FO79" i="6" s="1"/>
  <c r="FN80" i="6"/>
  <c r="FO80" i="6" s="1"/>
  <c r="FN81" i="6"/>
  <c r="FO81" i="6" s="1"/>
  <c r="FN82" i="6"/>
  <c r="FO82" i="6" s="1"/>
  <c r="FN83" i="6"/>
  <c r="FO83" i="6" s="1"/>
  <c r="FN84" i="6"/>
  <c r="FO84" i="6" s="1"/>
  <c r="FN85" i="6"/>
  <c r="FO85" i="6" s="1"/>
  <c r="FN86" i="6"/>
  <c r="FO86" i="6" s="1"/>
  <c r="FN87" i="6"/>
  <c r="FO87" i="6" s="1"/>
  <c r="FN88" i="6"/>
  <c r="FO88" i="6" s="1"/>
  <c r="FN89" i="6"/>
  <c r="FO89" i="6" s="1"/>
  <c r="FN90" i="6"/>
  <c r="FO90" i="6" s="1"/>
  <c r="FN91" i="6"/>
  <c r="FO91" i="6" s="1"/>
  <c r="FN92" i="6"/>
  <c r="FO92" i="6" s="1"/>
  <c r="FN93" i="6"/>
  <c r="FO93" i="6" s="1"/>
  <c r="FN94" i="6"/>
  <c r="FO94" i="6" s="1"/>
  <c r="FN95" i="6"/>
  <c r="FO95" i="6" s="1"/>
  <c r="FN96" i="6"/>
  <c r="FO96" i="6" s="1"/>
  <c r="FN97" i="6"/>
  <c r="FO97" i="6" s="1"/>
  <c r="FN98" i="6"/>
  <c r="FO98" i="6" s="1"/>
  <c r="FN99" i="6"/>
  <c r="FO99" i="6" s="1"/>
  <c r="FN100" i="6"/>
  <c r="FO100" i="6" s="1"/>
  <c r="FN101" i="6"/>
  <c r="FO101" i="6" s="1"/>
  <c r="FN102" i="6"/>
  <c r="FO102" i="6" s="1"/>
  <c r="FN103" i="6"/>
  <c r="FO103" i="6" s="1"/>
  <c r="FN104" i="6"/>
  <c r="FO104" i="6" s="1"/>
  <c r="FN105" i="6"/>
  <c r="FO105" i="6" s="1"/>
  <c r="FN106" i="6"/>
  <c r="FO106" i="6" s="1"/>
  <c r="FN107" i="6"/>
  <c r="FO107" i="6" s="1"/>
  <c r="FN108" i="6"/>
  <c r="FO108" i="6" s="1"/>
  <c r="FN109" i="6"/>
  <c r="FO109" i="6" s="1"/>
  <c r="FN110" i="6"/>
  <c r="FO110" i="6" s="1"/>
  <c r="FN111" i="6"/>
  <c r="FO111" i="6" s="1"/>
  <c r="FN112" i="6"/>
  <c r="FO112" i="6" s="1"/>
  <c r="FN113" i="6"/>
  <c r="FO113" i="6" s="1"/>
  <c r="FN114" i="6"/>
  <c r="FO114" i="6" s="1"/>
  <c r="FN115" i="6"/>
  <c r="FO115" i="6" s="1"/>
  <c r="FN116" i="6"/>
  <c r="FO116" i="6" s="1"/>
  <c r="FN117" i="6"/>
  <c r="FO117" i="6" s="1"/>
  <c r="FN118" i="6"/>
  <c r="FO118" i="6" s="1"/>
  <c r="FN119" i="6"/>
  <c r="FO119" i="6" s="1"/>
  <c r="FN120" i="6"/>
  <c r="FO120" i="6" s="1"/>
  <c r="FN121" i="6"/>
  <c r="FO121" i="6" s="1"/>
  <c r="FN122" i="6"/>
  <c r="FO122" i="6" s="1"/>
  <c r="FN123" i="6"/>
  <c r="FO123" i="6" s="1"/>
  <c r="FN124" i="6"/>
  <c r="FO124" i="6" s="1"/>
  <c r="FN125" i="6"/>
  <c r="FO125" i="6" s="1"/>
  <c r="FN126" i="6"/>
  <c r="FO126" i="6" s="1"/>
  <c r="FN127" i="6"/>
  <c r="FO127" i="6" s="1"/>
  <c r="FN128" i="6"/>
  <c r="FO128" i="6" s="1"/>
  <c r="FN129" i="6"/>
  <c r="FO129" i="6" s="1"/>
  <c r="FN130" i="6"/>
  <c r="FO130" i="6" s="1"/>
  <c r="FN131" i="6"/>
  <c r="FO131" i="6" s="1"/>
  <c r="FN132" i="6"/>
  <c r="FO132" i="6" s="1"/>
  <c r="FN133" i="6"/>
  <c r="FO133" i="6" s="1"/>
  <c r="FN134" i="6"/>
  <c r="FO134" i="6" s="1"/>
  <c r="FN135" i="6"/>
  <c r="FO135" i="6" s="1"/>
  <c r="FN136" i="6"/>
  <c r="FO136" i="6" s="1"/>
  <c r="FN137" i="6"/>
  <c r="FO137" i="6" s="1"/>
  <c r="FN138" i="6"/>
  <c r="FO138" i="6" s="1"/>
  <c r="FN139" i="6"/>
  <c r="FO139" i="6" s="1"/>
  <c r="FN140" i="6"/>
  <c r="FO140" i="6" s="1"/>
  <c r="FN141" i="6"/>
  <c r="FO141" i="6" s="1"/>
  <c r="FN142" i="6"/>
  <c r="FO142" i="6" s="1"/>
  <c r="FN143" i="6"/>
  <c r="FO143" i="6" s="1"/>
  <c r="FN144" i="6"/>
  <c r="FO144" i="6" s="1"/>
  <c r="FN145" i="6"/>
  <c r="FO145" i="6" s="1"/>
  <c r="FN146" i="6"/>
  <c r="FO146" i="6" s="1"/>
  <c r="FN147" i="6"/>
  <c r="FO147" i="6" s="1"/>
  <c r="FN148" i="6"/>
  <c r="FO148" i="6" s="1"/>
  <c r="FN149" i="6"/>
  <c r="FO149" i="6" s="1"/>
  <c r="FN150" i="6"/>
  <c r="FO150" i="6" s="1"/>
  <c r="FN151" i="6"/>
  <c r="FO151" i="6" s="1"/>
  <c r="FN152" i="6"/>
  <c r="FO152" i="6" s="1"/>
  <c r="FN153" i="6"/>
  <c r="FO153" i="6" s="1"/>
  <c r="FN154" i="6"/>
  <c r="FO154" i="6" s="1"/>
  <c r="FN155" i="6"/>
  <c r="FO155" i="6" s="1"/>
  <c r="FN156" i="6"/>
  <c r="FO156" i="6" s="1"/>
  <c r="FN157" i="6"/>
  <c r="FO157" i="6" s="1"/>
  <c r="FN158" i="6"/>
  <c r="FO158" i="6" s="1"/>
  <c r="FN159" i="6"/>
  <c r="FO159" i="6" s="1"/>
  <c r="FN160" i="6"/>
  <c r="FO160" i="6" s="1"/>
  <c r="FN161" i="6"/>
  <c r="FO161" i="6" s="1"/>
  <c r="FN162" i="6"/>
  <c r="FO162" i="6" s="1"/>
  <c r="FN163" i="6"/>
  <c r="FO163" i="6" s="1"/>
  <c r="FN164" i="6"/>
  <c r="FO164" i="6" s="1"/>
  <c r="FN165" i="6"/>
  <c r="FO165" i="6" s="1"/>
  <c r="FN166" i="6"/>
  <c r="FO166" i="6" s="1"/>
  <c r="FN167" i="6"/>
  <c r="FO167" i="6" s="1"/>
  <c r="FN168" i="6"/>
  <c r="FO168" i="6" s="1"/>
  <c r="FN169" i="6"/>
  <c r="FO169" i="6" s="1"/>
  <c r="FN170" i="6"/>
  <c r="FO170" i="6" s="1"/>
  <c r="FN171" i="6"/>
  <c r="FO171" i="6" s="1"/>
  <c r="FN172" i="6"/>
  <c r="FO172" i="6" s="1"/>
  <c r="FN2" i="6"/>
  <c r="DU172" i="6"/>
  <c r="DT172" i="6"/>
  <c r="DS172" i="6"/>
  <c r="DR172" i="6"/>
  <c r="DQ172" i="6"/>
  <c r="DP172" i="6"/>
  <c r="DO172" i="6"/>
  <c r="DN172" i="6"/>
  <c r="DM172" i="6"/>
  <c r="DL172" i="6"/>
  <c r="DK172" i="6"/>
  <c r="DI172" i="6"/>
  <c r="DH172" i="6"/>
  <c r="DG172" i="6"/>
  <c r="DF172" i="6"/>
  <c r="DE172" i="6"/>
  <c r="DD172" i="6"/>
  <c r="DC172" i="6"/>
  <c r="DB172" i="6"/>
  <c r="DA172" i="6"/>
  <c r="CZ172" i="6"/>
  <c r="CY172" i="6"/>
  <c r="CW172" i="6"/>
  <c r="CV172" i="6"/>
  <c r="CU172" i="6"/>
  <c r="CT172" i="6"/>
  <c r="CS172" i="6"/>
  <c r="CR172" i="6"/>
  <c r="CQ172" i="6"/>
  <c r="CP172" i="6"/>
  <c r="CO172" i="6"/>
  <c r="CN172" i="6"/>
  <c r="CM172" i="6"/>
  <c r="CK172" i="6"/>
  <c r="CJ172" i="6"/>
  <c r="CI172" i="6"/>
  <c r="CH172" i="6"/>
  <c r="CG172" i="6"/>
  <c r="CF172" i="6"/>
  <c r="CE172" i="6"/>
  <c r="CD172" i="6"/>
  <c r="CC172" i="6"/>
  <c r="CB172" i="6"/>
  <c r="CA172" i="6"/>
  <c r="BY172" i="6"/>
  <c r="BX172" i="6"/>
  <c r="BW172" i="6"/>
  <c r="BV172" i="6"/>
  <c r="BU172" i="6"/>
  <c r="BT172" i="6"/>
  <c r="BS172" i="6"/>
  <c r="BR172" i="6"/>
  <c r="BQ172" i="6"/>
  <c r="BP172" i="6"/>
  <c r="BO172" i="6"/>
  <c r="BM172" i="6"/>
  <c r="BL172" i="6"/>
  <c r="BK172" i="6"/>
  <c r="BJ172" i="6"/>
  <c r="BI172" i="6"/>
  <c r="BH172" i="6"/>
  <c r="BG172" i="6"/>
  <c r="BF172" i="6"/>
  <c r="BE172" i="6"/>
  <c r="BD172" i="6"/>
  <c r="BC172" i="6"/>
  <c r="BA172" i="6"/>
  <c r="AZ172" i="6"/>
  <c r="AY172" i="6"/>
  <c r="AX172" i="6"/>
  <c r="AW172" i="6"/>
  <c r="AV172" i="6"/>
  <c r="AU172" i="6"/>
  <c r="AT172" i="6"/>
  <c r="AS172" i="6"/>
  <c r="AR172" i="6"/>
  <c r="AQ172" i="6"/>
  <c r="AO172" i="6"/>
  <c r="AN172" i="6"/>
  <c r="AM172" i="6"/>
  <c r="AL172" i="6"/>
  <c r="AK172" i="6"/>
  <c r="AJ172" i="6"/>
  <c r="AI172" i="6"/>
  <c r="AH172" i="6"/>
  <c r="AG172" i="6"/>
  <c r="AF172" i="6"/>
  <c r="AE172" i="6"/>
  <c r="AC172" i="6"/>
  <c r="AB172" i="6"/>
  <c r="AA172" i="6"/>
  <c r="Z172" i="6"/>
  <c r="Y172" i="6"/>
  <c r="X172" i="6"/>
  <c r="W172" i="6"/>
  <c r="V172" i="6"/>
  <c r="U172" i="6"/>
  <c r="T172" i="6"/>
  <c r="S172" i="6"/>
  <c r="Q172" i="6"/>
  <c r="EF172" i="6" s="1"/>
  <c r="P172" i="6"/>
  <c r="EE172" i="6" s="1"/>
  <c r="O172" i="6"/>
  <c r="ED172" i="6" s="1"/>
  <c r="N172" i="6"/>
  <c r="EC172" i="6" s="1"/>
  <c r="M172" i="6"/>
  <c r="EB172" i="6" s="1"/>
  <c r="L172" i="6"/>
  <c r="EA172" i="6" s="1"/>
  <c r="K172" i="6"/>
  <c r="DZ172" i="6" s="1"/>
  <c r="J172" i="6"/>
  <c r="DY172" i="6" s="1"/>
  <c r="I172" i="6"/>
  <c r="DX172" i="6" s="1"/>
  <c r="EI172" i="6" s="1"/>
  <c r="ET172" i="6" s="1"/>
  <c r="H172" i="6"/>
  <c r="DW172" i="6" s="1"/>
  <c r="G172" i="6"/>
  <c r="DV172" i="6" s="1"/>
  <c r="DU171" i="6"/>
  <c r="DT171" i="6"/>
  <c r="DS171" i="6"/>
  <c r="DR171" i="6"/>
  <c r="DQ171" i="6"/>
  <c r="DP171" i="6"/>
  <c r="DO171" i="6"/>
  <c r="DN171" i="6"/>
  <c r="DM171" i="6"/>
  <c r="DL171" i="6"/>
  <c r="DK171" i="6"/>
  <c r="DI171" i="6"/>
  <c r="DH171" i="6"/>
  <c r="DG171" i="6"/>
  <c r="DF171" i="6"/>
  <c r="DE171" i="6"/>
  <c r="DD171" i="6"/>
  <c r="DC171" i="6"/>
  <c r="DB171" i="6"/>
  <c r="DA171" i="6"/>
  <c r="CZ171" i="6"/>
  <c r="CY171" i="6"/>
  <c r="CW171" i="6"/>
  <c r="CV171" i="6"/>
  <c r="CU171" i="6"/>
  <c r="CT171" i="6"/>
  <c r="CS171" i="6"/>
  <c r="CR171" i="6"/>
  <c r="CQ171" i="6"/>
  <c r="CP171" i="6"/>
  <c r="CO171" i="6"/>
  <c r="CN171" i="6"/>
  <c r="CM171" i="6"/>
  <c r="CK171" i="6"/>
  <c r="CJ171" i="6"/>
  <c r="CI171" i="6"/>
  <c r="CH171" i="6"/>
  <c r="CG171" i="6"/>
  <c r="CF171" i="6"/>
  <c r="CE171" i="6"/>
  <c r="CD171" i="6"/>
  <c r="CC171" i="6"/>
  <c r="CB171" i="6"/>
  <c r="CA171" i="6"/>
  <c r="BY171" i="6"/>
  <c r="BX171" i="6"/>
  <c r="BW171" i="6"/>
  <c r="BV171" i="6"/>
  <c r="BU171" i="6"/>
  <c r="BT171" i="6"/>
  <c r="BS171" i="6"/>
  <c r="BR171" i="6"/>
  <c r="BQ171" i="6"/>
  <c r="BP171" i="6"/>
  <c r="BO171" i="6"/>
  <c r="BM171" i="6"/>
  <c r="BL171" i="6"/>
  <c r="BK171" i="6"/>
  <c r="BJ171" i="6"/>
  <c r="BI171" i="6"/>
  <c r="BH171" i="6"/>
  <c r="BG171" i="6"/>
  <c r="BF171" i="6"/>
  <c r="BE171" i="6"/>
  <c r="BD171" i="6"/>
  <c r="BC171" i="6"/>
  <c r="BA171" i="6"/>
  <c r="AZ171" i="6"/>
  <c r="AY171" i="6"/>
  <c r="AX171" i="6"/>
  <c r="AW171" i="6"/>
  <c r="AV171" i="6"/>
  <c r="AU171" i="6"/>
  <c r="AT171" i="6"/>
  <c r="AS171" i="6"/>
  <c r="AR171" i="6"/>
  <c r="AQ171" i="6"/>
  <c r="AO171" i="6"/>
  <c r="AN171" i="6"/>
  <c r="AM171" i="6"/>
  <c r="AL171" i="6"/>
  <c r="AK171" i="6"/>
  <c r="AJ171" i="6"/>
  <c r="AI171" i="6"/>
  <c r="AH171" i="6"/>
  <c r="AG171" i="6"/>
  <c r="AF171" i="6"/>
  <c r="AE171" i="6"/>
  <c r="AC171" i="6"/>
  <c r="AB171" i="6"/>
  <c r="AA171" i="6"/>
  <c r="Z171" i="6"/>
  <c r="Y171" i="6"/>
  <c r="X171" i="6"/>
  <c r="W171" i="6"/>
  <c r="V171" i="6"/>
  <c r="U171" i="6"/>
  <c r="T171" i="6"/>
  <c r="S171" i="6"/>
  <c r="Q171" i="6"/>
  <c r="EF171" i="6" s="1"/>
  <c r="P171" i="6"/>
  <c r="EE171" i="6" s="1"/>
  <c r="O171" i="6"/>
  <c r="ED171" i="6" s="1"/>
  <c r="N171" i="6"/>
  <c r="EC171" i="6" s="1"/>
  <c r="M171" i="6"/>
  <c r="EB171" i="6" s="1"/>
  <c r="L171" i="6"/>
  <c r="EA171" i="6" s="1"/>
  <c r="K171" i="6"/>
  <c r="DZ171" i="6" s="1"/>
  <c r="J171" i="6"/>
  <c r="DY171" i="6" s="1"/>
  <c r="I171" i="6"/>
  <c r="DX171" i="6" s="1"/>
  <c r="H171" i="6"/>
  <c r="DW171" i="6" s="1"/>
  <c r="G171" i="6"/>
  <c r="DV171" i="6" s="1"/>
  <c r="DU170" i="6"/>
  <c r="DT170" i="6"/>
  <c r="DS170" i="6"/>
  <c r="DR170" i="6"/>
  <c r="DQ170" i="6"/>
  <c r="DP170" i="6"/>
  <c r="DO170" i="6"/>
  <c r="DN170" i="6"/>
  <c r="DM170" i="6"/>
  <c r="DL170" i="6"/>
  <c r="DK170" i="6"/>
  <c r="DI170" i="6"/>
  <c r="DH170" i="6"/>
  <c r="DG170" i="6"/>
  <c r="DF170" i="6"/>
  <c r="DE170" i="6"/>
  <c r="DD170" i="6"/>
  <c r="DC170" i="6"/>
  <c r="DB170" i="6"/>
  <c r="DA170" i="6"/>
  <c r="CZ170" i="6"/>
  <c r="CY170" i="6"/>
  <c r="CW170" i="6"/>
  <c r="CV170" i="6"/>
  <c r="CU170" i="6"/>
  <c r="CT170" i="6"/>
  <c r="CS170" i="6"/>
  <c r="CR170" i="6"/>
  <c r="CQ170" i="6"/>
  <c r="CP170" i="6"/>
  <c r="CO170" i="6"/>
  <c r="CN170" i="6"/>
  <c r="CM170" i="6"/>
  <c r="CK170" i="6"/>
  <c r="CJ170" i="6"/>
  <c r="CI170" i="6"/>
  <c r="CH170" i="6"/>
  <c r="CG170" i="6"/>
  <c r="CF170" i="6"/>
  <c r="CE170" i="6"/>
  <c r="CD170" i="6"/>
  <c r="CC170" i="6"/>
  <c r="CB170" i="6"/>
  <c r="CA170" i="6"/>
  <c r="BY170" i="6"/>
  <c r="BX170" i="6"/>
  <c r="BW170" i="6"/>
  <c r="BV170" i="6"/>
  <c r="BU170" i="6"/>
  <c r="BT170" i="6"/>
  <c r="BS170" i="6"/>
  <c r="BR170" i="6"/>
  <c r="BQ170" i="6"/>
  <c r="BP170" i="6"/>
  <c r="BO170" i="6"/>
  <c r="BM170" i="6"/>
  <c r="BL170" i="6"/>
  <c r="BK170" i="6"/>
  <c r="BJ170" i="6"/>
  <c r="BI170" i="6"/>
  <c r="BH170" i="6"/>
  <c r="BG170" i="6"/>
  <c r="BF170" i="6"/>
  <c r="BE170" i="6"/>
  <c r="BD170" i="6"/>
  <c r="BC170" i="6"/>
  <c r="BA170" i="6"/>
  <c r="AZ170" i="6"/>
  <c r="AY170" i="6"/>
  <c r="AX170" i="6"/>
  <c r="AW170" i="6"/>
  <c r="AV170" i="6"/>
  <c r="AU170" i="6"/>
  <c r="AT170" i="6"/>
  <c r="AS170" i="6"/>
  <c r="AR170" i="6"/>
  <c r="AQ170" i="6"/>
  <c r="AO170" i="6"/>
  <c r="AN170" i="6"/>
  <c r="AM170" i="6"/>
  <c r="AL170" i="6"/>
  <c r="AK170" i="6"/>
  <c r="AJ170" i="6"/>
  <c r="AI170" i="6"/>
  <c r="AH170" i="6"/>
  <c r="AG170" i="6"/>
  <c r="AF170" i="6"/>
  <c r="AE170" i="6"/>
  <c r="AC170" i="6"/>
  <c r="AB170" i="6"/>
  <c r="AA170" i="6"/>
  <c r="Z170" i="6"/>
  <c r="Y170" i="6"/>
  <c r="X170" i="6"/>
  <c r="W170" i="6"/>
  <c r="V170" i="6"/>
  <c r="U170" i="6"/>
  <c r="T170" i="6"/>
  <c r="S170" i="6"/>
  <c r="Q170" i="6"/>
  <c r="EF170" i="6" s="1"/>
  <c r="P170" i="6"/>
  <c r="EE170" i="6" s="1"/>
  <c r="O170" i="6"/>
  <c r="ED170" i="6" s="1"/>
  <c r="N170" i="6"/>
  <c r="EC170" i="6" s="1"/>
  <c r="M170" i="6"/>
  <c r="EB170" i="6" s="1"/>
  <c r="L170" i="6"/>
  <c r="EA170" i="6" s="1"/>
  <c r="K170" i="6"/>
  <c r="DZ170" i="6" s="1"/>
  <c r="J170" i="6"/>
  <c r="DY170" i="6" s="1"/>
  <c r="I170" i="6"/>
  <c r="DX170" i="6" s="1"/>
  <c r="H170" i="6"/>
  <c r="DW170" i="6" s="1"/>
  <c r="G170" i="6"/>
  <c r="DV170" i="6" s="1"/>
  <c r="DU169" i="6"/>
  <c r="DT169" i="6"/>
  <c r="DS169" i="6"/>
  <c r="DR169" i="6"/>
  <c r="DQ169" i="6"/>
  <c r="DP169" i="6"/>
  <c r="DO169" i="6"/>
  <c r="DN169" i="6"/>
  <c r="DM169" i="6"/>
  <c r="DL169" i="6"/>
  <c r="DK169" i="6"/>
  <c r="DI169" i="6"/>
  <c r="DH169" i="6"/>
  <c r="DG169" i="6"/>
  <c r="DF169" i="6"/>
  <c r="DE169" i="6"/>
  <c r="DD169" i="6"/>
  <c r="DC169" i="6"/>
  <c r="DB169" i="6"/>
  <c r="DA169" i="6"/>
  <c r="CZ169" i="6"/>
  <c r="CY169" i="6"/>
  <c r="CW169" i="6"/>
  <c r="CV169" i="6"/>
  <c r="CU169" i="6"/>
  <c r="CT169" i="6"/>
  <c r="CS169" i="6"/>
  <c r="CR169" i="6"/>
  <c r="CQ169" i="6"/>
  <c r="CP169" i="6"/>
  <c r="CO169" i="6"/>
  <c r="CN169" i="6"/>
  <c r="CM169" i="6"/>
  <c r="CK169" i="6"/>
  <c r="CJ169" i="6"/>
  <c r="CI169" i="6"/>
  <c r="CH169" i="6"/>
  <c r="CG169" i="6"/>
  <c r="CF169" i="6"/>
  <c r="CE169" i="6"/>
  <c r="CD169" i="6"/>
  <c r="CC169" i="6"/>
  <c r="CB169" i="6"/>
  <c r="CA169" i="6"/>
  <c r="BY169" i="6"/>
  <c r="BX169" i="6"/>
  <c r="BW169" i="6"/>
  <c r="BV169" i="6"/>
  <c r="BU169" i="6"/>
  <c r="BT169" i="6"/>
  <c r="BS169" i="6"/>
  <c r="BR169" i="6"/>
  <c r="BQ169" i="6"/>
  <c r="BP169" i="6"/>
  <c r="BO169" i="6"/>
  <c r="BM169" i="6"/>
  <c r="BL169" i="6"/>
  <c r="BK169" i="6"/>
  <c r="BJ169" i="6"/>
  <c r="BI169" i="6"/>
  <c r="BH169" i="6"/>
  <c r="BG169" i="6"/>
  <c r="BF169" i="6"/>
  <c r="BE169" i="6"/>
  <c r="BD169" i="6"/>
  <c r="BC169" i="6"/>
  <c r="BA169" i="6"/>
  <c r="AZ169" i="6"/>
  <c r="AY169" i="6"/>
  <c r="AX169" i="6"/>
  <c r="AW169" i="6"/>
  <c r="AV169" i="6"/>
  <c r="AU169" i="6"/>
  <c r="AT169" i="6"/>
  <c r="AS169" i="6"/>
  <c r="AR169" i="6"/>
  <c r="AQ169" i="6"/>
  <c r="AO169" i="6"/>
  <c r="AN169" i="6"/>
  <c r="AM169" i="6"/>
  <c r="AL169" i="6"/>
  <c r="AK169" i="6"/>
  <c r="AJ169" i="6"/>
  <c r="AI169" i="6"/>
  <c r="AH169" i="6"/>
  <c r="AG169" i="6"/>
  <c r="AF169" i="6"/>
  <c r="AE169" i="6"/>
  <c r="AC169" i="6"/>
  <c r="AB169" i="6"/>
  <c r="AA169" i="6"/>
  <c r="Z169" i="6"/>
  <c r="Y169" i="6"/>
  <c r="X169" i="6"/>
  <c r="W169" i="6"/>
  <c r="V169" i="6"/>
  <c r="U169" i="6"/>
  <c r="T169" i="6"/>
  <c r="S169" i="6"/>
  <c r="Q169" i="6"/>
  <c r="EF169" i="6" s="1"/>
  <c r="P169" i="6"/>
  <c r="EE169" i="6" s="1"/>
  <c r="O169" i="6"/>
  <c r="ED169" i="6" s="1"/>
  <c r="N169" i="6"/>
  <c r="EC169" i="6" s="1"/>
  <c r="M169" i="6"/>
  <c r="EB169" i="6" s="1"/>
  <c r="L169" i="6"/>
  <c r="EA169" i="6" s="1"/>
  <c r="K169" i="6"/>
  <c r="DZ169" i="6" s="1"/>
  <c r="J169" i="6"/>
  <c r="DY169" i="6" s="1"/>
  <c r="I169" i="6"/>
  <c r="DX169" i="6" s="1"/>
  <c r="H169" i="6"/>
  <c r="DW169" i="6" s="1"/>
  <c r="G169" i="6"/>
  <c r="DV169" i="6" s="1"/>
  <c r="DU168" i="6"/>
  <c r="DT168" i="6"/>
  <c r="DS168" i="6"/>
  <c r="DR168" i="6"/>
  <c r="DQ168" i="6"/>
  <c r="DP168" i="6"/>
  <c r="DO168" i="6"/>
  <c r="DN168" i="6"/>
  <c r="DM168" i="6"/>
  <c r="DL168" i="6"/>
  <c r="DK168" i="6"/>
  <c r="DI168" i="6"/>
  <c r="DH168" i="6"/>
  <c r="DG168" i="6"/>
  <c r="DF168" i="6"/>
  <c r="DE168" i="6"/>
  <c r="DD168" i="6"/>
  <c r="DC168" i="6"/>
  <c r="DB168" i="6"/>
  <c r="DA168" i="6"/>
  <c r="CZ168" i="6"/>
  <c r="CY168" i="6"/>
  <c r="CW168" i="6"/>
  <c r="CV168" i="6"/>
  <c r="CU168" i="6"/>
  <c r="CT168" i="6"/>
  <c r="CS168" i="6"/>
  <c r="CR168" i="6"/>
  <c r="CQ168" i="6"/>
  <c r="CP168" i="6"/>
  <c r="CO168" i="6"/>
  <c r="CN168" i="6"/>
  <c r="CM168" i="6"/>
  <c r="CK168" i="6"/>
  <c r="CJ168" i="6"/>
  <c r="CI168" i="6"/>
  <c r="CH168" i="6"/>
  <c r="CG168" i="6"/>
  <c r="CF168" i="6"/>
  <c r="CE168" i="6"/>
  <c r="CD168" i="6"/>
  <c r="CC168" i="6"/>
  <c r="CB168" i="6"/>
  <c r="CA168" i="6"/>
  <c r="BY168" i="6"/>
  <c r="BX168" i="6"/>
  <c r="BW168" i="6"/>
  <c r="BV168" i="6"/>
  <c r="BU168" i="6"/>
  <c r="BT168" i="6"/>
  <c r="BS168" i="6"/>
  <c r="BR168" i="6"/>
  <c r="BQ168" i="6"/>
  <c r="BP168" i="6"/>
  <c r="BO168" i="6"/>
  <c r="BM168" i="6"/>
  <c r="BL168" i="6"/>
  <c r="BK168" i="6"/>
  <c r="BJ168" i="6"/>
  <c r="BI168" i="6"/>
  <c r="BH168" i="6"/>
  <c r="BG168" i="6"/>
  <c r="BF168" i="6"/>
  <c r="BE168" i="6"/>
  <c r="BD168" i="6"/>
  <c r="BC168" i="6"/>
  <c r="BA168" i="6"/>
  <c r="AZ168" i="6"/>
  <c r="AY168" i="6"/>
  <c r="AX168" i="6"/>
  <c r="AW168" i="6"/>
  <c r="AV168" i="6"/>
  <c r="AU168" i="6"/>
  <c r="AT168" i="6"/>
  <c r="AS168" i="6"/>
  <c r="AR168" i="6"/>
  <c r="AQ168" i="6"/>
  <c r="AO168" i="6"/>
  <c r="AN168" i="6"/>
  <c r="AM168" i="6"/>
  <c r="AL168" i="6"/>
  <c r="AK168" i="6"/>
  <c r="AJ168" i="6"/>
  <c r="AI168" i="6"/>
  <c r="AH168" i="6"/>
  <c r="AG168" i="6"/>
  <c r="AF168" i="6"/>
  <c r="AE168" i="6"/>
  <c r="AC168" i="6"/>
  <c r="AB168" i="6"/>
  <c r="AA168" i="6"/>
  <c r="Z168" i="6"/>
  <c r="Y168" i="6"/>
  <c r="X168" i="6"/>
  <c r="W168" i="6"/>
  <c r="V168" i="6"/>
  <c r="U168" i="6"/>
  <c r="T168" i="6"/>
  <c r="S168" i="6"/>
  <c r="Q168" i="6"/>
  <c r="EF168" i="6" s="1"/>
  <c r="P168" i="6"/>
  <c r="EE168" i="6" s="1"/>
  <c r="O168" i="6"/>
  <c r="ED168" i="6" s="1"/>
  <c r="N168" i="6"/>
  <c r="EC168" i="6" s="1"/>
  <c r="M168" i="6"/>
  <c r="EB168" i="6" s="1"/>
  <c r="L168" i="6"/>
  <c r="EA168" i="6" s="1"/>
  <c r="K168" i="6"/>
  <c r="DZ168" i="6" s="1"/>
  <c r="J168" i="6"/>
  <c r="DY168" i="6" s="1"/>
  <c r="I168" i="6"/>
  <c r="DX168" i="6" s="1"/>
  <c r="H168" i="6"/>
  <c r="DW168" i="6" s="1"/>
  <c r="G168" i="6"/>
  <c r="DV168" i="6" s="1"/>
  <c r="DU167" i="6"/>
  <c r="DT167" i="6"/>
  <c r="DS167" i="6"/>
  <c r="DR167" i="6"/>
  <c r="DQ167" i="6"/>
  <c r="DP167" i="6"/>
  <c r="DO167" i="6"/>
  <c r="DN167" i="6"/>
  <c r="DM167" i="6"/>
  <c r="DL167" i="6"/>
  <c r="DK167" i="6"/>
  <c r="DI167" i="6"/>
  <c r="DH167" i="6"/>
  <c r="DG167" i="6"/>
  <c r="DF167" i="6"/>
  <c r="DE167" i="6"/>
  <c r="DD167" i="6"/>
  <c r="DC167" i="6"/>
  <c r="DB167" i="6"/>
  <c r="DA167" i="6"/>
  <c r="CZ167" i="6"/>
  <c r="CY167" i="6"/>
  <c r="CW167" i="6"/>
  <c r="CV167" i="6"/>
  <c r="CU167" i="6"/>
  <c r="CT167" i="6"/>
  <c r="CS167" i="6"/>
  <c r="CR167" i="6"/>
  <c r="CQ167" i="6"/>
  <c r="CP167" i="6"/>
  <c r="CO167" i="6"/>
  <c r="CN167" i="6"/>
  <c r="CM167" i="6"/>
  <c r="CK167" i="6"/>
  <c r="CJ167" i="6"/>
  <c r="CI167" i="6"/>
  <c r="CH167" i="6"/>
  <c r="CG167" i="6"/>
  <c r="CF167" i="6"/>
  <c r="CE167" i="6"/>
  <c r="CD167" i="6"/>
  <c r="CC167" i="6"/>
  <c r="CB167" i="6"/>
  <c r="CA167" i="6"/>
  <c r="BY167" i="6"/>
  <c r="BX167" i="6"/>
  <c r="BW167" i="6"/>
  <c r="BV167" i="6"/>
  <c r="BU167" i="6"/>
  <c r="BT167" i="6"/>
  <c r="BS167" i="6"/>
  <c r="BR167" i="6"/>
  <c r="BQ167" i="6"/>
  <c r="BP167" i="6"/>
  <c r="BO167" i="6"/>
  <c r="BM167" i="6"/>
  <c r="BL167" i="6"/>
  <c r="BK167" i="6"/>
  <c r="BJ167" i="6"/>
  <c r="BI167" i="6"/>
  <c r="BH167" i="6"/>
  <c r="BG167" i="6"/>
  <c r="BF167" i="6"/>
  <c r="BE167" i="6"/>
  <c r="BD167" i="6"/>
  <c r="BC167" i="6"/>
  <c r="BA167" i="6"/>
  <c r="AZ167" i="6"/>
  <c r="AY167" i="6"/>
  <c r="AX167" i="6"/>
  <c r="AW167" i="6"/>
  <c r="AV167" i="6"/>
  <c r="AU167" i="6"/>
  <c r="AT167" i="6"/>
  <c r="AS167" i="6"/>
  <c r="AR167" i="6"/>
  <c r="AQ167" i="6"/>
  <c r="AO167" i="6"/>
  <c r="AN167" i="6"/>
  <c r="AM167" i="6"/>
  <c r="AL167" i="6"/>
  <c r="AK167" i="6"/>
  <c r="AJ167" i="6"/>
  <c r="AI167" i="6"/>
  <c r="AH167" i="6"/>
  <c r="AG167" i="6"/>
  <c r="AF167" i="6"/>
  <c r="AE167" i="6"/>
  <c r="AC167" i="6"/>
  <c r="AB167" i="6"/>
  <c r="AA167" i="6"/>
  <c r="Z167" i="6"/>
  <c r="Y167" i="6"/>
  <c r="X167" i="6"/>
  <c r="W167" i="6"/>
  <c r="V167" i="6"/>
  <c r="U167" i="6"/>
  <c r="T167" i="6"/>
  <c r="S167" i="6"/>
  <c r="Q167" i="6"/>
  <c r="EF167" i="6" s="1"/>
  <c r="P167" i="6"/>
  <c r="EE167" i="6" s="1"/>
  <c r="O167" i="6"/>
  <c r="ED167" i="6" s="1"/>
  <c r="N167" i="6"/>
  <c r="EC167" i="6" s="1"/>
  <c r="M167" i="6"/>
  <c r="EB167" i="6" s="1"/>
  <c r="L167" i="6"/>
  <c r="EA167" i="6" s="1"/>
  <c r="K167" i="6"/>
  <c r="DZ167" i="6" s="1"/>
  <c r="J167" i="6"/>
  <c r="DY167" i="6" s="1"/>
  <c r="I167" i="6"/>
  <c r="DX167" i="6" s="1"/>
  <c r="H167" i="6"/>
  <c r="DW167" i="6" s="1"/>
  <c r="G167" i="6"/>
  <c r="DV167" i="6" s="1"/>
  <c r="DU166" i="6"/>
  <c r="DT166" i="6"/>
  <c r="DS166" i="6"/>
  <c r="DR166" i="6"/>
  <c r="DQ166" i="6"/>
  <c r="DP166" i="6"/>
  <c r="DO166" i="6"/>
  <c r="DN166" i="6"/>
  <c r="DM166" i="6"/>
  <c r="DL166" i="6"/>
  <c r="DK166" i="6"/>
  <c r="DI166" i="6"/>
  <c r="DH166" i="6"/>
  <c r="DG166" i="6"/>
  <c r="DF166" i="6"/>
  <c r="DE166" i="6"/>
  <c r="DD166" i="6"/>
  <c r="DC166" i="6"/>
  <c r="DB166" i="6"/>
  <c r="DA166" i="6"/>
  <c r="CZ166" i="6"/>
  <c r="CY166" i="6"/>
  <c r="CW166" i="6"/>
  <c r="CV166" i="6"/>
  <c r="CU166" i="6"/>
  <c r="CT166" i="6"/>
  <c r="CS166" i="6"/>
  <c r="CR166" i="6"/>
  <c r="CQ166" i="6"/>
  <c r="CP166" i="6"/>
  <c r="CO166" i="6"/>
  <c r="CN166" i="6"/>
  <c r="CM166" i="6"/>
  <c r="CK166" i="6"/>
  <c r="CJ166" i="6"/>
  <c r="CI166" i="6"/>
  <c r="CH166" i="6"/>
  <c r="CG166" i="6"/>
  <c r="CF166" i="6"/>
  <c r="CE166" i="6"/>
  <c r="CD166" i="6"/>
  <c r="CC166" i="6"/>
  <c r="CB166" i="6"/>
  <c r="CA166" i="6"/>
  <c r="BY166" i="6"/>
  <c r="BX166" i="6"/>
  <c r="BW166" i="6"/>
  <c r="BV166" i="6"/>
  <c r="BU166" i="6"/>
  <c r="BT166" i="6"/>
  <c r="BS166" i="6"/>
  <c r="BR166" i="6"/>
  <c r="BQ166" i="6"/>
  <c r="BP166" i="6"/>
  <c r="BO166" i="6"/>
  <c r="BM166" i="6"/>
  <c r="BL166" i="6"/>
  <c r="BK166" i="6"/>
  <c r="BJ166" i="6"/>
  <c r="BI166" i="6"/>
  <c r="BH166" i="6"/>
  <c r="BG166" i="6"/>
  <c r="BF166" i="6"/>
  <c r="BE166" i="6"/>
  <c r="BD166" i="6"/>
  <c r="BC166" i="6"/>
  <c r="BA166" i="6"/>
  <c r="AZ166" i="6"/>
  <c r="AY166" i="6"/>
  <c r="AX166" i="6"/>
  <c r="AW166" i="6"/>
  <c r="AV166" i="6"/>
  <c r="AU166" i="6"/>
  <c r="AT166" i="6"/>
  <c r="AS166" i="6"/>
  <c r="AR166" i="6"/>
  <c r="AQ166" i="6"/>
  <c r="AO166" i="6"/>
  <c r="AN166" i="6"/>
  <c r="AM166" i="6"/>
  <c r="AL166" i="6"/>
  <c r="AK166" i="6"/>
  <c r="AJ166" i="6"/>
  <c r="AI166" i="6"/>
  <c r="AH166" i="6"/>
  <c r="AG166" i="6"/>
  <c r="AF166" i="6"/>
  <c r="AE166" i="6"/>
  <c r="AC166" i="6"/>
  <c r="AB166" i="6"/>
  <c r="AA166" i="6"/>
  <c r="Z166" i="6"/>
  <c r="Y166" i="6"/>
  <c r="X166" i="6"/>
  <c r="W166" i="6"/>
  <c r="V166" i="6"/>
  <c r="U166" i="6"/>
  <c r="T166" i="6"/>
  <c r="S166" i="6"/>
  <c r="Q166" i="6"/>
  <c r="EF166" i="6" s="1"/>
  <c r="P166" i="6"/>
  <c r="EE166" i="6" s="1"/>
  <c r="O166" i="6"/>
  <c r="ED166" i="6" s="1"/>
  <c r="N166" i="6"/>
  <c r="EC166" i="6" s="1"/>
  <c r="M166" i="6"/>
  <c r="EB166" i="6" s="1"/>
  <c r="L166" i="6"/>
  <c r="EA166" i="6" s="1"/>
  <c r="K166" i="6"/>
  <c r="DZ166" i="6" s="1"/>
  <c r="J166" i="6"/>
  <c r="DY166" i="6" s="1"/>
  <c r="I166" i="6"/>
  <c r="DX166" i="6" s="1"/>
  <c r="H166" i="6"/>
  <c r="DW166" i="6" s="1"/>
  <c r="G166" i="6"/>
  <c r="DV166" i="6" s="1"/>
  <c r="DU165" i="6"/>
  <c r="DT165" i="6"/>
  <c r="DS165" i="6"/>
  <c r="DR165" i="6"/>
  <c r="DQ165" i="6"/>
  <c r="DP165" i="6"/>
  <c r="DO165" i="6"/>
  <c r="DN165" i="6"/>
  <c r="DM165" i="6"/>
  <c r="DL165" i="6"/>
  <c r="DK165" i="6"/>
  <c r="DI165" i="6"/>
  <c r="DH165" i="6"/>
  <c r="DG165" i="6"/>
  <c r="DF165" i="6"/>
  <c r="DE165" i="6"/>
  <c r="DD165" i="6"/>
  <c r="DC165" i="6"/>
  <c r="DB165" i="6"/>
  <c r="DA165" i="6"/>
  <c r="CZ165" i="6"/>
  <c r="CY165" i="6"/>
  <c r="CW165" i="6"/>
  <c r="CV165" i="6"/>
  <c r="CU165" i="6"/>
  <c r="CT165" i="6"/>
  <c r="CS165" i="6"/>
  <c r="CR165" i="6"/>
  <c r="CQ165" i="6"/>
  <c r="CP165" i="6"/>
  <c r="CO165" i="6"/>
  <c r="CN165" i="6"/>
  <c r="CM165" i="6"/>
  <c r="CK165" i="6"/>
  <c r="CJ165" i="6"/>
  <c r="CI165" i="6"/>
  <c r="CH165" i="6"/>
  <c r="CG165" i="6"/>
  <c r="CF165" i="6"/>
  <c r="CE165" i="6"/>
  <c r="CD165" i="6"/>
  <c r="CC165" i="6"/>
  <c r="CB165" i="6"/>
  <c r="CA165" i="6"/>
  <c r="BY165" i="6"/>
  <c r="BX165" i="6"/>
  <c r="BW165" i="6"/>
  <c r="BV165" i="6"/>
  <c r="BU165" i="6"/>
  <c r="BT165" i="6"/>
  <c r="BS165" i="6"/>
  <c r="BR165" i="6"/>
  <c r="BQ165" i="6"/>
  <c r="BP165" i="6"/>
  <c r="BO165" i="6"/>
  <c r="BM165" i="6"/>
  <c r="BL165" i="6"/>
  <c r="BK165" i="6"/>
  <c r="BJ165" i="6"/>
  <c r="BI165" i="6"/>
  <c r="BH165" i="6"/>
  <c r="BG165" i="6"/>
  <c r="BF165" i="6"/>
  <c r="BE165" i="6"/>
  <c r="BD165" i="6"/>
  <c r="BC165" i="6"/>
  <c r="BA165" i="6"/>
  <c r="AZ165" i="6"/>
  <c r="AY165" i="6"/>
  <c r="AX165" i="6"/>
  <c r="AW165" i="6"/>
  <c r="AV165" i="6"/>
  <c r="AU165" i="6"/>
  <c r="AT165" i="6"/>
  <c r="AS165" i="6"/>
  <c r="AR165" i="6"/>
  <c r="AQ165" i="6"/>
  <c r="AO165" i="6"/>
  <c r="AN165" i="6"/>
  <c r="AM165" i="6"/>
  <c r="AL165" i="6"/>
  <c r="AK165" i="6"/>
  <c r="AJ165" i="6"/>
  <c r="AI165" i="6"/>
  <c r="AH165" i="6"/>
  <c r="AG165" i="6"/>
  <c r="AF165" i="6"/>
  <c r="AE165" i="6"/>
  <c r="AC165" i="6"/>
  <c r="AB165" i="6"/>
  <c r="AA165" i="6"/>
  <c r="Z165" i="6"/>
  <c r="Y165" i="6"/>
  <c r="X165" i="6"/>
  <c r="W165" i="6"/>
  <c r="V165" i="6"/>
  <c r="U165" i="6"/>
  <c r="T165" i="6"/>
  <c r="S165" i="6"/>
  <c r="Q165" i="6"/>
  <c r="EF165" i="6" s="1"/>
  <c r="P165" i="6"/>
  <c r="EE165" i="6" s="1"/>
  <c r="O165" i="6"/>
  <c r="ED165" i="6" s="1"/>
  <c r="N165" i="6"/>
  <c r="EC165" i="6" s="1"/>
  <c r="M165" i="6"/>
  <c r="EB165" i="6" s="1"/>
  <c r="L165" i="6"/>
  <c r="EA165" i="6" s="1"/>
  <c r="K165" i="6"/>
  <c r="DZ165" i="6" s="1"/>
  <c r="J165" i="6"/>
  <c r="DY165" i="6" s="1"/>
  <c r="I165" i="6"/>
  <c r="DX165" i="6" s="1"/>
  <c r="H165" i="6"/>
  <c r="DW165" i="6" s="1"/>
  <c r="G165" i="6"/>
  <c r="DV165" i="6" s="1"/>
  <c r="DU164" i="6"/>
  <c r="DT164" i="6"/>
  <c r="DS164" i="6"/>
  <c r="DR164" i="6"/>
  <c r="DQ164" i="6"/>
  <c r="DP164" i="6"/>
  <c r="DO164" i="6"/>
  <c r="DN164" i="6"/>
  <c r="DM164" i="6"/>
  <c r="DL164" i="6"/>
  <c r="DK164" i="6"/>
  <c r="DI164" i="6"/>
  <c r="DH164" i="6"/>
  <c r="DG164" i="6"/>
  <c r="DF164" i="6"/>
  <c r="DE164" i="6"/>
  <c r="DD164" i="6"/>
  <c r="DC164" i="6"/>
  <c r="DB164" i="6"/>
  <c r="DA164" i="6"/>
  <c r="CZ164" i="6"/>
  <c r="CY164" i="6"/>
  <c r="CW164" i="6"/>
  <c r="CV164" i="6"/>
  <c r="CU164" i="6"/>
  <c r="CT164" i="6"/>
  <c r="CS164" i="6"/>
  <c r="CR164" i="6"/>
  <c r="CQ164" i="6"/>
  <c r="CP164" i="6"/>
  <c r="CO164" i="6"/>
  <c r="CN164" i="6"/>
  <c r="CM164" i="6"/>
  <c r="CK164" i="6"/>
  <c r="CJ164" i="6"/>
  <c r="CI164" i="6"/>
  <c r="CH164" i="6"/>
  <c r="CG164" i="6"/>
  <c r="CF164" i="6"/>
  <c r="CE164" i="6"/>
  <c r="CD164" i="6"/>
  <c r="CC164" i="6"/>
  <c r="CB164" i="6"/>
  <c r="CA164" i="6"/>
  <c r="BY164" i="6"/>
  <c r="BX164" i="6"/>
  <c r="BW164" i="6"/>
  <c r="BV164" i="6"/>
  <c r="BU164" i="6"/>
  <c r="BT164" i="6"/>
  <c r="BS164" i="6"/>
  <c r="BR164" i="6"/>
  <c r="BQ164" i="6"/>
  <c r="BP164" i="6"/>
  <c r="BO164" i="6"/>
  <c r="BM164" i="6"/>
  <c r="BL164" i="6"/>
  <c r="BK164" i="6"/>
  <c r="BJ164" i="6"/>
  <c r="BI164" i="6"/>
  <c r="BH164" i="6"/>
  <c r="BG164" i="6"/>
  <c r="BF164" i="6"/>
  <c r="BE164" i="6"/>
  <c r="BD164" i="6"/>
  <c r="BC164" i="6"/>
  <c r="BA164" i="6"/>
  <c r="AZ164" i="6"/>
  <c r="AY164" i="6"/>
  <c r="AX164" i="6"/>
  <c r="AW164" i="6"/>
  <c r="AV164" i="6"/>
  <c r="AU164" i="6"/>
  <c r="AT164" i="6"/>
  <c r="AS164" i="6"/>
  <c r="AR164" i="6"/>
  <c r="AQ164" i="6"/>
  <c r="AO164" i="6"/>
  <c r="AN164" i="6"/>
  <c r="AM164" i="6"/>
  <c r="AL164" i="6"/>
  <c r="AK164" i="6"/>
  <c r="AJ164" i="6"/>
  <c r="AI164" i="6"/>
  <c r="AH164" i="6"/>
  <c r="AG164" i="6"/>
  <c r="AF164" i="6"/>
  <c r="AE164" i="6"/>
  <c r="AC164" i="6"/>
  <c r="AB164" i="6"/>
  <c r="AA164" i="6"/>
  <c r="Z164" i="6"/>
  <c r="Y164" i="6"/>
  <c r="X164" i="6"/>
  <c r="W164" i="6"/>
  <c r="V164" i="6"/>
  <c r="U164" i="6"/>
  <c r="T164" i="6"/>
  <c r="S164" i="6"/>
  <c r="Q164" i="6"/>
  <c r="EF164" i="6" s="1"/>
  <c r="P164" i="6"/>
  <c r="EE164" i="6" s="1"/>
  <c r="O164" i="6"/>
  <c r="ED164" i="6" s="1"/>
  <c r="N164" i="6"/>
  <c r="EC164" i="6" s="1"/>
  <c r="M164" i="6"/>
  <c r="EB164" i="6" s="1"/>
  <c r="L164" i="6"/>
  <c r="EA164" i="6" s="1"/>
  <c r="K164" i="6"/>
  <c r="DZ164" i="6" s="1"/>
  <c r="J164" i="6"/>
  <c r="DY164" i="6" s="1"/>
  <c r="I164" i="6"/>
  <c r="DX164" i="6" s="1"/>
  <c r="H164" i="6"/>
  <c r="DW164" i="6" s="1"/>
  <c r="G164" i="6"/>
  <c r="DV164" i="6" s="1"/>
  <c r="DU163" i="6"/>
  <c r="DT163" i="6"/>
  <c r="DS163" i="6"/>
  <c r="DR163" i="6"/>
  <c r="DQ163" i="6"/>
  <c r="DP163" i="6"/>
  <c r="DO163" i="6"/>
  <c r="DN163" i="6"/>
  <c r="DM163" i="6"/>
  <c r="DL163" i="6"/>
  <c r="DK163" i="6"/>
  <c r="DI163" i="6"/>
  <c r="DH163" i="6"/>
  <c r="DG163" i="6"/>
  <c r="DF163" i="6"/>
  <c r="DE163" i="6"/>
  <c r="DD163" i="6"/>
  <c r="DC163" i="6"/>
  <c r="DB163" i="6"/>
  <c r="DA163" i="6"/>
  <c r="CZ163" i="6"/>
  <c r="CY163" i="6"/>
  <c r="CW163" i="6"/>
  <c r="CV163" i="6"/>
  <c r="CU163" i="6"/>
  <c r="CT163" i="6"/>
  <c r="CS163" i="6"/>
  <c r="CR163" i="6"/>
  <c r="CQ163" i="6"/>
  <c r="CP163" i="6"/>
  <c r="CO163" i="6"/>
  <c r="CN163" i="6"/>
  <c r="CM163" i="6"/>
  <c r="CK163" i="6"/>
  <c r="CJ163" i="6"/>
  <c r="CI163" i="6"/>
  <c r="CH163" i="6"/>
  <c r="CG163" i="6"/>
  <c r="CF163" i="6"/>
  <c r="CE163" i="6"/>
  <c r="CD163" i="6"/>
  <c r="CC163" i="6"/>
  <c r="CB163" i="6"/>
  <c r="CA163" i="6"/>
  <c r="BY163" i="6"/>
  <c r="BX163" i="6"/>
  <c r="BW163" i="6"/>
  <c r="BV163" i="6"/>
  <c r="BU163" i="6"/>
  <c r="BT163" i="6"/>
  <c r="BS163" i="6"/>
  <c r="BR163" i="6"/>
  <c r="BQ163" i="6"/>
  <c r="BP163" i="6"/>
  <c r="BO163" i="6"/>
  <c r="BM163" i="6"/>
  <c r="BL163" i="6"/>
  <c r="BK163" i="6"/>
  <c r="BJ163" i="6"/>
  <c r="BI163" i="6"/>
  <c r="BH163" i="6"/>
  <c r="BG163" i="6"/>
  <c r="BF163" i="6"/>
  <c r="BE163" i="6"/>
  <c r="BD163" i="6"/>
  <c r="BC163" i="6"/>
  <c r="BA163" i="6"/>
  <c r="AZ163" i="6"/>
  <c r="AY163" i="6"/>
  <c r="AX163" i="6"/>
  <c r="AW163" i="6"/>
  <c r="AV163" i="6"/>
  <c r="AU163" i="6"/>
  <c r="AT163" i="6"/>
  <c r="AS163" i="6"/>
  <c r="AR163" i="6"/>
  <c r="AQ163" i="6"/>
  <c r="AO163" i="6"/>
  <c r="AN163" i="6"/>
  <c r="AM163" i="6"/>
  <c r="AL163" i="6"/>
  <c r="AK163" i="6"/>
  <c r="AJ163" i="6"/>
  <c r="AI163" i="6"/>
  <c r="AH163" i="6"/>
  <c r="AG163" i="6"/>
  <c r="AF163" i="6"/>
  <c r="AE163" i="6"/>
  <c r="AC163" i="6"/>
  <c r="AB163" i="6"/>
  <c r="AA163" i="6"/>
  <c r="Z163" i="6"/>
  <c r="Y163" i="6"/>
  <c r="X163" i="6"/>
  <c r="W163" i="6"/>
  <c r="V163" i="6"/>
  <c r="U163" i="6"/>
  <c r="T163" i="6"/>
  <c r="S163" i="6"/>
  <c r="Q163" i="6"/>
  <c r="EF163" i="6" s="1"/>
  <c r="P163" i="6"/>
  <c r="EE163" i="6" s="1"/>
  <c r="O163" i="6"/>
  <c r="ED163" i="6" s="1"/>
  <c r="N163" i="6"/>
  <c r="EC163" i="6" s="1"/>
  <c r="M163" i="6"/>
  <c r="EB163" i="6" s="1"/>
  <c r="L163" i="6"/>
  <c r="EA163" i="6" s="1"/>
  <c r="K163" i="6"/>
  <c r="DZ163" i="6" s="1"/>
  <c r="J163" i="6"/>
  <c r="DY163" i="6" s="1"/>
  <c r="I163" i="6"/>
  <c r="DX163" i="6" s="1"/>
  <c r="H163" i="6"/>
  <c r="DW163" i="6" s="1"/>
  <c r="G163" i="6"/>
  <c r="DV163" i="6" s="1"/>
  <c r="DU162" i="6"/>
  <c r="DT162" i="6"/>
  <c r="DS162" i="6"/>
  <c r="DR162" i="6"/>
  <c r="DQ162" i="6"/>
  <c r="DP162" i="6"/>
  <c r="DO162" i="6"/>
  <c r="DN162" i="6"/>
  <c r="DM162" i="6"/>
  <c r="DL162" i="6"/>
  <c r="DK162" i="6"/>
  <c r="DI162" i="6"/>
  <c r="DH162" i="6"/>
  <c r="DG162" i="6"/>
  <c r="DF162" i="6"/>
  <c r="DE162" i="6"/>
  <c r="DD162" i="6"/>
  <c r="DC162" i="6"/>
  <c r="DB162" i="6"/>
  <c r="DA162" i="6"/>
  <c r="CZ162" i="6"/>
  <c r="CY162" i="6"/>
  <c r="CW162" i="6"/>
  <c r="CV162" i="6"/>
  <c r="CU162" i="6"/>
  <c r="CT162" i="6"/>
  <c r="CS162" i="6"/>
  <c r="CR162" i="6"/>
  <c r="CQ162" i="6"/>
  <c r="CP162" i="6"/>
  <c r="CO162" i="6"/>
  <c r="CN162" i="6"/>
  <c r="CM162" i="6"/>
  <c r="CK162" i="6"/>
  <c r="CJ162" i="6"/>
  <c r="CI162" i="6"/>
  <c r="CH162" i="6"/>
  <c r="CG162" i="6"/>
  <c r="CF162" i="6"/>
  <c r="CE162" i="6"/>
  <c r="CD162" i="6"/>
  <c r="CC162" i="6"/>
  <c r="CB162" i="6"/>
  <c r="CA162" i="6"/>
  <c r="BY162" i="6"/>
  <c r="BX162" i="6"/>
  <c r="BW162" i="6"/>
  <c r="BV162" i="6"/>
  <c r="BU162" i="6"/>
  <c r="BT162" i="6"/>
  <c r="BS162" i="6"/>
  <c r="BR162" i="6"/>
  <c r="BQ162" i="6"/>
  <c r="BP162" i="6"/>
  <c r="BO162" i="6"/>
  <c r="BM162" i="6"/>
  <c r="BL162" i="6"/>
  <c r="BK162" i="6"/>
  <c r="BJ162" i="6"/>
  <c r="BI162" i="6"/>
  <c r="BH162" i="6"/>
  <c r="BG162" i="6"/>
  <c r="BF162" i="6"/>
  <c r="BE162" i="6"/>
  <c r="BD162" i="6"/>
  <c r="BC162" i="6"/>
  <c r="BA162" i="6"/>
  <c r="AZ162" i="6"/>
  <c r="AY162" i="6"/>
  <c r="AX162" i="6"/>
  <c r="AW162" i="6"/>
  <c r="AV162" i="6"/>
  <c r="AU162" i="6"/>
  <c r="AT162" i="6"/>
  <c r="AS162" i="6"/>
  <c r="AR162" i="6"/>
  <c r="AQ162" i="6"/>
  <c r="AO162" i="6"/>
  <c r="AN162" i="6"/>
  <c r="AM162" i="6"/>
  <c r="AL162" i="6"/>
  <c r="AK162" i="6"/>
  <c r="AJ162" i="6"/>
  <c r="AI162" i="6"/>
  <c r="AH162" i="6"/>
  <c r="AG162" i="6"/>
  <c r="AF162" i="6"/>
  <c r="AE162" i="6"/>
  <c r="AC162" i="6"/>
  <c r="AB162" i="6"/>
  <c r="AA162" i="6"/>
  <c r="Z162" i="6"/>
  <c r="Y162" i="6"/>
  <c r="X162" i="6"/>
  <c r="W162" i="6"/>
  <c r="V162" i="6"/>
  <c r="U162" i="6"/>
  <c r="T162" i="6"/>
  <c r="S162" i="6"/>
  <c r="Q162" i="6"/>
  <c r="EF162" i="6" s="1"/>
  <c r="P162" i="6"/>
  <c r="EE162" i="6" s="1"/>
  <c r="O162" i="6"/>
  <c r="ED162" i="6" s="1"/>
  <c r="N162" i="6"/>
  <c r="EC162" i="6" s="1"/>
  <c r="M162" i="6"/>
  <c r="EB162" i="6" s="1"/>
  <c r="L162" i="6"/>
  <c r="EA162" i="6" s="1"/>
  <c r="K162" i="6"/>
  <c r="DZ162" i="6" s="1"/>
  <c r="J162" i="6"/>
  <c r="DY162" i="6" s="1"/>
  <c r="I162" i="6"/>
  <c r="DX162" i="6" s="1"/>
  <c r="H162" i="6"/>
  <c r="DW162" i="6" s="1"/>
  <c r="G162" i="6"/>
  <c r="DV162" i="6" s="1"/>
  <c r="DU161" i="6"/>
  <c r="DT161" i="6"/>
  <c r="DS161" i="6"/>
  <c r="DR161" i="6"/>
  <c r="DQ161" i="6"/>
  <c r="DP161" i="6"/>
  <c r="DO161" i="6"/>
  <c r="DN161" i="6"/>
  <c r="DM161" i="6"/>
  <c r="DL161" i="6"/>
  <c r="DK161" i="6"/>
  <c r="DI161" i="6"/>
  <c r="DH161" i="6"/>
  <c r="DG161" i="6"/>
  <c r="DF161" i="6"/>
  <c r="DE161" i="6"/>
  <c r="DD161" i="6"/>
  <c r="DC161" i="6"/>
  <c r="DB161" i="6"/>
  <c r="DA161" i="6"/>
  <c r="CZ161" i="6"/>
  <c r="CY161" i="6"/>
  <c r="CW161" i="6"/>
  <c r="CV161" i="6"/>
  <c r="CU161" i="6"/>
  <c r="CT161" i="6"/>
  <c r="CS161" i="6"/>
  <c r="CR161" i="6"/>
  <c r="CQ161" i="6"/>
  <c r="CP161" i="6"/>
  <c r="CO161" i="6"/>
  <c r="CN161" i="6"/>
  <c r="CM161" i="6"/>
  <c r="CK161" i="6"/>
  <c r="CJ161" i="6"/>
  <c r="CI161" i="6"/>
  <c r="CH161" i="6"/>
  <c r="CG161" i="6"/>
  <c r="CF161" i="6"/>
  <c r="CE161" i="6"/>
  <c r="CD161" i="6"/>
  <c r="CC161" i="6"/>
  <c r="CB161" i="6"/>
  <c r="CA161" i="6"/>
  <c r="BY161" i="6"/>
  <c r="BX161" i="6"/>
  <c r="BW161" i="6"/>
  <c r="BV161" i="6"/>
  <c r="BU161" i="6"/>
  <c r="BT161" i="6"/>
  <c r="BS161" i="6"/>
  <c r="BR161" i="6"/>
  <c r="BQ161" i="6"/>
  <c r="BP161" i="6"/>
  <c r="BO161" i="6"/>
  <c r="BM161" i="6"/>
  <c r="BL161" i="6"/>
  <c r="BK161" i="6"/>
  <c r="BJ161" i="6"/>
  <c r="BI161" i="6"/>
  <c r="BH161" i="6"/>
  <c r="BG161" i="6"/>
  <c r="BF161" i="6"/>
  <c r="BE161" i="6"/>
  <c r="BD161" i="6"/>
  <c r="BC161" i="6"/>
  <c r="BA161" i="6"/>
  <c r="AZ161" i="6"/>
  <c r="AY161" i="6"/>
  <c r="AX161" i="6"/>
  <c r="AW161" i="6"/>
  <c r="AV161" i="6"/>
  <c r="AU161" i="6"/>
  <c r="AT161" i="6"/>
  <c r="AS161" i="6"/>
  <c r="AR161" i="6"/>
  <c r="AQ161" i="6"/>
  <c r="AO161" i="6"/>
  <c r="AN161" i="6"/>
  <c r="AM161" i="6"/>
  <c r="AL161" i="6"/>
  <c r="AK161" i="6"/>
  <c r="AJ161" i="6"/>
  <c r="AI161" i="6"/>
  <c r="AH161" i="6"/>
  <c r="AG161" i="6"/>
  <c r="AF161" i="6"/>
  <c r="AE161" i="6"/>
  <c r="AC161" i="6"/>
  <c r="AB161" i="6"/>
  <c r="AA161" i="6"/>
  <c r="Z161" i="6"/>
  <c r="Y161" i="6"/>
  <c r="X161" i="6"/>
  <c r="W161" i="6"/>
  <c r="V161" i="6"/>
  <c r="U161" i="6"/>
  <c r="T161" i="6"/>
  <c r="S161" i="6"/>
  <c r="Q161" i="6"/>
  <c r="EF161" i="6" s="1"/>
  <c r="P161" i="6"/>
  <c r="EE161" i="6" s="1"/>
  <c r="O161" i="6"/>
  <c r="ED161" i="6" s="1"/>
  <c r="N161" i="6"/>
  <c r="EC161" i="6" s="1"/>
  <c r="M161" i="6"/>
  <c r="EB161" i="6" s="1"/>
  <c r="L161" i="6"/>
  <c r="EA161" i="6" s="1"/>
  <c r="K161" i="6"/>
  <c r="DZ161" i="6" s="1"/>
  <c r="J161" i="6"/>
  <c r="DY161" i="6" s="1"/>
  <c r="I161" i="6"/>
  <c r="DX161" i="6" s="1"/>
  <c r="H161" i="6"/>
  <c r="DW161" i="6" s="1"/>
  <c r="G161" i="6"/>
  <c r="DV161" i="6" s="1"/>
  <c r="DU160" i="6"/>
  <c r="DT160" i="6"/>
  <c r="DS160" i="6"/>
  <c r="DR160" i="6"/>
  <c r="DQ160" i="6"/>
  <c r="DP160" i="6"/>
  <c r="DO160" i="6"/>
  <c r="DN160" i="6"/>
  <c r="DM160" i="6"/>
  <c r="DL160" i="6"/>
  <c r="DK160" i="6"/>
  <c r="DI160" i="6"/>
  <c r="DH160" i="6"/>
  <c r="DG160" i="6"/>
  <c r="DF160" i="6"/>
  <c r="DE160" i="6"/>
  <c r="DD160" i="6"/>
  <c r="DC160" i="6"/>
  <c r="DB160" i="6"/>
  <c r="DA160" i="6"/>
  <c r="CZ160" i="6"/>
  <c r="CY160" i="6"/>
  <c r="CW160" i="6"/>
  <c r="CV160" i="6"/>
  <c r="CU160" i="6"/>
  <c r="CT160" i="6"/>
  <c r="CS160" i="6"/>
  <c r="CR160" i="6"/>
  <c r="CQ160" i="6"/>
  <c r="CP160" i="6"/>
  <c r="CO160" i="6"/>
  <c r="CN160" i="6"/>
  <c r="CM160" i="6"/>
  <c r="CK160" i="6"/>
  <c r="CJ160" i="6"/>
  <c r="CI160" i="6"/>
  <c r="CH160" i="6"/>
  <c r="CG160" i="6"/>
  <c r="CF160" i="6"/>
  <c r="CE160" i="6"/>
  <c r="CD160" i="6"/>
  <c r="CC160" i="6"/>
  <c r="CB160" i="6"/>
  <c r="CA160" i="6"/>
  <c r="BY160" i="6"/>
  <c r="BX160" i="6"/>
  <c r="BW160" i="6"/>
  <c r="BV160" i="6"/>
  <c r="BU160" i="6"/>
  <c r="BT160" i="6"/>
  <c r="BS160" i="6"/>
  <c r="BR160" i="6"/>
  <c r="BQ160" i="6"/>
  <c r="BP160" i="6"/>
  <c r="BO160" i="6"/>
  <c r="BM160" i="6"/>
  <c r="BL160" i="6"/>
  <c r="BK160" i="6"/>
  <c r="BJ160" i="6"/>
  <c r="BI160" i="6"/>
  <c r="BH160" i="6"/>
  <c r="BG160" i="6"/>
  <c r="BF160" i="6"/>
  <c r="BE160" i="6"/>
  <c r="BD160" i="6"/>
  <c r="BC160" i="6"/>
  <c r="BA160" i="6"/>
  <c r="AZ160" i="6"/>
  <c r="AY160" i="6"/>
  <c r="AX160" i="6"/>
  <c r="AW160" i="6"/>
  <c r="AV160" i="6"/>
  <c r="AU160" i="6"/>
  <c r="AT160" i="6"/>
  <c r="AS160" i="6"/>
  <c r="AR160" i="6"/>
  <c r="AQ160" i="6"/>
  <c r="AO160" i="6"/>
  <c r="AN160" i="6"/>
  <c r="AM160" i="6"/>
  <c r="AL160" i="6"/>
  <c r="AK160" i="6"/>
  <c r="AJ160" i="6"/>
  <c r="AI160" i="6"/>
  <c r="AH160" i="6"/>
  <c r="AG160" i="6"/>
  <c r="AF160" i="6"/>
  <c r="AE160" i="6"/>
  <c r="AC160" i="6"/>
  <c r="AB160" i="6"/>
  <c r="AA160" i="6"/>
  <c r="Z160" i="6"/>
  <c r="Y160" i="6"/>
  <c r="X160" i="6"/>
  <c r="W160" i="6"/>
  <c r="V160" i="6"/>
  <c r="U160" i="6"/>
  <c r="T160" i="6"/>
  <c r="S160" i="6"/>
  <c r="Q160" i="6"/>
  <c r="EF160" i="6" s="1"/>
  <c r="P160" i="6"/>
  <c r="EE160" i="6" s="1"/>
  <c r="O160" i="6"/>
  <c r="ED160" i="6" s="1"/>
  <c r="N160" i="6"/>
  <c r="EC160" i="6" s="1"/>
  <c r="M160" i="6"/>
  <c r="EB160" i="6" s="1"/>
  <c r="L160" i="6"/>
  <c r="EA160" i="6" s="1"/>
  <c r="K160" i="6"/>
  <c r="DZ160" i="6" s="1"/>
  <c r="J160" i="6"/>
  <c r="DY160" i="6" s="1"/>
  <c r="I160" i="6"/>
  <c r="DX160" i="6" s="1"/>
  <c r="H160" i="6"/>
  <c r="DW160" i="6" s="1"/>
  <c r="G160" i="6"/>
  <c r="DV160" i="6" s="1"/>
  <c r="DU159" i="6"/>
  <c r="DT159" i="6"/>
  <c r="DS159" i="6"/>
  <c r="DR159" i="6"/>
  <c r="DQ159" i="6"/>
  <c r="DP159" i="6"/>
  <c r="DO159" i="6"/>
  <c r="DN159" i="6"/>
  <c r="DM159" i="6"/>
  <c r="DL159" i="6"/>
  <c r="DK159" i="6"/>
  <c r="DI159" i="6"/>
  <c r="DH159" i="6"/>
  <c r="DG159" i="6"/>
  <c r="DF159" i="6"/>
  <c r="DE159" i="6"/>
  <c r="DD159" i="6"/>
  <c r="DC159" i="6"/>
  <c r="DB159" i="6"/>
  <c r="DA159" i="6"/>
  <c r="CZ159" i="6"/>
  <c r="CY159" i="6"/>
  <c r="CW159" i="6"/>
  <c r="CV159" i="6"/>
  <c r="CU159" i="6"/>
  <c r="CT159" i="6"/>
  <c r="CS159" i="6"/>
  <c r="CR159" i="6"/>
  <c r="CQ159" i="6"/>
  <c r="CP159" i="6"/>
  <c r="CO159" i="6"/>
  <c r="CN159" i="6"/>
  <c r="CM159" i="6"/>
  <c r="CK159" i="6"/>
  <c r="CJ159" i="6"/>
  <c r="CI159" i="6"/>
  <c r="CH159" i="6"/>
  <c r="CG159" i="6"/>
  <c r="CF159" i="6"/>
  <c r="CE159" i="6"/>
  <c r="CD159" i="6"/>
  <c r="CC159" i="6"/>
  <c r="CB159" i="6"/>
  <c r="CA159" i="6"/>
  <c r="BY159" i="6"/>
  <c r="BX159" i="6"/>
  <c r="BW159" i="6"/>
  <c r="BV159" i="6"/>
  <c r="BU159" i="6"/>
  <c r="BT159" i="6"/>
  <c r="BS159" i="6"/>
  <c r="BR159" i="6"/>
  <c r="BQ159" i="6"/>
  <c r="BP159" i="6"/>
  <c r="BO159" i="6"/>
  <c r="BM159" i="6"/>
  <c r="BL159" i="6"/>
  <c r="BK159" i="6"/>
  <c r="BJ159" i="6"/>
  <c r="BI159" i="6"/>
  <c r="BH159" i="6"/>
  <c r="BG159" i="6"/>
  <c r="BF159" i="6"/>
  <c r="BE159" i="6"/>
  <c r="BD159" i="6"/>
  <c r="BC159" i="6"/>
  <c r="BA159" i="6"/>
  <c r="AZ159" i="6"/>
  <c r="AY159" i="6"/>
  <c r="AX159" i="6"/>
  <c r="AW159" i="6"/>
  <c r="AV159" i="6"/>
  <c r="AU159" i="6"/>
  <c r="AT159" i="6"/>
  <c r="AS159" i="6"/>
  <c r="AR159" i="6"/>
  <c r="AQ159" i="6"/>
  <c r="AO159" i="6"/>
  <c r="AN159" i="6"/>
  <c r="AM159" i="6"/>
  <c r="AL159" i="6"/>
  <c r="AK159" i="6"/>
  <c r="AJ159" i="6"/>
  <c r="AI159" i="6"/>
  <c r="AH159" i="6"/>
  <c r="AG159" i="6"/>
  <c r="AF159" i="6"/>
  <c r="AE159" i="6"/>
  <c r="AC159" i="6"/>
  <c r="AB159" i="6"/>
  <c r="AA159" i="6"/>
  <c r="Z159" i="6"/>
  <c r="Y159" i="6"/>
  <c r="X159" i="6"/>
  <c r="W159" i="6"/>
  <c r="V159" i="6"/>
  <c r="U159" i="6"/>
  <c r="T159" i="6"/>
  <c r="S159" i="6"/>
  <c r="Q159" i="6"/>
  <c r="EF159" i="6" s="1"/>
  <c r="P159" i="6"/>
  <c r="EE159" i="6" s="1"/>
  <c r="O159" i="6"/>
  <c r="ED159" i="6" s="1"/>
  <c r="N159" i="6"/>
  <c r="EC159" i="6" s="1"/>
  <c r="M159" i="6"/>
  <c r="EB159" i="6" s="1"/>
  <c r="L159" i="6"/>
  <c r="EA159" i="6" s="1"/>
  <c r="K159" i="6"/>
  <c r="DZ159" i="6" s="1"/>
  <c r="J159" i="6"/>
  <c r="DY159" i="6" s="1"/>
  <c r="I159" i="6"/>
  <c r="DX159" i="6" s="1"/>
  <c r="H159" i="6"/>
  <c r="DW159" i="6" s="1"/>
  <c r="G159" i="6"/>
  <c r="DV159" i="6" s="1"/>
  <c r="DU158" i="6"/>
  <c r="DT158" i="6"/>
  <c r="DS158" i="6"/>
  <c r="DR158" i="6"/>
  <c r="DQ158" i="6"/>
  <c r="DP158" i="6"/>
  <c r="DO158" i="6"/>
  <c r="DN158" i="6"/>
  <c r="DM158" i="6"/>
  <c r="DL158" i="6"/>
  <c r="DK158" i="6"/>
  <c r="DI158" i="6"/>
  <c r="DH158" i="6"/>
  <c r="DG158" i="6"/>
  <c r="DF158" i="6"/>
  <c r="DE158" i="6"/>
  <c r="DD158" i="6"/>
  <c r="DC158" i="6"/>
  <c r="DB158" i="6"/>
  <c r="DA158" i="6"/>
  <c r="CZ158" i="6"/>
  <c r="CY158" i="6"/>
  <c r="CW158" i="6"/>
  <c r="CV158" i="6"/>
  <c r="CU158" i="6"/>
  <c r="CT158" i="6"/>
  <c r="CS158" i="6"/>
  <c r="CR158" i="6"/>
  <c r="CQ158" i="6"/>
  <c r="CP158" i="6"/>
  <c r="CO158" i="6"/>
  <c r="CN158" i="6"/>
  <c r="CM158" i="6"/>
  <c r="CK158" i="6"/>
  <c r="CJ158" i="6"/>
  <c r="CI158" i="6"/>
  <c r="CH158" i="6"/>
  <c r="CG158" i="6"/>
  <c r="CF158" i="6"/>
  <c r="CE158" i="6"/>
  <c r="CD158" i="6"/>
  <c r="CC158" i="6"/>
  <c r="CB158" i="6"/>
  <c r="CA158" i="6"/>
  <c r="BY158" i="6"/>
  <c r="BX158" i="6"/>
  <c r="BW158" i="6"/>
  <c r="BV158" i="6"/>
  <c r="BU158" i="6"/>
  <c r="BT158" i="6"/>
  <c r="BS158" i="6"/>
  <c r="BR158" i="6"/>
  <c r="BQ158" i="6"/>
  <c r="BP158" i="6"/>
  <c r="BO158" i="6"/>
  <c r="BM158" i="6"/>
  <c r="BL158" i="6"/>
  <c r="BK158" i="6"/>
  <c r="BJ158" i="6"/>
  <c r="BI158" i="6"/>
  <c r="BH158" i="6"/>
  <c r="BG158" i="6"/>
  <c r="BF158" i="6"/>
  <c r="BE158" i="6"/>
  <c r="BD158" i="6"/>
  <c r="BC158" i="6"/>
  <c r="BA158" i="6"/>
  <c r="AZ158" i="6"/>
  <c r="AY158" i="6"/>
  <c r="AX158" i="6"/>
  <c r="AW158" i="6"/>
  <c r="AV158" i="6"/>
  <c r="AU158" i="6"/>
  <c r="AT158" i="6"/>
  <c r="AS158" i="6"/>
  <c r="AR158" i="6"/>
  <c r="AQ158" i="6"/>
  <c r="AO158" i="6"/>
  <c r="AN158" i="6"/>
  <c r="AM158" i="6"/>
  <c r="AL158" i="6"/>
  <c r="AK158" i="6"/>
  <c r="AJ158" i="6"/>
  <c r="AI158" i="6"/>
  <c r="AH158" i="6"/>
  <c r="AG158" i="6"/>
  <c r="AF158" i="6"/>
  <c r="AE158" i="6"/>
  <c r="AC158" i="6"/>
  <c r="AB158" i="6"/>
  <c r="AA158" i="6"/>
  <c r="Z158" i="6"/>
  <c r="Y158" i="6"/>
  <c r="X158" i="6"/>
  <c r="W158" i="6"/>
  <c r="V158" i="6"/>
  <c r="U158" i="6"/>
  <c r="T158" i="6"/>
  <c r="S158" i="6"/>
  <c r="Q158" i="6"/>
  <c r="EF158" i="6" s="1"/>
  <c r="P158" i="6"/>
  <c r="EE158" i="6" s="1"/>
  <c r="O158" i="6"/>
  <c r="ED158" i="6" s="1"/>
  <c r="N158" i="6"/>
  <c r="EC158" i="6" s="1"/>
  <c r="M158" i="6"/>
  <c r="EB158" i="6" s="1"/>
  <c r="L158" i="6"/>
  <c r="EA158" i="6" s="1"/>
  <c r="K158" i="6"/>
  <c r="DZ158" i="6" s="1"/>
  <c r="J158" i="6"/>
  <c r="DY158" i="6" s="1"/>
  <c r="I158" i="6"/>
  <c r="DX158" i="6" s="1"/>
  <c r="H158" i="6"/>
  <c r="DW158" i="6" s="1"/>
  <c r="G158" i="6"/>
  <c r="DV158" i="6" s="1"/>
  <c r="DU157" i="6"/>
  <c r="DT157" i="6"/>
  <c r="DS157" i="6"/>
  <c r="DR157" i="6"/>
  <c r="DQ157" i="6"/>
  <c r="DP157" i="6"/>
  <c r="DO157" i="6"/>
  <c r="DN157" i="6"/>
  <c r="DM157" i="6"/>
  <c r="DL157" i="6"/>
  <c r="DK157" i="6"/>
  <c r="DI157" i="6"/>
  <c r="DH157" i="6"/>
  <c r="DG157" i="6"/>
  <c r="DF157" i="6"/>
  <c r="DE157" i="6"/>
  <c r="DD157" i="6"/>
  <c r="DC157" i="6"/>
  <c r="DB157" i="6"/>
  <c r="DA157" i="6"/>
  <c r="CZ157" i="6"/>
  <c r="CY157" i="6"/>
  <c r="CW157" i="6"/>
  <c r="CV157" i="6"/>
  <c r="CU157" i="6"/>
  <c r="CT157" i="6"/>
  <c r="CS157" i="6"/>
  <c r="CR157" i="6"/>
  <c r="CQ157" i="6"/>
  <c r="CP157" i="6"/>
  <c r="CO157" i="6"/>
  <c r="CN157" i="6"/>
  <c r="CM157" i="6"/>
  <c r="CK157" i="6"/>
  <c r="CJ157" i="6"/>
  <c r="CI157" i="6"/>
  <c r="CH157" i="6"/>
  <c r="CG157" i="6"/>
  <c r="CF157" i="6"/>
  <c r="CE157" i="6"/>
  <c r="CD157" i="6"/>
  <c r="CC157" i="6"/>
  <c r="CB157" i="6"/>
  <c r="CA157" i="6"/>
  <c r="BY157" i="6"/>
  <c r="BX157" i="6"/>
  <c r="BW157" i="6"/>
  <c r="BV157" i="6"/>
  <c r="BU157" i="6"/>
  <c r="BT157" i="6"/>
  <c r="BS157" i="6"/>
  <c r="BR157" i="6"/>
  <c r="BQ157" i="6"/>
  <c r="BP157" i="6"/>
  <c r="BO157" i="6"/>
  <c r="BM157" i="6"/>
  <c r="BL157" i="6"/>
  <c r="BK157" i="6"/>
  <c r="BJ157" i="6"/>
  <c r="BI157" i="6"/>
  <c r="BH157" i="6"/>
  <c r="BG157" i="6"/>
  <c r="BF157" i="6"/>
  <c r="BE157" i="6"/>
  <c r="BD157" i="6"/>
  <c r="BC157" i="6"/>
  <c r="BA157" i="6"/>
  <c r="AZ157" i="6"/>
  <c r="AY157" i="6"/>
  <c r="AX157" i="6"/>
  <c r="AW157" i="6"/>
  <c r="AV157" i="6"/>
  <c r="AU157" i="6"/>
  <c r="AT157" i="6"/>
  <c r="AS157" i="6"/>
  <c r="AR157" i="6"/>
  <c r="AQ157" i="6"/>
  <c r="AO157" i="6"/>
  <c r="AN157" i="6"/>
  <c r="AM157" i="6"/>
  <c r="AL157" i="6"/>
  <c r="AK157" i="6"/>
  <c r="AJ157" i="6"/>
  <c r="AI157" i="6"/>
  <c r="AH157" i="6"/>
  <c r="AG157" i="6"/>
  <c r="AF157" i="6"/>
  <c r="AE157" i="6"/>
  <c r="AC157" i="6"/>
  <c r="AB157" i="6"/>
  <c r="AA157" i="6"/>
  <c r="Z157" i="6"/>
  <c r="Y157" i="6"/>
  <c r="X157" i="6"/>
  <c r="W157" i="6"/>
  <c r="V157" i="6"/>
  <c r="U157" i="6"/>
  <c r="T157" i="6"/>
  <c r="S157" i="6"/>
  <c r="Q157" i="6"/>
  <c r="EF157" i="6" s="1"/>
  <c r="P157" i="6"/>
  <c r="EE157" i="6" s="1"/>
  <c r="O157" i="6"/>
  <c r="ED157" i="6" s="1"/>
  <c r="N157" i="6"/>
  <c r="EC157" i="6" s="1"/>
  <c r="M157" i="6"/>
  <c r="EB157" i="6" s="1"/>
  <c r="L157" i="6"/>
  <c r="EA157" i="6" s="1"/>
  <c r="K157" i="6"/>
  <c r="DZ157" i="6" s="1"/>
  <c r="J157" i="6"/>
  <c r="DY157" i="6" s="1"/>
  <c r="I157" i="6"/>
  <c r="DX157" i="6" s="1"/>
  <c r="H157" i="6"/>
  <c r="DW157" i="6" s="1"/>
  <c r="G157" i="6"/>
  <c r="DV157" i="6" s="1"/>
  <c r="DU156" i="6"/>
  <c r="DT156" i="6"/>
  <c r="DS156" i="6"/>
  <c r="DR156" i="6"/>
  <c r="DQ156" i="6"/>
  <c r="DP156" i="6"/>
  <c r="DO156" i="6"/>
  <c r="DN156" i="6"/>
  <c r="DM156" i="6"/>
  <c r="DL156" i="6"/>
  <c r="DK156" i="6"/>
  <c r="DI156" i="6"/>
  <c r="DH156" i="6"/>
  <c r="DG156" i="6"/>
  <c r="DF156" i="6"/>
  <c r="DE156" i="6"/>
  <c r="DD156" i="6"/>
  <c r="DC156" i="6"/>
  <c r="DB156" i="6"/>
  <c r="DA156" i="6"/>
  <c r="CZ156" i="6"/>
  <c r="CY156" i="6"/>
  <c r="CW156" i="6"/>
  <c r="CV156" i="6"/>
  <c r="CU156" i="6"/>
  <c r="CT156" i="6"/>
  <c r="CS156" i="6"/>
  <c r="CR156" i="6"/>
  <c r="CQ156" i="6"/>
  <c r="CP156" i="6"/>
  <c r="CO156" i="6"/>
  <c r="CN156" i="6"/>
  <c r="CM156" i="6"/>
  <c r="CK156" i="6"/>
  <c r="CJ156" i="6"/>
  <c r="CI156" i="6"/>
  <c r="CH156" i="6"/>
  <c r="CG156" i="6"/>
  <c r="CF156" i="6"/>
  <c r="CE156" i="6"/>
  <c r="CD156" i="6"/>
  <c r="CC156" i="6"/>
  <c r="CB156" i="6"/>
  <c r="CA156" i="6"/>
  <c r="BY156" i="6"/>
  <c r="BX156" i="6"/>
  <c r="BW156" i="6"/>
  <c r="BV156" i="6"/>
  <c r="BU156" i="6"/>
  <c r="BT156" i="6"/>
  <c r="BS156" i="6"/>
  <c r="BR156" i="6"/>
  <c r="BQ156" i="6"/>
  <c r="BP156" i="6"/>
  <c r="BO156" i="6"/>
  <c r="BM156" i="6"/>
  <c r="BL156" i="6"/>
  <c r="BK156" i="6"/>
  <c r="BJ156" i="6"/>
  <c r="BI156" i="6"/>
  <c r="BH156" i="6"/>
  <c r="BG156" i="6"/>
  <c r="BF156" i="6"/>
  <c r="BE156" i="6"/>
  <c r="BD156" i="6"/>
  <c r="BC156" i="6"/>
  <c r="BA156" i="6"/>
  <c r="AZ156" i="6"/>
  <c r="AY156" i="6"/>
  <c r="AX156" i="6"/>
  <c r="AW156" i="6"/>
  <c r="AV156" i="6"/>
  <c r="AU156" i="6"/>
  <c r="AT156" i="6"/>
  <c r="AS156" i="6"/>
  <c r="AR156" i="6"/>
  <c r="AQ156" i="6"/>
  <c r="AO156" i="6"/>
  <c r="AN156" i="6"/>
  <c r="AM156" i="6"/>
  <c r="AL156" i="6"/>
  <c r="AK156" i="6"/>
  <c r="AJ156" i="6"/>
  <c r="AI156" i="6"/>
  <c r="AH156" i="6"/>
  <c r="AG156" i="6"/>
  <c r="AF156" i="6"/>
  <c r="AE156" i="6"/>
  <c r="AC156" i="6"/>
  <c r="AB156" i="6"/>
  <c r="AA156" i="6"/>
  <c r="Z156" i="6"/>
  <c r="Y156" i="6"/>
  <c r="X156" i="6"/>
  <c r="W156" i="6"/>
  <c r="V156" i="6"/>
  <c r="U156" i="6"/>
  <c r="T156" i="6"/>
  <c r="S156" i="6"/>
  <c r="Q156" i="6"/>
  <c r="EF156" i="6" s="1"/>
  <c r="P156" i="6"/>
  <c r="EE156" i="6" s="1"/>
  <c r="O156" i="6"/>
  <c r="ED156" i="6" s="1"/>
  <c r="N156" i="6"/>
  <c r="EC156" i="6" s="1"/>
  <c r="M156" i="6"/>
  <c r="EB156" i="6" s="1"/>
  <c r="L156" i="6"/>
  <c r="EA156" i="6" s="1"/>
  <c r="K156" i="6"/>
  <c r="DZ156" i="6" s="1"/>
  <c r="J156" i="6"/>
  <c r="DY156" i="6" s="1"/>
  <c r="I156" i="6"/>
  <c r="DX156" i="6" s="1"/>
  <c r="H156" i="6"/>
  <c r="DW156" i="6" s="1"/>
  <c r="G156" i="6"/>
  <c r="DV156" i="6" s="1"/>
  <c r="DU155" i="6"/>
  <c r="DT155" i="6"/>
  <c r="DS155" i="6"/>
  <c r="DR155" i="6"/>
  <c r="DQ155" i="6"/>
  <c r="DP155" i="6"/>
  <c r="DO155" i="6"/>
  <c r="DN155" i="6"/>
  <c r="DM155" i="6"/>
  <c r="DL155" i="6"/>
  <c r="DK155" i="6"/>
  <c r="DI155" i="6"/>
  <c r="DH155" i="6"/>
  <c r="DG155" i="6"/>
  <c r="DF155" i="6"/>
  <c r="DE155" i="6"/>
  <c r="DD155" i="6"/>
  <c r="DC155" i="6"/>
  <c r="DB155" i="6"/>
  <c r="DA155" i="6"/>
  <c r="CZ155" i="6"/>
  <c r="CY155" i="6"/>
  <c r="CW155" i="6"/>
  <c r="CV155" i="6"/>
  <c r="CU155" i="6"/>
  <c r="CT155" i="6"/>
  <c r="CS155" i="6"/>
  <c r="CR155" i="6"/>
  <c r="CQ155" i="6"/>
  <c r="CP155" i="6"/>
  <c r="CO155" i="6"/>
  <c r="CN155" i="6"/>
  <c r="CM155" i="6"/>
  <c r="CK155" i="6"/>
  <c r="CJ155" i="6"/>
  <c r="CI155" i="6"/>
  <c r="CH155" i="6"/>
  <c r="CG155" i="6"/>
  <c r="CF155" i="6"/>
  <c r="CE155" i="6"/>
  <c r="CD155" i="6"/>
  <c r="CC155" i="6"/>
  <c r="CB155" i="6"/>
  <c r="CA155" i="6"/>
  <c r="BY155" i="6"/>
  <c r="BX155" i="6"/>
  <c r="BW155" i="6"/>
  <c r="BV155" i="6"/>
  <c r="BU155" i="6"/>
  <c r="BT155" i="6"/>
  <c r="BS155" i="6"/>
  <c r="BR155" i="6"/>
  <c r="BQ155" i="6"/>
  <c r="BP155" i="6"/>
  <c r="BO155" i="6"/>
  <c r="BM155" i="6"/>
  <c r="BL155" i="6"/>
  <c r="BK155" i="6"/>
  <c r="BJ155" i="6"/>
  <c r="BI155" i="6"/>
  <c r="BH155" i="6"/>
  <c r="BG155" i="6"/>
  <c r="BF155" i="6"/>
  <c r="BE155" i="6"/>
  <c r="BD155" i="6"/>
  <c r="BC155" i="6"/>
  <c r="BA155" i="6"/>
  <c r="AZ155" i="6"/>
  <c r="AY155" i="6"/>
  <c r="AX155" i="6"/>
  <c r="AW155" i="6"/>
  <c r="AV155" i="6"/>
  <c r="AU155" i="6"/>
  <c r="AT155" i="6"/>
  <c r="AS155" i="6"/>
  <c r="AR155" i="6"/>
  <c r="AQ155" i="6"/>
  <c r="AO155" i="6"/>
  <c r="AN155" i="6"/>
  <c r="AM155" i="6"/>
  <c r="AL155" i="6"/>
  <c r="AK155" i="6"/>
  <c r="AJ155" i="6"/>
  <c r="AI155" i="6"/>
  <c r="AH155" i="6"/>
  <c r="AG155" i="6"/>
  <c r="AF155" i="6"/>
  <c r="AE155" i="6"/>
  <c r="AC155" i="6"/>
  <c r="AB155" i="6"/>
  <c r="AA155" i="6"/>
  <c r="Z155" i="6"/>
  <c r="Y155" i="6"/>
  <c r="X155" i="6"/>
  <c r="W155" i="6"/>
  <c r="V155" i="6"/>
  <c r="U155" i="6"/>
  <c r="T155" i="6"/>
  <c r="S155" i="6"/>
  <c r="Q155" i="6"/>
  <c r="EF155" i="6" s="1"/>
  <c r="P155" i="6"/>
  <c r="EE155" i="6" s="1"/>
  <c r="O155" i="6"/>
  <c r="ED155" i="6" s="1"/>
  <c r="N155" i="6"/>
  <c r="EC155" i="6" s="1"/>
  <c r="M155" i="6"/>
  <c r="EB155" i="6" s="1"/>
  <c r="L155" i="6"/>
  <c r="EA155" i="6" s="1"/>
  <c r="K155" i="6"/>
  <c r="DZ155" i="6" s="1"/>
  <c r="J155" i="6"/>
  <c r="DY155" i="6" s="1"/>
  <c r="I155" i="6"/>
  <c r="DX155" i="6" s="1"/>
  <c r="H155" i="6"/>
  <c r="DW155" i="6" s="1"/>
  <c r="G155" i="6"/>
  <c r="DV155" i="6" s="1"/>
  <c r="DU154" i="6"/>
  <c r="DT154" i="6"/>
  <c r="DS154" i="6"/>
  <c r="DR154" i="6"/>
  <c r="DQ154" i="6"/>
  <c r="DP154" i="6"/>
  <c r="DO154" i="6"/>
  <c r="DN154" i="6"/>
  <c r="DM154" i="6"/>
  <c r="DL154" i="6"/>
  <c r="DK154" i="6"/>
  <c r="DI154" i="6"/>
  <c r="DH154" i="6"/>
  <c r="DG154" i="6"/>
  <c r="DF154" i="6"/>
  <c r="DE154" i="6"/>
  <c r="DD154" i="6"/>
  <c r="DC154" i="6"/>
  <c r="DB154" i="6"/>
  <c r="DA154" i="6"/>
  <c r="CZ154" i="6"/>
  <c r="CY154" i="6"/>
  <c r="CW154" i="6"/>
  <c r="CV154" i="6"/>
  <c r="CU154" i="6"/>
  <c r="CT154" i="6"/>
  <c r="CS154" i="6"/>
  <c r="CR154" i="6"/>
  <c r="CQ154" i="6"/>
  <c r="CP154" i="6"/>
  <c r="CO154" i="6"/>
  <c r="CN154" i="6"/>
  <c r="CM154" i="6"/>
  <c r="CK154" i="6"/>
  <c r="CJ154" i="6"/>
  <c r="CI154" i="6"/>
  <c r="CH154" i="6"/>
  <c r="CG154" i="6"/>
  <c r="CF154" i="6"/>
  <c r="CE154" i="6"/>
  <c r="CD154" i="6"/>
  <c r="CC154" i="6"/>
  <c r="CB154" i="6"/>
  <c r="CA154" i="6"/>
  <c r="BY154" i="6"/>
  <c r="BX154" i="6"/>
  <c r="BW154" i="6"/>
  <c r="BV154" i="6"/>
  <c r="BU154" i="6"/>
  <c r="BT154" i="6"/>
  <c r="BS154" i="6"/>
  <c r="BR154" i="6"/>
  <c r="BQ154" i="6"/>
  <c r="BP154" i="6"/>
  <c r="BO154" i="6"/>
  <c r="BM154" i="6"/>
  <c r="BL154" i="6"/>
  <c r="BK154" i="6"/>
  <c r="BJ154" i="6"/>
  <c r="BI154" i="6"/>
  <c r="BH154" i="6"/>
  <c r="BG154" i="6"/>
  <c r="BF154" i="6"/>
  <c r="BE154" i="6"/>
  <c r="BD154" i="6"/>
  <c r="BC154" i="6"/>
  <c r="BA154" i="6"/>
  <c r="AZ154" i="6"/>
  <c r="AY154" i="6"/>
  <c r="AX154" i="6"/>
  <c r="AW154" i="6"/>
  <c r="AV154" i="6"/>
  <c r="AU154" i="6"/>
  <c r="AT154" i="6"/>
  <c r="AS154" i="6"/>
  <c r="AR154" i="6"/>
  <c r="AQ154" i="6"/>
  <c r="AO154" i="6"/>
  <c r="AN154" i="6"/>
  <c r="AM154" i="6"/>
  <c r="AL154" i="6"/>
  <c r="AK154" i="6"/>
  <c r="AJ154" i="6"/>
  <c r="AI154" i="6"/>
  <c r="AH154" i="6"/>
  <c r="AG154" i="6"/>
  <c r="AF154" i="6"/>
  <c r="AE154" i="6"/>
  <c r="AC154" i="6"/>
  <c r="AB154" i="6"/>
  <c r="AA154" i="6"/>
  <c r="Z154" i="6"/>
  <c r="Y154" i="6"/>
  <c r="X154" i="6"/>
  <c r="W154" i="6"/>
  <c r="V154" i="6"/>
  <c r="U154" i="6"/>
  <c r="T154" i="6"/>
  <c r="S154" i="6"/>
  <c r="Q154" i="6"/>
  <c r="EF154" i="6" s="1"/>
  <c r="P154" i="6"/>
  <c r="EE154" i="6" s="1"/>
  <c r="O154" i="6"/>
  <c r="ED154" i="6" s="1"/>
  <c r="N154" i="6"/>
  <c r="EC154" i="6" s="1"/>
  <c r="M154" i="6"/>
  <c r="EB154" i="6" s="1"/>
  <c r="L154" i="6"/>
  <c r="EA154" i="6" s="1"/>
  <c r="K154" i="6"/>
  <c r="DZ154" i="6" s="1"/>
  <c r="J154" i="6"/>
  <c r="DY154" i="6" s="1"/>
  <c r="I154" i="6"/>
  <c r="DX154" i="6" s="1"/>
  <c r="H154" i="6"/>
  <c r="DW154" i="6" s="1"/>
  <c r="G154" i="6"/>
  <c r="DV154" i="6" s="1"/>
  <c r="DU153" i="6"/>
  <c r="DT153" i="6"/>
  <c r="DS153" i="6"/>
  <c r="DR153" i="6"/>
  <c r="DQ153" i="6"/>
  <c r="DP153" i="6"/>
  <c r="DO153" i="6"/>
  <c r="DN153" i="6"/>
  <c r="DM153" i="6"/>
  <c r="DL153" i="6"/>
  <c r="DK153" i="6"/>
  <c r="DI153" i="6"/>
  <c r="DH153" i="6"/>
  <c r="DG153" i="6"/>
  <c r="DF153" i="6"/>
  <c r="DE153" i="6"/>
  <c r="DD153" i="6"/>
  <c r="DC153" i="6"/>
  <c r="DB153" i="6"/>
  <c r="DA153" i="6"/>
  <c r="CZ153" i="6"/>
  <c r="CY153" i="6"/>
  <c r="CW153" i="6"/>
  <c r="CV153" i="6"/>
  <c r="CU153" i="6"/>
  <c r="CT153" i="6"/>
  <c r="CS153" i="6"/>
  <c r="CR153" i="6"/>
  <c r="CQ153" i="6"/>
  <c r="CP153" i="6"/>
  <c r="CO153" i="6"/>
  <c r="CN153" i="6"/>
  <c r="CM153" i="6"/>
  <c r="CK153" i="6"/>
  <c r="CJ153" i="6"/>
  <c r="CI153" i="6"/>
  <c r="CH153" i="6"/>
  <c r="CG153" i="6"/>
  <c r="CF153" i="6"/>
  <c r="CE153" i="6"/>
  <c r="CD153" i="6"/>
  <c r="CC153" i="6"/>
  <c r="CB153" i="6"/>
  <c r="CA153" i="6"/>
  <c r="BY153" i="6"/>
  <c r="BX153" i="6"/>
  <c r="BW153" i="6"/>
  <c r="BV153" i="6"/>
  <c r="BU153" i="6"/>
  <c r="BT153" i="6"/>
  <c r="BS153" i="6"/>
  <c r="BR153" i="6"/>
  <c r="BQ153" i="6"/>
  <c r="BP153" i="6"/>
  <c r="BO153" i="6"/>
  <c r="BM153" i="6"/>
  <c r="BL153" i="6"/>
  <c r="BK153" i="6"/>
  <c r="BJ153" i="6"/>
  <c r="BI153" i="6"/>
  <c r="BH153" i="6"/>
  <c r="BG153" i="6"/>
  <c r="BF153" i="6"/>
  <c r="BE153" i="6"/>
  <c r="BD153" i="6"/>
  <c r="BC153" i="6"/>
  <c r="BA153" i="6"/>
  <c r="AZ153" i="6"/>
  <c r="AY153" i="6"/>
  <c r="AX153" i="6"/>
  <c r="AW153" i="6"/>
  <c r="AV153" i="6"/>
  <c r="AU153" i="6"/>
  <c r="AT153" i="6"/>
  <c r="AS153" i="6"/>
  <c r="AR153" i="6"/>
  <c r="AQ153" i="6"/>
  <c r="AO153" i="6"/>
  <c r="AN153" i="6"/>
  <c r="AM153" i="6"/>
  <c r="AL153" i="6"/>
  <c r="AK153" i="6"/>
  <c r="AJ153" i="6"/>
  <c r="AI153" i="6"/>
  <c r="AH153" i="6"/>
  <c r="AG153" i="6"/>
  <c r="AF153" i="6"/>
  <c r="AE153" i="6"/>
  <c r="AC153" i="6"/>
  <c r="AB153" i="6"/>
  <c r="AA153" i="6"/>
  <c r="Z153" i="6"/>
  <c r="Y153" i="6"/>
  <c r="X153" i="6"/>
  <c r="W153" i="6"/>
  <c r="V153" i="6"/>
  <c r="U153" i="6"/>
  <c r="T153" i="6"/>
  <c r="S153" i="6"/>
  <c r="Q153" i="6"/>
  <c r="EF153" i="6" s="1"/>
  <c r="P153" i="6"/>
  <c r="EE153" i="6" s="1"/>
  <c r="O153" i="6"/>
  <c r="ED153" i="6" s="1"/>
  <c r="N153" i="6"/>
  <c r="EC153" i="6" s="1"/>
  <c r="M153" i="6"/>
  <c r="EB153" i="6" s="1"/>
  <c r="L153" i="6"/>
  <c r="EA153" i="6" s="1"/>
  <c r="K153" i="6"/>
  <c r="DZ153" i="6" s="1"/>
  <c r="J153" i="6"/>
  <c r="DY153" i="6" s="1"/>
  <c r="I153" i="6"/>
  <c r="DX153" i="6" s="1"/>
  <c r="H153" i="6"/>
  <c r="DW153" i="6" s="1"/>
  <c r="G153" i="6"/>
  <c r="DV153" i="6" s="1"/>
  <c r="DU152" i="6"/>
  <c r="DT152" i="6"/>
  <c r="DS152" i="6"/>
  <c r="DR152" i="6"/>
  <c r="DQ152" i="6"/>
  <c r="DP152" i="6"/>
  <c r="DO152" i="6"/>
  <c r="DN152" i="6"/>
  <c r="DM152" i="6"/>
  <c r="DL152" i="6"/>
  <c r="DK152" i="6"/>
  <c r="DI152" i="6"/>
  <c r="DH152" i="6"/>
  <c r="DG152" i="6"/>
  <c r="DF152" i="6"/>
  <c r="DE152" i="6"/>
  <c r="DD152" i="6"/>
  <c r="DC152" i="6"/>
  <c r="DB152" i="6"/>
  <c r="DA152" i="6"/>
  <c r="CZ152" i="6"/>
  <c r="CY152" i="6"/>
  <c r="CW152" i="6"/>
  <c r="CV152" i="6"/>
  <c r="CU152" i="6"/>
  <c r="CT152" i="6"/>
  <c r="CS152" i="6"/>
  <c r="CR152" i="6"/>
  <c r="CQ152" i="6"/>
  <c r="CP152" i="6"/>
  <c r="CO152" i="6"/>
  <c r="CN152" i="6"/>
  <c r="CM152" i="6"/>
  <c r="CK152" i="6"/>
  <c r="CJ152" i="6"/>
  <c r="CI152" i="6"/>
  <c r="CH152" i="6"/>
  <c r="CG152" i="6"/>
  <c r="CF152" i="6"/>
  <c r="CE152" i="6"/>
  <c r="CD152" i="6"/>
  <c r="CC152" i="6"/>
  <c r="CB152" i="6"/>
  <c r="CA152" i="6"/>
  <c r="BY152" i="6"/>
  <c r="BX152" i="6"/>
  <c r="BW152" i="6"/>
  <c r="BV152" i="6"/>
  <c r="BU152" i="6"/>
  <c r="BT152" i="6"/>
  <c r="BS152" i="6"/>
  <c r="BR152" i="6"/>
  <c r="BQ152" i="6"/>
  <c r="BP152" i="6"/>
  <c r="BO152" i="6"/>
  <c r="BM152" i="6"/>
  <c r="BL152" i="6"/>
  <c r="BK152" i="6"/>
  <c r="BJ152" i="6"/>
  <c r="BI152" i="6"/>
  <c r="BH152" i="6"/>
  <c r="BG152" i="6"/>
  <c r="BF152" i="6"/>
  <c r="BE152" i="6"/>
  <c r="BD152" i="6"/>
  <c r="BC152" i="6"/>
  <c r="BA152" i="6"/>
  <c r="AZ152" i="6"/>
  <c r="AY152" i="6"/>
  <c r="AX152" i="6"/>
  <c r="AW152" i="6"/>
  <c r="AV152" i="6"/>
  <c r="AU152" i="6"/>
  <c r="AT152" i="6"/>
  <c r="AS152" i="6"/>
  <c r="AR152" i="6"/>
  <c r="AQ152" i="6"/>
  <c r="AO152" i="6"/>
  <c r="AN152" i="6"/>
  <c r="AM152" i="6"/>
  <c r="AL152" i="6"/>
  <c r="AK152" i="6"/>
  <c r="AJ152" i="6"/>
  <c r="AI152" i="6"/>
  <c r="AH152" i="6"/>
  <c r="AG152" i="6"/>
  <c r="AF152" i="6"/>
  <c r="AE152" i="6"/>
  <c r="AC152" i="6"/>
  <c r="AB152" i="6"/>
  <c r="AA152" i="6"/>
  <c r="Z152" i="6"/>
  <c r="Y152" i="6"/>
  <c r="X152" i="6"/>
  <c r="W152" i="6"/>
  <c r="V152" i="6"/>
  <c r="U152" i="6"/>
  <c r="T152" i="6"/>
  <c r="S152" i="6"/>
  <c r="Q152" i="6"/>
  <c r="EF152" i="6" s="1"/>
  <c r="P152" i="6"/>
  <c r="EE152" i="6" s="1"/>
  <c r="O152" i="6"/>
  <c r="ED152" i="6" s="1"/>
  <c r="N152" i="6"/>
  <c r="EC152" i="6" s="1"/>
  <c r="M152" i="6"/>
  <c r="EB152" i="6" s="1"/>
  <c r="L152" i="6"/>
  <c r="EA152" i="6" s="1"/>
  <c r="K152" i="6"/>
  <c r="DZ152" i="6" s="1"/>
  <c r="J152" i="6"/>
  <c r="DY152" i="6" s="1"/>
  <c r="I152" i="6"/>
  <c r="DX152" i="6" s="1"/>
  <c r="H152" i="6"/>
  <c r="DW152" i="6" s="1"/>
  <c r="G152" i="6"/>
  <c r="DV152" i="6" s="1"/>
  <c r="DU151" i="6"/>
  <c r="DT151" i="6"/>
  <c r="DS151" i="6"/>
  <c r="DR151" i="6"/>
  <c r="DQ151" i="6"/>
  <c r="DP151" i="6"/>
  <c r="DO151" i="6"/>
  <c r="DN151" i="6"/>
  <c r="DM151" i="6"/>
  <c r="DL151" i="6"/>
  <c r="DK151" i="6"/>
  <c r="DI151" i="6"/>
  <c r="DH151" i="6"/>
  <c r="DG151" i="6"/>
  <c r="DF151" i="6"/>
  <c r="DE151" i="6"/>
  <c r="DD151" i="6"/>
  <c r="DC151" i="6"/>
  <c r="DB151" i="6"/>
  <c r="DA151" i="6"/>
  <c r="CZ151" i="6"/>
  <c r="CY151" i="6"/>
  <c r="CW151" i="6"/>
  <c r="CV151" i="6"/>
  <c r="CU151" i="6"/>
  <c r="CT151" i="6"/>
  <c r="CS151" i="6"/>
  <c r="CR151" i="6"/>
  <c r="CQ151" i="6"/>
  <c r="CP151" i="6"/>
  <c r="CO151" i="6"/>
  <c r="CN151" i="6"/>
  <c r="CM151" i="6"/>
  <c r="CK151" i="6"/>
  <c r="CJ151" i="6"/>
  <c r="CI151" i="6"/>
  <c r="CH151" i="6"/>
  <c r="CG151" i="6"/>
  <c r="CF151" i="6"/>
  <c r="CE151" i="6"/>
  <c r="CD151" i="6"/>
  <c r="CC151" i="6"/>
  <c r="CB151" i="6"/>
  <c r="CA151" i="6"/>
  <c r="BY151" i="6"/>
  <c r="BX151" i="6"/>
  <c r="BW151" i="6"/>
  <c r="BV151" i="6"/>
  <c r="BU151" i="6"/>
  <c r="BT151" i="6"/>
  <c r="BS151" i="6"/>
  <c r="BR151" i="6"/>
  <c r="BQ151" i="6"/>
  <c r="BP151" i="6"/>
  <c r="BO151" i="6"/>
  <c r="BM151" i="6"/>
  <c r="BL151" i="6"/>
  <c r="BK151" i="6"/>
  <c r="BJ151" i="6"/>
  <c r="BI151" i="6"/>
  <c r="BH151" i="6"/>
  <c r="BG151" i="6"/>
  <c r="BF151" i="6"/>
  <c r="BE151" i="6"/>
  <c r="BD151" i="6"/>
  <c r="BC151" i="6"/>
  <c r="BA151" i="6"/>
  <c r="AZ151" i="6"/>
  <c r="AY151" i="6"/>
  <c r="AX151" i="6"/>
  <c r="AW151" i="6"/>
  <c r="AV151" i="6"/>
  <c r="AU151" i="6"/>
  <c r="AT151" i="6"/>
  <c r="AS151" i="6"/>
  <c r="AR151" i="6"/>
  <c r="AQ151" i="6"/>
  <c r="AO151" i="6"/>
  <c r="AN151" i="6"/>
  <c r="AM151" i="6"/>
  <c r="AL151" i="6"/>
  <c r="AK151" i="6"/>
  <c r="AJ151" i="6"/>
  <c r="AI151" i="6"/>
  <c r="AH151" i="6"/>
  <c r="AG151" i="6"/>
  <c r="AF151" i="6"/>
  <c r="AE151" i="6"/>
  <c r="AC151" i="6"/>
  <c r="AB151" i="6"/>
  <c r="AA151" i="6"/>
  <c r="Z151" i="6"/>
  <c r="Y151" i="6"/>
  <c r="X151" i="6"/>
  <c r="W151" i="6"/>
  <c r="V151" i="6"/>
  <c r="U151" i="6"/>
  <c r="T151" i="6"/>
  <c r="S151" i="6"/>
  <c r="Q151" i="6"/>
  <c r="EF151" i="6" s="1"/>
  <c r="P151" i="6"/>
  <c r="EE151" i="6" s="1"/>
  <c r="O151" i="6"/>
  <c r="ED151" i="6" s="1"/>
  <c r="N151" i="6"/>
  <c r="EC151" i="6" s="1"/>
  <c r="M151" i="6"/>
  <c r="EB151" i="6" s="1"/>
  <c r="L151" i="6"/>
  <c r="EA151" i="6" s="1"/>
  <c r="K151" i="6"/>
  <c r="DZ151" i="6" s="1"/>
  <c r="J151" i="6"/>
  <c r="DY151" i="6" s="1"/>
  <c r="I151" i="6"/>
  <c r="DX151" i="6" s="1"/>
  <c r="H151" i="6"/>
  <c r="DW151" i="6" s="1"/>
  <c r="G151" i="6"/>
  <c r="DV151" i="6" s="1"/>
  <c r="DU150" i="6"/>
  <c r="DT150" i="6"/>
  <c r="DS150" i="6"/>
  <c r="DR150" i="6"/>
  <c r="DQ150" i="6"/>
  <c r="DP150" i="6"/>
  <c r="DO150" i="6"/>
  <c r="DN150" i="6"/>
  <c r="DM150" i="6"/>
  <c r="DL150" i="6"/>
  <c r="DK150" i="6"/>
  <c r="DI150" i="6"/>
  <c r="DH150" i="6"/>
  <c r="DG150" i="6"/>
  <c r="DF150" i="6"/>
  <c r="DE150" i="6"/>
  <c r="DD150" i="6"/>
  <c r="DC150" i="6"/>
  <c r="DB150" i="6"/>
  <c r="DA150" i="6"/>
  <c r="CZ150" i="6"/>
  <c r="CY150" i="6"/>
  <c r="CW150" i="6"/>
  <c r="CV150" i="6"/>
  <c r="CU150" i="6"/>
  <c r="CT150" i="6"/>
  <c r="CS150" i="6"/>
  <c r="CR150" i="6"/>
  <c r="CQ150" i="6"/>
  <c r="CP150" i="6"/>
  <c r="CO150" i="6"/>
  <c r="CN150" i="6"/>
  <c r="CM150" i="6"/>
  <c r="CK150" i="6"/>
  <c r="CJ150" i="6"/>
  <c r="CI150" i="6"/>
  <c r="CH150" i="6"/>
  <c r="CG150" i="6"/>
  <c r="CF150" i="6"/>
  <c r="CE150" i="6"/>
  <c r="CD150" i="6"/>
  <c r="CC150" i="6"/>
  <c r="CB150" i="6"/>
  <c r="CA150" i="6"/>
  <c r="BY150" i="6"/>
  <c r="BX150" i="6"/>
  <c r="BW150" i="6"/>
  <c r="BV150" i="6"/>
  <c r="BU150" i="6"/>
  <c r="BT150" i="6"/>
  <c r="BS150" i="6"/>
  <c r="BR150" i="6"/>
  <c r="BQ150" i="6"/>
  <c r="BP150" i="6"/>
  <c r="BO150" i="6"/>
  <c r="BM150" i="6"/>
  <c r="BL150" i="6"/>
  <c r="BK150" i="6"/>
  <c r="BJ150" i="6"/>
  <c r="BI150" i="6"/>
  <c r="BH150" i="6"/>
  <c r="BG150" i="6"/>
  <c r="BF150" i="6"/>
  <c r="BE150" i="6"/>
  <c r="BD150" i="6"/>
  <c r="BC150" i="6"/>
  <c r="BA150" i="6"/>
  <c r="AZ150" i="6"/>
  <c r="AY150" i="6"/>
  <c r="AX150" i="6"/>
  <c r="AW150" i="6"/>
  <c r="AV150" i="6"/>
  <c r="AU150" i="6"/>
  <c r="AT150" i="6"/>
  <c r="AS150" i="6"/>
  <c r="AR150" i="6"/>
  <c r="AQ150" i="6"/>
  <c r="AO150" i="6"/>
  <c r="AN150" i="6"/>
  <c r="AM150" i="6"/>
  <c r="AL150" i="6"/>
  <c r="AK150" i="6"/>
  <c r="AJ150" i="6"/>
  <c r="AI150" i="6"/>
  <c r="AH150" i="6"/>
  <c r="AG150" i="6"/>
  <c r="AF150" i="6"/>
  <c r="AE150" i="6"/>
  <c r="AC150" i="6"/>
  <c r="AB150" i="6"/>
  <c r="AA150" i="6"/>
  <c r="Z150" i="6"/>
  <c r="Y150" i="6"/>
  <c r="X150" i="6"/>
  <c r="W150" i="6"/>
  <c r="V150" i="6"/>
  <c r="U150" i="6"/>
  <c r="T150" i="6"/>
  <c r="S150" i="6"/>
  <c r="Q150" i="6"/>
  <c r="EF150" i="6" s="1"/>
  <c r="P150" i="6"/>
  <c r="EE150" i="6" s="1"/>
  <c r="O150" i="6"/>
  <c r="ED150" i="6" s="1"/>
  <c r="N150" i="6"/>
  <c r="EC150" i="6" s="1"/>
  <c r="M150" i="6"/>
  <c r="EB150" i="6" s="1"/>
  <c r="L150" i="6"/>
  <c r="EA150" i="6" s="1"/>
  <c r="K150" i="6"/>
  <c r="DZ150" i="6" s="1"/>
  <c r="J150" i="6"/>
  <c r="DY150" i="6" s="1"/>
  <c r="I150" i="6"/>
  <c r="DX150" i="6" s="1"/>
  <c r="H150" i="6"/>
  <c r="DW150" i="6" s="1"/>
  <c r="G150" i="6"/>
  <c r="DV150" i="6" s="1"/>
  <c r="DU149" i="6"/>
  <c r="DT149" i="6"/>
  <c r="DS149" i="6"/>
  <c r="DR149" i="6"/>
  <c r="DQ149" i="6"/>
  <c r="DP149" i="6"/>
  <c r="DO149" i="6"/>
  <c r="DN149" i="6"/>
  <c r="DM149" i="6"/>
  <c r="DL149" i="6"/>
  <c r="DK149" i="6"/>
  <c r="DI149" i="6"/>
  <c r="DH149" i="6"/>
  <c r="DG149" i="6"/>
  <c r="DF149" i="6"/>
  <c r="DE149" i="6"/>
  <c r="DD149" i="6"/>
  <c r="DC149" i="6"/>
  <c r="DB149" i="6"/>
  <c r="DA149" i="6"/>
  <c r="CZ149" i="6"/>
  <c r="CY149" i="6"/>
  <c r="CW149" i="6"/>
  <c r="CV149" i="6"/>
  <c r="CU149" i="6"/>
  <c r="CT149" i="6"/>
  <c r="CS149" i="6"/>
  <c r="CR149" i="6"/>
  <c r="CQ149" i="6"/>
  <c r="CP149" i="6"/>
  <c r="CO149" i="6"/>
  <c r="CN149" i="6"/>
  <c r="CM149" i="6"/>
  <c r="CK149" i="6"/>
  <c r="CJ149" i="6"/>
  <c r="CI149" i="6"/>
  <c r="CH149" i="6"/>
  <c r="CG149" i="6"/>
  <c r="CF149" i="6"/>
  <c r="CE149" i="6"/>
  <c r="CD149" i="6"/>
  <c r="CC149" i="6"/>
  <c r="CB149" i="6"/>
  <c r="CA149" i="6"/>
  <c r="BY149" i="6"/>
  <c r="BX149" i="6"/>
  <c r="BW149" i="6"/>
  <c r="BV149" i="6"/>
  <c r="BU149" i="6"/>
  <c r="BT149" i="6"/>
  <c r="BS149" i="6"/>
  <c r="BR149" i="6"/>
  <c r="BQ149" i="6"/>
  <c r="BP149" i="6"/>
  <c r="BO149" i="6"/>
  <c r="BM149" i="6"/>
  <c r="BL149" i="6"/>
  <c r="BK149" i="6"/>
  <c r="BJ149" i="6"/>
  <c r="BI149" i="6"/>
  <c r="BH149" i="6"/>
  <c r="BG149" i="6"/>
  <c r="BF149" i="6"/>
  <c r="BE149" i="6"/>
  <c r="BD149" i="6"/>
  <c r="BC149" i="6"/>
  <c r="BA149" i="6"/>
  <c r="AZ149" i="6"/>
  <c r="AY149" i="6"/>
  <c r="AX149" i="6"/>
  <c r="AW149" i="6"/>
  <c r="AV149" i="6"/>
  <c r="AU149" i="6"/>
  <c r="AT149" i="6"/>
  <c r="AS149" i="6"/>
  <c r="AR149" i="6"/>
  <c r="AQ149" i="6"/>
  <c r="AO149" i="6"/>
  <c r="AN149" i="6"/>
  <c r="AM149" i="6"/>
  <c r="AL149" i="6"/>
  <c r="AK149" i="6"/>
  <c r="AJ149" i="6"/>
  <c r="AI149" i="6"/>
  <c r="AH149" i="6"/>
  <c r="AG149" i="6"/>
  <c r="AF149" i="6"/>
  <c r="AE149" i="6"/>
  <c r="AC149" i="6"/>
  <c r="AB149" i="6"/>
  <c r="AA149" i="6"/>
  <c r="Z149" i="6"/>
  <c r="Y149" i="6"/>
  <c r="X149" i="6"/>
  <c r="W149" i="6"/>
  <c r="V149" i="6"/>
  <c r="U149" i="6"/>
  <c r="T149" i="6"/>
  <c r="S149" i="6"/>
  <c r="Q149" i="6"/>
  <c r="EF149" i="6" s="1"/>
  <c r="P149" i="6"/>
  <c r="EE149" i="6" s="1"/>
  <c r="O149" i="6"/>
  <c r="ED149" i="6" s="1"/>
  <c r="N149" i="6"/>
  <c r="EC149" i="6" s="1"/>
  <c r="M149" i="6"/>
  <c r="EB149" i="6" s="1"/>
  <c r="L149" i="6"/>
  <c r="EA149" i="6" s="1"/>
  <c r="K149" i="6"/>
  <c r="DZ149" i="6" s="1"/>
  <c r="J149" i="6"/>
  <c r="DY149" i="6" s="1"/>
  <c r="I149" i="6"/>
  <c r="DX149" i="6" s="1"/>
  <c r="H149" i="6"/>
  <c r="DW149" i="6" s="1"/>
  <c r="G149" i="6"/>
  <c r="DV149" i="6" s="1"/>
  <c r="DU148" i="6"/>
  <c r="DT148" i="6"/>
  <c r="DS148" i="6"/>
  <c r="DR148" i="6"/>
  <c r="DQ148" i="6"/>
  <c r="DP148" i="6"/>
  <c r="DO148" i="6"/>
  <c r="DN148" i="6"/>
  <c r="DM148" i="6"/>
  <c r="DL148" i="6"/>
  <c r="DK148" i="6"/>
  <c r="DI148" i="6"/>
  <c r="DH148" i="6"/>
  <c r="DG148" i="6"/>
  <c r="DF148" i="6"/>
  <c r="DE148" i="6"/>
  <c r="DD148" i="6"/>
  <c r="DC148" i="6"/>
  <c r="DB148" i="6"/>
  <c r="DA148" i="6"/>
  <c r="CZ148" i="6"/>
  <c r="CY148" i="6"/>
  <c r="CW148" i="6"/>
  <c r="CV148" i="6"/>
  <c r="CU148" i="6"/>
  <c r="CT148" i="6"/>
  <c r="CS148" i="6"/>
  <c r="CR148" i="6"/>
  <c r="CQ148" i="6"/>
  <c r="CP148" i="6"/>
  <c r="CO148" i="6"/>
  <c r="CN148" i="6"/>
  <c r="CM148" i="6"/>
  <c r="CK148" i="6"/>
  <c r="CJ148" i="6"/>
  <c r="CI148" i="6"/>
  <c r="CH148" i="6"/>
  <c r="CG148" i="6"/>
  <c r="CF148" i="6"/>
  <c r="CE148" i="6"/>
  <c r="CD148" i="6"/>
  <c r="CC148" i="6"/>
  <c r="CB148" i="6"/>
  <c r="CA148" i="6"/>
  <c r="BY148" i="6"/>
  <c r="BX148" i="6"/>
  <c r="BW148" i="6"/>
  <c r="BV148" i="6"/>
  <c r="BU148" i="6"/>
  <c r="BT148" i="6"/>
  <c r="BS148" i="6"/>
  <c r="BR148" i="6"/>
  <c r="BQ148" i="6"/>
  <c r="BP148" i="6"/>
  <c r="BO148" i="6"/>
  <c r="BM148" i="6"/>
  <c r="BL148" i="6"/>
  <c r="BK148" i="6"/>
  <c r="BJ148" i="6"/>
  <c r="BI148" i="6"/>
  <c r="BH148" i="6"/>
  <c r="BG148" i="6"/>
  <c r="BF148" i="6"/>
  <c r="BE148" i="6"/>
  <c r="BD148" i="6"/>
  <c r="BC148" i="6"/>
  <c r="BA148" i="6"/>
  <c r="AZ148" i="6"/>
  <c r="AY148" i="6"/>
  <c r="AX148" i="6"/>
  <c r="AW148" i="6"/>
  <c r="AV148" i="6"/>
  <c r="AU148" i="6"/>
  <c r="AT148" i="6"/>
  <c r="AS148" i="6"/>
  <c r="AR148" i="6"/>
  <c r="AQ148" i="6"/>
  <c r="AO148" i="6"/>
  <c r="AN148" i="6"/>
  <c r="AM148" i="6"/>
  <c r="AL148" i="6"/>
  <c r="AK148" i="6"/>
  <c r="AJ148" i="6"/>
  <c r="AI148" i="6"/>
  <c r="AH148" i="6"/>
  <c r="AG148" i="6"/>
  <c r="AF148" i="6"/>
  <c r="AE148" i="6"/>
  <c r="AC148" i="6"/>
  <c r="AB148" i="6"/>
  <c r="AA148" i="6"/>
  <c r="Z148" i="6"/>
  <c r="Y148" i="6"/>
  <c r="X148" i="6"/>
  <c r="W148" i="6"/>
  <c r="V148" i="6"/>
  <c r="U148" i="6"/>
  <c r="T148" i="6"/>
  <c r="S148" i="6"/>
  <c r="Q148" i="6"/>
  <c r="EF148" i="6" s="1"/>
  <c r="P148" i="6"/>
  <c r="EE148" i="6" s="1"/>
  <c r="O148" i="6"/>
  <c r="ED148" i="6" s="1"/>
  <c r="N148" i="6"/>
  <c r="EC148" i="6" s="1"/>
  <c r="M148" i="6"/>
  <c r="EB148" i="6" s="1"/>
  <c r="L148" i="6"/>
  <c r="EA148" i="6" s="1"/>
  <c r="K148" i="6"/>
  <c r="DZ148" i="6" s="1"/>
  <c r="J148" i="6"/>
  <c r="DY148" i="6" s="1"/>
  <c r="I148" i="6"/>
  <c r="DX148" i="6" s="1"/>
  <c r="H148" i="6"/>
  <c r="DW148" i="6" s="1"/>
  <c r="G148" i="6"/>
  <c r="DV148" i="6" s="1"/>
  <c r="DU147" i="6"/>
  <c r="DT147" i="6"/>
  <c r="DS147" i="6"/>
  <c r="DR147" i="6"/>
  <c r="DQ147" i="6"/>
  <c r="DP147" i="6"/>
  <c r="DO147" i="6"/>
  <c r="DN147" i="6"/>
  <c r="DM147" i="6"/>
  <c r="DL147" i="6"/>
  <c r="DK147" i="6"/>
  <c r="DI147" i="6"/>
  <c r="DH147" i="6"/>
  <c r="DG147" i="6"/>
  <c r="DF147" i="6"/>
  <c r="DE147" i="6"/>
  <c r="DD147" i="6"/>
  <c r="DC147" i="6"/>
  <c r="DB147" i="6"/>
  <c r="DA147" i="6"/>
  <c r="CZ147" i="6"/>
  <c r="CY147" i="6"/>
  <c r="CW147" i="6"/>
  <c r="CV147" i="6"/>
  <c r="CU147" i="6"/>
  <c r="CT147" i="6"/>
  <c r="CS147" i="6"/>
  <c r="CR147" i="6"/>
  <c r="CQ147" i="6"/>
  <c r="CP147" i="6"/>
  <c r="CO147" i="6"/>
  <c r="CN147" i="6"/>
  <c r="CM147" i="6"/>
  <c r="CK147" i="6"/>
  <c r="CJ147" i="6"/>
  <c r="CI147" i="6"/>
  <c r="CH147" i="6"/>
  <c r="CG147" i="6"/>
  <c r="CF147" i="6"/>
  <c r="CE147" i="6"/>
  <c r="CD147" i="6"/>
  <c r="CC147" i="6"/>
  <c r="CB147" i="6"/>
  <c r="CA147" i="6"/>
  <c r="BY147" i="6"/>
  <c r="BX147" i="6"/>
  <c r="BW147" i="6"/>
  <c r="BV147" i="6"/>
  <c r="BU147" i="6"/>
  <c r="BT147" i="6"/>
  <c r="BS147" i="6"/>
  <c r="BR147" i="6"/>
  <c r="BQ147" i="6"/>
  <c r="BP147" i="6"/>
  <c r="BO147" i="6"/>
  <c r="BM147" i="6"/>
  <c r="BL147" i="6"/>
  <c r="BK147" i="6"/>
  <c r="BJ147" i="6"/>
  <c r="BI147" i="6"/>
  <c r="BH147" i="6"/>
  <c r="BG147" i="6"/>
  <c r="BF147" i="6"/>
  <c r="BE147" i="6"/>
  <c r="BD147" i="6"/>
  <c r="BC147" i="6"/>
  <c r="BA147" i="6"/>
  <c r="AZ147" i="6"/>
  <c r="AY147" i="6"/>
  <c r="AX147" i="6"/>
  <c r="AW147" i="6"/>
  <c r="AV147" i="6"/>
  <c r="AU147" i="6"/>
  <c r="AT147" i="6"/>
  <c r="AS147" i="6"/>
  <c r="AR147" i="6"/>
  <c r="AQ147" i="6"/>
  <c r="AO147" i="6"/>
  <c r="AN147" i="6"/>
  <c r="AM147" i="6"/>
  <c r="AL147" i="6"/>
  <c r="AK147" i="6"/>
  <c r="AJ147" i="6"/>
  <c r="AI147" i="6"/>
  <c r="AH147" i="6"/>
  <c r="AG147" i="6"/>
  <c r="AF147" i="6"/>
  <c r="AE147" i="6"/>
  <c r="AC147" i="6"/>
  <c r="AB147" i="6"/>
  <c r="AA147" i="6"/>
  <c r="Z147" i="6"/>
  <c r="Y147" i="6"/>
  <c r="X147" i="6"/>
  <c r="W147" i="6"/>
  <c r="V147" i="6"/>
  <c r="U147" i="6"/>
  <c r="T147" i="6"/>
  <c r="S147" i="6"/>
  <c r="Q147" i="6"/>
  <c r="EF147" i="6" s="1"/>
  <c r="P147" i="6"/>
  <c r="EE147" i="6" s="1"/>
  <c r="O147" i="6"/>
  <c r="ED147" i="6" s="1"/>
  <c r="N147" i="6"/>
  <c r="EC147" i="6" s="1"/>
  <c r="M147" i="6"/>
  <c r="EB147" i="6" s="1"/>
  <c r="L147" i="6"/>
  <c r="EA147" i="6" s="1"/>
  <c r="K147" i="6"/>
  <c r="DZ147" i="6" s="1"/>
  <c r="J147" i="6"/>
  <c r="DY147" i="6" s="1"/>
  <c r="I147" i="6"/>
  <c r="DX147" i="6" s="1"/>
  <c r="H147" i="6"/>
  <c r="DW147" i="6" s="1"/>
  <c r="G147" i="6"/>
  <c r="DV147" i="6" s="1"/>
  <c r="DU146" i="6"/>
  <c r="DT146" i="6"/>
  <c r="DS146" i="6"/>
  <c r="DR146" i="6"/>
  <c r="DQ146" i="6"/>
  <c r="DP146" i="6"/>
  <c r="DO146" i="6"/>
  <c r="DN146" i="6"/>
  <c r="DM146" i="6"/>
  <c r="DL146" i="6"/>
  <c r="DK146" i="6"/>
  <c r="DI146" i="6"/>
  <c r="DH146" i="6"/>
  <c r="DG146" i="6"/>
  <c r="DF146" i="6"/>
  <c r="DE146" i="6"/>
  <c r="DD146" i="6"/>
  <c r="DC146" i="6"/>
  <c r="DB146" i="6"/>
  <c r="DA146" i="6"/>
  <c r="CZ146" i="6"/>
  <c r="CY146" i="6"/>
  <c r="CW146" i="6"/>
  <c r="CV146" i="6"/>
  <c r="CU146" i="6"/>
  <c r="CT146" i="6"/>
  <c r="CS146" i="6"/>
  <c r="CR146" i="6"/>
  <c r="CQ146" i="6"/>
  <c r="CP146" i="6"/>
  <c r="CO146" i="6"/>
  <c r="CN146" i="6"/>
  <c r="CM146" i="6"/>
  <c r="CK146" i="6"/>
  <c r="CJ146" i="6"/>
  <c r="CI146" i="6"/>
  <c r="CH146" i="6"/>
  <c r="CG146" i="6"/>
  <c r="CF146" i="6"/>
  <c r="CE146" i="6"/>
  <c r="CD146" i="6"/>
  <c r="CC146" i="6"/>
  <c r="CB146" i="6"/>
  <c r="CA146" i="6"/>
  <c r="BY146" i="6"/>
  <c r="BX146" i="6"/>
  <c r="BW146" i="6"/>
  <c r="BV146" i="6"/>
  <c r="BU146" i="6"/>
  <c r="BT146" i="6"/>
  <c r="BS146" i="6"/>
  <c r="BR146" i="6"/>
  <c r="BQ146" i="6"/>
  <c r="BP146" i="6"/>
  <c r="BO146" i="6"/>
  <c r="BM146" i="6"/>
  <c r="BL146" i="6"/>
  <c r="BK146" i="6"/>
  <c r="BJ146" i="6"/>
  <c r="BI146" i="6"/>
  <c r="BH146" i="6"/>
  <c r="BG146" i="6"/>
  <c r="BF146" i="6"/>
  <c r="BE146" i="6"/>
  <c r="BD146" i="6"/>
  <c r="BC146" i="6"/>
  <c r="BA146" i="6"/>
  <c r="AZ146" i="6"/>
  <c r="AY146" i="6"/>
  <c r="AX146" i="6"/>
  <c r="AW146" i="6"/>
  <c r="AV146" i="6"/>
  <c r="AU146" i="6"/>
  <c r="AT146" i="6"/>
  <c r="AS146" i="6"/>
  <c r="AR146" i="6"/>
  <c r="AQ146" i="6"/>
  <c r="AO146" i="6"/>
  <c r="AN146" i="6"/>
  <c r="AM146" i="6"/>
  <c r="AL146" i="6"/>
  <c r="AK146" i="6"/>
  <c r="AJ146" i="6"/>
  <c r="AI146" i="6"/>
  <c r="AH146" i="6"/>
  <c r="AG146" i="6"/>
  <c r="AF146" i="6"/>
  <c r="AE146" i="6"/>
  <c r="AC146" i="6"/>
  <c r="AB146" i="6"/>
  <c r="AA146" i="6"/>
  <c r="Z146" i="6"/>
  <c r="Y146" i="6"/>
  <c r="X146" i="6"/>
  <c r="W146" i="6"/>
  <c r="V146" i="6"/>
  <c r="U146" i="6"/>
  <c r="T146" i="6"/>
  <c r="S146" i="6"/>
  <c r="Q146" i="6"/>
  <c r="EF146" i="6" s="1"/>
  <c r="P146" i="6"/>
  <c r="EE146" i="6" s="1"/>
  <c r="O146" i="6"/>
  <c r="ED146" i="6" s="1"/>
  <c r="N146" i="6"/>
  <c r="EC146" i="6" s="1"/>
  <c r="M146" i="6"/>
  <c r="EB146" i="6" s="1"/>
  <c r="L146" i="6"/>
  <c r="EA146" i="6" s="1"/>
  <c r="K146" i="6"/>
  <c r="DZ146" i="6" s="1"/>
  <c r="EK146" i="6" s="1"/>
  <c r="J146" i="6"/>
  <c r="DY146" i="6" s="1"/>
  <c r="I146" i="6"/>
  <c r="DX146" i="6" s="1"/>
  <c r="H146" i="6"/>
  <c r="DW146" i="6" s="1"/>
  <c r="G146" i="6"/>
  <c r="DV146" i="6" s="1"/>
  <c r="DU145" i="6"/>
  <c r="DT145" i="6"/>
  <c r="DS145" i="6"/>
  <c r="DR145" i="6"/>
  <c r="DQ145" i="6"/>
  <c r="DP145" i="6"/>
  <c r="DO145" i="6"/>
  <c r="DN145" i="6"/>
  <c r="DM145" i="6"/>
  <c r="DL145" i="6"/>
  <c r="DK145" i="6"/>
  <c r="DI145" i="6"/>
  <c r="DH145" i="6"/>
  <c r="DG145" i="6"/>
  <c r="DF145" i="6"/>
  <c r="DE145" i="6"/>
  <c r="DD145" i="6"/>
  <c r="DC145" i="6"/>
  <c r="DB145" i="6"/>
  <c r="DA145" i="6"/>
  <c r="CZ145" i="6"/>
  <c r="CY145" i="6"/>
  <c r="CW145" i="6"/>
  <c r="CV145" i="6"/>
  <c r="CU145" i="6"/>
  <c r="CT145" i="6"/>
  <c r="CS145" i="6"/>
  <c r="CR145" i="6"/>
  <c r="CQ145" i="6"/>
  <c r="CP145" i="6"/>
  <c r="CO145" i="6"/>
  <c r="CN145" i="6"/>
  <c r="CM145" i="6"/>
  <c r="CK145" i="6"/>
  <c r="CJ145" i="6"/>
  <c r="CI145" i="6"/>
  <c r="CH145" i="6"/>
  <c r="CG145" i="6"/>
  <c r="CF145" i="6"/>
  <c r="CE145" i="6"/>
  <c r="CD145" i="6"/>
  <c r="CC145" i="6"/>
  <c r="CB145" i="6"/>
  <c r="CA145" i="6"/>
  <c r="BY145" i="6"/>
  <c r="BX145" i="6"/>
  <c r="BW145" i="6"/>
  <c r="BV145" i="6"/>
  <c r="BU145" i="6"/>
  <c r="BT145" i="6"/>
  <c r="BS145" i="6"/>
  <c r="BR145" i="6"/>
  <c r="BQ145" i="6"/>
  <c r="BP145" i="6"/>
  <c r="BO145" i="6"/>
  <c r="BM145" i="6"/>
  <c r="BL145" i="6"/>
  <c r="BK145" i="6"/>
  <c r="BJ145" i="6"/>
  <c r="BI145" i="6"/>
  <c r="BH145" i="6"/>
  <c r="BG145" i="6"/>
  <c r="BF145" i="6"/>
  <c r="BE145" i="6"/>
  <c r="BD145" i="6"/>
  <c r="BC145" i="6"/>
  <c r="BA145" i="6"/>
  <c r="AZ145" i="6"/>
  <c r="AY145" i="6"/>
  <c r="AX145" i="6"/>
  <c r="AW145" i="6"/>
  <c r="AV145" i="6"/>
  <c r="AU145" i="6"/>
  <c r="AT145" i="6"/>
  <c r="AS145" i="6"/>
  <c r="AR145" i="6"/>
  <c r="AQ145" i="6"/>
  <c r="AO145" i="6"/>
  <c r="AN145" i="6"/>
  <c r="AM145" i="6"/>
  <c r="AL145" i="6"/>
  <c r="AK145" i="6"/>
  <c r="AJ145" i="6"/>
  <c r="AI145" i="6"/>
  <c r="AH145" i="6"/>
  <c r="AG145" i="6"/>
  <c r="AF145" i="6"/>
  <c r="AE145" i="6"/>
  <c r="AC145" i="6"/>
  <c r="AB145" i="6"/>
  <c r="AA145" i="6"/>
  <c r="Z145" i="6"/>
  <c r="Y145" i="6"/>
  <c r="X145" i="6"/>
  <c r="W145" i="6"/>
  <c r="V145" i="6"/>
  <c r="U145" i="6"/>
  <c r="T145" i="6"/>
  <c r="S145" i="6"/>
  <c r="Q145" i="6"/>
  <c r="EF145" i="6" s="1"/>
  <c r="P145" i="6"/>
  <c r="EE145" i="6" s="1"/>
  <c r="O145" i="6"/>
  <c r="ED145" i="6" s="1"/>
  <c r="N145" i="6"/>
  <c r="EC145" i="6" s="1"/>
  <c r="M145" i="6"/>
  <c r="EB145" i="6" s="1"/>
  <c r="EM145" i="6" s="1"/>
  <c r="L145" i="6"/>
  <c r="EA145" i="6" s="1"/>
  <c r="K145" i="6"/>
  <c r="DZ145" i="6" s="1"/>
  <c r="J145" i="6"/>
  <c r="DY145" i="6" s="1"/>
  <c r="I145" i="6"/>
  <c r="DX145" i="6" s="1"/>
  <c r="H145" i="6"/>
  <c r="DW145" i="6" s="1"/>
  <c r="G145" i="6"/>
  <c r="DV145" i="6" s="1"/>
  <c r="DU144" i="6"/>
  <c r="DT144" i="6"/>
  <c r="DS144" i="6"/>
  <c r="DR144" i="6"/>
  <c r="DQ144" i="6"/>
  <c r="DP144" i="6"/>
  <c r="DO144" i="6"/>
  <c r="DN144" i="6"/>
  <c r="DM144" i="6"/>
  <c r="DL144" i="6"/>
  <c r="DK144" i="6"/>
  <c r="DI144" i="6"/>
  <c r="DH144" i="6"/>
  <c r="DG144" i="6"/>
  <c r="DF144" i="6"/>
  <c r="DE144" i="6"/>
  <c r="DD144" i="6"/>
  <c r="DC144" i="6"/>
  <c r="DB144" i="6"/>
  <c r="DA144" i="6"/>
  <c r="CZ144" i="6"/>
  <c r="CY144" i="6"/>
  <c r="CW144" i="6"/>
  <c r="CV144" i="6"/>
  <c r="CU144" i="6"/>
  <c r="CT144" i="6"/>
  <c r="CS144" i="6"/>
  <c r="CR144" i="6"/>
  <c r="CQ144" i="6"/>
  <c r="CP144" i="6"/>
  <c r="CO144" i="6"/>
  <c r="CN144" i="6"/>
  <c r="CM144" i="6"/>
  <c r="CK144" i="6"/>
  <c r="CJ144" i="6"/>
  <c r="CI144" i="6"/>
  <c r="CH144" i="6"/>
  <c r="CG144" i="6"/>
  <c r="CF144" i="6"/>
  <c r="CE144" i="6"/>
  <c r="CD144" i="6"/>
  <c r="CC144" i="6"/>
  <c r="CB144" i="6"/>
  <c r="CA144" i="6"/>
  <c r="BY144" i="6"/>
  <c r="BX144" i="6"/>
  <c r="BW144" i="6"/>
  <c r="BV144" i="6"/>
  <c r="BU144" i="6"/>
  <c r="BT144" i="6"/>
  <c r="BS144" i="6"/>
  <c r="BR144" i="6"/>
  <c r="BQ144" i="6"/>
  <c r="BP144" i="6"/>
  <c r="BO144" i="6"/>
  <c r="BM144" i="6"/>
  <c r="BL144" i="6"/>
  <c r="BK144" i="6"/>
  <c r="BJ144" i="6"/>
  <c r="BI144" i="6"/>
  <c r="BH144" i="6"/>
  <c r="BG144" i="6"/>
  <c r="BF144" i="6"/>
  <c r="BE144" i="6"/>
  <c r="BD144" i="6"/>
  <c r="BC144" i="6"/>
  <c r="BA144" i="6"/>
  <c r="AZ144" i="6"/>
  <c r="AY144" i="6"/>
  <c r="AX144" i="6"/>
  <c r="AW144" i="6"/>
  <c r="AV144" i="6"/>
  <c r="AU144" i="6"/>
  <c r="AT144" i="6"/>
  <c r="AS144" i="6"/>
  <c r="AR144" i="6"/>
  <c r="AQ144" i="6"/>
  <c r="AO144" i="6"/>
  <c r="AN144" i="6"/>
  <c r="AM144" i="6"/>
  <c r="AL144" i="6"/>
  <c r="AK144" i="6"/>
  <c r="AJ144" i="6"/>
  <c r="AI144" i="6"/>
  <c r="AH144" i="6"/>
  <c r="AG144" i="6"/>
  <c r="AF144" i="6"/>
  <c r="AE144" i="6"/>
  <c r="AC144" i="6"/>
  <c r="AB144" i="6"/>
  <c r="AA144" i="6"/>
  <c r="Z144" i="6"/>
  <c r="Y144" i="6"/>
  <c r="X144" i="6"/>
  <c r="W144" i="6"/>
  <c r="V144" i="6"/>
  <c r="U144" i="6"/>
  <c r="T144" i="6"/>
  <c r="S144" i="6"/>
  <c r="Q144" i="6"/>
  <c r="EF144" i="6" s="1"/>
  <c r="P144" i="6"/>
  <c r="EE144" i="6" s="1"/>
  <c r="O144" i="6"/>
  <c r="ED144" i="6" s="1"/>
  <c r="N144" i="6"/>
  <c r="EC144" i="6" s="1"/>
  <c r="M144" i="6"/>
  <c r="EB144" i="6" s="1"/>
  <c r="L144" i="6"/>
  <c r="EA144" i="6" s="1"/>
  <c r="K144" i="6"/>
  <c r="DZ144" i="6" s="1"/>
  <c r="J144" i="6"/>
  <c r="DY144" i="6" s="1"/>
  <c r="I144" i="6"/>
  <c r="DX144" i="6" s="1"/>
  <c r="H144" i="6"/>
  <c r="DW144" i="6" s="1"/>
  <c r="G144" i="6"/>
  <c r="DV144" i="6" s="1"/>
  <c r="DU143" i="6"/>
  <c r="DT143" i="6"/>
  <c r="DS143" i="6"/>
  <c r="DR143" i="6"/>
  <c r="DQ143" i="6"/>
  <c r="DP143" i="6"/>
  <c r="DO143" i="6"/>
  <c r="DN143" i="6"/>
  <c r="DM143" i="6"/>
  <c r="DL143" i="6"/>
  <c r="DK143" i="6"/>
  <c r="DI143" i="6"/>
  <c r="DH143" i="6"/>
  <c r="DG143" i="6"/>
  <c r="DF143" i="6"/>
  <c r="DE143" i="6"/>
  <c r="DD143" i="6"/>
  <c r="DC143" i="6"/>
  <c r="DB143" i="6"/>
  <c r="DA143" i="6"/>
  <c r="CZ143" i="6"/>
  <c r="CY143" i="6"/>
  <c r="CW143" i="6"/>
  <c r="CV143" i="6"/>
  <c r="CU143" i="6"/>
  <c r="CT143" i="6"/>
  <c r="CS143" i="6"/>
  <c r="CR143" i="6"/>
  <c r="CQ143" i="6"/>
  <c r="CP143" i="6"/>
  <c r="CO143" i="6"/>
  <c r="CN143" i="6"/>
  <c r="CM143" i="6"/>
  <c r="CK143" i="6"/>
  <c r="CJ143" i="6"/>
  <c r="CI143" i="6"/>
  <c r="CH143" i="6"/>
  <c r="CG143" i="6"/>
  <c r="CF143" i="6"/>
  <c r="CE143" i="6"/>
  <c r="CD143" i="6"/>
  <c r="CC143" i="6"/>
  <c r="CB143" i="6"/>
  <c r="CA143" i="6"/>
  <c r="BY143" i="6"/>
  <c r="BX143" i="6"/>
  <c r="BW143" i="6"/>
  <c r="BV143" i="6"/>
  <c r="BU143" i="6"/>
  <c r="BT143" i="6"/>
  <c r="BS143" i="6"/>
  <c r="BR143" i="6"/>
  <c r="BQ143" i="6"/>
  <c r="BP143" i="6"/>
  <c r="BO143" i="6"/>
  <c r="BM143" i="6"/>
  <c r="BL143" i="6"/>
  <c r="BK143" i="6"/>
  <c r="BJ143" i="6"/>
  <c r="BI143" i="6"/>
  <c r="BH143" i="6"/>
  <c r="BG143" i="6"/>
  <c r="BF143" i="6"/>
  <c r="BE143" i="6"/>
  <c r="BD143" i="6"/>
  <c r="BC143" i="6"/>
  <c r="BA143" i="6"/>
  <c r="AZ143" i="6"/>
  <c r="AY143" i="6"/>
  <c r="AX143" i="6"/>
  <c r="AW143" i="6"/>
  <c r="AV143" i="6"/>
  <c r="AU143" i="6"/>
  <c r="AT143" i="6"/>
  <c r="AS143" i="6"/>
  <c r="AR143" i="6"/>
  <c r="AQ143" i="6"/>
  <c r="AO143" i="6"/>
  <c r="AN143" i="6"/>
  <c r="AM143" i="6"/>
  <c r="AL143" i="6"/>
  <c r="AK143" i="6"/>
  <c r="AJ143" i="6"/>
  <c r="AI143" i="6"/>
  <c r="AH143" i="6"/>
  <c r="AG143" i="6"/>
  <c r="AF143" i="6"/>
  <c r="AE143" i="6"/>
  <c r="AC143" i="6"/>
  <c r="AB143" i="6"/>
  <c r="AA143" i="6"/>
  <c r="Z143" i="6"/>
  <c r="Y143" i="6"/>
  <c r="X143" i="6"/>
  <c r="W143" i="6"/>
  <c r="V143" i="6"/>
  <c r="U143" i="6"/>
  <c r="T143" i="6"/>
  <c r="S143" i="6"/>
  <c r="Q143" i="6"/>
  <c r="EF143" i="6" s="1"/>
  <c r="P143" i="6"/>
  <c r="EE143" i="6" s="1"/>
  <c r="O143" i="6"/>
  <c r="ED143" i="6" s="1"/>
  <c r="N143" i="6"/>
  <c r="EC143" i="6" s="1"/>
  <c r="M143" i="6"/>
  <c r="EB143" i="6" s="1"/>
  <c r="L143" i="6"/>
  <c r="EA143" i="6" s="1"/>
  <c r="K143" i="6"/>
  <c r="DZ143" i="6" s="1"/>
  <c r="J143" i="6"/>
  <c r="DY143" i="6" s="1"/>
  <c r="I143" i="6"/>
  <c r="DX143" i="6" s="1"/>
  <c r="H143" i="6"/>
  <c r="DW143" i="6" s="1"/>
  <c r="G143" i="6"/>
  <c r="DV143" i="6" s="1"/>
  <c r="DU142" i="6"/>
  <c r="DT142" i="6"/>
  <c r="DS142" i="6"/>
  <c r="DR142" i="6"/>
  <c r="DQ142" i="6"/>
  <c r="DP142" i="6"/>
  <c r="DO142" i="6"/>
  <c r="DN142" i="6"/>
  <c r="DM142" i="6"/>
  <c r="DL142" i="6"/>
  <c r="DK142" i="6"/>
  <c r="DI142" i="6"/>
  <c r="DH142" i="6"/>
  <c r="DG142" i="6"/>
  <c r="DF142" i="6"/>
  <c r="DE142" i="6"/>
  <c r="DD142" i="6"/>
  <c r="DC142" i="6"/>
  <c r="DB142" i="6"/>
  <c r="DA142" i="6"/>
  <c r="CZ142" i="6"/>
  <c r="CY142" i="6"/>
  <c r="CW142" i="6"/>
  <c r="CV142" i="6"/>
  <c r="CU142" i="6"/>
  <c r="CT142" i="6"/>
  <c r="CS142" i="6"/>
  <c r="CR142" i="6"/>
  <c r="CQ142" i="6"/>
  <c r="CP142" i="6"/>
  <c r="CO142" i="6"/>
  <c r="CN142" i="6"/>
  <c r="CM142" i="6"/>
  <c r="CK142" i="6"/>
  <c r="CJ142" i="6"/>
  <c r="CI142" i="6"/>
  <c r="CH142" i="6"/>
  <c r="CG142" i="6"/>
  <c r="CF142" i="6"/>
  <c r="CE142" i="6"/>
  <c r="CD142" i="6"/>
  <c r="CC142" i="6"/>
  <c r="CB142" i="6"/>
  <c r="CA142" i="6"/>
  <c r="BY142" i="6"/>
  <c r="BX142" i="6"/>
  <c r="BW142" i="6"/>
  <c r="BV142" i="6"/>
  <c r="BU142" i="6"/>
  <c r="BT142" i="6"/>
  <c r="BS142" i="6"/>
  <c r="BR142" i="6"/>
  <c r="BQ142" i="6"/>
  <c r="BP142" i="6"/>
  <c r="BO142" i="6"/>
  <c r="BM142" i="6"/>
  <c r="BL142" i="6"/>
  <c r="BK142" i="6"/>
  <c r="BJ142" i="6"/>
  <c r="BI142" i="6"/>
  <c r="BH142" i="6"/>
  <c r="BG142" i="6"/>
  <c r="BF142" i="6"/>
  <c r="BE142" i="6"/>
  <c r="BD142" i="6"/>
  <c r="BC142" i="6"/>
  <c r="BA142" i="6"/>
  <c r="AZ142" i="6"/>
  <c r="AY142" i="6"/>
  <c r="AX142" i="6"/>
  <c r="AW142" i="6"/>
  <c r="AV142" i="6"/>
  <c r="AU142" i="6"/>
  <c r="AT142" i="6"/>
  <c r="AS142" i="6"/>
  <c r="AR142" i="6"/>
  <c r="AQ142" i="6"/>
  <c r="AO142" i="6"/>
  <c r="AN142" i="6"/>
  <c r="AM142" i="6"/>
  <c r="AL142" i="6"/>
  <c r="AK142" i="6"/>
  <c r="AJ142" i="6"/>
  <c r="AI142" i="6"/>
  <c r="AH142" i="6"/>
  <c r="AG142" i="6"/>
  <c r="AF142" i="6"/>
  <c r="AE142" i="6"/>
  <c r="AC142" i="6"/>
  <c r="AB142" i="6"/>
  <c r="AA142" i="6"/>
  <c r="Z142" i="6"/>
  <c r="Y142" i="6"/>
  <c r="X142" i="6"/>
  <c r="W142" i="6"/>
  <c r="V142" i="6"/>
  <c r="U142" i="6"/>
  <c r="T142" i="6"/>
  <c r="S142" i="6"/>
  <c r="Q142" i="6"/>
  <c r="EF142" i="6" s="1"/>
  <c r="P142" i="6"/>
  <c r="EE142" i="6" s="1"/>
  <c r="O142" i="6"/>
  <c r="ED142" i="6" s="1"/>
  <c r="N142" i="6"/>
  <c r="EC142" i="6" s="1"/>
  <c r="M142" i="6"/>
  <c r="EB142" i="6" s="1"/>
  <c r="L142" i="6"/>
  <c r="EA142" i="6" s="1"/>
  <c r="K142" i="6"/>
  <c r="DZ142" i="6" s="1"/>
  <c r="J142" i="6"/>
  <c r="DY142" i="6" s="1"/>
  <c r="I142" i="6"/>
  <c r="DX142" i="6" s="1"/>
  <c r="H142" i="6"/>
  <c r="DW142" i="6" s="1"/>
  <c r="G142" i="6"/>
  <c r="DV142" i="6" s="1"/>
  <c r="DU141" i="6"/>
  <c r="DT141" i="6"/>
  <c r="DS141" i="6"/>
  <c r="DR141" i="6"/>
  <c r="DQ141" i="6"/>
  <c r="DP141" i="6"/>
  <c r="DO141" i="6"/>
  <c r="DN141" i="6"/>
  <c r="DM141" i="6"/>
  <c r="DL141" i="6"/>
  <c r="DK141" i="6"/>
  <c r="DI141" i="6"/>
  <c r="DH141" i="6"/>
  <c r="DG141" i="6"/>
  <c r="DF141" i="6"/>
  <c r="DE141" i="6"/>
  <c r="DD141" i="6"/>
  <c r="DC141" i="6"/>
  <c r="DB141" i="6"/>
  <c r="DA141" i="6"/>
  <c r="CZ141" i="6"/>
  <c r="CY141" i="6"/>
  <c r="CW141" i="6"/>
  <c r="CV141" i="6"/>
  <c r="CU141" i="6"/>
  <c r="CT141" i="6"/>
  <c r="CS141" i="6"/>
  <c r="CR141" i="6"/>
  <c r="CQ141" i="6"/>
  <c r="CP141" i="6"/>
  <c r="CO141" i="6"/>
  <c r="CN141" i="6"/>
  <c r="CM141" i="6"/>
  <c r="CK141" i="6"/>
  <c r="CJ141" i="6"/>
  <c r="CI141" i="6"/>
  <c r="CH141" i="6"/>
  <c r="CG141" i="6"/>
  <c r="CF141" i="6"/>
  <c r="CE141" i="6"/>
  <c r="CD141" i="6"/>
  <c r="CC141" i="6"/>
  <c r="CB141" i="6"/>
  <c r="CA141" i="6"/>
  <c r="BY141" i="6"/>
  <c r="BX141" i="6"/>
  <c r="BW141" i="6"/>
  <c r="BV141" i="6"/>
  <c r="BU141" i="6"/>
  <c r="BT141" i="6"/>
  <c r="BS141" i="6"/>
  <c r="BR141" i="6"/>
  <c r="BQ141" i="6"/>
  <c r="BP141" i="6"/>
  <c r="BO141" i="6"/>
  <c r="BM141" i="6"/>
  <c r="BL141" i="6"/>
  <c r="BK141" i="6"/>
  <c r="BJ141" i="6"/>
  <c r="BI141" i="6"/>
  <c r="BH141" i="6"/>
  <c r="BG141" i="6"/>
  <c r="BF141" i="6"/>
  <c r="BE141" i="6"/>
  <c r="BD141" i="6"/>
  <c r="BC141" i="6"/>
  <c r="BA141" i="6"/>
  <c r="AZ141" i="6"/>
  <c r="AY141" i="6"/>
  <c r="AX141" i="6"/>
  <c r="AW141" i="6"/>
  <c r="AV141" i="6"/>
  <c r="AU141" i="6"/>
  <c r="AT141" i="6"/>
  <c r="AS141" i="6"/>
  <c r="AR141" i="6"/>
  <c r="AQ141" i="6"/>
  <c r="AO141" i="6"/>
  <c r="AN141" i="6"/>
  <c r="AM141" i="6"/>
  <c r="AL141" i="6"/>
  <c r="AK141" i="6"/>
  <c r="AJ141" i="6"/>
  <c r="AI141" i="6"/>
  <c r="AH141" i="6"/>
  <c r="AG141" i="6"/>
  <c r="AF141" i="6"/>
  <c r="AE141" i="6"/>
  <c r="AC141" i="6"/>
  <c r="AB141" i="6"/>
  <c r="AA141" i="6"/>
  <c r="Z141" i="6"/>
  <c r="Y141" i="6"/>
  <c r="X141" i="6"/>
  <c r="W141" i="6"/>
  <c r="V141" i="6"/>
  <c r="U141" i="6"/>
  <c r="T141" i="6"/>
  <c r="S141" i="6"/>
  <c r="Q141" i="6"/>
  <c r="EF141" i="6" s="1"/>
  <c r="P141" i="6"/>
  <c r="EE141" i="6" s="1"/>
  <c r="O141" i="6"/>
  <c r="ED141" i="6" s="1"/>
  <c r="N141" i="6"/>
  <c r="EC141" i="6" s="1"/>
  <c r="M141" i="6"/>
  <c r="EB141" i="6" s="1"/>
  <c r="L141" i="6"/>
  <c r="EA141" i="6" s="1"/>
  <c r="K141" i="6"/>
  <c r="DZ141" i="6" s="1"/>
  <c r="J141" i="6"/>
  <c r="DY141" i="6" s="1"/>
  <c r="I141" i="6"/>
  <c r="DX141" i="6" s="1"/>
  <c r="H141" i="6"/>
  <c r="DW141" i="6" s="1"/>
  <c r="G141" i="6"/>
  <c r="DV141" i="6" s="1"/>
  <c r="DU140" i="6"/>
  <c r="DT140" i="6"/>
  <c r="DS140" i="6"/>
  <c r="DR140" i="6"/>
  <c r="DQ140" i="6"/>
  <c r="DP140" i="6"/>
  <c r="DO140" i="6"/>
  <c r="DN140" i="6"/>
  <c r="DM140" i="6"/>
  <c r="DL140" i="6"/>
  <c r="DK140" i="6"/>
  <c r="DI140" i="6"/>
  <c r="DH140" i="6"/>
  <c r="DG140" i="6"/>
  <c r="DF140" i="6"/>
  <c r="DE140" i="6"/>
  <c r="DD140" i="6"/>
  <c r="DC140" i="6"/>
  <c r="DB140" i="6"/>
  <c r="DA140" i="6"/>
  <c r="CZ140" i="6"/>
  <c r="CY140" i="6"/>
  <c r="CW140" i="6"/>
  <c r="CV140" i="6"/>
  <c r="CU140" i="6"/>
  <c r="CT140" i="6"/>
  <c r="CS140" i="6"/>
  <c r="CR140" i="6"/>
  <c r="CQ140" i="6"/>
  <c r="CP140" i="6"/>
  <c r="CO140" i="6"/>
  <c r="CN140" i="6"/>
  <c r="CM140" i="6"/>
  <c r="CK140" i="6"/>
  <c r="CJ140" i="6"/>
  <c r="CI140" i="6"/>
  <c r="CH140" i="6"/>
  <c r="CG140" i="6"/>
  <c r="CF140" i="6"/>
  <c r="CE140" i="6"/>
  <c r="CD140" i="6"/>
  <c r="CC140" i="6"/>
  <c r="CB140" i="6"/>
  <c r="CA140" i="6"/>
  <c r="BY140" i="6"/>
  <c r="BX140" i="6"/>
  <c r="BW140" i="6"/>
  <c r="BV140" i="6"/>
  <c r="BU140" i="6"/>
  <c r="BT140" i="6"/>
  <c r="BS140" i="6"/>
  <c r="BR140" i="6"/>
  <c r="BQ140" i="6"/>
  <c r="BP140" i="6"/>
  <c r="BO140" i="6"/>
  <c r="BM140" i="6"/>
  <c r="BL140" i="6"/>
  <c r="BK140" i="6"/>
  <c r="BJ140" i="6"/>
  <c r="BI140" i="6"/>
  <c r="BH140" i="6"/>
  <c r="BG140" i="6"/>
  <c r="BF140" i="6"/>
  <c r="BE140" i="6"/>
  <c r="BD140" i="6"/>
  <c r="BC140" i="6"/>
  <c r="BA140" i="6"/>
  <c r="AZ140" i="6"/>
  <c r="AY140" i="6"/>
  <c r="AX140" i="6"/>
  <c r="AW140" i="6"/>
  <c r="AV140" i="6"/>
  <c r="AU140" i="6"/>
  <c r="AT140" i="6"/>
  <c r="AS140" i="6"/>
  <c r="AR140" i="6"/>
  <c r="AQ140" i="6"/>
  <c r="AO140" i="6"/>
  <c r="AN140" i="6"/>
  <c r="AM140" i="6"/>
  <c r="AL140" i="6"/>
  <c r="AK140" i="6"/>
  <c r="AJ140" i="6"/>
  <c r="AI140" i="6"/>
  <c r="AH140" i="6"/>
  <c r="AG140" i="6"/>
  <c r="AF140" i="6"/>
  <c r="AE140" i="6"/>
  <c r="AC140" i="6"/>
  <c r="AB140" i="6"/>
  <c r="AA140" i="6"/>
  <c r="Z140" i="6"/>
  <c r="Y140" i="6"/>
  <c r="X140" i="6"/>
  <c r="W140" i="6"/>
  <c r="V140" i="6"/>
  <c r="U140" i="6"/>
  <c r="T140" i="6"/>
  <c r="S140" i="6"/>
  <c r="Q140" i="6"/>
  <c r="EF140" i="6" s="1"/>
  <c r="P140" i="6"/>
  <c r="EE140" i="6" s="1"/>
  <c r="O140" i="6"/>
  <c r="ED140" i="6" s="1"/>
  <c r="N140" i="6"/>
  <c r="EC140" i="6" s="1"/>
  <c r="M140" i="6"/>
  <c r="EB140" i="6" s="1"/>
  <c r="L140" i="6"/>
  <c r="EA140" i="6" s="1"/>
  <c r="K140" i="6"/>
  <c r="DZ140" i="6" s="1"/>
  <c r="J140" i="6"/>
  <c r="DY140" i="6" s="1"/>
  <c r="I140" i="6"/>
  <c r="DX140" i="6" s="1"/>
  <c r="H140" i="6"/>
  <c r="DW140" i="6" s="1"/>
  <c r="G140" i="6"/>
  <c r="DV140" i="6" s="1"/>
  <c r="DU139" i="6"/>
  <c r="DT139" i="6"/>
  <c r="DS139" i="6"/>
  <c r="DR139" i="6"/>
  <c r="DQ139" i="6"/>
  <c r="DP139" i="6"/>
  <c r="DO139" i="6"/>
  <c r="DN139" i="6"/>
  <c r="DM139" i="6"/>
  <c r="DL139" i="6"/>
  <c r="DK139" i="6"/>
  <c r="DI139" i="6"/>
  <c r="DH139" i="6"/>
  <c r="DG139" i="6"/>
  <c r="DF139" i="6"/>
  <c r="DE139" i="6"/>
  <c r="DD139" i="6"/>
  <c r="DC139" i="6"/>
  <c r="DB139" i="6"/>
  <c r="DA139" i="6"/>
  <c r="CZ139" i="6"/>
  <c r="CY139" i="6"/>
  <c r="CW139" i="6"/>
  <c r="CV139" i="6"/>
  <c r="CU139" i="6"/>
  <c r="CT139" i="6"/>
  <c r="CS139" i="6"/>
  <c r="CR139" i="6"/>
  <c r="CQ139" i="6"/>
  <c r="CP139" i="6"/>
  <c r="CO139" i="6"/>
  <c r="CN139" i="6"/>
  <c r="CM139" i="6"/>
  <c r="CK139" i="6"/>
  <c r="CJ139" i="6"/>
  <c r="CI139" i="6"/>
  <c r="CH139" i="6"/>
  <c r="CG139" i="6"/>
  <c r="CF139" i="6"/>
  <c r="CE139" i="6"/>
  <c r="CD139" i="6"/>
  <c r="CC139" i="6"/>
  <c r="CB139" i="6"/>
  <c r="CA139" i="6"/>
  <c r="BY139" i="6"/>
  <c r="BX139" i="6"/>
  <c r="BW139" i="6"/>
  <c r="BV139" i="6"/>
  <c r="BU139" i="6"/>
  <c r="BT139" i="6"/>
  <c r="BS139" i="6"/>
  <c r="BR139" i="6"/>
  <c r="BQ139" i="6"/>
  <c r="BP139" i="6"/>
  <c r="BO139" i="6"/>
  <c r="BM139" i="6"/>
  <c r="BL139" i="6"/>
  <c r="BK139" i="6"/>
  <c r="BJ139" i="6"/>
  <c r="BI139" i="6"/>
  <c r="BH139" i="6"/>
  <c r="BG139" i="6"/>
  <c r="BF139" i="6"/>
  <c r="BE139" i="6"/>
  <c r="BD139" i="6"/>
  <c r="BC139" i="6"/>
  <c r="BA139" i="6"/>
  <c r="AZ139" i="6"/>
  <c r="AY139" i="6"/>
  <c r="AX139" i="6"/>
  <c r="AW139" i="6"/>
  <c r="AV139" i="6"/>
  <c r="AU139" i="6"/>
  <c r="AT139" i="6"/>
  <c r="AS139" i="6"/>
  <c r="AR139" i="6"/>
  <c r="AQ139" i="6"/>
  <c r="AO139" i="6"/>
  <c r="AN139" i="6"/>
  <c r="AM139" i="6"/>
  <c r="AL139" i="6"/>
  <c r="AK139" i="6"/>
  <c r="AJ139" i="6"/>
  <c r="AI139" i="6"/>
  <c r="AH139" i="6"/>
  <c r="AG139" i="6"/>
  <c r="AF139" i="6"/>
  <c r="AE139" i="6"/>
  <c r="AC139" i="6"/>
  <c r="AB139" i="6"/>
  <c r="AA139" i="6"/>
  <c r="Z139" i="6"/>
  <c r="Y139" i="6"/>
  <c r="X139" i="6"/>
  <c r="W139" i="6"/>
  <c r="V139" i="6"/>
  <c r="U139" i="6"/>
  <c r="T139" i="6"/>
  <c r="S139" i="6"/>
  <c r="Q139" i="6"/>
  <c r="EF139" i="6" s="1"/>
  <c r="P139" i="6"/>
  <c r="EE139" i="6" s="1"/>
  <c r="O139" i="6"/>
  <c r="ED139" i="6" s="1"/>
  <c r="N139" i="6"/>
  <c r="EC139" i="6" s="1"/>
  <c r="M139" i="6"/>
  <c r="EB139" i="6" s="1"/>
  <c r="EM139" i="6" s="1"/>
  <c r="L139" i="6"/>
  <c r="EA139" i="6" s="1"/>
  <c r="K139" i="6"/>
  <c r="DZ139" i="6" s="1"/>
  <c r="J139" i="6"/>
  <c r="DY139" i="6" s="1"/>
  <c r="I139" i="6"/>
  <c r="DX139" i="6" s="1"/>
  <c r="H139" i="6"/>
  <c r="DW139" i="6" s="1"/>
  <c r="G139" i="6"/>
  <c r="DV139" i="6" s="1"/>
  <c r="DU138" i="6"/>
  <c r="DT138" i="6"/>
  <c r="DS138" i="6"/>
  <c r="DR138" i="6"/>
  <c r="DQ138" i="6"/>
  <c r="DP138" i="6"/>
  <c r="DO138" i="6"/>
  <c r="DN138" i="6"/>
  <c r="DM138" i="6"/>
  <c r="DL138" i="6"/>
  <c r="DK138" i="6"/>
  <c r="DI138" i="6"/>
  <c r="DH138" i="6"/>
  <c r="DG138" i="6"/>
  <c r="DF138" i="6"/>
  <c r="DE138" i="6"/>
  <c r="DD138" i="6"/>
  <c r="DC138" i="6"/>
  <c r="DB138" i="6"/>
  <c r="DA138" i="6"/>
  <c r="CZ138" i="6"/>
  <c r="CY138" i="6"/>
  <c r="CW138" i="6"/>
  <c r="CV138" i="6"/>
  <c r="CU138" i="6"/>
  <c r="CT138" i="6"/>
  <c r="CS138" i="6"/>
  <c r="CR138" i="6"/>
  <c r="CQ138" i="6"/>
  <c r="CP138" i="6"/>
  <c r="CO138" i="6"/>
  <c r="CN138" i="6"/>
  <c r="CM138" i="6"/>
  <c r="CK138" i="6"/>
  <c r="CJ138" i="6"/>
  <c r="CI138" i="6"/>
  <c r="CH138" i="6"/>
  <c r="CG138" i="6"/>
  <c r="CF138" i="6"/>
  <c r="CE138" i="6"/>
  <c r="CD138" i="6"/>
  <c r="CC138" i="6"/>
  <c r="CB138" i="6"/>
  <c r="CA138" i="6"/>
  <c r="BY138" i="6"/>
  <c r="BX138" i="6"/>
  <c r="BW138" i="6"/>
  <c r="BV138" i="6"/>
  <c r="BU138" i="6"/>
  <c r="BT138" i="6"/>
  <c r="BS138" i="6"/>
  <c r="BR138" i="6"/>
  <c r="BQ138" i="6"/>
  <c r="BP138" i="6"/>
  <c r="BO138" i="6"/>
  <c r="BM138" i="6"/>
  <c r="BL138" i="6"/>
  <c r="BK138" i="6"/>
  <c r="BJ138" i="6"/>
  <c r="BI138" i="6"/>
  <c r="BH138" i="6"/>
  <c r="BG138" i="6"/>
  <c r="BF138" i="6"/>
  <c r="BE138" i="6"/>
  <c r="BD138" i="6"/>
  <c r="BC138" i="6"/>
  <c r="BA138" i="6"/>
  <c r="AZ138" i="6"/>
  <c r="AY138" i="6"/>
  <c r="AX138" i="6"/>
  <c r="AW138" i="6"/>
  <c r="AV138" i="6"/>
  <c r="AU138" i="6"/>
  <c r="AT138" i="6"/>
  <c r="AS138" i="6"/>
  <c r="AR138" i="6"/>
  <c r="AQ138" i="6"/>
  <c r="AO138" i="6"/>
  <c r="AN138" i="6"/>
  <c r="AM138" i="6"/>
  <c r="AL138" i="6"/>
  <c r="AK138" i="6"/>
  <c r="AJ138" i="6"/>
  <c r="AI138" i="6"/>
  <c r="AH138" i="6"/>
  <c r="AG138" i="6"/>
  <c r="AF138" i="6"/>
  <c r="AE138" i="6"/>
  <c r="AC138" i="6"/>
  <c r="AB138" i="6"/>
  <c r="AA138" i="6"/>
  <c r="Z138" i="6"/>
  <c r="Y138" i="6"/>
  <c r="X138" i="6"/>
  <c r="W138" i="6"/>
  <c r="V138" i="6"/>
  <c r="U138" i="6"/>
  <c r="T138" i="6"/>
  <c r="S138" i="6"/>
  <c r="Q138" i="6"/>
  <c r="EF138" i="6" s="1"/>
  <c r="P138" i="6"/>
  <c r="EE138" i="6" s="1"/>
  <c r="O138" i="6"/>
  <c r="ED138" i="6" s="1"/>
  <c r="EO138" i="6" s="1"/>
  <c r="N138" i="6"/>
  <c r="EC138" i="6" s="1"/>
  <c r="M138" i="6"/>
  <c r="EB138" i="6" s="1"/>
  <c r="L138" i="6"/>
  <c r="EA138" i="6" s="1"/>
  <c r="K138" i="6"/>
  <c r="DZ138" i="6" s="1"/>
  <c r="J138" i="6"/>
  <c r="DY138" i="6" s="1"/>
  <c r="I138" i="6"/>
  <c r="DX138" i="6" s="1"/>
  <c r="H138" i="6"/>
  <c r="DW138" i="6" s="1"/>
  <c r="G138" i="6"/>
  <c r="DV138" i="6" s="1"/>
  <c r="DU137" i="6"/>
  <c r="DT137" i="6"/>
  <c r="DS137" i="6"/>
  <c r="DR137" i="6"/>
  <c r="DQ137" i="6"/>
  <c r="DP137" i="6"/>
  <c r="DO137" i="6"/>
  <c r="DN137" i="6"/>
  <c r="DM137" i="6"/>
  <c r="DL137" i="6"/>
  <c r="DK137" i="6"/>
  <c r="DI137" i="6"/>
  <c r="DH137" i="6"/>
  <c r="DG137" i="6"/>
  <c r="DF137" i="6"/>
  <c r="DE137" i="6"/>
  <c r="DD137" i="6"/>
  <c r="DC137" i="6"/>
  <c r="DB137" i="6"/>
  <c r="DA137" i="6"/>
  <c r="CZ137" i="6"/>
  <c r="CY137" i="6"/>
  <c r="CW137" i="6"/>
  <c r="CV137" i="6"/>
  <c r="CU137" i="6"/>
  <c r="CT137" i="6"/>
  <c r="CS137" i="6"/>
  <c r="CR137" i="6"/>
  <c r="CQ137" i="6"/>
  <c r="CP137" i="6"/>
  <c r="CO137" i="6"/>
  <c r="CN137" i="6"/>
  <c r="CM137" i="6"/>
  <c r="CK137" i="6"/>
  <c r="CJ137" i="6"/>
  <c r="CI137" i="6"/>
  <c r="CH137" i="6"/>
  <c r="CG137" i="6"/>
  <c r="CF137" i="6"/>
  <c r="CE137" i="6"/>
  <c r="CD137" i="6"/>
  <c r="CC137" i="6"/>
  <c r="CB137" i="6"/>
  <c r="CA137" i="6"/>
  <c r="BY137" i="6"/>
  <c r="BX137" i="6"/>
  <c r="BW137" i="6"/>
  <c r="BV137" i="6"/>
  <c r="BU137" i="6"/>
  <c r="BT137" i="6"/>
  <c r="BS137" i="6"/>
  <c r="BR137" i="6"/>
  <c r="BQ137" i="6"/>
  <c r="BP137" i="6"/>
  <c r="BO137" i="6"/>
  <c r="BM137" i="6"/>
  <c r="BL137" i="6"/>
  <c r="BK137" i="6"/>
  <c r="BJ137" i="6"/>
  <c r="BI137" i="6"/>
  <c r="BH137" i="6"/>
  <c r="BG137" i="6"/>
  <c r="BF137" i="6"/>
  <c r="BE137" i="6"/>
  <c r="BD137" i="6"/>
  <c r="BC137" i="6"/>
  <c r="BA137" i="6"/>
  <c r="AZ137" i="6"/>
  <c r="AY137" i="6"/>
  <c r="AX137" i="6"/>
  <c r="AW137" i="6"/>
  <c r="AV137" i="6"/>
  <c r="AU137" i="6"/>
  <c r="AT137" i="6"/>
  <c r="AS137" i="6"/>
  <c r="AR137" i="6"/>
  <c r="AQ137" i="6"/>
  <c r="AO137" i="6"/>
  <c r="AN137" i="6"/>
  <c r="AM137" i="6"/>
  <c r="AL137" i="6"/>
  <c r="AK137" i="6"/>
  <c r="AJ137" i="6"/>
  <c r="AI137" i="6"/>
  <c r="AH137" i="6"/>
  <c r="AG137" i="6"/>
  <c r="AF137" i="6"/>
  <c r="AE137" i="6"/>
  <c r="AC137" i="6"/>
  <c r="AB137" i="6"/>
  <c r="AA137" i="6"/>
  <c r="Z137" i="6"/>
  <c r="Y137" i="6"/>
  <c r="X137" i="6"/>
  <c r="W137" i="6"/>
  <c r="V137" i="6"/>
  <c r="U137" i="6"/>
  <c r="T137" i="6"/>
  <c r="S137" i="6"/>
  <c r="Q137" i="6"/>
  <c r="EF137" i="6" s="1"/>
  <c r="P137" i="6"/>
  <c r="EE137" i="6" s="1"/>
  <c r="O137" i="6"/>
  <c r="ED137" i="6" s="1"/>
  <c r="N137" i="6"/>
  <c r="EC137" i="6" s="1"/>
  <c r="M137" i="6"/>
  <c r="EB137" i="6" s="1"/>
  <c r="L137" i="6"/>
  <c r="EA137" i="6" s="1"/>
  <c r="K137" i="6"/>
  <c r="DZ137" i="6" s="1"/>
  <c r="J137" i="6"/>
  <c r="DY137" i="6" s="1"/>
  <c r="I137" i="6"/>
  <c r="DX137" i="6" s="1"/>
  <c r="H137" i="6"/>
  <c r="DW137" i="6" s="1"/>
  <c r="G137" i="6"/>
  <c r="DV137" i="6" s="1"/>
  <c r="DU136" i="6"/>
  <c r="DT136" i="6"/>
  <c r="DS136" i="6"/>
  <c r="DR136" i="6"/>
  <c r="DQ136" i="6"/>
  <c r="DP136" i="6"/>
  <c r="DO136" i="6"/>
  <c r="DN136" i="6"/>
  <c r="DM136" i="6"/>
  <c r="DL136" i="6"/>
  <c r="DK136" i="6"/>
  <c r="DI136" i="6"/>
  <c r="DH136" i="6"/>
  <c r="DG136" i="6"/>
  <c r="DF136" i="6"/>
  <c r="DE136" i="6"/>
  <c r="DD136" i="6"/>
  <c r="DC136" i="6"/>
  <c r="DB136" i="6"/>
  <c r="DA136" i="6"/>
  <c r="CZ136" i="6"/>
  <c r="CY136" i="6"/>
  <c r="CW136" i="6"/>
  <c r="CV136" i="6"/>
  <c r="CU136" i="6"/>
  <c r="CT136" i="6"/>
  <c r="CS136" i="6"/>
  <c r="CR136" i="6"/>
  <c r="CQ136" i="6"/>
  <c r="CP136" i="6"/>
  <c r="CO136" i="6"/>
  <c r="CN136" i="6"/>
  <c r="CM136" i="6"/>
  <c r="CK136" i="6"/>
  <c r="CJ136" i="6"/>
  <c r="CI136" i="6"/>
  <c r="CH136" i="6"/>
  <c r="CG136" i="6"/>
  <c r="CF136" i="6"/>
  <c r="CE136" i="6"/>
  <c r="CD136" i="6"/>
  <c r="CC136" i="6"/>
  <c r="CB136" i="6"/>
  <c r="CA136" i="6"/>
  <c r="BY136" i="6"/>
  <c r="BX136" i="6"/>
  <c r="BW136" i="6"/>
  <c r="BV136" i="6"/>
  <c r="BU136" i="6"/>
  <c r="BT136" i="6"/>
  <c r="BS136" i="6"/>
  <c r="BR136" i="6"/>
  <c r="BQ136" i="6"/>
  <c r="BP136" i="6"/>
  <c r="BO136" i="6"/>
  <c r="BM136" i="6"/>
  <c r="BL136" i="6"/>
  <c r="BK136" i="6"/>
  <c r="BJ136" i="6"/>
  <c r="BI136" i="6"/>
  <c r="BH136" i="6"/>
  <c r="BG136" i="6"/>
  <c r="BF136" i="6"/>
  <c r="BE136" i="6"/>
  <c r="BD136" i="6"/>
  <c r="BC136" i="6"/>
  <c r="BA136" i="6"/>
  <c r="AZ136" i="6"/>
  <c r="AY136" i="6"/>
  <c r="AX136" i="6"/>
  <c r="AW136" i="6"/>
  <c r="AV136" i="6"/>
  <c r="AU136" i="6"/>
  <c r="AT136" i="6"/>
  <c r="AS136" i="6"/>
  <c r="AR136" i="6"/>
  <c r="AQ136" i="6"/>
  <c r="AO136" i="6"/>
  <c r="AN136" i="6"/>
  <c r="AM136" i="6"/>
  <c r="AL136" i="6"/>
  <c r="AK136" i="6"/>
  <c r="AJ136" i="6"/>
  <c r="AI136" i="6"/>
  <c r="AH136" i="6"/>
  <c r="AG136" i="6"/>
  <c r="AF136" i="6"/>
  <c r="AE136" i="6"/>
  <c r="AC136" i="6"/>
  <c r="AB136" i="6"/>
  <c r="AA136" i="6"/>
  <c r="Z136" i="6"/>
  <c r="Y136" i="6"/>
  <c r="X136" i="6"/>
  <c r="W136" i="6"/>
  <c r="V136" i="6"/>
  <c r="U136" i="6"/>
  <c r="T136" i="6"/>
  <c r="S136" i="6"/>
  <c r="Q136" i="6"/>
  <c r="EF136" i="6" s="1"/>
  <c r="P136" i="6"/>
  <c r="EE136" i="6" s="1"/>
  <c r="O136" i="6"/>
  <c r="ED136" i="6" s="1"/>
  <c r="N136" i="6"/>
  <c r="EC136" i="6" s="1"/>
  <c r="M136" i="6"/>
  <c r="EB136" i="6" s="1"/>
  <c r="L136" i="6"/>
  <c r="EA136" i="6" s="1"/>
  <c r="K136" i="6"/>
  <c r="DZ136" i="6" s="1"/>
  <c r="J136" i="6"/>
  <c r="DY136" i="6" s="1"/>
  <c r="I136" i="6"/>
  <c r="DX136" i="6" s="1"/>
  <c r="H136" i="6"/>
  <c r="DW136" i="6" s="1"/>
  <c r="G136" i="6"/>
  <c r="DV136" i="6" s="1"/>
  <c r="DU135" i="6"/>
  <c r="DT135" i="6"/>
  <c r="DS135" i="6"/>
  <c r="DR135" i="6"/>
  <c r="DQ135" i="6"/>
  <c r="DP135" i="6"/>
  <c r="DO135" i="6"/>
  <c r="DN135" i="6"/>
  <c r="DM135" i="6"/>
  <c r="DL135" i="6"/>
  <c r="DK135" i="6"/>
  <c r="DI135" i="6"/>
  <c r="DH135" i="6"/>
  <c r="DG135" i="6"/>
  <c r="DF135" i="6"/>
  <c r="DE135" i="6"/>
  <c r="DD135" i="6"/>
  <c r="DC135" i="6"/>
  <c r="DB135" i="6"/>
  <c r="DA135" i="6"/>
  <c r="CZ135" i="6"/>
  <c r="CY135" i="6"/>
  <c r="CW135" i="6"/>
  <c r="CV135" i="6"/>
  <c r="CU135" i="6"/>
  <c r="CT135" i="6"/>
  <c r="CS135" i="6"/>
  <c r="CR135" i="6"/>
  <c r="CQ135" i="6"/>
  <c r="CP135" i="6"/>
  <c r="CO135" i="6"/>
  <c r="CN135" i="6"/>
  <c r="CM135" i="6"/>
  <c r="CK135" i="6"/>
  <c r="CJ135" i="6"/>
  <c r="CI135" i="6"/>
  <c r="CH135" i="6"/>
  <c r="CG135" i="6"/>
  <c r="CF135" i="6"/>
  <c r="CE135" i="6"/>
  <c r="CD135" i="6"/>
  <c r="CC135" i="6"/>
  <c r="CB135" i="6"/>
  <c r="CA135" i="6"/>
  <c r="BY135" i="6"/>
  <c r="BX135" i="6"/>
  <c r="BW135" i="6"/>
  <c r="BV135" i="6"/>
  <c r="BU135" i="6"/>
  <c r="BT135" i="6"/>
  <c r="BS135" i="6"/>
  <c r="BR135" i="6"/>
  <c r="BQ135" i="6"/>
  <c r="BP135" i="6"/>
  <c r="BO135" i="6"/>
  <c r="BM135" i="6"/>
  <c r="BL135" i="6"/>
  <c r="BK135" i="6"/>
  <c r="BJ135" i="6"/>
  <c r="BI135" i="6"/>
  <c r="BH135" i="6"/>
  <c r="BG135" i="6"/>
  <c r="BF135" i="6"/>
  <c r="BE135" i="6"/>
  <c r="BD135" i="6"/>
  <c r="BC135" i="6"/>
  <c r="BA135" i="6"/>
  <c r="AZ135" i="6"/>
  <c r="AY135" i="6"/>
  <c r="AX135" i="6"/>
  <c r="AW135" i="6"/>
  <c r="AV135" i="6"/>
  <c r="AU135" i="6"/>
  <c r="AT135" i="6"/>
  <c r="AS135" i="6"/>
  <c r="AR135" i="6"/>
  <c r="AQ135" i="6"/>
  <c r="AO135" i="6"/>
  <c r="AN135" i="6"/>
  <c r="AM135" i="6"/>
  <c r="AL135" i="6"/>
  <c r="AK135" i="6"/>
  <c r="AJ135" i="6"/>
  <c r="AI135" i="6"/>
  <c r="AH135" i="6"/>
  <c r="AG135" i="6"/>
  <c r="AF135" i="6"/>
  <c r="AE135" i="6"/>
  <c r="AC135" i="6"/>
  <c r="AB135" i="6"/>
  <c r="AA135" i="6"/>
  <c r="Z135" i="6"/>
  <c r="Y135" i="6"/>
  <c r="X135" i="6"/>
  <c r="W135" i="6"/>
  <c r="V135" i="6"/>
  <c r="U135" i="6"/>
  <c r="T135" i="6"/>
  <c r="S135" i="6"/>
  <c r="Q135" i="6"/>
  <c r="EF135" i="6" s="1"/>
  <c r="P135" i="6"/>
  <c r="EE135" i="6" s="1"/>
  <c r="O135" i="6"/>
  <c r="ED135" i="6" s="1"/>
  <c r="N135" i="6"/>
  <c r="EC135" i="6" s="1"/>
  <c r="M135" i="6"/>
  <c r="EB135" i="6" s="1"/>
  <c r="L135" i="6"/>
  <c r="EA135" i="6" s="1"/>
  <c r="K135" i="6"/>
  <c r="DZ135" i="6" s="1"/>
  <c r="J135" i="6"/>
  <c r="DY135" i="6" s="1"/>
  <c r="I135" i="6"/>
  <c r="DX135" i="6" s="1"/>
  <c r="H135" i="6"/>
  <c r="DW135" i="6" s="1"/>
  <c r="G135" i="6"/>
  <c r="DV135" i="6" s="1"/>
  <c r="DU134" i="6"/>
  <c r="DT134" i="6"/>
  <c r="DS134" i="6"/>
  <c r="DR134" i="6"/>
  <c r="DQ134" i="6"/>
  <c r="DP134" i="6"/>
  <c r="DO134" i="6"/>
  <c r="DN134" i="6"/>
  <c r="DM134" i="6"/>
  <c r="DL134" i="6"/>
  <c r="DK134" i="6"/>
  <c r="DI134" i="6"/>
  <c r="DH134" i="6"/>
  <c r="DG134" i="6"/>
  <c r="DF134" i="6"/>
  <c r="DE134" i="6"/>
  <c r="DD134" i="6"/>
  <c r="DC134" i="6"/>
  <c r="DB134" i="6"/>
  <c r="DA134" i="6"/>
  <c r="CZ134" i="6"/>
  <c r="CY134" i="6"/>
  <c r="CW134" i="6"/>
  <c r="CV134" i="6"/>
  <c r="CU134" i="6"/>
  <c r="CT134" i="6"/>
  <c r="CS134" i="6"/>
  <c r="CR134" i="6"/>
  <c r="CQ134" i="6"/>
  <c r="CP134" i="6"/>
  <c r="CO134" i="6"/>
  <c r="CN134" i="6"/>
  <c r="CM134" i="6"/>
  <c r="CK134" i="6"/>
  <c r="CJ134" i="6"/>
  <c r="CI134" i="6"/>
  <c r="CH134" i="6"/>
  <c r="CG134" i="6"/>
  <c r="CF134" i="6"/>
  <c r="CE134" i="6"/>
  <c r="CD134" i="6"/>
  <c r="CC134" i="6"/>
  <c r="CB134" i="6"/>
  <c r="CA134" i="6"/>
  <c r="BY134" i="6"/>
  <c r="BX134" i="6"/>
  <c r="BW134" i="6"/>
  <c r="BV134" i="6"/>
  <c r="BU134" i="6"/>
  <c r="BT134" i="6"/>
  <c r="BS134" i="6"/>
  <c r="BR134" i="6"/>
  <c r="BQ134" i="6"/>
  <c r="BP134" i="6"/>
  <c r="BO134" i="6"/>
  <c r="BM134" i="6"/>
  <c r="BL134" i="6"/>
  <c r="BK134" i="6"/>
  <c r="BJ134" i="6"/>
  <c r="BI134" i="6"/>
  <c r="BH134" i="6"/>
  <c r="BG134" i="6"/>
  <c r="BF134" i="6"/>
  <c r="BE134" i="6"/>
  <c r="BD134" i="6"/>
  <c r="BC134" i="6"/>
  <c r="BA134" i="6"/>
  <c r="AZ134" i="6"/>
  <c r="AY134" i="6"/>
  <c r="AX134" i="6"/>
  <c r="AW134" i="6"/>
  <c r="AV134" i="6"/>
  <c r="AU134" i="6"/>
  <c r="AT134" i="6"/>
  <c r="AS134" i="6"/>
  <c r="AR134" i="6"/>
  <c r="AQ134" i="6"/>
  <c r="AO134" i="6"/>
  <c r="AN134" i="6"/>
  <c r="AM134" i="6"/>
  <c r="AL134" i="6"/>
  <c r="AK134" i="6"/>
  <c r="AJ134" i="6"/>
  <c r="AI134" i="6"/>
  <c r="AH134" i="6"/>
  <c r="AG134" i="6"/>
  <c r="AF134" i="6"/>
  <c r="AE134" i="6"/>
  <c r="AC134" i="6"/>
  <c r="AB134" i="6"/>
  <c r="AA134" i="6"/>
  <c r="Z134" i="6"/>
  <c r="Y134" i="6"/>
  <c r="X134" i="6"/>
  <c r="W134" i="6"/>
  <c r="V134" i="6"/>
  <c r="U134" i="6"/>
  <c r="T134" i="6"/>
  <c r="S134" i="6"/>
  <c r="Q134" i="6"/>
  <c r="EF134" i="6" s="1"/>
  <c r="P134" i="6"/>
  <c r="EE134" i="6" s="1"/>
  <c r="O134" i="6"/>
  <c r="ED134" i="6" s="1"/>
  <c r="N134" i="6"/>
  <c r="EC134" i="6" s="1"/>
  <c r="M134" i="6"/>
  <c r="EB134" i="6" s="1"/>
  <c r="L134" i="6"/>
  <c r="EA134" i="6" s="1"/>
  <c r="K134" i="6"/>
  <c r="DZ134" i="6" s="1"/>
  <c r="EK134" i="6" s="1"/>
  <c r="J134" i="6"/>
  <c r="DY134" i="6" s="1"/>
  <c r="I134" i="6"/>
  <c r="DX134" i="6" s="1"/>
  <c r="H134" i="6"/>
  <c r="DW134" i="6" s="1"/>
  <c r="G134" i="6"/>
  <c r="DV134" i="6" s="1"/>
  <c r="DU133" i="6"/>
  <c r="DT133" i="6"/>
  <c r="DS133" i="6"/>
  <c r="DR133" i="6"/>
  <c r="DQ133" i="6"/>
  <c r="DP133" i="6"/>
  <c r="DO133" i="6"/>
  <c r="DN133" i="6"/>
  <c r="DM133" i="6"/>
  <c r="DL133" i="6"/>
  <c r="DK133" i="6"/>
  <c r="DI133" i="6"/>
  <c r="DH133" i="6"/>
  <c r="DG133" i="6"/>
  <c r="DF133" i="6"/>
  <c r="DE133" i="6"/>
  <c r="DD133" i="6"/>
  <c r="DC133" i="6"/>
  <c r="DB133" i="6"/>
  <c r="DA133" i="6"/>
  <c r="CZ133" i="6"/>
  <c r="CY133" i="6"/>
  <c r="CW133" i="6"/>
  <c r="CV133" i="6"/>
  <c r="CU133" i="6"/>
  <c r="CT133" i="6"/>
  <c r="CS133" i="6"/>
  <c r="CR133" i="6"/>
  <c r="CQ133" i="6"/>
  <c r="CP133" i="6"/>
  <c r="CO133" i="6"/>
  <c r="CN133" i="6"/>
  <c r="CM133" i="6"/>
  <c r="CK133" i="6"/>
  <c r="CJ133" i="6"/>
  <c r="CI133" i="6"/>
  <c r="CH133" i="6"/>
  <c r="CG133" i="6"/>
  <c r="CF133" i="6"/>
  <c r="CE133" i="6"/>
  <c r="CD133" i="6"/>
  <c r="CC133" i="6"/>
  <c r="CB133" i="6"/>
  <c r="CA133" i="6"/>
  <c r="BY133" i="6"/>
  <c r="BX133" i="6"/>
  <c r="BW133" i="6"/>
  <c r="BV133" i="6"/>
  <c r="BU133" i="6"/>
  <c r="BT133" i="6"/>
  <c r="BS133" i="6"/>
  <c r="BR133" i="6"/>
  <c r="BQ133" i="6"/>
  <c r="BP133" i="6"/>
  <c r="BO133" i="6"/>
  <c r="BM133" i="6"/>
  <c r="BL133" i="6"/>
  <c r="BK133" i="6"/>
  <c r="BJ133" i="6"/>
  <c r="BI133" i="6"/>
  <c r="BH133" i="6"/>
  <c r="BG133" i="6"/>
  <c r="BF133" i="6"/>
  <c r="BE133" i="6"/>
  <c r="BD133" i="6"/>
  <c r="BC133" i="6"/>
  <c r="BA133" i="6"/>
  <c r="AZ133" i="6"/>
  <c r="AY133" i="6"/>
  <c r="AX133" i="6"/>
  <c r="AW133" i="6"/>
  <c r="AV133" i="6"/>
  <c r="AU133" i="6"/>
  <c r="AT133" i="6"/>
  <c r="AS133" i="6"/>
  <c r="AR133" i="6"/>
  <c r="AQ133" i="6"/>
  <c r="AO133" i="6"/>
  <c r="AN133" i="6"/>
  <c r="AM133" i="6"/>
  <c r="AL133" i="6"/>
  <c r="AK133" i="6"/>
  <c r="AJ133" i="6"/>
  <c r="AI133" i="6"/>
  <c r="AH133" i="6"/>
  <c r="AG133" i="6"/>
  <c r="AF133" i="6"/>
  <c r="AE133" i="6"/>
  <c r="AC133" i="6"/>
  <c r="AB133" i="6"/>
  <c r="AA133" i="6"/>
  <c r="Z133" i="6"/>
  <c r="Y133" i="6"/>
  <c r="X133" i="6"/>
  <c r="W133" i="6"/>
  <c r="V133" i="6"/>
  <c r="U133" i="6"/>
  <c r="T133" i="6"/>
  <c r="S133" i="6"/>
  <c r="Q133" i="6"/>
  <c r="EF133" i="6" s="1"/>
  <c r="P133" i="6"/>
  <c r="EE133" i="6" s="1"/>
  <c r="O133" i="6"/>
  <c r="ED133" i="6" s="1"/>
  <c r="N133" i="6"/>
  <c r="EC133" i="6" s="1"/>
  <c r="M133" i="6"/>
  <c r="EB133" i="6" s="1"/>
  <c r="L133" i="6"/>
  <c r="EA133" i="6" s="1"/>
  <c r="K133" i="6"/>
  <c r="DZ133" i="6" s="1"/>
  <c r="J133" i="6"/>
  <c r="DY133" i="6" s="1"/>
  <c r="I133" i="6"/>
  <c r="DX133" i="6" s="1"/>
  <c r="H133" i="6"/>
  <c r="DW133" i="6" s="1"/>
  <c r="G133" i="6"/>
  <c r="DV133" i="6" s="1"/>
  <c r="DU132" i="6"/>
  <c r="DT132" i="6"/>
  <c r="DS132" i="6"/>
  <c r="DR132" i="6"/>
  <c r="DQ132" i="6"/>
  <c r="DP132" i="6"/>
  <c r="DO132" i="6"/>
  <c r="DN132" i="6"/>
  <c r="DM132" i="6"/>
  <c r="DL132" i="6"/>
  <c r="DK132" i="6"/>
  <c r="DI132" i="6"/>
  <c r="DH132" i="6"/>
  <c r="DG132" i="6"/>
  <c r="DF132" i="6"/>
  <c r="DE132" i="6"/>
  <c r="DD132" i="6"/>
  <c r="DC132" i="6"/>
  <c r="DB132" i="6"/>
  <c r="DA132" i="6"/>
  <c r="CZ132" i="6"/>
  <c r="CY132" i="6"/>
  <c r="CW132" i="6"/>
  <c r="CV132" i="6"/>
  <c r="CU132" i="6"/>
  <c r="CT132" i="6"/>
  <c r="CS132" i="6"/>
  <c r="CR132" i="6"/>
  <c r="CQ132" i="6"/>
  <c r="CP132" i="6"/>
  <c r="CO132" i="6"/>
  <c r="CN132" i="6"/>
  <c r="CM132" i="6"/>
  <c r="CK132" i="6"/>
  <c r="CJ132" i="6"/>
  <c r="CI132" i="6"/>
  <c r="CH132" i="6"/>
  <c r="CG132" i="6"/>
  <c r="CF132" i="6"/>
  <c r="CE132" i="6"/>
  <c r="CD132" i="6"/>
  <c r="CC132" i="6"/>
  <c r="CB132" i="6"/>
  <c r="CA132" i="6"/>
  <c r="BY132" i="6"/>
  <c r="BX132" i="6"/>
  <c r="BW132" i="6"/>
  <c r="BV132" i="6"/>
  <c r="BU132" i="6"/>
  <c r="BT132" i="6"/>
  <c r="BS132" i="6"/>
  <c r="BR132" i="6"/>
  <c r="BQ132" i="6"/>
  <c r="BP132" i="6"/>
  <c r="BO132" i="6"/>
  <c r="BM132" i="6"/>
  <c r="BL132" i="6"/>
  <c r="BK132" i="6"/>
  <c r="BJ132" i="6"/>
  <c r="BI132" i="6"/>
  <c r="BH132" i="6"/>
  <c r="BG132" i="6"/>
  <c r="BF132" i="6"/>
  <c r="BE132" i="6"/>
  <c r="BD132" i="6"/>
  <c r="BC132" i="6"/>
  <c r="BA132" i="6"/>
  <c r="AZ132" i="6"/>
  <c r="AY132" i="6"/>
  <c r="AX132" i="6"/>
  <c r="AW132" i="6"/>
  <c r="AV132" i="6"/>
  <c r="AU132" i="6"/>
  <c r="AT132" i="6"/>
  <c r="AS132" i="6"/>
  <c r="AR132" i="6"/>
  <c r="AQ132" i="6"/>
  <c r="AO132" i="6"/>
  <c r="AN132" i="6"/>
  <c r="AM132" i="6"/>
  <c r="AL132" i="6"/>
  <c r="AK132" i="6"/>
  <c r="AJ132" i="6"/>
  <c r="AI132" i="6"/>
  <c r="AH132" i="6"/>
  <c r="AG132" i="6"/>
  <c r="AF132" i="6"/>
  <c r="AE132" i="6"/>
  <c r="AC132" i="6"/>
  <c r="AB132" i="6"/>
  <c r="AA132" i="6"/>
  <c r="Z132" i="6"/>
  <c r="Y132" i="6"/>
  <c r="X132" i="6"/>
  <c r="W132" i="6"/>
  <c r="V132" i="6"/>
  <c r="U132" i="6"/>
  <c r="T132" i="6"/>
  <c r="S132" i="6"/>
  <c r="Q132" i="6"/>
  <c r="EF132" i="6" s="1"/>
  <c r="P132" i="6"/>
  <c r="EE132" i="6" s="1"/>
  <c r="O132" i="6"/>
  <c r="ED132" i="6" s="1"/>
  <c r="N132" i="6"/>
  <c r="EC132" i="6" s="1"/>
  <c r="M132" i="6"/>
  <c r="EB132" i="6" s="1"/>
  <c r="L132" i="6"/>
  <c r="EA132" i="6" s="1"/>
  <c r="K132" i="6"/>
  <c r="DZ132" i="6" s="1"/>
  <c r="J132" i="6"/>
  <c r="DY132" i="6" s="1"/>
  <c r="I132" i="6"/>
  <c r="DX132" i="6" s="1"/>
  <c r="H132" i="6"/>
  <c r="DW132" i="6" s="1"/>
  <c r="G132" i="6"/>
  <c r="DV132" i="6" s="1"/>
  <c r="DU131" i="6"/>
  <c r="DT131" i="6"/>
  <c r="DS131" i="6"/>
  <c r="DR131" i="6"/>
  <c r="DQ131" i="6"/>
  <c r="DP131" i="6"/>
  <c r="DO131" i="6"/>
  <c r="DN131" i="6"/>
  <c r="DM131" i="6"/>
  <c r="DL131" i="6"/>
  <c r="DK131" i="6"/>
  <c r="DI131" i="6"/>
  <c r="DH131" i="6"/>
  <c r="DG131" i="6"/>
  <c r="DF131" i="6"/>
  <c r="DE131" i="6"/>
  <c r="DD131" i="6"/>
  <c r="DC131" i="6"/>
  <c r="DB131" i="6"/>
  <c r="DA131" i="6"/>
  <c r="CZ131" i="6"/>
  <c r="CY131" i="6"/>
  <c r="CW131" i="6"/>
  <c r="CV131" i="6"/>
  <c r="CU131" i="6"/>
  <c r="CT131" i="6"/>
  <c r="CS131" i="6"/>
  <c r="CR131" i="6"/>
  <c r="CQ131" i="6"/>
  <c r="CP131" i="6"/>
  <c r="CO131" i="6"/>
  <c r="CN131" i="6"/>
  <c r="CM131" i="6"/>
  <c r="CK131" i="6"/>
  <c r="CJ131" i="6"/>
  <c r="CI131" i="6"/>
  <c r="CH131" i="6"/>
  <c r="CG131" i="6"/>
  <c r="CF131" i="6"/>
  <c r="CE131" i="6"/>
  <c r="CD131" i="6"/>
  <c r="CC131" i="6"/>
  <c r="CB131" i="6"/>
  <c r="CA131" i="6"/>
  <c r="BY131" i="6"/>
  <c r="BX131" i="6"/>
  <c r="BW131" i="6"/>
  <c r="BV131" i="6"/>
  <c r="BU131" i="6"/>
  <c r="BT131" i="6"/>
  <c r="BS131" i="6"/>
  <c r="BR131" i="6"/>
  <c r="BQ131" i="6"/>
  <c r="BP131" i="6"/>
  <c r="BO131" i="6"/>
  <c r="BM131" i="6"/>
  <c r="BL131" i="6"/>
  <c r="BK131" i="6"/>
  <c r="BJ131" i="6"/>
  <c r="BI131" i="6"/>
  <c r="BH131" i="6"/>
  <c r="BG131" i="6"/>
  <c r="BF131" i="6"/>
  <c r="BE131" i="6"/>
  <c r="BD131" i="6"/>
  <c r="BC131" i="6"/>
  <c r="BA131" i="6"/>
  <c r="AZ131" i="6"/>
  <c r="AY131" i="6"/>
  <c r="AX131" i="6"/>
  <c r="AW131" i="6"/>
  <c r="AV131" i="6"/>
  <c r="AU131" i="6"/>
  <c r="AT131" i="6"/>
  <c r="AS131" i="6"/>
  <c r="AR131" i="6"/>
  <c r="AQ131" i="6"/>
  <c r="AO131" i="6"/>
  <c r="AN131" i="6"/>
  <c r="AM131" i="6"/>
  <c r="AL131" i="6"/>
  <c r="AK131" i="6"/>
  <c r="AJ131" i="6"/>
  <c r="AI131" i="6"/>
  <c r="AH131" i="6"/>
  <c r="AG131" i="6"/>
  <c r="AF131" i="6"/>
  <c r="AE131" i="6"/>
  <c r="AC131" i="6"/>
  <c r="AB131" i="6"/>
  <c r="AA131" i="6"/>
  <c r="Z131" i="6"/>
  <c r="Y131" i="6"/>
  <c r="X131" i="6"/>
  <c r="W131" i="6"/>
  <c r="V131" i="6"/>
  <c r="U131" i="6"/>
  <c r="T131" i="6"/>
  <c r="S131" i="6"/>
  <c r="Q131" i="6"/>
  <c r="EF131" i="6" s="1"/>
  <c r="P131" i="6"/>
  <c r="EE131" i="6" s="1"/>
  <c r="O131" i="6"/>
  <c r="ED131" i="6" s="1"/>
  <c r="N131" i="6"/>
  <c r="EC131" i="6" s="1"/>
  <c r="M131" i="6"/>
  <c r="EB131" i="6" s="1"/>
  <c r="L131" i="6"/>
  <c r="EA131" i="6" s="1"/>
  <c r="K131" i="6"/>
  <c r="DZ131" i="6" s="1"/>
  <c r="J131" i="6"/>
  <c r="DY131" i="6" s="1"/>
  <c r="I131" i="6"/>
  <c r="DX131" i="6" s="1"/>
  <c r="H131" i="6"/>
  <c r="DW131" i="6" s="1"/>
  <c r="G131" i="6"/>
  <c r="DV131" i="6" s="1"/>
  <c r="DU130" i="6"/>
  <c r="DT130" i="6"/>
  <c r="DS130" i="6"/>
  <c r="DR130" i="6"/>
  <c r="DQ130" i="6"/>
  <c r="DP130" i="6"/>
  <c r="DO130" i="6"/>
  <c r="DN130" i="6"/>
  <c r="DM130" i="6"/>
  <c r="DL130" i="6"/>
  <c r="DK130" i="6"/>
  <c r="DI130" i="6"/>
  <c r="DH130" i="6"/>
  <c r="DG130" i="6"/>
  <c r="DF130" i="6"/>
  <c r="DE130" i="6"/>
  <c r="DD130" i="6"/>
  <c r="DC130" i="6"/>
  <c r="DB130" i="6"/>
  <c r="DA130" i="6"/>
  <c r="CZ130" i="6"/>
  <c r="CY130" i="6"/>
  <c r="CW130" i="6"/>
  <c r="CV130" i="6"/>
  <c r="CU130" i="6"/>
  <c r="CT130" i="6"/>
  <c r="CS130" i="6"/>
  <c r="CR130" i="6"/>
  <c r="CQ130" i="6"/>
  <c r="CP130" i="6"/>
  <c r="CO130" i="6"/>
  <c r="CN130" i="6"/>
  <c r="CM130" i="6"/>
  <c r="CK130" i="6"/>
  <c r="CJ130" i="6"/>
  <c r="CI130" i="6"/>
  <c r="CH130" i="6"/>
  <c r="CG130" i="6"/>
  <c r="CF130" i="6"/>
  <c r="CE130" i="6"/>
  <c r="CD130" i="6"/>
  <c r="CC130" i="6"/>
  <c r="CB130" i="6"/>
  <c r="CA130" i="6"/>
  <c r="BY130" i="6"/>
  <c r="BX130" i="6"/>
  <c r="BW130" i="6"/>
  <c r="BV130" i="6"/>
  <c r="BU130" i="6"/>
  <c r="BT130" i="6"/>
  <c r="BS130" i="6"/>
  <c r="BR130" i="6"/>
  <c r="BQ130" i="6"/>
  <c r="BP130" i="6"/>
  <c r="BO130" i="6"/>
  <c r="BM130" i="6"/>
  <c r="BL130" i="6"/>
  <c r="BK130" i="6"/>
  <c r="BJ130" i="6"/>
  <c r="BI130" i="6"/>
  <c r="BH130" i="6"/>
  <c r="BG130" i="6"/>
  <c r="BF130" i="6"/>
  <c r="BE130" i="6"/>
  <c r="BD130" i="6"/>
  <c r="BC130" i="6"/>
  <c r="BA130" i="6"/>
  <c r="AZ130" i="6"/>
  <c r="AY130" i="6"/>
  <c r="AX130" i="6"/>
  <c r="AW130" i="6"/>
  <c r="AV130" i="6"/>
  <c r="AU130" i="6"/>
  <c r="AT130" i="6"/>
  <c r="AS130" i="6"/>
  <c r="AR130" i="6"/>
  <c r="AQ130" i="6"/>
  <c r="AO130" i="6"/>
  <c r="AN130" i="6"/>
  <c r="AM130" i="6"/>
  <c r="AL130" i="6"/>
  <c r="AK130" i="6"/>
  <c r="AJ130" i="6"/>
  <c r="AI130" i="6"/>
  <c r="AH130" i="6"/>
  <c r="AG130" i="6"/>
  <c r="AF130" i="6"/>
  <c r="AE130" i="6"/>
  <c r="AC130" i="6"/>
  <c r="AB130" i="6"/>
  <c r="AA130" i="6"/>
  <c r="Z130" i="6"/>
  <c r="Y130" i="6"/>
  <c r="X130" i="6"/>
  <c r="W130" i="6"/>
  <c r="V130" i="6"/>
  <c r="U130" i="6"/>
  <c r="T130" i="6"/>
  <c r="S130" i="6"/>
  <c r="Q130" i="6"/>
  <c r="EF130" i="6" s="1"/>
  <c r="P130" i="6"/>
  <c r="EE130" i="6" s="1"/>
  <c r="O130" i="6"/>
  <c r="ED130" i="6" s="1"/>
  <c r="N130" i="6"/>
  <c r="EC130" i="6" s="1"/>
  <c r="M130" i="6"/>
  <c r="EB130" i="6" s="1"/>
  <c r="L130" i="6"/>
  <c r="EA130" i="6" s="1"/>
  <c r="K130" i="6"/>
  <c r="DZ130" i="6" s="1"/>
  <c r="J130" i="6"/>
  <c r="DY130" i="6" s="1"/>
  <c r="I130" i="6"/>
  <c r="DX130" i="6" s="1"/>
  <c r="H130" i="6"/>
  <c r="DW130" i="6" s="1"/>
  <c r="G130" i="6"/>
  <c r="DV130" i="6" s="1"/>
  <c r="DU129" i="6"/>
  <c r="DT129" i="6"/>
  <c r="DS129" i="6"/>
  <c r="DR129" i="6"/>
  <c r="DQ129" i="6"/>
  <c r="DP129" i="6"/>
  <c r="DO129" i="6"/>
  <c r="DN129" i="6"/>
  <c r="DM129" i="6"/>
  <c r="DL129" i="6"/>
  <c r="DK129" i="6"/>
  <c r="DI129" i="6"/>
  <c r="DH129" i="6"/>
  <c r="DG129" i="6"/>
  <c r="DF129" i="6"/>
  <c r="DE129" i="6"/>
  <c r="DD129" i="6"/>
  <c r="DC129" i="6"/>
  <c r="DB129" i="6"/>
  <c r="DA129" i="6"/>
  <c r="CZ129" i="6"/>
  <c r="CY129" i="6"/>
  <c r="CW129" i="6"/>
  <c r="CV129" i="6"/>
  <c r="CU129" i="6"/>
  <c r="CT129" i="6"/>
  <c r="CS129" i="6"/>
  <c r="CR129" i="6"/>
  <c r="CQ129" i="6"/>
  <c r="CP129" i="6"/>
  <c r="CO129" i="6"/>
  <c r="CN129" i="6"/>
  <c r="CM129" i="6"/>
  <c r="CK129" i="6"/>
  <c r="CJ129" i="6"/>
  <c r="CI129" i="6"/>
  <c r="CH129" i="6"/>
  <c r="CG129" i="6"/>
  <c r="CF129" i="6"/>
  <c r="CE129" i="6"/>
  <c r="CD129" i="6"/>
  <c r="CC129" i="6"/>
  <c r="CB129" i="6"/>
  <c r="CA129" i="6"/>
  <c r="BY129" i="6"/>
  <c r="BX129" i="6"/>
  <c r="BW129" i="6"/>
  <c r="BV129" i="6"/>
  <c r="BU129" i="6"/>
  <c r="BT129" i="6"/>
  <c r="BS129" i="6"/>
  <c r="BR129" i="6"/>
  <c r="BQ129" i="6"/>
  <c r="BP129" i="6"/>
  <c r="BO129" i="6"/>
  <c r="BM129" i="6"/>
  <c r="BL129" i="6"/>
  <c r="BK129" i="6"/>
  <c r="BJ129" i="6"/>
  <c r="BI129" i="6"/>
  <c r="BH129" i="6"/>
  <c r="BG129" i="6"/>
  <c r="BF129" i="6"/>
  <c r="BE129" i="6"/>
  <c r="BD129" i="6"/>
  <c r="BC129" i="6"/>
  <c r="BA129" i="6"/>
  <c r="AZ129" i="6"/>
  <c r="AY129" i="6"/>
  <c r="AX129" i="6"/>
  <c r="AW129" i="6"/>
  <c r="AV129" i="6"/>
  <c r="AU129" i="6"/>
  <c r="AT129" i="6"/>
  <c r="AS129" i="6"/>
  <c r="AR129" i="6"/>
  <c r="AQ129" i="6"/>
  <c r="AO129" i="6"/>
  <c r="AN129" i="6"/>
  <c r="AM129" i="6"/>
  <c r="AL129" i="6"/>
  <c r="AK129" i="6"/>
  <c r="AJ129" i="6"/>
  <c r="AI129" i="6"/>
  <c r="AH129" i="6"/>
  <c r="AG129" i="6"/>
  <c r="AF129" i="6"/>
  <c r="AE129" i="6"/>
  <c r="AC129" i="6"/>
  <c r="AB129" i="6"/>
  <c r="AA129" i="6"/>
  <c r="Z129" i="6"/>
  <c r="Y129" i="6"/>
  <c r="X129" i="6"/>
  <c r="W129" i="6"/>
  <c r="V129" i="6"/>
  <c r="U129" i="6"/>
  <c r="T129" i="6"/>
  <c r="S129" i="6"/>
  <c r="Q129" i="6"/>
  <c r="EF129" i="6" s="1"/>
  <c r="P129" i="6"/>
  <c r="EE129" i="6" s="1"/>
  <c r="O129" i="6"/>
  <c r="ED129" i="6" s="1"/>
  <c r="N129" i="6"/>
  <c r="EC129" i="6" s="1"/>
  <c r="M129" i="6"/>
  <c r="EB129" i="6" s="1"/>
  <c r="L129" i="6"/>
  <c r="EA129" i="6" s="1"/>
  <c r="K129" i="6"/>
  <c r="DZ129" i="6" s="1"/>
  <c r="J129" i="6"/>
  <c r="DY129" i="6" s="1"/>
  <c r="I129" i="6"/>
  <c r="DX129" i="6" s="1"/>
  <c r="EI129" i="6" s="1"/>
  <c r="H129" i="6"/>
  <c r="DW129" i="6" s="1"/>
  <c r="G129" i="6"/>
  <c r="DV129" i="6" s="1"/>
  <c r="DU128" i="6"/>
  <c r="DT128" i="6"/>
  <c r="DS128" i="6"/>
  <c r="DR128" i="6"/>
  <c r="DQ128" i="6"/>
  <c r="DP128" i="6"/>
  <c r="DO128" i="6"/>
  <c r="DN128" i="6"/>
  <c r="DM128" i="6"/>
  <c r="DL128" i="6"/>
  <c r="DK128" i="6"/>
  <c r="DI128" i="6"/>
  <c r="DH128" i="6"/>
  <c r="DG128" i="6"/>
  <c r="DF128" i="6"/>
  <c r="DE128" i="6"/>
  <c r="DD128" i="6"/>
  <c r="DC128" i="6"/>
  <c r="DB128" i="6"/>
  <c r="DA128" i="6"/>
  <c r="CZ128" i="6"/>
  <c r="CY128" i="6"/>
  <c r="CW128" i="6"/>
  <c r="CV128" i="6"/>
  <c r="CU128" i="6"/>
  <c r="CT128" i="6"/>
  <c r="CS128" i="6"/>
  <c r="CR128" i="6"/>
  <c r="CQ128" i="6"/>
  <c r="CP128" i="6"/>
  <c r="CO128" i="6"/>
  <c r="CN128" i="6"/>
  <c r="CM128" i="6"/>
  <c r="CK128" i="6"/>
  <c r="CJ128" i="6"/>
  <c r="CI128" i="6"/>
  <c r="CH128" i="6"/>
  <c r="CG128" i="6"/>
  <c r="CF128" i="6"/>
  <c r="CE128" i="6"/>
  <c r="CD128" i="6"/>
  <c r="CC128" i="6"/>
  <c r="CB128" i="6"/>
  <c r="CA128" i="6"/>
  <c r="BY128" i="6"/>
  <c r="BX128" i="6"/>
  <c r="BW128" i="6"/>
  <c r="BV128" i="6"/>
  <c r="BU128" i="6"/>
  <c r="BT128" i="6"/>
  <c r="BS128" i="6"/>
  <c r="BR128" i="6"/>
  <c r="BQ128" i="6"/>
  <c r="BP128" i="6"/>
  <c r="BO128" i="6"/>
  <c r="BM128" i="6"/>
  <c r="BL128" i="6"/>
  <c r="BK128" i="6"/>
  <c r="BJ128" i="6"/>
  <c r="BI128" i="6"/>
  <c r="BH128" i="6"/>
  <c r="BG128" i="6"/>
  <c r="BF128" i="6"/>
  <c r="BE128" i="6"/>
  <c r="BD128" i="6"/>
  <c r="BC128" i="6"/>
  <c r="BA128" i="6"/>
  <c r="AZ128" i="6"/>
  <c r="AY128" i="6"/>
  <c r="AX128" i="6"/>
  <c r="AW128" i="6"/>
  <c r="AV128" i="6"/>
  <c r="AU128" i="6"/>
  <c r="AT128" i="6"/>
  <c r="AS128" i="6"/>
  <c r="AR128" i="6"/>
  <c r="AQ128" i="6"/>
  <c r="AO128" i="6"/>
  <c r="AN128" i="6"/>
  <c r="AM128" i="6"/>
  <c r="AL128" i="6"/>
  <c r="AK128" i="6"/>
  <c r="AJ128" i="6"/>
  <c r="AI128" i="6"/>
  <c r="AH128" i="6"/>
  <c r="AG128" i="6"/>
  <c r="AF128" i="6"/>
  <c r="AE128" i="6"/>
  <c r="AC128" i="6"/>
  <c r="AB128" i="6"/>
  <c r="AA128" i="6"/>
  <c r="Z128" i="6"/>
  <c r="Y128" i="6"/>
  <c r="X128" i="6"/>
  <c r="W128" i="6"/>
  <c r="V128" i="6"/>
  <c r="U128" i="6"/>
  <c r="T128" i="6"/>
  <c r="S128" i="6"/>
  <c r="Q128" i="6"/>
  <c r="EF128" i="6" s="1"/>
  <c r="P128" i="6"/>
  <c r="EE128" i="6" s="1"/>
  <c r="O128" i="6"/>
  <c r="ED128" i="6" s="1"/>
  <c r="N128" i="6"/>
  <c r="EC128" i="6" s="1"/>
  <c r="M128" i="6"/>
  <c r="EB128" i="6" s="1"/>
  <c r="L128" i="6"/>
  <c r="EA128" i="6" s="1"/>
  <c r="K128" i="6"/>
  <c r="DZ128" i="6" s="1"/>
  <c r="J128" i="6"/>
  <c r="DY128" i="6" s="1"/>
  <c r="I128" i="6"/>
  <c r="DX128" i="6" s="1"/>
  <c r="H128" i="6"/>
  <c r="DW128" i="6" s="1"/>
  <c r="G128" i="6"/>
  <c r="DV128" i="6" s="1"/>
  <c r="DU127" i="6"/>
  <c r="DT127" i="6"/>
  <c r="DS127" i="6"/>
  <c r="DR127" i="6"/>
  <c r="DQ127" i="6"/>
  <c r="DP127" i="6"/>
  <c r="DO127" i="6"/>
  <c r="DN127" i="6"/>
  <c r="DM127" i="6"/>
  <c r="DL127" i="6"/>
  <c r="DK127" i="6"/>
  <c r="DI127" i="6"/>
  <c r="DH127" i="6"/>
  <c r="DG127" i="6"/>
  <c r="DF127" i="6"/>
  <c r="DE127" i="6"/>
  <c r="DD127" i="6"/>
  <c r="DC127" i="6"/>
  <c r="DB127" i="6"/>
  <c r="DA127" i="6"/>
  <c r="CZ127" i="6"/>
  <c r="CY127" i="6"/>
  <c r="CW127" i="6"/>
  <c r="CV127" i="6"/>
  <c r="CU127" i="6"/>
  <c r="CT127" i="6"/>
  <c r="CS127" i="6"/>
  <c r="CR127" i="6"/>
  <c r="CQ127" i="6"/>
  <c r="CP127" i="6"/>
  <c r="CO127" i="6"/>
  <c r="CN127" i="6"/>
  <c r="CM127" i="6"/>
  <c r="CK127" i="6"/>
  <c r="CJ127" i="6"/>
  <c r="CI127" i="6"/>
  <c r="CH127" i="6"/>
  <c r="CG127" i="6"/>
  <c r="CF127" i="6"/>
  <c r="CE127" i="6"/>
  <c r="CD127" i="6"/>
  <c r="CC127" i="6"/>
  <c r="CB127" i="6"/>
  <c r="CA127" i="6"/>
  <c r="BY127" i="6"/>
  <c r="BX127" i="6"/>
  <c r="BW127" i="6"/>
  <c r="BV127" i="6"/>
  <c r="BU127" i="6"/>
  <c r="BT127" i="6"/>
  <c r="BS127" i="6"/>
  <c r="BR127" i="6"/>
  <c r="BQ127" i="6"/>
  <c r="BP127" i="6"/>
  <c r="BO127" i="6"/>
  <c r="BM127" i="6"/>
  <c r="BL127" i="6"/>
  <c r="BK127" i="6"/>
  <c r="BJ127" i="6"/>
  <c r="BI127" i="6"/>
  <c r="BH127" i="6"/>
  <c r="BG127" i="6"/>
  <c r="BF127" i="6"/>
  <c r="BE127" i="6"/>
  <c r="BD127" i="6"/>
  <c r="BC127" i="6"/>
  <c r="BA127" i="6"/>
  <c r="AZ127" i="6"/>
  <c r="AY127" i="6"/>
  <c r="AX127" i="6"/>
  <c r="AW127" i="6"/>
  <c r="AV127" i="6"/>
  <c r="AU127" i="6"/>
  <c r="AT127" i="6"/>
  <c r="AS127" i="6"/>
  <c r="AR127" i="6"/>
  <c r="AQ127" i="6"/>
  <c r="AO127" i="6"/>
  <c r="AN127" i="6"/>
  <c r="AM127" i="6"/>
  <c r="AL127" i="6"/>
  <c r="AK127" i="6"/>
  <c r="AJ127" i="6"/>
  <c r="AI127" i="6"/>
  <c r="AH127" i="6"/>
  <c r="AG127" i="6"/>
  <c r="AF127" i="6"/>
  <c r="AE127" i="6"/>
  <c r="AC127" i="6"/>
  <c r="AB127" i="6"/>
  <c r="AA127" i="6"/>
  <c r="Z127" i="6"/>
  <c r="Y127" i="6"/>
  <c r="X127" i="6"/>
  <c r="W127" i="6"/>
  <c r="V127" i="6"/>
  <c r="U127" i="6"/>
  <c r="T127" i="6"/>
  <c r="S127" i="6"/>
  <c r="Q127" i="6"/>
  <c r="EF127" i="6" s="1"/>
  <c r="P127" i="6"/>
  <c r="EE127" i="6" s="1"/>
  <c r="O127" i="6"/>
  <c r="ED127" i="6" s="1"/>
  <c r="N127" i="6"/>
  <c r="EC127" i="6" s="1"/>
  <c r="M127" i="6"/>
  <c r="EB127" i="6" s="1"/>
  <c r="L127" i="6"/>
  <c r="EA127" i="6" s="1"/>
  <c r="K127" i="6"/>
  <c r="DZ127" i="6" s="1"/>
  <c r="J127" i="6"/>
  <c r="DY127" i="6" s="1"/>
  <c r="I127" i="6"/>
  <c r="DX127" i="6" s="1"/>
  <c r="H127" i="6"/>
  <c r="DW127" i="6" s="1"/>
  <c r="G127" i="6"/>
  <c r="DV127" i="6" s="1"/>
  <c r="DU126" i="6"/>
  <c r="DT126" i="6"/>
  <c r="DS126" i="6"/>
  <c r="DR126" i="6"/>
  <c r="DQ126" i="6"/>
  <c r="DP126" i="6"/>
  <c r="DO126" i="6"/>
  <c r="DN126" i="6"/>
  <c r="DM126" i="6"/>
  <c r="DL126" i="6"/>
  <c r="DK126" i="6"/>
  <c r="DI126" i="6"/>
  <c r="DH126" i="6"/>
  <c r="DG126" i="6"/>
  <c r="DF126" i="6"/>
  <c r="DE126" i="6"/>
  <c r="DD126" i="6"/>
  <c r="DC126" i="6"/>
  <c r="DB126" i="6"/>
  <c r="DA126" i="6"/>
  <c r="CZ126" i="6"/>
  <c r="CY126" i="6"/>
  <c r="CW126" i="6"/>
  <c r="CV126" i="6"/>
  <c r="CU126" i="6"/>
  <c r="CT126" i="6"/>
  <c r="CS126" i="6"/>
  <c r="CR126" i="6"/>
  <c r="CQ126" i="6"/>
  <c r="CP126" i="6"/>
  <c r="CO126" i="6"/>
  <c r="CN126" i="6"/>
  <c r="CM126" i="6"/>
  <c r="CK126" i="6"/>
  <c r="CJ126" i="6"/>
  <c r="CI126" i="6"/>
  <c r="CH126" i="6"/>
  <c r="CG126" i="6"/>
  <c r="CF126" i="6"/>
  <c r="CE126" i="6"/>
  <c r="CD126" i="6"/>
  <c r="CC126" i="6"/>
  <c r="CB126" i="6"/>
  <c r="CA126" i="6"/>
  <c r="BY126" i="6"/>
  <c r="BX126" i="6"/>
  <c r="BW126" i="6"/>
  <c r="BV126" i="6"/>
  <c r="BU126" i="6"/>
  <c r="BT126" i="6"/>
  <c r="BS126" i="6"/>
  <c r="BR126" i="6"/>
  <c r="BQ126" i="6"/>
  <c r="BP126" i="6"/>
  <c r="BO126" i="6"/>
  <c r="BM126" i="6"/>
  <c r="BL126" i="6"/>
  <c r="BK126" i="6"/>
  <c r="BJ126" i="6"/>
  <c r="BI126" i="6"/>
  <c r="BH126" i="6"/>
  <c r="BG126" i="6"/>
  <c r="BF126" i="6"/>
  <c r="BE126" i="6"/>
  <c r="BD126" i="6"/>
  <c r="BC126" i="6"/>
  <c r="BA126" i="6"/>
  <c r="AZ126" i="6"/>
  <c r="AY126" i="6"/>
  <c r="AX126" i="6"/>
  <c r="AW126" i="6"/>
  <c r="AV126" i="6"/>
  <c r="AU126" i="6"/>
  <c r="AT126" i="6"/>
  <c r="AS126" i="6"/>
  <c r="AR126" i="6"/>
  <c r="AQ126" i="6"/>
  <c r="AO126" i="6"/>
  <c r="AN126" i="6"/>
  <c r="AM126" i="6"/>
  <c r="AL126" i="6"/>
  <c r="AK126" i="6"/>
  <c r="AJ126" i="6"/>
  <c r="AI126" i="6"/>
  <c r="AH126" i="6"/>
  <c r="AG126" i="6"/>
  <c r="AF126" i="6"/>
  <c r="AE126" i="6"/>
  <c r="AC126" i="6"/>
  <c r="AB126" i="6"/>
  <c r="AA126" i="6"/>
  <c r="Z126" i="6"/>
  <c r="Y126" i="6"/>
  <c r="X126" i="6"/>
  <c r="W126" i="6"/>
  <c r="V126" i="6"/>
  <c r="U126" i="6"/>
  <c r="T126" i="6"/>
  <c r="S126" i="6"/>
  <c r="Q126" i="6"/>
  <c r="EF126" i="6" s="1"/>
  <c r="P126" i="6"/>
  <c r="EE126" i="6" s="1"/>
  <c r="O126" i="6"/>
  <c r="ED126" i="6" s="1"/>
  <c r="N126" i="6"/>
  <c r="EC126" i="6" s="1"/>
  <c r="M126" i="6"/>
  <c r="EB126" i="6" s="1"/>
  <c r="L126" i="6"/>
  <c r="EA126" i="6" s="1"/>
  <c r="K126" i="6"/>
  <c r="DZ126" i="6" s="1"/>
  <c r="J126" i="6"/>
  <c r="DY126" i="6" s="1"/>
  <c r="I126" i="6"/>
  <c r="DX126" i="6" s="1"/>
  <c r="H126" i="6"/>
  <c r="DW126" i="6" s="1"/>
  <c r="G126" i="6"/>
  <c r="DV126" i="6" s="1"/>
  <c r="DU125" i="6"/>
  <c r="DT125" i="6"/>
  <c r="DS125" i="6"/>
  <c r="DR125" i="6"/>
  <c r="DQ125" i="6"/>
  <c r="DP125" i="6"/>
  <c r="DO125" i="6"/>
  <c r="DN125" i="6"/>
  <c r="DM125" i="6"/>
  <c r="DL125" i="6"/>
  <c r="DK125" i="6"/>
  <c r="DI125" i="6"/>
  <c r="DH125" i="6"/>
  <c r="DG125" i="6"/>
  <c r="DF125" i="6"/>
  <c r="DE125" i="6"/>
  <c r="DD125" i="6"/>
  <c r="DC125" i="6"/>
  <c r="DB125" i="6"/>
  <c r="DA125" i="6"/>
  <c r="CZ125" i="6"/>
  <c r="CY125" i="6"/>
  <c r="CW125" i="6"/>
  <c r="CV125" i="6"/>
  <c r="CU125" i="6"/>
  <c r="CT125" i="6"/>
  <c r="CS125" i="6"/>
  <c r="CR125" i="6"/>
  <c r="CQ125" i="6"/>
  <c r="CP125" i="6"/>
  <c r="CO125" i="6"/>
  <c r="CN125" i="6"/>
  <c r="CM125" i="6"/>
  <c r="CK125" i="6"/>
  <c r="CJ125" i="6"/>
  <c r="CI125" i="6"/>
  <c r="CH125" i="6"/>
  <c r="CG125" i="6"/>
  <c r="CF125" i="6"/>
  <c r="CE125" i="6"/>
  <c r="CD125" i="6"/>
  <c r="CC125" i="6"/>
  <c r="CB125" i="6"/>
  <c r="CA125" i="6"/>
  <c r="BY125" i="6"/>
  <c r="BX125" i="6"/>
  <c r="BW125" i="6"/>
  <c r="BV125" i="6"/>
  <c r="BU125" i="6"/>
  <c r="BT125" i="6"/>
  <c r="BS125" i="6"/>
  <c r="BR125" i="6"/>
  <c r="BQ125" i="6"/>
  <c r="BP125" i="6"/>
  <c r="BO125" i="6"/>
  <c r="BM125" i="6"/>
  <c r="BL125" i="6"/>
  <c r="BK125" i="6"/>
  <c r="BJ125" i="6"/>
  <c r="BI125" i="6"/>
  <c r="BH125" i="6"/>
  <c r="BG125" i="6"/>
  <c r="BF125" i="6"/>
  <c r="BE125" i="6"/>
  <c r="BD125" i="6"/>
  <c r="BC125" i="6"/>
  <c r="BA125" i="6"/>
  <c r="AZ125" i="6"/>
  <c r="AY125" i="6"/>
  <c r="AX125" i="6"/>
  <c r="AW125" i="6"/>
  <c r="AV125" i="6"/>
  <c r="AU125" i="6"/>
  <c r="AT125" i="6"/>
  <c r="AS125" i="6"/>
  <c r="AR125" i="6"/>
  <c r="AQ125" i="6"/>
  <c r="AO125" i="6"/>
  <c r="AN125" i="6"/>
  <c r="AM125" i="6"/>
  <c r="AL125" i="6"/>
  <c r="AK125" i="6"/>
  <c r="AJ125" i="6"/>
  <c r="AI125" i="6"/>
  <c r="AH125" i="6"/>
  <c r="AG125" i="6"/>
  <c r="AF125" i="6"/>
  <c r="AE125" i="6"/>
  <c r="AC125" i="6"/>
  <c r="AB125" i="6"/>
  <c r="AA125" i="6"/>
  <c r="Z125" i="6"/>
  <c r="Y125" i="6"/>
  <c r="X125" i="6"/>
  <c r="W125" i="6"/>
  <c r="V125" i="6"/>
  <c r="U125" i="6"/>
  <c r="T125" i="6"/>
  <c r="S125" i="6"/>
  <c r="Q125" i="6"/>
  <c r="EF125" i="6" s="1"/>
  <c r="P125" i="6"/>
  <c r="EE125" i="6" s="1"/>
  <c r="O125" i="6"/>
  <c r="ED125" i="6" s="1"/>
  <c r="N125" i="6"/>
  <c r="EC125" i="6" s="1"/>
  <c r="M125" i="6"/>
  <c r="EB125" i="6" s="1"/>
  <c r="L125" i="6"/>
  <c r="EA125" i="6" s="1"/>
  <c r="K125" i="6"/>
  <c r="DZ125" i="6" s="1"/>
  <c r="J125" i="6"/>
  <c r="DY125" i="6" s="1"/>
  <c r="I125" i="6"/>
  <c r="DX125" i="6" s="1"/>
  <c r="H125" i="6"/>
  <c r="DW125" i="6" s="1"/>
  <c r="G125" i="6"/>
  <c r="DV125" i="6" s="1"/>
  <c r="DU124" i="6"/>
  <c r="DT124" i="6"/>
  <c r="DS124" i="6"/>
  <c r="DR124" i="6"/>
  <c r="DQ124" i="6"/>
  <c r="DP124" i="6"/>
  <c r="DO124" i="6"/>
  <c r="DN124" i="6"/>
  <c r="DM124" i="6"/>
  <c r="DL124" i="6"/>
  <c r="DK124" i="6"/>
  <c r="DI124" i="6"/>
  <c r="DH124" i="6"/>
  <c r="DG124" i="6"/>
  <c r="DF124" i="6"/>
  <c r="DE124" i="6"/>
  <c r="DD124" i="6"/>
  <c r="DC124" i="6"/>
  <c r="DB124" i="6"/>
  <c r="DA124" i="6"/>
  <c r="CZ124" i="6"/>
  <c r="CY124" i="6"/>
  <c r="CW124" i="6"/>
  <c r="CV124" i="6"/>
  <c r="CU124" i="6"/>
  <c r="CT124" i="6"/>
  <c r="CS124" i="6"/>
  <c r="CR124" i="6"/>
  <c r="CQ124" i="6"/>
  <c r="CP124" i="6"/>
  <c r="CO124" i="6"/>
  <c r="CN124" i="6"/>
  <c r="CM124" i="6"/>
  <c r="CK124" i="6"/>
  <c r="CJ124" i="6"/>
  <c r="CI124" i="6"/>
  <c r="CH124" i="6"/>
  <c r="CG124" i="6"/>
  <c r="CF124" i="6"/>
  <c r="CE124" i="6"/>
  <c r="CD124" i="6"/>
  <c r="CC124" i="6"/>
  <c r="CB124" i="6"/>
  <c r="CA124" i="6"/>
  <c r="BY124" i="6"/>
  <c r="BX124" i="6"/>
  <c r="BW124" i="6"/>
  <c r="BV124" i="6"/>
  <c r="BU124" i="6"/>
  <c r="BT124" i="6"/>
  <c r="BS124" i="6"/>
  <c r="BR124" i="6"/>
  <c r="BQ124" i="6"/>
  <c r="BP124" i="6"/>
  <c r="BO124" i="6"/>
  <c r="BM124" i="6"/>
  <c r="BL124" i="6"/>
  <c r="BK124" i="6"/>
  <c r="BJ124" i="6"/>
  <c r="BI124" i="6"/>
  <c r="BH124" i="6"/>
  <c r="BG124" i="6"/>
  <c r="BF124" i="6"/>
  <c r="BE124" i="6"/>
  <c r="BD124" i="6"/>
  <c r="BC124" i="6"/>
  <c r="BA124" i="6"/>
  <c r="AZ124" i="6"/>
  <c r="AY124" i="6"/>
  <c r="AX124" i="6"/>
  <c r="AW124" i="6"/>
  <c r="AV124" i="6"/>
  <c r="AU124" i="6"/>
  <c r="AT124" i="6"/>
  <c r="AS124" i="6"/>
  <c r="AR124" i="6"/>
  <c r="AQ124" i="6"/>
  <c r="AO124" i="6"/>
  <c r="AN124" i="6"/>
  <c r="AM124" i="6"/>
  <c r="AL124" i="6"/>
  <c r="AK124" i="6"/>
  <c r="AJ124" i="6"/>
  <c r="AI124" i="6"/>
  <c r="AH124" i="6"/>
  <c r="AG124" i="6"/>
  <c r="AF124" i="6"/>
  <c r="AE124" i="6"/>
  <c r="AC124" i="6"/>
  <c r="AB124" i="6"/>
  <c r="AA124" i="6"/>
  <c r="Z124" i="6"/>
  <c r="Y124" i="6"/>
  <c r="X124" i="6"/>
  <c r="W124" i="6"/>
  <c r="V124" i="6"/>
  <c r="U124" i="6"/>
  <c r="T124" i="6"/>
  <c r="S124" i="6"/>
  <c r="Q124" i="6"/>
  <c r="EF124" i="6" s="1"/>
  <c r="P124" i="6"/>
  <c r="EE124" i="6" s="1"/>
  <c r="O124" i="6"/>
  <c r="ED124" i="6" s="1"/>
  <c r="N124" i="6"/>
  <c r="EC124" i="6" s="1"/>
  <c r="M124" i="6"/>
  <c r="EB124" i="6" s="1"/>
  <c r="L124" i="6"/>
  <c r="EA124" i="6" s="1"/>
  <c r="K124" i="6"/>
  <c r="DZ124" i="6" s="1"/>
  <c r="J124" i="6"/>
  <c r="DY124" i="6" s="1"/>
  <c r="I124" i="6"/>
  <c r="DX124" i="6" s="1"/>
  <c r="H124" i="6"/>
  <c r="DW124" i="6" s="1"/>
  <c r="G124" i="6"/>
  <c r="DV124" i="6" s="1"/>
  <c r="DU123" i="6"/>
  <c r="DT123" i="6"/>
  <c r="DS123" i="6"/>
  <c r="DR123" i="6"/>
  <c r="DQ123" i="6"/>
  <c r="DP123" i="6"/>
  <c r="DO123" i="6"/>
  <c r="DN123" i="6"/>
  <c r="DM123" i="6"/>
  <c r="DL123" i="6"/>
  <c r="DK123" i="6"/>
  <c r="DI123" i="6"/>
  <c r="DH123" i="6"/>
  <c r="DG123" i="6"/>
  <c r="DF123" i="6"/>
  <c r="DE123" i="6"/>
  <c r="DD123" i="6"/>
  <c r="DC123" i="6"/>
  <c r="DB123" i="6"/>
  <c r="DA123" i="6"/>
  <c r="CZ123" i="6"/>
  <c r="CY123" i="6"/>
  <c r="CW123" i="6"/>
  <c r="CV123" i="6"/>
  <c r="CU123" i="6"/>
  <c r="CT123" i="6"/>
  <c r="CS123" i="6"/>
  <c r="CR123" i="6"/>
  <c r="CQ123" i="6"/>
  <c r="CP123" i="6"/>
  <c r="CO123" i="6"/>
  <c r="CN123" i="6"/>
  <c r="CM123" i="6"/>
  <c r="CK123" i="6"/>
  <c r="CJ123" i="6"/>
  <c r="CI123" i="6"/>
  <c r="CH123" i="6"/>
  <c r="CG123" i="6"/>
  <c r="CF123" i="6"/>
  <c r="CE123" i="6"/>
  <c r="CD123" i="6"/>
  <c r="CC123" i="6"/>
  <c r="CB123" i="6"/>
  <c r="CA123" i="6"/>
  <c r="BY123" i="6"/>
  <c r="BX123" i="6"/>
  <c r="BW123" i="6"/>
  <c r="BV123" i="6"/>
  <c r="BU123" i="6"/>
  <c r="BT123" i="6"/>
  <c r="BS123" i="6"/>
  <c r="BR123" i="6"/>
  <c r="BQ123" i="6"/>
  <c r="BP123" i="6"/>
  <c r="BO123" i="6"/>
  <c r="BM123" i="6"/>
  <c r="BL123" i="6"/>
  <c r="BK123" i="6"/>
  <c r="BJ123" i="6"/>
  <c r="BI123" i="6"/>
  <c r="BH123" i="6"/>
  <c r="BG123" i="6"/>
  <c r="BF123" i="6"/>
  <c r="BE123" i="6"/>
  <c r="BD123" i="6"/>
  <c r="BC123" i="6"/>
  <c r="BA123" i="6"/>
  <c r="AZ123" i="6"/>
  <c r="AY123" i="6"/>
  <c r="AX123" i="6"/>
  <c r="AW123" i="6"/>
  <c r="AV123" i="6"/>
  <c r="AU123" i="6"/>
  <c r="AT123" i="6"/>
  <c r="AS123" i="6"/>
  <c r="AR123" i="6"/>
  <c r="AQ123" i="6"/>
  <c r="AO123" i="6"/>
  <c r="AN123" i="6"/>
  <c r="AM123" i="6"/>
  <c r="AL123" i="6"/>
  <c r="AK123" i="6"/>
  <c r="AJ123" i="6"/>
  <c r="AI123" i="6"/>
  <c r="AH123" i="6"/>
  <c r="AG123" i="6"/>
  <c r="AF123" i="6"/>
  <c r="AE123" i="6"/>
  <c r="AC123" i="6"/>
  <c r="AB123" i="6"/>
  <c r="AA123" i="6"/>
  <c r="Z123" i="6"/>
  <c r="Y123" i="6"/>
  <c r="X123" i="6"/>
  <c r="W123" i="6"/>
  <c r="V123" i="6"/>
  <c r="U123" i="6"/>
  <c r="T123" i="6"/>
  <c r="S123" i="6"/>
  <c r="Q123" i="6"/>
  <c r="EF123" i="6" s="1"/>
  <c r="P123" i="6"/>
  <c r="EE123" i="6" s="1"/>
  <c r="O123" i="6"/>
  <c r="ED123" i="6" s="1"/>
  <c r="N123" i="6"/>
  <c r="EC123" i="6" s="1"/>
  <c r="M123" i="6"/>
  <c r="EB123" i="6" s="1"/>
  <c r="L123" i="6"/>
  <c r="EA123" i="6" s="1"/>
  <c r="K123" i="6"/>
  <c r="DZ123" i="6" s="1"/>
  <c r="J123" i="6"/>
  <c r="DY123" i="6" s="1"/>
  <c r="I123" i="6"/>
  <c r="DX123" i="6" s="1"/>
  <c r="H123" i="6"/>
  <c r="DW123" i="6" s="1"/>
  <c r="G123" i="6"/>
  <c r="DV123" i="6" s="1"/>
  <c r="DU122" i="6"/>
  <c r="DT122" i="6"/>
  <c r="DS122" i="6"/>
  <c r="DR122" i="6"/>
  <c r="DQ122" i="6"/>
  <c r="DP122" i="6"/>
  <c r="DO122" i="6"/>
  <c r="DN122" i="6"/>
  <c r="DM122" i="6"/>
  <c r="DL122" i="6"/>
  <c r="DK122" i="6"/>
  <c r="DI122" i="6"/>
  <c r="DH122" i="6"/>
  <c r="DG122" i="6"/>
  <c r="DF122" i="6"/>
  <c r="DE122" i="6"/>
  <c r="DD122" i="6"/>
  <c r="DC122" i="6"/>
  <c r="DB122" i="6"/>
  <c r="DA122" i="6"/>
  <c r="CZ122" i="6"/>
  <c r="CY122" i="6"/>
  <c r="CW122" i="6"/>
  <c r="CV122" i="6"/>
  <c r="CU122" i="6"/>
  <c r="CT122" i="6"/>
  <c r="CS122" i="6"/>
  <c r="CR122" i="6"/>
  <c r="CQ122" i="6"/>
  <c r="CP122" i="6"/>
  <c r="CO122" i="6"/>
  <c r="CN122" i="6"/>
  <c r="CM122" i="6"/>
  <c r="CK122" i="6"/>
  <c r="CJ122" i="6"/>
  <c r="CI122" i="6"/>
  <c r="CH122" i="6"/>
  <c r="CG122" i="6"/>
  <c r="CF122" i="6"/>
  <c r="CE122" i="6"/>
  <c r="CD122" i="6"/>
  <c r="CC122" i="6"/>
  <c r="CB122" i="6"/>
  <c r="CA122" i="6"/>
  <c r="BY122" i="6"/>
  <c r="BX122" i="6"/>
  <c r="BW122" i="6"/>
  <c r="BV122" i="6"/>
  <c r="BU122" i="6"/>
  <c r="BT122" i="6"/>
  <c r="BS122" i="6"/>
  <c r="BR122" i="6"/>
  <c r="BQ122" i="6"/>
  <c r="BP122" i="6"/>
  <c r="BO122" i="6"/>
  <c r="BM122" i="6"/>
  <c r="BL122" i="6"/>
  <c r="BK122" i="6"/>
  <c r="BJ122" i="6"/>
  <c r="BI122" i="6"/>
  <c r="BH122" i="6"/>
  <c r="BG122" i="6"/>
  <c r="BF122" i="6"/>
  <c r="BE122" i="6"/>
  <c r="BD122" i="6"/>
  <c r="BC122" i="6"/>
  <c r="BA122" i="6"/>
  <c r="AZ122" i="6"/>
  <c r="AY122" i="6"/>
  <c r="AX122" i="6"/>
  <c r="AW122" i="6"/>
  <c r="AV122" i="6"/>
  <c r="AU122" i="6"/>
  <c r="AT122" i="6"/>
  <c r="AS122" i="6"/>
  <c r="AR122" i="6"/>
  <c r="AQ122" i="6"/>
  <c r="AO122" i="6"/>
  <c r="AN122" i="6"/>
  <c r="AM122" i="6"/>
  <c r="AL122" i="6"/>
  <c r="AK122" i="6"/>
  <c r="AJ122" i="6"/>
  <c r="AI122" i="6"/>
  <c r="AH122" i="6"/>
  <c r="AG122" i="6"/>
  <c r="AF122" i="6"/>
  <c r="AE122" i="6"/>
  <c r="AC122" i="6"/>
  <c r="AB122" i="6"/>
  <c r="AA122" i="6"/>
  <c r="Z122" i="6"/>
  <c r="Y122" i="6"/>
  <c r="X122" i="6"/>
  <c r="W122" i="6"/>
  <c r="V122" i="6"/>
  <c r="U122" i="6"/>
  <c r="T122" i="6"/>
  <c r="S122" i="6"/>
  <c r="Q122" i="6"/>
  <c r="EF122" i="6" s="1"/>
  <c r="P122" i="6"/>
  <c r="EE122" i="6" s="1"/>
  <c r="O122" i="6"/>
  <c r="ED122" i="6" s="1"/>
  <c r="N122" i="6"/>
  <c r="EC122" i="6" s="1"/>
  <c r="M122" i="6"/>
  <c r="EB122" i="6" s="1"/>
  <c r="L122" i="6"/>
  <c r="EA122" i="6" s="1"/>
  <c r="K122" i="6"/>
  <c r="DZ122" i="6" s="1"/>
  <c r="EK122" i="6" s="1"/>
  <c r="J122" i="6"/>
  <c r="DY122" i="6" s="1"/>
  <c r="I122" i="6"/>
  <c r="DX122" i="6" s="1"/>
  <c r="H122" i="6"/>
  <c r="DW122" i="6" s="1"/>
  <c r="G122" i="6"/>
  <c r="DV122" i="6" s="1"/>
  <c r="DU121" i="6"/>
  <c r="DT121" i="6"/>
  <c r="DS121" i="6"/>
  <c r="DR121" i="6"/>
  <c r="DQ121" i="6"/>
  <c r="DP121" i="6"/>
  <c r="DO121" i="6"/>
  <c r="DN121" i="6"/>
  <c r="DM121" i="6"/>
  <c r="DL121" i="6"/>
  <c r="DK121" i="6"/>
  <c r="DI121" i="6"/>
  <c r="DH121" i="6"/>
  <c r="DG121" i="6"/>
  <c r="DF121" i="6"/>
  <c r="DE121" i="6"/>
  <c r="DD121" i="6"/>
  <c r="DC121" i="6"/>
  <c r="DB121" i="6"/>
  <c r="DA121" i="6"/>
  <c r="CZ121" i="6"/>
  <c r="CY121" i="6"/>
  <c r="CW121" i="6"/>
  <c r="CV121" i="6"/>
  <c r="CU121" i="6"/>
  <c r="CT121" i="6"/>
  <c r="CS121" i="6"/>
  <c r="CR121" i="6"/>
  <c r="CQ121" i="6"/>
  <c r="CP121" i="6"/>
  <c r="CO121" i="6"/>
  <c r="CN121" i="6"/>
  <c r="CM121" i="6"/>
  <c r="CK121" i="6"/>
  <c r="CJ121" i="6"/>
  <c r="CI121" i="6"/>
  <c r="CH121" i="6"/>
  <c r="CG121" i="6"/>
  <c r="CF121" i="6"/>
  <c r="CE121" i="6"/>
  <c r="CD121" i="6"/>
  <c r="CC121" i="6"/>
  <c r="CB121" i="6"/>
  <c r="CA121" i="6"/>
  <c r="BY121" i="6"/>
  <c r="BX121" i="6"/>
  <c r="BW121" i="6"/>
  <c r="BV121" i="6"/>
  <c r="BU121" i="6"/>
  <c r="BT121" i="6"/>
  <c r="BS121" i="6"/>
  <c r="BR121" i="6"/>
  <c r="BQ121" i="6"/>
  <c r="BP121" i="6"/>
  <c r="BO121" i="6"/>
  <c r="BM121" i="6"/>
  <c r="BL121" i="6"/>
  <c r="BK121" i="6"/>
  <c r="BJ121" i="6"/>
  <c r="BI121" i="6"/>
  <c r="BH121" i="6"/>
  <c r="BG121" i="6"/>
  <c r="BF121" i="6"/>
  <c r="BE121" i="6"/>
  <c r="BD121" i="6"/>
  <c r="BC121" i="6"/>
  <c r="BA121" i="6"/>
  <c r="AZ121" i="6"/>
  <c r="AY121" i="6"/>
  <c r="AX121" i="6"/>
  <c r="AW121" i="6"/>
  <c r="AV121" i="6"/>
  <c r="AU121" i="6"/>
  <c r="AT121" i="6"/>
  <c r="AS121" i="6"/>
  <c r="AR121" i="6"/>
  <c r="AQ121" i="6"/>
  <c r="AO121" i="6"/>
  <c r="AN121" i="6"/>
  <c r="AM121" i="6"/>
  <c r="AL121" i="6"/>
  <c r="AK121" i="6"/>
  <c r="AJ121" i="6"/>
  <c r="AI121" i="6"/>
  <c r="AH121" i="6"/>
  <c r="AG121" i="6"/>
  <c r="AF121" i="6"/>
  <c r="AE121" i="6"/>
  <c r="AC121" i="6"/>
  <c r="AB121" i="6"/>
  <c r="AA121" i="6"/>
  <c r="Z121" i="6"/>
  <c r="Y121" i="6"/>
  <c r="X121" i="6"/>
  <c r="W121" i="6"/>
  <c r="V121" i="6"/>
  <c r="U121" i="6"/>
  <c r="T121" i="6"/>
  <c r="S121" i="6"/>
  <c r="Q121" i="6"/>
  <c r="EF121" i="6" s="1"/>
  <c r="P121" i="6"/>
  <c r="EE121" i="6" s="1"/>
  <c r="O121" i="6"/>
  <c r="ED121" i="6" s="1"/>
  <c r="N121" i="6"/>
  <c r="EC121" i="6" s="1"/>
  <c r="M121" i="6"/>
  <c r="EB121" i="6" s="1"/>
  <c r="L121" i="6"/>
  <c r="EA121" i="6" s="1"/>
  <c r="K121" i="6"/>
  <c r="DZ121" i="6" s="1"/>
  <c r="J121" i="6"/>
  <c r="DY121" i="6" s="1"/>
  <c r="I121" i="6"/>
  <c r="DX121" i="6" s="1"/>
  <c r="H121" i="6"/>
  <c r="DW121" i="6" s="1"/>
  <c r="G121" i="6"/>
  <c r="DV121" i="6" s="1"/>
  <c r="DU120" i="6"/>
  <c r="DT120" i="6"/>
  <c r="DS120" i="6"/>
  <c r="DR120" i="6"/>
  <c r="DQ120" i="6"/>
  <c r="DP120" i="6"/>
  <c r="DO120" i="6"/>
  <c r="DN120" i="6"/>
  <c r="DM120" i="6"/>
  <c r="DL120" i="6"/>
  <c r="DK120" i="6"/>
  <c r="DI120" i="6"/>
  <c r="DH120" i="6"/>
  <c r="DG120" i="6"/>
  <c r="DF120" i="6"/>
  <c r="DE120" i="6"/>
  <c r="DD120" i="6"/>
  <c r="DC120" i="6"/>
  <c r="DB120" i="6"/>
  <c r="DA120" i="6"/>
  <c r="CZ120" i="6"/>
  <c r="CY120" i="6"/>
  <c r="CW120" i="6"/>
  <c r="CV120" i="6"/>
  <c r="CU120" i="6"/>
  <c r="CT120" i="6"/>
  <c r="CS120" i="6"/>
  <c r="CR120" i="6"/>
  <c r="CQ120" i="6"/>
  <c r="CP120" i="6"/>
  <c r="CO120" i="6"/>
  <c r="CN120" i="6"/>
  <c r="CM120" i="6"/>
  <c r="CK120" i="6"/>
  <c r="CJ120" i="6"/>
  <c r="CI120" i="6"/>
  <c r="CH120" i="6"/>
  <c r="CG120" i="6"/>
  <c r="CF120" i="6"/>
  <c r="CE120" i="6"/>
  <c r="CD120" i="6"/>
  <c r="CC120" i="6"/>
  <c r="CB120" i="6"/>
  <c r="CA120" i="6"/>
  <c r="BY120" i="6"/>
  <c r="BX120" i="6"/>
  <c r="BW120" i="6"/>
  <c r="BV120" i="6"/>
  <c r="BU120" i="6"/>
  <c r="BT120" i="6"/>
  <c r="BS120" i="6"/>
  <c r="BR120" i="6"/>
  <c r="BQ120" i="6"/>
  <c r="BP120" i="6"/>
  <c r="BO120" i="6"/>
  <c r="BM120" i="6"/>
  <c r="BL120" i="6"/>
  <c r="BK120" i="6"/>
  <c r="BJ120" i="6"/>
  <c r="BI120" i="6"/>
  <c r="BH120" i="6"/>
  <c r="BG120" i="6"/>
  <c r="BF120" i="6"/>
  <c r="BE120" i="6"/>
  <c r="BD120" i="6"/>
  <c r="BC120" i="6"/>
  <c r="BA120" i="6"/>
  <c r="AZ120" i="6"/>
  <c r="AY120" i="6"/>
  <c r="AX120" i="6"/>
  <c r="AW120" i="6"/>
  <c r="AV120" i="6"/>
  <c r="AU120" i="6"/>
  <c r="AT120" i="6"/>
  <c r="AS120" i="6"/>
  <c r="AR120" i="6"/>
  <c r="AQ120" i="6"/>
  <c r="AO120" i="6"/>
  <c r="AN120" i="6"/>
  <c r="AM120" i="6"/>
  <c r="AL120" i="6"/>
  <c r="AK120" i="6"/>
  <c r="AJ120" i="6"/>
  <c r="AI120" i="6"/>
  <c r="AH120" i="6"/>
  <c r="AG120" i="6"/>
  <c r="AF120" i="6"/>
  <c r="AE120" i="6"/>
  <c r="AC120" i="6"/>
  <c r="AB120" i="6"/>
  <c r="AA120" i="6"/>
  <c r="Z120" i="6"/>
  <c r="Y120" i="6"/>
  <c r="X120" i="6"/>
  <c r="W120" i="6"/>
  <c r="V120" i="6"/>
  <c r="U120" i="6"/>
  <c r="T120" i="6"/>
  <c r="S120" i="6"/>
  <c r="Q120" i="6"/>
  <c r="EF120" i="6" s="1"/>
  <c r="P120" i="6"/>
  <c r="EE120" i="6" s="1"/>
  <c r="O120" i="6"/>
  <c r="ED120" i="6" s="1"/>
  <c r="N120" i="6"/>
  <c r="EC120" i="6" s="1"/>
  <c r="M120" i="6"/>
  <c r="EB120" i="6" s="1"/>
  <c r="L120" i="6"/>
  <c r="EA120" i="6" s="1"/>
  <c r="K120" i="6"/>
  <c r="DZ120" i="6" s="1"/>
  <c r="J120" i="6"/>
  <c r="DY120" i="6" s="1"/>
  <c r="I120" i="6"/>
  <c r="DX120" i="6" s="1"/>
  <c r="H120" i="6"/>
  <c r="DW120" i="6" s="1"/>
  <c r="G120" i="6"/>
  <c r="DV120" i="6" s="1"/>
  <c r="DU119" i="6"/>
  <c r="DT119" i="6"/>
  <c r="DS119" i="6"/>
  <c r="DR119" i="6"/>
  <c r="DQ119" i="6"/>
  <c r="DP119" i="6"/>
  <c r="DO119" i="6"/>
  <c r="DN119" i="6"/>
  <c r="DM119" i="6"/>
  <c r="DL119" i="6"/>
  <c r="DK119" i="6"/>
  <c r="DI119" i="6"/>
  <c r="DH119" i="6"/>
  <c r="DG119" i="6"/>
  <c r="DF119" i="6"/>
  <c r="DE119" i="6"/>
  <c r="DD119" i="6"/>
  <c r="DC119" i="6"/>
  <c r="DB119" i="6"/>
  <c r="DA119" i="6"/>
  <c r="CZ119" i="6"/>
  <c r="CY119" i="6"/>
  <c r="CW119" i="6"/>
  <c r="CV119" i="6"/>
  <c r="CU119" i="6"/>
  <c r="CT119" i="6"/>
  <c r="CS119" i="6"/>
  <c r="CR119" i="6"/>
  <c r="CQ119" i="6"/>
  <c r="CP119" i="6"/>
  <c r="CO119" i="6"/>
  <c r="CN119" i="6"/>
  <c r="CM119" i="6"/>
  <c r="CK119" i="6"/>
  <c r="CJ119" i="6"/>
  <c r="CI119" i="6"/>
  <c r="CH119" i="6"/>
  <c r="CG119" i="6"/>
  <c r="CF119" i="6"/>
  <c r="CE119" i="6"/>
  <c r="CD119" i="6"/>
  <c r="CC119" i="6"/>
  <c r="CB119" i="6"/>
  <c r="CA119" i="6"/>
  <c r="BY119" i="6"/>
  <c r="BX119" i="6"/>
  <c r="BW119" i="6"/>
  <c r="BV119" i="6"/>
  <c r="BU119" i="6"/>
  <c r="BT119" i="6"/>
  <c r="BS119" i="6"/>
  <c r="BR119" i="6"/>
  <c r="BQ119" i="6"/>
  <c r="BP119" i="6"/>
  <c r="BO119" i="6"/>
  <c r="BM119" i="6"/>
  <c r="BL119" i="6"/>
  <c r="BK119" i="6"/>
  <c r="BJ119" i="6"/>
  <c r="BI119" i="6"/>
  <c r="BH119" i="6"/>
  <c r="BG119" i="6"/>
  <c r="BF119" i="6"/>
  <c r="BE119" i="6"/>
  <c r="BD119" i="6"/>
  <c r="BC119" i="6"/>
  <c r="BA119" i="6"/>
  <c r="AZ119" i="6"/>
  <c r="AY119" i="6"/>
  <c r="AX119" i="6"/>
  <c r="AW119" i="6"/>
  <c r="AV119" i="6"/>
  <c r="AU119" i="6"/>
  <c r="AT119" i="6"/>
  <c r="AS119" i="6"/>
  <c r="AR119" i="6"/>
  <c r="AQ119" i="6"/>
  <c r="AO119" i="6"/>
  <c r="AN119" i="6"/>
  <c r="AM119" i="6"/>
  <c r="AL119" i="6"/>
  <c r="AK119" i="6"/>
  <c r="AJ119" i="6"/>
  <c r="AI119" i="6"/>
  <c r="AH119" i="6"/>
  <c r="AG119" i="6"/>
  <c r="AF119" i="6"/>
  <c r="AE119" i="6"/>
  <c r="AC119" i="6"/>
  <c r="AB119" i="6"/>
  <c r="AA119" i="6"/>
  <c r="Z119" i="6"/>
  <c r="Y119" i="6"/>
  <c r="X119" i="6"/>
  <c r="W119" i="6"/>
  <c r="V119" i="6"/>
  <c r="U119" i="6"/>
  <c r="T119" i="6"/>
  <c r="S119" i="6"/>
  <c r="Q119" i="6"/>
  <c r="EF119" i="6" s="1"/>
  <c r="P119" i="6"/>
  <c r="EE119" i="6" s="1"/>
  <c r="O119" i="6"/>
  <c r="ED119" i="6" s="1"/>
  <c r="N119" i="6"/>
  <c r="EC119" i="6" s="1"/>
  <c r="M119" i="6"/>
  <c r="EB119" i="6" s="1"/>
  <c r="L119" i="6"/>
  <c r="EA119" i="6" s="1"/>
  <c r="K119" i="6"/>
  <c r="DZ119" i="6" s="1"/>
  <c r="J119" i="6"/>
  <c r="DY119" i="6" s="1"/>
  <c r="I119" i="6"/>
  <c r="DX119" i="6" s="1"/>
  <c r="H119" i="6"/>
  <c r="DW119" i="6" s="1"/>
  <c r="G119" i="6"/>
  <c r="DV119" i="6" s="1"/>
  <c r="DU118" i="6"/>
  <c r="DT118" i="6"/>
  <c r="DS118" i="6"/>
  <c r="DR118" i="6"/>
  <c r="DQ118" i="6"/>
  <c r="DP118" i="6"/>
  <c r="DO118" i="6"/>
  <c r="DN118" i="6"/>
  <c r="DM118" i="6"/>
  <c r="DL118" i="6"/>
  <c r="DK118" i="6"/>
  <c r="DI118" i="6"/>
  <c r="DH118" i="6"/>
  <c r="DG118" i="6"/>
  <c r="DF118" i="6"/>
  <c r="DE118" i="6"/>
  <c r="DD118" i="6"/>
  <c r="DC118" i="6"/>
  <c r="DB118" i="6"/>
  <c r="DA118" i="6"/>
  <c r="CZ118" i="6"/>
  <c r="CY118" i="6"/>
  <c r="CW118" i="6"/>
  <c r="CV118" i="6"/>
  <c r="CU118" i="6"/>
  <c r="CT118" i="6"/>
  <c r="CS118" i="6"/>
  <c r="CR118" i="6"/>
  <c r="CQ118" i="6"/>
  <c r="CP118" i="6"/>
  <c r="CO118" i="6"/>
  <c r="CN118" i="6"/>
  <c r="CM118" i="6"/>
  <c r="CK118" i="6"/>
  <c r="CJ118" i="6"/>
  <c r="CI118" i="6"/>
  <c r="CH118" i="6"/>
  <c r="CG118" i="6"/>
  <c r="CF118" i="6"/>
  <c r="CE118" i="6"/>
  <c r="CD118" i="6"/>
  <c r="CC118" i="6"/>
  <c r="CB118" i="6"/>
  <c r="CA118" i="6"/>
  <c r="BY118" i="6"/>
  <c r="BX118" i="6"/>
  <c r="BW118" i="6"/>
  <c r="BV118" i="6"/>
  <c r="BU118" i="6"/>
  <c r="BT118" i="6"/>
  <c r="BS118" i="6"/>
  <c r="BR118" i="6"/>
  <c r="BQ118" i="6"/>
  <c r="BP118" i="6"/>
  <c r="BO118" i="6"/>
  <c r="BM118" i="6"/>
  <c r="BL118" i="6"/>
  <c r="BK118" i="6"/>
  <c r="BJ118" i="6"/>
  <c r="BI118" i="6"/>
  <c r="BH118" i="6"/>
  <c r="BG118" i="6"/>
  <c r="BF118" i="6"/>
  <c r="BE118" i="6"/>
  <c r="BD118" i="6"/>
  <c r="BC118" i="6"/>
  <c r="BA118" i="6"/>
  <c r="AZ118" i="6"/>
  <c r="AY118" i="6"/>
  <c r="AX118" i="6"/>
  <c r="AW118" i="6"/>
  <c r="AV118" i="6"/>
  <c r="AU118" i="6"/>
  <c r="AT118" i="6"/>
  <c r="AS118" i="6"/>
  <c r="AR118" i="6"/>
  <c r="AQ118" i="6"/>
  <c r="AO118" i="6"/>
  <c r="AN118" i="6"/>
  <c r="AM118" i="6"/>
  <c r="AL118" i="6"/>
  <c r="AK118" i="6"/>
  <c r="AJ118" i="6"/>
  <c r="AI118" i="6"/>
  <c r="AH118" i="6"/>
  <c r="AG118" i="6"/>
  <c r="AF118" i="6"/>
  <c r="AE118" i="6"/>
  <c r="AC118" i="6"/>
  <c r="AB118" i="6"/>
  <c r="AA118" i="6"/>
  <c r="Z118" i="6"/>
  <c r="Y118" i="6"/>
  <c r="X118" i="6"/>
  <c r="W118" i="6"/>
  <c r="V118" i="6"/>
  <c r="U118" i="6"/>
  <c r="T118" i="6"/>
  <c r="S118" i="6"/>
  <c r="Q118" i="6"/>
  <c r="EF118" i="6" s="1"/>
  <c r="P118" i="6"/>
  <c r="EE118" i="6" s="1"/>
  <c r="O118" i="6"/>
  <c r="ED118" i="6" s="1"/>
  <c r="N118" i="6"/>
  <c r="EC118" i="6" s="1"/>
  <c r="M118" i="6"/>
  <c r="EB118" i="6" s="1"/>
  <c r="L118" i="6"/>
  <c r="EA118" i="6" s="1"/>
  <c r="K118" i="6"/>
  <c r="DZ118" i="6" s="1"/>
  <c r="J118" i="6"/>
  <c r="DY118" i="6" s="1"/>
  <c r="I118" i="6"/>
  <c r="DX118" i="6" s="1"/>
  <c r="H118" i="6"/>
  <c r="DW118" i="6" s="1"/>
  <c r="G118" i="6"/>
  <c r="DV118" i="6" s="1"/>
  <c r="DU117" i="6"/>
  <c r="DT117" i="6"/>
  <c r="DS117" i="6"/>
  <c r="DR117" i="6"/>
  <c r="DQ117" i="6"/>
  <c r="DP117" i="6"/>
  <c r="DO117" i="6"/>
  <c r="DN117" i="6"/>
  <c r="DM117" i="6"/>
  <c r="DL117" i="6"/>
  <c r="DK117" i="6"/>
  <c r="DI117" i="6"/>
  <c r="DH117" i="6"/>
  <c r="DG117" i="6"/>
  <c r="DF117" i="6"/>
  <c r="DE117" i="6"/>
  <c r="DD117" i="6"/>
  <c r="DC117" i="6"/>
  <c r="DB117" i="6"/>
  <c r="DA117" i="6"/>
  <c r="CZ117" i="6"/>
  <c r="CY117" i="6"/>
  <c r="CW117" i="6"/>
  <c r="CV117" i="6"/>
  <c r="CU117" i="6"/>
  <c r="CT117" i="6"/>
  <c r="CS117" i="6"/>
  <c r="CR117" i="6"/>
  <c r="CQ117" i="6"/>
  <c r="CP117" i="6"/>
  <c r="CO117" i="6"/>
  <c r="CN117" i="6"/>
  <c r="CM117" i="6"/>
  <c r="CK117" i="6"/>
  <c r="CJ117" i="6"/>
  <c r="CI117" i="6"/>
  <c r="CH117" i="6"/>
  <c r="CG117" i="6"/>
  <c r="CF117" i="6"/>
  <c r="CE117" i="6"/>
  <c r="CD117" i="6"/>
  <c r="CC117" i="6"/>
  <c r="CB117" i="6"/>
  <c r="CA117" i="6"/>
  <c r="BY117" i="6"/>
  <c r="BX117" i="6"/>
  <c r="BW117" i="6"/>
  <c r="BV117" i="6"/>
  <c r="BU117" i="6"/>
  <c r="BT117" i="6"/>
  <c r="BS117" i="6"/>
  <c r="BR117" i="6"/>
  <c r="BQ117" i="6"/>
  <c r="BP117" i="6"/>
  <c r="BO117" i="6"/>
  <c r="BM117" i="6"/>
  <c r="BL117" i="6"/>
  <c r="BK117" i="6"/>
  <c r="BJ117" i="6"/>
  <c r="BI117" i="6"/>
  <c r="BH117" i="6"/>
  <c r="BG117" i="6"/>
  <c r="BF117" i="6"/>
  <c r="BE117" i="6"/>
  <c r="BD117" i="6"/>
  <c r="BC117" i="6"/>
  <c r="BA117" i="6"/>
  <c r="AZ117" i="6"/>
  <c r="AY117" i="6"/>
  <c r="AX117" i="6"/>
  <c r="AW117" i="6"/>
  <c r="AV117" i="6"/>
  <c r="AU117" i="6"/>
  <c r="AT117" i="6"/>
  <c r="AS117" i="6"/>
  <c r="AR117" i="6"/>
  <c r="AQ117" i="6"/>
  <c r="AO117" i="6"/>
  <c r="AN117" i="6"/>
  <c r="AM117" i="6"/>
  <c r="AL117" i="6"/>
  <c r="AK117" i="6"/>
  <c r="AJ117" i="6"/>
  <c r="AI117" i="6"/>
  <c r="AH117" i="6"/>
  <c r="AG117" i="6"/>
  <c r="AF117" i="6"/>
  <c r="AE117" i="6"/>
  <c r="AC117" i="6"/>
  <c r="AB117" i="6"/>
  <c r="AA117" i="6"/>
  <c r="Z117" i="6"/>
  <c r="Y117" i="6"/>
  <c r="X117" i="6"/>
  <c r="W117" i="6"/>
  <c r="V117" i="6"/>
  <c r="U117" i="6"/>
  <c r="T117" i="6"/>
  <c r="S117" i="6"/>
  <c r="Q117" i="6"/>
  <c r="EF117" i="6" s="1"/>
  <c r="P117" i="6"/>
  <c r="EE117" i="6" s="1"/>
  <c r="O117" i="6"/>
  <c r="ED117" i="6" s="1"/>
  <c r="N117" i="6"/>
  <c r="EC117" i="6" s="1"/>
  <c r="M117" i="6"/>
  <c r="EB117" i="6" s="1"/>
  <c r="L117" i="6"/>
  <c r="EA117" i="6" s="1"/>
  <c r="K117" i="6"/>
  <c r="DZ117" i="6" s="1"/>
  <c r="J117" i="6"/>
  <c r="DY117" i="6" s="1"/>
  <c r="I117" i="6"/>
  <c r="DX117" i="6" s="1"/>
  <c r="H117" i="6"/>
  <c r="DW117" i="6" s="1"/>
  <c r="G117" i="6"/>
  <c r="DV117" i="6" s="1"/>
  <c r="DU116" i="6"/>
  <c r="DT116" i="6"/>
  <c r="DS116" i="6"/>
  <c r="DR116" i="6"/>
  <c r="DQ116" i="6"/>
  <c r="DP116" i="6"/>
  <c r="DO116" i="6"/>
  <c r="DN116" i="6"/>
  <c r="DM116" i="6"/>
  <c r="DL116" i="6"/>
  <c r="DK116" i="6"/>
  <c r="DI116" i="6"/>
  <c r="DH116" i="6"/>
  <c r="DG116" i="6"/>
  <c r="DF116" i="6"/>
  <c r="DE116" i="6"/>
  <c r="DD116" i="6"/>
  <c r="DC116" i="6"/>
  <c r="DB116" i="6"/>
  <c r="DA116" i="6"/>
  <c r="CZ116" i="6"/>
  <c r="CY116" i="6"/>
  <c r="CW116" i="6"/>
  <c r="CV116" i="6"/>
  <c r="CU116" i="6"/>
  <c r="CT116" i="6"/>
  <c r="CS116" i="6"/>
  <c r="CR116" i="6"/>
  <c r="CQ116" i="6"/>
  <c r="CP116" i="6"/>
  <c r="CO116" i="6"/>
  <c r="CN116" i="6"/>
  <c r="CM116" i="6"/>
  <c r="CK116" i="6"/>
  <c r="CJ116" i="6"/>
  <c r="CI116" i="6"/>
  <c r="CH116" i="6"/>
  <c r="CG116" i="6"/>
  <c r="CF116" i="6"/>
  <c r="CE116" i="6"/>
  <c r="CD116" i="6"/>
  <c r="CC116" i="6"/>
  <c r="CB116" i="6"/>
  <c r="CA116" i="6"/>
  <c r="BY116" i="6"/>
  <c r="BX116" i="6"/>
  <c r="BW116" i="6"/>
  <c r="BV116" i="6"/>
  <c r="BU116" i="6"/>
  <c r="BT116" i="6"/>
  <c r="BS116" i="6"/>
  <c r="BR116" i="6"/>
  <c r="BQ116" i="6"/>
  <c r="BP116" i="6"/>
  <c r="BO116" i="6"/>
  <c r="BM116" i="6"/>
  <c r="BL116" i="6"/>
  <c r="BK116" i="6"/>
  <c r="BJ116" i="6"/>
  <c r="BI116" i="6"/>
  <c r="BH116" i="6"/>
  <c r="BG116" i="6"/>
  <c r="BF116" i="6"/>
  <c r="BE116" i="6"/>
  <c r="BD116" i="6"/>
  <c r="BC116" i="6"/>
  <c r="BA116" i="6"/>
  <c r="AZ116" i="6"/>
  <c r="AY116" i="6"/>
  <c r="AX116" i="6"/>
  <c r="AW116" i="6"/>
  <c r="AV116" i="6"/>
  <c r="AU116" i="6"/>
  <c r="AT116" i="6"/>
  <c r="AS116" i="6"/>
  <c r="AR116" i="6"/>
  <c r="AQ116" i="6"/>
  <c r="AO116" i="6"/>
  <c r="AN116" i="6"/>
  <c r="AM116" i="6"/>
  <c r="AL116" i="6"/>
  <c r="AK116" i="6"/>
  <c r="AJ116" i="6"/>
  <c r="AI116" i="6"/>
  <c r="AH116" i="6"/>
  <c r="AG116" i="6"/>
  <c r="AF116" i="6"/>
  <c r="AE116" i="6"/>
  <c r="AC116" i="6"/>
  <c r="AB116" i="6"/>
  <c r="AA116" i="6"/>
  <c r="Z116" i="6"/>
  <c r="Y116" i="6"/>
  <c r="X116" i="6"/>
  <c r="W116" i="6"/>
  <c r="V116" i="6"/>
  <c r="U116" i="6"/>
  <c r="T116" i="6"/>
  <c r="S116" i="6"/>
  <c r="Q116" i="6"/>
  <c r="EF116" i="6" s="1"/>
  <c r="P116" i="6"/>
  <c r="EE116" i="6" s="1"/>
  <c r="O116" i="6"/>
  <c r="ED116" i="6" s="1"/>
  <c r="N116" i="6"/>
  <c r="EC116" i="6" s="1"/>
  <c r="M116" i="6"/>
  <c r="EB116" i="6" s="1"/>
  <c r="L116" i="6"/>
  <c r="EA116" i="6" s="1"/>
  <c r="K116" i="6"/>
  <c r="DZ116" i="6" s="1"/>
  <c r="J116" i="6"/>
  <c r="DY116" i="6" s="1"/>
  <c r="I116" i="6"/>
  <c r="DX116" i="6" s="1"/>
  <c r="H116" i="6"/>
  <c r="DW116" i="6" s="1"/>
  <c r="G116" i="6"/>
  <c r="DV116" i="6" s="1"/>
  <c r="DU115" i="6"/>
  <c r="DT115" i="6"/>
  <c r="DS115" i="6"/>
  <c r="DR115" i="6"/>
  <c r="DQ115" i="6"/>
  <c r="DP115" i="6"/>
  <c r="DO115" i="6"/>
  <c r="DN115" i="6"/>
  <c r="DM115" i="6"/>
  <c r="DL115" i="6"/>
  <c r="DK115" i="6"/>
  <c r="DI115" i="6"/>
  <c r="DH115" i="6"/>
  <c r="DG115" i="6"/>
  <c r="DF115" i="6"/>
  <c r="DE115" i="6"/>
  <c r="DD115" i="6"/>
  <c r="DC115" i="6"/>
  <c r="DB115" i="6"/>
  <c r="DA115" i="6"/>
  <c r="CZ115" i="6"/>
  <c r="CY115" i="6"/>
  <c r="CW115" i="6"/>
  <c r="CV115" i="6"/>
  <c r="CU115" i="6"/>
  <c r="CT115" i="6"/>
  <c r="CS115" i="6"/>
  <c r="CR115" i="6"/>
  <c r="CQ115" i="6"/>
  <c r="CP115" i="6"/>
  <c r="CO115" i="6"/>
  <c r="CN115" i="6"/>
  <c r="CM115" i="6"/>
  <c r="CK115" i="6"/>
  <c r="CJ115" i="6"/>
  <c r="CI115" i="6"/>
  <c r="CH115" i="6"/>
  <c r="CG115" i="6"/>
  <c r="CF115" i="6"/>
  <c r="CE115" i="6"/>
  <c r="CD115" i="6"/>
  <c r="CC115" i="6"/>
  <c r="CB115" i="6"/>
  <c r="CA115" i="6"/>
  <c r="BY115" i="6"/>
  <c r="BX115" i="6"/>
  <c r="BW115" i="6"/>
  <c r="BV115" i="6"/>
  <c r="BU115" i="6"/>
  <c r="BT115" i="6"/>
  <c r="BS115" i="6"/>
  <c r="BR115" i="6"/>
  <c r="BQ115" i="6"/>
  <c r="BP115" i="6"/>
  <c r="BO115" i="6"/>
  <c r="BM115" i="6"/>
  <c r="BL115" i="6"/>
  <c r="BK115" i="6"/>
  <c r="BJ115" i="6"/>
  <c r="BI115" i="6"/>
  <c r="BH115" i="6"/>
  <c r="BG115" i="6"/>
  <c r="BF115" i="6"/>
  <c r="BE115" i="6"/>
  <c r="BD115" i="6"/>
  <c r="BC115" i="6"/>
  <c r="BA115" i="6"/>
  <c r="AZ115" i="6"/>
  <c r="AY115" i="6"/>
  <c r="AX115" i="6"/>
  <c r="AW115" i="6"/>
  <c r="AV115" i="6"/>
  <c r="AU115" i="6"/>
  <c r="AT115" i="6"/>
  <c r="AS115" i="6"/>
  <c r="AR115" i="6"/>
  <c r="AQ115" i="6"/>
  <c r="AO115" i="6"/>
  <c r="AN115" i="6"/>
  <c r="AM115" i="6"/>
  <c r="AL115" i="6"/>
  <c r="AK115" i="6"/>
  <c r="AJ115" i="6"/>
  <c r="AI115" i="6"/>
  <c r="AH115" i="6"/>
  <c r="AG115" i="6"/>
  <c r="AF115" i="6"/>
  <c r="AE115" i="6"/>
  <c r="AC115" i="6"/>
  <c r="AB115" i="6"/>
  <c r="AA115" i="6"/>
  <c r="Z115" i="6"/>
  <c r="Y115" i="6"/>
  <c r="X115" i="6"/>
  <c r="W115" i="6"/>
  <c r="V115" i="6"/>
  <c r="U115" i="6"/>
  <c r="T115" i="6"/>
  <c r="S115" i="6"/>
  <c r="Q115" i="6"/>
  <c r="EF115" i="6" s="1"/>
  <c r="P115" i="6"/>
  <c r="EE115" i="6" s="1"/>
  <c r="O115" i="6"/>
  <c r="ED115" i="6" s="1"/>
  <c r="N115" i="6"/>
  <c r="EC115" i="6" s="1"/>
  <c r="M115" i="6"/>
  <c r="EB115" i="6" s="1"/>
  <c r="L115" i="6"/>
  <c r="EA115" i="6" s="1"/>
  <c r="K115" i="6"/>
  <c r="DZ115" i="6" s="1"/>
  <c r="J115" i="6"/>
  <c r="DY115" i="6" s="1"/>
  <c r="I115" i="6"/>
  <c r="DX115" i="6" s="1"/>
  <c r="H115" i="6"/>
  <c r="DW115" i="6" s="1"/>
  <c r="G115" i="6"/>
  <c r="DV115" i="6" s="1"/>
  <c r="DU114" i="6"/>
  <c r="DT114" i="6"/>
  <c r="DS114" i="6"/>
  <c r="DR114" i="6"/>
  <c r="DQ114" i="6"/>
  <c r="DP114" i="6"/>
  <c r="DO114" i="6"/>
  <c r="DN114" i="6"/>
  <c r="DM114" i="6"/>
  <c r="DL114" i="6"/>
  <c r="DK114" i="6"/>
  <c r="DI114" i="6"/>
  <c r="DH114" i="6"/>
  <c r="DG114" i="6"/>
  <c r="DF114" i="6"/>
  <c r="DE114" i="6"/>
  <c r="DD114" i="6"/>
  <c r="DC114" i="6"/>
  <c r="DB114" i="6"/>
  <c r="DA114" i="6"/>
  <c r="CZ114" i="6"/>
  <c r="CY114" i="6"/>
  <c r="CW114" i="6"/>
  <c r="CV114" i="6"/>
  <c r="CU114" i="6"/>
  <c r="CT114" i="6"/>
  <c r="CS114" i="6"/>
  <c r="CR114" i="6"/>
  <c r="CQ114" i="6"/>
  <c r="CP114" i="6"/>
  <c r="CO114" i="6"/>
  <c r="CN114" i="6"/>
  <c r="CM114" i="6"/>
  <c r="CK114" i="6"/>
  <c r="CJ114" i="6"/>
  <c r="CI114" i="6"/>
  <c r="CH114" i="6"/>
  <c r="CG114" i="6"/>
  <c r="CF114" i="6"/>
  <c r="CE114" i="6"/>
  <c r="CD114" i="6"/>
  <c r="CC114" i="6"/>
  <c r="CB114" i="6"/>
  <c r="CA114" i="6"/>
  <c r="BY114" i="6"/>
  <c r="BX114" i="6"/>
  <c r="BW114" i="6"/>
  <c r="BV114" i="6"/>
  <c r="BU114" i="6"/>
  <c r="BT114" i="6"/>
  <c r="BS114" i="6"/>
  <c r="BR114" i="6"/>
  <c r="BQ114" i="6"/>
  <c r="BP114" i="6"/>
  <c r="BO114" i="6"/>
  <c r="BM114" i="6"/>
  <c r="BL114" i="6"/>
  <c r="BK114" i="6"/>
  <c r="BJ114" i="6"/>
  <c r="BI114" i="6"/>
  <c r="BH114" i="6"/>
  <c r="BG114" i="6"/>
  <c r="BF114" i="6"/>
  <c r="BE114" i="6"/>
  <c r="BD114" i="6"/>
  <c r="BC114" i="6"/>
  <c r="BA114" i="6"/>
  <c r="AZ114" i="6"/>
  <c r="AY114" i="6"/>
  <c r="AX114" i="6"/>
  <c r="AW114" i="6"/>
  <c r="AV114" i="6"/>
  <c r="AU114" i="6"/>
  <c r="AT114" i="6"/>
  <c r="AS114" i="6"/>
  <c r="AR114" i="6"/>
  <c r="AQ114" i="6"/>
  <c r="AO114" i="6"/>
  <c r="AN114" i="6"/>
  <c r="AM114" i="6"/>
  <c r="AL114" i="6"/>
  <c r="AK114" i="6"/>
  <c r="AJ114" i="6"/>
  <c r="AI114" i="6"/>
  <c r="AH114" i="6"/>
  <c r="AG114" i="6"/>
  <c r="AF114" i="6"/>
  <c r="AE114" i="6"/>
  <c r="AC114" i="6"/>
  <c r="AB114" i="6"/>
  <c r="AA114" i="6"/>
  <c r="Z114" i="6"/>
  <c r="Y114" i="6"/>
  <c r="X114" i="6"/>
  <c r="W114" i="6"/>
  <c r="V114" i="6"/>
  <c r="U114" i="6"/>
  <c r="T114" i="6"/>
  <c r="S114" i="6"/>
  <c r="Q114" i="6"/>
  <c r="EF114" i="6" s="1"/>
  <c r="P114" i="6"/>
  <c r="EE114" i="6" s="1"/>
  <c r="O114" i="6"/>
  <c r="ED114" i="6" s="1"/>
  <c r="N114" i="6"/>
  <c r="EC114" i="6" s="1"/>
  <c r="M114" i="6"/>
  <c r="EB114" i="6" s="1"/>
  <c r="L114" i="6"/>
  <c r="EA114" i="6" s="1"/>
  <c r="K114" i="6"/>
  <c r="DZ114" i="6" s="1"/>
  <c r="J114" i="6"/>
  <c r="DY114" i="6" s="1"/>
  <c r="I114" i="6"/>
  <c r="DX114" i="6" s="1"/>
  <c r="H114" i="6"/>
  <c r="DW114" i="6" s="1"/>
  <c r="G114" i="6"/>
  <c r="DV114" i="6" s="1"/>
  <c r="DU113" i="6"/>
  <c r="DT113" i="6"/>
  <c r="DS113" i="6"/>
  <c r="DR113" i="6"/>
  <c r="DQ113" i="6"/>
  <c r="DP113" i="6"/>
  <c r="DO113" i="6"/>
  <c r="DN113" i="6"/>
  <c r="DM113" i="6"/>
  <c r="DL113" i="6"/>
  <c r="DK113" i="6"/>
  <c r="DI113" i="6"/>
  <c r="DH113" i="6"/>
  <c r="DG113" i="6"/>
  <c r="DF113" i="6"/>
  <c r="DE113" i="6"/>
  <c r="DD113" i="6"/>
  <c r="DC113" i="6"/>
  <c r="DB113" i="6"/>
  <c r="DA113" i="6"/>
  <c r="CZ113" i="6"/>
  <c r="CY113" i="6"/>
  <c r="CW113" i="6"/>
  <c r="CV113" i="6"/>
  <c r="CU113" i="6"/>
  <c r="CT113" i="6"/>
  <c r="CS113" i="6"/>
  <c r="CR113" i="6"/>
  <c r="CQ113" i="6"/>
  <c r="CP113" i="6"/>
  <c r="CO113" i="6"/>
  <c r="CN113" i="6"/>
  <c r="CM113" i="6"/>
  <c r="CK113" i="6"/>
  <c r="CJ113" i="6"/>
  <c r="CI113" i="6"/>
  <c r="CH113" i="6"/>
  <c r="CG113" i="6"/>
  <c r="CF113" i="6"/>
  <c r="CE113" i="6"/>
  <c r="CD113" i="6"/>
  <c r="CC113" i="6"/>
  <c r="CB113" i="6"/>
  <c r="CA113" i="6"/>
  <c r="BY113" i="6"/>
  <c r="BX113" i="6"/>
  <c r="BW113" i="6"/>
  <c r="BV113" i="6"/>
  <c r="BU113" i="6"/>
  <c r="BT113" i="6"/>
  <c r="BS113" i="6"/>
  <c r="BR113" i="6"/>
  <c r="BQ113" i="6"/>
  <c r="BP113" i="6"/>
  <c r="BO113" i="6"/>
  <c r="BM113" i="6"/>
  <c r="BL113" i="6"/>
  <c r="BK113" i="6"/>
  <c r="BJ113" i="6"/>
  <c r="BI113" i="6"/>
  <c r="BH113" i="6"/>
  <c r="BG113" i="6"/>
  <c r="BF113" i="6"/>
  <c r="BE113" i="6"/>
  <c r="BD113" i="6"/>
  <c r="BC113" i="6"/>
  <c r="BA113" i="6"/>
  <c r="AZ113" i="6"/>
  <c r="AY113" i="6"/>
  <c r="AX113" i="6"/>
  <c r="AW113" i="6"/>
  <c r="AV113" i="6"/>
  <c r="AU113" i="6"/>
  <c r="AT113" i="6"/>
  <c r="AS113" i="6"/>
  <c r="AR113" i="6"/>
  <c r="AQ113" i="6"/>
  <c r="AO113" i="6"/>
  <c r="AN113" i="6"/>
  <c r="AM113" i="6"/>
  <c r="AL113" i="6"/>
  <c r="AK113" i="6"/>
  <c r="AJ113" i="6"/>
  <c r="AI113" i="6"/>
  <c r="AH113" i="6"/>
  <c r="AG113" i="6"/>
  <c r="AF113" i="6"/>
  <c r="AE113" i="6"/>
  <c r="AC113" i="6"/>
  <c r="AB113" i="6"/>
  <c r="AA113" i="6"/>
  <c r="Z113" i="6"/>
  <c r="Y113" i="6"/>
  <c r="X113" i="6"/>
  <c r="W113" i="6"/>
  <c r="V113" i="6"/>
  <c r="U113" i="6"/>
  <c r="T113" i="6"/>
  <c r="S113" i="6"/>
  <c r="Q113" i="6"/>
  <c r="EF113" i="6" s="1"/>
  <c r="P113" i="6"/>
  <c r="EE113" i="6" s="1"/>
  <c r="O113" i="6"/>
  <c r="ED113" i="6" s="1"/>
  <c r="N113" i="6"/>
  <c r="EC113" i="6" s="1"/>
  <c r="M113" i="6"/>
  <c r="EB113" i="6" s="1"/>
  <c r="L113" i="6"/>
  <c r="EA113" i="6" s="1"/>
  <c r="K113" i="6"/>
  <c r="DZ113" i="6" s="1"/>
  <c r="J113" i="6"/>
  <c r="DY113" i="6" s="1"/>
  <c r="I113" i="6"/>
  <c r="DX113" i="6" s="1"/>
  <c r="H113" i="6"/>
  <c r="DW113" i="6" s="1"/>
  <c r="G113" i="6"/>
  <c r="DV113" i="6" s="1"/>
  <c r="DU112" i="6"/>
  <c r="DT112" i="6"/>
  <c r="DS112" i="6"/>
  <c r="DR112" i="6"/>
  <c r="DQ112" i="6"/>
  <c r="DP112" i="6"/>
  <c r="DO112" i="6"/>
  <c r="DN112" i="6"/>
  <c r="DM112" i="6"/>
  <c r="DL112" i="6"/>
  <c r="DK112" i="6"/>
  <c r="DI112" i="6"/>
  <c r="DH112" i="6"/>
  <c r="DG112" i="6"/>
  <c r="DF112" i="6"/>
  <c r="DE112" i="6"/>
  <c r="DD112" i="6"/>
  <c r="DC112" i="6"/>
  <c r="DB112" i="6"/>
  <c r="DA112" i="6"/>
  <c r="CZ112" i="6"/>
  <c r="CY112" i="6"/>
  <c r="CW112" i="6"/>
  <c r="CV112" i="6"/>
  <c r="CU112" i="6"/>
  <c r="CT112" i="6"/>
  <c r="CS112" i="6"/>
  <c r="CR112" i="6"/>
  <c r="CQ112" i="6"/>
  <c r="CP112" i="6"/>
  <c r="CO112" i="6"/>
  <c r="CN112" i="6"/>
  <c r="CM112" i="6"/>
  <c r="CK112" i="6"/>
  <c r="CJ112" i="6"/>
  <c r="CI112" i="6"/>
  <c r="CH112" i="6"/>
  <c r="CG112" i="6"/>
  <c r="CF112" i="6"/>
  <c r="CE112" i="6"/>
  <c r="CD112" i="6"/>
  <c r="CC112" i="6"/>
  <c r="CB112" i="6"/>
  <c r="CA112" i="6"/>
  <c r="BY112" i="6"/>
  <c r="BX112" i="6"/>
  <c r="BW112" i="6"/>
  <c r="BV112" i="6"/>
  <c r="BU112" i="6"/>
  <c r="BT112" i="6"/>
  <c r="BS112" i="6"/>
  <c r="BR112" i="6"/>
  <c r="BQ112" i="6"/>
  <c r="BP112" i="6"/>
  <c r="BO112" i="6"/>
  <c r="BM112" i="6"/>
  <c r="BL112" i="6"/>
  <c r="BK112" i="6"/>
  <c r="BJ112" i="6"/>
  <c r="BI112" i="6"/>
  <c r="BH112" i="6"/>
  <c r="BG112" i="6"/>
  <c r="BF112" i="6"/>
  <c r="BE112" i="6"/>
  <c r="BD112" i="6"/>
  <c r="BC112" i="6"/>
  <c r="BA112" i="6"/>
  <c r="AZ112" i="6"/>
  <c r="AY112" i="6"/>
  <c r="AX112" i="6"/>
  <c r="AW112" i="6"/>
  <c r="AV112" i="6"/>
  <c r="AU112" i="6"/>
  <c r="AT112" i="6"/>
  <c r="AS112" i="6"/>
  <c r="AR112" i="6"/>
  <c r="AQ112" i="6"/>
  <c r="AO112" i="6"/>
  <c r="AN112" i="6"/>
  <c r="AM112" i="6"/>
  <c r="AL112" i="6"/>
  <c r="AK112" i="6"/>
  <c r="AJ112" i="6"/>
  <c r="AI112" i="6"/>
  <c r="AH112" i="6"/>
  <c r="AG112" i="6"/>
  <c r="AF112" i="6"/>
  <c r="AE112" i="6"/>
  <c r="AC112" i="6"/>
  <c r="AB112" i="6"/>
  <c r="AA112" i="6"/>
  <c r="Z112" i="6"/>
  <c r="Y112" i="6"/>
  <c r="X112" i="6"/>
  <c r="W112" i="6"/>
  <c r="V112" i="6"/>
  <c r="U112" i="6"/>
  <c r="T112" i="6"/>
  <c r="S112" i="6"/>
  <c r="Q112" i="6"/>
  <c r="EF112" i="6" s="1"/>
  <c r="P112" i="6"/>
  <c r="EE112" i="6" s="1"/>
  <c r="O112" i="6"/>
  <c r="ED112" i="6" s="1"/>
  <c r="N112" i="6"/>
  <c r="EC112" i="6" s="1"/>
  <c r="M112" i="6"/>
  <c r="EB112" i="6" s="1"/>
  <c r="L112" i="6"/>
  <c r="EA112" i="6" s="1"/>
  <c r="K112" i="6"/>
  <c r="DZ112" i="6" s="1"/>
  <c r="J112" i="6"/>
  <c r="DY112" i="6" s="1"/>
  <c r="I112" i="6"/>
  <c r="DX112" i="6" s="1"/>
  <c r="EI112" i="6" s="1"/>
  <c r="H112" i="6"/>
  <c r="DW112" i="6" s="1"/>
  <c r="G112" i="6"/>
  <c r="DV112" i="6" s="1"/>
  <c r="DU111" i="6"/>
  <c r="DT111" i="6"/>
  <c r="DS111" i="6"/>
  <c r="DR111" i="6"/>
  <c r="DQ111" i="6"/>
  <c r="DP111" i="6"/>
  <c r="DO111" i="6"/>
  <c r="DN111" i="6"/>
  <c r="DM111" i="6"/>
  <c r="DL111" i="6"/>
  <c r="DK111" i="6"/>
  <c r="DI111" i="6"/>
  <c r="DH111" i="6"/>
  <c r="DG111" i="6"/>
  <c r="DF111" i="6"/>
  <c r="DE111" i="6"/>
  <c r="DD111" i="6"/>
  <c r="DC111" i="6"/>
  <c r="DB111" i="6"/>
  <c r="DA111" i="6"/>
  <c r="CZ111" i="6"/>
  <c r="CY111" i="6"/>
  <c r="CW111" i="6"/>
  <c r="CV111" i="6"/>
  <c r="CU111" i="6"/>
  <c r="CT111" i="6"/>
  <c r="CS111" i="6"/>
  <c r="CR111" i="6"/>
  <c r="CQ111" i="6"/>
  <c r="CP111" i="6"/>
  <c r="CO111" i="6"/>
  <c r="CN111" i="6"/>
  <c r="CM111" i="6"/>
  <c r="CK111" i="6"/>
  <c r="CJ111" i="6"/>
  <c r="CI111" i="6"/>
  <c r="CH111" i="6"/>
  <c r="CG111" i="6"/>
  <c r="CF111" i="6"/>
  <c r="CE111" i="6"/>
  <c r="CD111" i="6"/>
  <c r="CC111" i="6"/>
  <c r="CB111" i="6"/>
  <c r="CA111" i="6"/>
  <c r="BY111" i="6"/>
  <c r="BX111" i="6"/>
  <c r="BW111" i="6"/>
  <c r="BV111" i="6"/>
  <c r="BU111" i="6"/>
  <c r="BT111" i="6"/>
  <c r="BS111" i="6"/>
  <c r="BR111" i="6"/>
  <c r="BQ111" i="6"/>
  <c r="BP111" i="6"/>
  <c r="BO111" i="6"/>
  <c r="BM111" i="6"/>
  <c r="BL111" i="6"/>
  <c r="BK111" i="6"/>
  <c r="BJ111" i="6"/>
  <c r="BI111" i="6"/>
  <c r="BH111" i="6"/>
  <c r="BG111" i="6"/>
  <c r="BF111" i="6"/>
  <c r="BE111" i="6"/>
  <c r="BD111" i="6"/>
  <c r="BC111" i="6"/>
  <c r="BA111" i="6"/>
  <c r="AZ111" i="6"/>
  <c r="AY111" i="6"/>
  <c r="AX111" i="6"/>
  <c r="AW111" i="6"/>
  <c r="AV111" i="6"/>
  <c r="AU111" i="6"/>
  <c r="AT111" i="6"/>
  <c r="AS111" i="6"/>
  <c r="AR111" i="6"/>
  <c r="AQ111" i="6"/>
  <c r="AO111" i="6"/>
  <c r="AN111" i="6"/>
  <c r="AM111" i="6"/>
  <c r="AL111" i="6"/>
  <c r="AK111" i="6"/>
  <c r="AJ111" i="6"/>
  <c r="AI111" i="6"/>
  <c r="AH111" i="6"/>
  <c r="AG111" i="6"/>
  <c r="AF111" i="6"/>
  <c r="AE111" i="6"/>
  <c r="AC111" i="6"/>
  <c r="AB111" i="6"/>
  <c r="AA111" i="6"/>
  <c r="Z111" i="6"/>
  <c r="Y111" i="6"/>
  <c r="X111" i="6"/>
  <c r="W111" i="6"/>
  <c r="V111" i="6"/>
  <c r="U111" i="6"/>
  <c r="T111" i="6"/>
  <c r="S111" i="6"/>
  <c r="Q111" i="6"/>
  <c r="EF111" i="6" s="1"/>
  <c r="P111" i="6"/>
  <c r="EE111" i="6" s="1"/>
  <c r="O111" i="6"/>
  <c r="ED111" i="6" s="1"/>
  <c r="N111" i="6"/>
  <c r="EC111" i="6" s="1"/>
  <c r="M111" i="6"/>
  <c r="EB111" i="6" s="1"/>
  <c r="L111" i="6"/>
  <c r="EA111" i="6" s="1"/>
  <c r="K111" i="6"/>
  <c r="DZ111" i="6" s="1"/>
  <c r="J111" i="6"/>
  <c r="DY111" i="6" s="1"/>
  <c r="I111" i="6"/>
  <c r="DX111" i="6" s="1"/>
  <c r="H111" i="6"/>
  <c r="DW111" i="6" s="1"/>
  <c r="G111" i="6"/>
  <c r="DV111" i="6" s="1"/>
  <c r="DU110" i="6"/>
  <c r="DT110" i="6"/>
  <c r="DS110" i="6"/>
  <c r="DR110" i="6"/>
  <c r="DQ110" i="6"/>
  <c r="DP110" i="6"/>
  <c r="DO110" i="6"/>
  <c r="DN110" i="6"/>
  <c r="DM110" i="6"/>
  <c r="DL110" i="6"/>
  <c r="DK110" i="6"/>
  <c r="DI110" i="6"/>
  <c r="DH110" i="6"/>
  <c r="DG110" i="6"/>
  <c r="DF110" i="6"/>
  <c r="DE110" i="6"/>
  <c r="DD110" i="6"/>
  <c r="DC110" i="6"/>
  <c r="DB110" i="6"/>
  <c r="DA110" i="6"/>
  <c r="CZ110" i="6"/>
  <c r="CY110" i="6"/>
  <c r="CW110" i="6"/>
  <c r="CV110" i="6"/>
  <c r="CU110" i="6"/>
  <c r="CT110" i="6"/>
  <c r="CS110" i="6"/>
  <c r="CR110" i="6"/>
  <c r="CQ110" i="6"/>
  <c r="CP110" i="6"/>
  <c r="CO110" i="6"/>
  <c r="CN110" i="6"/>
  <c r="CM110" i="6"/>
  <c r="CK110" i="6"/>
  <c r="CJ110" i="6"/>
  <c r="CI110" i="6"/>
  <c r="CH110" i="6"/>
  <c r="CG110" i="6"/>
  <c r="CF110" i="6"/>
  <c r="CE110" i="6"/>
  <c r="CD110" i="6"/>
  <c r="CC110" i="6"/>
  <c r="CB110" i="6"/>
  <c r="CA110" i="6"/>
  <c r="BY110" i="6"/>
  <c r="BX110" i="6"/>
  <c r="BW110" i="6"/>
  <c r="BV110" i="6"/>
  <c r="BU110" i="6"/>
  <c r="BT110" i="6"/>
  <c r="BS110" i="6"/>
  <c r="BR110" i="6"/>
  <c r="BQ110" i="6"/>
  <c r="BP110" i="6"/>
  <c r="BO110" i="6"/>
  <c r="BM110" i="6"/>
  <c r="BL110" i="6"/>
  <c r="BK110" i="6"/>
  <c r="BJ110" i="6"/>
  <c r="BI110" i="6"/>
  <c r="BH110" i="6"/>
  <c r="BG110" i="6"/>
  <c r="BF110" i="6"/>
  <c r="BE110" i="6"/>
  <c r="BD110" i="6"/>
  <c r="BC110" i="6"/>
  <c r="BA110" i="6"/>
  <c r="AZ110" i="6"/>
  <c r="AY110" i="6"/>
  <c r="AX110" i="6"/>
  <c r="AW110" i="6"/>
  <c r="AV110" i="6"/>
  <c r="AU110" i="6"/>
  <c r="AT110" i="6"/>
  <c r="AS110" i="6"/>
  <c r="AR110" i="6"/>
  <c r="AQ110" i="6"/>
  <c r="AO110" i="6"/>
  <c r="AN110" i="6"/>
  <c r="AM110" i="6"/>
  <c r="AL110" i="6"/>
  <c r="AK110" i="6"/>
  <c r="AJ110" i="6"/>
  <c r="AI110" i="6"/>
  <c r="AH110" i="6"/>
  <c r="AG110" i="6"/>
  <c r="AF110" i="6"/>
  <c r="AE110" i="6"/>
  <c r="AC110" i="6"/>
  <c r="AB110" i="6"/>
  <c r="AA110" i="6"/>
  <c r="Z110" i="6"/>
  <c r="Y110" i="6"/>
  <c r="X110" i="6"/>
  <c r="W110" i="6"/>
  <c r="V110" i="6"/>
  <c r="U110" i="6"/>
  <c r="T110" i="6"/>
  <c r="S110" i="6"/>
  <c r="Q110" i="6"/>
  <c r="EF110" i="6" s="1"/>
  <c r="P110" i="6"/>
  <c r="EE110" i="6" s="1"/>
  <c r="O110" i="6"/>
  <c r="ED110" i="6" s="1"/>
  <c r="N110" i="6"/>
  <c r="EC110" i="6" s="1"/>
  <c r="M110" i="6"/>
  <c r="EB110" i="6" s="1"/>
  <c r="EM110" i="6" s="1"/>
  <c r="L110" i="6"/>
  <c r="EA110" i="6" s="1"/>
  <c r="K110" i="6"/>
  <c r="DZ110" i="6" s="1"/>
  <c r="J110" i="6"/>
  <c r="DY110" i="6" s="1"/>
  <c r="I110" i="6"/>
  <c r="DX110" i="6" s="1"/>
  <c r="H110" i="6"/>
  <c r="DW110" i="6" s="1"/>
  <c r="G110" i="6"/>
  <c r="DV110" i="6" s="1"/>
  <c r="DU109" i="6"/>
  <c r="DT109" i="6"/>
  <c r="DS109" i="6"/>
  <c r="DR109" i="6"/>
  <c r="DQ109" i="6"/>
  <c r="DP109" i="6"/>
  <c r="DO109" i="6"/>
  <c r="DN109" i="6"/>
  <c r="DM109" i="6"/>
  <c r="DL109" i="6"/>
  <c r="DK109" i="6"/>
  <c r="DI109" i="6"/>
  <c r="DH109" i="6"/>
  <c r="DG109" i="6"/>
  <c r="DF109" i="6"/>
  <c r="DE109" i="6"/>
  <c r="DD109" i="6"/>
  <c r="DC109" i="6"/>
  <c r="DB109" i="6"/>
  <c r="DA109" i="6"/>
  <c r="CZ109" i="6"/>
  <c r="CY109" i="6"/>
  <c r="CW109" i="6"/>
  <c r="CV109" i="6"/>
  <c r="CU109" i="6"/>
  <c r="CT109" i="6"/>
  <c r="CS109" i="6"/>
  <c r="CR109" i="6"/>
  <c r="CQ109" i="6"/>
  <c r="CP109" i="6"/>
  <c r="CO109" i="6"/>
  <c r="CN109" i="6"/>
  <c r="CM109" i="6"/>
  <c r="CK109" i="6"/>
  <c r="CJ109" i="6"/>
  <c r="CI109" i="6"/>
  <c r="CH109" i="6"/>
  <c r="CG109" i="6"/>
  <c r="CF109" i="6"/>
  <c r="CE109" i="6"/>
  <c r="CD109" i="6"/>
  <c r="CC109" i="6"/>
  <c r="CB109" i="6"/>
  <c r="CA109" i="6"/>
  <c r="BY109" i="6"/>
  <c r="BX109" i="6"/>
  <c r="BW109" i="6"/>
  <c r="BV109" i="6"/>
  <c r="BU109" i="6"/>
  <c r="BT109" i="6"/>
  <c r="BS109" i="6"/>
  <c r="BR109" i="6"/>
  <c r="BQ109" i="6"/>
  <c r="BP109" i="6"/>
  <c r="BO109" i="6"/>
  <c r="BM109" i="6"/>
  <c r="BL109" i="6"/>
  <c r="BK109" i="6"/>
  <c r="BJ109" i="6"/>
  <c r="BI109" i="6"/>
  <c r="BH109" i="6"/>
  <c r="BG109" i="6"/>
  <c r="BF109" i="6"/>
  <c r="BE109" i="6"/>
  <c r="BD109" i="6"/>
  <c r="BC109" i="6"/>
  <c r="BA109" i="6"/>
  <c r="AZ109" i="6"/>
  <c r="AY109" i="6"/>
  <c r="AX109" i="6"/>
  <c r="AW109" i="6"/>
  <c r="AV109" i="6"/>
  <c r="AU109" i="6"/>
  <c r="AT109" i="6"/>
  <c r="AS109" i="6"/>
  <c r="AR109" i="6"/>
  <c r="AQ109" i="6"/>
  <c r="AO109" i="6"/>
  <c r="AN109" i="6"/>
  <c r="AM109" i="6"/>
  <c r="AL109" i="6"/>
  <c r="AK109" i="6"/>
  <c r="AJ109" i="6"/>
  <c r="AI109" i="6"/>
  <c r="AH109" i="6"/>
  <c r="AG109" i="6"/>
  <c r="AF109" i="6"/>
  <c r="AE109" i="6"/>
  <c r="AC109" i="6"/>
  <c r="AB109" i="6"/>
  <c r="AA109" i="6"/>
  <c r="Z109" i="6"/>
  <c r="Y109" i="6"/>
  <c r="X109" i="6"/>
  <c r="W109" i="6"/>
  <c r="V109" i="6"/>
  <c r="U109" i="6"/>
  <c r="T109" i="6"/>
  <c r="S109" i="6"/>
  <c r="Q109" i="6"/>
  <c r="EF109" i="6" s="1"/>
  <c r="P109" i="6"/>
  <c r="EE109" i="6" s="1"/>
  <c r="O109" i="6"/>
  <c r="ED109" i="6" s="1"/>
  <c r="N109" i="6"/>
  <c r="EC109" i="6" s="1"/>
  <c r="M109" i="6"/>
  <c r="EB109" i="6" s="1"/>
  <c r="L109" i="6"/>
  <c r="EA109" i="6" s="1"/>
  <c r="K109" i="6"/>
  <c r="DZ109" i="6" s="1"/>
  <c r="J109" i="6"/>
  <c r="DY109" i="6" s="1"/>
  <c r="I109" i="6"/>
  <c r="DX109" i="6" s="1"/>
  <c r="H109" i="6"/>
  <c r="DW109" i="6" s="1"/>
  <c r="G109" i="6"/>
  <c r="DV109" i="6" s="1"/>
  <c r="DU108" i="6"/>
  <c r="DT108" i="6"/>
  <c r="DS108" i="6"/>
  <c r="DR108" i="6"/>
  <c r="DQ108" i="6"/>
  <c r="DP108" i="6"/>
  <c r="DO108" i="6"/>
  <c r="DN108" i="6"/>
  <c r="DM108" i="6"/>
  <c r="DL108" i="6"/>
  <c r="DK108" i="6"/>
  <c r="DI108" i="6"/>
  <c r="DH108" i="6"/>
  <c r="DG108" i="6"/>
  <c r="DF108" i="6"/>
  <c r="DE108" i="6"/>
  <c r="DD108" i="6"/>
  <c r="DC108" i="6"/>
  <c r="DB108" i="6"/>
  <c r="DA108" i="6"/>
  <c r="CZ108" i="6"/>
  <c r="CY108" i="6"/>
  <c r="CW108" i="6"/>
  <c r="CV108" i="6"/>
  <c r="CU108" i="6"/>
  <c r="CT108" i="6"/>
  <c r="CS108" i="6"/>
  <c r="CR108" i="6"/>
  <c r="CQ108" i="6"/>
  <c r="CP108" i="6"/>
  <c r="CO108" i="6"/>
  <c r="CN108" i="6"/>
  <c r="CM108" i="6"/>
  <c r="CK108" i="6"/>
  <c r="CJ108" i="6"/>
  <c r="CI108" i="6"/>
  <c r="CH108" i="6"/>
  <c r="CG108" i="6"/>
  <c r="CF108" i="6"/>
  <c r="CE108" i="6"/>
  <c r="CD108" i="6"/>
  <c r="CC108" i="6"/>
  <c r="CB108" i="6"/>
  <c r="CA108" i="6"/>
  <c r="BY108" i="6"/>
  <c r="BX108" i="6"/>
  <c r="BW108" i="6"/>
  <c r="BV108" i="6"/>
  <c r="BU108" i="6"/>
  <c r="BT108" i="6"/>
  <c r="BS108" i="6"/>
  <c r="BR108" i="6"/>
  <c r="BQ108" i="6"/>
  <c r="BP108" i="6"/>
  <c r="BO108" i="6"/>
  <c r="BM108" i="6"/>
  <c r="BL108" i="6"/>
  <c r="BK108" i="6"/>
  <c r="BJ108" i="6"/>
  <c r="BI108" i="6"/>
  <c r="BH108" i="6"/>
  <c r="BG108" i="6"/>
  <c r="BF108" i="6"/>
  <c r="BE108" i="6"/>
  <c r="BD108" i="6"/>
  <c r="BC108" i="6"/>
  <c r="BA108" i="6"/>
  <c r="AZ108" i="6"/>
  <c r="AY108" i="6"/>
  <c r="AX108" i="6"/>
  <c r="AW108" i="6"/>
  <c r="AV108" i="6"/>
  <c r="AU108" i="6"/>
  <c r="AT108" i="6"/>
  <c r="AS108" i="6"/>
  <c r="AR108" i="6"/>
  <c r="AQ108" i="6"/>
  <c r="AO108" i="6"/>
  <c r="AN108" i="6"/>
  <c r="AM108" i="6"/>
  <c r="AL108" i="6"/>
  <c r="AK108" i="6"/>
  <c r="AJ108" i="6"/>
  <c r="AI108" i="6"/>
  <c r="AH108" i="6"/>
  <c r="AG108" i="6"/>
  <c r="AF108" i="6"/>
  <c r="AE108" i="6"/>
  <c r="AC108" i="6"/>
  <c r="AB108" i="6"/>
  <c r="AA108" i="6"/>
  <c r="Z108" i="6"/>
  <c r="Y108" i="6"/>
  <c r="X108" i="6"/>
  <c r="W108" i="6"/>
  <c r="V108" i="6"/>
  <c r="U108" i="6"/>
  <c r="T108" i="6"/>
  <c r="S108" i="6"/>
  <c r="Q108" i="6"/>
  <c r="EF108" i="6" s="1"/>
  <c r="P108" i="6"/>
  <c r="EE108" i="6" s="1"/>
  <c r="O108" i="6"/>
  <c r="ED108" i="6" s="1"/>
  <c r="N108" i="6"/>
  <c r="EC108" i="6" s="1"/>
  <c r="M108" i="6"/>
  <c r="EB108" i="6" s="1"/>
  <c r="L108" i="6"/>
  <c r="EA108" i="6" s="1"/>
  <c r="K108" i="6"/>
  <c r="DZ108" i="6" s="1"/>
  <c r="J108" i="6"/>
  <c r="DY108" i="6" s="1"/>
  <c r="I108" i="6"/>
  <c r="DX108" i="6" s="1"/>
  <c r="H108" i="6"/>
  <c r="DW108" i="6" s="1"/>
  <c r="G108" i="6"/>
  <c r="DV108" i="6" s="1"/>
  <c r="DU107" i="6"/>
  <c r="DT107" i="6"/>
  <c r="DS107" i="6"/>
  <c r="DR107" i="6"/>
  <c r="DQ107" i="6"/>
  <c r="DP107" i="6"/>
  <c r="DO107" i="6"/>
  <c r="DN107" i="6"/>
  <c r="DM107" i="6"/>
  <c r="DL107" i="6"/>
  <c r="DK107" i="6"/>
  <c r="DI107" i="6"/>
  <c r="DH107" i="6"/>
  <c r="DG107" i="6"/>
  <c r="DF107" i="6"/>
  <c r="DE107" i="6"/>
  <c r="DD107" i="6"/>
  <c r="DC107" i="6"/>
  <c r="DB107" i="6"/>
  <c r="DA107" i="6"/>
  <c r="CZ107" i="6"/>
  <c r="CY107" i="6"/>
  <c r="CW107" i="6"/>
  <c r="CV107" i="6"/>
  <c r="CU107" i="6"/>
  <c r="CT107" i="6"/>
  <c r="CS107" i="6"/>
  <c r="CR107" i="6"/>
  <c r="CQ107" i="6"/>
  <c r="CP107" i="6"/>
  <c r="CO107" i="6"/>
  <c r="CN107" i="6"/>
  <c r="CM107" i="6"/>
  <c r="CK107" i="6"/>
  <c r="CJ107" i="6"/>
  <c r="CI107" i="6"/>
  <c r="CH107" i="6"/>
  <c r="CG107" i="6"/>
  <c r="CF107" i="6"/>
  <c r="CE107" i="6"/>
  <c r="CD107" i="6"/>
  <c r="CC107" i="6"/>
  <c r="CB107" i="6"/>
  <c r="CA107" i="6"/>
  <c r="BY107" i="6"/>
  <c r="BX107" i="6"/>
  <c r="BW107" i="6"/>
  <c r="BV107" i="6"/>
  <c r="BU107" i="6"/>
  <c r="BT107" i="6"/>
  <c r="BS107" i="6"/>
  <c r="BR107" i="6"/>
  <c r="BQ107" i="6"/>
  <c r="BP107" i="6"/>
  <c r="BO107" i="6"/>
  <c r="BM107" i="6"/>
  <c r="BL107" i="6"/>
  <c r="BK107" i="6"/>
  <c r="BJ107" i="6"/>
  <c r="BI107" i="6"/>
  <c r="BH107" i="6"/>
  <c r="BG107" i="6"/>
  <c r="BF107" i="6"/>
  <c r="BE107" i="6"/>
  <c r="BD107" i="6"/>
  <c r="BC107" i="6"/>
  <c r="BA107" i="6"/>
  <c r="AZ107" i="6"/>
  <c r="AY107" i="6"/>
  <c r="AX107" i="6"/>
  <c r="AW107" i="6"/>
  <c r="AV107" i="6"/>
  <c r="AU107" i="6"/>
  <c r="AT107" i="6"/>
  <c r="AS107" i="6"/>
  <c r="AR107" i="6"/>
  <c r="AQ107" i="6"/>
  <c r="AO107" i="6"/>
  <c r="AN107" i="6"/>
  <c r="AM107" i="6"/>
  <c r="AL107" i="6"/>
  <c r="AK107" i="6"/>
  <c r="AJ107" i="6"/>
  <c r="AI107" i="6"/>
  <c r="AH107" i="6"/>
  <c r="AG107" i="6"/>
  <c r="AF107" i="6"/>
  <c r="AE107" i="6"/>
  <c r="AC107" i="6"/>
  <c r="AB107" i="6"/>
  <c r="AA107" i="6"/>
  <c r="Z107" i="6"/>
  <c r="Y107" i="6"/>
  <c r="X107" i="6"/>
  <c r="W107" i="6"/>
  <c r="V107" i="6"/>
  <c r="U107" i="6"/>
  <c r="T107" i="6"/>
  <c r="S107" i="6"/>
  <c r="Q107" i="6"/>
  <c r="EF107" i="6" s="1"/>
  <c r="P107" i="6"/>
  <c r="EE107" i="6" s="1"/>
  <c r="O107" i="6"/>
  <c r="ED107" i="6" s="1"/>
  <c r="N107" i="6"/>
  <c r="EC107" i="6" s="1"/>
  <c r="M107" i="6"/>
  <c r="EB107" i="6" s="1"/>
  <c r="L107" i="6"/>
  <c r="EA107" i="6" s="1"/>
  <c r="K107" i="6"/>
  <c r="DZ107" i="6" s="1"/>
  <c r="J107" i="6"/>
  <c r="DY107" i="6" s="1"/>
  <c r="I107" i="6"/>
  <c r="DX107" i="6" s="1"/>
  <c r="H107" i="6"/>
  <c r="DW107" i="6" s="1"/>
  <c r="G107" i="6"/>
  <c r="DV107" i="6" s="1"/>
  <c r="DU106" i="6"/>
  <c r="DT106" i="6"/>
  <c r="DS106" i="6"/>
  <c r="DR106" i="6"/>
  <c r="DQ106" i="6"/>
  <c r="DP106" i="6"/>
  <c r="DO106" i="6"/>
  <c r="DN106" i="6"/>
  <c r="DM106" i="6"/>
  <c r="DL106" i="6"/>
  <c r="DK106" i="6"/>
  <c r="DI106" i="6"/>
  <c r="DH106" i="6"/>
  <c r="DG106" i="6"/>
  <c r="DF106" i="6"/>
  <c r="DE106" i="6"/>
  <c r="DD106" i="6"/>
  <c r="DC106" i="6"/>
  <c r="DB106" i="6"/>
  <c r="DA106" i="6"/>
  <c r="CZ106" i="6"/>
  <c r="CY106" i="6"/>
  <c r="CW106" i="6"/>
  <c r="CV106" i="6"/>
  <c r="CU106" i="6"/>
  <c r="CT106" i="6"/>
  <c r="CS106" i="6"/>
  <c r="CR106" i="6"/>
  <c r="CQ106" i="6"/>
  <c r="CP106" i="6"/>
  <c r="CO106" i="6"/>
  <c r="CN106" i="6"/>
  <c r="CM106" i="6"/>
  <c r="CK106" i="6"/>
  <c r="CJ106" i="6"/>
  <c r="CI106" i="6"/>
  <c r="CH106" i="6"/>
  <c r="CG106" i="6"/>
  <c r="CF106" i="6"/>
  <c r="CE106" i="6"/>
  <c r="CD106" i="6"/>
  <c r="CC106" i="6"/>
  <c r="CB106" i="6"/>
  <c r="CA106" i="6"/>
  <c r="BY106" i="6"/>
  <c r="BX106" i="6"/>
  <c r="BW106" i="6"/>
  <c r="BV106" i="6"/>
  <c r="BU106" i="6"/>
  <c r="BT106" i="6"/>
  <c r="BS106" i="6"/>
  <c r="BR106" i="6"/>
  <c r="BQ106" i="6"/>
  <c r="BP106" i="6"/>
  <c r="BO106" i="6"/>
  <c r="BM106" i="6"/>
  <c r="BL106" i="6"/>
  <c r="BK106" i="6"/>
  <c r="BJ106" i="6"/>
  <c r="BI106" i="6"/>
  <c r="BH106" i="6"/>
  <c r="BG106" i="6"/>
  <c r="BF106" i="6"/>
  <c r="BE106" i="6"/>
  <c r="BD106" i="6"/>
  <c r="BC106" i="6"/>
  <c r="BA106" i="6"/>
  <c r="AZ106" i="6"/>
  <c r="AY106" i="6"/>
  <c r="AX106" i="6"/>
  <c r="AW106" i="6"/>
  <c r="AV106" i="6"/>
  <c r="AU106" i="6"/>
  <c r="AT106" i="6"/>
  <c r="AS106" i="6"/>
  <c r="AR106" i="6"/>
  <c r="AQ106" i="6"/>
  <c r="AO106" i="6"/>
  <c r="AN106" i="6"/>
  <c r="AM106" i="6"/>
  <c r="AL106" i="6"/>
  <c r="AK106" i="6"/>
  <c r="AJ106" i="6"/>
  <c r="AI106" i="6"/>
  <c r="AH106" i="6"/>
  <c r="AG106" i="6"/>
  <c r="AF106" i="6"/>
  <c r="AE106" i="6"/>
  <c r="AC106" i="6"/>
  <c r="AB106" i="6"/>
  <c r="AA106" i="6"/>
  <c r="Z106" i="6"/>
  <c r="Y106" i="6"/>
  <c r="X106" i="6"/>
  <c r="W106" i="6"/>
  <c r="V106" i="6"/>
  <c r="U106" i="6"/>
  <c r="T106" i="6"/>
  <c r="S106" i="6"/>
  <c r="Q106" i="6"/>
  <c r="EF106" i="6" s="1"/>
  <c r="P106" i="6"/>
  <c r="EE106" i="6" s="1"/>
  <c r="O106" i="6"/>
  <c r="ED106" i="6" s="1"/>
  <c r="N106" i="6"/>
  <c r="EC106" i="6" s="1"/>
  <c r="M106" i="6"/>
  <c r="EB106" i="6" s="1"/>
  <c r="L106" i="6"/>
  <c r="EA106" i="6" s="1"/>
  <c r="K106" i="6"/>
  <c r="DZ106" i="6" s="1"/>
  <c r="J106" i="6"/>
  <c r="DY106" i="6" s="1"/>
  <c r="I106" i="6"/>
  <c r="DX106" i="6" s="1"/>
  <c r="H106" i="6"/>
  <c r="DW106" i="6" s="1"/>
  <c r="G106" i="6"/>
  <c r="DV106" i="6" s="1"/>
  <c r="DU105" i="6"/>
  <c r="DT105" i="6"/>
  <c r="DS105" i="6"/>
  <c r="DR105" i="6"/>
  <c r="DQ105" i="6"/>
  <c r="DP105" i="6"/>
  <c r="DO105" i="6"/>
  <c r="DN105" i="6"/>
  <c r="DM105" i="6"/>
  <c r="DL105" i="6"/>
  <c r="DK105" i="6"/>
  <c r="DI105" i="6"/>
  <c r="DH105" i="6"/>
  <c r="DG105" i="6"/>
  <c r="DF105" i="6"/>
  <c r="DE105" i="6"/>
  <c r="DD105" i="6"/>
  <c r="DC105" i="6"/>
  <c r="DB105" i="6"/>
  <c r="DA105" i="6"/>
  <c r="CZ105" i="6"/>
  <c r="CY105" i="6"/>
  <c r="CW105" i="6"/>
  <c r="CV105" i="6"/>
  <c r="CU105" i="6"/>
  <c r="CT105" i="6"/>
  <c r="CS105" i="6"/>
  <c r="CR105" i="6"/>
  <c r="CQ105" i="6"/>
  <c r="CP105" i="6"/>
  <c r="CO105" i="6"/>
  <c r="CN105" i="6"/>
  <c r="CM105" i="6"/>
  <c r="CK105" i="6"/>
  <c r="CJ105" i="6"/>
  <c r="CI105" i="6"/>
  <c r="CH105" i="6"/>
  <c r="CG105" i="6"/>
  <c r="CF105" i="6"/>
  <c r="CE105" i="6"/>
  <c r="CD105" i="6"/>
  <c r="CC105" i="6"/>
  <c r="CB105" i="6"/>
  <c r="CA105" i="6"/>
  <c r="BY105" i="6"/>
  <c r="BX105" i="6"/>
  <c r="BW105" i="6"/>
  <c r="BV105" i="6"/>
  <c r="BU105" i="6"/>
  <c r="BT105" i="6"/>
  <c r="BS105" i="6"/>
  <c r="BR105" i="6"/>
  <c r="BQ105" i="6"/>
  <c r="BP105" i="6"/>
  <c r="BO105" i="6"/>
  <c r="BM105" i="6"/>
  <c r="BL105" i="6"/>
  <c r="BK105" i="6"/>
  <c r="BJ105" i="6"/>
  <c r="BI105" i="6"/>
  <c r="BH105" i="6"/>
  <c r="BG105" i="6"/>
  <c r="BF105" i="6"/>
  <c r="BE105" i="6"/>
  <c r="BD105" i="6"/>
  <c r="BC105" i="6"/>
  <c r="BA105" i="6"/>
  <c r="AZ105" i="6"/>
  <c r="AY105" i="6"/>
  <c r="AX105" i="6"/>
  <c r="AW105" i="6"/>
  <c r="AV105" i="6"/>
  <c r="AU105" i="6"/>
  <c r="AT105" i="6"/>
  <c r="AS105" i="6"/>
  <c r="AR105" i="6"/>
  <c r="AQ105" i="6"/>
  <c r="AO105" i="6"/>
  <c r="AN105" i="6"/>
  <c r="AM105" i="6"/>
  <c r="AL105" i="6"/>
  <c r="AK105" i="6"/>
  <c r="AJ105" i="6"/>
  <c r="AI105" i="6"/>
  <c r="AH105" i="6"/>
  <c r="AG105" i="6"/>
  <c r="AF105" i="6"/>
  <c r="AE105" i="6"/>
  <c r="AC105" i="6"/>
  <c r="AB105" i="6"/>
  <c r="AA105" i="6"/>
  <c r="Z105" i="6"/>
  <c r="Y105" i="6"/>
  <c r="X105" i="6"/>
  <c r="W105" i="6"/>
  <c r="V105" i="6"/>
  <c r="U105" i="6"/>
  <c r="T105" i="6"/>
  <c r="S105" i="6"/>
  <c r="Q105" i="6"/>
  <c r="EF105" i="6" s="1"/>
  <c r="P105" i="6"/>
  <c r="EE105" i="6" s="1"/>
  <c r="O105" i="6"/>
  <c r="ED105" i="6" s="1"/>
  <c r="N105" i="6"/>
  <c r="EC105" i="6" s="1"/>
  <c r="M105" i="6"/>
  <c r="EB105" i="6" s="1"/>
  <c r="L105" i="6"/>
  <c r="EA105" i="6" s="1"/>
  <c r="K105" i="6"/>
  <c r="DZ105" i="6" s="1"/>
  <c r="J105" i="6"/>
  <c r="DY105" i="6" s="1"/>
  <c r="I105" i="6"/>
  <c r="DX105" i="6" s="1"/>
  <c r="H105" i="6"/>
  <c r="DW105" i="6" s="1"/>
  <c r="G105" i="6"/>
  <c r="DV105" i="6" s="1"/>
  <c r="DU104" i="6"/>
  <c r="DT104" i="6"/>
  <c r="DS104" i="6"/>
  <c r="DR104" i="6"/>
  <c r="DQ104" i="6"/>
  <c r="DP104" i="6"/>
  <c r="DO104" i="6"/>
  <c r="DN104" i="6"/>
  <c r="DM104" i="6"/>
  <c r="DL104" i="6"/>
  <c r="DK104" i="6"/>
  <c r="DI104" i="6"/>
  <c r="DH104" i="6"/>
  <c r="DG104" i="6"/>
  <c r="DF104" i="6"/>
  <c r="DE104" i="6"/>
  <c r="DD104" i="6"/>
  <c r="DC104" i="6"/>
  <c r="DB104" i="6"/>
  <c r="DA104" i="6"/>
  <c r="CZ104" i="6"/>
  <c r="CY104" i="6"/>
  <c r="CW104" i="6"/>
  <c r="CV104" i="6"/>
  <c r="CU104" i="6"/>
  <c r="CT104" i="6"/>
  <c r="CS104" i="6"/>
  <c r="CR104" i="6"/>
  <c r="CQ104" i="6"/>
  <c r="CP104" i="6"/>
  <c r="CO104" i="6"/>
  <c r="CN104" i="6"/>
  <c r="CM104" i="6"/>
  <c r="CK104" i="6"/>
  <c r="CJ104" i="6"/>
  <c r="CI104" i="6"/>
  <c r="CH104" i="6"/>
  <c r="CG104" i="6"/>
  <c r="CF104" i="6"/>
  <c r="CE104" i="6"/>
  <c r="CD104" i="6"/>
  <c r="CC104" i="6"/>
  <c r="CB104" i="6"/>
  <c r="CA104" i="6"/>
  <c r="BY104" i="6"/>
  <c r="BX104" i="6"/>
  <c r="BW104" i="6"/>
  <c r="BV104" i="6"/>
  <c r="BU104" i="6"/>
  <c r="BT104" i="6"/>
  <c r="BS104" i="6"/>
  <c r="BR104" i="6"/>
  <c r="BQ104" i="6"/>
  <c r="BP104" i="6"/>
  <c r="BO104" i="6"/>
  <c r="BM104" i="6"/>
  <c r="BL104" i="6"/>
  <c r="BK104" i="6"/>
  <c r="BJ104" i="6"/>
  <c r="BI104" i="6"/>
  <c r="BH104" i="6"/>
  <c r="BG104" i="6"/>
  <c r="BF104" i="6"/>
  <c r="BE104" i="6"/>
  <c r="BD104" i="6"/>
  <c r="BC104" i="6"/>
  <c r="BA104" i="6"/>
  <c r="AZ104" i="6"/>
  <c r="AY104" i="6"/>
  <c r="AX104" i="6"/>
  <c r="AW104" i="6"/>
  <c r="AV104" i="6"/>
  <c r="AU104" i="6"/>
  <c r="AT104" i="6"/>
  <c r="AS104" i="6"/>
  <c r="AR104" i="6"/>
  <c r="AQ104" i="6"/>
  <c r="AO104" i="6"/>
  <c r="AN104" i="6"/>
  <c r="AM104" i="6"/>
  <c r="AL104" i="6"/>
  <c r="AK104" i="6"/>
  <c r="AJ104" i="6"/>
  <c r="AI104" i="6"/>
  <c r="AH104" i="6"/>
  <c r="AG104" i="6"/>
  <c r="AF104" i="6"/>
  <c r="AE104" i="6"/>
  <c r="AC104" i="6"/>
  <c r="AB104" i="6"/>
  <c r="AA104" i="6"/>
  <c r="Z104" i="6"/>
  <c r="Y104" i="6"/>
  <c r="X104" i="6"/>
  <c r="W104" i="6"/>
  <c r="V104" i="6"/>
  <c r="U104" i="6"/>
  <c r="T104" i="6"/>
  <c r="S104" i="6"/>
  <c r="Q104" i="6"/>
  <c r="EF104" i="6" s="1"/>
  <c r="P104" i="6"/>
  <c r="EE104" i="6" s="1"/>
  <c r="O104" i="6"/>
  <c r="ED104" i="6" s="1"/>
  <c r="N104" i="6"/>
  <c r="EC104" i="6" s="1"/>
  <c r="M104" i="6"/>
  <c r="EB104" i="6" s="1"/>
  <c r="EM104" i="6" s="1"/>
  <c r="L104" i="6"/>
  <c r="EA104" i="6" s="1"/>
  <c r="K104" i="6"/>
  <c r="DZ104" i="6" s="1"/>
  <c r="J104" i="6"/>
  <c r="DY104" i="6" s="1"/>
  <c r="I104" i="6"/>
  <c r="DX104" i="6" s="1"/>
  <c r="H104" i="6"/>
  <c r="DW104" i="6" s="1"/>
  <c r="G104" i="6"/>
  <c r="DV104" i="6" s="1"/>
  <c r="DU103" i="6"/>
  <c r="DT103" i="6"/>
  <c r="DS103" i="6"/>
  <c r="DR103" i="6"/>
  <c r="DQ103" i="6"/>
  <c r="DP103" i="6"/>
  <c r="DO103" i="6"/>
  <c r="DN103" i="6"/>
  <c r="DM103" i="6"/>
  <c r="DL103" i="6"/>
  <c r="DK103" i="6"/>
  <c r="DI103" i="6"/>
  <c r="DH103" i="6"/>
  <c r="DG103" i="6"/>
  <c r="DF103" i="6"/>
  <c r="DE103" i="6"/>
  <c r="DD103" i="6"/>
  <c r="DC103" i="6"/>
  <c r="DB103" i="6"/>
  <c r="DA103" i="6"/>
  <c r="CZ103" i="6"/>
  <c r="CY103" i="6"/>
  <c r="CW103" i="6"/>
  <c r="CV103" i="6"/>
  <c r="CU103" i="6"/>
  <c r="CT103" i="6"/>
  <c r="CS103" i="6"/>
  <c r="CR103" i="6"/>
  <c r="CQ103" i="6"/>
  <c r="CP103" i="6"/>
  <c r="CO103" i="6"/>
  <c r="CN103" i="6"/>
  <c r="CM103" i="6"/>
  <c r="CK103" i="6"/>
  <c r="CJ103" i="6"/>
  <c r="CI103" i="6"/>
  <c r="CH103" i="6"/>
  <c r="CG103" i="6"/>
  <c r="CF103" i="6"/>
  <c r="CE103" i="6"/>
  <c r="CD103" i="6"/>
  <c r="CC103" i="6"/>
  <c r="CB103" i="6"/>
  <c r="CA103" i="6"/>
  <c r="BY103" i="6"/>
  <c r="BX103" i="6"/>
  <c r="BW103" i="6"/>
  <c r="BV103" i="6"/>
  <c r="BU103" i="6"/>
  <c r="BT103" i="6"/>
  <c r="BS103" i="6"/>
  <c r="BR103" i="6"/>
  <c r="BQ103" i="6"/>
  <c r="BP103" i="6"/>
  <c r="BO103" i="6"/>
  <c r="BM103" i="6"/>
  <c r="BL103" i="6"/>
  <c r="BK103" i="6"/>
  <c r="BJ103" i="6"/>
  <c r="BI103" i="6"/>
  <c r="BH103" i="6"/>
  <c r="BG103" i="6"/>
  <c r="BF103" i="6"/>
  <c r="BE103" i="6"/>
  <c r="BD103" i="6"/>
  <c r="BC103" i="6"/>
  <c r="BA103" i="6"/>
  <c r="AZ103" i="6"/>
  <c r="AY103" i="6"/>
  <c r="AX103" i="6"/>
  <c r="AW103" i="6"/>
  <c r="AV103" i="6"/>
  <c r="AU103" i="6"/>
  <c r="AT103" i="6"/>
  <c r="AS103" i="6"/>
  <c r="AR103" i="6"/>
  <c r="AQ103" i="6"/>
  <c r="AO103" i="6"/>
  <c r="AN103" i="6"/>
  <c r="AM103" i="6"/>
  <c r="AL103" i="6"/>
  <c r="AK103" i="6"/>
  <c r="AJ103" i="6"/>
  <c r="AI103" i="6"/>
  <c r="AH103" i="6"/>
  <c r="AG103" i="6"/>
  <c r="AF103" i="6"/>
  <c r="AE103" i="6"/>
  <c r="AC103" i="6"/>
  <c r="AB103" i="6"/>
  <c r="AA103" i="6"/>
  <c r="Z103" i="6"/>
  <c r="Y103" i="6"/>
  <c r="X103" i="6"/>
  <c r="W103" i="6"/>
  <c r="V103" i="6"/>
  <c r="U103" i="6"/>
  <c r="T103" i="6"/>
  <c r="S103" i="6"/>
  <c r="Q103" i="6"/>
  <c r="EF103" i="6" s="1"/>
  <c r="P103" i="6"/>
  <c r="EE103" i="6" s="1"/>
  <c r="O103" i="6"/>
  <c r="ED103" i="6" s="1"/>
  <c r="N103" i="6"/>
  <c r="EC103" i="6" s="1"/>
  <c r="M103" i="6"/>
  <c r="EB103" i="6" s="1"/>
  <c r="L103" i="6"/>
  <c r="EA103" i="6" s="1"/>
  <c r="K103" i="6"/>
  <c r="DZ103" i="6" s="1"/>
  <c r="J103" i="6"/>
  <c r="DY103" i="6" s="1"/>
  <c r="I103" i="6"/>
  <c r="DX103" i="6" s="1"/>
  <c r="H103" i="6"/>
  <c r="DW103" i="6" s="1"/>
  <c r="G103" i="6"/>
  <c r="DV103" i="6" s="1"/>
  <c r="DU102" i="6"/>
  <c r="DT102" i="6"/>
  <c r="DS102" i="6"/>
  <c r="DR102" i="6"/>
  <c r="DQ102" i="6"/>
  <c r="DP102" i="6"/>
  <c r="DO102" i="6"/>
  <c r="DN102" i="6"/>
  <c r="DM102" i="6"/>
  <c r="DL102" i="6"/>
  <c r="DK102" i="6"/>
  <c r="DI102" i="6"/>
  <c r="DH102" i="6"/>
  <c r="DG102" i="6"/>
  <c r="DF102" i="6"/>
  <c r="DE102" i="6"/>
  <c r="DD102" i="6"/>
  <c r="DC102" i="6"/>
  <c r="DB102" i="6"/>
  <c r="DA102" i="6"/>
  <c r="CZ102" i="6"/>
  <c r="CY102" i="6"/>
  <c r="CW102" i="6"/>
  <c r="CV102" i="6"/>
  <c r="CU102" i="6"/>
  <c r="CT102" i="6"/>
  <c r="CS102" i="6"/>
  <c r="CR102" i="6"/>
  <c r="CQ102" i="6"/>
  <c r="CP102" i="6"/>
  <c r="CO102" i="6"/>
  <c r="CN102" i="6"/>
  <c r="CM102" i="6"/>
  <c r="CK102" i="6"/>
  <c r="CJ102" i="6"/>
  <c r="CI102" i="6"/>
  <c r="CH102" i="6"/>
  <c r="CG102" i="6"/>
  <c r="CF102" i="6"/>
  <c r="CE102" i="6"/>
  <c r="CD102" i="6"/>
  <c r="CC102" i="6"/>
  <c r="CB102" i="6"/>
  <c r="CA102" i="6"/>
  <c r="BY102" i="6"/>
  <c r="BX102" i="6"/>
  <c r="BW102" i="6"/>
  <c r="BV102" i="6"/>
  <c r="BU102" i="6"/>
  <c r="BT102" i="6"/>
  <c r="BS102" i="6"/>
  <c r="BR102" i="6"/>
  <c r="BQ102" i="6"/>
  <c r="BP102" i="6"/>
  <c r="BO102" i="6"/>
  <c r="BM102" i="6"/>
  <c r="BL102" i="6"/>
  <c r="BK102" i="6"/>
  <c r="BJ102" i="6"/>
  <c r="BI102" i="6"/>
  <c r="BH102" i="6"/>
  <c r="BG102" i="6"/>
  <c r="BF102" i="6"/>
  <c r="BE102" i="6"/>
  <c r="BD102" i="6"/>
  <c r="BC102" i="6"/>
  <c r="BA102" i="6"/>
  <c r="AZ102" i="6"/>
  <c r="AY102" i="6"/>
  <c r="AX102" i="6"/>
  <c r="AW102" i="6"/>
  <c r="AV102" i="6"/>
  <c r="AU102" i="6"/>
  <c r="AT102" i="6"/>
  <c r="AS102" i="6"/>
  <c r="AR102" i="6"/>
  <c r="AQ102" i="6"/>
  <c r="AO102" i="6"/>
  <c r="AN102" i="6"/>
  <c r="AM102" i="6"/>
  <c r="AL102" i="6"/>
  <c r="AK102" i="6"/>
  <c r="AJ102" i="6"/>
  <c r="AI102" i="6"/>
  <c r="AH102" i="6"/>
  <c r="AG102" i="6"/>
  <c r="AF102" i="6"/>
  <c r="AE102" i="6"/>
  <c r="AC102" i="6"/>
  <c r="AB102" i="6"/>
  <c r="AA102" i="6"/>
  <c r="Z102" i="6"/>
  <c r="Y102" i="6"/>
  <c r="X102" i="6"/>
  <c r="W102" i="6"/>
  <c r="V102" i="6"/>
  <c r="U102" i="6"/>
  <c r="T102" i="6"/>
  <c r="S102" i="6"/>
  <c r="Q102" i="6"/>
  <c r="EF102" i="6" s="1"/>
  <c r="P102" i="6"/>
  <c r="EE102" i="6" s="1"/>
  <c r="O102" i="6"/>
  <c r="ED102" i="6" s="1"/>
  <c r="N102" i="6"/>
  <c r="EC102" i="6" s="1"/>
  <c r="M102" i="6"/>
  <c r="EB102" i="6" s="1"/>
  <c r="L102" i="6"/>
  <c r="EA102" i="6" s="1"/>
  <c r="K102" i="6"/>
  <c r="DZ102" i="6" s="1"/>
  <c r="J102" i="6"/>
  <c r="DY102" i="6" s="1"/>
  <c r="I102" i="6"/>
  <c r="DX102" i="6" s="1"/>
  <c r="H102" i="6"/>
  <c r="DW102" i="6" s="1"/>
  <c r="G102" i="6"/>
  <c r="DV102" i="6" s="1"/>
  <c r="DU101" i="6"/>
  <c r="DT101" i="6"/>
  <c r="DS101" i="6"/>
  <c r="DR101" i="6"/>
  <c r="DQ101" i="6"/>
  <c r="DP101" i="6"/>
  <c r="DO101" i="6"/>
  <c r="DN101" i="6"/>
  <c r="DM101" i="6"/>
  <c r="DL101" i="6"/>
  <c r="DK101" i="6"/>
  <c r="DI101" i="6"/>
  <c r="DH101" i="6"/>
  <c r="DG101" i="6"/>
  <c r="DF101" i="6"/>
  <c r="DE101" i="6"/>
  <c r="DD101" i="6"/>
  <c r="DC101" i="6"/>
  <c r="DB101" i="6"/>
  <c r="DA101" i="6"/>
  <c r="CZ101" i="6"/>
  <c r="CY101" i="6"/>
  <c r="CW101" i="6"/>
  <c r="CV101" i="6"/>
  <c r="CU101" i="6"/>
  <c r="CT101" i="6"/>
  <c r="CS101" i="6"/>
  <c r="CR101" i="6"/>
  <c r="CQ101" i="6"/>
  <c r="CP101" i="6"/>
  <c r="CO101" i="6"/>
  <c r="CN101" i="6"/>
  <c r="CM101" i="6"/>
  <c r="CK101" i="6"/>
  <c r="CJ101" i="6"/>
  <c r="CI101" i="6"/>
  <c r="CH101" i="6"/>
  <c r="CG101" i="6"/>
  <c r="CF101" i="6"/>
  <c r="CE101" i="6"/>
  <c r="CD101" i="6"/>
  <c r="CC101" i="6"/>
  <c r="CB101" i="6"/>
  <c r="CA101" i="6"/>
  <c r="BY101" i="6"/>
  <c r="BX101" i="6"/>
  <c r="BW101" i="6"/>
  <c r="BV101" i="6"/>
  <c r="BU101" i="6"/>
  <c r="BT101" i="6"/>
  <c r="BS101" i="6"/>
  <c r="BR101" i="6"/>
  <c r="BQ101" i="6"/>
  <c r="BP101" i="6"/>
  <c r="BO101" i="6"/>
  <c r="BM101" i="6"/>
  <c r="BL101" i="6"/>
  <c r="BK101" i="6"/>
  <c r="BJ101" i="6"/>
  <c r="BI101" i="6"/>
  <c r="BH101" i="6"/>
  <c r="BG101" i="6"/>
  <c r="BF101" i="6"/>
  <c r="BE101" i="6"/>
  <c r="BD101" i="6"/>
  <c r="BC101" i="6"/>
  <c r="BA101" i="6"/>
  <c r="AZ101" i="6"/>
  <c r="AY101" i="6"/>
  <c r="AX101" i="6"/>
  <c r="AW101" i="6"/>
  <c r="AV101" i="6"/>
  <c r="AU101" i="6"/>
  <c r="AT101" i="6"/>
  <c r="AS101" i="6"/>
  <c r="AR101" i="6"/>
  <c r="AQ101" i="6"/>
  <c r="AO101" i="6"/>
  <c r="AN101" i="6"/>
  <c r="AM101" i="6"/>
  <c r="AL101" i="6"/>
  <c r="AK101" i="6"/>
  <c r="AJ101" i="6"/>
  <c r="AI101" i="6"/>
  <c r="AH101" i="6"/>
  <c r="AG101" i="6"/>
  <c r="AF101" i="6"/>
  <c r="AE101" i="6"/>
  <c r="AC101" i="6"/>
  <c r="AB101" i="6"/>
  <c r="AA101" i="6"/>
  <c r="Z101" i="6"/>
  <c r="Y101" i="6"/>
  <c r="X101" i="6"/>
  <c r="W101" i="6"/>
  <c r="V101" i="6"/>
  <c r="U101" i="6"/>
  <c r="T101" i="6"/>
  <c r="S101" i="6"/>
  <c r="Q101" i="6"/>
  <c r="EF101" i="6" s="1"/>
  <c r="P101" i="6"/>
  <c r="EE101" i="6" s="1"/>
  <c r="O101" i="6"/>
  <c r="ED101" i="6" s="1"/>
  <c r="N101" i="6"/>
  <c r="EC101" i="6" s="1"/>
  <c r="M101" i="6"/>
  <c r="EB101" i="6" s="1"/>
  <c r="L101" i="6"/>
  <c r="EA101" i="6" s="1"/>
  <c r="K101" i="6"/>
  <c r="DZ101" i="6" s="1"/>
  <c r="J101" i="6"/>
  <c r="DY101" i="6" s="1"/>
  <c r="I101" i="6"/>
  <c r="DX101" i="6" s="1"/>
  <c r="H101" i="6"/>
  <c r="DW101" i="6" s="1"/>
  <c r="G101" i="6"/>
  <c r="DV101" i="6" s="1"/>
  <c r="DU100" i="6"/>
  <c r="DT100" i="6"/>
  <c r="DS100" i="6"/>
  <c r="DR100" i="6"/>
  <c r="DQ100" i="6"/>
  <c r="DP100" i="6"/>
  <c r="DO100" i="6"/>
  <c r="DN100" i="6"/>
  <c r="DM100" i="6"/>
  <c r="DL100" i="6"/>
  <c r="DK100" i="6"/>
  <c r="DI100" i="6"/>
  <c r="DH100" i="6"/>
  <c r="DG100" i="6"/>
  <c r="DF100" i="6"/>
  <c r="DE100" i="6"/>
  <c r="DD100" i="6"/>
  <c r="DC100" i="6"/>
  <c r="DB100" i="6"/>
  <c r="DA100" i="6"/>
  <c r="CZ100" i="6"/>
  <c r="CY100" i="6"/>
  <c r="CW100" i="6"/>
  <c r="CV100" i="6"/>
  <c r="CU100" i="6"/>
  <c r="CT100" i="6"/>
  <c r="CS100" i="6"/>
  <c r="CR100" i="6"/>
  <c r="CQ100" i="6"/>
  <c r="CP100" i="6"/>
  <c r="CO100" i="6"/>
  <c r="CN100" i="6"/>
  <c r="CM100" i="6"/>
  <c r="CK100" i="6"/>
  <c r="CJ100" i="6"/>
  <c r="CI100" i="6"/>
  <c r="CH100" i="6"/>
  <c r="CG100" i="6"/>
  <c r="CF100" i="6"/>
  <c r="CE100" i="6"/>
  <c r="CD100" i="6"/>
  <c r="CC100" i="6"/>
  <c r="CB100" i="6"/>
  <c r="CA100" i="6"/>
  <c r="BY100" i="6"/>
  <c r="BX100" i="6"/>
  <c r="BW100" i="6"/>
  <c r="BV100" i="6"/>
  <c r="BU100" i="6"/>
  <c r="BT100" i="6"/>
  <c r="BS100" i="6"/>
  <c r="BR100" i="6"/>
  <c r="BQ100" i="6"/>
  <c r="BP100" i="6"/>
  <c r="BO100" i="6"/>
  <c r="BM100" i="6"/>
  <c r="BL100" i="6"/>
  <c r="BK100" i="6"/>
  <c r="BJ100" i="6"/>
  <c r="BI100" i="6"/>
  <c r="BH100" i="6"/>
  <c r="BG100" i="6"/>
  <c r="BF100" i="6"/>
  <c r="BE100" i="6"/>
  <c r="BD100" i="6"/>
  <c r="BC100" i="6"/>
  <c r="BA100" i="6"/>
  <c r="AZ100" i="6"/>
  <c r="AY100" i="6"/>
  <c r="AX100" i="6"/>
  <c r="AW100" i="6"/>
  <c r="AV100" i="6"/>
  <c r="AU100" i="6"/>
  <c r="AT100" i="6"/>
  <c r="AS100" i="6"/>
  <c r="AR100" i="6"/>
  <c r="AQ100" i="6"/>
  <c r="AO100" i="6"/>
  <c r="AN100" i="6"/>
  <c r="AM100" i="6"/>
  <c r="AL100" i="6"/>
  <c r="AK100" i="6"/>
  <c r="AJ100" i="6"/>
  <c r="AI100" i="6"/>
  <c r="AH100" i="6"/>
  <c r="AG100" i="6"/>
  <c r="AF100" i="6"/>
  <c r="AE100" i="6"/>
  <c r="AC100" i="6"/>
  <c r="AB100" i="6"/>
  <c r="AA100" i="6"/>
  <c r="Z100" i="6"/>
  <c r="Y100" i="6"/>
  <c r="X100" i="6"/>
  <c r="W100" i="6"/>
  <c r="V100" i="6"/>
  <c r="U100" i="6"/>
  <c r="T100" i="6"/>
  <c r="S100" i="6"/>
  <c r="Q100" i="6"/>
  <c r="EF100" i="6" s="1"/>
  <c r="P100" i="6"/>
  <c r="EE100" i="6" s="1"/>
  <c r="O100" i="6"/>
  <c r="ED100" i="6" s="1"/>
  <c r="N100" i="6"/>
  <c r="EC100" i="6" s="1"/>
  <c r="M100" i="6"/>
  <c r="EB100" i="6" s="1"/>
  <c r="L100" i="6"/>
  <c r="EA100" i="6" s="1"/>
  <c r="K100" i="6"/>
  <c r="DZ100" i="6" s="1"/>
  <c r="J100" i="6"/>
  <c r="DY100" i="6" s="1"/>
  <c r="I100" i="6"/>
  <c r="DX100" i="6" s="1"/>
  <c r="H100" i="6"/>
  <c r="DW100" i="6" s="1"/>
  <c r="G100" i="6"/>
  <c r="DV100" i="6" s="1"/>
  <c r="DU99" i="6"/>
  <c r="DT99" i="6"/>
  <c r="DS99" i="6"/>
  <c r="DR99" i="6"/>
  <c r="DQ99" i="6"/>
  <c r="DP99" i="6"/>
  <c r="DO99" i="6"/>
  <c r="DN99" i="6"/>
  <c r="DM99" i="6"/>
  <c r="DL99" i="6"/>
  <c r="DK99" i="6"/>
  <c r="DI99" i="6"/>
  <c r="DH99" i="6"/>
  <c r="DG99" i="6"/>
  <c r="DF99" i="6"/>
  <c r="DE99" i="6"/>
  <c r="DD99" i="6"/>
  <c r="DC99" i="6"/>
  <c r="DB99" i="6"/>
  <c r="DA99" i="6"/>
  <c r="CZ99" i="6"/>
  <c r="CY99" i="6"/>
  <c r="CW99" i="6"/>
  <c r="CV99" i="6"/>
  <c r="CU99" i="6"/>
  <c r="CT99" i="6"/>
  <c r="CS99" i="6"/>
  <c r="CR99" i="6"/>
  <c r="CQ99" i="6"/>
  <c r="CP99" i="6"/>
  <c r="CO99" i="6"/>
  <c r="CN99" i="6"/>
  <c r="CM99" i="6"/>
  <c r="CK99" i="6"/>
  <c r="CJ99" i="6"/>
  <c r="CI99" i="6"/>
  <c r="CH99" i="6"/>
  <c r="CG99" i="6"/>
  <c r="CF99" i="6"/>
  <c r="CE99" i="6"/>
  <c r="CD99" i="6"/>
  <c r="CC99" i="6"/>
  <c r="CB99" i="6"/>
  <c r="CA99" i="6"/>
  <c r="BY99" i="6"/>
  <c r="BX99" i="6"/>
  <c r="BW99" i="6"/>
  <c r="BV99" i="6"/>
  <c r="BU99" i="6"/>
  <c r="BT99" i="6"/>
  <c r="BS99" i="6"/>
  <c r="BR99" i="6"/>
  <c r="BQ99" i="6"/>
  <c r="BP99" i="6"/>
  <c r="BO99" i="6"/>
  <c r="BM99" i="6"/>
  <c r="BL99" i="6"/>
  <c r="BK99" i="6"/>
  <c r="BJ99" i="6"/>
  <c r="BI99" i="6"/>
  <c r="BH99" i="6"/>
  <c r="BG99" i="6"/>
  <c r="BF99" i="6"/>
  <c r="BE99" i="6"/>
  <c r="BD99" i="6"/>
  <c r="BC99" i="6"/>
  <c r="BA99" i="6"/>
  <c r="AZ99" i="6"/>
  <c r="AY99" i="6"/>
  <c r="AX99" i="6"/>
  <c r="AW99" i="6"/>
  <c r="AV99" i="6"/>
  <c r="AU99" i="6"/>
  <c r="AT99" i="6"/>
  <c r="AS99" i="6"/>
  <c r="AR99" i="6"/>
  <c r="AQ99" i="6"/>
  <c r="AO99" i="6"/>
  <c r="AN99" i="6"/>
  <c r="AM99" i="6"/>
  <c r="AL99" i="6"/>
  <c r="AK99" i="6"/>
  <c r="AJ99" i="6"/>
  <c r="AI99" i="6"/>
  <c r="AH99" i="6"/>
  <c r="AG99" i="6"/>
  <c r="AF99" i="6"/>
  <c r="AE99" i="6"/>
  <c r="AC99" i="6"/>
  <c r="AB99" i="6"/>
  <c r="AA99" i="6"/>
  <c r="Z99" i="6"/>
  <c r="Y99" i="6"/>
  <c r="X99" i="6"/>
  <c r="W99" i="6"/>
  <c r="V99" i="6"/>
  <c r="U99" i="6"/>
  <c r="T99" i="6"/>
  <c r="S99" i="6"/>
  <c r="Q99" i="6"/>
  <c r="EF99" i="6" s="1"/>
  <c r="P99" i="6"/>
  <c r="EE99" i="6" s="1"/>
  <c r="O99" i="6"/>
  <c r="ED99" i="6" s="1"/>
  <c r="N99" i="6"/>
  <c r="EC99" i="6" s="1"/>
  <c r="M99" i="6"/>
  <c r="EB99" i="6" s="1"/>
  <c r="L99" i="6"/>
  <c r="EA99" i="6" s="1"/>
  <c r="K99" i="6"/>
  <c r="DZ99" i="6" s="1"/>
  <c r="J99" i="6"/>
  <c r="DY99" i="6" s="1"/>
  <c r="I99" i="6"/>
  <c r="DX99" i="6" s="1"/>
  <c r="H99" i="6"/>
  <c r="DW99" i="6" s="1"/>
  <c r="G99" i="6"/>
  <c r="DV99" i="6" s="1"/>
  <c r="DU98" i="6"/>
  <c r="DT98" i="6"/>
  <c r="DS98" i="6"/>
  <c r="DR98" i="6"/>
  <c r="DQ98" i="6"/>
  <c r="DP98" i="6"/>
  <c r="DO98" i="6"/>
  <c r="DN98" i="6"/>
  <c r="DM98" i="6"/>
  <c r="DL98" i="6"/>
  <c r="DK98" i="6"/>
  <c r="DI98" i="6"/>
  <c r="DH98" i="6"/>
  <c r="DG98" i="6"/>
  <c r="DF98" i="6"/>
  <c r="DE98" i="6"/>
  <c r="DD98" i="6"/>
  <c r="DC98" i="6"/>
  <c r="DB98" i="6"/>
  <c r="DA98" i="6"/>
  <c r="CZ98" i="6"/>
  <c r="CY98" i="6"/>
  <c r="CW98" i="6"/>
  <c r="CV98" i="6"/>
  <c r="CU98" i="6"/>
  <c r="CT98" i="6"/>
  <c r="CS98" i="6"/>
  <c r="CR98" i="6"/>
  <c r="CQ98" i="6"/>
  <c r="CP98" i="6"/>
  <c r="CO98" i="6"/>
  <c r="CN98" i="6"/>
  <c r="CM98" i="6"/>
  <c r="CK98" i="6"/>
  <c r="CJ98" i="6"/>
  <c r="CI98" i="6"/>
  <c r="CH98" i="6"/>
  <c r="CG98" i="6"/>
  <c r="CF98" i="6"/>
  <c r="CE98" i="6"/>
  <c r="CD98" i="6"/>
  <c r="CC98" i="6"/>
  <c r="CB98" i="6"/>
  <c r="CA98" i="6"/>
  <c r="BY98" i="6"/>
  <c r="BX98" i="6"/>
  <c r="BW98" i="6"/>
  <c r="BV98" i="6"/>
  <c r="BU98" i="6"/>
  <c r="BT98" i="6"/>
  <c r="BS98" i="6"/>
  <c r="BR98" i="6"/>
  <c r="BQ98" i="6"/>
  <c r="BP98" i="6"/>
  <c r="BO98" i="6"/>
  <c r="BM98" i="6"/>
  <c r="BL98" i="6"/>
  <c r="BK98" i="6"/>
  <c r="BJ98" i="6"/>
  <c r="BI98" i="6"/>
  <c r="BH98" i="6"/>
  <c r="BG98" i="6"/>
  <c r="BF98" i="6"/>
  <c r="BE98" i="6"/>
  <c r="BD98" i="6"/>
  <c r="BC98" i="6"/>
  <c r="BA98" i="6"/>
  <c r="AZ98" i="6"/>
  <c r="AY98" i="6"/>
  <c r="AX98" i="6"/>
  <c r="AW98" i="6"/>
  <c r="AV98" i="6"/>
  <c r="AU98" i="6"/>
  <c r="AT98" i="6"/>
  <c r="AS98" i="6"/>
  <c r="AR98" i="6"/>
  <c r="AQ98" i="6"/>
  <c r="AO98" i="6"/>
  <c r="AN98" i="6"/>
  <c r="AM98" i="6"/>
  <c r="AL98" i="6"/>
  <c r="AK98" i="6"/>
  <c r="AJ98" i="6"/>
  <c r="AI98" i="6"/>
  <c r="AH98" i="6"/>
  <c r="AG98" i="6"/>
  <c r="AF98" i="6"/>
  <c r="AE98" i="6"/>
  <c r="AC98" i="6"/>
  <c r="AB98" i="6"/>
  <c r="AA98" i="6"/>
  <c r="Z98" i="6"/>
  <c r="Y98" i="6"/>
  <c r="X98" i="6"/>
  <c r="W98" i="6"/>
  <c r="V98" i="6"/>
  <c r="U98" i="6"/>
  <c r="T98" i="6"/>
  <c r="S98" i="6"/>
  <c r="Q98" i="6"/>
  <c r="EF98" i="6" s="1"/>
  <c r="P98" i="6"/>
  <c r="EE98" i="6" s="1"/>
  <c r="O98" i="6"/>
  <c r="ED98" i="6" s="1"/>
  <c r="N98" i="6"/>
  <c r="EC98" i="6" s="1"/>
  <c r="M98" i="6"/>
  <c r="EB98" i="6" s="1"/>
  <c r="L98" i="6"/>
  <c r="EA98" i="6" s="1"/>
  <c r="K98" i="6"/>
  <c r="DZ98" i="6" s="1"/>
  <c r="J98" i="6"/>
  <c r="DY98" i="6" s="1"/>
  <c r="I98" i="6"/>
  <c r="DX98" i="6" s="1"/>
  <c r="H98" i="6"/>
  <c r="DW98" i="6" s="1"/>
  <c r="G98" i="6"/>
  <c r="DV98" i="6" s="1"/>
  <c r="DU97" i="6"/>
  <c r="DT97" i="6"/>
  <c r="DS97" i="6"/>
  <c r="DR97" i="6"/>
  <c r="DQ97" i="6"/>
  <c r="DP97" i="6"/>
  <c r="DO97" i="6"/>
  <c r="DN97" i="6"/>
  <c r="DM97" i="6"/>
  <c r="DL97" i="6"/>
  <c r="DK97" i="6"/>
  <c r="DI97" i="6"/>
  <c r="DH97" i="6"/>
  <c r="DG97" i="6"/>
  <c r="DF97" i="6"/>
  <c r="DE97" i="6"/>
  <c r="DD97" i="6"/>
  <c r="DC97" i="6"/>
  <c r="DB97" i="6"/>
  <c r="DA97" i="6"/>
  <c r="CZ97" i="6"/>
  <c r="CY97" i="6"/>
  <c r="CW97" i="6"/>
  <c r="CV97" i="6"/>
  <c r="CU97" i="6"/>
  <c r="CT97" i="6"/>
  <c r="CS97" i="6"/>
  <c r="CR97" i="6"/>
  <c r="CQ97" i="6"/>
  <c r="CP97" i="6"/>
  <c r="CO97" i="6"/>
  <c r="CN97" i="6"/>
  <c r="CM97" i="6"/>
  <c r="CK97" i="6"/>
  <c r="CJ97" i="6"/>
  <c r="CI97" i="6"/>
  <c r="CH97" i="6"/>
  <c r="CG97" i="6"/>
  <c r="CF97" i="6"/>
  <c r="CE97" i="6"/>
  <c r="CD97" i="6"/>
  <c r="CC97" i="6"/>
  <c r="CB97" i="6"/>
  <c r="CA97" i="6"/>
  <c r="BY97" i="6"/>
  <c r="BX97" i="6"/>
  <c r="BW97" i="6"/>
  <c r="BV97" i="6"/>
  <c r="BU97" i="6"/>
  <c r="BT97" i="6"/>
  <c r="BS97" i="6"/>
  <c r="BR97" i="6"/>
  <c r="BQ97" i="6"/>
  <c r="BP97" i="6"/>
  <c r="BO97" i="6"/>
  <c r="BM97" i="6"/>
  <c r="BL97" i="6"/>
  <c r="BK97" i="6"/>
  <c r="BJ97" i="6"/>
  <c r="BI97" i="6"/>
  <c r="BH97" i="6"/>
  <c r="BG97" i="6"/>
  <c r="BF97" i="6"/>
  <c r="BE97" i="6"/>
  <c r="BD97" i="6"/>
  <c r="BC97" i="6"/>
  <c r="BA97" i="6"/>
  <c r="AZ97" i="6"/>
  <c r="AY97" i="6"/>
  <c r="AX97" i="6"/>
  <c r="AW97" i="6"/>
  <c r="AV97" i="6"/>
  <c r="AU97" i="6"/>
  <c r="AT97" i="6"/>
  <c r="AS97" i="6"/>
  <c r="AR97" i="6"/>
  <c r="AQ97" i="6"/>
  <c r="AO97" i="6"/>
  <c r="AN97" i="6"/>
  <c r="AM97" i="6"/>
  <c r="AL97" i="6"/>
  <c r="AK97" i="6"/>
  <c r="AJ97" i="6"/>
  <c r="AI97" i="6"/>
  <c r="AH97" i="6"/>
  <c r="AG97" i="6"/>
  <c r="AF97" i="6"/>
  <c r="AE97" i="6"/>
  <c r="AC97" i="6"/>
  <c r="AB97" i="6"/>
  <c r="AA97" i="6"/>
  <c r="Z97" i="6"/>
  <c r="Y97" i="6"/>
  <c r="X97" i="6"/>
  <c r="W97" i="6"/>
  <c r="V97" i="6"/>
  <c r="U97" i="6"/>
  <c r="T97" i="6"/>
  <c r="S97" i="6"/>
  <c r="Q97" i="6"/>
  <c r="EF97" i="6" s="1"/>
  <c r="P97" i="6"/>
  <c r="EE97" i="6" s="1"/>
  <c r="O97" i="6"/>
  <c r="ED97" i="6" s="1"/>
  <c r="N97" i="6"/>
  <c r="EC97" i="6" s="1"/>
  <c r="M97" i="6"/>
  <c r="EB97" i="6" s="1"/>
  <c r="L97" i="6"/>
  <c r="EA97" i="6" s="1"/>
  <c r="K97" i="6"/>
  <c r="DZ97" i="6" s="1"/>
  <c r="J97" i="6"/>
  <c r="DY97" i="6" s="1"/>
  <c r="I97" i="6"/>
  <c r="DX97" i="6" s="1"/>
  <c r="H97" i="6"/>
  <c r="DW97" i="6" s="1"/>
  <c r="G97" i="6"/>
  <c r="DV97" i="6" s="1"/>
  <c r="DU96" i="6"/>
  <c r="DT96" i="6"/>
  <c r="DS96" i="6"/>
  <c r="DR96" i="6"/>
  <c r="DQ96" i="6"/>
  <c r="DP96" i="6"/>
  <c r="DO96" i="6"/>
  <c r="DN96" i="6"/>
  <c r="DM96" i="6"/>
  <c r="DL96" i="6"/>
  <c r="DK96" i="6"/>
  <c r="DI96" i="6"/>
  <c r="DH96" i="6"/>
  <c r="DG96" i="6"/>
  <c r="DF96" i="6"/>
  <c r="DE96" i="6"/>
  <c r="DD96" i="6"/>
  <c r="DC96" i="6"/>
  <c r="DB96" i="6"/>
  <c r="DA96" i="6"/>
  <c r="CZ96" i="6"/>
  <c r="CY96" i="6"/>
  <c r="CW96" i="6"/>
  <c r="CV96" i="6"/>
  <c r="CU96" i="6"/>
  <c r="CT96" i="6"/>
  <c r="CS96" i="6"/>
  <c r="CR96" i="6"/>
  <c r="CQ96" i="6"/>
  <c r="CP96" i="6"/>
  <c r="CO96" i="6"/>
  <c r="CN96" i="6"/>
  <c r="CM96" i="6"/>
  <c r="CK96" i="6"/>
  <c r="CJ96" i="6"/>
  <c r="CI96" i="6"/>
  <c r="CH96" i="6"/>
  <c r="CG96" i="6"/>
  <c r="CF96" i="6"/>
  <c r="CE96" i="6"/>
  <c r="CD96" i="6"/>
  <c r="CC96" i="6"/>
  <c r="CB96" i="6"/>
  <c r="CA96" i="6"/>
  <c r="BY96" i="6"/>
  <c r="BX96" i="6"/>
  <c r="BW96" i="6"/>
  <c r="BV96" i="6"/>
  <c r="BU96" i="6"/>
  <c r="BT96" i="6"/>
  <c r="BS96" i="6"/>
  <c r="BR96" i="6"/>
  <c r="BQ96" i="6"/>
  <c r="BP96" i="6"/>
  <c r="BO96" i="6"/>
  <c r="BM96" i="6"/>
  <c r="BL96" i="6"/>
  <c r="BK96" i="6"/>
  <c r="BJ96" i="6"/>
  <c r="BI96" i="6"/>
  <c r="BH96" i="6"/>
  <c r="BG96" i="6"/>
  <c r="BF96" i="6"/>
  <c r="BE96" i="6"/>
  <c r="BD96" i="6"/>
  <c r="BC96" i="6"/>
  <c r="BA96" i="6"/>
  <c r="AZ96" i="6"/>
  <c r="AY96" i="6"/>
  <c r="AX96" i="6"/>
  <c r="AW96" i="6"/>
  <c r="AV96" i="6"/>
  <c r="AU96" i="6"/>
  <c r="AT96" i="6"/>
  <c r="AS96" i="6"/>
  <c r="AR96" i="6"/>
  <c r="AQ96" i="6"/>
  <c r="AO96" i="6"/>
  <c r="AN96" i="6"/>
  <c r="AM96" i="6"/>
  <c r="AL96" i="6"/>
  <c r="AK96" i="6"/>
  <c r="AJ96" i="6"/>
  <c r="AI96" i="6"/>
  <c r="AH96" i="6"/>
  <c r="AG96" i="6"/>
  <c r="AF96" i="6"/>
  <c r="AE96" i="6"/>
  <c r="AC96" i="6"/>
  <c r="AB96" i="6"/>
  <c r="AA96" i="6"/>
  <c r="Z96" i="6"/>
  <c r="Y96" i="6"/>
  <c r="X96" i="6"/>
  <c r="W96" i="6"/>
  <c r="V96" i="6"/>
  <c r="U96" i="6"/>
  <c r="T96" i="6"/>
  <c r="S96" i="6"/>
  <c r="Q96" i="6"/>
  <c r="EF96" i="6" s="1"/>
  <c r="P96" i="6"/>
  <c r="EE96" i="6" s="1"/>
  <c r="O96" i="6"/>
  <c r="ED96" i="6" s="1"/>
  <c r="N96" i="6"/>
  <c r="EC96" i="6" s="1"/>
  <c r="M96" i="6"/>
  <c r="EB96" i="6" s="1"/>
  <c r="L96" i="6"/>
  <c r="EA96" i="6" s="1"/>
  <c r="K96" i="6"/>
  <c r="DZ96" i="6" s="1"/>
  <c r="J96" i="6"/>
  <c r="DY96" i="6" s="1"/>
  <c r="I96" i="6"/>
  <c r="DX96" i="6" s="1"/>
  <c r="H96" i="6"/>
  <c r="DW96" i="6" s="1"/>
  <c r="G96" i="6"/>
  <c r="DV96" i="6" s="1"/>
  <c r="DU95" i="6"/>
  <c r="DT95" i="6"/>
  <c r="DS95" i="6"/>
  <c r="DR95" i="6"/>
  <c r="DQ95" i="6"/>
  <c r="DP95" i="6"/>
  <c r="DO95" i="6"/>
  <c r="DN95" i="6"/>
  <c r="DM95" i="6"/>
  <c r="DL95" i="6"/>
  <c r="DK95" i="6"/>
  <c r="DI95" i="6"/>
  <c r="DH95" i="6"/>
  <c r="DG95" i="6"/>
  <c r="DF95" i="6"/>
  <c r="DE95" i="6"/>
  <c r="DD95" i="6"/>
  <c r="DC95" i="6"/>
  <c r="DB95" i="6"/>
  <c r="DA95" i="6"/>
  <c r="CZ95" i="6"/>
  <c r="CY95" i="6"/>
  <c r="CW95" i="6"/>
  <c r="CV95" i="6"/>
  <c r="CU95" i="6"/>
  <c r="CT95" i="6"/>
  <c r="CS95" i="6"/>
  <c r="CR95" i="6"/>
  <c r="CQ95" i="6"/>
  <c r="CP95" i="6"/>
  <c r="CO95" i="6"/>
  <c r="CN95" i="6"/>
  <c r="CM95" i="6"/>
  <c r="CK95" i="6"/>
  <c r="CJ95" i="6"/>
  <c r="CI95" i="6"/>
  <c r="CH95" i="6"/>
  <c r="CG95" i="6"/>
  <c r="CF95" i="6"/>
  <c r="CE95" i="6"/>
  <c r="CD95" i="6"/>
  <c r="CC95" i="6"/>
  <c r="CB95" i="6"/>
  <c r="CA95" i="6"/>
  <c r="BY95" i="6"/>
  <c r="BX95" i="6"/>
  <c r="BW95" i="6"/>
  <c r="BV95" i="6"/>
  <c r="BU95" i="6"/>
  <c r="BT95" i="6"/>
  <c r="BS95" i="6"/>
  <c r="BR95" i="6"/>
  <c r="BQ95" i="6"/>
  <c r="BP95" i="6"/>
  <c r="BO95" i="6"/>
  <c r="BM95" i="6"/>
  <c r="BL95" i="6"/>
  <c r="BK95" i="6"/>
  <c r="BJ95" i="6"/>
  <c r="BI95" i="6"/>
  <c r="BH95" i="6"/>
  <c r="BG95" i="6"/>
  <c r="BF95" i="6"/>
  <c r="BE95" i="6"/>
  <c r="BD95" i="6"/>
  <c r="BC95" i="6"/>
  <c r="BA95" i="6"/>
  <c r="AZ95" i="6"/>
  <c r="AY95" i="6"/>
  <c r="AX95" i="6"/>
  <c r="AW95" i="6"/>
  <c r="AV95" i="6"/>
  <c r="AU95" i="6"/>
  <c r="AT95" i="6"/>
  <c r="AS95" i="6"/>
  <c r="AR95" i="6"/>
  <c r="AQ95" i="6"/>
  <c r="AO95" i="6"/>
  <c r="AN95" i="6"/>
  <c r="AM95" i="6"/>
  <c r="AL95" i="6"/>
  <c r="AK95" i="6"/>
  <c r="AJ95" i="6"/>
  <c r="AI95" i="6"/>
  <c r="AH95" i="6"/>
  <c r="AG95" i="6"/>
  <c r="AF95" i="6"/>
  <c r="AE95" i="6"/>
  <c r="AC95" i="6"/>
  <c r="AB95" i="6"/>
  <c r="AA95" i="6"/>
  <c r="Z95" i="6"/>
  <c r="Y95" i="6"/>
  <c r="X95" i="6"/>
  <c r="W95" i="6"/>
  <c r="V95" i="6"/>
  <c r="U95" i="6"/>
  <c r="T95" i="6"/>
  <c r="S95" i="6"/>
  <c r="Q95" i="6"/>
  <c r="EF95" i="6" s="1"/>
  <c r="P95" i="6"/>
  <c r="EE95" i="6" s="1"/>
  <c r="O95" i="6"/>
  <c r="ED95" i="6" s="1"/>
  <c r="N95" i="6"/>
  <c r="EC95" i="6" s="1"/>
  <c r="M95" i="6"/>
  <c r="EB95" i="6" s="1"/>
  <c r="L95" i="6"/>
  <c r="EA95" i="6" s="1"/>
  <c r="K95" i="6"/>
  <c r="DZ95" i="6" s="1"/>
  <c r="J95" i="6"/>
  <c r="DY95" i="6" s="1"/>
  <c r="I95" i="6"/>
  <c r="DX95" i="6" s="1"/>
  <c r="H95" i="6"/>
  <c r="DW95" i="6" s="1"/>
  <c r="G95" i="6"/>
  <c r="DV95" i="6" s="1"/>
  <c r="DU94" i="6"/>
  <c r="DT94" i="6"/>
  <c r="DS94" i="6"/>
  <c r="DR94" i="6"/>
  <c r="DQ94" i="6"/>
  <c r="DP94" i="6"/>
  <c r="DO94" i="6"/>
  <c r="DN94" i="6"/>
  <c r="DM94" i="6"/>
  <c r="DL94" i="6"/>
  <c r="DK94" i="6"/>
  <c r="DI94" i="6"/>
  <c r="DH94" i="6"/>
  <c r="DG94" i="6"/>
  <c r="DF94" i="6"/>
  <c r="DE94" i="6"/>
  <c r="DD94" i="6"/>
  <c r="DC94" i="6"/>
  <c r="DB94" i="6"/>
  <c r="DA94" i="6"/>
  <c r="CZ94" i="6"/>
  <c r="CY94" i="6"/>
  <c r="CW94" i="6"/>
  <c r="CV94" i="6"/>
  <c r="CU94" i="6"/>
  <c r="CT94" i="6"/>
  <c r="CS94" i="6"/>
  <c r="CR94" i="6"/>
  <c r="CQ94" i="6"/>
  <c r="CP94" i="6"/>
  <c r="CO94" i="6"/>
  <c r="CN94" i="6"/>
  <c r="CM94" i="6"/>
  <c r="CK94" i="6"/>
  <c r="CJ94" i="6"/>
  <c r="CI94" i="6"/>
  <c r="CH94" i="6"/>
  <c r="CG94" i="6"/>
  <c r="CF94" i="6"/>
  <c r="CE94" i="6"/>
  <c r="CD94" i="6"/>
  <c r="CC94" i="6"/>
  <c r="CB94" i="6"/>
  <c r="CA94" i="6"/>
  <c r="BY94" i="6"/>
  <c r="BX94" i="6"/>
  <c r="BW94" i="6"/>
  <c r="BV94" i="6"/>
  <c r="BU94" i="6"/>
  <c r="BT94" i="6"/>
  <c r="BS94" i="6"/>
  <c r="BR94" i="6"/>
  <c r="BQ94" i="6"/>
  <c r="BP94" i="6"/>
  <c r="BO94" i="6"/>
  <c r="BM94" i="6"/>
  <c r="BL94" i="6"/>
  <c r="BK94" i="6"/>
  <c r="BJ94" i="6"/>
  <c r="BI94" i="6"/>
  <c r="BH94" i="6"/>
  <c r="BG94" i="6"/>
  <c r="BF94" i="6"/>
  <c r="BE94" i="6"/>
  <c r="BD94" i="6"/>
  <c r="BC94" i="6"/>
  <c r="BA94" i="6"/>
  <c r="AZ94" i="6"/>
  <c r="AY94" i="6"/>
  <c r="AX94" i="6"/>
  <c r="AW94" i="6"/>
  <c r="AV94" i="6"/>
  <c r="AU94" i="6"/>
  <c r="AT94" i="6"/>
  <c r="AS94" i="6"/>
  <c r="AR94" i="6"/>
  <c r="AQ94" i="6"/>
  <c r="AO94" i="6"/>
  <c r="AN94" i="6"/>
  <c r="AM94" i="6"/>
  <c r="AL94" i="6"/>
  <c r="AK94" i="6"/>
  <c r="AJ94" i="6"/>
  <c r="AI94" i="6"/>
  <c r="AH94" i="6"/>
  <c r="AG94" i="6"/>
  <c r="AF94" i="6"/>
  <c r="AE94" i="6"/>
  <c r="AC94" i="6"/>
  <c r="AB94" i="6"/>
  <c r="AA94" i="6"/>
  <c r="Z94" i="6"/>
  <c r="Y94" i="6"/>
  <c r="X94" i="6"/>
  <c r="W94" i="6"/>
  <c r="V94" i="6"/>
  <c r="U94" i="6"/>
  <c r="T94" i="6"/>
  <c r="S94" i="6"/>
  <c r="Q94" i="6"/>
  <c r="EF94" i="6" s="1"/>
  <c r="P94" i="6"/>
  <c r="EE94" i="6" s="1"/>
  <c r="O94" i="6"/>
  <c r="ED94" i="6" s="1"/>
  <c r="N94" i="6"/>
  <c r="EC94" i="6" s="1"/>
  <c r="M94" i="6"/>
  <c r="EB94" i="6" s="1"/>
  <c r="L94" i="6"/>
  <c r="EA94" i="6" s="1"/>
  <c r="K94" i="6"/>
  <c r="DZ94" i="6" s="1"/>
  <c r="J94" i="6"/>
  <c r="DY94" i="6" s="1"/>
  <c r="I94" i="6"/>
  <c r="DX94" i="6" s="1"/>
  <c r="H94" i="6"/>
  <c r="DW94" i="6" s="1"/>
  <c r="G94" i="6"/>
  <c r="DV94" i="6" s="1"/>
  <c r="DU93" i="6"/>
  <c r="DT93" i="6"/>
  <c r="DS93" i="6"/>
  <c r="DR93" i="6"/>
  <c r="DQ93" i="6"/>
  <c r="DP93" i="6"/>
  <c r="DO93" i="6"/>
  <c r="DN93" i="6"/>
  <c r="DM93" i="6"/>
  <c r="DL93" i="6"/>
  <c r="DK93" i="6"/>
  <c r="DI93" i="6"/>
  <c r="DH93" i="6"/>
  <c r="DG93" i="6"/>
  <c r="DF93" i="6"/>
  <c r="DE93" i="6"/>
  <c r="DD93" i="6"/>
  <c r="DC93" i="6"/>
  <c r="DB93" i="6"/>
  <c r="DA93" i="6"/>
  <c r="CZ93" i="6"/>
  <c r="CY93" i="6"/>
  <c r="CW93" i="6"/>
  <c r="CV93" i="6"/>
  <c r="CU93" i="6"/>
  <c r="CT93" i="6"/>
  <c r="CS93" i="6"/>
  <c r="CR93" i="6"/>
  <c r="CQ93" i="6"/>
  <c r="CP93" i="6"/>
  <c r="CO93" i="6"/>
  <c r="CN93" i="6"/>
  <c r="CM93" i="6"/>
  <c r="CK93" i="6"/>
  <c r="CJ93" i="6"/>
  <c r="CI93" i="6"/>
  <c r="CH93" i="6"/>
  <c r="CG93" i="6"/>
  <c r="CF93" i="6"/>
  <c r="CE93" i="6"/>
  <c r="CD93" i="6"/>
  <c r="CC93" i="6"/>
  <c r="CB93" i="6"/>
  <c r="CA93" i="6"/>
  <c r="BY93" i="6"/>
  <c r="BX93" i="6"/>
  <c r="BW93" i="6"/>
  <c r="BV93" i="6"/>
  <c r="BU93" i="6"/>
  <c r="BT93" i="6"/>
  <c r="BS93" i="6"/>
  <c r="BR93" i="6"/>
  <c r="BQ93" i="6"/>
  <c r="BP93" i="6"/>
  <c r="BO93" i="6"/>
  <c r="BM93" i="6"/>
  <c r="BL93" i="6"/>
  <c r="BK93" i="6"/>
  <c r="BJ93" i="6"/>
  <c r="BI93" i="6"/>
  <c r="BH93" i="6"/>
  <c r="BG93" i="6"/>
  <c r="BF93" i="6"/>
  <c r="BE93" i="6"/>
  <c r="BD93" i="6"/>
  <c r="BC93" i="6"/>
  <c r="BA93" i="6"/>
  <c r="AZ93" i="6"/>
  <c r="AY93" i="6"/>
  <c r="AX93" i="6"/>
  <c r="AW93" i="6"/>
  <c r="AV93" i="6"/>
  <c r="AU93" i="6"/>
  <c r="AT93" i="6"/>
  <c r="AS93" i="6"/>
  <c r="AR93" i="6"/>
  <c r="AQ93" i="6"/>
  <c r="AO93" i="6"/>
  <c r="AN93" i="6"/>
  <c r="AM93" i="6"/>
  <c r="AL93" i="6"/>
  <c r="AK93" i="6"/>
  <c r="AJ93" i="6"/>
  <c r="AI93" i="6"/>
  <c r="AH93" i="6"/>
  <c r="AG93" i="6"/>
  <c r="AF93" i="6"/>
  <c r="AE93" i="6"/>
  <c r="AC93" i="6"/>
  <c r="AB93" i="6"/>
  <c r="AA93" i="6"/>
  <c r="Z93" i="6"/>
  <c r="Y93" i="6"/>
  <c r="X93" i="6"/>
  <c r="W93" i="6"/>
  <c r="V93" i="6"/>
  <c r="U93" i="6"/>
  <c r="T93" i="6"/>
  <c r="S93" i="6"/>
  <c r="Q93" i="6"/>
  <c r="EF93" i="6" s="1"/>
  <c r="P93" i="6"/>
  <c r="EE93" i="6" s="1"/>
  <c r="O93" i="6"/>
  <c r="ED93" i="6" s="1"/>
  <c r="N93" i="6"/>
  <c r="EC93" i="6" s="1"/>
  <c r="M93" i="6"/>
  <c r="EB93" i="6" s="1"/>
  <c r="L93" i="6"/>
  <c r="EA93" i="6" s="1"/>
  <c r="K93" i="6"/>
  <c r="DZ93" i="6" s="1"/>
  <c r="J93" i="6"/>
  <c r="DY93" i="6" s="1"/>
  <c r="I93" i="6"/>
  <c r="DX93" i="6" s="1"/>
  <c r="H93" i="6"/>
  <c r="DW93" i="6" s="1"/>
  <c r="G93" i="6"/>
  <c r="DV93" i="6" s="1"/>
  <c r="DU92" i="6"/>
  <c r="DT92" i="6"/>
  <c r="DS92" i="6"/>
  <c r="DR92" i="6"/>
  <c r="DQ92" i="6"/>
  <c r="DP92" i="6"/>
  <c r="DO92" i="6"/>
  <c r="DN92" i="6"/>
  <c r="DM92" i="6"/>
  <c r="DL92" i="6"/>
  <c r="DK92" i="6"/>
  <c r="DI92" i="6"/>
  <c r="DH92" i="6"/>
  <c r="DG92" i="6"/>
  <c r="DF92" i="6"/>
  <c r="DE92" i="6"/>
  <c r="DD92" i="6"/>
  <c r="DC92" i="6"/>
  <c r="DB92" i="6"/>
  <c r="DA92" i="6"/>
  <c r="CZ92" i="6"/>
  <c r="CY92" i="6"/>
  <c r="CW92" i="6"/>
  <c r="CV92" i="6"/>
  <c r="CU92" i="6"/>
  <c r="CT92" i="6"/>
  <c r="CS92" i="6"/>
  <c r="CR92" i="6"/>
  <c r="CQ92" i="6"/>
  <c r="CP92" i="6"/>
  <c r="CO92" i="6"/>
  <c r="CN92" i="6"/>
  <c r="CM92" i="6"/>
  <c r="CK92" i="6"/>
  <c r="CJ92" i="6"/>
  <c r="CI92" i="6"/>
  <c r="CH92" i="6"/>
  <c r="CG92" i="6"/>
  <c r="CF92" i="6"/>
  <c r="CE92" i="6"/>
  <c r="CD92" i="6"/>
  <c r="CC92" i="6"/>
  <c r="CB92" i="6"/>
  <c r="CA92" i="6"/>
  <c r="BY92" i="6"/>
  <c r="BX92" i="6"/>
  <c r="BW92" i="6"/>
  <c r="BV92" i="6"/>
  <c r="BU92" i="6"/>
  <c r="BT92" i="6"/>
  <c r="BS92" i="6"/>
  <c r="BR92" i="6"/>
  <c r="BQ92" i="6"/>
  <c r="BP92" i="6"/>
  <c r="BO92" i="6"/>
  <c r="BM92" i="6"/>
  <c r="BL92" i="6"/>
  <c r="BK92" i="6"/>
  <c r="BJ92" i="6"/>
  <c r="BI92" i="6"/>
  <c r="BH92" i="6"/>
  <c r="BG92" i="6"/>
  <c r="BF92" i="6"/>
  <c r="BE92" i="6"/>
  <c r="BD92" i="6"/>
  <c r="BC92" i="6"/>
  <c r="BA92" i="6"/>
  <c r="AZ92" i="6"/>
  <c r="AY92" i="6"/>
  <c r="AX92" i="6"/>
  <c r="AW92" i="6"/>
  <c r="AV92" i="6"/>
  <c r="AU92" i="6"/>
  <c r="AT92" i="6"/>
  <c r="AS92" i="6"/>
  <c r="AR92" i="6"/>
  <c r="AQ92" i="6"/>
  <c r="AO92" i="6"/>
  <c r="AN92" i="6"/>
  <c r="AM92" i="6"/>
  <c r="AL92" i="6"/>
  <c r="AK92" i="6"/>
  <c r="AJ92" i="6"/>
  <c r="AI92" i="6"/>
  <c r="AH92" i="6"/>
  <c r="AG92" i="6"/>
  <c r="AF92" i="6"/>
  <c r="AE92" i="6"/>
  <c r="AC92" i="6"/>
  <c r="AB92" i="6"/>
  <c r="AA92" i="6"/>
  <c r="Z92" i="6"/>
  <c r="Y92" i="6"/>
  <c r="X92" i="6"/>
  <c r="W92" i="6"/>
  <c r="V92" i="6"/>
  <c r="U92" i="6"/>
  <c r="T92" i="6"/>
  <c r="S92" i="6"/>
  <c r="Q92" i="6"/>
  <c r="EF92" i="6" s="1"/>
  <c r="P92" i="6"/>
  <c r="EE92" i="6" s="1"/>
  <c r="O92" i="6"/>
  <c r="ED92" i="6" s="1"/>
  <c r="N92" i="6"/>
  <c r="EC92" i="6" s="1"/>
  <c r="M92" i="6"/>
  <c r="EB92" i="6" s="1"/>
  <c r="L92" i="6"/>
  <c r="EA92" i="6" s="1"/>
  <c r="K92" i="6"/>
  <c r="DZ92" i="6" s="1"/>
  <c r="J92" i="6"/>
  <c r="DY92" i="6" s="1"/>
  <c r="I92" i="6"/>
  <c r="DX92" i="6" s="1"/>
  <c r="H92" i="6"/>
  <c r="DW92" i="6" s="1"/>
  <c r="G92" i="6"/>
  <c r="DV92" i="6" s="1"/>
  <c r="DU91" i="6"/>
  <c r="DT91" i="6"/>
  <c r="DS91" i="6"/>
  <c r="DR91" i="6"/>
  <c r="DQ91" i="6"/>
  <c r="DP91" i="6"/>
  <c r="DO91" i="6"/>
  <c r="DN91" i="6"/>
  <c r="DM91" i="6"/>
  <c r="DL91" i="6"/>
  <c r="DK91" i="6"/>
  <c r="DI91" i="6"/>
  <c r="DH91" i="6"/>
  <c r="DG91" i="6"/>
  <c r="DF91" i="6"/>
  <c r="DE91" i="6"/>
  <c r="DD91" i="6"/>
  <c r="DC91" i="6"/>
  <c r="DB91" i="6"/>
  <c r="DA91" i="6"/>
  <c r="CZ91" i="6"/>
  <c r="CY91" i="6"/>
  <c r="CW91" i="6"/>
  <c r="CV91" i="6"/>
  <c r="CU91" i="6"/>
  <c r="CT91" i="6"/>
  <c r="CS91" i="6"/>
  <c r="CR91" i="6"/>
  <c r="CQ91" i="6"/>
  <c r="CP91" i="6"/>
  <c r="CO91" i="6"/>
  <c r="CN91" i="6"/>
  <c r="CM91" i="6"/>
  <c r="CK91" i="6"/>
  <c r="CJ91" i="6"/>
  <c r="CI91" i="6"/>
  <c r="CH91" i="6"/>
  <c r="CG91" i="6"/>
  <c r="CF91" i="6"/>
  <c r="CE91" i="6"/>
  <c r="CD91" i="6"/>
  <c r="CC91" i="6"/>
  <c r="CB91" i="6"/>
  <c r="CA91" i="6"/>
  <c r="BY91" i="6"/>
  <c r="BX91" i="6"/>
  <c r="BW91" i="6"/>
  <c r="BV91" i="6"/>
  <c r="BU91" i="6"/>
  <c r="BT91" i="6"/>
  <c r="BS91" i="6"/>
  <c r="BR91" i="6"/>
  <c r="BQ91" i="6"/>
  <c r="BP91" i="6"/>
  <c r="BO91" i="6"/>
  <c r="BM91" i="6"/>
  <c r="BL91" i="6"/>
  <c r="BK91" i="6"/>
  <c r="BJ91" i="6"/>
  <c r="BI91" i="6"/>
  <c r="BH91" i="6"/>
  <c r="BG91" i="6"/>
  <c r="BF91" i="6"/>
  <c r="BE91" i="6"/>
  <c r="BD91" i="6"/>
  <c r="BC91" i="6"/>
  <c r="BA91" i="6"/>
  <c r="AZ91" i="6"/>
  <c r="AY91" i="6"/>
  <c r="AX91" i="6"/>
  <c r="AW91" i="6"/>
  <c r="AV91" i="6"/>
  <c r="AU91" i="6"/>
  <c r="AT91" i="6"/>
  <c r="AS91" i="6"/>
  <c r="AR91" i="6"/>
  <c r="AQ91" i="6"/>
  <c r="AO91" i="6"/>
  <c r="AN91" i="6"/>
  <c r="AM91" i="6"/>
  <c r="AL91" i="6"/>
  <c r="AK91" i="6"/>
  <c r="AJ91" i="6"/>
  <c r="AI91" i="6"/>
  <c r="AH91" i="6"/>
  <c r="AG91" i="6"/>
  <c r="AF91" i="6"/>
  <c r="AE91" i="6"/>
  <c r="AC91" i="6"/>
  <c r="AB91" i="6"/>
  <c r="AA91" i="6"/>
  <c r="Z91" i="6"/>
  <c r="Y91" i="6"/>
  <c r="X91" i="6"/>
  <c r="W91" i="6"/>
  <c r="V91" i="6"/>
  <c r="U91" i="6"/>
  <c r="T91" i="6"/>
  <c r="S91" i="6"/>
  <c r="Q91" i="6"/>
  <c r="EF91" i="6" s="1"/>
  <c r="P91" i="6"/>
  <c r="EE91" i="6" s="1"/>
  <c r="O91" i="6"/>
  <c r="ED91" i="6" s="1"/>
  <c r="N91" i="6"/>
  <c r="EC91" i="6" s="1"/>
  <c r="M91" i="6"/>
  <c r="EB91" i="6" s="1"/>
  <c r="L91" i="6"/>
  <c r="EA91" i="6" s="1"/>
  <c r="K91" i="6"/>
  <c r="DZ91" i="6" s="1"/>
  <c r="J91" i="6"/>
  <c r="DY91" i="6" s="1"/>
  <c r="I91" i="6"/>
  <c r="DX91" i="6" s="1"/>
  <c r="H91" i="6"/>
  <c r="DW91" i="6" s="1"/>
  <c r="G91" i="6"/>
  <c r="DV91" i="6" s="1"/>
  <c r="DU90" i="6"/>
  <c r="DT90" i="6"/>
  <c r="DS90" i="6"/>
  <c r="DR90" i="6"/>
  <c r="DQ90" i="6"/>
  <c r="DP90" i="6"/>
  <c r="DO90" i="6"/>
  <c r="DN90" i="6"/>
  <c r="DM90" i="6"/>
  <c r="DL90" i="6"/>
  <c r="DK90" i="6"/>
  <c r="DI90" i="6"/>
  <c r="DH90" i="6"/>
  <c r="DG90" i="6"/>
  <c r="DF90" i="6"/>
  <c r="DE90" i="6"/>
  <c r="DD90" i="6"/>
  <c r="DC90" i="6"/>
  <c r="DB90" i="6"/>
  <c r="DA90" i="6"/>
  <c r="CZ90" i="6"/>
  <c r="CY90" i="6"/>
  <c r="CW90" i="6"/>
  <c r="CV90" i="6"/>
  <c r="CU90" i="6"/>
  <c r="CT90" i="6"/>
  <c r="CS90" i="6"/>
  <c r="CR90" i="6"/>
  <c r="CQ90" i="6"/>
  <c r="CP90" i="6"/>
  <c r="CO90" i="6"/>
  <c r="CN90" i="6"/>
  <c r="CM90" i="6"/>
  <c r="CK90" i="6"/>
  <c r="CJ90" i="6"/>
  <c r="CI90" i="6"/>
  <c r="CH90" i="6"/>
  <c r="CG90" i="6"/>
  <c r="CF90" i="6"/>
  <c r="CE90" i="6"/>
  <c r="CD90" i="6"/>
  <c r="CC90" i="6"/>
  <c r="CB90" i="6"/>
  <c r="CA90" i="6"/>
  <c r="BY90" i="6"/>
  <c r="BX90" i="6"/>
  <c r="BW90" i="6"/>
  <c r="BV90" i="6"/>
  <c r="BU90" i="6"/>
  <c r="BT90" i="6"/>
  <c r="BS90" i="6"/>
  <c r="BR90" i="6"/>
  <c r="BQ90" i="6"/>
  <c r="BP90" i="6"/>
  <c r="BO90" i="6"/>
  <c r="BM90" i="6"/>
  <c r="BL90" i="6"/>
  <c r="BK90" i="6"/>
  <c r="BJ90" i="6"/>
  <c r="BI90" i="6"/>
  <c r="BH90" i="6"/>
  <c r="BG90" i="6"/>
  <c r="BF90" i="6"/>
  <c r="BE90" i="6"/>
  <c r="BD90" i="6"/>
  <c r="BC90" i="6"/>
  <c r="BA90" i="6"/>
  <c r="AZ90" i="6"/>
  <c r="AY90" i="6"/>
  <c r="AX90" i="6"/>
  <c r="AW90" i="6"/>
  <c r="AV90" i="6"/>
  <c r="AU90" i="6"/>
  <c r="AT90" i="6"/>
  <c r="AS90" i="6"/>
  <c r="AR90" i="6"/>
  <c r="AQ90" i="6"/>
  <c r="AO90" i="6"/>
  <c r="AN90" i="6"/>
  <c r="AM90" i="6"/>
  <c r="AL90" i="6"/>
  <c r="AK90" i="6"/>
  <c r="AJ90" i="6"/>
  <c r="AI90" i="6"/>
  <c r="AH90" i="6"/>
  <c r="AG90" i="6"/>
  <c r="AF90" i="6"/>
  <c r="AE90" i="6"/>
  <c r="AC90" i="6"/>
  <c r="AB90" i="6"/>
  <c r="AA90" i="6"/>
  <c r="Z90" i="6"/>
  <c r="Y90" i="6"/>
  <c r="X90" i="6"/>
  <c r="W90" i="6"/>
  <c r="V90" i="6"/>
  <c r="U90" i="6"/>
  <c r="T90" i="6"/>
  <c r="S90" i="6"/>
  <c r="Q90" i="6"/>
  <c r="EF90" i="6" s="1"/>
  <c r="P90" i="6"/>
  <c r="EE90" i="6" s="1"/>
  <c r="O90" i="6"/>
  <c r="ED90" i="6" s="1"/>
  <c r="N90" i="6"/>
  <c r="EC90" i="6" s="1"/>
  <c r="M90" i="6"/>
  <c r="EB90" i="6" s="1"/>
  <c r="L90" i="6"/>
  <c r="EA90" i="6" s="1"/>
  <c r="K90" i="6"/>
  <c r="DZ90" i="6" s="1"/>
  <c r="J90" i="6"/>
  <c r="DY90" i="6" s="1"/>
  <c r="I90" i="6"/>
  <c r="DX90" i="6" s="1"/>
  <c r="H90" i="6"/>
  <c r="DW90" i="6" s="1"/>
  <c r="G90" i="6"/>
  <c r="DV90" i="6" s="1"/>
  <c r="DU89" i="6"/>
  <c r="DT89" i="6"/>
  <c r="DS89" i="6"/>
  <c r="DR89" i="6"/>
  <c r="DQ89" i="6"/>
  <c r="DP89" i="6"/>
  <c r="DO89" i="6"/>
  <c r="DN89" i="6"/>
  <c r="DM89" i="6"/>
  <c r="DL89" i="6"/>
  <c r="DK89" i="6"/>
  <c r="DI89" i="6"/>
  <c r="DH89" i="6"/>
  <c r="DG89" i="6"/>
  <c r="DF89" i="6"/>
  <c r="DE89" i="6"/>
  <c r="DD89" i="6"/>
  <c r="DC89" i="6"/>
  <c r="DB89" i="6"/>
  <c r="DA89" i="6"/>
  <c r="CZ89" i="6"/>
  <c r="CY89" i="6"/>
  <c r="CW89" i="6"/>
  <c r="CV89" i="6"/>
  <c r="CU89" i="6"/>
  <c r="CT89" i="6"/>
  <c r="CS89" i="6"/>
  <c r="CR89" i="6"/>
  <c r="CQ89" i="6"/>
  <c r="CP89" i="6"/>
  <c r="CO89" i="6"/>
  <c r="CN89" i="6"/>
  <c r="CM89" i="6"/>
  <c r="CK89" i="6"/>
  <c r="CJ89" i="6"/>
  <c r="CI89" i="6"/>
  <c r="CH89" i="6"/>
  <c r="CG89" i="6"/>
  <c r="CF89" i="6"/>
  <c r="CE89" i="6"/>
  <c r="CD89" i="6"/>
  <c r="CC89" i="6"/>
  <c r="CB89" i="6"/>
  <c r="CA89" i="6"/>
  <c r="BY89" i="6"/>
  <c r="BX89" i="6"/>
  <c r="BW89" i="6"/>
  <c r="BV89" i="6"/>
  <c r="BU89" i="6"/>
  <c r="BT89" i="6"/>
  <c r="BS89" i="6"/>
  <c r="BR89" i="6"/>
  <c r="BQ89" i="6"/>
  <c r="BP89" i="6"/>
  <c r="BO89" i="6"/>
  <c r="BM89" i="6"/>
  <c r="BL89" i="6"/>
  <c r="BK89" i="6"/>
  <c r="BJ89" i="6"/>
  <c r="BI89" i="6"/>
  <c r="BH89" i="6"/>
  <c r="BG89" i="6"/>
  <c r="BF89" i="6"/>
  <c r="BE89" i="6"/>
  <c r="BD89" i="6"/>
  <c r="BC89" i="6"/>
  <c r="BA89" i="6"/>
  <c r="AZ89" i="6"/>
  <c r="AY89" i="6"/>
  <c r="AX89" i="6"/>
  <c r="AW89" i="6"/>
  <c r="AV89" i="6"/>
  <c r="AU89" i="6"/>
  <c r="AT89" i="6"/>
  <c r="AS89" i="6"/>
  <c r="AR89" i="6"/>
  <c r="AQ89" i="6"/>
  <c r="AO89" i="6"/>
  <c r="AN89" i="6"/>
  <c r="AM89" i="6"/>
  <c r="AL89" i="6"/>
  <c r="AK89" i="6"/>
  <c r="AJ89" i="6"/>
  <c r="AI89" i="6"/>
  <c r="AH89" i="6"/>
  <c r="AG89" i="6"/>
  <c r="AF89" i="6"/>
  <c r="AE89" i="6"/>
  <c r="AC89" i="6"/>
  <c r="AB89" i="6"/>
  <c r="AA89" i="6"/>
  <c r="Z89" i="6"/>
  <c r="Y89" i="6"/>
  <c r="X89" i="6"/>
  <c r="W89" i="6"/>
  <c r="V89" i="6"/>
  <c r="U89" i="6"/>
  <c r="T89" i="6"/>
  <c r="S89" i="6"/>
  <c r="Q89" i="6"/>
  <c r="EF89" i="6" s="1"/>
  <c r="P89" i="6"/>
  <c r="EE89" i="6" s="1"/>
  <c r="O89" i="6"/>
  <c r="ED89" i="6" s="1"/>
  <c r="N89" i="6"/>
  <c r="EC89" i="6" s="1"/>
  <c r="M89" i="6"/>
  <c r="EB89" i="6" s="1"/>
  <c r="L89" i="6"/>
  <c r="EA89" i="6" s="1"/>
  <c r="K89" i="6"/>
  <c r="DZ89" i="6" s="1"/>
  <c r="J89" i="6"/>
  <c r="DY89" i="6" s="1"/>
  <c r="I89" i="6"/>
  <c r="DX89" i="6" s="1"/>
  <c r="H89" i="6"/>
  <c r="DW89" i="6" s="1"/>
  <c r="G89" i="6"/>
  <c r="DV89" i="6" s="1"/>
  <c r="DU88" i="6"/>
  <c r="DT88" i="6"/>
  <c r="DS88" i="6"/>
  <c r="DR88" i="6"/>
  <c r="DQ88" i="6"/>
  <c r="DP88" i="6"/>
  <c r="DO88" i="6"/>
  <c r="DN88" i="6"/>
  <c r="DM88" i="6"/>
  <c r="DL88" i="6"/>
  <c r="DK88" i="6"/>
  <c r="DI88" i="6"/>
  <c r="DH88" i="6"/>
  <c r="DG88" i="6"/>
  <c r="DF88" i="6"/>
  <c r="DE88" i="6"/>
  <c r="DD88" i="6"/>
  <c r="DC88" i="6"/>
  <c r="DB88" i="6"/>
  <c r="DA88" i="6"/>
  <c r="CZ88" i="6"/>
  <c r="CY88" i="6"/>
  <c r="CW88" i="6"/>
  <c r="CV88" i="6"/>
  <c r="CU88" i="6"/>
  <c r="CT88" i="6"/>
  <c r="CS88" i="6"/>
  <c r="CR88" i="6"/>
  <c r="CQ88" i="6"/>
  <c r="CP88" i="6"/>
  <c r="CO88" i="6"/>
  <c r="CN88" i="6"/>
  <c r="CM88" i="6"/>
  <c r="CK88" i="6"/>
  <c r="CJ88" i="6"/>
  <c r="CI88" i="6"/>
  <c r="CH88" i="6"/>
  <c r="CG88" i="6"/>
  <c r="CF88" i="6"/>
  <c r="CE88" i="6"/>
  <c r="CD88" i="6"/>
  <c r="CC88" i="6"/>
  <c r="CB88" i="6"/>
  <c r="CA88" i="6"/>
  <c r="BY88" i="6"/>
  <c r="BX88" i="6"/>
  <c r="BW88" i="6"/>
  <c r="BV88" i="6"/>
  <c r="BU88" i="6"/>
  <c r="BT88" i="6"/>
  <c r="BS88" i="6"/>
  <c r="BR88" i="6"/>
  <c r="BQ88" i="6"/>
  <c r="BP88" i="6"/>
  <c r="BO88" i="6"/>
  <c r="BM88" i="6"/>
  <c r="BL88" i="6"/>
  <c r="BK88" i="6"/>
  <c r="BJ88" i="6"/>
  <c r="BI88" i="6"/>
  <c r="BH88" i="6"/>
  <c r="BG88" i="6"/>
  <c r="BF88" i="6"/>
  <c r="BE88" i="6"/>
  <c r="BD88" i="6"/>
  <c r="BC88" i="6"/>
  <c r="BA88" i="6"/>
  <c r="AZ88" i="6"/>
  <c r="AY88" i="6"/>
  <c r="AX88" i="6"/>
  <c r="AW88" i="6"/>
  <c r="AV88" i="6"/>
  <c r="AU88" i="6"/>
  <c r="AT88" i="6"/>
  <c r="AS88" i="6"/>
  <c r="AR88" i="6"/>
  <c r="AQ88" i="6"/>
  <c r="AO88" i="6"/>
  <c r="AN88" i="6"/>
  <c r="AM88" i="6"/>
  <c r="AL88" i="6"/>
  <c r="AK88" i="6"/>
  <c r="AJ88" i="6"/>
  <c r="AI88" i="6"/>
  <c r="AH88" i="6"/>
  <c r="AG88" i="6"/>
  <c r="AF88" i="6"/>
  <c r="AE88" i="6"/>
  <c r="AC88" i="6"/>
  <c r="AB88" i="6"/>
  <c r="AA88" i="6"/>
  <c r="Z88" i="6"/>
  <c r="Y88" i="6"/>
  <c r="X88" i="6"/>
  <c r="W88" i="6"/>
  <c r="V88" i="6"/>
  <c r="U88" i="6"/>
  <c r="T88" i="6"/>
  <c r="S88" i="6"/>
  <c r="Q88" i="6"/>
  <c r="EF88" i="6" s="1"/>
  <c r="P88" i="6"/>
  <c r="EE88" i="6" s="1"/>
  <c r="O88" i="6"/>
  <c r="ED88" i="6" s="1"/>
  <c r="N88" i="6"/>
  <c r="EC88" i="6" s="1"/>
  <c r="M88" i="6"/>
  <c r="EB88" i="6" s="1"/>
  <c r="L88" i="6"/>
  <c r="EA88" i="6" s="1"/>
  <c r="K88" i="6"/>
  <c r="DZ88" i="6" s="1"/>
  <c r="EK88" i="6" s="1"/>
  <c r="J88" i="6"/>
  <c r="DY88" i="6" s="1"/>
  <c r="I88" i="6"/>
  <c r="DX88" i="6" s="1"/>
  <c r="H88" i="6"/>
  <c r="DW88" i="6" s="1"/>
  <c r="G88" i="6"/>
  <c r="DV88" i="6" s="1"/>
  <c r="DU87" i="6"/>
  <c r="DT87" i="6"/>
  <c r="DS87" i="6"/>
  <c r="DR87" i="6"/>
  <c r="DQ87" i="6"/>
  <c r="DP87" i="6"/>
  <c r="DO87" i="6"/>
  <c r="DN87" i="6"/>
  <c r="DM87" i="6"/>
  <c r="DL87" i="6"/>
  <c r="DK87" i="6"/>
  <c r="DI87" i="6"/>
  <c r="DH87" i="6"/>
  <c r="DG87" i="6"/>
  <c r="DF87" i="6"/>
  <c r="DE87" i="6"/>
  <c r="DD87" i="6"/>
  <c r="DC87" i="6"/>
  <c r="DB87" i="6"/>
  <c r="DA87" i="6"/>
  <c r="CZ87" i="6"/>
  <c r="CY87" i="6"/>
  <c r="CW87" i="6"/>
  <c r="CV87" i="6"/>
  <c r="CU87" i="6"/>
  <c r="CT87" i="6"/>
  <c r="CS87" i="6"/>
  <c r="CR87" i="6"/>
  <c r="CQ87" i="6"/>
  <c r="CP87" i="6"/>
  <c r="CO87" i="6"/>
  <c r="CN87" i="6"/>
  <c r="CM87" i="6"/>
  <c r="CK87" i="6"/>
  <c r="CJ87" i="6"/>
  <c r="CI87" i="6"/>
  <c r="CH87" i="6"/>
  <c r="CG87" i="6"/>
  <c r="CF87" i="6"/>
  <c r="CE87" i="6"/>
  <c r="CD87" i="6"/>
  <c r="CC87" i="6"/>
  <c r="CB87" i="6"/>
  <c r="CA87" i="6"/>
  <c r="BY87" i="6"/>
  <c r="BX87" i="6"/>
  <c r="BW87" i="6"/>
  <c r="BV87" i="6"/>
  <c r="BU87" i="6"/>
  <c r="BT87" i="6"/>
  <c r="BS87" i="6"/>
  <c r="BR87" i="6"/>
  <c r="BQ87" i="6"/>
  <c r="BP87" i="6"/>
  <c r="BO87" i="6"/>
  <c r="BM87" i="6"/>
  <c r="BL87" i="6"/>
  <c r="BK87" i="6"/>
  <c r="BJ87" i="6"/>
  <c r="BI87" i="6"/>
  <c r="BH87" i="6"/>
  <c r="BG87" i="6"/>
  <c r="BF87" i="6"/>
  <c r="BE87" i="6"/>
  <c r="BD87" i="6"/>
  <c r="BC87" i="6"/>
  <c r="BA87" i="6"/>
  <c r="AZ87" i="6"/>
  <c r="AY87" i="6"/>
  <c r="AX87" i="6"/>
  <c r="AW87" i="6"/>
  <c r="AV87" i="6"/>
  <c r="AU87" i="6"/>
  <c r="AT87" i="6"/>
  <c r="AS87" i="6"/>
  <c r="AR87" i="6"/>
  <c r="AQ87" i="6"/>
  <c r="AO87" i="6"/>
  <c r="AN87" i="6"/>
  <c r="AM87" i="6"/>
  <c r="AL87" i="6"/>
  <c r="AK87" i="6"/>
  <c r="AJ87" i="6"/>
  <c r="AI87" i="6"/>
  <c r="AH87" i="6"/>
  <c r="AG87" i="6"/>
  <c r="AF87" i="6"/>
  <c r="AE87" i="6"/>
  <c r="AC87" i="6"/>
  <c r="AB87" i="6"/>
  <c r="AA87" i="6"/>
  <c r="Z87" i="6"/>
  <c r="Y87" i="6"/>
  <c r="X87" i="6"/>
  <c r="W87" i="6"/>
  <c r="V87" i="6"/>
  <c r="U87" i="6"/>
  <c r="T87" i="6"/>
  <c r="S87" i="6"/>
  <c r="Q87" i="6"/>
  <c r="EF87" i="6" s="1"/>
  <c r="P87" i="6"/>
  <c r="EE87" i="6" s="1"/>
  <c r="O87" i="6"/>
  <c r="ED87" i="6" s="1"/>
  <c r="N87" i="6"/>
  <c r="EC87" i="6" s="1"/>
  <c r="M87" i="6"/>
  <c r="EB87" i="6" s="1"/>
  <c r="L87" i="6"/>
  <c r="EA87" i="6" s="1"/>
  <c r="K87" i="6"/>
  <c r="DZ87" i="6" s="1"/>
  <c r="J87" i="6"/>
  <c r="DY87" i="6" s="1"/>
  <c r="I87" i="6"/>
  <c r="DX87" i="6" s="1"/>
  <c r="H87" i="6"/>
  <c r="DW87" i="6" s="1"/>
  <c r="G87" i="6"/>
  <c r="DV87" i="6" s="1"/>
  <c r="DU86" i="6"/>
  <c r="DT86" i="6"/>
  <c r="DS86" i="6"/>
  <c r="DR86" i="6"/>
  <c r="DQ86" i="6"/>
  <c r="DP86" i="6"/>
  <c r="DO86" i="6"/>
  <c r="DN86" i="6"/>
  <c r="DM86" i="6"/>
  <c r="DL86" i="6"/>
  <c r="DK86" i="6"/>
  <c r="DI86" i="6"/>
  <c r="DH86" i="6"/>
  <c r="DG86" i="6"/>
  <c r="DF86" i="6"/>
  <c r="DE86" i="6"/>
  <c r="DD86" i="6"/>
  <c r="DC86" i="6"/>
  <c r="DB86" i="6"/>
  <c r="DA86" i="6"/>
  <c r="CZ86" i="6"/>
  <c r="CY86" i="6"/>
  <c r="CW86" i="6"/>
  <c r="CV86" i="6"/>
  <c r="CU86" i="6"/>
  <c r="CT86" i="6"/>
  <c r="CS86" i="6"/>
  <c r="CR86" i="6"/>
  <c r="CQ86" i="6"/>
  <c r="CP86" i="6"/>
  <c r="CO86" i="6"/>
  <c r="CN86" i="6"/>
  <c r="CM86" i="6"/>
  <c r="CK86" i="6"/>
  <c r="CJ86" i="6"/>
  <c r="CI86" i="6"/>
  <c r="CH86" i="6"/>
  <c r="CG86" i="6"/>
  <c r="CF86" i="6"/>
  <c r="CE86" i="6"/>
  <c r="CD86" i="6"/>
  <c r="CC86" i="6"/>
  <c r="CB86" i="6"/>
  <c r="CA86" i="6"/>
  <c r="BY86" i="6"/>
  <c r="BX86" i="6"/>
  <c r="BW86" i="6"/>
  <c r="BV86" i="6"/>
  <c r="BU86" i="6"/>
  <c r="BT86" i="6"/>
  <c r="BS86" i="6"/>
  <c r="BR86" i="6"/>
  <c r="BQ86" i="6"/>
  <c r="BP86" i="6"/>
  <c r="BO86" i="6"/>
  <c r="BM86" i="6"/>
  <c r="BL86" i="6"/>
  <c r="BK86" i="6"/>
  <c r="BJ86" i="6"/>
  <c r="BI86" i="6"/>
  <c r="BH86" i="6"/>
  <c r="BG86" i="6"/>
  <c r="BF86" i="6"/>
  <c r="BE86" i="6"/>
  <c r="BD86" i="6"/>
  <c r="BC86" i="6"/>
  <c r="BA86" i="6"/>
  <c r="AZ86" i="6"/>
  <c r="AY86" i="6"/>
  <c r="AX86" i="6"/>
  <c r="AW86" i="6"/>
  <c r="AV86" i="6"/>
  <c r="AU86" i="6"/>
  <c r="AT86" i="6"/>
  <c r="AS86" i="6"/>
  <c r="AR86" i="6"/>
  <c r="AQ86" i="6"/>
  <c r="AO86" i="6"/>
  <c r="AN86" i="6"/>
  <c r="AM86" i="6"/>
  <c r="AL86" i="6"/>
  <c r="AK86" i="6"/>
  <c r="AJ86" i="6"/>
  <c r="AI86" i="6"/>
  <c r="AH86" i="6"/>
  <c r="AG86" i="6"/>
  <c r="AF86" i="6"/>
  <c r="AE86" i="6"/>
  <c r="AC86" i="6"/>
  <c r="AB86" i="6"/>
  <c r="AA86" i="6"/>
  <c r="Z86" i="6"/>
  <c r="Y86" i="6"/>
  <c r="X86" i="6"/>
  <c r="W86" i="6"/>
  <c r="V86" i="6"/>
  <c r="U86" i="6"/>
  <c r="T86" i="6"/>
  <c r="S86" i="6"/>
  <c r="Q86" i="6"/>
  <c r="EF86" i="6" s="1"/>
  <c r="P86" i="6"/>
  <c r="EE86" i="6" s="1"/>
  <c r="O86" i="6"/>
  <c r="ED86" i="6" s="1"/>
  <c r="EO86" i="6" s="1"/>
  <c r="N86" i="6"/>
  <c r="EC86" i="6" s="1"/>
  <c r="M86" i="6"/>
  <c r="EB86" i="6" s="1"/>
  <c r="L86" i="6"/>
  <c r="EA86" i="6" s="1"/>
  <c r="K86" i="6"/>
  <c r="DZ86" i="6" s="1"/>
  <c r="J86" i="6"/>
  <c r="DY86" i="6" s="1"/>
  <c r="I86" i="6"/>
  <c r="DX86" i="6" s="1"/>
  <c r="H86" i="6"/>
  <c r="DW86" i="6" s="1"/>
  <c r="G86" i="6"/>
  <c r="DV86" i="6" s="1"/>
  <c r="DU85" i="6"/>
  <c r="DT85" i="6"/>
  <c r="DS85" i="6"/>
  <c r="DR85" i="6"/>
  <c r="DQ85" i="6"/>
  <c r="DP85" i="6"/>
  <c r="DO85" i="6"/>
  <c r="DN85" i="6"/>
  <c r="DM85" i="6"/>
  <c r="DL85" i="6"/>
  <c r="DK85" i="6"/>
  <c r="DI85" i="6"/>
  <c r="DH85" i="6"/>
  <c r="DG85" i="6"/>
  <c r="DF85" i="6"/>
  <c r="DE85" i="6"/>
  <c r="DD85" i="6"/>
  <c r="DC85" i="6"/>
  <c r="DB85" i="6"/>
  <c r="DA85" i="6"/>
  <c r="CZ85" i="6"/>
  <c r="CY85" i="6"/>
  <c r="CW85" i="6"/>
  <c r="CV85" i="6"/>
  <c r="CU85" i="6"/>
  <c r="CT85" i="6"/>
  <c r="CS85" i="6"/>
  <c r="CR85" i="6"/>
  <c r="CQ85" i="6"/>
  <c r="CP85" i="6"/>
  <c r="CO85" i="6"/>
  <c r="CN85" i="6"/>
  <c r="CM85" i="6"/>
  <c r="CK85" i="6"/>
  <c r="CJ85" i="6"/>
  <c r="CI85" i="6"/>
  <c r="CH85" i="6"/>
  <c r="CG85" i="6"/>
  <c r="CF85" i="6"/>
  <c r="CE85" i="6"/>
  <c r="CD85" i="6"/>
  <c r="CC85" i="6"/>
  <c r="CB85" i="6"/>
  <c r="CA85" i="6"/>
  <c r="BY85" i="6"/>
  <c r="BX85" i="6"/>
  <c r="BW85" i="6"/>
  <c r="BV85" i="6"/>
  <c r="BU85" i="6"/>
  <c r="BT85" i="6"/>
  <c r="BS85" i="6"/>
  <c r="BR85" i="6"/>
  <c r="BQ85" i="6"/>
  <c r="BP85" i="6"/>
  <c r="BO85" i="6"/>
  <c r="BM85" i="6"/>
  <c r="BL85" i="6"/>
  <c r="BK85" i="6"/>
  <c r="BJ85" i="6"/>
  <c r="BI85" i="6"/>
  <c r="BH85" i="6"/>
  <c r="BG85" i="6"/>
  <c r="BF85" i="6"/>
  <c r="BE85" i="6"/>
  <c r="BD85" i="6"/>
  <c r="BC85" i="6"/>
  <c r="BA85" i="6"/>
  <c r="AZ85" i="6"/>
  <c r="AY85" i="6"/>
  <c r="AX85" i="6"/>
  <c r="AW85" i="6"/>
  <c r="AV85" i="6"/>
  <c r="AU85" i="6"/>
  <c r="AT85" i="6"/>
  <c r="AS85" i="6"/>
  <c r="AR85" i="6"/>
  <c r="AQ85" i="6"/>
  <c r="AO85" i="6"/>
  <c r="AN85" i="6"/>
  <c r="AM85" i="6"/>
  <c r="AL85" i="6"/>
  <c r="AK85" i="6"/>
  <c r="AJ85" i="6"/>
  <c r="AI85" i="6"/>
  <c r="AH85" i="6"/>
  <c r="AG85" i="6"/>
  <c r="AF85" i="6"/>
  <c r="AE85" i="6"/>
  <c r="AC85" i="6"/>
  <c r="AB85" i="6"/>
  <c r="AA85" i="6"/>
  <c r="Z85" i="6"/>
  <c r="Y85" i="6"/>
  <c r="X85" i="6"/>
  <c r="W85" i="6"/>
  <c r="V85" i="6"/>
  <c r="U85" i="6"/>
  <c r="T85" i="6"/>
  <c r="S85" i="6"/>
  <c r="Q85" i="6"/>
  <c r="EF85" i="6" s="1"/>
  <c r="P85" i="6"/>
  <c r="EE85" i="6" s="1"/>
  <c r="O85" i="6"/>
  <c r="ED85" i="6" s="1"/>
  <c r="N85" i="6"/>
  <c r="EC85" i="6" s="1"/>
  <c r="M85" i="6"/>
  <c r="EB85" i="6" s="1"/>
  <c r="L85" i="6"/>
  <c r="EA85" i="6" s="1"/>
  <c r="K85" i="6"/>
  <c r="DZ85" i="6" s="1"/>
  <c r="J85" i="6"/>
  <c r="DY85" i="6" s="1"/>
  <c r="I85" i="6"/>
  <c r="DX85" i="6" s="1"/>
  <c r="H85" i="6"/>
  <c r="DW85" i="6" s="1"/>
  <c r="G85" i="6"/>
  <c r="DV85" i="6" s="1"/>
  <c r="DU84" i="6"/>
  <c r="DT84" i="6"/>
  <c r="DS84" i="6"/>
  <c r="DR84" i="6"/>
  <c r="DQ84" i="6"/>
  <c r="DP84" i="6"/>
  <c r="DO84" i="6"/>
  <c r="DN84" i="6"/>
  <c r="DM84" i="6"/>
  <c r="DL84" i="6"/>
  <c r="DK84" i="6"/>
  <c r="DI84" i="6"/>
  <c r="DH84" i="6"/>
  <c r="DG84" i="6"/>
  <c r="DF84" i="6"/>
  <c r="DE84" i="6"/>
  <c r="DD84" i="6"/>
  <c r="DC84" i="6"/>
  <c r="DB84" i="6"/>
  <c r="DA84" i="6"/>
  <c r="CZ84" i="6"/>
  <c r="CY84" i="6"/>
  <c r="CW84" i="6"/>
  <c r="CV84" i="6"/>
  <c r="CU84" i="6"/>
  <c r="CT84" i="6"/>
  <c r="CS84" i="6"/>
  <c r="CR84" i="6"/>
  <c r="CQ84" i="6"/>
  <c r="CP84" i="6"/>
  <c r="CO84" i="6"/>
  <c r="CN84" i="6"/>
  <c r="CM84" i="6"/>
  <c r="CK84" i="6"/>
  <c r="CJ84" i="6"/>
  <c r="CI84" i="6"/>
  <c r="CH84" i="6"/>
  <c r="CG84" i="6"/>
  <c r="CF84" i="6"/>
  <c r="CE84" i="6"/>
  <c r="CD84" i="6"/>
  <c r="CC84" i="6"/>
  <c r="CB84" i="6"/>
  <c r="CA84" i="6"/>
  <c r="BY84" i="6"/>
  <c r="BX84" i="6"/>
  <c r="BW84" i="6"/>
  <c r="BV84" i="6"/>
  <c r="BU84" i="6"/>
  <c r="BT84" i="6"/>
  <c r="BS84" i="6"/>
  <c r="BR84" i="6"/>
  <c r="BQ84" i="6"/>
  <c r="BP84" i="6"/>
  <c r="BO84" i="6"/>
  <c r="BM84" i="6"/>
  <c r="BL84" i="6"/>
  <c r="BK84" i="6"/>
  <c r="BJ84" i="6"/>
  <c r="BI84" i="6"/>
  <c r="BH84" i="6"/>
  <c r="BG84" i="6"/>
  <c r="BF84" i="6"/>
  <c r="BE84" i="6"/>
  <c r="BD84" i="6"/>
  <c r="BC84" i="6"/>
  <c r="BA84" i="6"/>
  <c r="AZ84" i="6"/>
  <c r="AY84" i="6"/>
  <c r="AX84" i="6"/>
  <c r="AW84" i="6"/>
  <c r="AV84" i="6"/>
  <c r="AU84" i="6"/>
  <c r="AT84" i="6"/>
  <c r="AS84" i="6"/>
  <c r="AR84" i="6"/>
  <c r="AQ84" i="6"/>
  <c r="AO84" i="6"/>
  <c r="AN84" i="6"/>
  <c r="AM84" i="6"/>
  <c r="AL84" i="6"/>
  <c r="AK84" i="6"/>
  <c r="AJ84" i="6"/>
  <c r="AI84" i="6"/>
  <c r="AH84" i="6"/>
  <c r="AG84" i="6"/>
  <c r="AF84" i="6"/>
  <c r="AE84" i="6"/>
  <c r="AC84" i="6"/>
  <c r="AB84" i="6"/>
  <c r="AA84" i="6"/>
  <c r="Z84" i="6"/>
  <c r="Y84" i="6"/>
  <c r="X84" i="6"/>
  <c r="W84" i="6"/>
  <c r="V84" i="6"/>
  <c r="U84" i="6"/>
  <c r="T84" i="6"/>
  <c r="S84" i="6"/>
  <c r="Q84" i="6"/>
  <c r="EF84" i="6" s="1"/>
  <c r="P84" i="6"/>
  <c r="EE84" i="6" s="1"/>
  <c r="O84" i="6"/>
  <c r="ED84" i="6" s="1"/>
  <c r="N84" i="6"/>
  <c r="EC84" i="6" s="1"/>
  <c r="M84" i="6"/>
  <c r="EB84" i="6" s="1"/>
  <c r="L84" i="6"/>
  <c r="EA84" i="6" s="1"/>
  <c r="K84" i="6"/>
  <c r="DZ84" i="6" s="1"/>
  <c r="J84" i="6"/>
  <c r="DY84" i="6" s="1"/>
  <c r="I84" i="6"/>
  <c r="DX84" i="6" s="1"/>
  <c r="H84" i="6"/>
  <c r="DW84" i="6" s="1"/>
  <c r="G84" i="6"/>
  <c r="DV84" i="6" s="1"/>
  <c r="DU83" i="6"/>
  <c r="DT83" i="6"/>
  <c r="DS83" i="6"/>
  <c r="DR83" i="6"/>
  <c r="DQ83" i="6"/>
  <c r="DP83" i="6"/>
  <c r="DO83" i="6"/>
  <c r="DN83" i="6"/>
  <c r="DM83" i="6"/>
  <c r="DL83" i="6"/>
  <c r="DK83" i="6"/>
  <c r="DI83" i="6"/>
  <c r="DH83" i="6"/>
  <c r="DG83" i="6"/>
  <c r="DF83" i="6"/>
  <c r="DE83" i="6"/>
  <c r="DD83" i="6"/>
  <c r="DC83" i="6"/>
  <c r="DB83" i="6"/>
  <c r="DA83" i="6"/>
  <c r="CZ83" i="6"/>
  <c r="CY83" i="6"/>
  <c r="CW83" i="6"/>
  <c r="CV83" i="6"/>
  <c r="CU83" i="6"/>
  <c r="CT83" i="6"/>
  <c r="CS83" i="6"/>
  <c r="CR83" i="6"/>
  <c r="CQ83" i="6"/>
  <c r="CP83" i="6"/>
  <c r="CO83" i="6"/>
  <c r="CN83" i="6"/>
  <c r="CM83" i="6"/>
  <c r="CK83" i="6"/>
  <c r="CJ83" i="6"/>
  <c r="CI83" i="6"/>
  <c r="CH83" i="6"/>
  <c r="CG83" i="6"/>
  <c r="CF83" i="6"/>
  <c r="CE83" i="6"/>
  <c r="CD83" i="6"/>
  <c r="CC83" i="6"/>
  <c r="CB83" i="6"/>
  <c r="CA83" i="6"/>
  <c r="BY83" i="6"/>
  <c r="BX83" i="6"/>
  <c r="BW83" i="6"/>
  <c r="BV83" i="6"/>
  <c r="BU83" i="6"/>
  <c r="BT83" i="6"/>
  <c r="BS83" i="6"/>
  <c r="BR83" i="6"/>
  <c r="BQ83" i="6"/>
  <c r="BP83" i="6"/>
  <c r="BO83" i="6"/>
  <c r="BM83" i="6"/>
  <c r="BL83" i="6"/>
  <c r="BK83" i="6"/>
  <c r="BJ83" i="6"/>
  <c r="BI83" i="6"/>
  <c r="BH83" i="6"/>
  <c r="BG83" i="6"/>
  <c r="BF83" i="6"/>
  <c r="BE83" i="6"/>
  <c r="BD83" i="6"/>
  <c r="BC83" i="6"/>
  <c r="BA83" i="6"/>
  <c r="AZ83" i="6"/>
  <c r="AY83" i="6"/>
  <c r="AX83" i="6"/>
  <c r="AW83" i="6"/>
  <c r="AV83" i="6"/>
  <c r="AU83" i="6"/>
  <c r="AT83" i="6"/>
  <c r="AS83" i="6"/>
  <c r="AR83" i="6"/>
  <c r="AQ83" i="6"/>
  <c r="AO83" i="6"/>
  <c r="AN83" i="6"/>
  <c r="AM83" i="6"/>
  <c r="AL83" i="6"/>
  <c r="AK83" i="6"/>
  <c r="AJ83" i="6"/>
  <c r="AI83" i="6"/>
  <c r="AH83" i="6"/>
  <c r="AG83" i="6"/>
  <c r="AF83" i="6"/>
  <c r="AE83" i="6"/>
  <c r="AC83" i="6"/>
  <c r="AB83" i="6"/>
  <c r="AA83" i="6"/>
  <c r="Z83" i="6"/>
  <c r="Y83" i="6"/>
  <c r="X83" i="6"/>
  <c r="W83" i="6"/>
  <c r="V83" i="6"/>
  <c r="U83" i="6"/>
  <c r="T83" i="6"/>
  <c r="S83" i="6"/>
  <c r="Q83" i="6"/>
  <c r="EF83" i="6" s="1"/>
  <c r="P83" i="6"/>
  <c r="EE83" i="6" s="1"/>
  <c r="O83" i="6"/>
  <c r="ED83" i="6" s="1"/>
  <c r="N83" i="6"/>
  <c r="EC83" i="6" s="1"/>
  <c r="M83" i="6"/>
  <c r="EB83" i="6" s="1"/>
  <c r="L83" i="6"/>
  <c r="EA83" i="6" s="1"/>
  <c r="K83" i="6"/>
  <c r="DZ83" i="6" s="1"/>
  <c r="J83" i="6"/>
  <c r="DY83" i="6" s="1"/>
  <c r="I83" i="6"/>
  <c r="DX83" i="6" s="1"/>
  <c r="H83" i="6"/>
  <c r="DW83" i="6" s="1"/>
  <c r="G83" i="6"/>
  <c r="DV83" i="6" s="1"/>
  <c r="DU82" i="6"/>
  <c r="DT82" i="6"/>
  <c r="DS82" i="6"/>
  <c r="DR82" i="6"/>
  <c r="DQ82" i="6"/>
  <c r="DP82" i="6"/>
  <c r="DO82" i="6"/>
  <c r="DN82" i="6"/>
  <c r="DM82" i="6"/>
  <c r="DL82" i="6"/>
  <c r="DK82" i="6"/>
  <c r="DI82" i="6"/>
  <c r="DH82" i="6"/>
  <c r="DG82" i="6"/>
  <c r="DF82" i="6"/>
  <c r="DE82" i="6"/>
  <c r="DD82" i="6"/>
  <c r="DC82" i="6"/>
  <c r="DB82" i="6"/>
  <c r="DA82" i="6"/>
  <c r="CZ82" i="6"/>
  <c r="CY82" i="6"/>
  <c r="CW82" i="6"/>
  <c r="CV82" i="6"/>
  <c r="CU82" i="6"/>
  <c r="CT82" i="6"/>
  <c r="CS82" i="6"/>
  <c r="CR82" i="6"/>
  <c r="CQ82" i="6"/>
  <c r="CP82" i="6"/>
  <c r="CO82" i="6"/>
  <c r="CN82" i="6"/>
  <c r="CM82" i="6"/>
  <c r="CK82" i="6"/>
  <c r="CJ82" i="6"/>
  <c r="CI82" i="6"/>
  <c r="CH82" i="6"/>
  <c r="CG82" i="6"/>
  <c r="CF82" i="6"/>
  <c r="CE82" i="6"/>
  <c r="CD82" i="6"/>
  <c r="CC82" i="6"/>
  <c r="CB82" i="6"/>
  <c r="CA82" i="6"/>
  <c r="BY82" i="6"/>
  <c r="BX82" i="6"/>
  <c r="BW82" i="6"/>
  <c r="BV82" i="6"/>
  <c r="BU82" i="6"/>
  <c r="BT82" i="6"/>
  <c r="BS82" i="6"/>
  <c r="BR82" i="6"/>
  <c r="BQ82" i="6"/>
  <c r="BP82" i="6"/>
  <c r="BO82" i="6"/>
  <c r="BM82" i="6"/>
  <c r="BL82" i="6"/>
  <c r="BK82" i="6"/>
  <c r="BJ82" i="6"/>
  <c r="BI82" i="6"/>
  <c r="BH82" i="6"/>
  <c r="BG82" i="6"/>
  <c r="BF82" i="6"/>
  <c r="BE82" i="6"/>
  <c r="BD82" i="6"/>
  <c r="BC82" i="6"/>
  <c r="BA82" i="6"/>
  <c r="AZ82" i="6"/>
  <c r="AY82" i="6"/>
  <c r="AX82" i="6"/>
  <c r="AW82" i="6"/>
  <c r="AV82" i="6"/>
  <c r="AU82" i="6"/>
  <c r="AT82" i="6"/>
  <c r="AS82" i="6"/>
  <c r="AR82" i="6"/>
  <c r="AQ82" i="6"/>
  <c r="AO82" i="6"/>
  <c r="AN82" i="6"/>
  <c r="AM82" i="6"/>
  <c r="AL82" i="6"/>
  <c r="AK82" i="6"/>
  <c r="AJ82" i="6"/>
  <c r="AI82" i="6"/>
  <c r="AH82" i="6"/>
  <c r="AG82" i="6"/>
  <c r="AF82" i="6"/>
  <c r="AE82" i="6"/>
  <c r="AC82" i="6"/>
  <c r="AB82" i="6"/>
  <c r="AA82" i="6"/>
  <c r="Z82" i="6"/>
  <c r="Y82" i="6"/>
  <c r="X82" i="6"/>
  <c r="W82" i="6"/>
  <c r="V82" i="6"/>
  <c r="U82" i="6"/>
  <c r="T82" i="6"/>
  <c r="S82" i="6"/>
  <c r="Q82" i="6"/>
  <c r="EF82" i="6" s="1"/>
  <c r="P82" i="6"/>
  <c r="EE82" i="6" s="1"/>
  <c r="O82" i="6"/>
  <c r="ED82" i="6" s="1"/>
  <c r="N82" i="6"/>
  <c r="EC82" i="6" s="1"/>
  <c r="M82" i="6"/>
  <c r="EB82" i="6" s="1"/>
  <c r="L82" i="6"/>
  <c r="EA82" i="6" s="1"/>
  <c r="K82" i="6"/>
  <c r="DZ82" i="6" s="1"/>
  <c r="J82" i="6"/>
  <c r="DY82" i="6" s="1"/>
  <c r="I82" i="6"/>
  <c r="DX82" i="6" s="1"/>
  <c r="H82" i="6"/>
  <c r="DW82" i="6" s="1"/>
  <c r="G82" i="6"/>
  <c r="DV82" i="6" s="1"/>
  <c r="DU81" i="6"/>
  <c r="DT81" i="6"/>
  <c r="DS81" i="6"/>
  <c r="DR81" i="6"/>
  <c r="DQ81" i="6"/>
  <c r="DP81" i="6"/>
  <c r="DO81" i="6"/>
  <c r="DN81" i="6"/>
  <c r="DM81" i="6"/>
  <c r="DL81" i="6"/>
  <c r="DK81" i="6"/>
  <c r="DI81" i="6"/>
  <c r="DH81" i="6"/>
  <c r="DG81" i="6"/>
  <c r="DF81" i="6"/>
  <c r="DE81" i="6"/>
  <c r="DD81" i="6"/>
  <c r="DC81" i="6"/>
  <c r="DB81" i="6"/>
  <c r="DA81" i="6"/>
  <c r="CZ81" i="6"/>
  <c r="CY81" i="6"/>
  <c r="CW81" i="6"/>
  <c r="CV81" i="6"/>
  <c r="CU81" i="6"/>
  <c r="CT81" i="6"/>
  <c r="CS81" i="6"/>
  <c r="CR81" i="6"/>
  <c r="CQ81" i="6"/>
  <c r="CP81" i="6"/>
  <c r="CO81" i="6"/>
  <c r="CN81" i="6"/>
  <c r="CM81" i="6"/>
  <c r="CK81" i="6"/>
  <c r="CJ81" i="6"/>
  <c r="CI81" i="6"/>
  <c r="CH81" i="6"/>
  <c r="CG81" i="6"/>
  <c r="CF81" i="6"/>
  <c r="CE81" i="6"/>
  <c r="CD81" i="6"/>
  <c r="CC81" i="6"/>
  <c r="CB81" i="6"/>
  <c r="CA81" i="6"/>
  <c r="BY81" i="6"/>
  <c r="BX81" i="6"/>
  <c r="BW81" i="6"/>
  <c r="BV81" i="6"/>
  <c r="BU81" i="6"/>
  <c r="BT81" i="6"/>
  <c r="BS81" i="6"/>
  <c r="BR81" i="6"/>
  <c r="BQ81" i="6"/>
  <c r="BP81" i="6"/>
  <c r="BO81" i="6"/>
  <c r="BM81" i="6"/>
  <c r="BL81" i="6"/>
  <c r="BK81" i="6"/>
  <c r="BJ81" i="6"/>
  <c r="BI81" i="6"/>
  <c r="BH81" i="6"/>
  <c r="BG81" i="6"/>
  <c r="BF81" i="6"/>
  <c r="BE81" i="6"/>
  <c r="BD81" i="6"/>
  <c r="BC81" i="6"/>
  <c r="BA81" i="6"/>
  <c r="AZ81" i="6"/>
  <c r="AY81" i="6"/>
  <c r="AX81" i="6"/>
  <c r="AW81" i="6"/>
  <c r="AV81" i="6"/>
  <c r="AU81" i="6"/>
  <c r="AT81" i="6"/>
  <c r="AS81" i="6"/>
  <c r="AR81" i="6"/>
  <c r="AQ81" i="6"/>
  <c r="AO81" i="6"/>
  <c r="AN81" i="6"/>
  <c r="AM81" i="6"/>
  <c r="AL81" i="6"/>
  <c r="AK81" i="6"/>
  <c r="AJ81" i="6"/>
  <c r="AI81" i="6"/>
  <c r="AH81" i="6"/>
  <c r="AG81" i="6"/>
  <c r="AF81" i="6"/>
  <c r="AE81" i="6"/>
  <c r="AC81" i="6"/>
  <c r="AB81" i="6"/>
  <c r="AA81" i="6"/>
  <c r="Z81" i="6"/>
  <c r="Y81" i="6"/>
  <c r="X81" i="6"/>
  <c r="W81" i="6"/>
  <c r="V81" i="6"/>
  <c r="U81" i="6"/>
  <c r="T81" i="6"/>
  <c r="S81" i="6"/>
  <c r="Q81" i="6"/>
  <c r="EF81" i="6" s="1"/>
  <c r="P81" i="6"/>
  <c r="EE81" i="6" s="1"/>
  <c r="O81" i="6"/>
  <c r="ED81" i="6" s="1"/>
  <c r="N81" i="6"/>
  <c r="EC81" i="6" s="1"/>
  <c r="M81" i="6"/>
  <c r="EB81" i="6" s="1"/>
  <c r="L81" i="6"/>
  <c r="EA81" i="6" s="1"/>
  <c r="K81" i="6"/>
  <c r="DZ81" i="6" s="1"/>
  <c r="J81" i="6"/>
  <c r="DY81" i="6" s="1"/>
  <c r="I81" i="6"/>
  <c r="DX81" i="6" s="1"/>
  <c r="H81" i="6"/>
  <c r="DW81" i="6" s="1"/>
  <c r="G81" i="6"/>
  <c r="DV81" i="6" s="1"/>
  <c r="DU80" i="6"/>
  <c r="DT80" i="6"/>
  <c r="DS80" i="6"/>
  <c r="DR80" i="6"/>
  <c r="DQ80" i="6"/>
  <c r="DP80" i="6"/>
  <c r="DO80" i="6"/>
  <c r="DN80" i="6"/>
  <c r="DM80" i="6"/>
  <c r="DL80" i="6"/>
  <c r="DK80" i="6"/>
  <c r="DI80" i="6"/>
  <c r="DH80" i="6"/>
  <c r="DG80" i="6"/>
  <c r="DF80" i="6"/>
  <c r="DE80" i="6"/>
  <c r="DD80" i="6"/>
  <c r="DC80" i="6"/>
  <c r="DB80" i="6"/>
  <c r="DA80" i="6"/>
  <c r="CZ80" i="6"/>
  <c r="CY80" i="6"/>
  <c r="CW80" i="6"/>
  <c r="CV80" i="6"/>
  <c r="CU80" i="6"/>
  <c r="CT80" i="6"/>
  <c r="CS80" i="6"/>
  <c r="CR80" i="6"/>
  <c r="CQ80" i="6"/>
  <c r="CP80" i="6"/>
  <c r="CO80" i="6"/>
  <c r="CN80" i="6"/>
  <c r="CM80" i="6"/>
  <c r="CK80" i="6"/>
  <c r="CJ80" i="6"/>
  <c r="CI80" i="6"/>
  <c r="CH80" i="6"/>
  <c r="CG80" i="6"/>
  <c r="CF80" i="6"/>
  <c r="CE80" i="6"/>
  <c r="CD80" i="6"/>
  <c r="CC80" i="6"/>
  <c r="CB80" i="6"/>
  <c r="CA80" i="6"/>
  <c r="BY80" i="6"/>
  <c r="BX80" i="6"/>
  <c r="BW80" i="6"/>
  <c r="BV80" i="6"/>
  <c r="BU80" i="6"/>
  <c r="BT80" i="6"/>
  <c r="BS80" i="6"/>
  <c r="BR80" i="6"/>
  <c r="BQ80" i="6"/>
  <c r="BP80" i="6"/>
  <c r="BO80" i="6"/>
  <c r="BM80" i="6"/>
  <c r="BL80" i="6"/>
  <c r="BK80" i="6"/>
  <c r="BJ80" i="6"/>
  <c r="BI80" i="6"/>
  <c r="BH80" i="6"/>
  <c r="BG80" i="6"/>
  <c r="BF80" i="6"/>
  <c r="BE80" i="6"/>
  <c r="BD80" i="6"/>
  <c r="BC80" i="6"/>
  <c r="BA80" i="6"/>
  <c r="AZ80" i="6"/>
  <c r="AY80" i="6"/>
  <c r="AX80" i="6"/>
  <c r="AW80" i="6"/>
  <c r="AV80" i="6"/>
  <c r="AU80" i="6"/>
  <c r="AT80" i="6"/>
  <c r="AS80" i="6"/>
  <c r="AR80" i="6"/>
  <c r="AQ80" i="6"/>
  <c r="AO80" i="6"/>
  <c r="AN80" i="6"/>
  <c r="AM80" i="6"/>
  <c r="AL80" i="6"/>
  <c r="AK80" i="6"/>
  <c r="AJ80" i="6"/>
  <c r="AI80" i="6"/>
  <c r="AH80" i="6"/>
  <c r="AG80" i="6"/>
  <c r="AF80" i="6"/>
  <c r="AE80" i="6"/>
  <c r="AC80" i="6"/>
  <c r="AB80" i="6"/>
  <c r="AA80" i="6"/>
  <c r="Z80" i="6"/>
  <c r="Y80" i="6"/>
  <c r="X80" i="6"/>
  <c r="W80" i="6"/>
  <c r="V80" i="6"/>
  <c r="U80" i="6"/>
  <c r="T80" i="6"/>
  <c r="S80" i="6"/>
  <c r="Q80" i="6"/>
  <c r="EF80" i="6" s="1"/>
  <c r="P80" i="6"/>
  <c r="EE80" i="6" s="1"/>
  <c r="O80" i="6"/>
  <c r="ED80" i="6" s="1"/>
  <c r="EO80" i="6" s="1"/>
  <c r="N80" i="6"/>
  <c r="EC80" i="6" s="1"/>
  <c r="M80" i="6"/>
  <c r="EB80" i="6" s="1"/>
  <c r="L80" i="6"/>
  <c r="EA80" i="6" s="1"/>
  <c r="K80" i="6"/>
  <c r="DZ80" i="6" s="1"/>
  <c r="J80" i="6"/>
  <c r="DY80" i="6" s="1"/>
  <c r="I80" i="6"/>
  <c r="DX80" i="6" s="1"/>
  <c r="H80" i="6"/>
  <c r="DW80" i="6" s="1"/>
  <c r="G80" i="6"/>
  <c r="DV80" i="6" s="1"/>
  <c r="DU79" i="6"/>
  <c r="DT79" i="6"/>
  <c r="DS79" i="6"/>
  <c r="DR79" i="6"/>
  <c r="DQ79" i="6"/>
  <c r="DP79" i="6"/>
  <c r="DO79" i="6"/>
  <c r="DN79" i="6"/>
  <c r="DM79" i="6"/>
  <c r="DL79" i="6"/>
  <c r="DK79" i="6"/>
  <c r="DI79" i="6"/>
  <c r="DH79" i="6"/>
  <c r="DG79" i="6"/>
  <c r="DF79" i="6"/>
  <c r="DE79" i="6"/>
  <c r="DD79" i="6"/>
  <c r="DC79" i="6"/>
  <c r="DB79" i="6"/>
  <c r="DA79" i="6"/>
  <c r="CZ79" i="6"/>
  <c r="CY79" i="6"/>
  <c r="CW79" i="6"/>
  <c r="CV79" i="6"/>
  <c r="CU79" i="6"/>
  <c r="CT79" i="6"/>
  <c r="CS79" i="6"/>
  <c r="CR79" i="6"/>
  <c r="CQ79" i="6"/>
  <c r="CP79" i="6"/>
  <c r="CO79" i="6"/>
  <c r="CN79" i="6"/>
  <c r="CM79" i="6"/>
  <c r="CK79" i="6"/>
  <c r="CJ79" i="6"/>
  <c r="CI79" i="6"/>
  <c r="CH79" i="6"/>
  <c r="CG79" i="6"/>
  <c r="CF79" i="6"/>
  <c r="CE79" i="6"/>
  <c r="CD79" i="6"/>
  <c r="CC79" i="6"/>
  <c r="CB79" i="6"/>
  <c r="CA79" i="6"/>
  <c r="BY79" i="6"/>
  <c r="BX79" i="6"/>
  <c r="BW79" i="6"/>
  <c r="BV79" i="6"/>
  <c r="BU79" i="6"/>
  <c r="BT79" i="6"/>
  <c r="BS79" i="6"/>
  <c r="BR79" i="6"/>
  <c r="BQ79" i="6"/>
  <c r="BP79" i="6"/>
  <c r="BO79" i="6"/>
  <c r="BM79" i="6"/>
  <c r="BL79" i="6"/>
  <c r="BK79" i="6"/>
  <c r="BJ79" i="6"/>
  <c r="BI79" i="6"/>
  <c r="BH79" i="6"/>
  <c r="BG79" i="6"/>
  <c r="BF79" i="6"/>
  <c r="BE79" i="6"/>
  <c r="BD79" i="6"/>
  <c r="BC79" i="6"/>
  <c r="BA79" i="6"/>
  <c r="AZ79" i="6"/>
  <c r="AY79" i="6"/>
  <c r="AX79" i="6"/>
  <c r="AW79" i="6"/>
  <c r="AV79" i="6"/>
  <c r="AU79" i="6"/>
  <c r="AT79" i="6"/>
  <c r="AS79" i="6"/>
  <c r="AR79" i="6"/>
  <c r="AQ79" i="6"/>
  <c r="AO79" i="6"/>
  <c r="AN79" i="6"/>
  <c r="AM79" i="6"/>
  <c r="AL79" i="6"/>
  <c r="AK79" i="6"/>
  <c r="AJ79" i="6"/>
  <c r="AI79" i="6"/>
  <c r="AH79" i="6"/>
  <c r="AG79" i="6"/>
  <c r="AF79" i="6"/>
  <c r="AE79" i="6"/>
  <c r="AC79" i="6"/>
  <c r="AB79" i="6"/>
  <c r="AA79" i="6"/>
  <c r="Z79" i="6"/>
  <c r="Y79" i="6"/>
  <c r="X79" i="6"/>
  <c r="W79" i="6"/>
  <c r="V79" i="6"/>
  <c r="U79" i="6"/>
  <c r="T79" i="6"/>
  <c r="S79" i="6"/>
  <c r="Q79" i="6"/>
  <c r="EF79" i="6" s="1"/>
  <c r="P79" i="6"/>
  <c r="EE79" i="6" s="1"/>
  <c r="O79" i="6"/>
  <c r="ED79" i="6" s="1"/>
  <c r="N79" i="6"/>
  <c r="EC79" i="6" s="1"/>
  <c r="M79" i="6"/>
  <c r="EB79" i="6" s="1"/>
  <c r="L79" i="6"/>
  <c r="EA79" i="6" s="1"/>
  <c r="K79" i="6"/>
  <c r="DZ79" i="6" s="1"/>
  <c r="J79" i="6"/>
  <c r="DY79" i="6" s="1"/>
  <c r="I79" i="6"/>
  <c r="DX79" i="6" s="1"/>
  <c r="H79" i="6"/>
  <c r="DW79" i="6" s="1"/>
  <c r="G79" i="6"/>
  <c r="DV79" i="6" s="1"/>
  <c r="DU78" i="6"/>
  <c r="DT78" i="6"/>
  <c r="DS78" i="6"/>
  <c r="DR78" i="6"/>
  <c r="DQ78" i="6"/>
  <c r="DP78" i="6"/>
  <c r="DO78" i="6"/>
  <c r="DN78" i="6"/>
  <c r="DM78" i="6"/>
  <c r="DL78" i="6"/>
  <c r="DK78" i="6"/>
  <c r="DI78" i="6"/>
  <c r="DH78" i="6"/>
  <c r="DG78" i="6"/>
  <c r="DF78" i="6"/>
  <c r="DE78" i="6"/>
  <c r="DD78" i="6"/>
  <c r="DC78" i="6"/>
  <c r="DB78" i="6"/>
  <c r="DA78" i="6"/>
  <c r="CZ78" i="6"/>
  <c r="CY78" i="6"/>
  <c r="CW78" i="6"/>
  <c r="CV78" i="6"/>
  <c r="CU78" i="6"/>
  <c r="CT78" i="6"/>
  <c r="CS78" i="6"/>
  <c r="CR78" i="6"/>
  <c r="CQ78" i="6"/>
  <c r="CP78" i="6"/>
  <c r="CO78" i="6"/>
  <c r="CN78" i="6"/>
  <c r="CM78" i="6"/>
  <c r="CK78" i="6"/>
  <c r="CJ78" i="6"/>
  <c r="CI78" i="6"/>
  <c r="CH78" i="6"/>
  <c r="CG78" i="6"/>
  <c r="CF78" i="6"/>
  <c r="CE78" i="6"/>
  <c r="CD78" i="6"/>
  <c r="CC78" i="6"/>
  <c r="CB78" i="6"/>
  <c r="CA78" i="6"/>
  <c r="BY78" i="6"/>
  <c r="BX78" i="6"/>
  <c r="BW78" i="6"/>
  <c r="BV78" i="6"/>
  <c r="BU78" i="6"/>
  <c r="BT78" i="6"/>
  <c r="BS78" i="6"/>
  <c r="BR78" i="6"/>
  <c r="BQ78" i="6"/>
  <c r="BP78" i="6"/>
  <c r="BO78" i="6"/>
  <c r="BM78" i="6"/>
  <c r="BL78" i="6"/>
  <c r="BK78" i="6"/>
  <c r="BJ78" i="6"/>
  <c r="BI78" i="6"/>
  <c r="BH78" i="6"/>
  <c r="BG78" i="6"/>
  <c r="BF78" i="6"/>
  <c r="BE78" i="6"/>
  <c r="BD78" i="6"/>
  <c r="BC78" i="6"/>
  <c r="BA78" i="6"/>
  <c r="AZ78" i="6"/>
  <c r="AY78" i="6"/>
  <c r="AX78" i="6"/>
  <c r="AW78" i="6"/>
  <c r="AV78" i="6"/>
  <c r="AU78" i="6"/>
  <c r="AT78" i="6"/>
  <c r="AS78" i="6"/>
  <c r="AR78" i="6"/>
  <c r="AQ78" i="6"/>
  <c r="AO78" i="6"/>
  <c r="AN78" i="6"/>
  <c r="AM78" i="6"/>
  <c r="AL78" i="6"/>
  <c r="AK78" i="6"/>
  <c r="AJ78" i="6"/>
  <c r="AI78" i="6"/>
  <c r="AH78" i="6"/>
  <c r="AG78" i="6"/>
  <c r="AF78" i="6"/>
  <c r="AE78" i="6"/>
  <c r="AC78" i="6"/>
  <c r="AB78" i="6"/>
  <c r="AA78" i="6"/>
  <c r="Z78" i="6"/>
  <c r="Y78" i="6"/>
  <c r="X78" i="6"/>
  <c r="W78" i="6"/>
  <c r="V78" i="6"/>
  <c r="U78" i="6"/>
  <c r="T78" i="6"/>
  <c r="S78" i="6"/>
  <c r="Q78" i="6"/>
  <c r="EF78" i="6" s="1"/>
  <c r="P78" i="6"/>
  <c r="EE78" i="6" s="1"/>
  <c r="O78" i="6"/>
  <c r="ED78" i="6" s="1"/>
  <c r="N78" i="6"/>
  <c r="EC78" i="6" s="1"/>
  <c r="M78" i="6"/>
  <c r="EB78" i="6" s="1"/>
  <c r="L78" i="6"/>
  <c r="EA78" i="6" s="1"/>
  <c r="K78" i="6"/>
  <c r="DZ78" i="6" s="1"/>
  <c r="J78" i="6"/>
  <c r="DY78" i="6" s="1"/>
  <c r="I78" i="6"/>
  <c r="DX78" i="6" s="1"/>
  <c r="H78" i="6"/>
  <c r="DW78" i="6" s="1"/>
  <c r="G78" i="6"/>
  <c r="DV78" i="6" s="1"/>
  <c r="DU77" i="6"/>
  <c r="DT77" i="6"/>
  <c r="DS77" i="6"/>
  <c r="DR77" i="6"/>
  <c r="DQ77" i="6"/>
  <c r="DP77" i="6"/>
  <c r="DO77" i="6"/>
  <c r="DN77" i="6"/>
  <c r="DM77" i="6"/>
  <c r="DL77" i="6"/>
  <c r="DK77" i="6"/>
  <c r="DI77" i="6"/>
  <c r="DH77" i="6"/>
  <c r="DG77" i="6"/>
  <c r="DF77" i="6"/>
  <c r="DE77" i="6"/>
  <c r="DD77" i="6"/>
  <c r="DC77" i="6"/>
  <c r="DB77" i="6"/>
  <c r="DA77" i="6"/>
  <c r="CZ77" i="6"/>
  <c r="CY77" i="6"/>
  <c r="CW77" i="6"/>
  <c r="CV77" i="6"/>
  <c r="CU77" i="6"/>
  <c r="CT77" i="6"/>
  <c r="CS77" i="6"/>
  <c r="CR77" i="6"/>
  <c r="CQ77" i="6"/>
  <c r="CP77" i="6"/>
  <c r="CO77" i="6"/>
  <c r="CN77" i="6"/>
  <c r="CM77" i="6"/>
  <c r="CK77" i="6"/>
  <c r="CJ77" i="6"/>
  <c r="CI77" i="6"/>
  <c r="CH77" i="6"/>
  <c r="CG77" i="6"/>
  <c r="CF77" i="6"/>
  <c r="CE77" i="6"/>
  <c r="CD77" i="6"/>
  <c r="CC77" i="6"/>
  <c r="CB77" i="6"/>
  <c r="CA77" i="6"/>
  <c r="BY77" i="6"/>
  <c r="BX77" i="6"/>
  <c r="BW77" i="6"/>
  <c r="BV77" i="6"/>
  <c r="BU77" i="6"/>
  <c r="BT77" i="6"/>
  <c r="BS77" i="6"/>
  <c r="BR77" i="6"/>
  <c r="BQ77" i="6"/>
  <c r="BP77" i="6"/>
  <c r="BO77" i="6"/>
  <c r="BM77" i="6"/>
  <c r="BL77" i="6"/>
  <c r="BK77" i="6"/>
  <c r="BJ77" i="6"/>
  <c r="BI77" i="6"/>
  <c r="BH77" i="6"/>
  <c r="BG77" i="6"/>
  <c r="BF77" i="6"/>
  <c r="BE77" i="6"/>
  <c r="BD77" i="6"/>
  <c r="BC77" i="6"/>
  <c r="BA77" i="6"/>
  <c r="AZ77" i="6"/>
  <c r="AY77" i="6"/>
  <c r="AX77" i="6"/>
  <c r="AW77" i="6"/>
  <c r="AV77" i="6"/>
  <c r="AU77" i="6"/>
  <c r="AT77" i="6"/>
  <c r="AS77" i="6"/>
  <c r="AR77" i="6"/>
  <c r="AQ77" i="6"/>
  <c r="AO77" i="6"/>
  <c r="AN77" i="6"/>
  <c r="AM77" i="6"/>
  <c r="AL77" i="6"/>
  <c r="AK77" i="6"/>
  <c r="AJ77" i="6"/>
  <c r="AI77" i="6"/>
  <c r="AH77" i="6"/>
  <c r="AG77" i="6"/>
  <c r="AF77" i="6"/>
  <c r="AE77" i="6"/>
  <c r="AC77" i="6"/>
  <c r="AB77" i="6"/>
  <c r="AA77" i="6"/>
  <c r="Z77" i="6"/>
  <c r="Y77" i="6"/>
  <c r="X77" i="6"/>
  <c r="W77" i="6"/>
  <c r="V77" i="6"/>
  <c r="U77" i="6"/>
  <c r="T77" i="6"/>
  <c r="S77" i="6"/>
  <c r="Q77" i="6"/>
  <c r="EF77" i="6" s="1"/>
  <c r="P77" i="6"/>
  <c r="EE77" i="6" s="1"/>
  <c r="O77" i="6"/>
  <c r="ED77" i="6" s="1"/>
  <c r="N77" i="6"/>
  <c r="EC77" i="6" s="1"/>
  <c r="M77" i="6"/>
  <c r="EB77" i="6" s="1"/>
  <c r="L77" i="6"/>
  <c r="EA77" i="6" s="1"/>
  <c r="K77" i="6"/>
  <c r="DZ77" i="6" s="1"/>
  <c r="J77" i="6"/>
  <c r="DY77" i="6" s="1"/>
  <c r="I77" i="6"/>
  <c r="DX77" i="6" s="1"/>
  <c r="H77" i="6"/>
  <c r="DW77" i="6" s="1"/>
  <c r="G77" i="6"/>
  <c r="DV77" i="6" s="1"/>
  <c r="DU76" i="6"/>
  <c r="DT76" i="6"/>
  <c r="DS76" i="6"/>
  <c r="DR76" i="6"/>
  <c r="DQ76" i="6"/>
  <c r="DP76" i="6"/>
  <c r="DO76" i="6"/>
  <c r="DN76" i="6"/>
  <c r="DM76" i="6"/>
  <c r="DL76" i="6"/>
  <c r="DK76" i="6"/>
  <c r="DI76" i="6"/>
  <c r="DH76" i="6"/>
  <c r="DG76" i="6"/>
  <c r="DF76" i="6"/>
  <c r="DE76" i="6"/>
  <c r="DD76" i="6"/>
  <c r="DC76" i="6"/>
  <c r="DB76" i="6"/>
  <c r="DA76" i="6"/>
  <c r="CZ76" i="6"/>
  <c r="CY76" i="6"/>
  <c r="CW76" i="6"/>
  <c r="CV76" i="6"/>
  <c r="CU76" i="6"/>
  <c r="CT76" i="6"/>
  <c r="CS76" i="6"/>
  <c r="CR76" i="6"/>
  <c r="CQ76" i="6"/>
  <c r="CP76" i="6"/>
  <c r="CO76" i="6"/>
  <c r="CN76" i="6"/>
  <c r="CM76" i="6"/>
  <c r="CK76" i="6"/>
  <c r="CJ76" i="6"/>
  <c r="CI76" i="6"/>
  <c r="CH76" i="6"/>
  <c r="CG76" i="6"/>
  <c r="CF76" i="6"/>
  <c r="CE76" i="6"/>
  <c r="CD76" i="6"/>
  <c r="CC76" i="6"/>
  <c r="CB76" i="6"/>
  <c r="CA76" i="6"/>
  <c r="BY76" i="6"/>
  <c r="BX76" i="6"/>
  <c r="BW76" i="6"/>
  <c r="BV76" i="6"/>
  <c r="BU76" i="6"/>
  <c r="BT76" i="6"/>
  <c r="BS76" i="6"/>
  <c r="BR76" i="6"/>
  <c r="BQ76" i="6"/>
  <c r="BP76" i="6"/>
  <c r="BO76" i="6"/>
  <c r="BM76" i="6"/>
  <c r="BL76" i="6"/>
  <c r="BK76" i="6"/>
  <c r="BJ76" i="6"/>
  <c r="BI76" i="6"/>
  <c r="BH76" i="6"/>
  <c r="BG76" i="6"/>
  <c r="BF76" i="6"/>
  <c r="BE76" i="6"/>
  <c r="BD76" i="6"/>
  <c r="BC76" i="6"/>
  <c r="BA76" i="6"/>
  <c r="AZ76" i="6"/>
  <c r="AY76" i="6"/>
  <c r="AX76" i="6"/>
  <c r="AW76" i="6"/>
  <c r="AV76" i="6"/>
  <c r="AU76" i="6"/>
  <c r="AT76" i="6"/>
  <c r="AS76" i="6"/>
  <c r="AR76" i="6"/>
  <c r="AQ76" i="6"/>
  <c r="AO76" i="6"/>
  <c r="AN76" i="6"/>
  <c r="AM76" i="6"/>
  <c r="AL76" i="6"/>
  <c r="AK76" i="6"/>
  <c r="AJ76" i="6"/>
  <c r="AI76" i="6"/>
  <c r="AH76" i="6"/>
  <c r="AG76" i="6"/>
  <c r="AF76" i="6"/>
  <c r="AE76" i="6"/>
  <c r="AC76" i="6"/>
  <c r="AB76" i="6"/>
  <c r="AA76" i="6"/>
  <c r="Z76" i="6"/>
  <c r="Y76" i="6"/>
  <c r="X76" i="6"/>
  <c r="W76" i="6"/>
  <c r="V76" i="6"/>
  <c r="U76" i="6"/>
  <c r="T76" i="6"/>
  <c r="S76" i="6"/>
  <c r="Q76" i="6"/>
  <c r="EF76" i="6" s="1"/>
  <c r="P76" i="6"/>
  <c r="EE76" i="6" s="1"/>
  <c r="O76" i="6"/>
  <c r="ED76" i="6" s="1"/>
  <c r="N76" i="6"/>
  <c r="EC76" i="6" s="1"/>
  <c r="M76" i="6"/>
  <c r="EB76" i="6" s="1"/>
  <c r="L76" i="6"/>
  <c r="EA76" i="6" s="1"/>
  <c r="K76" i="6"/>
  <c r="DZ76" i="6" s="1"/>
  <c r="J76" i="6"/>
  <c r="DY76" i="6" s="1"/>
  <c r="I76" i="6"/>
  <c r="DX76" i="6" s="1"/>
  <c r="H76" i="6"/>
  <c r="DW76" i="6" s="1"/>
  <c r="G76" i="6"/>
  <c r="DV76" i="6" s="1"/>
  <c r="DU75" i="6"/>
  <c r="DT75" i="6"/>
  <c r="DS75" i="6"/>
  <c r="DR75" i="6"/>
  <c r="DQ75" i="6"/>
  <c r="DP75" i="6"/>
  <c r="DO75" i="6"/>
  <c r="DN75" i="6"/>
  <c r="DM75" i="6"/>
  <c r="DL75" i="6"/>
  <c r="DK75" i="6"/>
  <c r="DI75" i="6"/>
  <c r="DH75" i="6"/>
  <c r="DG75" i="6"/>
  <c r="DF75" i="6"/>
  <c r="DE75" i="6"/>
  <c r="DD75" i="6"/>
  <c r="DC75" i="6"/>
  <c r="DB75" i="6"/>
  <c r="DA75" i="6"/>
  <c r="CZ75" i="6"/>
  <c r="CY75" i="6"/>
  <c r="CW75" i="6"/>
  <c r="CV75" i="6"/>
  <c r="CU75" i="6"/>
  <c r="CT75" i="6"/>
  <c r="CS75" i="6"/>
  <c r="CR75" i="6"/>
  <c r="CQ75" i="6"/>
  <c r="CP75" i="6"/>
  <c r="CO75" i="6"/>
  <c r="CN75" i="6"/>
  <c r="CM75" i="6"/>
  <c r="CK75" i="6"/>
  <c r="CJ75" i="6"/>
  <c r="CI75" i="6"/>
  <c r="CH75" i="6"/>
  <c r="CG75" i="6"/>
  <c r="CF75" i="6"/>
  <c r="CE75" i="6"/>
  <c r="CD75" i="6"/>
  <c r="CC75" i="6"/>
  <c r="CB75" i="6"/>
  <c r="CA75" i="6"/>
  <c r="BY75" i="6"/>
  <c r="BX75" i="6"/>
  <c r="BW75" i="6"/>
  <c r="BV75" i="6"/>
  <c r="BU75" i="6"/>
  <c r="BT75" i="6"/>
  <c r="BS75" i="6"/>
  <c r="BR75" i="6"/>
  <c r="BQ75" i="6"/>
  <c r="BP75" i="6"/>
  <c r="BO75" i="6"/>
  <c r="BM75" i="6"/>
  <c r="BL75" i="6"/>
  <c r="BK75" i="6"/>
  <c r="BJ75" i="6"/>
  <c r="BI75" i="6"/>
  <c r="BH75" i="6"/>
  <c r="BG75" i="6"/>
  <c r="BF75" i="6"/>
  <c r="BE75" i="6"/>
  <c r="BD75" i="6"/>
  <c r="BC75" i="6"/>
  <c r="BA75" i="6"/>
  <c r="AZ75" i="6"/>
  <c r="AY75" i="6"/>
  <c r="AX75" i="6"/>
  <c r="AW75" i="6"/>
  <c r="AV75" i="6"/>
  <c r="AU75" i="6"/>
  <c r="AT75" i="6"/>
  <c r="AS75" i="6"/>
  <c r="AR75" i="6"/>
  <c r="AQ75" i="6"/>
  <c r="AO75" i="6"/>
  <c r="AN75" i="6"/>
  <c r="AM75" i="6"/>
  <c r="AL75" i="6"/>
  <c r="AK75" i="6"/>
  <c r="AJ75" i="6"/>
  <c r="AI75" i="6"/>
  <c r="AH75" i="6"/>
  <c r="AG75" i="6"/>
  <c r="AF75" i="6"/>
  <c r="AE75" i="6"/>
  <c r="AC75" i="6"/>
  <c r="AB75" i="6"/>
  <c r="AA75" i="6"/>
  <c r="Z75" i="6"/>
  <c r="Y75" i="6"/>
  <c r="X75" i="6"/>
  <c r="W75" i="6"/>
  <c r="V75" i="6"/>
  <c r="U75" i="6"/>
  <c r="T75" i="6"/>
  <c r="S75" i="6"/>
  <c r="Q75" i="6"/>
  <c r="EF75" i="6" s="1"/>
  <c r="P75" i="6"/>
  <c r="EE75" i="6" s="1"/>
  <c r="O75" i="6"/>
  <c r="ED75" i="6" s="1"/>
  <c r="N75" i="6"/>
  <c r="EC75" i="6" s="1"/>
  <c r="M75" i="6"/>
  <c r="EB75" i="6" s="1"/>
  <c r="L75" i="6"/>
  <c r="EA75" i="6" s="1"/>
  <c r="K75" i="6"/>
  <c r="DZ75" i="6" s="1"/>
  <c r="J75" i="6"/>
  <c r="DY75" i="6" s="1"/>
  <c r="I75" i="6"/>
  <c r="DX75" i="6" s="1"/>
  <c r="H75" i="6"/>
  <c r="DW75" i="6" s="1"/>
  <c r="G75" i="6"/>
  <c r="DV75" i="6" s="1"/>
  <c r="DU74" i="6"/>
  <c r="DT74" i="6"/>
  <c r="DS74" i="6"/>
  <c r="DR74" i="6"/>
  <c r="DQ74" i="6"/>
  <c r="DP74" i="6"/>
  <c r="DO74" i="6"/>
  <c r="DN74" i="6"/>
  <c r="DM74" i="6"/>
  <c r="DL74" i="6"/>
  <c r="DK74" i="6"/>
  <c r="DI74" i="6"/>
  <c r="DH74" i="6"/>
  <c r="DG74" i="6"/>
  <c r="DF74" i="6"/>
  <c r="DE74" i="6"/>
  <c r="DD74" i="6"/>
  <c r="DC74" i="6"/>
  <c r="DB74" i="6"/>
  <c r="DA74" i="6"/>
  <c r="CZ74" i="6"/>
  <c r="CY74" i="6"/>
  <c r="CW74" i="6"/>
  <c r="CV74" i="6"/>
  <c r="CU74" i="6"/>
  <c r="CT74" i="6"/>
  <c r="CS74" i="6"/>
  <c r="CR74" i="6"/>
  <c r="CQ74" i="6"/>
  <c r="CP74" i="6"/>
  <c r="CO74" i="6"/>
  <c r="CN74" i="6"/>
  <c r="CM74" i="6"/>
  <c r="CK74" i="6"/>
  <c r="CJ74" i="6"/>
  <c r="CI74" i="6"/>
  <c r="CH74" i="6"/>
  <c r="CG74" i="6"/>
  <c r="CF74" i="6"/>
  <c r="CE74" i="6"/>
  <c r="CD74" i="6"/>
  <c r="CC74" i="6"/>
  <c r="CB74" i="6"/>
  <c r="CA74" i="6"/>
  <c r="BY74" i="6"/>
  <c r="BX74" i="6"/>
  <c r="BW74" i="6"/>
  <c r="BV74" i="6"/>
  <c r="BU74" i="6"/>
  <c r="BT74" i="6"/>
  <c r="BS74" i="6"/>
  <c r="BR74" i="6"/>
  <c r="BQ74" i="6"/>
  <c r="BP74" i="6"/>
  <c r="BO74" i="6"/>
  <c r="BM74" i="6"/>
  <c r="BL74" i="6"/>
  <c r="BK74" i="6"/>
  <c r="BJ74" i="6"/>
  <c r="BI74" i="6"/>
  <c r="BH74" i="6"/>
  <c r="BG74" i="6"/>
  <c r="BF74" i="6"/>
  <c r="BE74" i="6"/>
  <c r="BD74" i="6"/>
  <c r="BC74" i="6"/>
  <c r="BA74" i="6"/>
  <c r="AZ74" i="6"/>
  <c r="AY74" i="6"/>
  <c r="AX74" i="6"/>
  <c r="AW74" i="6"/>
  <c r="AV74" i="6"/>
  <c r="AU74" i="6"/>
  <c r="AT74" i="6"/>
  <c r="AS74" i="6"/>
  <c r="AR74" i="6"/>
  <c r="AQ74" i="6"/>
  <c r="AO74" i="6"/>
  <c r="AN74" i="6"/>
  <c r="AM74" i="6"/>
  <c r="AL74" i="6"/>
  <c r="AK74" i="6"/>
  <c r="AJ74" i="6"/>
  <c r="AI74" i="6"/>
  <c r="AH74" i="6"/>
  <c r="AG74" i="6"/>
  <c r="AF74" i="6"/>
  <c r="AE74" i="6"/>
  <c r="AC74" i="6"/>
  <c r="AB74" i="6"/>
  <c r="AA74" i="6"/>
  <c r="Z74" i="6"/>
  <c r="Y74" i="6"/>
  <c r="X74" i="6"/>
  <c r="W74" i="6"/>
  <c r="V74" i="6"/>
  <c r="U74" i="6"/>
  <c r="T74" i="6"/>
  <c r="S74" i="6"/>
  <c r="Q74" i="6"/>
  <c r="EF74" i="6" s="1"/>
  <c r="P74" i="6"/>
  <c r="EE74" i="6" s="1"/>
  <c r="O74" i="6"/>
  <c r="ED74" i="6" s="1"/>
  <c r="N74" i="6"/>
  <c r="EC74" i="6" s="1"/>
  <c r="M74" i="6"/>
  <c r="EB74" i="6" s="1"/>
  <c r="L74" i="6"/>
  <c r="EA74" i="6" s="1"/>
  <c r="K74" i="6"/>
  <c r="DZ74" i="6" s="1"/>
  <c r="J74" i="6"/>
  <c r="DY74" i="6" s="1"/>
  <c r="I74" i="6"/>
  <c r="DX74" i="6" s="1"/>
  <c r="H74" i="6"/>
  <c r="DW74" i="6" s="1"/>
  <c r="G74" i="6"/>
  <c r="DV74" i="6" s="1"/>
  <c r="DU73" i="6"/>
  <c r="DT73" i="6"/>
  <c r="DS73" i="6"/>
  <c r="DR73" i="6"/>
  <c r="DQ73" i="6"/>
  <c r="DP73" i="6"/>
  <c r="DO73" i="6"/>
  <c r="DN73" i="6"/>
  <c r="DM73" i="6"/>
  <c r="DL73" i="6"/>
  <c r="DK73" i="6"/>
  <c r="DI73" i="6"/>
  <c r="DH73" i="6"/>
  <c r="DG73" i="6"/>
  <c r="DF73" i="6"/>
  <c r="DE73" i="6"/>
  <c r="DD73" i="6"/>
  <c r="DC73" i="6"/>
  <c r="DB73" i="6"/>
  <c r="DA73" i="6"/>
  <c r="CZ73" i="6"/>
  <c r="CY73" i="6"/>
  <c r="CW73" i="6"/>
  <c r="CV73" i="6"/>
  <c r="CU73" i="6"/>
  <c r="CT73" i="6"/>
  <c r="CS73" i="6"/>
  <c r="CR73" i="6"/>
  <c r="CQ73" i="6"/>
  <c r="CP73" i="6"/>
  <c r="CO73" i="6"/>
  <c r="CN73" i="6"/>
  <c r="CM73" i="6"/>
  <c r="CK73" i="6"/>
  <c r="CJ73" i="6"/>
  <c r="CI73" i="6"/>
  <c r="CH73" i="6"/>
  <c r="CG73" i="6"/>
  <c r="CF73" i="6"/>
  <c r="CE73" i="6"/>
  <c r="CD73" i="6"/>
  <c r="CC73" i="6"/>
  <c r="CB73" i="6"/>
  <c r="CA73" i="6"/>
  <c r="BY73" i="6"/>
  <c r="BX73" i="6"/>
  <c r="BW73" i="6"/>
  <c r="BV73" i="6"/>
  <c r="BU73" i="6"/>
  <c r="BT73" i="6"/>
  <c r="BS73" i="6"/>
  <c r="BR73" i="6"/>
  <c r="BQ73" i="6"/>
  <c r="BP73" i="6"/>
  <c r="BO73" i="6"/>
  <c r="BM73" i="6"/>
  <c r="BL73" i="6"/>
  <c r="BK73" i="6"/>
  <c r="BJ73" i="6"/>
  <c r="BI73" i="6"/>
  <c r="BH73" i="6"/>
  <c r="BG73" i="6"/>
  <c r="BF73" i="6"/>
  <c r="BE73" i="6"/>
  <c r="BD73" i="6"/>
  <c r="BC73" i="6"/>
  <c r="BA73" i="6"/>
  <c r="AZ73" i="6"/>
  <c r="AY73" i="6"/>
  <c r="AX73" i="6"/>
  <c r="AW73" i="6"/>
  <c r="AV73" i="6"/>
  <c r="AU73" i="6"/>
  <c r="AT73" i="6"/>
  <c r="AS73" i="6"/>
  <c r="AR73" i="6"/>
  <c r="AQ73" i="6"/>
  <c r="AO73" i="6"/>
  <c r="AN73" i="6"/>
  <c r="AM73" i="6"/>
  <c r="AL73" i="6"/>
  <c r="AK73" i="6"/>
  <c r="AJ73" i="6"/>
  <c r="AI73" i="6"/>
  <c r="AH73" i="6"/>
  <c r="AG73" i="6"/>
  <c r="AF73" i="6"/>
  <c r="AE73" i="6"/>
  <c r="AC73" i="6"/>
  <c r="AB73" i="6"/>
  <c r="AA73" i="6"/>
  <c r="Z73" i="6"/>
  <c r="Y73" i="6"/>
  <c r="X73" i="6"/>
  <c r="W73" i="6"/>
  <c r="V73" i="6"/>
  <c r="U73" i="6"/>
  <c r="T73" i="6"/>
  <c r="S73" i="6"/>
  <c r="Q73" i="6"/>
  <c r="EF73" i="6" s="1"/>
  <c r="P73" i="6"/>
  <c r="EE73" i="6" s="1"/>
  <c r="O73" i="6"/>
  <c r="ED73" i="6" s="1"/>
  <c r="N73" i="6"/>
  <c r="EC73" i="6" s="1"/>
  <c r="M73" i="6"/>
  <c r="EB73" i="6" s="1"/>
  <c r="L73" i="6"/>
  <c r="EA73" i="6" s="1"/>
  <c r="K73" i="6"/>
  <c r="DZ73" i="6" s="1"/>
  <c r="J73" i="6"/>
  <c r="DY73" i="6" s="1"/>
  <c r="I73" i="6"/>
  <c r="DX73" i="6" s="1"/>
  <c r="H73" i="6"/>
  <c r="DW73" i="6" s="1"/>
  <c r="G73" i="6"/>
  <c r="DV73" i="6" s="1"/>
  <c r="DU72" i="6"/>
  <c r="DT72" i="6"/>
  <c r="DS72" i="6"/>
  <c r="DR72" i="6"/>
  <c r="DQ72" i="6"/>
  <c r="DP72" i="6"/>
  <c r="DO72" i="6"/>
  <c r="DN72" i="6"/>
  <c r="DM72" i="6"/>
  <c r="DL72" i="6"/>
  <c r="DK72" i="6"/>
  <c r="DI72" i="6"/>
  <c r="DH72" i="6"/>
  <c r="DG72" i="6"/>
  <c r="DF72" i="6"/>
  <c r="DE72" i="6"/>
  <c r="DD72" i="6"/>
  <c r="DC72" i="6"/>
  <c r="DB72" i="6"/>
  <c r="DA72" i="6"/>
  <c r="CZ72" i="6"/>
  <c r="CY72" i="6"/>
  <c r="CW72" i="6"/>
  <c r="CV72" i="6"/>
  <c r="CU72" i="6"/>
  <c r="CT72" i="6"/>
  <c r="CS72" i="6"/>
  <c r="CR72" i="6"/>
  <c r="CQ72" i="6"/>
  <c r="CP72" i="6"/>
  <c r="CO72" i="6"/>
  <c r="CN72" i="6"/>
  <c r="CM72" i="6"/>
  <c r="CK72" i="6"/>
  <c r="CJ72" i="6"/>
  <c r="CI72" i="6"/>
  <c r="CH72" i="6"/>
  <c r="CG72" i="6"/>
  <c r="CF72" i="6"/>
  <c r="CE72" i="6"/>
  <c r="CD72" i="6"/>
  <c r="CC72" i="6"/>
  <c r="CB72" i="6"/>
  <c r="CA72" i="6"/>
  <c r="BY72" i="6"/>
  <c r="BX72" i="6"/>
  <c r="BW72" i="6"/>
  <c r="BV72" i="6"/>
  <c r="BU72" i="6"/>
  <c r="BT72" i="6"/>
  <c r="BS72" i="6"/>
  <c r="BR72" i="6"/>
  <c r="BQ72" i="6"/>
  <c r="BP72" i="6"/>
  <c r="BO72" i="6"/>
  <c r="BM72" i="6"/>
  <c r="BL72" i="6"/>
  <c r="BK72" i="6"/>
  <c r="BJ72" i="6"/>
  <c r="BI72" i="6"/>
  <c r="BH72" i="6"/>
  <c r="BG72" i="6"/>
  <c r="BF72" i="6"/>
  <c r="BE72" i="6"/>
  <c r="BD72" i="6"/>
  <c r="BC72" i="6"/>
  <c r="BA72" i="6"/>
  <c r="AZ72" i="6"/>
  <c r="AY72" i="6"/>
  <c r="AX72" i="6"/>
  <c r="AW72" i="6"/>
  <c r="AV72" i="6"/>
  <c r="AU72" i="6"/>
  <c r="AT72" i="6"/>
  <c r="AS72" i="6"/>
  <c r="AR72" i="6"/>
  <c r="AQ72" i="6"/>
  <c r="AO72" i="6"/>
  <c r="AN72" i="6"/>
  <c r="AM72" i="6"/>
  <c r="AL72" i="6"/>
  <c r="AK72" i="6"/>
  <c r="AJ72" i="6"/>
  <c r="AI72" i="6"/>
  <c r="AH72" i="6"/>
  <c r="AG72" i="6"/>
  <c r="AF72" i="6"/>
  <c r="AE72" i="6"/>
  <c r="AC72" i="6"/>
  <c r="AB72" i="6"/>
  <c r="AA72" i="6"/>
  <c r="Z72" i="6"/>
  <c r="Y72" i="6"/>
  <c r="X72" i="6"/>
  <c r="W72" i="6"/>
  <c r="V72" i="6"/>
  <c r="U72" i="6"/>
  <c r="T72" i="6"/>
  <c r="S72" i="6"/>
  <c r="Q72" i="6"/>
  <c r="EF72" i="6" s="1"/>
  <c r="P72" i="6"/>
  <c r="EE72" i="6" s="1"/>
  <c r="O72" i="6"/>
  <c r="ED72" i="6" s="1"/>
  <c r="EO72" i="6" s="1"/>
  <c r="N72" i="6"/>
  <c r="EC72" i="6" s="1"/>
  <c r="M72" i="6"/>
  <c r="EB72" i="6" s="1"/>
  <c r="L72" i="6"/>
  <c r="EA72" i="6" s="1"/>
  <c r="K72" i="6"/>
  <c r="DZ72" i="6" s="1"/>
  <c r="J72" i="6"/>
  <c r="DY72" i="6" s="1"/>
  <c r="I72" i="6"/>
  <c r="DX72" i="6" s="1"/>
  <c r="H72" i="6"/>
  <c r="DW72" i="6" s="1"/>
  <c r="G72" i="6"/>
  <c r="DV72" i="6" s="1"/>
  <c r="DU71" i="6"/>
  <c r="DT71" i="6"/>
  <c r="DS71" i="6"/>
  <c r="DR71" i="6"/>
  <c r="DQ71" i="6"/>
  <c r="DP71" i="6"/>
  <c r="DO71" i="6"/>
  <c r="DN71" i="6"/>
  <c r="DM71" i="6"/>
  <c r="DL71" i="6"/>
  <c r="DK71" i="6"/>
  <c r="DI71" i="6"/>
  <c r="DH71" i="6"/>
  <c r="DG71" i="6"/>
  <c r="DF71" i="6"/>
  <c r="DE71" i="6"/>
  <c r="DD71" i="6"/>
  <c r="DC71" i="6"/>
  <c r="DB71" i="6"/>
  <c r="DA71" i="6"/>
  <c r="CZ71" i="6"/>
  <c r="CY71" i="6"/>
  <c r="CW71" i="6"/>
  <c r="CV71" i="6"/>
  <c r="CU71" i="6"/>
  <c r="CT71" i="6"/>
  <c r="CS71" i="6"/>
  <c r="CR71" i="6"/>
  <c r="CQ71" i="6"/>
  <c r="CP71" i="6"/>
  <c r="CO71" i="6"/>
  <c r="CN71" i="6"/>
  <c r="CM71" i="6"/>
  <c r="CK71" i="6"/>
  <c r="CJ71" i="6"/>
  <c r="CI71" i="6"/>
  <c r="CH71" i="6"/>
  <c r="CG71" i="6"/>
  <c r="CF71" i="6"/>
  <c r="CE71" i="6"/>
  <c r="CD71" i="6"/>
  <c r="CC71" i="6"/>
  <c r="CB71" i="6"/>
  <c r="CA71" i="6"/>
  <c r="BY71" i="6"/>
  <c r="BX71" i="6"/>
  <c r="BW71" i="6"/>
  <c r="BV71" i="6"/>
  <c r="BU71" i="6"/>
  <c r="BT71" i="6"/>
  <c r="BS71" i="6"/>
  <c r="BR71" i="6"/>
  <c r="BQ71" i="6"/>
  <c r="BP71" i="6"/>
  <c r="BO71" i="6"/>
  <c r="BM71" i="6"/>
  <c r="BL71" i="6"/>
  <c r="BK71" i="6"/>
  <c r="BJ71" i="6"/>
  <c r="BI71" i="6"/>
  <c r="BH71" i="6"/>
  <c r="BG71" i="6"/>
  <c r="BF71" i="6"/>
  <c r="BE71" i="6"/>
  <c r="BD71" i="6"/>
  <c r="BC71" i="6"/>
  <c r="BA71" i="6"/>
  <c r="AZ71" i="6"/>
  <c r="AY71" i="6"/>
  <c r="AX71" i="6"/>
  <c r="AW71" i="6"/>
  <c r="AV71" i="6"/>
  <c r="AU71" i="6"/>
  <c r="AT71" i="6"/>
  <c r="AS71" i="6"/>
  <c r="AR71" i="6"/>
  <c r="AQ71" i="6"/>
  <c r="AO71" i="6"/>
  <c r="AN71" i="6"/>
  <c r="AM71" i="6"/>
  <c r="AL71" i="6"/>
  <c r="AK71" i="6"/>
  <c r="AJ71" i="6"/>
  <c r="AI71" i="6"/>
  <c r="AH71" i="6"/>
  <c r="AG71" i="6"/>
  <c r="AF71" i="6"/>
  <c r="AE71" i="6"/>
  <c r="AC71" i="6"/>
  <c r="AB71" i="6"/>
  <c r="AA71" i="6"/>
  <c r="Z71" i="6"/>
  <c r="Y71" i="6"/>
  <c r="X71" i="6"/>
  <c r="W71" i="6"/>
  <c r="V71" i="6"/>
  <c r="U71" i="6"/>
  <c r="T71" i="6"/>
  <c r="S71" i="6"/>
  <c r="Q71" i="6"/>
  <c r="EF71" i="6" s="1"/>
  <c r="EQ71" i="6" s="1"/>
  <c r="P71" i="6"/>
  <c r="EE71" i="6" s="1"/>
  <c r="O71" i="6"/>
  <c r="ED71" i="6" s="1"/>
  <c r="N71" i="6"/>
  <c r="EC71" i="6" s="1"/>
  <c r="M71" i="6"/>
  <c r="EB71" i="6" s="1"/>
  <c r="L71" i="6"/>
  <c r="EA71" i="6" s="1"/>
  <c r="K71" i="6"/>
  <c r="DZ71" i="6" s="1"/>
  <c r="J71" i="6"/>
  <c r="DY71" i="6" s="1"/>
  <c r="I71" i="6"/>
  <c r="DX71" i="6" s="1"/>
  <c r="H71" i="6"/>
  <c r="DW71" i="6" s="1"/>
  <c r="G71" i="6"/>
  <c r="DV71" i="6" s="1"/>
  <c r="DU70" i="6"/>
  <c r="DT70" i="6"/>
  <c r="DS70" i="6"/>
  <c r="DR70" i="6"/>
  <c r="DQ70" i="6"/>
  <c r="DP70" i="6"/>
  <c r="DO70" i="6"/>
  <c r="DN70" i="6"/>
  <c r="DM70" i="6"/>
  <c r="DL70" i="6"/>
  <c r="DK70" i="6"/>
  <c r="DI70" i="6"/>
  <c r="DH70" i="6"/>
  <c r="DG70" i="6"/>
  <c r="DF70" i="6"/>
  <c r="DE70" i="6"/>
  <c r="DD70" i="6"/>
  <c r="DC70" i="6"/>
  <c r="DB70" i="6"/>
  <c r="DA70" i="6"/>
  <c r="CZ70" i="6"/>
  <c r="CY70" i="6"/>
  <c r="CW70" i="6"/>
  <c r="CV70" i="6"/>
  <c r="CU70" i="6"/>
  <c r="CT70" i="6"/>
  <c r="CS70" i="6"/>
  <c r="CR70" i="6"/>
  <c r="CQ70" i="6"/>
  <c r="CP70" i="6"/>
  <c r="CO70" i="6"/>
  <c r="CN70" i="6"/>
  <c r="CM70" i="6"/>
  <c r="CK70" i="6"/>
  <c r="CJ70" i="6"/>
  <c r="CI70" i="6"/>
  <c r="CH70" i="6"/>
  <c r="CG70" i="6"/>
  <c r="CF70" i="6"/>
  <c r="CE70" i="6"/>
  <c r="CD70" i="6"/>
  <c r="CC70" i="6"/>
  <c r="CB70" i="6"/>
  <c r="CA70" i="6"/>
  <c r="BY70" i="6"/>
  <c r="BX70" i="6"/>
  <c r="BW70" i="6"/>
  <c r="BV70" i="6"/>
  <c r="BU70" i="6"/>
  <c r="BT70" i="6"/>
  <c r="BS70" i="6"/>
  <c r="BR70" i="6"/>
  <c r="BQ70" i="6"/>
  <c r="BP70" i="6"/>
  <c r="BO70" i="6"/>
  <c r="BM70" i="6"/>
  <c r="BL70" i="6"/>
  <c r="BK70" i="6"/>
  <c r="BJ70" i="6"/>
  <c r="BI70" i="6"/>
  <c r="BH70" i="6"/>
  <c r="BG70" i="6"/>
  <c r="BF70" i="6"/>
  <c r="BE70" i="6"/>
  <c r="BD70" i="6"/>
  <c r="BC70" i="6"/>
  <c r="BA70" i="6"/>
  <c r="AZ70" i="6"/>
  <c r="AY70" i="6"/>
  <c r="AX70" i="6"/>
  <c r="AW70" i="6"/>
  <c r="AV70" i="6"/>
  <c r="AU70" i="6"/>
  <c r="AT70" i="6"/>
  <c r="AS70" i="6"/>
  <c r="AR70" i="6"/>
  <c r="AQ70" i="6"/>
  <c r="AO70" i="6"/>
  <c r="AN70" i="6"/>
  <c r="AM70" i="6"/>
  <c r="AL70" i="6"/>
  <c r="AK70" i="6"/>
  <c r="AJ70" i="6"/>
  <c r="AI70" i="6"/>
  <c r="AH70" i="6"/>
  <c r="AG70" i="6"/>
  <c r="AF70" i="6"/>
  <c r="AE70" i="6"/>
  <c r="AC70" i="6"/>
  <c r="AB70" i="6"/>
  <c r="AA70" i="6"/>
  <c r="Z70" i="6"/>
  <c r="Y70" i="6"/>
  <c r="X70" i="6"/>
  <c r="W70" i="6"/>
  <c r="V70" i="6"/>
  <c r="U70" i="6"/>
  <c r="T70" i="6"/>
  <c r="S70" i="6"/>
  <c r="Q70" i="6"/>
  <c r="EF70" i="6" s="1"/>
  <c r="P70" i="6"/>
  <c r="EE70" i="6" s="1"/>
  <c r="O70" i="6"/>
  <c r="ED70" i="6" s="1"/>
  <c r="N70" i="6"/>
  <c r="EC70" i="6" s="1"/>
  <c r="M70" i="6"/>
  <c r="EB70" i="6" s="1"/>
  <c r="L70" i="6"/>
  <c r="EA70" i="6" s="1"/>
  <c r="K70" i="6"/>
  <c r="DZ70" i="6" s="1"/>
  <c r="J70" i="6"/>
  <c r="DY70" i="6" s="1"/>
  <c r="I70" i="6"/>
  <c r="DX70" i="6" s="1"/>
  <c r="H70" i="6"/>
  <c r="DW70" i="6" s="1"/>
  <c r="G70" i="6"/>
  <c r="DV70" i="6" s="1"/>
  <c r="DU69" i="6"/>
  <c r="DT69" i="6"/>
  <c r="DS69" i="6"/>
  <c r="DR69" i="6"/>
  <c r="DQ69" i="6"/>
  <c r="DP69" i="6"/>
  <c r="DO69" i="6"/>
  <c r="DN69" i="6"/>
  <c r="DM69" i="6"/>
  <c r="DL69" i="6"/>
  <c r="DK69" i="6"/>
  <c r="DI69" i="6"/>
  <c r="DH69" i="6"/>
  <c r="DG69" i="6"/>
  <c r="DF69" i="6"/>
  <c r="DE69" i="6"/>
  <c r="DD69" i="6"/>
  <c r="DC69" i="6"/>
  <c r="DB69" i="6"/>
  <c r="DA69" i="6"/>
  <c r="CZ69" i="6"/>
  <c r="CY69" i="6"/>
  <c r="CW69" i="6"/>
  <c r="CV69" i="6"/>
  <c r="CU69" i="6"/>
  <c r="CT69" i="6"/>
  <c r="CS69" i="6"/>
  <c r="CR69" i="6"/>
  <c r="CQ69" i="6"/>
  <c r="CP69" i="6"/>
  <c r="CO69" i="6"/>
  <c r="CN69" i="6"/>
  <c r="CM69" i="6"/>
  <c r="CK69" i="6"/>
  <c r="CJ69" i="6"/>
  <c r="CI69" i="6"/>
  <c r="CH69" i="6"/>
  <c r="CG69" i="6"/>
  <c r="CF69" i="6"/>
  <c r="CE69" i="6"/>
  <c r="CD69" i="6"/>
  <c r="CC69" i="6"/>
  <c r="CB69" i="6"/>
  <c r="CA69" i="6"/>
  <c r="BY69" i="6"/>
  <c r="BX69" i="6"/>
  <c r="BW69" i="6"/>
  <c r="BV69" i="6"/>
  <c r="BU69" i="6"/>
  <c r="BT69" i="6"/>
  <c r="BS69" i="6"/>
  <c r="BR69" i="6"/>
  <c r="BQ69" i="6"/>
  <c r="BP69" i="6"/>
  <c r="BO69" i="6"/>
  <c r="BM69" i="6"/>
  <c r="BL69" i="6"/>
  <c r="BK69" i="6"/>
  <c r="BJ69" i="6"/>
  <c r="BI69" i="6"/>
  <c r="BH69" i="6"/>
  <c r="BG69" i="6"/>
  <c r="BF69" i="6"/>
  <c r="BE69" i="6"/>
  <c r="BD69" i="6"/>
  <c r="BC69" i="6"/>
  <c r="BA69" i="6"/>
  <c r="AZ69" i="6"/>
  <c r="AY69" i="6"/>
  <c r="AX69" i="6"/>
  <c r="AW69" i="6"/>
  <c r="AV69" i="6"/>
  <c r="AU69" i="6"/>
  <c r="AT69" i="6"/>
  <c r="AS69" i="6"/>
  <c r="AR69" i="6"/>
  <c r="AQ69" i="6"/>
  <c r="AO69" i="6"/>
  <c r="AN69" i="6"/>
  <c r="AM69" i="6"/>
  <c r="AL69" i="6"/>
  <c r="AK69" i="6"/>
  <c r="AJ69" i="6"/>
  <c r="AI69" i="6"/>
  <c r="AH69" i="6"/>
  <c r="AG69" i="6"/>
  <c r="AF69" i="6"/>
  <c r="AE69" i="6"/>
  <c r="AC69" i="6"/>
  <c r="AB69" i="6"/>
  <c r="AA69" i="6"/>
  <c r="Z69" i="6"/>
  <c r="Y69" i="6"/>
  <c r="X69" i="6"/>
  <c r="W69" i="6"/>
  <c r="V69" i="6"/>
  <c r="U69" i="6"/>
  <c r="T69" i="6"/>
  <c r="S69" i="6"/>
  <c r="Q69" i="6"/>
  <c r="EF69" i="6" s="1"/>
  <c r="P69" i="6"/>
  <c r="EE69" i="6" s="1"/>
  <c r="O69" i="6"/>
  <c r="ED69" i="6" s="1"/>
  <c r="N69" i="6"/>
  <c r="EC69" i="6" s="1"/>
  <c r="M69" i="6"/>
  <c r="EB69" i="6" s="1"/>
  <c r="L69" i="6"/>
  <c r="EA69" i="6" s="1"/>
  <c r="K69" i="6"/>
  <c r="DZ69" i="6" s="1"/>
  <c r="J69" i="6"/>
  <c r="DY69" i="6" s="1"/>
  <c r="I69" i="6"/>
  <c r="DX69" i="6" s="1"/>
  <c r="H69" i="6"/>
  <c r="DW69" i="6" s="1"/>
  <c r="G69" i="6"/>
  <c r="DV69" i="6" s="1"/>
  <c r="DU68" i="6"/>
  <c r="DT68" i="6"/>
  <c r="DS68" i="6"/>
  <c r="DR68" i="6"/>
  <c r="DQ68" i="6"/>
  <c r="DP68" i="6"/>
  <c r="DO68" i="6"/>
  <c r="DN68" i="6"/>
  <c r="DM68" i="6"/>
  <c r="DL68" i="6"/>
  <c r="DK68" i="6"/>
  <c r="DI68" i="6"/>
  <c r="DH68" i="6"/>
  <c r="DG68" i="6"/>
  <c r="DF68" i="6"/>
  <c r="DE68" i="6"/>
  <c r="DD68" i="6"/>
  <c r="DC68" i="6"/>
  <c r="DB68" i="6"/>
  <c r="DA68" i="6"/>
  <c r="CZ68" i="6"/>
  <c r="CY68" i="6"/>
  <c r="CW68" i="6"/>
  <c r="CV68" i="6"/>
  <c r="CU68" i="6"/>
  <c r="CT68" i="6"/>
  <c r="CS68" i="6"/>
  <c r="CR68" i="6"/>
  <c r="CQ68" i="6"/>
  <c r="CP68" i="6"/>
  <c r="CO68" i="6"/>
  <c r="CN68" i="6"/>
  <c r="CM68" i="6"/>
  <c r="CK68" i="6"/>
  <c r="CJ68" i="6"/>
  <c r="CI68" i="6"/>
  <c r="CH68" i="6"/>
  <c r="CG68" i="6"/>
  <c r="CF68" i="6"/>
  <c r="CE68" i="6"/>
  <c r="CD68" i="6"/>
  <c r="CC68" i="6"/>
  <c r="CB68" i="6"/>
  <c r="CA68" i="6"/>
  <c r="BY68" i="6"/>
  <c r="BX68" i="6"/>
  <c r="BW68" i="6"/>
  <c r="BV68" i="6"/>
  <c r="BU68" i="6"/>
  <c r="BT68" i="6"/>
  <c r="BS68" i="6"/>
  <c r="BR68" i="6"/>
  <c r="BQ68" i="6"/>
  <c r="BP68" i="6"/>
  <c r="BO68" i="6"/>
  <c r="BM68" i="6"/>
  <c r="BL68" i="6"/>
  <c r="BK68" i="6"/>
  <c r="BJ68" i="6"/>
  <c r="BI68" i="6"/>
  <c r="BH68" i="6"/>
  <c r="BG68" i="6"/>
  <c r="BF68" i="6"/>
  <c r="BE68" i="6"/>
  <c r="BD68" i="6"/>
  <c r="BC68" i="6"/>
  <c r="BA68" i="6"/>
  <c r="AZ68" i="6"/>
  <c r="AY68" i="6"/>
  <c r="AX68" i="6"/>
  <c r="AW68" i="6"/>
  <c r="AV68" i="6"/>
  <c r="AU68" i="6"/>
  <c r="AT68" i="6"/>
  <c r="AS68" i="6"/>
  <c r="AR68" i="6"/>
  <c r="AQ68" i="6"/>
  <c r="AO68" i="6"/>
  <c r="AN68" i="6"/>
  <c r="AM68" i="6"/>
  <c r="AL68" i="6"/>
  <c r="AK68" i="6"/>
  <c r="AJ68" i="6"/>
  <c r="AI68" i="6"/>
  <c r="AH68" i="6"/>
  <c r="AG68" i="6"/>
  <c r="AF68" i="6"/>
  <c r="AE68" i="6"/>
  <c r="AC68" i="6"/>
  <c r="AB68" i="6"/>
  <c r="AA68" i="6"/>
  <c r="Z68" i="6"/>
  <c r="Y68" i="6"/>
  <c r="X68" i="6"/>
  <c r="W68" i="6"/>
  <c r="V68" i="6"/>
  <c r="U68" i="6"/>
  <c r="T68" i="6"/>
  <c r="S68" i="6"/>
  <c r="Q68" i="6"/>
  <c r="EF68" i="6" s="1"/>
  <c r="P68" i="6"/>
  <c r="EE68" i="6" s="1"/>
  <c r="O68" i="6"/>
  <c r="ED68" i="6" s="1"/>
  <c r="N68" i="6"/>
  <c r="EC68" i="6" s="1"/>
  <c r="M68" i="6"/>
  <c r="EB68" i="6" s="1"/>
  <c r="L68" i="6"/>
  <c r="EA68" i="6" s="1"/>
  <c r="K68" i="6"/>
  <c r="DZ68" i="6" s="1"/>
  <c r="J68" i="6"/>
  <c r="DY68" i="6" s="1"/>
  <c r="I68" i="6"/>
  <c r="DX68" i="6" s="1"/>
  <c r="H68" i="6"/>
  <c r="DW68" i="6" s="1"/>
  <c r="G68" i="6"/>
  <c r="DV68" i="6" s="1"/>
  <c r="DU67" i="6"/>
  <c r="DT67" i="6"/>
  <c r="DS67" i="6"/>
  <c r="DR67" i="6"/>
  <c r="DQ67" i="6"/>
  <c r="DP67" i="6"/>
  <c r="DO67" i="6"/>
  <c r="DN67" i="6"/>
  <c r="DM67" i="6"/>
  <c r="DL67" i="6"/>
  <c r="DK67" i="6"/>
  <c r="DI67" i="6"/>
  <c r="DH67" i="6"/>
  <c r="DG67" i="6"/>
  <c r="DF67" i="6"/>
  <c r="DE67" i="6"/>
  <c r="DD67" i="6"/>
  <c r="DC67" i="6"/>
  <c r="DB67" i="6"/>
  <c r="DA67" i="6"/>
  <c r="CZ67" i="6"/>
  <c r="CY67" i="6"/>
  <c r="CW67" i="6"/>
  <c r="CV67" i="6"/>
  <c r="CU67" i="6"/>
  <c r="CT67" i="6"/>
  <c r="CS67" i="6"/>
  <c r="CR67" i="6"/>
  <c r="CQ67" i="6"/>
  <c r="CP67" i="6"/>
  <c r="CO67" i="6"/>
  <c r="CN67" i="6"/>
  <c r="CM67" i="6"/>
  <c r="CK67" i="6"/>
  <c r="CJ67" i="6"/>
  <c r="CI67" i="6"/>
  <c r="CH67" i="6"/>
  <c r="CG67" i="6"/>
  <c r="CF67" i="6"/>
  <c r="CE67" i="6"/>
  <c r="CD67" i="6"/>
  <c r="CC67" i="6"/>
  <c r="CB67" i="6"/>
  <c r="CA67" i="6"/>
  <c r="BY67" i="6"/>
  <c r="BX67" i="6"/>
  <c r="BW67" i="6"/>
  <c r="BV67" i="6"/>
  <c r="BU67" i="6"/>
  <c r="BT67" i="6"/>
  <c r="BS67" i="6"/>
  <c r="BR67" i="6"/>
  <c r="BQ67" i="6"/>
  <c r="BP67" i="6"/>
  <c r="BO67" i="6"/>
  <c r="BM67" i="6"/>
  <c r="BL67" i="6"/>
  <c r="BK67" i="6"/>
  <c r="BJ67" i="6"/>
  <c r="BI67" i="6"/>
  <c r="BH67" i="6"/>
  <c r="BG67" i="6"/>
  <c r="BF67" i="6"/>
  <c r="BE67" i="6"/>
  <c r="BD67" i="6"/>
  <c r="BC67" i="6"/>
  <c r="BA67" i="6"/>
  <c r="AZ67" i="6"/>
  <c r="AY67" i="6"/>
  <c r="AX67" i="6"/>
  <c r="AW67" i="6"/>
  <c r="AV67" i="6"/>
  <c r="AU67" i="6"/>
  <c r="AT67" i="6"/>
  <c r="AS67" i="6"/>
  <c r="AR67" i="6"/>
  <c r="AQ67" i="6"/>
  <c r="AO67" i="6"/>
  <c r="AN67" i="6"/>
  <c r="AM67" i="6"/>
  <c r="AL67" i="6"/>
  <c r="AK67" i="6"/>
  <c r="AJ67" i="6"/>
  <c r="AI67" i="6"/>
  <c r="AH67" i="6"/>
  <c r="AG67" i="6"/>
  <c r="AF67" i="6"/>
  <c r="AE67" i="6"/>
  <c r="AC67" i="6"/>
  <c r="AB67" i="6"/>
  <c r="AA67" i="6"/>
  <c r="Z67" i="6"/>
  <c r="Y67" i="6"/>
  <c r="X67" i="6"/>
  <c r="W67" i="6"/>
  <c r="V67" i="6"/>
  <c r="U67" i="6"/>
  <c r="T67" i="6"/>
  <c r="S67" i="6"/>
  <c r="Q67" i="6"/>
  <c r="EF67" i="6" s="1"/>
  <c r="P67" i="6"/>
  <c r="EE67" i="6" s="1"/>
  <c r="O67" i="6"/>
  <c r="ED67" i="6" s="1"/>
  <c r="N67" i="6"/>
  <c r="EC67" i="6" s="1"/>
  <c r="M67" i="6"/>
  <c r="EB67" i="6" s="1"/>
  <c r="L67" i="6"/>
  <c r="EA67" i="6" s="1"/>
  <c r="K67" i="6"/>
  <c r="DZ67" i="6" s="1"/>
  <c r="J67" i="6"/>
  <c r="DY67" i="6" s="1"/>
  <c r="I67" i="6"/>
  <c r="DX67" i="6" s="1"/>
  <c r="H67" i="6"/>
  <c r="DW67" i="6" s="1"/>
  <c r="G67" i="6"/>
  <c r="DV67" i="6" s="1"/>
  <c r="DU66" i="6"/>
  <c r="DT66" i="6"/>
  <c r="DS66" i="6"/>
  <c r="DR66" i="6"/>
  <c r="DQ66" i="6"/>
  <c r="DP66" i="6"/>
  <c r="DO66" i="6"/>
  <c r="DN66" i="6"/>
  <c r="DM66" i="6"/>
  <c r="DL66" i="6"/>
  <c r="DK66" i="6"/>
  <c r="DI66" i="6"/>
  <c r="DH66" i="6"/>
  <c r="DG66" i="6"/>
  <c r="DF66" i="6"/>
  <c r="DE66" i="6"/>
  <c r="DD66" i="6"/>
  <c r="DC66" i="6"/>
  <c r="DB66" i="6"/>
  <c r="DA66" i="6"/>
  <c r="CZ66" i="6"/>
  <c r="CY66" i="6"/>
  <c r="CW66" i="6"/>
  <c r="CV66" i="6"/>
  <c r="CU66" i="6"/>
  <c r="CT66" i="6"/>
  <c r="CS66" i="6"/>
  <c r="CR66" i="6"/>
  <c r="CQ66" i="6"/>
  <c r="CP66" i="6"/>
  <c r="CO66" i="6"/>
  <c r="CN66" i="6"/>
  <c r="CM66" i="6"/>
  <c r="CK66" i="6"/>
  <c r="CJ66" i="6"/>
  <c r="CI66" i="6"/>
  <c r="CH66" i="6"/>
  <c r="CG66" i="6"/>
  <c r="CF66" i="6"/>
  <c r="CE66" i="6"/>
  <c r="CD66" i="6"/>
  <c r="CC66" i="6"/>
  <c r="CB66" i="6"/>
  <c r="CA66" i="6"/>
  <c r="BY66" i="6"/>
  <c r="BX66" i="6"/>
  <c r="BW66" i="6"/>
  <c r="BV66" i="6"/>
  <c r="BU66" i="6"/>
  <c r="BT66" i="6"/>
  <c r="BS66" i="6"/>
  <c r="BR66" i="6"/>
  <c r="BQ66" i="6"/>
  <c r="BP66" i="6"/>
  <c r="BO66" i="6"/>
  <c r="BM66" i="6"/>
  <c r="BL66" i="6"/>
  <c r="BK66" i="6"/>
  <c r="BJ66" i="6"/>
  <c r="BI66" i="6"/>
  <c r="BH66" i="6"/>
  <c r="BG66" i="6"/>
  <c r="BF66" i="6"/>
  <c r="BE66" i="6"/>
  <c r="BD66" i="6"/>
  <c r="BC66" i="6"/>
  <c r="BA66" i="6"/>
  <c r="AZ66" i="6"/>
  <c r="AY66" i="6"/>
  <c r="AX66" i="6"/>
  <c r="AW66" i="6"/>
  <c r="AV66" i="6"/>
  <c r="AU66" i="6"/>
  <c r="AT66" i="6"/>
  <c r="AS66" i="6"/>
  <c r="AR66" i="6"/>
  <c r="AQ66" i="6"/>
  <c r="AO66" i="6"/>
  <c r="AN66" i="6"/>
  <c r="AM66" i="6"/>
  <c r="AL66" i="6"/>
  <c r="AK66" i="6"/>
  <c r="AJ66" i="6"/>
  <c r="AI66" i="6"/>
  <c r="AH66" i="6"/>
  <c r="AG66" i="6"/>
  <c r="AF66" i="6"/>
  <c r="AE66" i="6"/>
  <c r="AC66" i="6"/>
  <c r="AB66" i="6"/>
  <c r="AA66" i="6"/>
  <c r="Z66" i="6"/>
  <c r="Y66" i="6"/>
  <c r="X66" i="6"/>
  <c r="W66" i="6"/>
  <c r="V66" i="6"/>
  <c r="U66" i="6"/>
  <c r="T66" i="6"/>
  <c r="S66" i="6"/>
  <c r="Q66" i="6"/>
  <c r="EF66" i="6" s="1"/>
  <c r="P66" i="6"/>
  <c r="EE66" i="6" s="1"/>
  <c r="O66" i="6"/>
  <c r="ED66" i="6" s="1"/>
  <c r="N66" i="6"/>
  <c r="EC66" i="6" s="1"/>
  <c r="M66" i="6"/>
  <c r="EB66" i="6" s="1"/>
  <c r="L66" i="6"/>
  <c r="EA66" i="6" s="1"/>
  <c r="K66" i="6"/>
  <c r="DZ66" i="6" s="1"/>
  <c r="J66" i="6"/>
  <c r="DY66" i="6" s="1"/>
  <c r="I66" i="6"/>
  <c r="DX66" i="6" s="1"/>
  <c r="H66" i="6"/>
  <c r="DW66" i="6" s="1"/>
  <c r="G66" i="6"/>
  <c r="DV66" i="6" s="1"/>
  <c r="DU65" i="6"/>
  <c r="DT65" i="6"/>
  <c r="DS65" i="6"/>
  <c r="DR65" i="6"/>
  <c r="DQ65" i="6"/>
  <c r="DP65" i="6"/>
  <c r="DO65" i="6"/>
  <c r="DN65" i="6"/>
  <c r="DM65" i="6"/>
  <c r="DL65" i="6"/>
  <c r="DK65" i="6"/>
  <c r="DI65" i="6"/>
  <c r="DH65" i="6"/>
  <c r="DG65" i="6"/>
  <c r="DF65" i="6"/>
  <c r="DE65" i="6"/>
  <c r="DD65" i="6"/>
  <c r="DC65" i="6"/>
  <c r="DB65" i="6"/>
  <c r="DA65" i="6"/>
  <c r="CZ65" i="6"/>
  <c r="CY65" i="6"/>
  <c r="CW65" i="6"/>
  <c r="CV65" i="6"/>
  <c r="CU65" i="6"/>
  <c r="CT65" i="6"/>
  <c r="CS65" i="6"/>
  <c r="CR65" i="6"/>
  <c r="CQ65" i="6"/>
  <c r="CP65" i="6"/>
  <c r="CO65" i="6"/>
  <c r="CN65" i="6"/>
  <c r="CM65" i="6"/>
  <c r="CK65" i="6"/>
  <c r="CJ65" i="6"/>
  <c r="CI65" i="6"/>
  <c r="CH65" i="6"/>
  <c r="CG65" i="6"/>
  <c r="CF65" i="6"/>
  <c r="CE65" i="6"/>
  <c r="CD65" i="6"/>
  <c r="CC65" i="6"/>
  <c r="CB65" i="6"/>
  <c r="CA65" i="6"/>
  <c r="BY65" i="6"/>
  <c r="BX65" i="6"/>
  <c r="BW65" i="6"/>
  <c r="BV65" i="6"/>
  <c r="BU65" i="6"/>
  <c r="BT65" i="6"/>
  <c r="BS65" i="6"/>
  <c r="BR65" i="6"/>
  <c r="BQ65" i="6"/>
  <c r="BP65" i="6"/>
  <c r="BO65" i="6"/>
  <c r="BM65" i="6"/>
  <c r="BL65" i="6"/>
  <c r="BK65" i="6"/>
  <c r="BJ65" i="6"/>
  <c r="BI65" i="6"/>
  <c r="BH65" i="6"/>
  <c r="BG65" i="6"/>
  <c r="BF65" i="6"/>
  <c r="BE65" i="6"/>
  <c r="BD65" i="6"/>
  <c r="BC65" i="6"/>
  <c r="BA65" i="6"/>
  <c r="AZ65" i="6"/>
  <c r="AY65" i="6"/>
  <c r="AX65" i="6"/>
  <c r="AW65" i="6"/>
  <c r="AV65" i="6"/>
  <c r="AU65" i="6"/>
  <c r="AT65" i="6"/>
  <c r="AS65" i="6"/>
  <c r="AR65" i="6"/>
  <c r="AQ65" i="6"/>
  <c r="AO65" i="6"/>
  <c r="AN65" i="6"/>
  <c r="AM65" i="6"/>
  <c r="AL65" i="6"/>
  <c r="AK65" i="6"/>
  <c r="AJ65" i="6"/>
  <c r="AI65" i="6"/>
  <c r="AH65" i="6"/>
  <c r="AG65" i="6"/>
  <c r="AF65" i="6"/>
  <c r="AE65" i="6"/>
  <c r="AC65" i="6"/>
  <c r="AB65" i="6"/>
  <c r="AA65" i="6"/>
  <c r="Z65" i="6"/>
  <c r="Y65" i="6"/>
  <c r="X65" i="6"/>
  <c r="W65" i="6"/>
  <c r="V65" i="6"/>
  <c r="U65" i="6"/>
  <c r="T65" i="6"/>
  <c r="S65" i="6"/>
  <c r="Q65" i="6"/>
  <c r="EF65" i="6" s="1"/>
  <c r="P65" i="6"/>
  <c r="EE65" i="6" s="1"/>
  <c r="O65" i="6"/>
  <c r="ED65" i="6" s="1"/>
  <c r="N65" i="6"/>
  <c r="EC65" i="6" s="1"/>
  <c r="M65" i="6"/>
  <c r="EB65" i="6" s="1"/>
  <c r="L65" i="6"/>
  <c r="EA65" i="6" s="1"/>
  <c r="K65" i="6"/>
  <c r="DZ65" i="6" s="1"/>
  <c r="J65" i="6"/>
  <c r="DY65" i="6" s="1"/>
  <c r="I65" i="6"/>
  <c r="DX65" i="6" s="1"/>
  <c r="H65" i="6"/>
  <c r="DW65" i="6" s="1"/>
  <c r="G65" i="6"/>
  <c r="DV65" i="6" s="1"/>
  <c r="DU64" i="6"/>
  <c r="DT64" i="6"/>
  <c r="DS64" i="6"/>
  <c r="DR64" i="6"/>
  <c r="DQ64" i="6"/>
  <c r="DP64" i="6"/>
  <c r="DO64" i="6"/>
  <c r="DN64" i="6"/>
  <c r="DM64" i="6"/>
  <c r="DL64" i="6"/>
  <c r="DK64" i="6"/>
  <c r="DI64" i="6"/>
  <c r="DH64" i="6"/>
  <c r="DG64" i="6"/>
  <c r="DF64" i="6"/>
  <c r="DE64" i="6"/>
  <c r="DD64" i="6"/>
  <c r="DC64" i="6"/>
  <c r="DB64" i="6"/>
  <c r="DA64" i="6"/>
  <c r="CZ64" i="6"/>
  <c r="CY64" i="6"/>
  <c r="CW64" i="6"/>
  <c r="CV64" i="6"/>
  <c r="CU64" i="6"/>
  <c r="CT64" i="6"/>
  <c r="CS64" i="6"/>
  <c r="CR64" i="6"/>
  <c r="CQ64" i="6"/>
  <c r="CP64" i="6"/>
  <c r="CO64" i="6"/>
  <c r="CN64" i="6"/>
  <c r="CM64" i="6"/>
  <c r="CK64" i="6"/>
  <c r="CJ64" i="6"/>
  <c r="CI64" i="6"/>
  <c r="CH64" i="6"/>
  <c r="CG64" i="6"/>
  <c r="CF64" i="6"/>
  <c r="CE64" i="6"/>
  <c r="CD64" i="6"/>
  <c r="CC64" i="6"/>
  <c r="CB64" i="6"/>
  <c r="CA64" i="6"/>
  <c r="BY64" i="6"/>
  <c r="BX64" i="6"/>
  <c r="BW64" i="6"/>
  <c r="BV64" i="6"/>
  <c r="BU64" i="6"/>
  <c r="BT64" i="6"/>
  <c r="BS64" i="6"/>
  <c r="BR64" i="6"/>
  <c r="BQ64" i="6"/>
  <c r="BP64" i="6"/>
  <c r="BO64" i="6"/>
  <c r="BM64" i="6"/>
  <c r="BL64" i="6"/>
  <c r="BK64" i="6"/>
  <c r="BJ64" i="6"/>
  <c r="BI64" i="6"/>
  <c r="BH64" i="6"/>
  <c r="BG64" i="6"/>
  <c r="BF64" i="6"/>
  <c r="BE64" i="6"/>
  <c r="BD64" i="6"/>
  <c r="BC64" i="6"/>
  <c r="BA64" i="6"/>
  <c r="AZ64" i="6"/>
  <c r="AY64" i="6"/>
  <c r="AX64" i="6"/>
  <c r="AW64" i="6"/>
  <c r="AV64" i="6"/>
  <c r="AU64" i="6"/>
  <c r="AT64" i="6"/>
  <c r="AS64" i="6"/>
  <c r="AR64" i="6"/>
  <c r="AQ64" i="6"/>
  <c r="AO64" i="6"/>
  <c r="AN64" i="6"/>
  <c r="AM64" i="6"/>
  <c r="AL64" i="6"/>
  <c r="AK64" i="6"/>
  <c r="AJ64" i="6"/>
  <c r="AI64" i="6"/>
  <c r="AH64" i="6"/>
  <c r="AG64" i="6"/>
  <c r="AF64" i="6"/>
  <c r="AE64" i="6"/>
  <c r="AC64" i="6"/>
  <c r="AB64" i="6"/>
  <c r="AA64" i="6"/>
  <c r="Z64" i="6"/>
  <c r="Y64" i="6"/>
  <c r="X64" i="6"/>
  <c r="W64" i="6"/>
  <c r="V64" i="6"/>
  <c r="U64" i="6"/>
  <c r="T64" i="6"/>
  <c r="S64" i="6"/>
  <c r="Q64" i="6"/>
  <c r="EF64" i="6" s="1"/>
  <c r="P64" i="6"/>
  <c r="EE64" i="6" s="1"/>
  <c r="O64" i="6"/>
  <c r="ED64" i="6" s="1"/>
  <c r="N64" i="6"/>
  <c r="EC64" i="6" s="1"/>
  <c r="M64" i="6"/>
  <c r="EB64" i="6" s="1"/>
  <c r="L64" i="6"/>
  <c r="EA64" i="6" s="1"/>
  <c r="K64" i="6"/>
  <c r="DZ64" i="6" s="1"/>
  <c r="J64" i="6"/>
  <c r="DY64" i="6" s="1"/>
  <c r="I64" i="6"/>
  <c r="DX64" i="6" s="1"/>
  <c r="H64" i="6"/>
  <c r="DW64" i="6" s="1"/>
  <c r="G64" i="6"/>
  <c r="DV64" i="6" s="1"/>
  <c r="EG64" i="6" s="1"/>
  <c r="DU63" i="6"/>
  <c r="DT63" i="6"/>
  <c r="DS63" i="6"/>
  <c r="DR63" i="6"/>
  <c r="DQ63" i="6"/>
  <c r="DP63" i="6"/>
  <c r="DO63" i="6"/>
  <c r="DN63" i="6"/>
  <c r="DM63" i="6"/>
  <c r="DL63" i="6"/>
  <c r="DK63" i="6"/>
  <c r="DI63" i="6"/>
  <c r="DH63" i="6"/>
  <c r="DG63" i="6"/>
  <c r="DF63" i="6"/>
  <c r="DE63" i="6"/>
  <c r="DD63" i="6"/>
  <c r="DC63" i="6"/>
  <c r="DB63" i="6"/>
  <c r="DA63" i="6"/>
  <c r="CZ63" i="6"/>
  <c r="CY63" i="6"/>
  <c r="CW63" i="6"/>
  <c r="CV63" i="6"/>
  <c r="CU63" i="6"/>
  <c r="CT63" i="6"/>
  <c r="CS63" i="6"/>
  <c r="CR63" i="6"/>
  <c r="CQ63" i="6"/>
  <c r="CP63" i="6"/>
  <c r="CO63" i="6"/>
  <c r="CN63" i="6"/>
  <c r="CM63" i="6"/>
  <c r="CK63" i="6"/>
  <c r="CJ63" i="6"/>
  <c r="CI63" i="6"/>
  <c r="CH63" i="6"/>
  <c r="CG63" i="6"/>
  <c r="CF63" i="6"/>
  <c r="CE63" i="6"/>
  <c r="CD63" i="6"/>
  <c r="CC63" i="6"/>
  <c r="CB63" i="6"/>
  <c r="CA63" i="6"/>
  <c r="BY63" i="6"/>
  <c r="BX63" i="6"/>
  <c r="BW63" i="6"/>
  <c r="BV63" i="6"/>
  <c r="BU63" i="6"/>
  <c r="BT63" i="6"/>
  <c r="BS63" i="6"/>
  <c r="BR63" i="6"/>
  <c r="BQ63" i="6"/>
  <c r="BP63" i="6"/>
  <c r="BO63" i="6"/>
  <c r="BM63" i="6"/>
  <c r="BL63" i="6"/>
  <c r="BK63" i="6"/>
  <c r="BJ63" i="6"/>
  <c r="BI63" i="6"/>
  <c r="BH63" i="6"/>
  <c r="BG63" i="6"/>
  <c r="BF63" i="6"/>
  <c r="BE63" i="6"/>
  <c r="BD63" i="6"/>
  <c r="BC63" i="6"/>
  <c r="BA63" i="6"/>
  <c r="AZ63" i="6"/>
  <c r="AY63" i="6"/>
  <c r="AX63" i="6"/>
  <c r="AW63" i="6"/>
  <c r="AV63" i="6"/>
  <c r="AU63" i="6"/>
  <c r="AT63" i="6"/>
  <c r="AS63" i="6"/>
  <c r="AR63" i="6"/>
  <c r="AQ63" i="6"/>
  <c r="AO63" i="6"/>
  <c r="AN63" i="6"/>
  <c r="AM63" i="6"/>
  <c r="AL63" i="6"/>
  <c r="AK63" i="6"/>
  <c r="AJ63" i="6"/>
  <c r="AI63" i="6"/>
  <c r="AH63" i="6"/>
  <c r="AG63" i="6"/>
  <c r="AF63" i="6"/>
  <c r="AE63" i="6"/>
  <c r="AC63" i="6"/>
  <c r="AB63" i="6"/>
  <c r="AA63" i="6"/>
  <c r="Z63" i="6"/>
  <c r="Y63" i="6"/>
  <c r="X63" i="6"/>
  <c r="W63" i="6"/>
  <c r="V63" i="6"/>
  <c r="U63" i="6"/>
  <c r="T63" i="6"/>
  <c r="S63" i="6"/>
  <c r="Q63" i="6"/>
  <c r="EF63" i="6" s="1"/>
  <c r="P63" i="6"/>
  <c r="EE63" i="6" s="1"/>
  <c r="O63" i="6"/>
  <c r="ED63" i="6" s="1"/>
  <c r="N63" i="6"/>
  <c r="EC63" i="6" s="1"/>
  <c r="M63" i="6"/>
  <c r="EB63" i="6" s="1"/>
  <c r="L63" i="6"/>
  <c r="EA63" i="6" s="1"/>
  <c r="K63" i="6"/>
  <c r="DZ63" i="6" s="1"/>
  <c r="J63" i="6"/>
  <c r="DY63" i="6" s="1"/>
  <c r="I63" i="6"/>
  <c r="DX63" i="6" s="1"/>
  <c r="H63" i="6"/>
  <c r="DW63" i="6" s="1"/>
  <c r="G63" i="6"/>
  <c r="DV63" i="6" s="1"/>
  <c r="DU62" i="6"/>
  <c r="DT62" i="6"/>
  <c r="DS62" i="6"/>
  <c r="DR62" i="6"/>
  <c r="DQ62" i="6"/>
  <c r="DP62" i="6"/>
  <c r="DO62" i="6"/>
  <c r="DN62" i="6"/>
  <c r="DM62" i="6"/>
  <c r="DL62" i="6"/>
  <c r="DK62" i="6"/>
  <c r="DI62" i="6"/>
  <c r="DH62" i="6"/>
  <c r="DG62" i="6"/>
  <c r="DF62" i="6"/>
  <c r="DE62" i="6"/>
  <c r="DD62" i="6"/>
  <c r="DC62" i="6"/>
  <c r="DB62" i="6"/>
  <c r="DA62" i="6"/>
  <c r="CZ62" i="6"/>
  <c r="CY62" i="6"/>
  <c r="CW62" i="6"/>
  <c r="CV62" i="6"/>
  <c r="CU62" i="6"/>
  <c r="CT62" i="6"/>
  <c r="CS62" i="6"/>
  <c r="CR62" i="6"/>
  <c r="CQ62" i="6"/>
  <c r="CP62" i="6"/>
  <c r="CO62" i="6"/>
  <c r="CN62" i="6"/>
  <c r="CM62" i="6"/>
  <c r="CK62" i="6"/>
  <c r="CJ62" i="6"/>
  <c r="CI62" i="6"/>
  <c r="CH62" i="6"/>
  <c r="CG62" i="6"/>
  <c r="CF62" i="6"/>
  <c r="CE62" i="6"/>
  <c r="CD62" i="6"/>
  <c r="CC62" i="6"/>
  <c r="CB62" i="6"/>
  <c r="CA62" i="6"/>
  <c r="BY62" i="6"/>
  <c r="BX62" i="6"/>
  <c r="BW62" i="6"/>
  <c r="BV62" i="6"/>
  <c r="BU62" i="6"/>
  <c r="BT62" i="6"/>
  <c r="BS62" i="6"/>
  <c r="BR62" i="6"/>
  <c r="BQ62" i="6"/>
  <c r="BP62" i="6"/>
  <c r="BO62" i="6"/>
  <c r="BM62" i="6"/>
  <c r="BL62" i="6"/>
  <c r="BK62" i="6"/>
  <c r="BJ62" i="6"/>
  <c r="BI62" i="6"/>
  <c r="BH62" i="6"/>
  <c r="BG62" i="6"/>
  <c r="BF62" i="6"/>
  <c r="BE62" i="6"/>
  <c r="BD62" i="6"/>
  <c r="BC62" i="6"/>
  <c r="BA62" i="6"/>
  <c r="AZ62" i="6"/>
  <c r="AY62" i="6"/>
  <c r="AX62" i="6"/>
  <c r="AW62" i="6"/>
  <c r="AV62" i="6"/>
  <c r="AU62" i="6"/>
  <c r="AT62" i="6"/>
  <c r="AS62" i="6"/>
  <c r="AR62" i="6"/>
  <c r="AQ62" i="6"/>
  <c r="AO62" i="6"/>
  <c r="AN62" i="6"/>
  <c r="AM62" i="6"/>
  <c r="AL62" i="6"/>
  <c r="AK62" i="6"/>
  <c r="AJ62" i="6"/>
  <c r="AI62" i="6"/>
  <c r="AH62" i="6"/>
  <c r="AG62" i="6"/>
  <c r="AF62" i="6"/>
  <c r="AE62" i="6"/>
  <c r="AC62" i="6"/>
  <c r="AB62" i="6"/>
  <c r="AA62" i="6"/>
  <c r="Z62" i="6"/>
  <c r="Y62" i="6"/>
  <c r="X62" i="6"/>
  <c r="W62" i="6"/>
  <c r="V62" i="6"/>
  <c r="U62" i="6"/>
  <c r="T62" i="6"/>
  <c r="S62" i="6"/>
  <c r="Q62" i="6"/>
  <c r="EF62" i="6" s="1"/>
  <c r="P62" i="6"/>
  <c r="EE62" i="6" s="1"/>
  <c r="O62" i="6"/>
  <c r="ED62" i="6" s="1"/>
  <c r="N62" i="6"/>
  <c r="EC62" i="6" s="1"/>
  <c r="M62" i="6"/>
  <c r="EB62" i="6" s="1"/>
  <c r="L62" i="6"/>
  <c r="EA62" i="6" s="1"/>
  <c r="K62" i="6"/>
  <c r="DZ62" i="6" s="1"/>
  <c r="J62" i="6"/>
  <c r="DY62" i="6" s="1"/>
  <c r="I62" i="6"/>
  <c r="DX62" i="6" s="1"/>
  <c r="H62" i="6"/>
  <c r="DW62" i="6" s="1"/>
  <c r="G62" i="6"/>
  <c r="DV62" i="6" s="1"/>
  <c r="DU61" i="6"/>
  <c r="DT61" i="6"/>
  <c r="DS61" i="6"/>
  <c r="DR61" i="6"/>
  <c r="DQ61" i="6"/>
  <c r="DP61" i="6"/>
  <c r="DO61" i="6"/>
  <c r="DN61" i="6"/>
  <c r="DM61" i="6"/>
  <c r="DL61" i="6"/>
  <c r="DK61" i="6"/>
  <c r="DI61" i="6"/>
  <c r="DH61" i="6"/>
  <c r="DG61" i="6"/>
  <c r="DF61" i="6"/>
  <c r="DE61" i="6"/>
  <c r="DD61" i="6"/>
  <c r="DC61" i="6"/>
  <c r="DB61" i="6"/>
  <c r="DA61" i="6"/>
  <c r="CZ61" i="6"/>
  <c r="CY61" i="6"/>
  <c r="CW61" i="6"/>
  <c r="CV61" i="6"/>
  <c r="CU61" i="6"/>
  <c r="CT61" i="6"/>
  <c r="CS61" i="6"/>
  <c r="CR61" i="6"/>
  <c r="CQ61" i="6"/>
  <c r="CP61" i="6"/>
  <c r="CO61" i="6"/>
  <c r="CN61" i="6"/>
  <c r="CM61" i="6"/>
  <c r="CK61" i="6"/>
  <c r="CJ61" i="6"/>
  <c r="CI61" i="6"/>
  <c r="CH61" i="6"/>
  <c r="CG61" i="6"/>
  <c r="CF61" i="6"/>
  <c r="CE61" i="6"/>
  <c r="CD61" i="6"/>
  <c r="CC61" i="6"/>
  <c r="CB61" i="6"/>
  <c r="CA61" i="6"/>
  <c r="BY61" i="6"/>
  <c r="BX61" i="6"/>
  <c r="BW61" i="6"/>
  <c r="BV61" i="6"/>
  <c r="BU61" i="6"/>
  <c r="BT61" i="6"/>
  <c r="BS61" i="6"/>
  <c r="BR61" i="6"/>
  <c r="BQ61" i="6"/>
  <c r="BP61" i="6"/>
  <c r="BO61" i="6"/>
  <c r="BM61" i="6"/>
  <c r="BL61" i="6"/>
  <c r="BK61" i="6"/>
  <c r="BJ61" i="6"/>
  <c r="BI61" i="6"/>
  <c r="BH61" i="6"/>
  <c r="BG61" i="6"/>
  <c r="BF61" i="6"/>
  <c r="BE61" i="6"/>
  <c r="BD61" i="6"/>
  <c r="BC61" i="6"/>
  <c r="BA61" i="6"/>
  <c r="AZ61" i="6"/>
  <c r="AY61" i="6"/>
  <c r="AX61" i="6"/>
  <c r="AW61" i="6"/>
  <c r="AV61" i="6"/>
  <c r="AU61" i="6"/>
  <c r="AT61" i="6"/>
  <c r="AS61" i="6"/>
  <c r="AR61" i="6"/>
  <c r="AQ61" i="6"/>
  <c r="AO61" i="6"/>
  <c r="AN61" i="6"/>
  <c r="AM61" i="6"/>
  <c r="AL61" i="6"/>
  <c r="AK61" i="6"/>
  <c r="AJ61" i="6"/>
  <c r="AI61" i="6"/>
  <c r="AH61" i="6"/>
  <c r="AG61" i="6"/>
  <c r="AF61" i="6"/>
  <c r="AE61" i="6"/>
  <c r="AC61" i="6"/>
  <c r="AB61" i="6"/>
  <c r="AA61" i="6"/>
  <c r="Z61" i="6"/>
  <c r="Y61" i="6"/>
  <c r="X61" i="6"/>
  <c r="W61" i="6"/>
  <c r="V61" i="6"/>
  <c r="U61" i="6"/>
  <c r="T61" i="6"/>
  <c r="S61" i="6"/>
  <c r="Q61" i="6"/>
  <c r="EF61" i="6" s="1"/>
  <c r="P61" i="6"/>
  <c r="EE61" i="6" s="1"/>
  <c r="O61" i="6"/>
  <c r="ED61" i="6" s="1"/>
  <c r="N61" i="6"/>
  <c r="EC61" i="6" s="1"/>
  <c r="M61" i="6"/>
  <c r="EB61" i="6" s="1"/>
  <c r="L61" i="6"/>
  <c r="EA61" i="6" s="1"/>
  <c r="K61" i="6"/>
  <c r="DZ61" i="6" s="1"/>
  <c r="J61" i="6"/>
  <c r="DY61" i="6" s="1"/>
  <c r="I61" i="6"/>
  <c r="DX61" i="6" s="1"/>
  <c r="H61" i="6"/>
  <c r="DW61" i="6" s="1"/>
  <c r="G61" i="6"/>
  <c r="DV61" i="6" s="1"/>
  <c r="DU60" i="6"/>
  <c r="DT60" i="6"/>
  <c r="DS60" i="6"/>
  <c r="DR60" i="6"/>
  <c r="DQ60" i="6"/>
  <c r="DP60" i="6"/>
  <c r="DO60" i="6"/>
  <c r="DN60" i="6"/>
  <c r="DM60" i="6"/>
  <c r="DL60" i="6"/>
  <c r="DK60" i="6"/>
  <c r="DI60" i="6"/>
  <c r="DH60" i="6"/>
  <c r="DG60" i="6"/>
  <c r="DF60" i="6"/>
  <c r="DE60" i="6"/>
  <c r="DD60" i="6"/>
  <c r="DC60" i="6"/>
  <c r="DB60" i="6"/>
  <c r="DA60" i="6"/>
  <c r="CZ60" i="6"/>
  <c r="CY60" i="6"/>
  <c r="CW60" i="6"/>
  <c r="CV60" i="6"/>
  <c r="CU60" i="6"/>
  <c r="CT60" i="6"/>
  <c r="CS60" i="6"/>
  <c r="CR60" i="6"/>
  <c r="CQ60" i="6"/>
  <c r="CP60" i="6"/>
  <c r="CO60" i="6"/>
  <c r="CN60" i="6"/>
  <c r="CM60" i="6"/>
  <c r="CK60" i="6"/>
  <c r="CJ60" i="6"/>
  <c r="CI60" i="6"/>
  <c r="CH60" i="6"/>
  <c r="CG60" i="6"/>
  <c r="CF60" i="6"/>
  <c r="CE60" i="6"/>
  <c r="CD60" i="6"/>
  <c r="CC60" i="6"/>
  <c r="CB60" i="6"/>
  <c r="CA60" i="6"/>
  <c r="BY60" i="6"/>
  <c r="BX60" i="6"/>
  <c r="BW60" i="6"/>
  <c r="BV60" i="6"/>
  <c r="BU60" i="6"/>
  <c r="BT60" i="6"/>
  <c r="BS60" i="6"/>
  <c r="BR60" i="6"/>
  <c r="BQ60" i="6"/>
  <c r="BP60" i="6"/>
  <c r="BO60" i="6"/>
  <c r="BM60" i="6"/>
  <c r="BL60" i="6"/>
  <c r="BK60" i="6"/>
  <c r="BJ60" i="6"/>
  <c r="BI60" i="6"/>
  <c r="BH60" i="6"/>
  <c r="BG60" i="6"/>
  <c r="BF60" i="6"/>
  <c r="BE60" i="6"/>
  <c r="BD60" i="6"/>
  <c r="BC60" i="6"/>
  <c r="BA60" i="6"/>
  <c r="AZ60" i="6"/>
  <c r="AY60" i="6"/>
  <c r="AX60" i="6"/>
  <c r="AW60" i="6"/>
  <c r="AV60" i="6"/>
  <c r="AU60" i="6"/>
  <c r="AT60" i="6"/>
  <c r="AS60" i="6"/>
  <c r="AR60" i="6"/>
  <c r="AQ60" i="6"/>
  <c r="AO60" i="6"/>
  <c r="AN60" i="6"/>
  <c r="AM60" i="6"/>
  <c r="AL60" i="6"/>
  <c r="AK60" i="6"/>
  <c r="AJ60" i="6"/>
  <c r="AI60" i="6"/>
  <c r="AH60" i="6"/>
  <c r="AG60" i="6"/>
  <c r="AF60" i="6"/>
  <c r="AE60" i="6"/>
  <c r="AC60" i="6"/>
  <c r="AB60" i="6"/>
  <c r="AA60" i="6"/>
  <c r="Z60" i="6"/>
  <c r="Y60" i="6"/>
  <c r="X60" i="6"/>
  <c r="W60" i="6"/>
  <c r="V60" i="6"/>
  <c r="U60" i="6"/>
  <c r="T60" i="6"/>
  <c r="S60" i="6"/>
  <c r="Q60" i="6"/>
  <c r="EF60" i="6" s="1"/>
  <c r="P60" i="6"/>
  <c r="EE60" i="6" s="1"/>
  <c r="O60" i="6"/>
  <c r="ED60" i="6" s="1"/>
  <c r="N60" i="6"/>
  <c r="EC60" i="6" s="1"/>
  <c r="M60" i="6"/>
  <c r="EB60" i="6" s="1"/>
  <c r="L60" i="6"/>
  <c r="EA60" i="6" s="1"/>
  <c r="K60" i="6"/>
  <c r="DZ60" i="6" s="1"/>
  <c r="J60" i="6"/>
  <c r="DY60" i="6" s="1"/>
  <c r="I60" i="6"/>
  <c r="DX60" i="6" s="1"/>
  <c r="H60" i="6"/>
  <c r="DW60" i="6" s="1"/>
  <c r="G60" i="6"/>
  <c r="DV60" i="6" s="1"/>
  <c r="DU59" i="6"/>
  <c r="DT59" i="6"/>
  <c r="DS59" i="6"/>
  <c r="DR59" i="6"/>
  <c r="DQ59" i="6"/>
  <c r="DP59" i="6"/>
  <c r="DO59" i="6"/>
  <c r="DN59" i="6"/>
  <c r="DM59" i="6"/>
  <c r="DL59" i="6"/>
  <c r="DK59" i="6"/>
  <c r="DI59" i="6"/>
  <c r="DH59" i="6"/>
  <c r="DG59" i="6"/>
  <c r="DF59" i="6"/>
  <c r="DE59" i="6"/>
  <c r="DD59" i="6"/>
  <c r="DC59" i="6"/>
  <c r="DB59" i="6"/>
  <c r="DA59" i="6"/>
  <c r="CZ59" i="6"/>
  <c r="CY59" i="6"/>
  <c r="CW59" i="6"/>
  <c r="CV59" i="6"/>
  <c r="CU59" i="6"/>
  <c r="CT59" i="6"/>
  <c r="CS59" i="6"/>
  <c r="CR59" i="6"/>
  <c r="CQ59" i="6"/>
  <c r="CP59" i="6"/>
  <c r="CO59" i="6"/>
  <c r="CN59" i="6"/>
  <c r="CM59" i="6"/>
  <c r="CK59" i="6"/>
  <c r="CJ59" i="6"/>
  <c r="CI59" i="6"/>
  <c r="CH59" i="6"/>
  <c r="CG59" i="6"/>
  <c r="CF59" i="6"/>
  <c r="CE59" i="6"/>
  <c r="CD59" i="6"/>
  <c r="CC59" i="6"/>
  <c r="CB59" i="6"/>
  <c r="CA59" i="6"/>
  <c r="BY59" i="6"/>
  <c r="BX59" i="6"/>
  <c r="BW59" i="6"/>
  <c r="BV59" i="6"/>
  <c r="BU59" i="6"/>
  <c r="BT59" i="6"/>
  <c r="BS59" i="6"/>
  <c r="BR59" i="6"/>
  <c r="BQ59" i="6"/>
  <c r="BP59" i="6"/>
  <c r="BO59" i="6"/>
  <c r="BM59" i="6"/>
  <c r="BL59" i="6"/>
  <c r="BK59" i="6"/>
  <c r="BJ59" i="6"/>
  <c r="BI59" i="6"/>
  <c r="BH59" i="6"/>
  <c r="BG59" i="6"/>
  <c r="BF59" i="6"/>
  <c r="BE59" i="6"/>
  <c r="BD59" i="6"/>
  <c r="BC59" i="6"/>
  <c r="BA59" i="6"/>
  <c r="AZ59" i="6"/>
  <c r="AY59" i="6"/>
  <c r="AX59" i="6"/>
  <c r="AW59" i="6"/>
  <c r="AV59" i="6"/>
  <c r="AU59" i="6"/>
  <c r="AT59" i="6"/>
  <c r="AS59" i="6"/>
  <c r="AR59" i="6"/>
  <c r="AQ59" i="6"/>
  <c r="AO59" i="6"/>
  <c r="AN59" i="6"/>
  <c r="AM59" i="6"/>
  <c r="AL59" i="6"/>
  <c r="AK59" i="6"/>
  <c r="AJ59" i="6"/>
  <c r="AI59" i="6"/>
  <c r="AH59" i="6"/>
  <c r="AG59" i="6"/>
  <c r="AF59" i="6"/>
  <c r="AE59" i="6"/>
  <c r="AC59" i="6"/>
  <c r="AB59" i="6"/>
  <c r="AA59" i="6"/>
  <c r="Z59" i="6"/>
  <c r="Y59" i="6"/>
  <c r="X59" i="6"/>
  <c r="W59" i="6"/>
  <c r="V59" i="6"/>
  <c r="U59" i="6"/>
  <c r="T59" i="6"/>
  <c r="S59" i="6"/>
  <c r="Q59" i="6"/>
  <c r="EF59" i="6" s="1"/>
  <c r="P59" i="6"/>
  <c r="EE59" i="6" s="1"/>
  <c r="O59" i="6"/>
  <c r="ED59" i="6" s="1"/>
  <c r="N59" i="6"/>
  <c r="EC59" i="6" s="1"/>
  <c r="M59" i="6"/>
  <c r="EB59" i="6" s="1"/>
  <c r="L59" i="6"/>
  <c r="EA59" i="6" s="1"/>
  <c r="K59" i="6"/>
  <c r="DZ59" i="6" s="1"/>
  <c r="J59" i="6"/>
  <c r="DY59" i="6" s="1"/>
  <c r="I59" i="6"/>
  <c r="DX59" i="6" s="1"/>
  <c r="H59" i="6"/>
  <c r="DW59" i="6" s="1"/>
  <c r="G59" i="6"/>
  <c r="DV59" i="6" s="1"/>
  <c r="DU58" i="6"/>
  <c r="DT58" i="6"/>
  <c r="DS58" i="6"/>
  <c r="DR58" i="6"/>
  <c r="DQ58" i="6"/>
  <c r="DP58" i="6"/>
  <c r="DO58" i="6"/>
  <c r="DN58" i="6"/>
  <c r="DM58" i="6"/>
  <c r="DL58" i="6"/>
  <c r="DK58" i="6"/>
  <c r="DI58" i="6"/>
  <c r="DH58" i="6"/>
  <c r="DG58" i="6"/>
  <c r="DF58" i="6"/>
  <c r="DE58" i="6"/>
  <c r="DD58" i="6"/>
  <c r="DC58" i="6"/>
  <c r="DB58" i="6"/>
  <c r="DA58" i="6"/>
  <c r="CZ58" i="6"/>
  <c r="CY58" i="6"/>
  <c r="CW58" i="6"/>
  <c r="CV58" i="6"/>
  <c r="CU58" i="6"/>
  <c r="CT58" i="6"/>
  <c r="CS58" i="6"/>
  <c r="CR58" i="6"/>
  <c r="CQ58" i="6"/>
  <c r="CP58" i="6"/>
  <c r="CO58" i="6"/>
  <c r="CN58" i="6"/>
  <c r="CM58" i="6"/>
  <c r="CK58" i="6"/>
  <c r="CJ58" i="6"/>
  <c r="CI58" i="6"/>
  <c r="CH58" i="6"/>
  <c r="CG58" i="6"/>
  <c r="CF58" i="6"/>
  <c r="CE58" i="6"/>
  <c r="CD58" i="6"/>
  <c r="CC58" i="6"/>
  <c r="CB58" i="6"/>
  <c r="CA58" i="6"/>
  <c r="BY58" i="6"/>
  <c r="BX58" i="6"/>
  <c r="BW58" i="6"/>
  <c r="BV58" i="6"/>
  <c r="BU58" i="6"/>
  <c r="BT58" i="6"/>
  <c r="BS58" i="6"/>
  <c r="BR58" i="6"/>
  <c r="BQ58" i="6"/>
  <c r="BP58" i="6"/>
  <c r="BO58" i="6"/>
  <c r="BM58" i="6"/>
  <c r="BL58" i="6"/>
  <c r="BK58" i="6"/>
  <c r="BJ58" i="6"/>
  <c r="BI58" i="6"/>
  <c r="BH58" i="6"/>
  <c r="BG58" i="6"/>
  <c r="BF58" i="6"/>
  <c r="BE58" i="6"/>
  <c r="BD58" i="6"/>
  <c r="BC58" i="6"/>
  <c r="BA58" i="6"/>
  <c r="AZ58" i="6"/>
  <c r="AY58" i="6"/>
  <c r="AX58" i="6"/>
  <c r="AW58" i="6"/>
  <c r="AV58" i="6"/>
  <c r="AU58" i="6"/>
  <c r="AT58" i="6"/>
  <c r="AS58" i="6"/>
  <c r="AR58" i="6"/>
  <c r="AQ58" i="6"/>
  <c r="AO58" i="6"/>
  <c r="AN58" i="6"/>
  <c r="AM58" i="6"/>
  <c r="AL58" i="6"/>
  <c r="AK58" i="6"/>
  <c r="AJ58" i="6"/>
  <c r="AI58" i="6"/>
  <c r="AH58" i="6"/>
  <c r="AG58" i="6"/>
  <c r="AF58" i="6"/>
  <c r="AE58" i="6"/>
  <c r="AC58" i="6"/>
  <c r="AB58" i="6"/>
  <c r="AA58" i="6"/>
  <c r="Z58" i="6"/>
  <c r="Y58" i="6"/>
  <c r="X58" i="6"/>
  <c r="W58" i="6"/>
  <c r="V58" i="6"/>
  <c r="U58" i="6"/>
  <c r="T58" i="6"/>
  <c r="S58" i="6"/>
  <c r="Q58" i="6"/>
  <c r="EF58" i="6" s="1"/>
  <c r="P58" i="6"/>
  <c r="EE58" i="6" s="1"/>
  <c r="O58" i="6"/>
  <c r="ED58" i="6" s="1"/>
  <c r="N58" i="6"/>
  <c r="EC58" i="6" s="1"/>
  <c r="M58" i="6"/>
  <c r="EB58" i="6" s="1"/>
  <c r="L58" i="6"/>
  <c r="EA58" i="6" s="1"/>
  <c r="K58" i="6"/>
  <c r="DZ58" i="6" s="1"/>
  <c r="J58" i="6"/>
  <c r="DY58" i="6" s="1"/>
  <c r="I58" i="6"/>
  <c r="DX58" i="6" s="1"/>
  <c r="H58" i="6"/>
  <c r="DW58" i="6" s="1"/>
  <c r="G58" i="6"/>
  <c r="DV58" i="6" s="1"/>
  <c r="DU57" i="6"/>
  <c r="DT57" i="6"/>
  <c r="DS57" i="6"/>
  <c r="DR57" i="6"/>
  <c r="DQ57" i="6"/>
  <c r="DP57" i="6"/>
  <c r="DO57" i="6"/>
  <c r="DN57" i="6"/>
  <c r="DM57" i="6"/>
  <c r="DL57" i="6"/>
  <c r="DK57" i="6"/>
  <c r="DI57" i="6"/>
  <c r="DH57" i="6"/>
  <c r="DG57" i="6"/>
  <c r="DF57" i="6"/>
  <c r="DE57" i="6"/>
  <c r="DD57" i="6"/>
  <c r="DC57" i="6"/>
  <c r="DB57" i="6"/>
  <c r="DA57" i="6"/>
  <c r="CZ57" i="6"/>
  <c r="CY57" i="6"/>
  <c r="CW57" i="6"/>
  <c r="CV57" i="6"/>
  <c r="CU57" i="6"/>
  <c r="CT57" i="6"/>
  <c r="CS57" i="6"/>
  <c r="CR57" i="6"/>
  <c r="CQ57" i="6"/>
  <c r="CP57" i="6"/>
  <c r="CO57" i="6"/>
  <c r="CN57" i="6"/>
  <c r="CM57" i="6"/>
  <c r="CK57" i="6"/>
  <c r="CJ57" i="6"/>
  <c r="CI57" i="6"/>
  <c r="CH57" i="6"/>
  <c r="CG57" i="6"/>
  <c r="CF57" i="6"/>
  <c r="CE57" i="6"/>
  <c r="CD57" i="6"/>
  <c r="CC57" i="6"/>
  <c r="CB57" i="6"/>
  <c r="CA57" i="6"/>
  <c r="BY57" i="6"/>
  <c r="BX57" i="6"/>
  <c r="BW57" i="6"/>
  <c r="BV57" i="6"/>
  <c r="BU57" i="6"/>
  <c r="BT57" i="6"/>
  <c r="BS57" i="6"/>
  <c r="BR57" i="6"/>
  <c r="BQ57" i="6"/>
  <c r="BP57" i="6"/>
  <c r="BO57" i="6"/>
  <c r="BM57" i="6"/>
  <c r="BL57" i="6"/>
  <c r="BK57" i="6"/>
  <c r="BJ57" i="6"/>
  <c r="BI57" i="6"/>
  <c r="BH57" i="6"/>
  <c r="BG57" i="6"/>
  <c r="BF57" i="6"/>
  <c r="BE57" i="6"/>
  <c r="BD57" i="6"/>
  <c r="BC57" i="6"/>
  <c r="BA57" i="6"/>
  <c r="AZ57" i="6"/>
  <c r="AY57" i="6"/>
  <c r="AX57" i="6"/>
  <c r="AW57" i="6"/>
  <c r="AV57" i="6"/>
  <c r="AU57" i="6"/>
  <c r="AT57" i="6"/>
  <c r="AS57" i="6"/>
  <c r="AR57" i="6"/>
  <c r="AQ57" i="6"/>
  <c r="AO57" i="6"/>
  <c r="AN57" i="6"/>
  <c r="AM57" i="6"/>
  <c r="AL57" i="6"/>
  <c r="AK57" i="6"/>
  <c r="AJ57" i="6"/>
  <c r="AI57" i="6"/>
  <c r="AH57" i="6"/>
  <c r="AG57" i="6"/>
  <c r="AF57" i="6"/>
  <c r="AE57" i="6"/>
  <c r="AC57" i="6"/>
  <c r="AB57" i="6"/>
  <c r="AA57" i="6"/>
  <c r="Z57" i="6"/>
  <c r="Y57" i="6"/>
  <c r="X57" i="6"/>
  <c r="W57" i="6"/>
  <c r="V57" i="6"/>
  <c r="U57" i="6"/>
  <c r="T57" i="6"/>
  <c r="S57" i="6"/>
  <c r="Q57" i="6"/>
  <c r="EF57" i="6" s="1"/>
  <c r="P57" i="6"/>
  <c r="EE57" i="6" s="1"/>
  <c r="O57" i="6"/>
  <c r="ED57" i="6" s="1"/>
  <c r="N57" i="6"/>
  <c r="EC57" i="6" s="1"/>
  <c r="M57" i="6"/>
  <c r="EB57" i="6" s="1"/>
  <c r="L57" i="6"/>
  <c r="EA57" i="6" s="1"/>
  <c r="K57" i="6"/>
  <c r="DZ57" i="6" s="1"/>
  <c r="J57" i="6"/>
  <c r="DY57" i="6" s="1"/>
  <c r="I57" i="6"/>
  <c r="DX57" i="6" s="1"/>
  <c r="H57" i="6"/>
  <c r="DW57" i="6" s="1"/>
  <c r="G57" i="6"/>
  <c r="DV57" i="6" s="1"/>
  <c r="DU56" i="6"/>
  <c r="DT56" i="6"/>
  <c r="DS56" i="6"/>
  <c r="DR56" i="6"/>
  <c r="DQ56" i="6"/>
  <c r="DP56" i="6"/>
  <c r="DO56" i="6"/>
  <c r="DN56" i="6"/>
  <c r="DM56" i="6"/>
  <c r="DL56" i="6"/>
  <c r="DK56" i="6"/>
  <c r="DI56" i="6"/>
  <c r="DH56" i="6"/>
  <c r="DG56" i="6"/>
  <c r="DF56" i="6"/>
  <c r="DE56" i="6"/>
  <c r="DD56" i="6"/>
  <c r="DC56" i="6"/>
  <c r="DB56" i="6"/>
  <c r="DA56" i="6"/>
  <c r="CZ56" i="6"/>
  <c r="CY56" i="6"/>
  <c r="CW56" i="6"/>
  <c r="CV56" i="6"/>
  <c r="CU56" i="6"/>
  <c r="CT56" i="6"/>
  <c r="CS56" i="6"/>
  <c r="CR56" i="6"/>
  <c r="CQ56" i="6"/>
  <c r="CP56" i="6"/>
  <c r="CO56" i="6"/>
  <c r="CN56" i="6"/>
  <c r="CM56" i="6"/>
  <c r="CK56" i="6"/>
  <c r="CJ56" i="6"/>
  <c r="CI56" i="6"/>
  <c r="CH56" i="6"/>
  <c r="CG56" i="6"/>
  <c r="CF56" i="6"/>
  <c r="CE56" i="6"/>
  <c r="CD56" i="6"/>
  <c r="CC56" i="6"/>
  <c r="CB56" i="6"/>
  <c r="CA56" i="6"/>
  <c r="BY56" i="6"/>
  <c r="BX56" i="6"/>
  <c r="BW56" i="6"/>
  <c r="BV56" i="6"/>
  <c r="BU56" i="6"/>
  <c r="BT56" i="6"/>
  <c r="BS56" i="6"/>
  <c r="BR56" i="6"/>
  <c r="BQ56" i="6"/>
  <c r="BP56" i="6"/>
  <c r="BO56" i="6"/>
  <c r="BM56" i="6"/>
  <c r="BL56" i="6"/>
  <c r="BK56" i="6"/>
  <c r="BJ56" i="6"/>
  <c r="BI56" i="6"/>
  <c r="BH56" i="6"/>
  <c r="BG56" i="6"/>
  <c r="BF56" i="6"/>
  <c r="BE56" i="6"/>
  <c r="BD56" i="6"/>
  <c r="BC56" i="6"/>
  <c r="BA56" i="6"/>
  <c r="AZ56" i="6"/>
  <c r="AY56" i="6"/>
  <c r="AX56" i="6"/>
  <c r="AW56" i="6"/>
  <c r="AV56" i="6"/>
  <c r="AU56" i="6"/>
  <c r="AT56" i="6"/>
  <c r="AS56" i="6"/>
  <c r="AR56" i="6"/>
  <c r="AQ56" i="6"/>
  <c r="AO56" i="6"/>
  <c r="AN56" i="6"/>
  <c r="AM56" i="6"/>
  <c r="AL56" i="6"/>
  <c r="AK56" i="6"/>
  <c r="AJ56" i="6"/>
  <c r="AI56" i="6"/>
  <c r="AH56" i="6"/>
  <c r="AG56" i="6"/>
  <c r="AF56" i="6"/>
  <c r="AE56" i="6"/>
  <c r="AC56" i="6"/>
  <c r="AB56" i="6"/>
  <c r="AA56" i="6"/>
  <c r="Z56" i="6"/>
  <c r="Y56" i="6"/>
  <c r="X56" i="6"/>
  <c r="W56" i="6"/>
  <c r="V56" i="6"/>
  <c r="U56" i="6"/>
  <c r="T56" i="6"/>
  <c r="S56" i="6"/>
  <c r="Q56" i="6"/>
  <c r="EF56" i="6" s="1"/>
  <c r="P56" i="6"/>
  <c r="EE56" i="6" s="1"/>
  <c r="O56" i="6"/>
  <c r="ED56" i="6" s="1"/>
  <c r="N56" i="6"/>
  <c r="EC56" i="6" s="1"/>
  <c r="M56" i="6"/>
  <c r="EB56" i="6" s="1"/>
  <c r="L56" i="6"/>
  <c r="EA56" i="6" s="1"/>
  <c r="K56" i="6"/>
  <c r="DZ56" i="6" s="1"/>
  <c r="J56" i="6"/>
  <c r="DY56" i="6" s="1"/>
  <c r="I56" i="6"/>
  <c r="DX56" i="6" s="1"/>
  <c r="H56" i="6"/>
  <c r="DW56" i="6" s="1"/>
  <c r="G56" i="6"/>
  <c r="DV56" i="6" s="1"/>
  <c r="DU55" i="6"/>
  <c r="DT55" i="6"/>
  <c r="DS55" i="6"/>
  <c r="DR55" i="6"/>
  <c r="DQ55" i="6"/>
  <c r="DP55" i="6"/>
  <c r="DO55" i="6"/>
  <c r="DN55" i="6"/>
  <c r="DM55" i="6"/>
  <c r="DL55" i="6"/>
  <c r="DK55" i="6"/>
  <c r="DI55" i="6"/>
  <c r="DH55" i="6"/>
  <c r="DG55" i="6"/>
  <c r="DF55" i="6"/>
  <c r="DE55" i="6"/>
  <c r="DD55" i="6"/>
  <c r="DC55" i="6"/>
  <c r="DB55" i="6"/>
  <c r="DA55" i="6"/>
  <c r="CZ55" i="6"/>
  <c r="CY55" i="6"/>
  <c r="CW55" i="6"/>
  <c r="CV55" i="6"/>
  <c r="CU55" i="6"/>
  <c r="CT55" i="6"/>
  <c r="CS55" i="6"/>
  <c r="CR55" i="6"/>
  <c r="CQ55" i="6"/>
  <c r="CP55" i="6"/>
  <c r="CO55" i="6"/>
  <c r="CN55" i="6"/>
  <c r="CM55" i="6"/>
  <c r="CK55" i="6"/>
  <c r="CJ55" i="6"/>
  <c r="CI55" i="6"/>
  <c r="CH55" i="6"/>
  <c r="CG55" i="6"/>
  <c r="CF55" i="6"/>
  <c r="CE55" i="6"/>
  <c r="CD55" i="6"/>
  <c r="CC55" i="6"/>
  <c r="CB55" i="6"/>
  <c r="CA55" i="6"/>
  <c r="BY55" i="6"/>
  <c r="BX55" i="6"/>
  <c r="BW55" i="6"/>
  <c r="BV55" i="6"/>
  <c r="BU55" i="6"/>
  <c r="BT55" i="6"/>
  <c r="BS55" i="6"/>
  <c r="BR55" i="6"/>
  <c r="BQ55" i="6"/>
  <c r="BP55" i="6"/>
  <c r="BO55" i="6"/>
  <c r="BM55" i="6"/>
  <c r="BL55" i="6"/>
  <c r="BK55" i="6"/>
  <c r="BJ55" i="6"/>
  <c r="BI55" i="6"/>
  <c r="BH55" i="6"/>
  <c r="BG55" i="6"/>
  <c r="BF55" i="6"/>
  <c r="BE55" i="6"/>
  <c r="BD55" i="6"/>
  <c r="BC55" i="6"/>
  <c r="BA55" i="6"/>
  <c r="AZ55" i="6"/>
  <c r="AY55" i="6"/>
  <c r="AX55" i="6"/>
  <c r="AW55" i="6"/>
  <c r="AV55" i="6"/>
  <c r="AU55" i="6"/>
  <c r="AT55" i="6"/>
  <c r="AS55" i="6"/>
  <c r="AR55" i="6"/>
  <c r="AQ55" i="6"/>
  <c r="AO55" i="6"/>
  <c r="AN55" i="6"/>
  <c r="AM55" i="6"/>
  <c r="AL55" i="6"/>
  <c r="AK55" i="6"/>
  <c r="AJ55" i="6"/>
  <c r="AI55" i="6"/>
  <c r="AH55" i="6"/>
  <c r="AG55" i="6"/>
  <c r="AF55" i="6"/>
  <c r="AE55" i="6"/>
  <c r="AC55" i="6"/>
  <c r="AB55" i="6"/>
  <c r="AA55" i="6"/>
  <c r="Z55" i="6"/>
  <c r="Y55" i="6"/>
  <c r="X55" i="6"/>
  <c r="W55" i="6"/>
  <c r="V55" i="6"/>
  <c r="U55" i="6"/>
  <c r="T55" i="6"/>
  <c r="S55" i="6"/>
  <c r="Q55" i="6"/>
  <c r="EF55" i="6" s="1"/>
  <c r="P55" i="6"/>
  <c r="EE55" i="6" s="1"/>
  <c r="O55" i="6"/>
  <c r="ED55" i="6" s="1"/>
  <c r="N55" i="6"/>
  <c r="EC55" i="6" s="1"/>
  <c r="M55" i="6"/>
  <c r="EB55" i="6" s="1"/>
  <c r="L55" i="6"/>
  <c r="EA55" i="6" s="1"/>
  <c r="K55" i="6"/>
  <c r="DZ55" i="6" s="1"/>
  <c r="J55" i="6"/>
  <c r="DY55" i="6" s="1"/>
  <c r="I55" i="6"/>
  <c r="DX55" i="6" s="1"/>
  <c r="H55" i="6"/>
  <c r="DW55" i="6" s="1"/>
  <c r="G55" i="6"/>
  <c r="DV55" i="6" s="1"/>
  <c r="DU54" i="6"/>
  <c r="DT54" i="6"/>
  <c r="DS54" i="6"/>
  <c r="DR54" i="6"/>
  <c r="DQ54" i="6"/>
  <c r="DP54" i="6"/>
  <c r="DO54" i="6"/>
  <c r="DN54" i="6"/>
  <c r="DM54" i="6"/>
  <c r="DL54" i="6"/>
  <c r="DK54" i="6"/>
  <c r="DI54" i="6"/>
  <c r="DH54" i="6"/>
  <c r="DG54" i="6"/>
  <c r="DF54" i="6"/>
  <c r="DE54" i="6"/>
  <c r="DD54" i="6"/>
  <c r="DC54" i="6"/>
  <c r="DB54" i="6"/>
  <c r="DA54" i="6"/>
  <c r="CZ54" i="6"/>
  <c r="CY54" i="6"/>
  <c r="CW54" i="6"/>
  <c r="CV54" i="6"/>
  <c r="CU54" i="6"/>
  <c r="CT54" i="6"/>
  <c r="CS54" i="6"/>
  <c r="CR54" i="6"/>
  <c r="CQ54" i="6"/>
  <c r="CP54" i="6"/>
  <c r="CO54" i="6"/>
  <c r="CN54" i="6"/>
  <c r="CM54" i="6"/>
  <c r="CK54" i="6"/>
  <c r="CJ54" i="6"/>
  <c r="CI54" i="6"/>
  <c r="CH54" i="6"/>
  <c r="CG54" i="6"/>
  <c r="CF54" i="6"/>
  <c r="CE54" i="6"/>
  <c r="CD54" i="6"/>
  <c r="CC54" i="6"/>
  <c r="CB54" i="6"/>
  <c r="CA54" i="6"/>
  <c r="BY54" i="6"/>
  <c r="BX54" i="6"/>
  <c r="BW54" i="6"/>
  <c r="BV54" i="6"/>
  <c r="BU54" i="6"/>
  <c r="BT54" i="6"/>
  <c r="BS54" i="6"/>
  <c r="BR54" i="6"/>
  <c r="BQ54" i="6"/>
  <c r="BP54" i="6"/>
  <c r="BO54" i="6"/>
  <c r="BM54" i="6"/>
  <c r="BL54" i="6"/>
  <c r="BK54" i="6"/>
  <c r="BJ54" i="6"/>
  <c r="BI54" i="6"/>
  <c r="BH54" i="6"/>
  <c r="BG54" i="6"/>
  <c r="BF54" i="6"/>
  <c r="BE54" i="6"/>
  <c r="BD54" i="6"/>
  <c r="BC54" i="6"/>
  <c r="BA54" i="6"/>
  <c r="AZ54" i="6"/>
  <c r="AY54" i="6"/>
  <c r="AX54" i="6"/>
  <c r="AW54" i="6"/>
  <c r="AV54" i="6"/>
  <c r="AU54" i="6"/>
  <c r="AT54" i="6"/>
  <c r="AS54" i="6"/>
  <c r="AR54" i="6"/>
  <c r="AQ54" i="6"/>
  <c r="AO54" i="6"/>
  <c r="AN54" i="6"/>
  <c r="AM54" i="6"/>
  <c r="AL54" i="6"/>
  <c r="AK54" i="6"/>
  <c r="AJ54" i="6"/>
  <c r="AI54" i="6"/>
  <c r="AH54" i="6"/>
  <c r="AG54" i="6"/>
  <c r="AF54" i="6"/>
  <c r="AE54" i="6"/>
  <c r="AC54" i="6"/>
  <c r="AB54" i="6"/>
  <c r="AA54" i="6"/>
  <c r="Z54" i="6"/>
  <c r="Y54" i="6"/>
  <c r="X54" i="6"/>
  <c r="W54" i="6"/>
  <c r="V54" i="6"/>
  <c r="U54" i="6"/>
  <c r="T54" i="6"/>
  <c r="S54" i="6"/>
  <c r="Q54" i="6"/>
  <c r="EF54" i="6" s="1"/>
  <c r="P54" i="6"/>
  <c r="EE54" i="6" s="1"/>
  <c r="O54" i="6"/>
  <c r="ED54" i="6" s="1"/>
  <c r="N54" i="6"/>
  <c r="EC54" i="6" s="1"/>
  <c r="M54" i="6"/>
  <c r="EB54" i="6" s="1"/>
  <c r="L54" i="6"/>
  <c r="EA54" i="6" s="1"/>
  <c r="K54" i="6"/>
  <c r="DZ54" i="6" s="1"/>
  <c r="J54" i="6"/>
  <c r="DY54" i="6" s="1"/>
  <c r="I54" i="6"/>
  <c r="DX54" i="6" s="1"/>
  <c r="H54" i="6"/>
  <c r="DW54" i="6" s="1"/>
  <c r="G54" i="6"/>
  <c r="DV54" i="6" s="1"/>
  <c r="DU53" i="6"/>
  <c r="DT53" i="6"/>
  <c r="DS53" i="6"/>
  <c r="DR53" i="6"/>
  <c r="DQ53" i="6"/>
  <c r="DP53" i="6"/>
  <c r="DO53" i="6"/>
  <c r="DN53" i="6"/>
  <c r="DM53" i="6"/>
  <c r="DL53" i="6"/>
  <c r="DK53" i="6"/>
  <c r="DI53" i="6"/>
  <c r="DH53" i="6"/>
  <c r="DG53" i="6"/>
  <c r="DF53" i="6"/>
  <c r="DE53" i="6"/>
  <c r="DD53" i="6"/>
  <c r="DC53" i="6"/>
  <c r="DB53" i="6"/>
  <c r="DA53" i="6"/>
  <c r="CZ53" i="6"/>
  <c r="CY53" i="6"/>
  <c r="CW53" i="6"/>
  <c r="CV53" i="6"/>
  <c r="CU53" i="6"/>
  <c r="CT53" i="6"/>
  <c r="CS53" i="6"/>
  <c r="CR53" i="6"/>
  <c r="CQ53" i="6"/>
  <c r="CP53" i="6"/>
  <c r="CO53" i="6"/>
  <c r="CN53" i="6"/>
  <c r="CM53" i="6"/>
  <c r="CK53" i="6"/>
  <c r="CJ53" i="6"/>
  <c r="CI53" i="6"/>
  <c r="CH53" i="6"/>
  <c r="CG53" i="6"/>
  <c r="CF53" i="6"/>
  <c r="CE53" i="6"/>
  <c r="CD53" i="6"/>
  <c r="CC53" i="6"/>
  <c r="CB53" i="6"/>
  <c r="CA53" i="6"/>
  <c r="BY53" i="6"/>
  <c r="BX53" i="6"/>
  <c r="BW53" i="6"/>
  <c r="BV53" i="6"/>
  <c r="BU53" i="6"/>
  <c r="BT53" i="6"/>
  <c r="BS53" i="6"/>
  <c r="BR53" i="6"/>
  <c r="BQ53" i="6"/>
  <c r="BP53" i="6"/>
  <c r="BO53" i="6"/>
  <c r="BM53" i="6"/>
  <c r="BL53" i="6"/>
  <c r="BK53" i="6"/>
  <c r="BJ53" i="6"/>
  <c r="BI53" i="6"/>
  <c r="BH53" i="6"/>
  <c r="BG53" i="6"/>
  <c r="BF53" i="6"/>
  <c r="BE53" i="6"/>
  <c r="BD53" i="6"/>
  <c r="BC53" i="6"/>
  <c r="BA53" i="6"/>
  <c r="AZ53" i="6"/>
  <c r="AY53" i="6"/>
  <c r="AX53" i="6"/>
  <c r="AW53" i="6"/>
  <c r="AV53" i="6"/>
  <c r="AU53" i="6"/>
  <c r="AT53" i="6"/>
  <c r="AS53" i="6"/>
  <c r="AR53" i="6"/>
  <c r="AQ53" i="6"/>
  <c r="AO53" i="6"/>
  <c r="AN53" i="6"/>
  <c r="AM53" i="6"/>
  <c r="AL53" i="6"/>
  <c r="AK53" i="6"/>
  <c r="AJ53" i="6"/>
  <c r="AI53" i="6"/>
  <c r="AH53" i="6"/>
  <c r="AG53" i="6"/>
  <c r="AF53" i="6"/>
  <c r="AE53" i="6"/>
  <c r="AC53" i="6"/>
  <c r="AB53" i="6"/>
  <c r="AA53" i="6"/>
  <c r="Z53" i="6"/>
  <c r="Y53" i="6"/>
  <c r="X53" i="6"/>
  <c r="W53" i="6"/>
  <c r="V53" i="6"/>
  <c r="U53" i="6"/>
  <c r="T53" i="6"/>
  <c r="S53" i="6"/>
  <c r="Q53" i="6"/>
  <c r="EF53" i="6" s="1"/>
  <c r="P53" i="6"/>
  <c r="EE53" i="6" s="1"/>
  <c r="O53" i="6"/>
  <c r="ED53" i="6" s="1"/>
  <c r="N53" i="6"/>
  <c r="EC53" i="6" s="1"/>
  <c r="M53" i="6"/>
  <c r="EB53" i="6" s="1"/>
  <c r="L53" i="6"/>
  <c r="EA53" i="6" s="1"/>
  <c r="K53" i="6"/>
  <c r="DZ53" i="6" s="1"/>
  <c r="J53" i="6"/>
  <c r="DY53" i="6" s="1"/>
  <c r="I53" i="6"/>
  <c r="DX53" i="6" s="1"/>
  <c r="H53" i="6"/>
  <c r="DW53" i="6" s="1"/>
  <c r="G53" i="6"/>
  <c r="DV53" i="6" s="1"/>
  <c r="DU52" i="6"/>
  <c r="DT52" i="6"/>
  <c r="DS52" i="6"/>
  <c r="DR52" i="6"/>
  <c r="DQ52" i="6"/>
  <c r="DP52" i="6"/>
  <c r="DO52" i="6"/>
  <c r="DN52" i="6"/>
  <c r="DM52" i="6"/>
  <c r="DL52" i="6"/>
  <c r="DK52" i="6"/>
  <c r="DI52" i="6"/>
  <c r="DH52" i="6"/>
  <c r="DG52" i="6"/>
  <c r="DF52" i="6"/>
  <c r="DE52" i="6"/>
  <c r="DD52" i="6"/>
  <c r="DC52" i="6"/>
  <c r="DB52" i="6"/>
  <c r="DA52" i="6"/>
  <c r="CZ52" i="6"/>
  <c r="CY52" i="6"/>
  <c r="CW52" i="6"/>
  <c r="CV52" i="6"/>
  <c r="CU52" i="6"/>
  <c r="CT52" i="6"/>
  <c r="CS52" i="6"/>
  <c r="CR52" i="6"/>
  <c r="CQ52" i="6"/>
  <c r="CP52" i="6"/>
  <c r="CO52" i="6"/>
  <c r="CN52" i="6"/>
  <c r="CM52" i="6"/>
  <c r="CK52" i="6"/>
  <c r="CJ52" i="6"/>
  <c r="CI52" i="6"/>
  <c r="CH52" i="6"/>
  <c r="CG52" i="6"/>
  <c r="CF52" i="6"/>
  <c r="CE52" i="6"/>
  <c r="CD52" i="6"/>
  <c r="CC52" i="6"/>
  <c r="CB52" i="6"/>
  <c r="CA52" i="6"/>
  <c r="BY52" i="6"/>
  <c r="BX52" i="6"/>
  <c r="BW52" i="6"/>
  <c r="BV52" i="6"/>
  <c r="BU52" i="6"/>
  <c r="BT52" i="6"/>
  <c r="BS52" i="6"/>
  <c r="BR52" i="6"/>
  <c r="BQ52" i="6"/>
  <c r="BP52" i="6"/>
  <c r="BO52" i="6"/>
  <c r="BM52" i="6"/>
  <c r="BL52" i="6"/>
  <c r="BK52" i="6"/>
  <c r="BJ52" i="6"/>
  <c r="BI52" i="6"/>
  <c r="BH52" i="6"/>
  <c r="BG52" i="6"/>
  <c r="BF52" i="6"/>
  <c r="BE52" i="6"/>
  <c r="BD52" i="6"/>
  <c r="BC52" i="6"/>
  <c r="BA52" i="6"/>
  <c r="AZ52" i="6"/>
  <c r="AY52" i="6"/>
  <c r="AX52" i="6"/>
  <c r="AW52" i="6"/>
  <c r="AV52" i="6"/>
  <c r="AU52" i="6"/>
  <c r="AT52" i="6"/>
  <c r="AS52" i="6"/>
  <c r="AR52" i="6"/>
  <c r="AQ52" i="6"/>
  <c r="AO52" i="6"/>
  <c r="AN52" i="6"/>
  <c r="AM52" i="6"/>
  <c r="AL52" i="6"/>
  <c r="AK52" i="6"/>
  <c r="AJ52" i="6"/>
  <c r="AI52" i="6"/>
  <c r="AH52" i="6"/>
  <c r="AG52" i="6"/>
  <c r="AF52" i="6"/>
  <c r="AE52" i="6"/>
  <c r="AC52" i="6"/>
  <c r="AB52" i="6"/>
  <c r="AA52" i="6"/>
  <c r="Z52" i="6"/>
  <c r="Y52" i="6"/>
  <c r="X52" i="6"/>
  <c r="W52" i="6"/>
  <c r="V52" i="6"/>
  <c r="U52" i="6"/>
  <c r="T52" i="6"/>
  <c r="S52" i="6"/>
  <c r="Q52" i="6"/>
  <c r="EF52" i="6" s="1"/>
  <c r="P52" i="6"/>
  <c r="EE52" i="6" s="1"/>
  <c r="O52" i="6"/>
  <c r="ED52" i="6" s="1"/>
  <c r="N52" i="6"/>
  <c r="EC52" i="6" s="1"/>
  <c r="M52" i="6"/>
  <c r="EB52" i="6" s="1"/>
  <c r="L52" i="6"/>
  <c r="EA52" i="6" s="1"/>
  <c r="K52" i="6"/>
  <c r="DZ52" i="6" s="1"/>
  <c r="J52" i="6"/>
  <c r="DY52" i="6" s="1"/>
  <c r="I52" i="6"/>
  <c r="DX52" i="6" s="1"/>
  <c r="H52" i="6"/>
  <c r="DW52" i="6" s="1"/>
  <c r="G52" i="6"/>
  <c r="DV52" i="6" s="1"/>
  <c r="DU51" i="6"/>
  <c r="DT51" i="6"/>
  <c r="DS51" i="6"/>
  <c r="DR51" i="6"/>
  <c r="DQ51" i="6"/>
  <c r="DP51" i="6"/>
  <c r="DO51" i="6"/>
  <c r="DN51" i="6"/>
  <c r="DM51" i="6"/>
  <c r="DL51" i="6"/>
  <c r="DK51" i="6"/>
  <c r="DI51" i="6"/>
  <c r="DH51" i="6"/>
  <c r="DG51" i="6"/>
  <c r="DF51" i="6"/>
  <c r="DE51" i="6"/>
  <c r="DD51" i="6"/>
  <c r="DC51" i="6"/>
  <c r="DB51" i="6"/>
  <c r="DA51" i="6"/>
  <c r="CZ51" i="6"/>
  <c r="CY51" i="6"/>
  <c r="CW51" i="6"/>
  <c r="CV51" i="6"/>
  <c r="CU51" i="6"/>
  <c r="CT51" i="6"/>
  <c r="CS51" i="6"/>
  <c r="CR51" i="6"/>
  <c r="CQ51" i="6"/>
  <c r="CP51" i="6"/>
  <c r="CO51" i="6"/>
  <c r="CN51" i="6"/>
  <c r="CM51" i="6"/>
  <c r="CK51" i="6"/>
  <c r="CJ51" i="6"/>
  <c r="CI51" i="6"/>
  <c r="CH51" i="6"/>
  <c r="CG51" i="6"/>
  <c r="CF51" i="6"/>
  <c r="CE51" i="6"/>
  <c r="CD51" i="6"/>
  <c r="CC51" i="6"/>
  <c r="CB51" i="6"/>
  <c r="CA51" i="6"/>
  <c r="BY51" i="6"/>
  <c r="BX51" i="6"/>
  <c r="BW51" i="6"/>
  <c r="BV51" i="6"/>
  <c r="BU51" i="6"/>
  <c r="BT51" i="6"/>
  <c r="BS51" i="6"/>
  <c r="BR51" i="6"/>
  <c r="BQ51" i="6"/>
  <c r="BP51" i="6"/>
  <c r="BO51" i="6"/>
  <c r="BM51" i="6"/>
  <c r="BL51" i="6"/>
  <c r="BK51" i="6"/>
  <c r="BJ51" i="6"/>
  <c r="BI51" i="6"/>
  <c r="BH51" i="6"/>
  <c r="BG51" i="6"/>
  <c r="BF51" i="6"/>
  <c r="BE51" i="6"/>
  <c r="BD51" i="6"/>
  <c r="BC51" i="6"/>
  <c r="BA51" i="6"/>
  <c r="AZ51" i="6"/>
  <c r="AY51" i="6"/>
  <c r="AX51" i="6"/>
  <c r="AW51" i="6"/>
  <c r="AV51" i="6"/>
  <c r="AU51" i="6"/>
  <c r="AT51" i="6"/>
  <c r="AS51" i="6"/>
  <c r="AR51" i="6"/>
  <c r="AQ51" i="6"/>
  <c r="AO51" i="6"/>
  <c r="AN51" i="6"/>
  <c r="AM51" i="6"/>
  <c r="AL51" i="6"/>
  <c r="AK51" i="6"/>
  <c r="AJ51" i="6"/>
  <c r="AI51" i="6"/>
  <c r="AH51" i="6"/>
  <c r="AG51" i="6"/>
  <c r="AF51" i="6"/>
  <c r="AE51" i="6"/>
  <c r="AC51" i="6"/>
  <c r="AB51" i="6"/>
  <c r="AA51" i="6"/>
  <c r="Z51" i="6"/>
  <c r="Y51" i="6"/>
  <c r="X51" i="6"/>
  <c r="W51" i="6"/>
  <c r="V51" i="6"/>
  <c r="U51" i="6"/>
  <c r="T51" i="6"/>
  <c r="S51" i="6"/>
  <c r="Q51" i="6"/>
  <c r="EF51" i="6" s="1"/>
  <c r="P51" i="6"/>
  <c r="EE51" i="6" s="1"/>
  <c r="O51" i="6"/>
  <c r="ED51" i="6" s="1"/>
  <c r="N51" i="6"/>
  <c r="EC51" i="6" s="1"/>
  <c r="M51" i="6"/>
  <c r="EB51" i="6" s="1"/>
  <c r="L51" i="6"/>
  <c r="EA51" i="6" s="1"/>
  <c r="K51" i="6"/>
  <c r="DZ51" i="6" s="1"/>
  <c r="J51" i="6"/>
  <c r="DY51" i="6" s="1"/>
  <c r="I51" i="6"/>
  <c r="DX51" i="6" s="1"/>
  <c r="H51" i="6"/>
  <c r="DW51" i="6" s="1"/>
  <c r="G51" i="6"/>
  <c r="DV51" i="6" s="1"/>
  <c r="DU50" i="6"/>
  <c r="DT50" i="6"/>
  <c r="DS50" i="6"/>
  <c r="DR50" i="6"/>
  <c r="DQ50" i="6"/>
  <c r="DP50" i="6"/>
  <c r="DO50" i="6"/>
  <c r="DN50" i="6"/>
  <c r="DM50" i="6"/>
  <c r="DL50" i="6"/>
  <c r="DK50" i="6"/>
  <c r="DI50" i="6"/>
  <c r="DH50" i="6"/>
  <c r="DG50" i="6"/>
  <c r="DF50" i="6"/>
  <c r="DE50" i="6"/>
  <c r="DD50" i="6"/>
  <c r="DC50" i="6"/>
  <c r="DB50" i="6"/>
  <c r="DA50" i="6"/>
  <c r="CZ50" i="6"/>
  <c r="CY50" i="6"/>
  <c r="CW50" i="6"/>
  <c r="CV50" i="6"/>
  <c r="CU50" i="6"/>
  <c r="CT50" i="6"/>
  <c r="CS50" i="6"/>
  <c r="CR50" i="6"/>
  <c r="CQ50" i="6"/>
  <c r="CP50" i="6"/>
  <c r="CO50" i="6"/>
  <c r="CN50" i="6"/>
  <c r="CM50" i="6"/>
  <c r="CK50" i="6"/>
  <c r="CJ50" i="6"/>
  <c r="CI50" i="6"/>
  <c r="CH50" i="6"/>
  <c r="CG50" i="6"/>
  <c r="CF50" i="6"/>
  <c r="CE50" i="6"/>
  <c r="CD50" i="6"/>
  <c r="CC50" i="6"/>
  <c r="CB50" i="6"/>
  <c r="CA50" i="6"/>
  <c r="BY50" i="6"/>
  <c r="BX50" i="6"/>
  <c r="BW50" i="6"/>
  <c r="BV50" i="6"/>
  <c r="BU50" i="6"/>
  <c r="BT50" i="6"/>
  <c r="BS50" i="6"/>
  <c r="BR50" i="6"/>
  <c r="BQ50" i="6"/>
  <c r="BP50" i="6"/>
  <c r="BO50" i="6"/>
  <c r="BM50" i="6"/>
  <c r="BL50" i="6"/>
  <c r="BK50" i="6"/>
  <c r="BJ50" i="6"/>
  <c r="BI50" i="6"/>
  <c r="BH50" i="6"/>
  <c r="BG50" i="6"/>
  <c r="BF50" i="6"/>
  <c r="BE50" i="6"/>
  <c r="BD50" i="6"/>
  <c r="BC50" i="6"/>
  <c r="BA50" i="6"/>
  <c r="AZ50" i="6"/>
  <c r="AY50" i="6"/>
  <c r="AX50" i="6"/>
  <c r="AW50" i="6"/>
  <c r="AV50" i="6"/>
  <c r="AU50" i="6"/>
  <c r="AT50" i="6"/>
  <c r="AS50" i="6"/>
  <c r="AR50" i="6"/>
  <c r="AQ50" i="6"/>
  <c r="AO50" i="6"/>
  <c r="AN50" i="6"/>
  <c r="AM50" i="6"/>
  <c r="AL50" i="6"/>
  <c r="AK50" i="6"/>
  <c r="AJ50" i="6"/>
  <c r="AI50" i="6"/>
  <c r="AH50" i="6"/>
  <c r="AG50" i="6"/>
  <c r="AF50" i="6"/>
  <c r="AE50" i="6"/>
  <c r="AC50" i="6"/>
  <c r="AB50" i="6"/>
  <c r="AA50" i="6"/>
  <c r="Z50" i="6"/>
  <c r="Y50" i="6"/>
  <c r="X50" i="6"/>
  <c r="W50" i="6"/>
  <c r="V50" i="6"/>
  <c r="U50" i="6"/>
  <c r="T50" i="6"/>
  <c r="S50" i="6"/>
  <c r="Q50" i="6"/>
  <c r="EF50" i="6" s="1"/>
  <c r="P50" i="6"/>
  <c r="EE50" i="6" s="1"/>
  <c r="O50" i="6"/>
  <c r="ED50" i="6" s="1"/>
  <c r="N50" i="6"/>
  <c r="EC50" i="6" s="1"/>
  <c r="M50" i="6"/>
  <c r="EB50" i="6" s="1"/>
  <c r="L50" i="6"/>
  <c r="EA50" i="6" s="1"/>
  <c r="K50" i="6"/>
  <c r="DZ50" i="6" s="1"/>
  <c r="J50" i="6"/>
  <c r="DY50" i="6" s="1"/>
  <c r="I50" i="6"/>
  <c r="DX50" i="6" s="1"/>
  <c r="H50" i="6"/>
  <c r="DW50" i="6" s="1"/>
  <c r="G50" i="6"/>
  <c r="DV50" i="6" s="1"/>
  <c r="DU49" i="6"/>
  <c r="DT49" i="6"/>
  <c r="DS49" i="6"/>
  <c r="DR49" i="6"/>
  <c r="DQ49" i="6"/>
  <c r="DP49" i="6"/>
  <c r="DO49" i="6"/>
  <c r="DN49" i="6"/>
  <c r="DM49" i="6"/>
  <c r="DL49" i="6"/>
  <c r="DK49" i="6"/>
  <c r="DI49" i="6"/>
  <c r="DH49" i="6"/>
  <c r="DG49" i="6"/>
  <c r="DF49" i="6"/>
  <c r="DE49" i="6"/>
  <c r="DD49" i="6"/>
  <c r="DC49" i="6"/>
  <c r="DB49" i="6"/>
  <c r="DA49" i="6"/>
  <c r="CZ49" i="6"/>
  <c r="CY49" i="6"/>
  <c r="CW49" i="6"/>
  <c r="CV49" i="6"/>
  <c r="CU49" i="6"/>
  <c r="CT49" i="6"/>
  <c r="CS49" i="6"/>
  <c r="CR49" i="6"/>
  <c r="CQ49" i="6"/>
  <c r="CP49" i="6"/>
  <c r="CO49" i="6"/>
  <c r="CN49" i="6"/>
  <c r="CM49" i="6"/>
  <c r="CK49" i="6"/>
  <c r="CJ49" i="6"/>
  <c r="CI49" i="6"/>
  <c r="CH49" i="6"/>
  <c r="CG49" i="6"/>
  <c r="CF49" i="6"/>
  <c r="CE49" i="6"/>
  <c r="CD49" i="6"/>
  <c r="CC49" i="6"/>
  <c r="CB49" i="6"/>
  <c r="CA49" i="6"/>
  <c r="BY49" i="6"/>
  <c r="BX49" i="6"/>
  <c r="BW49" i="6"/>
  <c r="BV49" i="6"/>
  <c r="BU49" i="6"/>
  <c r="BT49" i="6"/>
  <c r="BS49" i="6"/>
  <c r="BR49" i="6"/>
  <c r="BQ49" i="6"/>
  <c r="BP49" i="6"/>
  <c r="BO49" i="6"/>
  <c r="BM49" i="6"/>
  <c r="BL49" i="6"/>
  <c r="BK49" i="6"/>
  <c r="BJ49" i="6"/>
  <c r="BI49" i="6"/>
  <c r="BH49" i="6"/>
  <c r="BG49" i="6"/>
  <c r="BF49" i="6"/>
  <c r="BE49" i="6"/>
  <c r="BD49" i="6"/>
  <c r="BC49" i="6"/>
  <c r="BA49" i="6"/>
  <c r="AZ49" i="6"/>
  <c r="AY49" i="6"/>
  <c r="AX49" i="6"/>
  <c r="AW49" i="6"/>
  <c r="AV49" i="6"/>
  <c r="AU49" i="6"/>
  <c r="AT49" i="6"/>
  <c r="AS49" i="6"/>
  <c r="AR49" i="6"/>
  <c r="AQ49" i="6"/>
  <c r="AO49" i="6"/>
  <c r="AN49" i="6"/>
  <c r="AM49" i="6"/>
  <c r="AL49" i="6"/>
  <c r="AK49" i="6"/>
  <c r="AJ49" i="6"/>
  <c r="AI49" i="6"/>
  <c r="AH49" i="6"/>
  <c r="AG49" i="6"/>
  <c r="AF49" i="6"/>
  <c r="AE49" i="6"/>
  <c r="AC49" i="6"/>
  <c r="AB49" i="6"/>
  <c r="AA49" i="6"/>
  <c r="Z49" i="6"/>
  <c r="Y49" i="6"/>
  <c r="X49" i="6"/>
  <c r="W49" i="6"/>
  <c r="V49" i="6"/>
  <c r="U49" i="6"/>
  <c r="T49" i="6"/>
  <c r="S49" i="6"/>
  <c r="Q49" i="6"/>
  <c r="EF49" i="6" s="1"/>
  <c r="P49" i="6"/>
  <c r="EE49" i="6" s="1"/>
  <c r="O49" i="6"/>
  <c r="ED49" i="6" s="1"/>
  <c r="N49" i="6"/>
  <c r="EC49" i="6" s="1"/>
  <c r="M49" i="6"/>
  <c r="EB49" i="6" s="1"/>
  <c r="L49" i="6"/>
  <c r="EA49" i="6" s="1"/>
  <c r="K49" i="6"/>
  <c r="DZ49" i="6" s="1"/>
  <c r="J49" i="6"/>
  <c r="DY49" i="6" s="1"/>
  <c r="I49" i="6"/>
  <c r="DX49" i="6" s="1"/>
  <c r="H49" i="6"/>
  <c r="DW49" i="6" s="1"/>
  <c r="G49" i="6"/>
  <c r="DV49" i="6" s="1"/>
  <c r="DU48" i="6"/>
  <c r="DT48" i="6"/>
  <c r="DS48" i="6"/>
  <c r="DR48" i="6"/>
  <c r="DQ48" i="6"/>
  <c r="DP48" i="6"/>
  <c r="DO48" i="6"/>
  <c r="DN48" i="6"/>
  <c r="DM48" i="6"/>
  <c r="DL48" i="6"/>
  <c r="DK48" i="6"/>
  <c r="DI48" i="6"/>
  <c r="DH48" i="6"/>
  <c r="DG48" i="6"/>
  <c r="DF48" i="6"/>
  <c r="DE48" i="6"/>
  <c r="DD48" i="6"/>
  <c r="DC48" i="6"/>
  <c r="DB48" i="6"/>
  <c r="DA48" i="6"/>
  <c r="CZ48" i="6"/>
  <c r="CY48" i="6"/>
  <c r="CW48" i="6"/>
  <c r="CV48" i="6"/>
  <c r="CU48" i="6"/>
  <c r="CT48" i="6"/>
  <c r="CS48" i="6"/>
  <c r="CR48" i="6"/>
  <c r="CQ48" i="6"/>
  <c r="CP48" i="6"/>
  <c r="CO48" i="6"/>
  <c r="CN48" i="6"/>
  <c r="CM48" i="6"/>
  <c r="CK48" i="6"/>
  <c r="CJ48" i="6"/>
  <c r="CI48" i="6"/>
  <c r="CH48" i="6"/>
  <c r="CG48" i="6"/>
  <c r="CF48" i="6"/>
  <c r="CE48" i="6"/>
  <c r="CD48" i="6"/>
  <c r="CC48" i="6"/>
  <c r="CB48" i="6"/>
  <c r="CA48" i="6"/>
  <c r="BY48" i="6"/>
  <c r="BX48" i="6"/>
  <c r="BW48" i="6"/>
  <c r="BV48" i="6"/>
  <c r="BU48" i="6"/>
  <c r="BT48" i="6"/>
  <c r="BS48" i="6"/>
  <c r="BR48" i="6"/>
  <c r="BQ48" i="6"/>
  <c r="BP48" i="6"/>
  <c r="BO48" i="6"/>
  <c r="BM48" i="6"/>
  <c r="BL48" i="6"/>
  <c r="BK48" i="6"/>
  <c r="BJ48" i="6"/>
  <c r="BI48" i="6"/>
  <c r="BH48" i="6"/>
  <c r="BG48" i="6"/>
  <c r="BF48" i="6"/>
  <c r="BE48" i="6"/>
  <c r="BD48" i="6"/>
  <c r="BC48" i="6"/>
  <c r="BA48" i="6"/>
  <c r="AZ48" i="6"/>
  <c r="AY48" i="6"/>
  <c r="AX48" i="6"/>
  <c r="AW48" i="6"/>
  <c r="AV48" i="6"/>
  <c r="AU48" i="6"/>
  <c r="AT48" i="6"/>
  <c r="AS48" i="6"/>
  <c r="AR48" i="6"/>
  <c r="AQ48" i="6"/>
  <c r="AO48" i="6"/>
  <c r="AN48" i="6"/>
  <c r="AM48" i="6"/>
  <c r="AL48" i="6"/>
  <c r="AK48" i="6"/>
  <c r="AJ48" i="6"/>
  <c r="AI48" i="6"/>
  <c r="AH48" i="6"/>
  <c r="AG48" i="6"/>
  <c r="AF48" i="6"/>
  <c r="AE48" i="6"/>
  <c r="AC48" i="6"/>
  <c r="AB48" i="6"/>
  <c r="AA48" i="6"/>
  <c r="Z48" i="6"/>
  <c r="Y48" i="6"/>
  <c r="X48" i="6"/>
  <c r="W48" i="6"/>
  <c r="V48" i="6"/>
  <c r="U48" i="6"/>
  <c r="T48" i="6"/>
  <c r="S48" i="6"/>
  <c r="Q48" i="6"/>
  <c r="EF48" i="6" s="1"/>
  <c r="P48" i="6"/>
  <c r="EE48" i="6" s="1"/>
  <c r="O48" i="6"/>
  <c r="ED48" i="6" s="1"/>
  <c r="N48" i="6"/>
  <c r="EC48" i="6" s="1"/>
  <c r="M48" i="6"/>
  <c r="EB48" i="6" s="1"/>
  <c r="L48" i="6"/>
  <c r="EA48" i="6" s="1"/>
  <c r="K48" i="6"/>
  <c r="DZ48" i="6" s="1"/>
  <c r="J48" i="6"/>
  <c r="DY48" i="6" s="1"/>
  <c r="I48" i="6"/>
  <c r="DX48" i="6" s="1"/>
  <c r="H48" i="6"/>
  <c r="DW48" i="6" s="1"/>
  <c r="G48" i="6"/>
  <c r="DV48" i="6" s="1"/>
  <c r="DU47" i="6"/>
  <c r="DT47" i="6"/>
  <c r="DS47" i="6"/>
  <c r="DR47" i="6"/>
  <c r="DQ47" i="6"/>
  <c r="DP47" i="6"/>
  <c r="DO47" i="6"/>
  <c r="DN47" i="6"/>
  <c r="DM47" i="6"/>
  <c r="DL47" i="6"/>
  <c r="DK47" i="6"/>
  <c r="DI47" i="6"/>
  <c r="DH47" i="6"/>
  <c r="DG47" i="6"/>
  <c r="DF47" i="6"/>
  <c r="DE47" i="6"/>
  <c r="DD47" i="6"/>
  <c r="DC47" i="6"/>
  <c r="DB47" i="6"/>
  <c r="DA47" i="6"/>
  <c r="CZ47" i="6"/>
  <c r="CY47" i="6"/>
  <c r="CW47" i="6"/>
  <c r="CV47" i="6"/>
  <c r="CU47" i="6"/>
  <c r="CT47" i="6"/>
  <c r="CS47" i="6"/>
  <c r="CR47" i="6"/>
  <c r="CQ47" i="6"/>
  <c r="CP47" i="6"/>
  <c r="CO47" i="6"/>
  <c r="CN47" i="6"/>
  <c r="CM47" i="6"/>
  <c r="CK47" i="6"/>
  <c r="CJ47" i="6"/>
  <c r="CI47" i="6"/>
  <c r="CH47" i="6"/>
  <c r="CG47" i="6"/>
  <c r="CF47" i="6"/>
  <c r="CE47" i="6"/>
  <c r="CD47" i="6"/>
  <c r="CC47" i="6"/>
  <c r="CB47" i="6"/>
  <c r="CA47" i="6"/>
  <c r="BY47" i="6"/>
  <c r="BX47" i="6"/>
  <c r="BW47" i="6"/>
  <c r="BV47" i="6"/>
  <c r="BU47" i="6"/>
  <c r="BT47" i="6"/>
  <c r="BS47" i="6"/>
  <c r="BR47" i="6"/>
  <c r="BQ47" i="6"/>
  <c r="BP47" i="6"/>
  <c r="BO47" i="6"/>
  <c r="BM47" i="6"/>
  <c r="BL47" i="6"/>
  <c r="BK47" i="6"/>
  <c r="BJ47" i="6"/>
  <c r="BI47" i="6"/>
  <c r="BH47" i="6"/>
  <c r="BG47" i="6"/>
  <c r="BF47" i="6"/>
  <c r="BE47" i="6"/>
  <c r="BD47" i="6"/>
  <c r="BC47" i="6"/>
  <c r="BA47" i="6"/>
  <c r="AZ47" i="6"/>
  <c r="AY47" i="6"/>
  <c r="AX47" i="6"/>
  <c r="AW47" i="6"/>
  <c r="AV47" i="6"/>
  <c r="AU47" i="6"/>
  <c r="AT47" i="6"/>
  <c r="AS47" i="6"/>
  <c r="AR47" i="6"/>
  <c r="AQ47" i="6"/>
  <c r="AO47" i="6"/>
  <c r="AN47" i="6"/>
  <c r="AM47" i="6"/>
  <c r="AL47" i="6"/>
  <c r="AK47" i="6"/>
  <c r="AJ47" i="6"/>
  <c r="AI47" i="6"/>
  <c r="AH47" i="6"/>
  <c r="AG47" i="6"/>
  <c r="AF47" i="6"/>
  <c r="AE47" i="6"/>
  <c r="AC47" i="6"/>
  <c r="AB47" i="6"/>
  <c r="AA47" i="6"/>
  <c r="Z47" i="6"/>
  <c r="Y47" i="6"/>
  <c r="X47" i="6"/>
  <c r="W47" i="6"/>
  <c r="V47" i="6"/>
  <c r="U47" i="6"/>
  <c r="T47" i="6"/>
  <c r="S47" i="6"/>
  <c r="Q47" i="6"/>
  <c r="EF47" i="6" s="1"/>
  <c r="P47" i="6"/>
  <c r="EE47" i="6" s="1"/>
  <c r="O47" i="6"/>
  <c r="ED47" i="6" s="1"/>
  <c r="N47" i="6"/>
  <c r="EC47" i="6" s="1"/>
  <c r="M47" i="6"/>
  <c r="EB47" i="6" s="1"/>
  <c r="L47" i="6"/>
  <c r="EA47" i="6" s="1"/>
  <c r="K47" i="6"/>
  <c r="DZ47" i="6" s="1"/>
  <c r="J47" i="6"/>
  <c r="DY47" i="6" s="1"/>
  <c r="I47" i="6"/>
  <c r="DX47" i="6" s="1"/>
  <c r="H47" i="6"/>
  <c r="DW47" i="6" s="1"/>
  <c r="G47" i="6"/>
  <c r="DV47" i="6" s="1"/>
  <c r="DU46" i="6"/>
  <c r="DT46" i="6"/>
  <c r="DS46" i="6"/>
  <c r="DR46" i="6"/>
  <c r="DQ46" i="6"/>
  <c r="DP46" i="6"/>
  <c r="DO46" i="6"/>
  <c r="DN46" i="6"/>
  <c r="DM46" i="6"/>
  <c r="DL46" i="6"/>
  <c r="DK46" i="6"/>
  <c r="DI46" i="6"/>
  <c r="DH46" i="6"/>
  <c r="DG46" i="6"/>
  <c r="DF46" i="6"/>
  <c r="DE46" i="6"/>
  <c r="DD46" i="6"/>
  <c r="DC46" i="6"/>
  <c r="DB46" i="6"/>
  <c r="DA46" i="6"/>
  <c r="CZ46" i="6"/>
  <c r="CY46" i="6"/>
  <c r="CW46" i="6"/>
  <c r="CV46" i="6"/>
  <c r="CU46" i="6"/>
  <c r="CT46" i="6"/>
  <c r="CS46" i="6"/>
  <c r="CR46" i="6"/>
  <c r="CQ46" i="6"/>
  <c r="CP46" i="6"/>
  <c r="CO46" i="6"/>
  <c r="CN46" i="6"/>
  <c r="CM46" i="6"/>
  <c r="CK46" i="6"/>
  <c r="CJ46" i="6"/>
  <c r="CI46" i="6"/>
  <c r="CH46" i="6"/>
  <c r="CG46" i="6"/>
  <c r="CF46" i="6"/>
  <c r="CE46" i="6"/>
  <c r="CD46" i="6"/>
  <c r="CC46" i="6"/>
  <c r="CB46" i="6"/>
  <c r="CA46" i="6"/>
  <c r="BY46" i="6"/>
  <c r="BX46" i="6"/>
  <c r="BW46" i="6"/>
  <c r="BV46" i="6"/>
  <c r="BU46" i="6"/>
  <c r="BT46" i="6"/>
  <c r="BS46" i="6"/>
  <c r="BR46" i="6"/>
  <c r="BQ46" i="6"/>
  <c r="BP46" i="6"/>
  <c r="BO46" i="6"/>
  <c r="BM46" i="6"/>
  <c r="BL46" i="6"/>
  <c r="BK46" i="6"/>
  <c r="BJ46" i="6"/>
  <c r="BI46" i="6"/>
  <c r="BH46" i="6"/>
  <c r="BG46" i="6"/>
  <c r="BF46" i="6"/>
  <c r="BE46" i="6"/>
  <c r="BD46" i="6"/>
  <c r="BC46" i="6"/>
  <c r="BA46" i="6"/>
  <c r="AZ46" i="6"/>
  <c r="AY46" i="6"/>
  <c r="AX46" i="6"/>
  <c r="AW46" i="6"/>
  <c r="AV46" i="6"/>
  <c r="AU46" i="6"/>
  <c r="AT46" i="6"/>
  <c r="AS46" i="6"/>
  <c r="AR46" i="6"/>
  <c r="AQ46" i="6"/>
  <c r="AO46" i="6"/>
  <c r="AN46" i="6"/>
  <c r="AM46" i="6"/>
  <c r="AL46" i="6"/>
  <c r="AK46" i="6"/>
  <c r="AJ46" i="6"/>
  <c r="AI46" i="6"/>
  <c r="AH46" i="6"/>
  <c r="AG46" i="6"/>
  <c r="AF46" i="6"/>
  <c r="AE46" i="6"/>
  <c r="AC46" i="6"/>
  <c r="AB46" i="6"/>
  <c r="AA46" i="6"/>
  <c r="Z46" i="6"/>
  <c r="Y46" i="6"/>
  <c r="X46" i="6"/>
  <c r="W46" i="6"/>
  <c r="V46" i="6"/>
  <c r="U46" i="6"/>
  <c r="T46" i="6"/>
  <c r="S46" i="6"/>
  <c r="Q46" i="6"/>
  <c r="EF46" i="6" s="1"/>
  <c r="P46" i="6"/>
  <c r="EE46" i="6" s="1"/>
  <c r="O46" i="6"/>
  <c r="ED46" i="6" s="1"/>
  <c r="N46" i="6"/>
  <c r="EC46" i="6" s="1"/>
  <c r="M46" i="6"/>
  <c r="EB46" i="6" s="1"/>
  <c r="L46" i="6"/>
  <c r="EA46" i="6" s="1"/>
  <c r="K46" i="6"/>
  <c r="DZ46" i="6" s="1"/>
  <c r="J46" i="6"/>
  <c r="DY46" i="6" s="1"/>
  <c r="I46" i="6"/>
  <c r="DX46" i="6" s="1"/>
  <c r="H46" i="6"/>
  <c r="DW46" i="6" s="1"/>
  <c r="G46" i="6"/>
  <c r="DV46" i="6" s="1"/>
  <c r="DU45" i="6"/>
  <c r="DT45" i="6"/>
  <c r="DS45" i="6"/>
  <c r="DR45" i="6"/>
  <c r="DQ45" i="6"/>
  <c r="DP45" i="6"/>
  <c r="DO45" i="6"/>
  <c r="DN45" i="6"/>
  <c r="DM45" i="6"/>
  <c r="DL45" i="6"/>
  <c r="DK45" i="6"/>
  <c r="DI45" i="6"/>
  <c r="DH45" i="6"/>
  <c r="DG45" i="6"/>
  <c r="DF45" i="6"/>
  <c r="DE45" i="6"/>
  <c r="DD45" i="6"/>
  <c r="DC45" i="6"/>
  <c r="DB45" i="6"/>
  <c r="DA45" i="6"/>
  <c r="CZ45" i="6"/>
  <c r="CY45" i="6"/>
  <c r="CW45" i="6"/>
  <c r="CV45" i="6"/>
  <c r="CU45" i="6"/>
  <c r="CT45" i="6"/>
  <c r="CS45" i="6"/>
  <c r="CR45" i="6"/>
  <c r="CQ45" i="6"/>
  <c r="CP45" i="6"/>
  <c r="CO45" i="6"/>
  <c r="CN45" i="6"/>
  <c r="CM45" i="6"/>
  <c r="CK45" i="6"/>
  <c r="CJ45" i="6"/>
  <c r="CI45" i="6"/>
  <c r="CH45" i="6"/>
  <c r="CG45" i="6"/>
  <c r="CF45" i="6"/>
  <c r="CE45" i="6"/>
  <c r="CD45" i="6"/>
  <c r="CC45" i="6"/>
  <c r="CB45" i="6"/>
  <c r="CA45" i="6"/>
  <c r="BY45" i="6"/>
  <c r="BX45" i="6"/>
  <c r="BW45" i="6"/>
  <c r="BV45" i="6"/>
  <c r="BU45" i="6"/>
  <c r="BT45" i="6"/>
  <c r="BS45" i="6"/>
  <c r="BR45" i="6"/>
  <c r="BQ45" i="6"/>
  <c r="BP45" i="6"/>
  <c r="BO45" i="6"/>
  <c r="BM45" i="6"/>
  <c r="BL45" i="6"/>
  <c r="BK45" i="6"/>
  <c r="BJ45" i="6"/>
  <c r="BI45" i="6"/>
  <c r="BH45" i="6"/>
  <c r="BG45" i="6"/>
  <c r="BF45" i="6"/>
  <c r="BE45" i="6"/>
  <c r="BD45" i="6"/>
  <c r="BC45" i="6"/>
  <c r="BA45" i="6"/>
  <c r="AZ45" i="6"/>
  <c r="AY45" i="6"/>
  <c r="AX45" i="6"/>
  <c r="AW45" i="6"/>
  <c r="AV45" i="6"/>
  <c r="AU45" i="6"/>
  <c r="AT45" i="6"/>
  <c r="AS45" i="6"/>
  <c r="AR45" i="6"/>
  <c r="AQ45" i="6"/>
  <c r="AO45" i="6"/>
  <c r="AN45" i="6"/>
  <c r="AM45" i="6"/>
  <c r="AL45" i="6"/>
  <c r="AK45" i="6"/>
  <c r="AJ45" i="6"/>
  <c r="AI45" i="6"/>
  <c r="AH45" i="6"/>
  <c r="AG45" i="6"/>
  <c r="AF45" i="6"/>
  <c r="AE45" i="6"/>
  <c r="AC45" i="6"/>
  <c r="AB45" i="6"/>
  <c r="AA45" i="6"/>
  <c r="Z45" i="6"/>
  <c r="Y45" i="6"/>
  <c r="X45" i="6"/>
  <c r="W45" i="6"/>
  <c r="V45" i="6"/>
  <c r="U45" i="6"/>
  <c r="T45" i="6"/>
  <c r="S45" i="6"/>
  <c r="Q45" i="6"/>
  <c r="EF45" i="6" s="1"/>
  <c r="P45" i="6"/>
  <c r="EE45" i="6" s="1"/>
  <c r="O45" i="6"/>
  <c r="ED45" i="6" s="1"/>
  <c r="N45" i="6"/>
  <c r="EC45" i="6" s="1"/>
  <c r="M45" i="6"/>
  <c r="EB45" i="6" s="1"/>
  <c r="L45" i="6"/>
  <c r="EA45" i="6" s="1"/>
  <c r="K45" i="6"/>
  <c r="DZ45" i="6" s="1"/>
  <c r="J45" i="6"/>
  <c r="DY45" i="6" s="1"/>
  <c r="I45" i="6"/>
  <c r="DX45" i="6" s="1"/>
  <c r="H45" i="6"/>
  <c r="DW45" i="6" s="1"/>
  <c r="G45" i="6"/>
  <c r="DV45" i="6" s="1"/>
  <c r="DU44" i="6"/>
  <c r="DT44" i="6"/>
  <c r="DS44" i="6"/>
  <c r="DR44" i="6"/>
  <c r="DQ44" i="6"/>
  <c r="DP44" i="6"/>
  <c r="DO44" i="6"/>
  <c r="DN44" i="6"/>
  <c r="DM44" i="6"/>
  <c r="DL44" i="6"/>
  <c r="DK44" i="6"/>
  <c r="DI44" i="6"/>
  <c r="DH44" i="6"/>
  <c r="DG44" i="6"/>
  <c r="DF44" i="6"/>
  <c r="DE44" i="6"/>
  <c r="DD44" i="6"/>
  <c r="DC44" i="6"/>
  <c r="DB44" i="6"/>
  <c r="DA44" i="6"/>
  <c r="CZ44" i="6"/>
  <c r="CY44" i="6"/>
  <c r="CW44" i="6"/>
  <c r="CV44" i="6"/>
  <c r="CU44" i="6"/>
  <c r="CT44" i="6"/>
  <c r="CS44" i="6"/>
  <c r="CR44" i="6"/>
  <c r="CQ44" i="6"/>
  <c r="CP44" i="6"/>
  <c r="CO44" i="6"/>
  <c r="CN44" i="6"/>
  <c r="CM44" i="6"/>
  <c r="CK44" i="6"/>
  <c r="CJ44" i="6"/>
  <c r="CI44" i="6"/>
  <c r="CH44" i="6"/>
  <c r="CG44" i="6"/>
  <c r="CF44" i="6"/>
  <c r="CE44" i="6"/>
  <c r="CD44" i="6"/>
  <c r="CC44" i="6"/>
  <c r="CB44" i="6"/>
  <c r="CA44" i="6"/>
  <c r="BY44" i="6"/>
  <c r="BX44" i="6"/>
  <c r="BW44" i="6"/>
  <c r="BV44" i="6"/>
  <c r="BU44" i="6"/>
  <c r="BT44" i="6"/>
  <c r="BS44" i="6"/>
  <c r="BR44" i="6"/>
  <c r="BQ44" i="6"/>
  <c r="BP44" i="6"/>
  <c r="BO44" i="6"/>
  <c r="BM44" i="6"/>
  <c r="BL44" i="6"/>
  <c r="BK44" i="6"/>
  <c r="BJ44" i="6"/>
  <c r="BI44" i="6"/>
  <c r="BH44" i="6"/>
  <c r="BG44" i="6"/>
  <c r="BF44" i="6"/>
  <c r="BE44" i="6"/>
  <c r="BD44" i="6"/>
  <c r="BC44" i="6"/>
  <c r="BA44" i="6"/>
  <c r="AZ44" i="6"/>
  <c r="AY44" i="6"/>
  <c r="AX44" i="6"/>
  <c r="AW44" i="6"/>
  <c r="AV44" i="6"/>
  <c r="AU44" i="6"/>
  <c r="AT44" i="6"/>
  <c r="AS44" i="6"/>
  <c r="AR44" i="6"/>
  <c r="AQ44" i="6"/>
  <c r="AO44" i="6"/>
  <c r="AN44" i="6"/>
  <c r="AM44" i="6"/>
  <c r="AL44" i="6"/>
  <c r="AK44" i="6"/>
  <c r="AJ44" i="6"/>
  <c r="AI44" i="6"/>
  <c r="AH44" i="6"/>
  <c r="AG44" i="6"/>
  <c r="AF44" i="6"/>
  <c r="AE44" i="6"/>
  <c r="AC44" i="6"/>
  <c r="AB44" i="6"/>
  <c r="AA44" i="6"/>
  <c r="Z44" i="6"/>
  <c r="Y44" i="6"/>
  <c r="X44" i="6"/>
  <c r="W44" i="6"/>
  <c r="V44" i="6"/>
  <c r="U44" i="6"/>
  <c r="T44" i="6"/>
  <c r="S44" i="6"/>
  <c r="Q44" i="6"/>
  <c r="EF44" i="6" s="1"/>
  <c r="P44" i="6"/>
  <c r="EE44" i="6" s="1"/>
  <c r="O44" i="6"/>
  <c r="ED44" i="6" s="1"/>
  <c r="N44" i="6"/>
  <c r="EC44" i="6" s="1"/>
  <c r="M44" i="6"/>
  <c r="EB44" i="6" s="1"/>
  <c r="L44" i="6"/>
  <c r="EA44" i="6" s="1"/>
  <c r="K44" i="6"/>
  <c r="DZ44" i="6" s="1"/>
  <c r="J44" i="6"/>
  <c r="DY44" i="6" s="1"/>
  <c r="I44" i="6"/>
  <c r="DX44" i="6" s="1"/>
  <c r="H44" i="6"/>
  <c r="DW44" i="6" s="1"/>
  <c r="G44" i="6"/>
  <c r="DV44" i="6" s="1"/>
  <c r="DU43" i="6"/>
  <c r="DT43" i="6"/>
  <c r="DS43" i="6"/>
  <c r="DR43" i="6"/>
  <c r="DQ43" i="6"/>
  <c r="DP43" i="6"/>
  <c r="DO43" i="6"/>
  <c r="DN43" i="6"/>
  <c r="DM43" i="6"/>
  <c r="DL43" i="6"/>
  <c r="DK43" i="6"/>
  <c r="DI43" i="6"/>
  <c r="DH43" i="6"/>
  <c r="DG43" i="6"/>
  <c r="DF43" i="6"/>
  <c r="DE43" i="6"/>
  <c r="DD43" i="6"/>
  <c r="DC43" i="6"/>
  <c r="DB43" i="6"/>
  <c r="DA43" i="6"/>
  <c r="CZ43" i="6"/>
  <c r="CY43" i="6"/>
  <c r="CW43" i="6"/>
  <c r="CV43" i="6"/>
  <c r="CU43" i="6"/>
  <c r="CT43" i="6"/>
  <c r="CS43" i="6"/>
  <c r="CR43" i="6"/>
  <c r="CQ43" i="6"/>
  <c r="CP43" i="6"/>
  <c r="CO43" i="6"/>
  <c r="CN43" i="6"/>
  <c r="CM43" i="6"/>
  <c r="CK43" i="6"/>
  <c r="CJ43" i="6"/>
  <c r="CI43" i="6"/>
  <c r="CH43" i="6"/>
  <c r="CG43" i="6"/>
  <c r="CF43" i="6"/>
  <c r="CE43" i="6"/>
  <c r="CD43" i="6"/>
  <c r="CC43" i="6"/>
  <c r="CB43" i="6"/>
  <c r="CA43" i="6"/>
  <c r="BY43" i="6"/>
  <c r="BX43" i="6"/>
  <c r="BW43" i="6"/>
  <c r="BV43" i="6"/>
  <c r="BU43" i="6"/>
  <c r="BT43" i="6"/>
  <c r="BS43" i="6"/>
  <c r="BR43" i="6"/>
  <c r="BQ43" i="6"/>
  <c r="BP43" i="6"/>
  <c r="BO43" i="6"/>
  <c r="BM43" i="6"/>
  <c r="BL43" i="6"/>
  <c r="BK43" i="6"/>
  <c r="BJ43" i="6"/>
  <c r="BI43" i="6"/>
  <c r="BH43" i="6"/>
  <c r="BG43" i="6"/>
  <c r="BF43" i="6"/>
  <c r="BE43" i="6"/>
  <c r="BD43" i="6"/>
  <c r="BC43" i="6"/>
  <c r="BA43" i="6"/>
  <c r="AZ43" i="6"/>
  <c r="AY43" i="6"/>
  <c r="AX43" i="6"/>
  <c r="AW43" i="6"/>
  <c r="AV43" i="6"/>
  <c r="AU43" i="6"/>
  <c r="AT43" i="6"/>
  <c r="AS43" i="6"/>
  <c r="AR43" i="6"/>
  <c r="AQ43" i="6"/>
  <c r="AO43" i="6"/>
  <c r="AN43" i="6"/>
  <c r="AM43" i="6"/>
  <c r="AL43" i="6"/>
  <c r="AK43" i="6"/>
  <c r="AJ43" i="6"/>
  <c r="AI43" i="6"/>
  <c r="AH43" i="6"/>
  <c r="AG43" i="6"/>
  <c r="AF43" i="6"/>
  <c r="AE43" i="6"/>
  <c r="AC43" i="6"/>
  <c r="AB43" i="6"/>
  <c r="AA43" i="6"/>
  <c r="Z43" i="6"/>
  <c r="Y43" i="6"/>
  <c r="X43" i="6"/>
  <c r="W43" i="6"/>
  <c r="V43" i="6"/>
  <c r="U43" i="6"/>
  <c r="T43" i="6"/>
  <c r="S43" i="6"/>
  <c r="Q43" i="6"/>
  <c r="EF43" i="6" s="1"/>
  <c r="P43" i="6"/>
  <c r="EE43" i="6" s="1"/>
  <c r="O43" i="6"/>
  <c r="ED43" i="6" s="1"/>
  <c r="N43" i="6"/>
  <c r="EC43" i="6" s="1"/>
  <c r="M43" i="6"/>
  <c r="EB43" i="6" s="1"/>
  <c r="L43" i="6"/>
  <c r="EA43" i="6" s="1"/>
  <c r="K43" i="6"/>
  <c r="DZ43" i="6" s="1"/>
  <c r="J43" i="6"/>
  <c r="DY43" i="6" s="1"/>
  <c r="I43" i="6"/>
  <c r="DX43" i="6" s="1"/>
  <c r="H43" i="6"/>
  <c r="DW43" i="6" s="1"/>
  <c r="G43" i="6"/>
  <c r="DV43" i="6" s="1"/>
  <c r="DU42" i="6"/>
  <c r="DT42" i="6"/>
  <c r="DS42" i="6"/>
  <c r="DR42" i="6"/>
  <c r="DQ42" i="6"/>
  <c r="DP42" i="6"/>
  <c r="DO42" i="6"/>
  <c r="DN42" i="6"/>
  <c r="DM42" i="6"/>
  <c r="DL42" i="6"/>
  <c r="DK42" i="6"/>
  <c r="DI42" i="6"/>
  <c r="DH42" i="6"/>
  <c r="DG42" i="6"/>
  <c r="DF42" i="6"/>
  <c r="DE42" i="6"/>
  <c r="DD42" i="6"/>
  <c r="DC42" i="6"/>
  <c r="DB42" i="6"/>
  <c r="DA42" i="6"/>
  <c r="CZ42" i="6"/>
  <c r="CY42" i="6"/>
  <c r="CW42" i="6"/>
  <c r="CV42" i="6"/>
  <c r="CU42" i="6"/>
  <c r="CT42" i="6"/>
  <c r="CS42" i="6"/>
  <c r="CR42" i="6"/>
  <c r="CQ42" i="6"/>
  <c r="CP42" i="6"/>
  <c r="CO42" i="6"/>
  <c r="CN42" i="6"/>
  <c r="CM42" i="6"/>
  <c r="CK42" i="6"/>
  <c r="CJ42" i="6"/>
  <c r="CI42" i="6"/>
  <c r="CH42" i="6"/>
  <c r="CG42" i="6"/>
  <c r="CF42" i="6"/>
  <c r="CE42" i="6"/>
  <c r="CD42" i="6"/>
  <c r="CC42" i="6"/>
  <c r="CB42" i="6"/>
  <c r="CA42" i="6"/>
  <c r="BY42" i="6"/>
  <c r="BX42" i="6"/>
  <c r="BW42" i="6"/>
  <c r="BV42" i="6"/>
  <c r="BU42" i="6"/>
  <c r="BT42" i="6"/>
  <c r="BS42" i="6"/>
  <c r="BR42" i="6"/>
  <c r="BQ42" i="6"/>
  <c r="BP42" i="6"/>
  <c r="BO42" i="6"/>
  <c r="BM42" i="6"/>
  <c r="BL42" i="6"/>
  <c r="BK42" i="6"/>
  <c r="BJ42" i="6"/>
  <c r="BI42" i="6"/>
  <c r="BH42" i="6"/>
  <c r="BG42" i="6"/>
  <c r="BF42" i="6"/>
  <c r="BE42" i="6"/>
  <c r="BD42" i="6"/>
  <c r="BC42" i="6"/>
  <c r="BA42" i="6"/>
  <c r="AZ42" i="6"/>
  <c r="AY42" i="6"/>
  <c r="AX42" i="6"/>
  <c r="AW42" i="6"/>
  <c r="AV42" i="6"/>
  <c r="AU42" i="6"/>
  <c r="AT42" i="6"/>
  <c r="AS42" i="6"/>
  <c r="AR42" i="6"/>
  <c r="AQ42" i="6"/>
  <c r="AO42" i="6"/>
  <c r="AN42" i="6"/>
  <c r="AM42" i="6"/>
  <c r="AL42" i="6"/>
  <c r="AK42" i="6"/>
  <c r="AJ42" i="6"/>
  <c r="AI42" i="6"/>
  <c r="AH42" i="6"/>
  <c r="AG42" i="6"/>
  <c r="AF42" i="6"/>
  <c r="AE42" i="6"/>
  <c r="AC42" i="6"/>
  <c r="AB42" i="6"/>
  <c r="AA42" i="6"/>
  <c r="Z42" i="6"/>
  <c r="Y42" i="6"/>
  <c r="X42" i="6"/>
  <c r="W42" i="6"/>
  <c r="V42" i="6"/>
  <c r="U42" i="6"/>
  <c r="T42" i="6"/>
  <c r="S42" i="6"/>
  <c r="Q42" i="6"/>
  <c r="EF42" i="6" s="1"/>
  <c r="P42" i="6"/>
  <c r="EE42" i="6" s="1"/>
  <c r="O42" i="6"/>
  <c r="ED42" i="6" s="1"/>
  <c r="N42" i="6"/>
  <c r="EC42" i="6" s="1"/>
  <c r="M42" i="6"/>
  <c r="EB42" i="6" s="1"/>
  <c r="L42" i="6"/>
  <c r="EA42" i="6" s="1"/>
  <c r="K42" i="6"/>
  <c r="DZ42" i="6" s="1"/>
  <c r="J42" i="6"/>
  <c r="DY42" i="6" s="1"/>
  <c r="I42" i="6"/>
  <c r="DX42" i="6" s="1"/>
  <c r="H42" i="6"/>
  <c r="DW42" i="6" s="1"/>
  <c r="G42" i="6"/>
  <c r="DV42" i="6" s="1"/>
  <c r="DU41" i="6"/>
  <c r="DT41" i="6"/>
  <c r="DS41" i="6"/>
  <c r="DR41" i="6"/>
  <c r="DQ41" i="6"/>
  <c r="DP41" i="6"/>
  <c r="DO41" i="6"/>
  <c r="DN41" i="6"/>
  <c r="DM41" i="6"/>
  <c r="DL41" i="6"/>
  <c r="DK41" i="6"/>
  <c r="DI41" i="6"/>
  <c r="DH41" i="6"/>
  <c r="DG41" i="6"/>
  <c r="DF41" i="6"/>
  <c r="DE41" i="6"/>
  <c r="DD41" i="6"/>
  <c r="DC41" i="6"/>
  <c r="DB41" i="6"/>
  <c r="DA41" i="6"/>
  <c r="CZ41" i="6"/>
  <c r="CY41" i="6"/>
  <c r="CW41" i="6"/>
  <c r="CV41" i="6"/>
  <c r="CU41" i="6"/>
  <c r="CT41" i="6"/>
  <c r="CS41" i="6"/>
  <c r="CR41" i="6"/>
  <c r="CQ41" i="6"/>
  <c r="CP41" i="6"/>
  <c r="CO41" i="6"/>
  <c r="CN41" i="6"/>
  <c r="CM41" i="6"/>
  <c r="CK41" i="6"/>
  <c r="CJ41" i="6"/>
  <c r="CI41" i="6"/>
  <c r="CH41" i="6"/>
  <c r="CG41" i="6"/>
  <c r="CF41" i="6"/>
  <c r="CE41" i="6"/>
  <c r="CD41" i="6"/>
  <c r="CC41" i="6"/>
  <c r="CB41" i="6"/>
  <c r="CA41" i="6"/>
  <c r="BY41" i="6"/>
  <c r="BX41" i="6"/>
  <c r="BW41" i="6"/>
  <c r="BV41" i="6"/>
  <c r="BU41" i="6"/>
  <c r="BT41" i="6"/>
  <c r="BS41" i="6"/>
  <c r="BR41" i="6"/>
  <c r="BQ41" i="6"/>
  <c r="BP41" i="6"/>
  <c r="BO41" i="6"/>
  <c r="BM41" i="6"/>
  <c r="BL41" i="6"/>
  <c r="BK41" i="6"/>
  <c r="BJ41" i="6"/>
  <c r="BI41" i="6"/>
  <c r="BH41" i="6"/>
  <c r="BG41" i="6"/>
  <c r="BF41" i="6"/>
  <c r="BE41" i="6"/>
  <c r="BD41" i="6"/>
  <c r="BC41" i="6"/>
  <c r="BA41" i="6"/>
  <c r="AZ41" i="6"/>
  <c r="AY41" i="6"/>
  <c r="AX41" i="6"/>
  <c r="AW41" i="6"/>
  <c r="AV41" i="6"/>
  <c r="AU41" i="6"/>
  <c r="AT41" i="6"/>
  <c r="AS41" i="6"/>
  <c r="AR41" i="6"/>
  <c r="AQ41" i="6"/>
  <c r="AO41" i="6"/>
  <c r="AN41" i="6"/>
  <c r="AM41" i="6"/>
  <c r="AL41" i="6"/>
  <c r="AK41" i="6"/>
  <c r="AJ41" i="6"/>
  <c r="AI41" i="6"/>
  <c r="AH41" i="6"/>
  <c r="AG41" i="6"/>
  <c r="AF41" i="6"/>
  <c r="AE41" i="6"/>
  <c r="AC41" i="6"/>
  <c r="AB41" i="6"/>
  <c r="AA41" i="6"/>
  <c r="Z41" i="6"/>
  <c r="Y41" i="6"/>
  <c r="X41" i="6"/>
  <c r="W41" i="6"/>
  <c r="V41" i="6"/>
  <c r="U41" i="6"/>
  <c r="T41" i="6"/>
  <c r="S41" i="6"/>
  <c r="Q41" i="6"/>
  <c r="EF41" i="6" s="1"/>
  <c r="P41" i="6"/>
  <c r="EE41" i="6" s="1"/>
  <c r="O41" i="6"/>
  <c r="ED41" i="6" s="1"/>
  <c r="N41" i="6"/>
  <c r="EC41" i="6" s="1"/>
  <c r="M41" i="6"/>
  <c r="EB41" i="6" s="1"/>
  <c r="L41" i="6"/>
  <c r="EA41" i="6" s="1"/>
  <c r="K41" i="6"/>
  <c r="DZ41" i="6" s="1"/>
  <c r="J41" i="6"/>
  <c r="DY41" i="6" s="1"/>
  <c r="I41" i="6"/>
  <c r="DX41" i="6" s="1"/>
  <c r="H41" i="6"/>
  <c r="DW41" i="6" s="1"/>
  <c r="G41" i="6"/>
  <c r="DV41" i="6" s="1"/>
  <c r="DU40" i="6"/>
  <c r="DT40" i="6"/>
  <c r="DS40" i="6"/>
  <c r="DR40" i="6"/>
  <c r="DQ40" i="6"/>
  <c r="DP40" i="6"/>
  <c r="DO40" i="6"/>
  <c r="DN40" i="6"/>
  <c r="DM40" i="6"/>
  <c r="DL40" i="6"/>
  <c r="DK40" i="6"/>
  <c r="DI40" i="6"/>
  <c r="DH40" i="6"/>
  <c r="DG40" i="6"/>
  <c r="DF40" i="6"/>
  <c r="DE40" i="6"/>
  <c r="DD40" i="6"/>
  <c r="DC40" i="6"/>
  <c r="DB40" i="6"/>
  <c r="DA40" i="6"/>
  <c r="CZ40" i="6"/>
  <c r="CY40" i="6"/>
  <c r="CW40" i="6"/>
  <c r="CV40" i="6"/>
  <c r="CU40" i="6"/>
  <c r="CT40" i="6"/>
  <c r="CS40" i="6"/>
  <c r="CR40" i="6"/>
  <c r="CQ40" i="6"/>
  <c r="CP40" i="6"/>
  <c r="CO40" i="6"/>
  <c r="CN40" i="6"/>
  <c r="CM40" i="6"/>
  <c r="CK40" i="6"/>
  <c r="CJ40" i="6"/>
  <c r="CI40" i="6"/>
  <c r="CH40" i="6"/>
  <c r="CG40" i="6"/>
  <c r="CF40" i="6"/>
  <c r="CE40" i="6"/>
  <c r="CD40" i="6"/>
  <c r="CC40" i="6"/>
  <c r="CB40" i="6"/>
  <c r="CA40" i="6"/>
  <c r="BY40" i="6"/>
  <c r="BX40" i="6"/>
  <c r="BW40" i="6"/>
  <c r="BV40" i="6"/>
  <c r="BU40" i="6"/>
  <c r="BT40" i="6"/>
  <c r="BS40" i="6"/>
  <c r="BR40" i="6"/>
  <c r="BQ40" i="6"/>
  <c r="BP40" i="6"/>
  <c r="BO40" i="6"/>
  <c r="BM40" i="6"/>
  <c r="BL40" i="6"/>
  <c r="BK40" i="6"/>
  <c r="BJ40" i="6"/>
  <c r="BI40" i="6"/>
  <c r="BH40" i="6"/>
  <c r="BG40" i="6"/>
  <c r="BF40" i="6"/>
  <c r="BE40" i="6"/>
  <c r="BD40" i="6"/>
  <c r="BC40" i="6"/>
  <c r="BA40" i="6"/>
  <c r="AZ40" i="6"/>
  <c r="AY40" i="6"/>
  <c r="AX40" i="6"/>
  <c r="AW40" i="6"/>
  <c r="AV40" i="6"/>
  <c r="AU40" i="6"/>
  <c r="AT40" i="6"/>
  <c r="AS40" i="6"/>
  <c r="AR40" i="6"/>
  <c r="AQ40" i="6"/>
  <c r="AO40" i="6"/>
  <c r="AN40" i="6"/>
  <c r="AM40" i="6"/>
  <c r="AL40" i="6"/>
  <c r="AK40" i="6"/>
  <c r="AJ40" i="6"/>
  <c r="AI40" i="6"/>
  <c r="AH40" i="6"/>
  <c r="AG40" i="6"/>
  <c r="AF40" i="6"/>
  <c r="AE40" i="6"/>
  <c r="AC40" i="6"/>
  <c r="AB40" i="6"/>
  <c r="AA40" i="6"/>
  <c r="Z40" i="6"/>
  <c r="Y40" i="6"/>
  <c r="X40" i="6"/>
  <c r="W40" i="6"/>
  <c r="V40" i="6"/>
  <c r="U40" i="6"/>
  <c r="T40" i="6"/>
  <c r="S40" i="6"/>
  <c r="Q40" i="6"/>
  <c r="EF40" i="6" s="1"/>
  <c r="P40" i="6"/>
  <c r="EE40" i="6" s="1"/>
  <c r="O40" i="6"/>
  <c r="ED40" i="6" s="1"/>
  <c r="N40" i="6"/>
  <c r="EC40" i="6" s="1"/>
  <c r="M40" i="6"/>
  <c r="EB40" i="6" s="1"/>
  <c r="L40" i="6"/>
  <c r="EA40" i="6" s="1"/>
  <c r="K40" i="6"/>
  <c r="DZ40" i="6" s="1"/>
  <c r="J40" i="6"/>
  <c r="DY40" i="6" s="1"/>
  <c r="I40" i="6"/>
  <c r="DX40" i="6" s="1"/>
  <c r="H40" i="6"/>
  <c r="DW40" i="6" s="1"/>
  <c r="G40" i="6"/>
  <c r="DV40" i="6" s="1"/>
  <c r="DU39" i="6"/>
  <c r="DT39" i="6"/>
  <c r="DS39" i="6"/>
  <c r="DR39" i="6"/>
  <c r="DQ39" i="6"/>
  <c r="DP39" i="6"/>
  <c r="DO39" i="6"/>
  <c r="DN39" i="6"/>
  <c r="DM39" i="6"/>
  <c r="DL39" i="6"/>
  <c r="DK39" i="6"/>
  <c r="DI39" i="6"/>
  <c r="DH39" i="6"/>
  <c r="DG39" i="6"/>
  <c r="DF39" i="6"/>
  <c r="DE39" i="6"/>
  <c r="DD39" i="6"/>
  <c r="DC39" i="6"/>
  <c r="DB39" i="6"/>
  <c r="DA39" i="6"/>
  <c r="CZ39" i="6"/>
  <c r="CY39" i="6"/>
  <c r="CW39" i="6"/>
  <c r="CV39" i="6"/>
  <c r="CU39" i="6"/>
  <c r="CT39" i="6"/>
  <c r="CS39" i="6"/>
  <c r="CR39" i="6"/>
  <c r="CQ39" i="6"/>
  <c r="CP39" i="6"/>
  <c r="CO39" i="6"/>
  <c r="CN39" i="6"/>
  <c r="CM39" i="6"/>
  <c r="CK39" i="6"/>
  <c r="CJ39" i="6"/>
  <c r="CI39" i="6"/>
  <c r="CH39" i="6"/>
  <c r="CG39" i="6"/>
  <c r="CF39" i="6"/>
  <c r="CE39" i="6"/>
  <c r="CD39" i="6"/>
  <c r="CC39" i="6"/>
  <c r="CB39" i="6"/>
  <c r="CA39" i="6"/>
  <c r="BY39" i="6"/>
  <c r="BX39" i="6"/>
  <c r="BW39" i="6"/>
  <c r="BV39" i="6"/>
  <c r="BU39" i="6"/>
  <c r="BT39" i="6"/>
  <c r="BS39" i="6"/>
  <c r="BR39" i="6"/>
  <c r="BQ39" i="6"/>
  <c r="BP39" i="6"/>
  <c r="BO39" i="6"/>
  <c r="BM39" i="6"/>
  <c r="BL39" i="6"/>
  <c r="BK39" i="6"/>
  <c r="BJ39" i="6"/>
  <c r="BI39" i="6"/>
  <c r="BH39" i="6"/>
  <c r="BG39" i="6"/>
  <c r="BF39" i="6"/>
  <c r="BE39" i="6"/>
  <c r="BD39" i="6"/>
  <c r="BC39" i="6"/>
  <c r="BA39" i="6"/>
  <c r="AZ39" i="6"/>
  <c r="AY39" i="6"/>
  <c r="AX39" i="6"/>
  <c r="AW39" i="6"/>
  <c r="AV39" i="6"/>
  <c r="AU39" i="6"/>
  <c r="AT39" i="6"/>
  <c r="AS39" i="6"/>
  <c r="AR39" i="6"/>
  <c r="AQ39" i="6"/>
  <c r="AO39" i="6"/>
  <c r="AN39" i="6"/>
  <c r="AM39" i="6"/>
  <c r="AL39" i="6"/>
  <c r="AK39" i="6"/>
  <c r="AJ39" i="6"/>
  <c r="AI39" i="6"/>
  <c r="AH39" i="6"/>
  <c r="AG39" i="6"/>
  <c r="AF39" i="6"/>
  <c r="AE39" i="6"/>
  <c r="AC39" i="6"/>
  <c r="AB39" i="6"/>
  <c r="AA39" i="6"/>
  <c r="Z39" i="6"/>
  <c r="Y39" i="6"/>
  <c r="X39" i="6"/>
  <c r="W39" i="6"/>
  <c r="V39" i="6"/>
  <c r="U39" i="6"/>
  <c r="T39" i="6"/>
  <c r="S39" i="6"/>
  <c r="Q39" i="6"/>
  <c r="EF39" i="6" s="1"/>
  <c r="P39" i="6"/>
  <c r="EE39" i="6" s="1"/>
  <c r="O39" i="6"/>
  <c r="ED39" i="6" s="1"/>
  <c r="N39" i="6"/>
  <c r="EC39" i="6" s="1"/>
  <c r="M39" i="6"/>
  <c r="EB39" i="6" s="1"/>
  <c r="L39" i="6"/>
  <c r="EA39" i="6" s="1"/>
  <c r="K39" i="6"/>
  <c r="DZ39" i="6" s="1"/>
  <c r="J39" i="6"/>
  <c r="DY39" i="6" s="1"/>
  <c r="I39" i="6"/>
  <c r="DX39" i="6" s="1"/>
  <c r="H39" i="6"/>
  <c r="DW39" i="6" s="1"/>
  <c r="G39" i="6"/>
  <c r="DV39" i="6" s="1"/>
  <c r="DU38" i="6"/>
  <c r="DT38" i="6"/>
  <c r="DS38" i="6"/>
  <c r="DR38" i="6"/>
  <c r="DQ38" i="6"/>
  <c r="DP38" i="6"/>
  <c r="DO38" i="6"/>
  <c r="DN38" i="6"/>
  <c r="DM38" i="6"/>
  <c r="DL38" i="6"/>
  <c r="DK38" i="6"/>
  <c r="DI38" i="6"/>
  <c r="DH38" i="6"/>
  <c r="DG38" i="6"/>
  <c r="DF38" i="6"/>
  <c r="DE38" i="6"/>
  <c r="DD38" i="6"/>
  <c r="DC38" i="6"/>
  <c r="DB38" i="6"/>
  <c r="DA38" i="6"/>
  <c r="CZ38" i="6"/>
  <c r="CY38" i="6"/>
  <c r="CW38" i="6"/>
  <c r="CV38" i="6"/>
  <c r="CU38" i="6"/>
  <c r="CT38" i="6"/>
  <c r="CS38" i="6"/>
  <c r="CR38" i="6"/>
  <c r="CQ38" i="6"/>
  <c r="CP38" i="6"/>
  <c r="CO38" i="6"/>
  <c r="CN38" i="6"/>
  <c r="CM38" i="6"/>
  <c r="CK38" i="6"/>
  <c r="CJ38" i="6"/>
  <c r="CI38" i="6"/>
  <c r="CH38" i="6"/>
  <c r="CG38" i="6"/>
  <c r="CF38" i="6"/>
  <c r="CE38" i="6"/>
  <c r="CD38" i="6"/>
  <c r="CC38" i="6"/>
  <c r="CB38" i="6"/>
  <c r="CA38" i="6"/>
  <c r="BY38" i="6"/>
  <c r="BX38" i="6"/>
  <c r="BW38" i="6"/>
  <c r="BV38" i="6"/>
  <c r="BU38" i="6"/>
  <c r="BT38" i="6"/>
  <c r="BS38" i="6"/>
  <c r="BR38" i="6"/>
  <c r="BQ38" i="6"/>
  <c r="BP38" i="6"/>
  <c r="BO38" i="6"/>
  <c r="BM38" i="6"/>
  <c r="BL38" i="6"/>
  <c r="BK38" i="6"/>
  <c r="BJ38" i="6"/>
  <c r="BI38" i="6"/>
  <c r="BH38" i="6"/>
  <c r="BG38" i="6"/>
  <c r="BF38" i="6"/>
  <c r="BE38" i="6"/>
  <c r="BD38" i="6"/>
  <c r="BC38" i="6"/>
  <c r="BA38" i="6"/>
  <c r="AZ38" i="6"/>
  <c r="AY38" i="6"/>
  <c r="AX38" i="6"/>
  <c r="AW38" i="6"/>
  <c r="AV38" i="6"/>
  <c r="AU38" i="6"/>
  <c r="AT38" i="6"/>
  <c r="AS38" i="6"/>
  <c r="AR38" i="6"/>
  <c r="AQ38" i="6"/>
  <c r="AO38" i="6"/>
  <c r="AN38" i="6"/>
  <c r="AM38" i="6"/>
  <c r="AL38" i="6"/>
  <c r="AK38" i="6"/>
  <c r="AJ38" i="6"/>
  <c r="AI38" i="6"/>
  <c r="AH38" i="6"/>
  <c r="AG38" i="6"/>
  <c r="AF38" i="6"/>
  <c r="AE38" i="6"/>
  <c r="AC38" i="6"/>
  <c r="AB38" i="6"/>
  <c r="AA38" i="6"/>
  <c r="Z38" i="6"/>
  <c r="Y38" i="6"/>
  <c r="X38" i="6"/>
  <c r="W38" i="6"/>
  <c r="V38" i="6"/>
  <c r="U38" i="6"/>
  <c r="T38" i="6"/>
  <c r="S38" i="6"/>
  <c r="Q38" i="6"/>
  <c r="EF38" i="6" s="1"/>
  <c r="P38" i="6"/>
  <c r="EE38" i="6" s="1"/>
  <c r="O38" i="6"/>
  <c r="ED38" i="6" s="1"/>
  <c r="N38" i="6"/>
  <c r="EC38" i="6" s="1"/>
  <c r="M38" i="6"/>
  <c r="EB38" i="6" s="1"/>
  <c r="L38" i="6"/>
  <c r="EA38" i="6" s="1"/>
  <c r="K38" i="6"/>
  <c r="DZ38" i="6" s="1"/>
  <c r="J38" i="6"/>
  <c r="DY38" i="6" s="1"/>
  <c r="I38" i="6"/>
  <c r="DX38" i="6" s="1"/>
  <c r="H38" i="6"/>
  <c r="DW38" i="6" s="1"/>
  <c r="G38" i="6"/>
  <c r="DV38" i="6" s="1"/>
  <c r="DU37" i="6"/>
  <c r="DT37" i="6"/>
  <c r="DS37" i="6"/>
  <c r="DR37" i="6"/>
  <c r="DQ37" i="6"/>
  <c r="DP37" i="6"/>
  <c r="DO37" i="6"/>
  <c r="DN37" i="6"/>
  <c r="DM37" i="6"/>
  <c r="DL37" i="6"/>
  <c r="DK37" i="6"/>
  <c r="DI37" i="6"/>
  <c r="DH37" i="6"/>
  <c r="DG37" i="6"/>
  <c r="DF37" i="6"/>
  <c r="DE37" i="6"/>
  <c r="DD37" i="6"/>
  <c r="DC37" i="6"/>
  <c r="DB37" i="6"/>
  <c r="DA37" i="6"/>
  <c r="CZ37" i="6"/>
  <c r="CY37" i="6"/>
  <c r="CW37" i="6"/>
  <c r="CV37" i="6"/>
  <c r="CU37" i="6"/>
  <c r="CT37" i="6"/>
  <c r="CS37" i="6"/>
  <c r="CR37" i="6"/>
  <c r="CQ37" i="6"/>
  <c r="CP37" i="6"/>
  <c r="CO37" i="6"/>
  <c r="CN37" i="6"/>
  <c r="CM37" i="6"/>
  <c r="CK37" i="6"/>
  <c r="CJ37" i="6"/>
  <c r="CI37" i="6"/>
  <c r="CH37" i="6"/>
  <c r="CG37" i="6"/>
  <c r="CF37" i="6"/>
  <c r="CE37" i="6"/>
  <c r="CD37" i="6"/>
  <c r="CC37" i="6"/>
  <c r="CB37" i="6"/>
  <c r="CA37" i="6"/>
  <c r="BY37" i="6"/>
  <c r="BX37" i="6"/>
  <c r="BW37" i="6"/>
  <c r="BV37" i="6"/>
  <c r="BU37" i="6"/>
  <c r="BT37" i="6"/>
  <c r="BS37" i="6"/>
  <c r="BR37" i="6"/>
  <c r="BQ37" i="6"/>
  <c r="BP37" i="6"/>
  <c r="BO37" i="6"/>
  <c r="BM37" i="6"/>
  <c r="BL37" i="6"/>
  <c r="BK37" i="6"/>
  <c r="BJ37" i="6"/>
  <c r="BI37" i="6"/>
  <c r="BH37" i="6"/>
  <c r="BG37" i="6"/>
  <c r="BF37" i="6"/>
  <c r="BE37" i="6"/>
  <c r="BD37" i="6"/>
  <c r="BC37" i="6"/>
  <c r="BA37" i="6"/>
  <c r="AZ37" i="6"/>
  <c r="AY37" i="6"/>
  <c r="AX37" i="6"/>
  <c r="AW37" i="6"/>
  <c r="AV37" i="6"/>
  <c r="AU37" i="6"/>
  <c r="AT37" i="6"/>
  <c r="AS37" i="6"/>
  <c r="AR37" i="6"/>
  <c r="AQ37" i="6"/>
  <c r="AO37" i="6"/>
  <c r="AN37" i="6"/>
  <c r="AM37" i="6"/>
  <c r="AL37" i="6"/>
  <c r="AK37" i="6"/>
  <c r="AJ37" i="6"/>
  <c r="AI37" i="6"/>
  <c r="AH37" i="6"/>
  <c r="AG37" i="6"/>
  <c r="AF37" i="6"/>
  <c r="AE37" i="6"/>
  <c r="AC37" i="6"/>
  <c r="AB37" i="6"/>
  <c r="AA37" i="6"/>
  <c r="Z37" i="6"/>
  <c r="Y37" i="6"/>
  <c r="X37" i="6"/>
  <c r="W37" i="6"/>
  <c r="V37" i="6"/>
  <c r="U37" i="6"/>
  <c r="T37" i="6"/>
  <c r="S37" i="6"/>
  <c r="Q37" i="6"/>
  <c r="EF37" i="6" s="1"/>
  <c r="P37" i="6"/>
  <c r="EE37" i="6" s="1"/>
  <c r="O37" i="6"/>
  <c r="ED37" i="6" s="1"/>
  <c r="N37" i="6"/>
  <c r="EC37" i="6" s="1"/>
  <c r="M37" i="6"/>
  <c r="EB37" i="6" s="1"/>
  <c r="L37" i="6"/>
  <c r="EA37" i="6" s="1"/>
  <c r="K37" i="6"/>
  <c r="DZ37" i="6" s="1"/>
  <c r="J37" i="6"/>
  <c r="DY37" i="6" s="1"/>
  <c r="I37" i="6"/>
  <c r="DX37" i="6" s="1"/>
  <c r="H37" i="6"/>
  <c r="DW37" i="6" s="1"/>
  <c r="G37" i="6"/>
  <c r="DV37" i="6" s="1"/>
  <c r="DU36" i="6"/>
  <c r="DT36" i="6"/>
  <c r="DS36" i="6"/>
  <c r="DR36" i="6"/>
  <c r="DQ36" i="6"/>
  <c r="DP36" i="6"/>
  <c r="DO36" i="6"/>
  <c r="DN36" i="6"/>
  <c r="DM36" i="6"/>
  <c r="DL36" i="6"/>
  <c r="DK36" i="6"/>
  <c r="DI36" i="6"/>
  <c r="DH36" i="6"/>
  <c r="DG36" i="6"/>
  <c r="DF36" i="6"/>
  <c r="DE36" i="6"/>
  <c r="DD36" i="6"/>
  <c r="DC36" i="6"/>
  <c r="DB36" i="6"/>
  <c r="DA36" i="6"/>
  <c r="CZ36" i="6"/>
  <c r="CY36" i="6"/>
  <c r="CW36" i="6"/>
  <c r="CV36" i="6"/>
  <c r="CU36" i="6"/>
  <c r="CT36" i="6"/>
  <c r="CS36" i="6"/>
  <c r="CR36" i="6"/>
  <c r="CQ36" i="6"/>
  <c r="CP36" i="6"/>
  <c r="CO36" i="6"/>
  <c r="CN36" i="6"/>
  <c r="CM36" i="6"/>
  <c r="CK36" i="6"/>
  <c r="CJ36" i="6"/>
  <c r="CI36" i="6"/>
  <c r="CH36" i="6"/>
  <c r="CG36" i="6"/>
  <c r="CF36" i="6"/>
  <c r="CE36" i="6"/>
  <c r="CD36" i="6"/>
  <c r="CC36" i="6"/>
  <c r="CB36" i="6"/>
  <c r="CA36" i="6"/>
  <c r="BY36" i="6"/>
  <c r="BX36" i="6"/>
  <c r="BW36" i="6"/>
  <c r="BV36" i="6"/>
  <c r="BU36" i="6"/>
  <c r="BT36" i="6"/>
  <c r="BS36" i="6"/>
  <c r="BR36" i="6"/>
  <c r="BQ36" i="6"/>
  <c r="BP36" i="6"/>
  <c r="BO36" i="6"/>
  <c r="BM36" i="6"/>
  <c r="BL36" i="6"/>
  <c r="BK36" i="6"/>
  <c r="BJ36" i="6"/>
  <c r="BI36" i="6"/>
  <c r="BH36" i="6"/>
  <c r="BG36" i="6"/>
  <c r="BF36" i="6"/>
  <c r="BE36" i="6"/>
  <c r="BD36" i="6"/>
  <c r="BC36" i="6"/>
  <c r="BA36" i="6"/>
  <c r="AZ36" i="6"/>
  <c r="AY36" i="6"/>
  <c r="AX36" i="6"/>
  <c r="AW36" i="6"/>
  <c r="AV36" i="6"/>
  <c r="AU36" i="6"/>
  <c r="AT36" i="6"/>
  <c r="AS36" i="6"/>
  <c r="AR36" i="6"/>
  <c r="AQ36" i="6"/>
  <c r="AO36" i="6"/>
  <c r="AN36" i="6"/>
  <c r="AM36" i="6"/>
  <c r="AL36" i="6"/>
  <c r="AK36" i="6"/>
  <c r="AJ36" i="6"/>
  <c r="AI36" i="6"/>
  <c r="AH36" i="6"/>
  <c r="AG36" i="6"/>
  <c r="AF36" i="6"/>
  <c r="AE36" i="6"/>
  <c r="AC36" i="6"/>
  <c r="AB36" i="6"/>
  <c r="AA36" i="6"/>
  <c r="Z36" i="6"/>
  <c r="Y36" i="6"/>
  <c r="X36" i="6"/>
  <c r="W36" i="6"/>
  <c r="V36" i="6"/>
  <c r="U36" i="6"/>
  <c r="T36" i="6"/>
  <c r="S36" i="6"/>
  <c r="Q36" i="6"/>
  <c r="EF36" i="6" s="1"/>
  <c r="P36" i="6"/>
  <c r="EE36" i="6" s="1"/>
  <c r="O36" i="6"/>
  <c r="ED36" i="6" s="1"/>
  <c r="N36" i="6"/>
  <c r="EC36" i="6" s="1"/>
  <c r="M36" i="6"/>
  <c r="EB36" i="6" s="1"/>
  <c r="L36" i="6"/>
  <c r="EA36" i="6" s="1"/>
  <c r="K36" i="6"/>
  <c r="DZ36" i="6" s="1"/>
  <c r="J36" i="6"/>
  <c r="DY36" i="6" s="1"/>
  <c r="I36" i="6"/>
  <c r="DX36" i="6" s="1"/>
  <c r="H36" i="6"/>
  <c r="DW36" i="6" s="1"/>
  <c r="G36" i="6"/>
  <c r="DV36" i="6" s="1"/>
  <c r="DU35" i="6"/>
  <c r="DT35" i="6"/>
  <c r="DS35" i="6"/>
  <c r="DR35" i="6"/>
  <c r="DQ35" i="6"/>
  <c r="DP35" i="6"/>
  <c r="DO35" i="6"/>
  <c r="DN35" i="6"/>
  <c r="DM35" i="6"/>
  <c r="DL35" i="6"/>
  <c r="DK35" i="6"/>
  <c r="DI35" i="6"/>
  <c r="DH35" i="6"/>
  <c r="DG35" i="6"/>
  <c r="DF35" i="6"/>
  <c r="DE35" i="6"/>
  <c r="DD35" i="6"/>
  <c r="DC35" i="6"/>
  <c r="DB35" i="6"/>
  <c r="DA35" i="6"/>
  <c r="CZ35" i="6"/>
  <c r="CY35" i="6"/>
  <c r="CW35" i="6"/>
  <c r="CV35" i="6"/>
  <c r="CU35" i="6"/>
  <c r="CT35" i="6"/>
  <c r="CS35" i="6"/>
  <c r="CR35" i="6"/>
  <c r="CQ35" i="6"/>
  <c r="CP35" i="6"/>
  <c r="CO35" i="6"/>
  <c r="CN35" i="6"/>
  <c r="CM35" i="6"/>
  <c r="CK35" i="6"/>
  <c r="CJ35" i="6"/>
  <c r="CI35" i="6"/>
  <c r="CH35" i="6"/>
  <c r="CG35" i="6"/>
  <c r="CF35" i="6"/>
  <c r="CE35" i="6"/>
  <c r="CD35" i="6"/>
  <c r="CC35" i="6"/>
  <c r="CB35" i="6"/>
  <c r="CA35" i="6"/>
  <c r="BY35" i="6"/>
  <c r="BX35" i="6"/>
  <c r="BW35" i="6"/>
  <c r="BV35" i="6"/>
  <c r="BU35" i="6"/>
  <c r="BT35" i="6"/>
  <c r="BS35" i="6"/>
  <c r="BR35" i="6"/>
  <c r="BQ35" i="6"/>
  <c r="BP35" i="6"/>
  <c r="BO35" i="6"/>
  <c r="BM35" i="6"/>
  <c r="BL35" i="6"/>
  <c r="BK35" i="6"/>
  <c r="BJ35" i="6"/>
  <c r="BI35" i="6"/>
  <c r="BH35" i="6"/>
  <c r="BG35" i="6"/>
  <c r="BF35" i="6"/>
  <c r="BE35" i="6"/>
  <c r="BD35" i="6"/>
  <c r="BC35" i="6"/>
  <c r="BA35" i="6"/>
  <c r="AZ35" i="6"/>
  <c r="AY35" i="6"/>
  <c r="AX35" i="6"/>
  <c r="AW35" i="6"/>
  <c r="AV35" i="6"/>
  <c r="AU35" i="6"/>
  <c r="AT35" i="6"/>
  <c r="AS35" i="6"/>
  <c r="AR35" i="6"/>
  <c r="AQ35" i="6"/>
  <c r="AO35" i="6"/>
  <c r="AN35" i="6"/>
  <c r="AM35" i="6"/>
  <c r="AL35" i="6"/>
  <c r="AK35" i="6"/>
  <c r="AJ35" i="6"/>
  <c r="AI35" i="6"/>
  <c r="AH35" i="6"/>
  <c r="AG35" i="6"/>
  <c r="AF35" i="6"/>
  <c r="AE35" i="6"/>
  <c r="AC35" i="6"/>
  <c r="AB35" i="6"/>
  <c r="AA35" i="6"/>
  <c r="Z35" i="6"/>
  <c r="Y35" i="6"/>
  <c r="X35" i="6"/>
  <c r="W35" i="6"/>
  <c r="V35" i="6"/>
  <c r="U35" i="6"/>
  <c r="T35" i="6"/>
  <c r="S35" i="6"/>
  <c r="Q35" i="6"/>
  <c r="EF35" i="6" s="1"/>
  <c r="P35" i="6"/>
  <c r="EE35" i="6" s="1"/>
  <c r="O35" i="6"/>
  <c r="ED35" i="6" s="1"/>
  <c r="N35" i="6"/>
  <c r="EC35" i="6" s="1"/>
  <c r="M35" i="6"/>
  <c r="EB35" i="6" s="1"/>
  <c r="L35" i="6"/>
  <c r="EA35" i="6" s="1"/>
  <c r="K35" i="6"/>
  <c r="DZ35" i="6" s="1"/>
  <c r="J35" i="6"/>
  <c r="DY35" i="6" s="1"/>
  <c r="I35" i="6"/>
  <c r="DX35" i="6" s="1"/>
  <c r="H35" i="6"/>
  <c r="DW35" i="6" s="1"/>
  <c r="G35" i="6"/>
  <c r="DV35" i="6" s="1"/>
  <c r="DU34" i="6"/>
  <c r="DT34" i="6"/>
  <c r="DS34" i="6"/>
  <c r="DR34" i="6"/>
  <c r="DQ34" i="6"/>
  <c r="DP34" i="6"/>
  <c r="DO34" i="6"/>
  <c r="DN34" i="6"/>
  <c r="DM34" i="6"/>
  <c r="DL34" i="6"/>
  <c r="DK34" i="6"/>
  <c r="DI34" i="6"/>
  <c r="DH34" i="6"/>
  <c r="DG34" i="6"/>
  <c r="DF34" i="6"/>
  <c r="DE34" i="6"/>
  <c r="DD34" i="6"/>
  <c r="DC34" i="6"/>
  <c r="DB34" i="6"/>
  <c r="DA34" i="6"/>
  <c r="CZ34" i="6"/>
  <c r="CY34" i="6"/>
  <c r="CW34" i="6"/>
  <c r="CV34" i="6"/>
  <c r="CU34" i="6"/>
  <c r="CT34" i="6"/>
  <c r="CS34" i="6"/>
  <c r="CR34" i="6"/>
  <c r="CQ34" i="6"/>
  <c r="CP34" i="6"/>
  <c r="CO34" i="6"/>
  <c r="CN34" i="6"/>
  <c r="CM34" i="6"/>
  <c r="CK34" i="6"/>
  <c r="CJ34" i="6"/>
  <c r="CI34" i="6"/>
  <c r="CH34" i="6"/>
  <c r="CG34" i="6"/>
  <c r="CF34" i="6"/>
  <c r="CE34" i="6"/>
  <c r="CD34" i="6"/>
  <c r="CC34" i="6"/>
  <c r="CB34" i="6"/>
  <c r="CA34" i="6"/>
  <c r="BY34" i="6"/>
  <c r="BX34" i="6"/>
  <c r="BW34" i="6"/>
  <c r="BV34" i="6"/>
  <c r="BU34" i="6"/>
  <c r="BT34" i="6"/>
  <c r="BS34" i="6"/>
  <c r="BR34" i="6"/>
  <c r="BQ34" i="6"/>
  <c r="BP34" i="6"/>
  <c r="BO34" i="6"/>
  <c r="BM34" i="6"/>
  <c r="BL34" i="6"/>
  <c r="BK34" i="6"/>
  <c r="BJ34" i="6"/>
  <c r="BI34" i="6"/>
  <c r="BH34" i="6"/>
  <c r="BG34" i="6"/>
  <c r="BF34" i="6"/>
  <c r="BE34" i="6"/>
  <c r="BD34" i="6"/>
  <c r="BC34" i="6"/>
  <c r="BA34" i="6"/>
  <c r="AZ34" i="6"/>
  <c r="AY34" i="6"/>
  <c r="AX34" i="6"/>
  <c r="AW34" i="6"/>
  <c r="AV34" i="6"/>
  <c r="AU34" i="6"/>
  <c r="AT34" i="6"/>
  <c r="AS34" i="6"/>
  <c r="AR34" i="6"/>
  <c r="AQ34" i="6"/>
  <c r="AO34" i="6"/>
  <c r="AN34" i="6"/>
  <c r="AM34" i="6"/>
  <c r="AL34" i="6"/>
  <c r="AK34" i="6"/>
  <c r="AJ34" i="6"/>
  <c r="AI34" i="6"/>
  <c r="AH34" i="6"/>
  <c r="AG34" i="6"/>
  <c r="AF34" i="6"/>
  <c r="AE34" i="6"/>
  <c r="AC34" i="6"/>
  <c r="AB34" i="6"/>
  <c r="AA34" i="6"/>
  <c r="Z34" i="6"/>
  <c r="Y34" i="6"/>
  <c r="X34" i="6"/>
  <c r="W34" i="6"/>
  <c r="V34" i="6"/>
  <c r="U34" i="6"/>
  <c r="T34" i="6"/>
  <c r="S34" i="6"/>
  <c r="Q34" i="6"/>
  <c r="EF34" i="6" s="1"/>
  <c r="P34" i="6"/>
  <c r="EE34" i="6" s="1"/>
  <c r="O34" i="6"/>
  <c r="ED34" i="6" s="1"/>
  <c r="N34" i="6"/>
  <c r="EC34" i="6" s="1"/>
  <c r="M34" i="6"/>
  <c r="EB34" i="6" s="1"/>
  <c r="L34" i="6"/>
  <c r="EA34" i="6" s="1"/>
  <c r="K34" i="6"/>
  <c r="DZ34" i="6" s="1"/>
  <c r="J34" i="6"/>
  <c r="DY34" i="6" s="1"/>
  <c r="I34" i="6"/>
  <c r="DX34" i="6" s="1"/>
  <c r="H34" i="6"/>
  <c r="DW34" i="6" s="1"/>
  <c r="G34" i="6"/>
  <c r="DV34" i="6" s="1"/>
  <c r="DU33" i="6"/>
  <c r="DT33" i="6"/>
  <c r="DS33" i="6"/>
  <c r="DR33" i="6"/>
  <c r="DQ33" i="6"/>
  <c r="DP33" i="6"/>
  <c r="DO33" i="6"/>
  <c r="DN33" i="6"/>
  <c r="DM33" i="6"/>
  <c r="DL33" i="6"/>
  <c r="DK33" i="6"/>
  <c r="DI33" i="6"/>
  <c r="DH33" i="6"/>
  <c r="DG33" i="6"/>
  <c r="DF33" i="6"/>
  <c r="DE33" i="6"/>
  <c r="DD33" i="6"/>
  <c r="DC33" i="6"/>
  <c r="DB33" i="6"/>
  <c r="DA33" i="6"/>
  <c r="CZ33" i="6"/>
  <c r="CY33" i="6"/>
  <c r="CW33" i="6"/>
  <c r="CV33" i="6"/>
  <c r="CU33" i="6"/>
  <c r="CT33" i="6"/>
  <c r="CS33" i="6"/>
  <c r="CR33" i="6"/>
  <c r="CQ33" i="6"/>
  <c r="CP33" i="6"/>
  <c r="CO33" i="6"/>
  <c r="CN33" i="6"/>
  <c r="CM33" i="6"/>
  <c r="CK33" i="6"/>
  <c r="CJ33" i="6"/>
  <c r="CI33" i="6"/>
  <c r="CH33" i="6"/>
  <c r="CG33" i="6"/>
  <c r="CF33" i="6"/>
  <c r="CE33" i="6"/>
  <c r="CD33" i="6"/>
  <c r="CC33" i="6"/>
  <c r="CB33" i="6"/>
  <c r="CA33" i="6"/>
  <c r="BY33" i="6"/>
  <c r="BX33" i="6"/>
  <c r="BW33" i="6"/>
  <c r="BV33" i="6"/>
  <c r="BU33" i="6"/>
  <c r="BT33" i="6"/>
  <c r="BS33" i="6"/>
  <c r="BR33" i="6"/>
  <c r="BQ33" i="6"/>
  <c r="BP33" i="6"/>
  <c r="BO33" i="6"/>
  <c r="BM33" i="6"/>
  <c r="BL33" i="6"/>
  <c r="BK33" i="6"/>
  <c r="BJ33" i="6"/>
  <c r="BI33" i="6"/>
  <c r="BH33" i="6"/>
  <c r="BG33" i="6"/>
  <c r="BF33" i="6"/>
  <c r="BE33" i="6"/>
  <c r="BD33" i="6"/>
  <c r="BC33" i="6"/>
  <c r="BA33" i="6"/>
  <c r="AZ33" i="6"/>
  <c r="AY33" i="6"/>
  <c r="AX33" i="6"/>
  <c r="AW33" i="6"/>
  <c r="AV33" i="6"/>
  <c r="AU33" i="6"/>
  <c r="AT33" i="6"/>
  <c r="AS33" i="6"/>
  <c r="AR33" i="6"/>
  <c r="AQ33" i="6"/>
  <c r="AO33" i="6"/>
  <c r="AN33" i="6"/>
  <c r="AM33" i="6"/>
  <c r="AL33" i="6"/>
  <c r="AK33" i="6"/>
  <c r="AJ33" i="6"/>
  <c r="AI33" i="6"/>
  <c r="AH33" i="6"/>
  <c r="AG33" i="6"/>
  <c r="AF33" i="6"/>
  <c r="AE33" i="6"/>
  <c r="AC33" i="6"/>
  <c r="AB33" i="6"/>
  <c r="AA33" i="6"/>
  <c r="Z33" i="6"/>
  <c r="Y33" i="6"/>
  <c r="X33" i="6"/>
  <c r="W33" i="6"/>
  <c r="V33" i="6"/>
  <c r="U33" i="6"/>
  <c r="T33" i="6"/>
  <c r="S33" i="6"/>
  <c r="Q33" i="6"/>
  <c r="EF33" i="6" s="1"/>
  <c r="P33" i="6"/>
  <c r="EE33" i="6" s="1"/>
  <c r="O33" i="6"/>
  <c r="ED33" i="6" s="1"/>
  <c r="N33" i="6"/>
  <c r="EC33" i="6" s="1"/>
  <c r="M33" i="6"/>
  <c r="EB33" i="6" s="1"/>
  <c r="L33" i="6"/>
  <c r="EA33" i="6" s="1"/>
  <c r="K33" i="6"/>
  <c r="DZ33" i="6" s="1"/>
  <c r="J33" i="6"/>
  <c r="DY33" i="6" s="1"/>
  <c r="I33" i="6"/>
  <c r="DX33" i="6" s="1"/>
  <c r="H33" i="6"/>
  <c r="DW33" i="6" s="1"/>
  <c r="G33" i="6"/>
  <c r="DV33" i="6" s="1"/>
  <c r="DU32" i="6"/>
  <c r="DT32" i="6"/>
  <c r="DS32" i="6"/>
  <c r="DR32" i="6"/>
  <c r="DQ32" i="6"/>
  <c r="DP32" i="6"/>
  <c r="DO32" i="6"/>
  <c r="DN32" i="6"/>
  <c r="DM32" i="6"/>
  <c r="DL32" i="6"/>
  <c r="DK32" i="6"/>
  <c r="DI32" i="6"/>
  <c r="DH32" i="6"/>
  <c r="DG32" i="6"/>
  <c r="DF32" i="6"/>
  <c r="DE32" i="6"/>
  <c r="DD32" i="6"/>
  <c r="DC32" i="6"/>
  <c r="DB32" i="6"/>
  <c r="DA32" i="6"/>
  <c r="CZ32" i="6"/>
  <c r="CY32" i="6"/>
  <c r="CW32" i="6"/>
  <c r="CV32" i="6"/>
  <c r="CU32" i="6"/>
  <c r="CT32" i="6"/>
  <c r="CS32" i="6"/>
  <c r="CR32" i="6"/>
  <c r="CQ32" i="6"/>
  <c r="CP32" i="6"/>
  <c r="CO32" i="6"/>
  <c r="CN32" i="6"/>
  <c r="CM32" i="6"/>
  <c r="CK32" i="6"/>
  <c r="CJ32" i="6"/>
  <c r="CI32" i="6"/>
  <c r="CH32" i="6"/>
  <c r="CG32" i="6"/>
  <c r="CF32" i="6"/>
  <c r="CE32" i="6"/>
  <c r="CD32" i="6"/>
  <c r="CC32" i="6"/>
  <c r="CB32" i="6"/>
  <c r="CA32" i="6"/>
  <c r="BY32" i="6"/>
  <c r="BX32" i="6"/>
  <c r="BW32" i="6"/>
  <c r="BV32" i="6"/>
  <c r="BU32" i="6"/>
  <c r="BT32" i="6"/>
  <c r="BS32" i="6"/>
  <c r="BR32" i="6"/>
  <c r="BQ32" i="6"/>
  <c r="BP32" i="6"/>
  <c r="BO32" i="6"/>
  <c r="BM32" i="6"/>
  <c r="BL32" i="6"/>
  <c r="BK32" i="6"/>
  <c r="BJ32" i="6"/>
  <c r="BI32" i="6"/>
  <c r="BH32" i="6"/>
  <c r="BG32" i="6"/>
  <c r="BF32" i="6"/>
  <c r="BE32" i="6"/>
  <c r="BD32" i="6"/>
  <c r="BC32" i="6"/>
  <c r="BA32" i="6"/>
  <c r="AZ32" i="6"/>
  <c r="AY32" i="6"/>
  <c r="AX32" i="6"/>
  <c r="AW32" i="6"/>
  <c r="AV32" i="6"/>
  <c r="AU32" i="6"/>
  <c r="AT32" i="6"/>
  <c r="AS32" i="6"/>
  <c r="AR32" i="6"/>
  <c r="AQ32" i="6"/>
  <c r="AO32" i="6"/>
  <c r="AN32" i="6"/>
  <c r="AM32" i="6"/>
  <c r="AL32" i="6"/>
  <c r="AK32" i="6"/>
  <c r="AJ32" i="6"/>
  <c r="AI32" i="6"/>
  <c r="AH32" i="6"/>
  <c r="AG32" i="6"/>
  <c r="AF32" i="6"/>
  <c r="AE32" i="6"/>
  <c r="AC32" i="6"/>
  <c r="AB32" i="6"/>
  <c r="AA32" i="6"/>
  <c r="Z32" i="6"/>
  <c r="Y32" i="6"/>
  <c r="X32" i="6"/>
  <c r="W32" i="6"/>
  <c r="V32" i="6"/>
  <c r="U32" i="6"/>
  <c r="T32" i="6"/>
  <c r="S32" i="6"/>
  <c r="Q32" i="6"/>
  <c r="EF32" i="6" s="1"/>
  <c r="P32" i="6"/>
  <c r="EE32" i="6" s="1"/>
  <c r="O32" i="6"/>
  <c r="ED32" i="6" s="1"/>
  <c r="N32" i="6"/>
  <c r="EC32" i="6" s="1"/>
  <c r="M32" i="6"/>
  <c r="EB32" i="6" s="1"/>
  <c r="L32" i="6"/>
  <c r="EA32" i="6" s="1"/>
  <c r="K32" i="6"/>
  <c r="DZ32" i="6" s="1"/>
  <c r="J32" i="6"/>
  <c r="DY32" i="6" s="1"/>
  <c r="I32" i="6"/>
  <c r="DX32" i="6" s="1"/>
  <c r="H32" i="6"/>
  <c r="DW32" i="6" s="1"/>
  <c r="G32" i="6"/>
  <c r="DV32" i="6" s="1"/>
  <c r="DU31" i="6"/>
  <c r="DT31" i="6"/>
  <c r="DS31" i="6"/>
  <c r="DR31" i="6"/>
  <c r="DQ31" i="6"/>
  <c r="DP31" i="6"/>
  <c r="DO31" i="6"/>
  <c r="DN31" i="6"/>
  <c r="DM31" i="6"/>
  <c r="DL31" i="6"/>
  <c r="DK31" i="6"/>
  <c r="DI31" i="6"/>
  <c r="DH31" i="6"/>
  <c r="DG31" i="6"/>
  <c r="DF31" i="6"/>
  <c r="DE31" i="6"/>
  <c r="DD31" i="6"/>
  <c r="DC31" i="6"/>
  <c r="DB31" i="6"/>
  <c r="DA31" i="6"/>
  <c r="CZ31" i="6"/>
  <c r="CY31" i="6"/>
  <c r="CW31" i="6"/>
  <c r="CV31" i="6"/>
  <c r="CU31" i="6"/>
  <c r="CT31" i="6"/>
  <c r="CS31" i="6"/>
  <c r="CR31" i="6"/>
  <c r="CQ31" i="6"/>
  <c r="CP31" i="6"/>
  <c r="CO31" i="6"/>
  <c r="CN31" i="6"/>
  <c r="CM31" i="6"/>
  <c r="CK31" i="6"/>
  <c r="CJ31" i="6"/>
  <c r="CI31" i="6"/>
  <c r="CH31" i="6"/>
  <c r="CG31" i="6"/>
  <c r="CF31" i="6"/>
  <c r="CE31" i="6"/>
  <c r="CD31" i="6"/>
  <c r="CC31" i="6"/>
  <c r="CB31" i="6"/>
  <c r="CA31" i="6"/>
  <c r="BY31" i="6"/>
  <c r="BX31" i="6"/>
  <c r="BW31" i="6"/>
  <c r="BV31" i="6"/>
  <c r="BU31" i="6"/>
  <c r="BT31" i="6"/>
  <c r="BS31" i="6"/>
  <c r="BR31" i="6"/>
  <c r="BQ31" i="6"/>
  <c r="BP31" i="6"/>
  <c r="BO31" i="6"/>
  <c r="BM31" i="6"/>
  <c r="BL31" i="6"/>
  <c r="BK31" i="6"/>
  <c r="BJ31" i="6"/>
  <c r="BI31" i="6"/>
  <c r="BH31" i="6"/>
  <c r="BG31" i="6"/>
  <c r="BF31" i="6"/>
  <c r="BE31" i="6"/>
  <c r="BD31" i="6"/>
  <c r="BC31" i="6"/>
  <c r="BA31" i="6"/>
  <c r="AZ31" i="6"/>
  <c r="AY31" i="6"/>
  <c r="AX31" i="6"/>
  <c r="AW31" i="6"/>
  <c r="AV31" i="6"/>
  <c r="AU31" i="6"/>
  <c r="AT31" i="6"/>
  <c r="AS31" i="6"/>
  <c r="AR31" i="6"/>
  <c r="AQ31" i="6"/>
  <c r="AO31" i="6"/>
  <c r="AN31" i="6"/>
  <c r="AM31" i="6"/>
  <c r="AL31" i="6"/>
  <c r="AK31" i="6"/>
  <c r="AJ31" i="6"/>
  <c r="AI31" i="6"/>
  <c r="AH31" i="6"/>
  <c r="AG31" i="6"/>
  <c r="AF31" i="6"/>
  <c r="AE31" i="6"/>
  <c r="AC31" i="6"/>
  <c r="AB31" i="6"/>
  <c r="AA31" i="6"/>
  <c r="Z31" i="6"/>
  <c r="Y31" i="6"/>
  <c r="X31" i="6"/>
  <c r="W31" i="6"/>
  <c r="V31" i="6"/>
  <c r="U31" i="6"/>
  <c r="T31" i="6"/>
  <c r="S31" i="6"/>
  <c r="Q31" i="6"/>
  <c r="EF31" i="6" s="1"/>
  <c r="P31" i="6"/>
  <c r="EE31" i="6" s="1"/>
  <c r="O31" i="6"/>
  <c r="ED31" i="6" s="1"/>
  <c r="N31" i="6"/>
  <c r="EC31" i="6" s="1"/>
  <c r="M31" i="6"/>
  <c r="EB31" i="6" s="1"/>
  <c r="L31" i="6"/>
  <c r="EA31" i="6" s="1"/>
  <c r="K31" i="6"/>
  <c r="DZ31" i="6" s="1"/>
  <c r="J31" i="6"/>
  <c r="DY31" i="6" s="1"/>
  <c r="I31" i="6"/>
  <c r="DX31" i="6" s="1"/>
  <c r="H31" i="6"/>
  <c r="DW31" i="6" s="1"/>
  <c r="G31" i="6"/>
  <c r="DV31" i="6" s="1"/>
  <c r="DU30" i="6"/>
  <c r="DT30" i="6"/>
  <c r="DS30" i="6"/>
  <c r="DR30" i="6"/>
  <c r="DQ30" i="6"/>
  <c r="DP30" i="6"/>
  <c r="DO30" i="6"/>
  <c r="DN30" i="6"/>
  <c r="DM30" i="6"/>
  <c r="DL30" i="6"/>
  <c r="DK30" i="6"/>
  <c r="DI30" i="6"/>
  <c r="DH30" i="6"/>
  <c r="DG30" i="6"/>
  <c r="DF30" i="6"/>
  <c r="DE30" i="6"/>
  <c r="DD30" i="6"/>
  <c r="DC30" i="6"/>
  <c r="DB30" i="6"/>
  <c r="DA30" i="6"/>
  <c r="CZ30" i="6"/>
  <c r="CY30" i="6"/>
  <c r="CW30" i="6"/>
  <c r="CV30" i="6"/>
  <c r="CU30" i="6"/>
  <c r="CT30" i="6"/>
  <c r="CS30" i="6"/>
  <c r="CR30" i="6"/>
  <c r="CQ30" i="6"/>
  <c r="CP30" i="6"/>
  <c r="CO30" i="6"/>
  <c r="CN30" i="6"/>
  <c r="CM30" i="6"/>
  <c r="CK30" i="6"/>
  <c r="CJ30" i="6"/>
  <c r="CI30" i="6"/>
  <c r="CH30" i="6"/>
  <c r="CG30" i="6"/>
  <c r="CF30" i="6"/>
  <c r="CE30" i="6"/>
  <c r="CD30" i="6"/>
  <c r="CC30" i="6"/>
  <c r="CB30" i="6"/>
  <c r="CA30" i="6"/>
  <c r="BY30" i="6"/>
  <c r="BX30" i="6"/>
  <c r="BW30" i="6"/>
  <c r="BV30" i="6"/>
  <c r="BU30" i="6"/>
  <c r="BT30" i="6"/>
  <c r="BS30" i="6"/>
  <c r="BR30" i="6"/>
  <c r="BQ30" i="6"/>
  <c r="BP30" i="6"/>
  <c r="BO30" i="6"/>
  <c r="BM30" i="6"/>
  <c r="BL30" i="6"/>
  <c r="BK30" i="6"/>
  <c r="BJ30" i="6"/>
  <c r="BI30" i="6"/>
  <c r="BH30" i="6"/>
  <c r="BG30" i="6"/>
  <c r="BF30" i="6"/>
  <c r="BE30" i="6"/>
  <c r="BD30" i="6"/>
  <c r="BC30" i="6"/>
  <c r="BA30" i="6"/>
  <c r="AZ30" i="6"/>
  <c r="AY30" i="6"/>
  <c r="AX30" i="6"/>
  <c r="AW30" i="6"/>
  <c r="AV30" i="6"/>
  <c r="AU30" i="6"/>
  <c r="AT30" i="6"/>
  <c r="AS30" i="6"/>
  <c r="AR30" i="6"/>
  <c r="AQ30" i="6"/>
  <c r="AO30" i="6"/>
  <c r="AN30" i="6"/>
  <c r="AM30" i="6"/>
  <c r="AL30" i="6"/>
  <c r="AK30" i="6"/>
  <c r="AJ30" i="6"/>
  <c r="AI30" i="6"/>
  <c r="AH30" i="6"/>
  <c r="AG30" i="6"/>
  <c r="AF30" i="6"/>
  <c r="AE30" i="6"/>
  <c r="AC30" i="6"/>
  <c r="AB30" i="6"/>
  <c r="AA30" i="6"/>
  <c r="Z30" i="6"/>
  <c r="Y30" i="6"/>
  <c r="X30" i="6"/>
  <c r="W30" i="6"/>
  <c r="V30" i="6"/>
  <c r="U30" i="6"/>
  <c r="T30" i="6"/>
  <c r="S30" i="6"/>
  <c r="Q30" i="6"/>
  <c r="EF30" i="6" s="1"/>
  <c r="P30" i="6"/>
  <c r="EE30" i="6" s="1"/>
  <c r="O30" i="6"/>
  <c r="ED30" i="6" s="1"/>
  <c r="N30" i="6"/>
  <c r="EC30" i="6" s="1"/>
  <c r="M30" i="6"/>
  <c r="EB30" i="6" s="1"/>
  <c r="L30" i="6"/>
  <c r="EA30" i="6" s="1"/>
  <c r="K30" i="6"/>
  <c r="DZ30" i="6" s="1"/>
  <c r="J30" i="6"/>
  <c r="DY30" i="6" s="1"/>
  <c r="I30" i="6"/>
  <c r="DX30" i="6" s="1"/>
  <c r="H30" i="6"/>
  <c r="DW30" i="6" s="1"/>
  <c r="G30" i="6"/>
  <c r="DV30" i="6" s="1"/>
  <c r="DU29" i="6"/>
  <c r="DT29" i="6"/>
  <c r="DS29" i="6"/>
  <c r="DR29" i="6"/>
  <c r="DQ29" i="6"/>
  <c r="DP29" i="6"/>
  <c r="DO29" i="6"/>
  <c r="DN29" i="6"/>
  <c r="DM29" i="6"/>
  <c r="DL29" i="6"/>
  <c r="DK29" i="6"/>
  <c r="DI29" i="6"/>
  <c r="DH29" i="6"/>
  <c r="DG29" i="6"/>
  <c r="DF29" i="6"/>
  <c r="DE29" i="6"/>
  <c r="DD29" i="6"/>
  <c r="DC29" i="6"/>
  <c r="DB29" i="6"/>
  <c r="DA29" i="6"/>
  <c r="CZ29" i="6"/>
  <c r="CY29" i="6"/>
  <c r="CW29" i="6"/>
  <c r="CV29" i="6"/>
  <c r="CU29" i="6"/>
  <c r="CT29" i="6"/>
  <c r="CS29" i="6"/>
  <c r="CR29" i="6"/>
  <c r="CQ29" i="6"/>
  <c r="CP29" i="6"/>
  <c r="CO29" i="6"/>
  <c r="CN29" i="6"/>
  <c r="CM29" i="6"/>
  <c r="CK29" i="6"/>
  <c r="CJ29" i="6"/>
  <c r="CI29" i="6"/>
  <c r="CH29" i="6"/>
  <c r="CG29" i="6"/>
  <c r="CF29" i="6"/>
  <c r="CE29" i="6"/>
  <c r="CD29" i="6"/>
  <c r="CC29" i="6"/>
  <c r="CB29" i="6"/>
  <c r="CA29" i="6"/>
  <c r="BY29" i="6"/>
  <c r="BX29" i="6"/>
  <c r="BW29" i="6"/>
  <c r="BV29" i="6"/>
  <c r="BU29" i="6"/>
  <c r="BT29" i="6"/>
  <c r="BS29" i="6"/>
  <c r="BR29" i="6"/>
  <c r="BQ29" i="6"/>
  <c r="BP29" i="6"/>
  <c r="BO29" i="6"/>
  <c r="BM29" i="6"/>
  <c r="BL29" i="6"/>
  <c r="BK29" i="6"/>
  <c r="BJ29" i="6"/>
  <c r="BI29" i="6"/>
  <c r="BH29" i="6"/>
  <c r="BG29" i="6"/>
  <c r="BF29" i="6"/>
  <c r="BE29" i="6"/>
  <c r="BD29" i="6"/>
  <c r="BC29" i="6"/>
  <c r="BA29" i="6"/>
  <c r="AZ29" i="6"/>
  <c r="AY29" i="6"/>
  <c r="AX29" i="6"/>
  <c r="AW29" i="6"/>
  <c r="AV29" i="6"/>
  <c r="AU29" i="6"/>
  <c r="AT29" i="6"/>
  <c r="AS29" i="6"/>
  <c r="AR29" i="6"/>
  <c r="AQ29" i="6"/>
  <c r="AO29" i="6"/>
  <c r="AN29" i="6"/>
  <c r="AM29" i="6"/>
  <c r="AL29" i="6"/>
  <c r="AK29" i="6"/>
  <c r="AJ29" i="6"/>
  <c r="AI29" i="6"/>
  <c r="AH29" i="6"/>
  <c r="AG29" i="6"/>
  <c r="AF29" i="6"/>
  <c r="AE29" i="6"/>
  <c r="AC29" i="6"/>
  <c r="AB29" i="6"/>
  <c r="AA29" i="6"/>
  <c r="Z29" i="6"/>
  <c r="Y29" i="6"/>
  <c r="X29" i="6"/>
  <c r="W29" i="6"/>
  <c r="V29" i="6"/>
  <c r="U29" i="6"/>
  <c r="T29" i="6"/>
  <c r="S29" i="6"/>
  <c r="Q29" i="6"/>
  <c r="EF29" i="6" s="1"/>
  <c r="P29" i="6"/>
  <c r="EE29" i="6" s="1"/>
  <c r="O29" i="6"/>
  <c r="ED29" i="6" s="1"/>
  <c r="N29" i="6"/>
  <c r="EC29" i="6" s="1"/>
  <c r="M29" i="6"/>
  <c r="EB29" i="6" s="1"/>
  <c r="L29" i="6"/>
  <c r="EA29" i="6" s="1"/>
  <c r="K29" i="6"/>
  <c r="DZ29" i="6" s="1"/>
  <c r="J29" i="6"/>
  <c r="DY29" i="6" s="1"/>
  <c r="I29" i="6"/>
  <c r="DX29" i="6" s="1"/>
  <c r="H29" i="6"/>
  <c r="DW29" i="6" s="1"/>
  <c r="G29" i="6"/>
  <c r="DV29" i="6" s="1"/>
  <c r="DU28" i="6"/>
  <c r="DT28" i="6"/>
  <c r="DS28" i="6"/>
  <c r="DR28" i="6"/>
  <c r="DQ28" i="6"/>
  <c r="DP28" i="6"/>
  <c r="DO28" i="6"/>
  <c r="DN28" i="6"/>
  <c r="DM28" i="6"/>
  <c r="DL28" i="6"/>
  <c r="DK28" i="6"/>
  <c r="DI28" i="6"/>
  <c r="DH28" i="6"/>
  <c r="DG28" i="6"/>
  <c r="DF28" i="6"/>
  <c r="DE28" i="6"/>
  <c r="DD28" i="6"/>
  <c r="DC28" i="6"/>
  <c r="DB28" i="6"/>
  <c r="DA28" i="6"/>
  <c r="CZ28" i="6"/>
  <c r="CY28" i="6"/>
  <c r="CW28" i="6"/>
  <c r="CV28" i="6"/>
  <c r="CU28" i="6"/>
  <c r="CT28" i="6"/>
  <c r="CS28" i="6"/>
  <c r="CR28" i="6"/>
  <c r="CQ28" i="6"/>
  <c r="CP28" i="6"/>
  <c r="CO28" i="6"/>
  <c r="CN28" i="6"/>
  <c r="CM28" i="6"/>
  <c r="CK28" i="6"/>
  <c r="CJ28" i="6"/>
  <c r="CI28" i="6"/>
  <c r="CH28" i="6"/>
  <c r="CG28" i="6"/>
  <c r="CF28" i="6"/>
  <c r="CE28" i="6"/>
  <c r="CD28" i="6"/>
  <c r="CC28" i="6"/>
  <c r="CB28" i="6"/>
  <c r="CA28" i="6"/>
  <c r="BY28" i="6"/>
  <c r="BX28" i="6"/>
  <c r="BW28" i="6"/>
  <c r="BV28" i="6"/>
  <c r="BU28" i="6"/>
  <c r="BT28" i="6"/>
  <c r="BS28" i="6"/>
  <c r="BR28" i="6"/>
  <c r="BQ28" i="6"/>
  <c r="BP28" i="6"/>
  <c r="BO28" i="6"/>
  <c r="BM28" i="6"/>
  <c r="BL28" i="6"/>
  <c r="BK28" i="6"/>
  <c r="BJ28" i="6"/>
  <c r="BI28" i="6"/>
  <c r="BH28" i="6"/>
  <c r="BG28" i="6"/>
  <c r="BF28" i="6"/>
  <c r="BE28" i="6"/>
  <c r="BD28" i="6"/>
  <c r="BC28" i="6"/>
  <c r="BA28" i="6"/>
  <c r="AZ28" i="6"/>
  <c r="AY28" i="6"/>
  <c r="AX28" i="6"/>
  <c r="AW28" i="6"/>
  <c r="AV28" i="6"/>
  <c r="AU28" i="6"/>
  <c r="AT28" i="6"/>
  <c r="AS28" i="6"/>
  <c r="AR28" i="6"/>
  <c r="AQ28" i="6"/>
  <c r="AO28" i="6"/>
  <c r="AN28" i="6"/>
  <c r="AM28" i="6"/>
  <c r="AL28" i="6"/>
  <c r="AK28" i="6"/>
  <c r="AJ28" i="6"/>
  <c r="AI28" i="6"/>
  <c r="AH28" i="6"/>
  <c r="AG28" i="6"/>
  <c r="AF28" i="6"/>
  <c r="AE28" i="6"/>
  <c r="AC28" i="6"/>
  <c r="AB28" i="6"/>
  <c r="AA28" i="6"/>
  <c r="Z28" i="6"/>
  <c r="Y28" i="6"/>
  <c r="X28" i="6"/>
  <c r="W28" i="6"/>
  <c r="V28" i="6"/>
  <c r="U28" i="6"/>
  <c r="T28" i="6"/>
  <c r="S28" i="6"/>
  <c r="Q28" i="6"/>
  <c r="EF28" i="6" s="1"/>
  <c r="P28" i="6"/>
  <c r="EE28" i="6" s="1"/>
  <c r="O28" i="6"/>
  <c r="ED28" i="6" s="1"/>
  <c r="N28" i="6"/>
  <c r="EC28" i="6" s="1"/>
  <c r="M28" i="6"/>
  <c r="EB28" i="6" s="1"/>
  <c r="L28" i="6"/>
  <c r="EA28" i="6" s="1"/>
  <c r="K28" i="6"/>
  <c r="DZ28" i="6" s="1"/>
  <c r="J28" i="6"/>
  <c r="DY28" i="6" s="1"/>
  <c r="I28" i="6"/>
  <c r="DX28" i="6" s="1"/>
  <c r="H28" i="6"/>
  <c r="DW28" i="6" s="1"/>
  <c r="G28" i="6"/>
  <c r="DV28" i="6" s="1"/>
  <c r="DU27" i="6"/>
  <c r="DT27" i="6"/>
  <c r="DS27" i="6"/>
  <c r="DR27" i="6"/>
  <c r="DQ27" i="6"/>
  <c r="DP27" i="6"/>
  <c r="DO27" i="6"/>
  <c r="DN27" i="6"/>
  <c r="DM27" i="6"/>
  <c r="DL27" i="6"/>
  <c r="DK27" i="6"/>
  <c r="DI27" i="6"/>
  <c r="DH27" i="6"/>
  <c r="DG27" i="6"/>
  <c r="DF27" i="6"/>
  <c r="DE27" i="6"/>
  <c r="DD27" i="6"/>
  <c r="DC27" i="6"/>
  <c r="DB27" i="6"/>
  <c r="DA27" i="6"/>
  <c r="CZ27" i="6"/>
  <c r="CY27" i="6"/>
  <c r="CW27" i="6"/>
  <c r="CV27" i="6"/>
  <c r="CU27" i="6"/>
  <c r="CT27" i="6"/>
  <c r="CS27" i="6"/>
  <c r="CR27" i="6"/>
  <c r="CQ27" i="6"/>
  <c r="CP27" i="6"/>
  <c r="CO27" i="6"/>
  <c r="CN27" i="6"/>
  <c r="CM27" i="6"/>
  <c r="CK27" i="6"/>
  <c r="CJ27" i="6"/>
  <c r="CI27" i="6"/>
  <c r="CH27" i="6"/>
  <c r="CG27" i="6"/>
  <c r="CF27" i="6"/>
  <c r="CE27" i="6"/>
  <c r="CD27" i="6"/>
  <c r="CC27" i="6"/>
  <c r="CB27" i="6"/>
  <c r="CA27" i="6"/>
  <c r="BY27" i="6"/>
  <c r="BX27" i="6"/>
  <c r="BW27" i="6"/>
  <c r="BV27" i="6"/>
  <c r="BU27" i="6"/>
  <c r="BT27" i="6"/>
  <c r="BS27" i="6"/>
  <c r="BR27" i="6"/>
  <c r="BQ27" i="6"/>
  <c r="BP27" i="6"/>
  <c r="BO27" i="6"/>
  <c r="BM27" i="6"/>
  <c r="BL27" i="6"/>
  <c r="BK27" i="6"/>
  <c r="BJ27" i="6"/>
  <c r="BI27" i="6"/>
  <c r="BH27" i="6"/>
  <c r="BG27" i="6"/>
  <c r="BF27" i="6"/>
  <c r="BE27" i="6"/>
  <c r="BD27" i="6"/>
  <c r="BC27" i="6"/>
  <c r="BA27" i="6"/>
  <c r="AZ27" i="6"/>
  <c r="AY27" i="6"/>
  <c r="AX27" i="6"/>
  <c r="AW27" i="6"/>
  <c r="AV27" i="6"/>
  <c r="AU27" i="6"/>
  <c r="AT27" i="6"/>
  <c r="AS27" i="6"/>
  <c r="AR27" i="6"/>
  <c r="AQ27" i="6"/>
  <c r="AO27" i="6"/>
  <c r="AN27" i="6"/>
  <c r="AM27" i="6"/>
  <c r="AL27" i="6"/>
  <c r="AK27" i="6"/>
  <c r="AJ27" i="6"/>
  <c r="AI27" i="6"/>
  <c r="AH27" i="6"/>
  <c r="AG27" i="6"/>
  <c r="AF27" i="6"/>
  <c r="AE27" i="6"/>
  <c r="AC27" i="6"/>
  <c r="AB27" i="6"/>
  <c r="AA27" i="6"/>
  <c r="Z27" i="6"/>
  <c r="Y27" i="6"/>
  <c r="X27" i="6"/>
  <c r="W27" i="6"/>
  <c r="V27" i="6"/>
  <c r="U27" i="6"/>
  <c r="T27" i="6"/>
  <c r="S27" i="6"/>
  <c r="Q27" i="6"/>
  <c r="EF27" i="6" s="1"/>
  <c r="P27" i="6"/>
  <c r="EE27" i="6" s="1"/>
  <c r="O27" i="6"/>
  <c r="ED27" i="6" s="1"/>
  <c r="N27" i="6"/>
  <c r="EC27" i="6" s="1"/>
  <c r="M27" i="6"/>
  <c r="EB27" i="6" s="1"/>
  <c r="L27" i="6"/>
  <c r="EA27" i="6" s="1"/>
  <c r="K27" i="6"/>
  <c r="DZ27" i="6" s="1"/>
  <c r="J27" i="6"/>
  <c r="DY27" i="6" s="1"/>
  <c r="I27" i="6"/>
  <c r="DX27" i="6" s="1"/>
  <c r="H27" i="6"/>
  <c r="DW27" i="6" s="1"/>
  <c r="G27" i="6"/>
  <c r="DV27" i="6" s="1"/>
  <c r="DU26" i="6"/>
  <c r="DT26" i="6"/>
  <c r="DS26" i="6"/>
  <c r="DR26" i="6"/>
  <c r="DQ26" i="6"/>
  <c r="DP26" i="6"/>
  <c r="DO26" i="6"/>
  <c r="DN26" i="6"/>
  <c r="DM26" i="6"/>
  <c r="DL26" i="6"/>
  <c r="DK26" i="6"/>
  <c r="DI26" i="6"/>
  <c r="DH26" i="6"/>
  <c r="DG26" i="6"/>
  <c r="DF26" i="6"/>
  <c r="DE26" i="6"/>
  <c r="DD26" i="6"/>
  <c r="DC26" i="6"/>
  <c r="DB26" i="6"/>
  <c r="DA26" i="6"/>
  <c r="CZ26" i="6"/>
  <c r="CY26" i="6"/>
  <c r="CW26" i="6"/>
  <c r="CV26" i="6"/>
  <c r="CU26" i="6"/>
  <c r="CT26" i="6"/>
  <c r="CS26" i="6"/>
  <c r="CR26" i="6"/>
  <c r="CQ26" i="6"/>
  <c r="CP26" i="6"/>
  <c r="CO26" i="6"/>
  <c r="CN26" i="6"/>
  <c r="CM26" i="6"/>
  <c r="CK26" i="6"/>
  <c r="CJ26" i="6"/>
  <c r="CI26" i="6"/>
  <c r="CH26" i="6"/>
  <c r="CG26" i="6"/>
  <c r="CF26" i="6"/>
  <c r="CE26" i="6"/>
  <c r="CD26" i="6"/>
  <c r="CC26" i="6"/>
  <c r="CB26" i="6"/>
  <c r="CA26" i="6"/>
  <c r="BY26" i="6"/>
  <c r="BX26" i="6"/>
  <c r="BW26" i="6"/>
  <c r="BV26" i="6"/>
  <c r="BU26" i="6"/>
  <c r="BT26" i="6"/>
  <c r="BS26" i="6"/>
  <c r="BR26" i="6"/>
  <c r="BQ26" i="6"/>
  <c r="BP26" i="6"/>
  <c r="BO26" i="6"/>
  <c r="BM26" i="6"/>
  <c r="BL26" i="6"/>
  <c r="BK26" i="6"/>
  <c r="BJ26" i="6"/>
  <c r="BI26" i="6"/>
  <c r="BH26" i="6"/>
  <c r="BG26" i="6"/>
  <c r="BF26" i="6"/>
  <c r="BE26" i="6"/>
  <c r="BD26" i="6"/>
  <c r="BC26" i="6"/>
  <c r="BA26" i="6"/>
  <c r="AZ26" i="6"/>
  <c r="AY26" i="6"/>
  <c r="AX26" i="6"/>
  <c r="AW26" i="6"/>
  <c r="AV26" i="6"/>
  <c r="AU26" i="6"/>
  <c r="AT26" i="6"/>
  <c r="AS26" i="6"/>
  <c r="AR26" i="6"/>
  <c r="AQ26" i="6"/>
  <c r="AO26" i="6"/>
  <c r="AN26" i="6"/>
  <c r="AM26" i="6"/>
  <c r="AL26" i="6"/>
  <c r="AK26" i="6"/>
  <c r="AJ26" i="6"/>
  <c r="AI26" i="6"/>
  <c r="AH26" i="6"/>
  <c r="AG26" i="6"/>
  <c r="AF26" i="6"/>
  <c r="AE26" i="6"/>
  <c r="AC26" i="6"/>
  <c r="AB26" i="6"/>
  <c r="AA26" i="6"/>
  <c r="Z26" i="6"/>
  <c r="Y26" i="6"/>
  <c r="X26" i="6"/>
  <c r="W26" i="6"/>
  <c r="V26" i="6"/>
  <c r="U26" i="6"/>
  <c r="T26" i="6"/>
  <c r="S26" i="6"/>
  <c r="Q26" i="6"/>
  <c r="EF26" i="6" s="1"/>
  <c r="P26" i="6"/>
  <c r="EE26" i="6" s="1"/>
  <c r="O26" i="6"/>
  <c r="ED26" i="6" s="1"/>
  <c r="N26" i="6"/>
  <c r="EC26" i="6" s="1"/>
  <c r="M26" i="6"/>
  <c r="EB26" i="6" s="1"/>
  <c r="L26" i="6"/>
  <c r="EA26" i="6" s="1"/>
  <c r="K26" i="6"/>
  <c r="DZ26" i="6" s="1"/>
  <c r="J26" i="6"/>
  <c r="DY26" i="6" s="1"/>
  <c r="I26" i="6"/>
  <c r="DX26" i="6" s="1"/>
  <c r="H26" i="6"/>
  <c r="DW26" i="6" s="1"/>
  <c r="G26" i="6"/>
  <c r="DV26" i="6" s="1"/>
  <c r="DU25" i="6"/>
  <c r="DT25" i="6"/>
  <c r="DS25" i="6"/>
  <c r="DR25" i="6"/>
  <c r="DQ25" i="6"/>
  <c r="DP25" i="6"/>
  <c r="DO25" i="6"/>
  <c r="DN25" i="6"/>
  <c r="DM25" i="6"/>
  <c r="DL25" i="6"/>
  <c r="DK25" i="6"/>
  <c r="DI25" i="6"/>
  <c r="DH25" i="6"/>
  <c r="DG25" i="6"/>
  <c r="DF25" i="6"/>
  <c r="DE25" i="6"/>
  <c r="DD25" i="6"/>
  <c r="DC25" i="6"/>
  <c r="DB25" i="6"/>
  <c r="DA25" i="6"/>
  <c r="CZ25" i="6"/>
  <c r="CY25" i="6"/>
  <c r="CW25" i="6"/>
  <c r="CV25" i="6"/>
  <c r="CU25" i="6"/>
  <c r="CT25" i="6"/>
  <c r="CS25" i="6"/>
  <c r="CR25" i="6"/>
  <c r="CQ25" i="6"/>
  <c r="CP25" i="6"/>
  <c r="CO25" i="6"/>
  <c r="CN25" i="6"/>
  <c r="CM25" i="6"/>
  <c r="CK25" i="6"/>
  <c r="CJ25" i="6"/>
  <c r="CI25" i="6"/>
  <c r="CH25" i="6"/>
  <c r="CG25" i="6"/>
  <c r="CF25" i="6"/>
  <c r="CE25" i="6"/>
  <c r="CD25" i="6"/>
  <c r="CC25" i="6"/>
  <c r="CB25" i="6"/>
  <c r="CA25" i="6"/>
  <c r="BY25" i="6"/>
  <c r="BX25" i="6"/>
  <c r="BW25" i="6"/>
  <c r="BV25" i="6"/>
  <c r="BU25" i="6"/>
  <c r="BT25" i="6"/>
  <c r="BS25" i="6"/>
  <c r="BR25" i="6"/>
  <c r="BQ25" i="6"/>
  <c r="BP25" i="6"/>
  <c r="BO25" i="6"/>
  <c r="BM25" i="6"/>
  <c r="BL25" i="6"/>
  <c r="BK25" i="6"/>
  <c r="BJ25" i="6"/>
  <c r="BI25" i="6"/>
  <c r="BH25" i="6"/>
  <c r="BG25" i="6"/>
  <c r="BF25" i="6"/>
  <c r="BE25" i="6"/>
  <c r="BD25" i="6"/>
  <c r="BC25" i="6"/>
  <c r="BA25" i="6"/>
  <c r="AZ25" i="6"/>
  <c r="AY25" i="6"/>
  <c r="AX25" i="6"/>
  <c r="AW25" i="6"/>
  <c r="AV25" i="6"/>
  <c r="AU25" i="6"/>
  <c r="AT25" i="6"/>
  <c r="AS25" i="6"/>
  <c r="AR25" i="6"/>
  <c r="AQ25" i="6"/>
  <c r="AO25" i="6"/>
  <c r="AN25" i="6"/>
  <c r="AM25" i="6"/>
  <c r="AL25" i="6"/>
  <c r="AK25" i="6"/>
  <c r="AJ25" i="6"/>
  <c r="AI25" i="6"/>
  <c r="AH25" i="6"/>
  <c r="AG25" i="6"/>
  <c r="AF25" i="6"/>
  <c r="AE25" i="6"/>
  <c r="AC25" i="6"/>
  <c r="AB25" i="6"/>
  <c r="AA25" i="6"/>
  <c r="Z25" i="6"/>
  <c r="Y25" i="6"/>
  <c r="X25" i="6"/>
  <c r="W25" i="6"/>
  <c r="V25" i="6"/>
  <c r="U25" i="6"/>
  <c r="T25" i="6"/>
  <c r="S25" i="6"/>
  <c r="Q25" i="6"/>
  <c r="EF25" i="6" s="1"/>
  <c r="P25" i="6"/>
  <c r="EE25" i="6" s="1"/>
  <c r="O25" i="6"/>
  <c r="ED25" i="6" s="1"/>
  <c r="N25" i="6"/>
  <c r="EC25" i="6" s="1"/>
  <c r="M25" i="6"/>
  <c r="EB25" i="6" s="1"/>
  <c r="L25" i="6"/>
  <c r="EA25" i="6" s="1"/>
  <c r="K25" i="6"/>
  <c r="DZ25" i="6" s="1"/>
  <c r="J25" i="6"/>
  <c r="DY25" i="6" s="1"/>
  <c r="I25" i="6"/>
  <c r="DX25" i="6" s="1"/>
  <c r="H25" i="6"/>
  <c r="DW25" i="6" s="1"/>
  <c r="G25" i="6"/>
  <c r="DV25" i="6" s="1"/>
  <c r="DU24" i="6"/>
  <c r="DT24" i="6"/>
  <c r="DS24" i="6"/>
  <c r="DR24" i="6"/>
  <c r="DQ24" i="6"/>
  <c r="DP24" i="6"/>
  <c r="DO24" i="6"/>
  <c r="DN24" i="6"/>
  <c r="DM24" i="6"/>
  <c r="DL24" i="6"/>
  <c r="DK24" i="6"/>
  <c r="DI24" i="6"/>
  <c r="DH24" i="6"/>
  <c r="DG24" i="6"/>
  <c r="DF24" i="6"/>
  <c r="DE24" i="6"/>
  <c r="DD24" i="6"/>
  <c r="DC24" i="6"/>
  <c r="DB24" i="6"/>
  <c r="DA24" i="6"/>
  <c r="CZ24" i="6"/>
  <c r="CY24" i="6"/>
  <c r="CW24" i="6"/>
  <c r="CV24" i="6"/>
  <c r="CU24" i="6"/>
  <c r="CT24" i="6"/>
  <c r="CS24" i="6"/>
  <c r="CR24" i="6"/>
  <c r="CQ24" i="6"/>
  <c r="CP24" i="6"/>
  <c r="CO24" i="6"/>
  <c r="CN24" i="6"/>
  <c r="CM24" i="6"/>
  <c r="CK24" i="6"/>
  <c r="CJ24" i="6"/>
  <c r="CI24" i="6"/>
  <c r="CH24" i="6"/>
  <c r="CG24" i="6"/>
  <c r="CF24" i="6"/>
  <c r="CE24" i="6"/>
  <c r="CD24" i="6"/>
  <c r="CC24" i="6"/>
  <c r="CB24" i="6"/>
  <c r="CA24" i="6"/>
  <c r="BY24" i="6"/>
  <c r="BX24" i="6"/>
  <c r="BW24" i="6"/>
  <c r="BV24" i="6"/>
  <c r="BU24" i="6"/>
  <c r="BT24" i="6"/>
  <c r="BS24" i="6"/>
  <c r="BR24" i="6"/>
  <c r="BQ24" i="6"/>
  <c r="BP24" i="6"/>
  <c r="BO24" i="6"/>
  <c r="BM24" i="6"/>
  <c r="BL24" i="6"/>
  <c r="BK24" i="6"/>
  <c r="BJ24" i="6"/>
  <c r="BI24" i="6"/>
  <c r="BH24" i="6"/>
  <c r="BG24" i="6"/>
  <c r="BF24" i="6"/>
  <c r="BE24" i="6"/>
  <c r="BD24" i="6"/>
  <c r="BC24" i="6"/>
  <c r="BA24" i="6"/>
  <c r="AZ24" i="6"/>
  <c r="AY24" i="6"/>
  <c r="AX24" i="6"/>
  <c r="AW24" i="6"/>
  <c r="AV24" i="6"/>
  <c r="AU24" i="6"/>
  <c r="AT24" i="6"/>
  <c r="AS24" i="6"/>
  <c r="AR24" i="6"/>
  <c r="AQ24" i="6"/>
  <c r="AO24" i="6"/>
  <c r="AN24" i="6"/>
  <c r="AM24" i="6"/>
  <c r="AL24" i="6"/>
  <c r="AK24" i="6"/>
  <c r="AJ24" i="6"/>
  <c r="AI24" i="6"/>
  <c r="AH24" i="6"/>
  <c r="AG24" i="6"/>
  <c r="AF24" i="6"/>
  <c r="AE24" i="6"/>
  <c r="AC24" i="6"/>
  <c r="AB24" i="6"/>
  <c r="AA24" i="6"/>
  <c r="Z24" i="6"/>
  <c r="Y24" i="6"/>
  <c r="X24" i="6"/>
  <c r="W24" i="6"/>
  <c r="V24" i="6"/>
  <c r="U24" i="6"/>
  <c r="T24" i="6"/>
  <c r="S24" i="6"/>
  <c r="Q24" i="6"/>
  <c r="EF24" i="6" s="1"/>
  <c r="P24" i="6"/>
  <c r="EE24" i="6" s="1"/>
  <c r="O24" i="6"/>
  <c r="ED24" i="6" s="1"/>
  <c r="N24" i="6"/>
  <c r="EC24" i="6" s="1"/>
  <c r="M24" i="6"/>
  <c r="EB24" i="6" s="1"/>
  <c r="L24" i="6"/>
  <c r="EA24" i="6" s="1"/>
  <c r="K24" i="6"/>
  <c r="DZ24" i="6" s="1"/>
  <c r="J24" i="6"/>
  <c r="DY24" i="6" s="1"/>
  <c r="I24" i="6"/>
  <c r="DX24" i="6" s="1"/>
  <c r="H24" i="6"/>
  <c r="DW24" i="6" s="1"/>
  <c r="G24" i="6"/>
  <c r="DV24" i="6" s="1"/>
  <c r="EQ23" i="6"/>
  <c r="DT23" i="6"/>
  <c r="DS23" i="6"/>
  <c r="DR23" i="6"/>
  <c r="DQ23" i="6"/>
  <c r="DP23" i="6"/>
  <c r="DO23" i="6"/>
  <c r="DN23" i="6"/>
  <c r="DM23" i="6"/>
  <c r="DL23" i="6"/>
  <c r="DK23" i="6"/>
  <c r="DH23" i="6"/>
  <c r="DG23" i="6"/>
  <c r="DF23" i="6"/>
  <c r="DE23" i="6"/>
  <c r="DD23" i="6"/>
  <c r="DC23" i="6"/>
  <c r="DB23" i="6"/>
  <c r="DA23" i="6"/>
  <c r="CZ23" i="6"/>
  <c r="CY23" i="6"/>
  <c r="CV23" i="6"/>
  <c r="CU23" i="6"/>
  <c r="CT23" i="6"/>
  <c r="CS23" i="6"/>
  <c r="CR23" i="6"/>
  <c r="CQ23" i="6"/>
  <c r="CP23" i="6"/>
  <c r="CO23" i="6"/>
  <c r="CN23" i="6"/>
  <c r="CM23" i="6"/>
  <c r="CJ23" i="6"/>
  <c r="CI23" i="6"/>
  <c r="CH23" i="6"/>
  <c r="CG23" i="6"/>
  <c r="CF23" i="6"/>
  <c r="CE23" i="6"/>
  <c r="CD23" i="6"/>
  <c r="CC23" i="6"/>
  <c r="CB23" i="6"/>
  <c r="CA23" i="6"/>
  <c r="BX23" i="6"/>
  <c r="BW23" i="6"/>
  <c r="BV23" i="6"/>
  <c r="BU23" i="6"/>
  <c r="BT23" i="6"/>
  <c r="BS23" i="6"/>
  <c r="BR23" i="6"/>
  <c r="BQ23" i="6"/>
  <c r="BP23" i="6"/>
  <c r="BO23" i="6"/>
  <c r="BL23" i="6"/>
  <c r="BK23" i="6"/>
  <c r="BJ23" i="6"/>
  <c r="BI23" i="6"/>
  <c r="BH23" i="6"/>
  <c r="BG23" i="6"/>
  <c r="BF23" i="6"/>
  <c r="BE23" i="6"/>
  <c r="BD23" i="6"/>
  <c r="BC23" i="6"/>
  <c r="AZ23" i="6"/>
  <c r="AY23" i="6"/>
  <c r="AX23" i="6"/>
  <c r="AW23" i="6"/>
  <c r="AV23" i="6"/>
  <c r="AU23" i="6"/>
  <c r="AT23" i="6"/>
  <c r="AS23" i="6"/>
  <c r="AR23" i="6"/>
  <c r="AQ23" i="6"/>
  <c r="AN23" i="6"/>
  <c r="AM23" i="6"/>
  <c r="AL23" i="6"/>
  <c r="AK23" i="6"/>
  <c r="AJ23" i="6"/>
  <c r="AI23" i="6"/>
  <c r="AH23" i="6"/>
  <c r="AG23" i="6"/>
  <c r="AF23" i="6"/>
  <c r="AE23" i="6"/>
  <c r="AB23" i="6"/>
  <c r="AA23" i="6"/>
  <c r="Z23" i="6"/>
  <c r="Y23" i="6"/>
  <c r="X23" i="6"/>
  <c r="W23" i="6"/>
  <c r="V23" i="6"/>
  <c r="U23" i="6"/>
  <c r="T23" i="6"/>
  <c r="S23" i="6"/>
  <c r="P23" i="6"/>
  <c r="EE23" i="6" s="1"/>
  <c r="O23" i="6"/>
  <c r="ED23" i="6" s="1"/>
  <c r="N23" i="6"/>
  <c r="EC23" i="6" s="1"/>
  <c r="M23" i="6"/>
  <c r="EB23" i="6" s="1"/>
  <c r="L23" i="6"/>
  <c r="EA23" i="6" s="1"/>
  <c r="K23" i="6"/>
  <c r="DZ23" i="6" s="1"/>
  <c r="J23" i="6"/>
  <c r="DY23" i="6" s="1"/>
  <c r="I23" i="6"/>
  <c r="DX23" i="6" s="1"/>
  <c r="H23" i="6"/>
  <c r="DW23" i="6" s="1"/>
  <c r="G23" i="6"/>
  <c r="DV23" i="6" s="1"/>
  <c r="EQ22" i="6"/>
  <c r="DT22" i="6"/>
  <c r="DS22" i="6"/>
  <c r="DR22" i="6"/>
  <c r="DQ22" i="6"/>
  <c r="DP22" i="6"/>
  <c r="DO22" i="6"/>
  <c r="DN22" i="6"/>
  <c r="DM22" i="6"/>
  <c r="DL22" i="6"/>
  <c r="DK22" i="6"/>
  <c r="DH22" i="6"/>
  <c r="DG22" i="6"/>
  <c r="DF22" i="6"/>
  <c r="DE22" i="6"/>
  <c r="DD22" i="6"/>
  <c r="DC22" i="6"/>
  <c r="DB22" i="6"/>
  <c r="DA22" i="6"/>
  <c r="CZ22" i="6"/>
  <c r="CY22" i="6"/>
  <c r="CV22" i="6"/>
  <c r="CU22" i="6"/>
  <c r="CT22" i="6"/>
  <c r="CS22" i="6"/>
  <c r="CR22" i="6"/>
  <c r="CQ22" i="6"/>
  <c r="CP22" i="6"/>
  <c r="CO22" i="6"/>
  <c r="CN22" i="6"/>
  <c r="CM22" i="6"/>
  <c r="CJ22" i="6"/>
  <c r="CI22" i="6"/>
  <c r="CH22" i="6"/>
  <c r="CG22" i="6"/>
  <c r="CF22" i="6"/>
  <c r="CE22" i="6"/>
  <c r="CD22" i="6"/>
  <c r="CC22" i="6"/>
  <c r="CB22" i="6"/>
  <c r="CA22" i="6"/>
  <c r="BX22" i="6"/>
  <c r="BW22" i="6"/>
  <c r="BV22" i="6"/>
  <c r="BU22" i="6"/>
  <c r="BT22" i="6"/>
  <c r="BS22" i="6"/>
  <c r="BR22" i="6"/>
  <c r="BQ22" i="6"/>
  <c r="BP22" i="6"/>
  <c r="BO22" i="6"/>
  <c r="BL22" i="6"/>
  <c r="BK22" i="6"/>
  <c r="BJ22" i="6"/>
  <c r="BI22" i="6"/>
  <c r="BH22" i="6"/>
  <c r="BG22" i="6"/>
  <c r="BF22" i="6"/>
  <c r="BE22" i="6"/>
  <c r="BD22" i="6"/>
  <c r="BC22" i="6"/>
  <c r="AZ22" i="6"/>
  <c r="AY22" i="6"/>
  <c r="AX22" i="6"/>
  <c r="AW22" i="6"/>
  <c r="AV22" i="6"/>
  <c r="AU22" i="6"/>
  <c r="AT22" i="6"/>
  <c r="AS22" i="6"/>
  <c r="AR22" i="6"/>
  <c r="AQ22" i="6"/>
  <c r="AN22" i="6"/>
  <c r="AM22" i="6"/>
  <c r="AL22" i="6"/>
  <c r="AK22" i="6"/>
  <c r="AJ22" i="6"/>
  <c r="AI22" i="6"/>
  <c r="AH22" i="6"/>
  <c r="AG22" i="6"/>
  <c r="AF22" i="6"/>
  <c r="AE22" i="6"/>
  <c r="AB22" i="6"/>
  <c r="AA22" i="6"/>
  <c r="Z22" i="6"/>
  <c r="Y22" i="6"/>
  <c r="X22" i="6"/>
  <c r="W22" i="6"/>
  <c r="V22" i="6"/>
  <c r="U22" i="6"/>
  <c r="T22" i="6"/>
  <c r="S22" i="6"/>
  <c r="P22" i="6"/>
  <c r="EE22" i="6" s="1"/>
  <c r="O22" i="6"/>
  <c r="ED22" i="6" s="1"/>
  <c r="N22" i="6"/>
  <c r="EC22" i="6" s="1"/>
  <c r="M22" i="6"/>
  <c r="EB22" i="6" s="1"/>
  <c r="L22" i="6"/>
  <c r="EA22" i="6" s="1"/>
  <c r="K22" i="6"/>
  <c r="DZ22" i="6" s="1"/>
  <c r="J22" i="6"/>
  <c r="DY22" i="6" s="1"/>
  <c r="I22" i="6"/>
  <c r="DX22" i="6" s="1"/>
  <c r="H22" i="6"/>
  <c r="DW22" i="6" s="1"/>
  <c r="G22" i="6"/>
  <c r="DV22" i="6" s="1"/>
  <c r="EP21" i="6"/>
  <c r="EQ21" i="6"/>
  <c r="DS21" i="6"/>
  <c r="DR21" i="6"/>
  <c r="DQ21" i="6"/>
  <c r="DP21" i="6"/>
  <c r="DO21" i="6"/>
  <c r="DN21" i="6"/>
  <c r="DM21" i="6"/>
  <c r="DL21" i="6"/>
  <c r="DK21" i="6"/>
  <c r="DG21" i="6"/>
  <c r="DF21" i="6"/>
  <c r="DE21" i="6"/>
  <c r="DD21" i="6"/>
  <c r="DC21" i="6"/>
  <c r="DB21" i="6"/>
  <c r="DA21" i="6"/>
  <c r="CZ21" i="6"/>
  <c r="CY21" i="6"/>
  <c r="CU21" i="6"/>
  <c r="CT21" i="6"/>
  <c r="CS21" i="6"/>
  <c r="CR21" i="6"/>
  <c r="CQ21" i="6"/>
  <c r="CP21" i="6"/>
  <c r="CO21" i="6"/>
  <c r="CN21" i="6"/>
  <c r="CM21" i="6"/>
  <c r="CI21" i="6"/>
  <c r="CH21" i="6"/>
  <c r="CG21" i="6"/>
  <c r="CF21" i="6"/>
  <c r="CE21" i="6"/>
  <c r="CD21" i="6"/>
  <c r="CC21" i="6"/>
  <c r="CB21" i="6"/>
  <c r="CA21" i="6"/>
  <c r="BW21" i="6"/>
  <c r="BV21" i="6"/>
  <c r="BU21" i="6"/>
  <c r="BT21" i="6"/>
  <c r="BS21" i="6"/>
  <c r="BR21" i="6"/>
  <c r="BQ21" i="6"/>
  <c r="BP21" i="6"/>
  <c r="BO21" i="6"/>
  <c r="BK21" i="6"/>
  <c r="BJ21" i="6"/>
  <c r="BI21" i="6"/>
  <c r="BH21" i="6"/>
  <c r="BG21" i="6"/>
  <c r="BF21" i="6"/>
  <c r="BE21" i="6"/>
  <c r="BD21" i="6"/>
  <c r="BC21" i="6"/>
  <c r="AY21" i="6"/>
  <c r="AX21" i="6"/>
  <c r="AW21" i="6"/>
  <c r="AV21" i="6"/>
  <c r="AU21" i="6"/>
  <c r="AT21" i="6"/>
  <c r="AS21" i="6"/>
  <c r="AR21" i="6"/>
  <c r="AQ21" i="6"/>
  <c r="AM21" i="6"/>
  <c r="AL21" i="6"/>
  <c r="AK21" i="6"/>
  <c r="AJ21" i="6"/>
  <c r="AI21" i="6"/>
  <c r="AH21" i="6"/>
  <c r="AG21" i="6"/>
  <c r="AF21" i="6"/>
  <c r="AE21" i="6"/>
  <c r="AA21" i="6"/>
  <c r="Z21" i="6"/>
  <c r="Y21" i="6"/>
  <c r="X21" i="6"/>
  <c r="W21" i="6"/>
  <c r="V21" i="6"/>
  <c r="U21" i="6"/>
  <c r="T21" i="6"/>
  <c r="S21" i="6"/>
  <c r="O21" i="6"/>
  <c r="ED21" i="6" s="1"/>
  <c r="N21" i="6"/>
  <c r="EC21" i="6" s="1"/>
  <c r="M21" i="6"/>
  <c r="EB21" i="6" s="1"/>
  <c r="L21" i="6"/>
  <c r="EA21" i="6" s="1"/>
  <c r="K21" i="6"/>
  <c r="DZ21" i="6" s="1"/>
  <c r="J21" i="6"/>
  <c r="DY21" i="6" s="1"/>
  <c r="I21" i="6"/>
  <c r="DX21" i="6" s="1"/>
  <c r="H21" i="6"/>
  <c r="DW21" i="6" s="1"/>
  <c r="G21" i="6"/>
  <c r="DV21" i="6" s="1"/>
  <c r="EQ20" i="6"/>
  <c r="EP20" i="6"/>
  <c r="DS20" i="6"/>
  <c r="DR20" i="6"/>
  <c r="DQ20" i="6"/>
  <c r="DP20" i="6"/>
  <c r="DO20" i="6"/>
  <c r="DN20" i="6"/>
  <c r="DM20" i="6"/>
  <c r="DL20" i="6"/>
  <c r="DK20" i="6"/>
  <c r="DG20" i="6"/>
  <c r="DF20" i="6"/>
  <c r="DE20" i="6"/>
  <c r="DD20" i="6"/>
  <c r="DC20" i="6"/>
  <c r="DB20" i="6"/>
  <c r="DA20" i="6"/>
  <c r="CZ20" i="6"/>
  <c r="CY20" i="6"/>
  <c r="CU20" i="6"/>
  <c r="CT20" i="6"/>
  <c r="CS20" i="6"/>
  <c r="CR20" i="6"/>
  <c r="CQ20" i="6"/>
  <c r="CP20" i="6"/>
  <c r="CO20" i="6"/>
  <c r="CN20" i="6"/>
  <c r="CM20" i="6"/>
  <c r="CI20" i="6"/>
  <c r="CH20" i="6"/>
  <c r="CG20" i="6"/>
  <c r="CF20" i="6"/>
  <c r="CE20" i="6"/>
  <c r="CD20" i="6"/>
  <c r="CC20" i="6"/>
  <c r="CB20" i="6"/>
  <c r="CA20" i="6"/>
  <c r="BW20" i="6"/>
  <c r="BV20" i="6"/>
  <c r="BU20" i="6"/>
  <c r="BT20" i="6"/>
  <c r="BS20" i="6"/>
  <c r="BR20" i="6"/>
  <c r="BQ20" i="6"/>
  <c r="BP20" i="6"/>
  <c r="BO20" i="6"/>
  <c r="BK20" i="6"/>
  <c r="BJ20" i="6"/>
  <c r="BI20" i="6"/>
  <c r="BH20" i="6"/>
  <c r="BG20" i="6"/>
  <c r="BF20" i="6"/>
  <c r="BE20" i="6"/>
  <c r="BD20" i="6"/>
  <c r="BC20" i="6"/>
  <c r="AY20" i="6"/>
  <c r="AX20" i="6"/>
  <c r="AW20" i="6"/>
  <c r="AV20" i="6"/>
  <c r="AU20" i="6"/>
  <c r="AT20" i="6"/>
  <c r="AS20" i="6"/>
  <c r="AR20" i="6"/>
  <c r="AQ20" i="6"/>
  <c r="AM20" i="6"/>
  <c r="AL20" i="6"/>
  <c r="AK20" i="6"/>
  <c r="AJ20" i="6"/>
  <c r="AI20" i="6"/>
  <c r="AH20" i="6"/>
  <c r="AG20" i="6"/>
  <c r="AF20" i="6"/>
  <c r="AE20" i="6"/>
  <c r="AA20" i="6"/>
  <c r="Z20" i="6"/>
  <c r="Y20" i="6"/>
  <c r="X20" i="6"/>
  <c r="W20" i="6"/>
  <c r="V20" i="6"/>
  <c r="U20" i="6"/>
  <c r="T20" i="6"/>
  <c r="S20" i="6"/>
  <c r="O20" i="6"/>
  <c r="ED20" i="6" s="1"/>
  <c r="N20" i="6"/>
  <c r="EC20" i="6" s="1"/>
  <c r="M20" i="6"/>
  <c r="EB20" i="6" s="1"/>
  <c r="L20" i="6"/>
  <c r="EA20" i="6" s="1"/>
  <c r="K20" i="6"/>
  <c r="DZ20" i="6" s="1"/>
  <c r="J20" i="6"/>
  <c r="DY20" i="6" s="1"/>
  <c r="I20" i="6"/>
  <c r="DX20" i="6" s="1"/>
  <c r="H20" i="6"/>
  <c r="DW20" i="6" s="1"/>
  <c r="G20" i="6"/>
  <c r="DV20" i="6" s="1"/>
  <c r="EQ19" i="6"/>
  <c r="EO19" i="6"/>
  <c r="EP19" i="6"/>
  <c r="DR19" i="6"/>
  <c r="DQ19" i="6"/>
  <c r="DP19" i="6"/>
  <c r="DO19" i="6"/>
  <c r="DN19" i="6"/>
  <c r="DM19" i="6"/>
  <c r="DL19" i="6"/>
  <c r="DK19" i="6"/>
  <c r="DF19" i="6"/>
  <c r="DE19" i="6"/>
  <c r="DD19" i="6"/>
  <c r="DC19" i="6"/>
  <c r="DB19" i="6"/>
  <c r="DA19" i="6"/>
  <c r="CZ19" i="6"/>
  <c r="CY19" i="6"/>
  <c r="CT19" i="6"/>
  <c r="CS19" i="6"/>
  <c r="CR19" i="6"/>
  <c r="CQ19" i="6"/>
  <c r="CP19" i="6"/>
  <c r="CO19" i="6"/>
  <c r="CN19" i="6"/>
  <c r="CM19" i="6"/>
  <c r="CH19" i="6"/>
  <c r="CG19" i="6"/>
  <c r="CF19" i="6"/>
  <c r="CE19" i="6"/>
  <c r="CD19" i="6"/>
  <c r="CC19" i="6"/>
  <c r="CB19" i="6"/>
  <c r="CA19" i="6"/>
  <c r="BV19" i="6"/>
  <c r="BU19" i="6"/>
  <c r="BT19" i="6"/>
  <c r="BS19" i="6"/>
  <c r="BR19" i="6"/>
  <c r="BQ19" i="6"/>
  <c r="BP19" i="6"/>
  <c r="BO19" i="6"/>
  <c r="BJ19" i="6"/>
  <c r="BI19" i="6"/>
  <c r="BH19" i="6"/>
  <c r="BG19" i="6"/>
  <c r="BF19" i="6"/>
  <c r="BE19" i="6"/>
  <c r="BD19" i="6"/>
  <c r="BC19" i="6"/>
  <c r="AX19" i="6"/>
  <c r="AW19" i="6"/>
  <c r="AV19" i="6"/>
  <c r="AU19" i="6"/>
  <c r="AT19" i="6"/>
  <c r="AS19" i="6"/>
  <c r="AR19" i="6"/>
  <c r="AQ19" i="6"/>
  <c r="AL19" i="6"/>
  <c r="AK19" i="6"/>
  <c r="AJ19" i="6"/>
  <c r="AI19" i="6"/>
  <c r="AH19" i="6"/>
  <c r="AG19" i="6"/>
  <c r="AF19" i="6"/>
  <c r="AE19" i="6"/>
  <c r="Z19" i="6"/>
  <c r="Y19" i="6"/>
  <c r="X19" i="6"/>
  <c r="W19" i="6"/>
  <c r="V19" i="6"/>
  <c r="U19" i="6"/>
  <c r="T19" i="6"/>
  <c r="S19" i="6"/>
  <c r="N19" i="6"/>
  <c r="EC19" i="6" s="1"/>
  <c r="EN19" i="6" s="1"/>
  <c r="M19" i="6"/>
  <c r="EB19" i="6" s="1"/>
  <c r="EM19" i="6" s="1"/>
  <c r="L19" i="6"/>
  <c r="EA19" i="6" s="1"/>
  <c r="EL19" i="6" s="1"/>
  <c r="K19" i="6"/>
  <c r="DZ19" i="6" s="1"/>
  <c r="EK19" i="6" s="1"/>
  <c r="J19" i="6"/>
  <c r="DY19" i="6" s="1"/>
  <c r="EJ19" i="6" s="1"/>
  <c r="I19" i="6"/>
  <c r="DX19" i="6" s="1"/>
  <c r="EI19" i="6" s="1"/>
  <c r="H19" i="6"/>
  <c r="DW19" i="6" s="1"/>
  <c r="EH19" i="6" s="1"/>
  <c r="G19" i="6"/>
  <c r="DV19" i="6" s="1"/>
  <c r="EG19" i="6" s="1"/>
  <c r="EQ18" i="6"/>
  <c r="EO18" i="6"/>
  <c r="EP18" i="6"/>
  <c r="DR18" i="6"/>
  <c r="DQ18" i="6"/>
  <c r="DP18" i="6"/>
  <c r="DO18" i="6"/>
  <c r="DN18" i="6"/>
  <c r="DM18" i="6"/>
  <c r="DL18" i="6"/>
  <c r="DK18" i="6"/>
  <c r="DF18" i="6"/>
  <c r="DE18" i="6"/>
  <c r="DD18" i="6"/>
  <c r="DC18" i="6"/>
  <c r="DB18" i="6"/>
  <c r="DA18" i="6"/>
  <c r="CZ18" i="6"/>
  <c r="CY18" i="6"/>
  <c r="CT18" i="6"/>
  <c r="CS18" i="6"/>
  <c r="CR18" i="6"/>
  <c r="CQ18" i="6"/>
  <c r="CP18" i="6"/>
  <c r="CO18" i="6"/>
  <c r="CN18" i="6"/>
  <c r="CM18" i="6"/>
  <c r="CH18" i="6"/>
  <c r="CG18" i="6"/>
  <c r="CF18" i="6"/>
  <c r="CE18" i="6"/>
  <c r="CD18" i="6"/>
  <c r="CC18" i="6"/>
  <c r="CB18" i="6"/>
  <c r="CA18" i="6"/>
  <c r="BV18" i="6"/>
  <c r="BU18" i="6"/>
  <c r="BT18" i="6"/>
  <c r="BS18" i="6"/>
  <c r="BR18" i="6"/>
  <c r="BQ18" i="6"/>
  <c r="BP18" i="6"/>
  <c r="BO18" i="6"/>
  <c r="BJ18" i="6"/>
  <c r="BI18" i="6"/>
  <c r="BH18" i="6"/>
  <c r="BG18" i="6"/>
  <c r="BF18" i="6"/>
  <c r="BE18" i="6"/>
  <c r="BD18" i="6"/>
  <c r="BC18" i="6"/>
  <c r="AX18" i="6"/>
  <c r="AW18" i="6"/>
  <c r="AV18" i="6"/>
  <c r="AU18" i="6"/>
  <c r="AT18" i="6"/>
  <c r="AS18" i="6"/>
  <c r="AR18" i="6"/>
  <c r="AQ18" i="6"/>
  <c r="AL18" i="6"/>
  <c r="AK18" i="6"/>
  <c r="AJ18" i="6"/>
  <c r="AI18" i="6"/>
  <c r="AH18" i="6"/>
  <c r="AG18" i="6"/>
  <c r="AF18" i="6"/>
  <c r="AE18" i="6"/>
  <c r="Z18" i="6"/>
  <c r="Y18" i="6"/>
  <c r="X18" i="6"/>
  <c r="W18" i="6"/>
  <c r="V18" i="6"/>
  <c r="U18" i="6"/>
  <c r="T18" i="6"/>
  <c r="S18" i="6"/>
  <c r="N18" i="6"/>
  <c r="EC18" i="6" s="1"/>
  <c r="EN18" i="6" s="1"/>
  <c r="M18" i="6"/>
  <c r="EB18" i="6" s="1"/>
  <c r="EM18" i="6" s="1"/>
  <c r="L18" i="6"/>
  <c r="EA18" i="6" s="1"/>
  <c r="EL18" i="6" s="1"/>
  <c r="K18" i="6"/>
  <c r="DZ18" i="6" s="1"/>
  <c r="EK18" i="6" s="1"/>
  <c r="J18" i="6"/>
  <c r="DY18" i="6" s="1"/>
  <c r="EJ18" i="6" s="1"/>
  <c r="I18" i="6"/>
  <c r="DX18" i="6" s="1"/>
  <c r="EI18" i="6" s="1"/>
  <c r="H18" i="6"/>
  <c r="DW18" i="6" s="1"/>
  <c r="EH18" i="6" s="1"/>
  <c r="G18" i="6"/>
  <c r="DV18" i="6" s="1"/>
  <c r="EG18" i="6" s="1"/>
  <c r="EQ17" i="6"/>
  <c r="EO17" i="6"/>
  <c r="EN17" i="6"/>
  <c r="EP17" i="6"/>
  <c r="DQ17" i="6"/>
  <c r="DP17" i="6"/>
  <c r="DO17" i="6"/>
  <c r="DN17" i="6"/>
  <c r="DM17" i="6"/>
  <c r="DL17" i="6"/>
  <c r="DK17" i="6"/>
  <c r="DE17" i="6"/>
  <c r="DD17" i="6"/>
  <c r="DC17" i="6"/>
  <c r="DB17" i="6"/>
  <c r="DA17" i="6"/>
  <c r="CZ17" i="6"/>
  <c r="CY17" i="6"/>
  <c r="CS17" i="6"/>
  <c r="CR17" i="6"/>
  <c r="CQ17" i="6"/>
  <c r="CP17" i="6"/>
  <c r="CO17" i="6"/>
  <c r="CN17" i="6"/>
  <c r="CM17" i="6"/>
  <c r="CG17" i="6"/>
  <c r="CF17" i="6"/>
  <c r="CE17" i="6"/>
  <c r="CD17" i="6"/>
  <c r="CC17" i="6"/>
  <c r="CB17" i="6"/>
  <c r="CA17" i="6"/>
  <c r="BU17" i="6"/>
  <c r="BT17" i="6"/>
  <c r="BS17" i="6"/>
  <c r="BR17" i="6"/>
  <c r="BQ17" i="6"/>
  <c r="BP17" i="6"/>
  <c r="BO17" i="6"/>
  <c r="BI17" i="6"/>
  <c r="BH17" i="6"/>
  <c r="BG17" i="6"/>
  <c r="BF17" i="6"/>
  <c r="BE17" i="6"/>
  <c r="BD17" i="6"/>
  <c r="BC17" i="6"/>
  <c r="AW17" i="6"/>
  <c r="AV17" i="6"/>
  <c r="AU17" i="6"/>
  <c r="AT17" i="6"/>
  <c r="AS17" i="6"/>
  <c r="AR17" i="6"/>
  <c r="AQ17" i="6"/>
  <c r="AK17" i="6"/>
  <c r="AJ17" i="6"/>
  <c r="AI17" i="6"/>
  <c r="AH17" i="6"/>
  <c r="AG17" i="6"/>
  <c r="AF17" i="6"/>
  <c r="AE17" i="6"/>
  <c r="Y17" i="6"/>
  <c r="X17" i="6"/>
  <c r="W17" i="6"/>
  <c r="V17" i="6"/>
  <c r="U17" i="6"/>
  <c r="T17" i="6"/>
  <c r="S17" i="6"/>
  <c r="M17" i="6"/>
  <c r="EB17" i="6" s="1"/>
  <c r="L17" i="6"/>
  <c r="EA17" i="6" s="1"/>
  <c r="K17" i="6"/>
  <c r="DZ17" i="6" s="1"/>
  <c r="J17" i="6"/>
  <c r="DY17" i="6" s="1"/>
  <c r="I17" i="6"/>
  <c r="DX17" i="6" s="1"/>
  <c r="H17" i="6"/>
  <c r="DW17" i="6" s="1"/>
  <c r="G17" i="6"/>
  <c r="DV17" i="6" s="1"/>
  <c r="EQ16" i="6"/>
  <c r="EN16" i="6"/>
  <c r="EP16" i="6"/>
  <c r="EO16" i="6"/>
  <c r="DQ16" i="6"/>
  <c r="DP16" i="6"/>
  <c r="DO16" i="6"/>
  <c r="DN16" i="6"/>
  <c r="DM16" i="6"/>
  <c r="DL16" i="6"/>
  <c r="DK16" i="6"/>
  <c r="DE16" i="6"/>
  <c r="DD16" i="6"/>
  <c r="DC16" i="6"/>
  <c r="DB16" i="6"/>
  <c r="DA16" i="6"/>
  <c r="CZ16" i="6"/>
  <c r="CY16" i="6"/>
  <c r="CS16" i="6"/>
  <c r="CR16" i="6"/>
  <c r="CQ16" i="6"/>
  <c r="CP16" i="6"/>
  <c r="CO16" i="6"/>
  <c r="CN16" i="6"/>
  <c r="CM16" i="6"/>
  <c r="CG16" i="6"/>
  <c r="CF16" i="6"/>
  <c r="CE16" i="6"/>
  <c r="CD16" i="6"/>
  <c r="CC16" i="6"/>
  <c r="CB16" i="6"/>
  <c r="CA16" i="6"/>
  <c r="BU16" i="6"/>
  <c r="BT16" i="6"/>
  <c r="BS16" i="6"/>
  <c r="BR16" i="6"/>
  <c r="BQ16" i="6"/>
  <c r="BP16" i="6"/>
  <c r="BO16" i="6"/>
  <c r="BI16" i="6"/>
  <c r="BH16" i="6"/>
  <c r="BG16" i="6"/>
  <c r="BF16" i="6"/>
  <c r="BE16" i="6"/>
  <c r="BD16" i="6"/>
  <c r="BC16" i="6"/>
  <c r="AW16" i="6"/>
  <c r="AV16" i="6"/>
  <c r="AU16" i="6"/>
  <c r="AT16" i="6"/>
  <c r="AS16" i="6"/>
  <c r="AR16" i="6"/>
  <c r="AQ16" i="6"/>
  <c r="AK16" i="6"/>
  <c r="AJ16" i="6"/>
  <c r="AI16" i="6"/>
  <c r="AH16" i="6"/>
  <c r="AG16" i="6"/>
  <c r="AF16" i="6"/>
  <c r="AE16" i="6"/>
  <c r="Y16" i="6"/>
  <c r="X16" i="6"/>
  <c r="W16" i="6"/>
  <c r="V16" i="6"/>
  <c r="U16" i="6"/>
  <c r="T16" i="6"/>
  <c r="S16" i="6"/>
  <c r="M16" i="6"/>
  <c r="EB16" i="6" s="1"/>
  <c r="L16" i="6"/>
  <c r="EA16" i="6" s="1"/>
  <c r="K16" i="6"/>
  <c r="DZ16" i="6" s="1"/>
  <c r="J16" i="6"/>
  <c r="DY16" i="6" s="1"/>
  <c r="I16" i="6"/>
  <c r="DX16" i="6" s="1"/>
  <c r="H16" i="6"/>
  <c r="DW16" i="6" s="1"/>
  <c r="G16" i="6"/>
  <c r="DV16" i="6" s="1"/>
  <c r="EP15" i="6"/>
  <c r="EO15" i="6"/>
  <c r="EM15" i="6"/>
  <c r="EQ15" i="6"/>
  <c r="EN15" i="6"/>
  <c r="DP15" i="6"/>
  <c r="DO15" i="6"/>
  <c r="DN15" i="6"/>
  <c r="DM15" i="6"/>
  <c r="DL15" i="6"/>
  <c r="DK15" i="6"/>
  <c r="DD15" i="6"/>
  <c r="DC15" i="6"/>
  <c r="DB15" i="6"/>
  <c r="DA15" i="6"/>
  <c r="CZ15" i="6"/>
  <c r="CY15" i="6"/>
  <c r="CR15" i="6"/>
  <c r="CQ15" i="6"/>
  <c r="CP15" i="6"/>
  <c r="CO15" i="6"/>
  <c r="CN15" i="6"/>
  <c r="CM15" i="6"/>
  <c r="CF15" i="6"/>
  <c r="CE15" i="6"/>
  <c r="CD15" i="6"/>
  <c r="CC15" i="6"/>
  <c r="CB15" i="6"/>
  <c r="CA15" i="6"/>
  <c r="BT15" i="6"/>
  <c r="BS15" i="6"/>
  <c r="BR15" i="6"/>
  <c r="BQ15" i="6"/>
  <c r="BP15" i="6"/>
  <c r="BO15" i="6"/>
  <c r="BH15" i="6"/>
  <c r="BG15" i="6"/>
  <c r="BF15" i="6"/>
  <c r="BE15" i="6"/>
  <c r="BD15" i="6"/>
  <c r="BC15" i="6"/>
  <c r="AV15" i="6"/>
  <c r="AU15" i="6"/>
  <c r="AT15" i="6"/>
  <c r="AS15" i="6"/>
  <c r="AR15" i="6"/>
  <c r="AQ15" i="6"/>
  <c r="AJ15" i="6"/>
  <c r="AI15" i="6"/>
  <c r="AH15" i="6"/>
  <c r="AG15" i="6"/>
  <c r="AF15" i="6"/>
  <c r="AE15" i="6"/>
  <c r="X15" i="6"/>
  <c r="W15" i="6"/>
  <c r="V15" i="6"/>
  <c r="U15" i="6"/>
  <c r="T15" i="6"/>
  <c r="S15" i="6"/>
  <c r="L15" i="6"/>
  <c r="EA15" i="6" s="1"/>
  <c r="K15" i="6"/>
  <c r="DZ15" i="6" s="1"/>
  <c r="J15" i="6"/>
  <c r="DY15" i="6" s="1"/>
  <c r="I15" i="6"/>
  <c r="DX15" i="6" s="1"/>
  <c r="H15" i="6"/>
  <c r="DW15" i="6" s="1"/>
  <c r="G15" i="6"/>
  <c r="DV15" i="6" s="1"/>
  <c r="EQ14" i="6"/>
  <c r="EP14" i="6"/>
  <c r="EN14" i="6"/>
  <c r="EM14" i="6"/>
  <c r="EO14" i="6"/>
  <c r="DP14" i="6"/>
  <c r="DO14" i="6"/>
  <c r="DN14" i="6"/>
  <c r="DM14" i="6"/>
  <c r="DL14" i="6"/>
  <c r="DK14" i="6"/>
  <c r="DD14" i="6"/>
  <c r="DC14" i="6"/>
  <c r="DB14" i="6"/>
  <c r="DA14" i="6"/>
  <c r="CZ14" i="6"/>
  <c r="CY14" i="6"/>
  <c r="CR14" i="6"/>
  <c r="CQ14" i="6"/>
  <c r="CP14" i="6"/>
  <c r="CO14" i="6"/>
  <c r="CN14" i="6"/>
  <c r="CM14" i="6"/>
  <c r="CF14" i="6"/>
  <c r="CE14" i="6"/>
  <c r="CD14" i="6"/>
  <c r="CC14" i="6"/>
  <c r="CB14" i="6"/>
  <c r="CA14" i="6"/>
  <c r="BT14" i="6"/>
  <c r="BS14" i="6"/>
  <c r="BR14" i="6"/>
  <c r="BQ14" i="6"/>
  <c r="BP14" i="6"/>
  <c r="BO14" i="6"/>
  <c r="BH14" i="6"/>
  <c r="BG14" i="6"/>
  <c r="BF14" i="6"/>
  <c r="BE14" i="6"/>
  <c r="BD14" i="6"/>
  <c r="BC14" i="6"/>
  <c r="AV14" i="6"/>
  <c r="AU14" i="6"/>
  <c r="AT14" i="6"/>
  <c r="AS14" i="6"/>
  <c r="AR14" i="6"/>
  <c r="AQ14" i="6"/>
  <c r="AJ14" i="6"/>
  <c r="AI14" i="6"/>
  <c r="AH14" i="6"/>
  <c r="AG14" i="6"/>
  <c r="AF14" i="6"/>
  <c r="AE14" i="6"/>
  <c r="X14" i="6"/>
  <c r="W14" i="6"/>
  <c r="V14" i="6"/>
  <c r="U14" i="6"/>
  <c r="T14" i="6"/>
  <c r="S14" i="6"/>
  <c r="L14" i="6"/>
  <c r="EA14" i="6" s="1"/>
  <c r="K14" i="6"/>
  <c r="DZ14" i="6" s="1"/>
  <c r="J14" i="6"/>
  <c r="DY14" i="6" s="1"/>
  <c r="I14" i="6"/>
  <c r="DX14" i="6" s="1"/>
  <c r="H14" i="6"/>
  <c r="DW14" i="6" s="1"/>
  <c r="G14" i="6"/>
  <c r="DV14" i="6" s="1"/>
  <c r="EQ13" i="6"/>
  <c r="EO13" i="6"/>
  <c r="EN13" i="6"/>
  <c r="EL13" i="6"/>
  <c r="EP13" i="6"/>
  <c r="EM13" i="6"/>
  <c r="DO13" i="6"/>
  <c r="DN13" i="6"/>
  <c r="DM13" i="6"/>
  <c r="DL13" i="6"/>
  <c r="DK13" i="6"/>
  <c r="DC13" i="6"/>
  <c r="DB13" i="6"/>
  <c r="DA13" i="6"/>
  <c r="CZ13" i="6"/>
  <c r="CY13" i="6"/>
  <c r="CQ13" i="6"/>
  <c r="CP13" i="6"/>
  <c r="CO13" i="6"/>
  <c r="CN13" i="6"/>
  <c r="CM13" i="6"/>
  <c r="CE13" i="6"/>
  <c r="CD13" i="6"/>
  <c r="CC13" i="6"/>
  <c r="CB13" i="6"/>
  <c r="CA13" i="6"/>
  <c r="BS13" i="6"/>
  <c r="BR13" i="6"/>
  <c r="BQ13" i="6"/>
  <c r="BP13" i="6"/>
  <c r="BO13" i="6"/>
  <c r="BG13" i="6"/>
  <c r="BF13" i="6"/>
  <c r="BE13" i="6"/>
  <c r="BD13" i="6"/>
  <c r="BC13" i="6"/>
  <c r="AU13" i="6"/>
  <c r="AT13" i="6"/>
  <c r="AS13" i="6"/>
  <c r="AR13" i="6"/>
  <c r="AQ13" i="6"/>
  <c r="AI13" i="6"/>
  <c r="AH13" i="6"/>
  <c r="AG13" i="6"/>
  <c r="AF13" i="6"/>
  <c r="AE13" i="6"/>
  <c r="W13" i="6"/>
  <c r="V13" i="6"/>
  <c r="U13" i="6"/>
  <c r="T13" i="6"/>
  <c r="S13" i="6"/>
  <c r="K13" i="6"/>
  <c r="DZ13" i="6" s="1"/>
  <c r="J13" i="6"/>
  <c r="DY13" i="6" s="1"/>
  <c r="I13" i="6"/>
  <c r="DX13" i="6" s="1"/>
  <c r="H13" i="6"/>
  <c r="DW13" i="6" s="1"/>
  <c r="G13" i="6"/>
  <c r="DV13" i="6" s="1"/>
  <c r="EQ12" i="6"/>
  <c r="EO12" i="6"/>
  <c r="EN12" i="6"/>
  <c r="EL12" i="6"/>
  <c r="EP12" i="6"/>
  <c r="EM12" i="6"/>
  <c r="DO12" i="6"/>
  <c r="DN12" i="6"/>
  <c r="DM12" i="6"/>
  <c r="DL12" i="6"/>
  <c r="DK12" i="6"/>
  <c r="DC12" i="6"/>
  <c r="DB12" i="6"/>
  <c r="DA12" i="6"/>
  <c r="CZ12" i="6"/>
  <c r="CY12" i="6"/>
  <c r="CQ12" i="6"/>
  <c r="CP12" i="6"/>
  <c r="CO12" i="6"/>
  <c r="CN12" i="6"/>
  <c r="CM12" i="6"/>
  <c r="CE12" i="6"/>
  <c r="CD12" i="6"/>
  <c r="CC12" i="6"/>
  <c r="CB12" i="6"/>
  <c r="CA12" i="6"/>
  <c r="BS12" i="6"/>
  <c r="BR12" i="6"/>
  <c r="BQ12" i="6"/>
  <c r="BP12" i="6"/>
  <c r="BO12" i="6"/>
  <c r="BG12" i="6"/>
  <c r="BF12" i="6"/>
  <c r="BE12" i="6"/>
  <c r="BD12" i="6"/>
  <c r="BC12" i="6"/>
  <c r="AU12" i="6"/>
  <c r="AT12" i="6"/>
  <c r="AS12" i="6"/>
  <c r="AR12" i="6"/>
  <c r="AQ12" i="6"/>
  <c r="AI12" i="6"/>
  <c r="AH12" i="6"/>
  <c r="AG12" i="6"/>
  <c r="AF12" i="6"/>
  <c r="AE12" i="6"/>
  <c r="W12" i="6"/>
  <c r="V12" i="6"/>
  <c r="U12" i="6"/>
  <c r="T12" i="6"/>
  <c r="S12" i="6"/>
  <c r="K12" i="6"/>
  <c r="DZ12" i="6" s="1"/>
  <c r="J12" i="6"/>
  <c r="DY12" i="6" s="1"/>
  <c r="I12" i="6"/>
  <c r="DX12" i="6" s="1"/>
  <c r="H12" i="6"/>
  <c r="DW12" i="6" s="1"/>
  <c r="G12" i="6"/>
  <c r="DV12" i="6" s="1"/>
  <c r="EQ11" i="6"/>
  <c r="EO11" i="6"/>
  <c r="EN11" i="6"/>
  <c r="EL11" i="6"/>
  <c r="EK11" i="6"/>
  <c r="EP11" i="6"/>
  <c r="EM11" i="6"/>
  <c r="DN11" i="6"/>
  <c r="DM11" i="6"/>
  <c r="DL11" i="6"/>
  <c r="DK11" i="6"/>
  <c r="DB11" i="6"/>
  <c r="DA11" i="6"/>
  <c r="CZ11" i="6"/>
  <c r="CY11" i="6"/>
  <c r="CP11" i="6"/>
  <c r="CO11" i="6"/>
  <c r="CN11" i="6"/>
  <c r="CM11" i="6"/>
  <c r="CD11" i="6"/>
  <c r="CC11" i="6"/>
  <c r="CB11" i="6"/>
  <c r="CA11" i="6"/>
  <c r="BR11" i="6"/>
  <c r="BQ11" i="6"/>
  <c r="BP11" i="6"/>
  <c r="BO11" i="6"/>
  <c r="BF11" i="6"/>
  <c r="BE11" i="6"/>
  <c r="BD11" i="6"/>
  <c r="BC11" i="6"/>
  <c r="AT11" i="6"/>
  <c r="AS11" i="6"/>
  <c r="AR11" i="6"/>
  <c r="AQ11" i="6"/>
  <c r="AH11" i="6"/>
  <c r="AG11" i="6"/>
  <c r="AF11" i="6"/>
  <c r="AE11" i="6"/>
  <c r="V11" i="6"/>
  <c r="U11" i="6"/>
  <c r="T11" i="6"/>
  <c r="S11" i="6"/>
  <c r="J11" i="6"/>
  <c r="DY11" i="6" s="1"/>
  <c r="EJ11" i="6" s="1"/>
  <c r="I11" i="6"/>
  <c r="DX11" i="6" s="1"/>
  <c r="EI11" i="6" s="1"/>
  <c r="H11" i="6"/>
  <c r="DW11" i="6" s="1"/>
  <c r="EH11" i="6" s="1"/>
  <c r="G11" i="6"/>
  <c r="DV11" i="6" s="1"/>
  <c r="EG11" i="6" s="1"/>
  <c r="EQ10" i="6"/>
  <c r="EP10" i="6"/>
  <c r="EN10" i="6"/>
  <c r="EM10" i="6"/>
  <c r="EK10" i="6"/>
  <c r="EO10" i="6"/>
  <c r="EL10" i="6"/>
  <c r="DN10" i="6"/>
  <c r="DM10" i="6"/>
  <c r="DL10" i="6"/>
  <c r="DK10" i="6"/>
  <c r="DB10" i="6"/>
  <c r="DA10" i="6"/>
  <c r="CZ10" i="6"/>
  <c r="CY10" i="6"/>
  <c r="CP10" i="6"/>
  <c r="CO10" i="6"/>
  <c r="CN10" i="6"/>
  <c r="CM10" i="6"/>
  <c r="CD10" i="6"/>
  <c r="CC10" i="6"/>
  <c r="CB10" i="6"/>
  <c r="CA10" i="6"/>
  <c r="BR10" i="6"/>
  <c r="BQ10" i="6"/>
  <c r="BP10" i="6"/>
  <c r="BO10" i="6"/>
  <c r="BF10" i="6"/>
  <c r="BE10" i="6"/>
  <c r="BD10" i="6"/>
  <c r="BC10" i="6"/>
  <c r="AT10" i="6"/>
  <c r="AS10" i="6"/>
  <c r="AR10" i="6"/>
  <c r="AQ10" i="6"/>
  <c r="AH10" i="6"/>
  <c r="AG10" i="6"/>
  <c r="AF10" i="6"/>
  <c r="AE10" i="6"/>
  <c r="V10" i="6"/>
  <c r="U10" i="6"/>
  <c r="T10" i="6"/>
  <c r="S10" i="6"/>
  <c r="J10" i="6"/>
  <c r="DY10" i="6" s="1"/>
  <c r="EJ10" i="6" s="1"/>
  <c r="I10" i="6"/>
  <c r="DX10" i="6" s="1"/>
  <c r="H10" i="6"/>
  <c r="DW10" i="6" s="1"/>
  <c r="EH10" i="6" s="1"/>
  <c r="G10" i="6"/>
  <c r="DV10" i="6" s="1"/>
  <c r="EG10" i="6" s="1"/>
  <c r="EP9" i="6"/>
  <c r="EO9" i="6"/>
  <c r="EM9" i="6"/>
  <c r="EJ9" i="6"/>
  <c r="EQ9" i="6"/>
  <c r="EN9" i="6"/>
  <c r="EL9" i="6"/>
  <c r="EK9" i="6"/>
  <c r="DM9" i="6"/>
  <c r="DL9" i="6"/>
  <c r="DK9" i="6"/>
  <c r="DA9" i="6"/>
  <c r="CZ9" i="6"/>
  <c r="CY9" i="6"/>
  <c r="CO9" i="6"/>
  <c r="CN9" i="6"/>
  <c r="CM9" i="6"/>
  <c r="CC9" i="6"/>
  <c r="CB9" i="6"/>
  <c r="CA9" i="6"/>
  <c r="BQ9" i="6"/>
  <c r="BP9" i="6"/>
  <c r="BO9" i="6"/>
  <c r="BE9" i="6"/>
  <c r="BD9" i="6"/>
  <c r="BC9" i="6"/>
  <c r="AS9" i="6"/>
  <c r="AR9" i="6"/>
  <c r="AQ9" i="6"/>
  <c r="AG9" i="6"/>
  <c r="AF9" i="6"/>
  <c r="AE9" i="6"/>
  <c r="U9" i="6"/>
  <c r="T9" i="6"/>
  <c r="S9" i="6"/>
  <c r="I9" i="6"/>
  <c r="DX9" i="6" s="1"/>
  <c r="H9" i="6"/>
  <c r="DW9" i="6" s="1"/>
  <c r="G9" i="6"/>
  <c r="DV9" i="6" s="1"/>
  <c r="EQ8" i="6"/>
  <c r="EN8" i="6"/>
  <c r="EM8" i="6"/>
  <c r="EK8" i="6"/>
  <c r="EJ8" i="6"/>
  <c r="EP8" i="6"/>
  <c r="EO8" i="6"/>
  <c r="EL8" i="6"/>
  <c r="DM8" i="6"/>
  <c r="DL8" i="6"/>
  <c r="DK8" i="6"/>
  <c r="DA8" i="6"/>
  <c r="CZ8" i="6"/>
  <c r="CY8" i="6"/>
  <c r="CO8" i="6"/>
  <c r="CN8" i="6"/>
  <c r="CM8" i="6"/>
  <c r="CC8" i="6"/>
  <c r="CB8" i="6"/>
  <c r="CA8" i="6"/>
  <c r="BQ8" i="6"/>
  <c r="BP8" i="6"/>
  <c r="BO8" i="6"/>
  <c r="BE8" i="6"/>
  <c r="BD8" i="6"/>
  <c r="BC8" i="6"/>
  <c r="AS8" i="6"/>
  <c r="AR8" i="6"/>
  <c r="AQ8" i="6"/>
  <c r="AG8" i="6"/>
  <c r="AF8" i="6"/>
  <c r="AE8" i="6"/>
  <c r="U8" i="6"/>
  <c r="T8" i="6"/>
  <c r="S8" i="6"/>
  <c r="I8" i="6"/>
  <c r="DX8" i="6" s="1"/>
  <c r="H8" i="6"/>
  <c r="DW8" i="6" s="1"/>
  <c r="G8" i="6"/>
  <c r="DV8" i="6" s="1"/>
  <c r="EQ7" i="6"/>
  <c r="EO7" i="6"/>
  <c r="EN7" i="6"/>
  <c r="EL7" i="6"/>
  <c r="EK7" i="6"/>
  <c r="EI7" i="6"/>
  <c r="EP7" i="6"/>
  <c r="EM7" i="6"/>
  <c r="EJ7" i="6"/>
  <c r="DL7" i="6"/>
  <c r="DK7" i="6"/>
  <c r="CZ7" i="6"/>
  <c r="CY7" i="6"/>
  <c r="CN7" i="6"/>
  <c r="CM7" i="6"/>
  <c r="CB7" i="6"/>
  <c r="CA7" i="6"/>
  <c r="BP7" i="6"/>
  <c r="BO7" i="6"/>
  <c r="BD7" i="6"/>
  <c r="BC7" i="6"/>
  <c r="AR7" i="6"/>
  <c r="AQ7" i="6"/>
  <c r="AF7" i="6"/>
  <c r="AE7" i="6"/>
  <c r="T7" i="6"/>
  <c r="S7" i="6"/>
  <c r="H7" i="6"/>
  <c r="DW7" i="6" s="1"/>
  <c r="G7" i="6"/>
  <c r="DV7" i="6" s="1"/>
  <c r="EQ6" i="6"/>
  <c r="EO6" i="6"/>
  <c r="EL6" i="6"/>
  <c r="EK6" i="6"/>
  <c r="EI6" i="6"/>
  <c r="EP6" i="6"/>
  <c r="EN6" i="6"/>
  <c r="EM6" i="6"/>
  <c r="EJ6" i="6"/>
  <c r="DL6" i="6"/>
  <c r="DK6" i="6"/>
  <c r="CZ6" i="6"/>
  <c r="CY6" i="6"/>
  <c r="CN6" i="6"/>
  <c r="CM6" i="6"/>
  <c r="CB6" i="6"/>
  <c r="CA6" i="6"/>
  <c r="BP6" i="6"/>
  <c r="BO6" i="6"/>
  <c r="BD6" i="6"/>
  <c r="BC6" i="6"/>
  <c r="AR6" i="6"/>
  <c r="AQ6" i="6"/>
  <c r="AF6" i="6"/>
  <c r="AE6" i="6"/>
  <c r="T6" i="6"/>
  <c r="S6" i="6"/>
  <c r="H6" i="6"/>
  <c r="DW6" i="6" s="1"/>
  <c r="G6" i="6"/>
  <c r="DV6" i="6" s="1"/>
  <c r="EQ5" i="6"/>
  <c r="EO5" i="6"/>
  <c r="EN5" i="6"/>
  <c r="EL5" i="6"/>
  <c r="EK5" i="6"/>
  <c r="EI5" i="6"/>
  <c r="EP5" i="6"/>
  <c r="EM5" i="6"/>
  <c r="EJ5" i="6"/>
  <c r="EH5" i="6"/>
  <c r="DK5" i="6"/>
  <c r="CY5" i="6"/>
  <c r="CM5" i="6"/>
  <c r="CA5" i="6"/>
  <c r="BO5" i="6"/>
  <c r="BC5" i="6"/>
  <c r="AQ5" i="6"/>
  <c r="AE5" i="6"/>
  <c r="S5" i="6"/>
  <c r="G5" i="6"/>
  <c r="DV5" i="6" s="1"/>
  <c r="EQ4" i="6"/>
  <c r="EN4" i="6"/>
  <c r="EM4" i="6"/>
  <c r="EK4" i="6"/>
  <c r="EJ4" i="6"/>
  <c r="EH4" i="6"/>
  <c r="EP4" i="6"/>
  <c r="EO4" i="6"/>
  <c r="EL4" i="6"/>
  <c r="EI4" i="6"/>
  <c r="DK4" i="6"/>
  <c r="CY4" i="6"/>
  <c r="CM4" i="6"/>
  <c r="CA4" i="6"/>
  <c r="BO4" i="6"/>
  <c r="BC4" i="6"/>
  <c r="AQ4" i="6"/>
  <c r="AE4" i="6"/>
  <c r="S4" i="6"/>
  <c r="G4" i="6"/>
  <c r="DV4" i="6" s="1"/>
  <c r="EP3" i="6"/>
  <c r="EO3" i="6"/>
  <c r="EM3" i="6"/>
  <c r="EJ3" i="6"/>
  <c r="EI3" i="6"/>
  <c r="EG3" i="6"/>
  <c r="EQ3" i="6"/>
  <c r="EN3" i="6"/>
  <c r="EL3" i="6"/>
  <c r="EK3" i="6"/>
  <c r="EH3" i="6"/>
  <c r="EQ2" i="6"/>
  <c r="EP2" i="6"/>
  <c r="EN2" i="6"/>
  <c r="EM2" i="6"/>
  <c r="EK2" i="6"/>
  <c r="EH2" i="6"/>
  <c r="EG2" i="6"/>
  <c r="EO2" i="6"/>
  <c r="EL2" i="6"/>
  <c r="EJ2" i="6"/>
  <c r="EI2" i="6"/>
  <c r="AQ172" i="5"/>
  <c r="AP172" i="5"/>
  <c r="AO172" i="5"/>
  <c r="AN172" i="5"/>
  <c r="AM172" i="5"/>
  <c r="AL172" i="5"/>
  <c r="AK172" i="5"/>
  <c r="AJ172" i="5"/>
  <c r="AI172" i="5"/>
  <c r="AH172" i="5"/>
  <c r="AQ171" i="5"/>
  <c r="AP171" i="5"/>
  <c r="AO171" i="5"/>
  <c r="AN171" i="5"/>
  <c r="AM171" i="5"/>
  <c r="AL171" i="5"/>
  <c r="AK171" i="5"/>
  <c r="AJ171" i="5"/>
  <c r="AI171" i="5"/>
  <c r="AH171" i="5"/>
  <c r="AQ170" i="5"/>
  <c r="AP170" i="5"/>
  <c r="AO170" i="5"/>
  <c r="AN170" i="5"/>
  <c r="AM170" i="5"/>
  <c r="AL170" i="5"/>
  <c r="AK170" i="5"/>
  <c r="AJ170" i="5"/>
  <c r="AI170" i="5"/>
  <c r="AH170" i="5"/>
  <c r="AQ169" i="5"/>
  <c r="AP169" i="5"/>
  <c r="AO169" i="5"/>
  <c r="AN169" i="5"/>
  <c r="AM169" i="5"/>
  <c r="AL169" i="5"/>
  <c r="AK169" i="5"/>
  <c r="AJ169" i="5"/>
  <c r="AI169" i="5"/>
  <c r="AH169" i="5"/>
  <c r="AQ168" i="5"/>
  <c r="AP168" i="5"/>
  <c r="AO168" i="5"/>
  <c r="AN168" i="5"/>
  <c r="AM168" i="5"/>
  <c r="AL168" i="5"/>
  <c r="AK168" i="5"/>
  <c r="AJ168" i="5"/>
  <c r="AI168" i="5"/>
  <c r="AH168" i="5"/>
  <c r="AQ167" i="5"/>
  <c r="AP167" i="5"/>
  <c r="AO167" i="5"/>
  <c r="AN167" i="5"/>
  <c r="AM167" i="5"/>
  <c r="AL167" i="5"/>
  <c r="AK167" i="5"/>
  <c r="AJ167" i="5"/>
  <c r="AI167" i="5"/>
  <c r="AH167" i="5"/>
  <c r="AQ166" i="5"/>
  <c r="AP166" i="5"/>
  <c r="AO166" i="5"/>
  <c r="AN166" i="5"/>
  <c r="AM166" i="5"/>
  <c r="AL166" i="5"/>
  <c r="AK166" i="5"/>
  <c r="AJ166" i="5"/>
  <c r="AI166" i="5"/>
  <c r="AH166" i="5"/>
  <c r="AQ165" i="5"/>
  <c r="AP165" i="5"/>
  <c r="AO165" i="5"/>
  <c r="AN165" i="5"/>
  <c r="AM165" i="5"/>
  <c r="AL165" i="5"/>
  <c r="AK165" i="5"/>
  <c r="AJ165" i="5"/>
  <c r="AI165" i="5"/>
  <c r="AH165" i="5"/>
  <c r="AQ164" i="5"/>
  <c r="AP164" i="5"/>
  <c r="AO164" i="5"/>
  <c r="AN164" i="5"/>
  <c r="AM164" i="5"/>
  <c r="AL164" i="5"/>
  <c r="AK164" i="5"/>
  <c r="AJ164" i="5"/>
  <c r="AI164" i="5"/>
  <c r="AH164" i="5"/>
  <c r="AQ163" i="5"/>
  <c r="AP163" i="5"/>
  <c r="AO163" i="5"/>
  <c r="AN163" i="5"/>
  <c r="AM163" i="5"/>
  <c r="AL163" i="5"/>
  <c r="AK163" i="5"/>
  <c r="AJ163" i="5"/>
  <c r="AI163" i="5"/>
  <c r="AH163" i="5"/>
  <c r="AQ162" i="5"/>
  <c r="AP162" i="5"/>
  <c r="AO162" i="5"/>
  <c r="AN162" i="5"/>
  <c r="AM162" i="5"/>
  <c r="AL162" i="5"/>
  <c r="AK162" i="5"/>
  <c r="AJ162" i="5"/>
  <c r="AI162" i="5"/>
  <c r="AH162" i="5"/>
  <c r="AQ161" i="5"/>
  <c r="AP161" i="5"/>
  <c r="AO161" i="5"/>
  <c r="AN161" i="5"/>
  <c r="AM161" i="5"/>
  <c r="AL161" i="5"/>
  <c r="AK161" i="5"/>
  <c r="AJ161" i="5"/>
  <c r="AI161" i="5"/>
  <c r="AH161" i="5"/>
  <c r="AQ160" i="5"/>
  <c r="AP160" i="5"/>
  <c r="AO160" i="5"/>
  <c r="AN160" i="5"/>
  <c r="AM160" i="5"/>
  <c r="AL160" i="5"/>
  <c r="AK160" i="5"/>
  <c r="AJ160" i="5"/>
  <c r="AI160" i="5"/>
  <c r="AH160" i="5"/>
  <c r="AQ159" i="5"/>
  <c r="AP159" i="5"/>
  <c r="AO159" i="5"/>
  <c r="AN159" i="5"/>
  <c r="AM159" i="5"/>
  <c r="AL159" i="5"/>
  <c r="AK159" i="5"/>
  <c r="AJ159" i="5"/>
  <c r="AI159" i="5"/>
  <c r="AH159" i="5"/>
  <c r="AQ158" i="5"/>
  <c r="AP158" i="5"/>
  <c r="AO158" i="5"/>
  <c r="AN158" i="5"/>
  <c r="AM158" i="5"/>
  <c r="AL158" i="5"/>
  <c r="AK158" i="5"/>
  <c r="AJ158" i="5"/>
  <c r="AI158" i="5"/>
  <c r="AH158" i="5"/>
  <c r="AQ157" i="5"/>
  <c r="AP157" i="5"/>
  <c r="AO157" i="5"/>
  <c r="AN157" i="5"/>
  <c r="AM157" i="5"/>
  <c r="AL157" i="5"/>
  <c r="AK157" i="5"/>
  <c r="AJ157" i="5"/>
  <c r="AI157" i="5"/>
  <c r="AH157" i="5"/>
  <c r="AQ156" i="5"/>
  <c r="AP156" i="5"/>
  <c r="AO156" i="5"/>
  <c r="AN156" i="5"/>
  <c r="AM156" i="5"/>
  <c r="AL156" i="5"/>
  <c r="AK156" i="5"/>
  <c r="AJ156" i="5"/>
  <c r="AI156" i="5"/>
  <c r="AH156" i="5"/>
  <c r="AQ155" i="5"/>
  <c r="AP155" i="5"/>
  <c r="AO155" i="5"/>
  <c r="AN155" i="5"/>
  <c r="AM155" i="5"/>
  <c r="AL155" i="5"/>
  <c r="AK155" i="5"/>
  <c r="AJ155" i="5"/>
  <c r="AI155" i="5"/>
  <c r="AH155" i="5"/>
  <c r="AQ154" i="5"/>
  <c r="AP154" i="5"/>
  <c r="AO154" i="5"/>
  <c r="AN154" i="5"/>
  <c r="AM154" i="5"/>
  <c r="AL154" i="5"/>
  <c r="AK154" i="5"/>
  <c r="AJ154" i="5"/>
  <c r="AI154" i="5"/>
  <c r="AH154" i="5"/>
  <c r="AQ153" i="5"/>
  <c r="AP153" i="5"/>
  <c r="AO153" i="5"/>
  <c r="AN153" i="5"/>
  <c r="AM153" i="5"/>
  <c r="AL153" i="5"/>
  <c r="AK153" i="5"/>
  <c r="AJ153" i="5"/>
  <c r="AI153" i="5"/>
  <c r="AH153" i="5"/>
  <c r="AQ152" i="5"/>
  <c r="AP152" i="5"/>
  <c r="AO152" i="5"/>
  <c r="AN152" i="5"/>
  <c r="AM152" i="5"/>
  <c r="AL152" i="5"/>
  <c r="AK152" i="5"/>
  <c r="AJ152" i="5"/>
  <c r="AI152" i="5"/>
  <c r="AH152" i="5"/>
  <c r="AQ151" i="5"/>
  <c r="AP151" i="5"/>
  <c r="AO151" i="5"/>
  <c r="AN151" i="5"/>
  <c r="AM151" i="5"/>
  <c r="AL151" i="5"/>
  <c r="AK151" i="5"/>
  <c r="AJ151" i="5"/>
  <c r="AI151" i="5"/>
  <c r="AH151" i="5"/>
  <c r="AQ150" i="5"/>
  <c r="AP150" i="5"/>
  <c r="AO150" i="5"/>
  <c r="AN150" i="5"/>
  <c r="AM150" i="5"/>
  <c r="AL150" i="5"/>
  <c r="AK150" i="5"/>
  <c r="AJ150" i="5"/>
  <c r="AI150" i="5"/>
  <c r="AH150" i="5"/>
  <c r="AQ149" i="5"/>
  <c r="AP149" i="5"/>
  <c r="AO149" i="5"/>
  <c r="AN149" i="5"/>
  <c r="AM149" i="5"/>
  <c r="AL149" i="5"/>
  <c r="AK149" i="5"/>
  <c r="AJ149" i="5"/>
  <c r="AI149" i="5"/>
  <c r="AH149" i="5"/>
  <c r="AQ148" i="5"/>
  <c r="AP148" i="5"/>
  <c r="AO148" i="5"/>
  <c r="AN148" i="5"/>
  <c r="AM148" i="5"/>
  <c r="AL148" i="5"/>
  <c r="AK148" i="5"/>
  <c r="AJ148" i="5"/>
  <c r="AI148" i="5"/>
  <c r="AH148" i="5"/>
  <c r="AQ147" i="5"/>
  <c r="AP147" i="5"/>
  <c r="AO147" i="5"/>
  <c r="AN147" i="5"/>
  <c r="AM147" i="5"/>
  <c r="AL147" i="5"/>
  <c r="AK147" i="5"/>
  <c r="AJ147" i="5"/>
  <c r="AI147" i="5"/>
  <c r="AH147" i="5"/>
  <c r="AQ146" i="5"/>
  <c r="AP146" i="5"/>
  <c r="AO146" i="5"/>
  <c r="AN146" i="5"/>
  <c r="AM146" i="5"/>
  <c r="AL146" i="5"/>
  <c r="AK146" i="5"/>
  <c r="AJ146" i="5"/>
  <c r="AI146" i="5"/>
  <c r="AH146" i="5"/>
  <c r="AQ145" i="5"/>
  <c r="AP145" i="5"/>
  <c r="AO145" i="5"/>
  <c r="AN145" i="5"/>
  <c r="AM145" i="5"/>
  <c r="AL145" i="5"/>
  <c r="AK145" i="5"/>
  <c r="AJ145" i="5"/>
  <c r="AI145" i="5"/>
  <c r="AH145" i="5"/>
  <c r="AQ144" i="5"/>
  <c r="AP144" i="5"/>
  <c r="AO144" i="5"/>
  <c r="AN144" i="5"/>
  <c r="AM144" i="5"/>
  <c r="AL144" i="5"/>
  <c r="AK144" i="5"/>
  <c r="AJ144" i="5"/>
  <c r="AI144" i="5"/>
  <c r="AH144" i="5"/>
  <c r="AQ143" i="5"/>
  <c r="AP143" i="5"/>
  <c r="AO143" i="5"/>
  <c r="AN143" i="5"/>
  <c r="AM143" i="5"/>
  <c r="AL143" i="5"/>
  <c r="AK143" i="5"/>
  <c r="AJ143" i="5"/>
  <c r="AI143" i="5"/>
  <c r="AH143" i="5"/>
  <c r="AQ142" i="5"/>
  <c r="AP142" i="5"/>
  <c r="AO142" i="5"/>
  <c r="AN142" i="5"/>
  <c r="AM142" i="5"/>
  <c r="AL142" i="5"/>
  <c r="AK142" i="5"/>
  <c r="AJ142" i="5"/>
  <c r="AI142" i="5"/>
  <c r="AH142" i="5"/>
  <c r="AQ141" i="5"/>
  <c r="AP141" i="5"/>
  <c r="AO141" i="5"/>
  <c r="AN141" i="5"/>
  <c r="AM141" i="5"/>
  <c r="AL141" i="5"/>
  <c r="AK141" i="5"/>
  <c r="AJ141" i="5"/>
  <c r="AI141" i="5"/>
  <c r="AH141" i="5"/>
  <c r="AQ140" i="5"/>
  <c r="AP140" i="5"/>
  <c r="AO140" i="5"/>
  <c r="AN140" i="5"/>
  <c r="AM140" i="5"/>
  <c r="AL140" i="5"/>
  <c r="AK140" i="5"/>
  <c r="AJ140" i="5"/>
  <c r="AI140" i="5"/>
  <c r="AH140" i="5"/>
  <c r="AQ139" i="5"/>
  <c r="AP139" i="5"/>
  <c r="AO139" i="5"/>
  <c r="AN139" i="5"/>
  <c r="AM139" i="5"/>
  <c r="AL139" i="5"/>
  <c r="AK139" i="5"/>
  <c r="AJ139" i="5"/>
  <c r="AI139" i="5"/>
  <c r="AH139" i="5"/>
  <c r="AQ138" i="5"/>
  <c r="AP138" i="5"/>
  <c r="AO138" i="5"/>
  <c r="AN138" i="5"/>
  <c r="AM138" i="5"/>
  <c r="AL138" i="5"/>
  <c r="AK138" i="5"/>
  <c r="AJ138" i="5"/>
  <c r="AI138" i="5"/>
  <c r="AH138" i="5"/>
  <c r="AQ137" i="5"/>
  <c r="AP137" i="5"/>
  <c r="AO137" i="5"/>
  <c r="AN137" i="5"/>
  <c r="AM137" i="5"/>
  <c r="AL137" i="5"/>
  <c r="AK137" i="5"/>
  <c r="AJ137" i="5"/>
  <c r="AI137" i="5"/>
  <c r="AH137" i="5"/>
  <c r="AQ136" i="5"/>
  <c r="AP136" i="5"/>
  <c r="AO136" i="5"/>
  <c r="AN136" i="5"/>
  <c r="AM136" i="5"/>
  <c r="AL136" i="5"/>
  <c r="AK136" i="5"/>
  <c r="AJ136" i="5"/>
  <c r="AI136" i="5"/>
  <c r="AH136" i="5"/>
  <c r="AQ135" i="5"/>
  <c r="AP135" i="5"/>
  <c r="AO135" i="5"/>
  <c r="AN135" i="5"/>
  <c r="AM135" i="5"/>
  <c r="AL135" i="5"/>
  <c r="AK135" i="5"/>
  <c r="AJ135" i="5"/>
  <c r="AI135" i="5"/>
  <c r="AH135" i="5"/>
  <c r="AQ134" i="5"/>
  <c r="AP134" i="5"/>
  <c r="AO134" i="5"/>
  <c r="AN134" i="5"/>
  <c r="AM134" i="5"/>
  <c r="AL134" i="5"/>
  <c r="AK134" i="5"/>
  <c r="AJ134" i="5"/>
  <c r="AI134" i="5"/>
  <c r="AH134" i="5"/>
  <c r="AQ133" i="5"/>
  <c r="AP133" i="5"/>
  <c r="AO133" i="5"/>
  <c r="AN133" i="5"/>
  <c r="AM133" i="5"/>
  <c r="AL133" i="5"/>
  <c r="AK133" i="5"/>
  <c r="AJ133" i="5"/>
  <c r="AI133" i="5"/>
  <c r="AH133" i="5"/>
  <c r="AQ132" i="5"/>
  <c r="AP132" i="5"/>
  <c r="AO132" i="5"/>
  <c r="AN132" i="5"/>
  <c r="AM132" i="5"/>
  <c r="AL132" i="5"/>
  <c r="AK132" i="5"/>
  <c r="AJ132" i="5"/>
  <c r="AI132" i="5"/>
  <c r="AH132" i="5"/>
  <c r="AQ131" i="5"/>
  <c r="AP131" i="5"/>
  <c r="AO131" i="5"/>
  <c r="AN131" i="5"/>
  <c r="AM131" i="5"/>
  <c r="AL131" i="5"/>
  <c r="AK131" i="5"/>
  <c r="AJ131" i="5"/>
  <c r="AI131" i="5"/>
  <c r="AH131" i="5"/>
  <c r="AQ130" i="5"/>
  <c r="AP130" i="5"/>
  <c r="AO130" i="5"/>
  <c r="AN130" i="5"/>
  <c r="AM130" i="5"/>
  <c r="AL130" i="5"/>
  <c r="AK130" i="5"/>
  <c r="AJ130" i="5"/>
  <c r="AI130" i="5"/>
  <c r="AH130" i="5"/>
  <c r="AQ129" i="5"/>
  <c r="AP129" i="5"/>
  <c r="AO129" i="5"/>
  <c r="AN129" i="5"/>
  <c r="AM129" i="5"/>
  <c r="AL129" i="5"/>
  <c r="AK129" i="5"/>
  <c r="AJ129" i="5"/>
  <c r="AI129" i="5"/>
  <c r="AH129" i="5"/>
  <c r="AQ128" i="5"/>
  <c r="AP128" i="5"/>
  <c r="AO128" i="5"/>
  <c r="AN128" i="5"/>
  <c r="AM128" i="5"/>
  <c r="AL128" i="5"/>
  <c r="AK128" i="5"/>
  <c r="AJ128" i="5"/>
  <c r="AI128" i="5"/>
  <c r="AH128" i="5"/>
  <c r="AQ127" i="5"/>
  <c r="AP127" i="5"/>
  <c r="AO127" i="5"/>
  <c r="AN127" i="5"/>
  <c r="AM127" i="5"/>
  <c r="AL127" i="5"/>
  <c r="AK127" i="5"/>
  <c r="AJ127" i="5"/>
  <c r="AI127" i="5"/>
  <c r="AH127" i="5"/>
  <c r="AQ126" i="5"/>
  <c r="AP126" i="5"/>
  <c r="AO126" i="5"/>
  <c r="AN126" i="5"/>
  <c r="AM126" i="5"/>
  <c r="AL126" i="5"/>
  <c r="AK126" i="5"/>
  <c r="AJ126" i="5"/>
  <c r="AI126" i="5"/>
  <c r="AH126" i="5"/>
  <c r="AQ125" i="5"/>
  <c r="AP125" i="5"/>
  <c r="AO125" i="5"/>
  <c r="AN125" i="5"/>
  <c r="AM125" i="5"/>
  <c r="AL125" i="5"/>
  <c r="AK125" i="5"/>
  <c r="AJ125" i="5"/>
  <c r="AI125" i="5"/>
  <c r="AH125" i="5"/>
  <c r="AQ124" i="5"/>
  <c r="AP124" i="5"/>
  <c r="AO124" i="5"/>
  <c r="AN124" i="5"/>
  <c r="AM124" i="5"/>
  <c r="AL124" i="5"/>
  <c r="AK124" i="5"/>
  <c r="AJ124" i="5"/>
  <c r="AI124" i="5"/>
  <c r="AH124" i="5"/>
  <c r="AQ123" i="5"/>
  <c r="AP123" i="5"/>
  <c r="AO123" i="5"/>
  <c r="AN123" i="5"/>
  <c r="AM123" i="5"/>
  <c r="AL123" i="5"/>
  <c r="AK123" i="5"/>
  <c r="AJ123" i="5"/>
  <c r="AI123" i="5"/>
  <c r="AH123" i="5"/>
  <c r="AQ122" i="5"/>
  <c r="AP122" i="5"/>
  <c r="AO122" i="5"/>
  <c r="AN122" i="5"/>
  <c r="AM122" i="5"/>
  <c r="AL122" i="5"/>
  <c r="AK122" i="5"/>
  <c r="AJ122" i="5"/>
  <c r="AI122" i="5"/>
  <c r="AH122" i="5"/>
  <c r="AQ121" i="5"/>
  <c r="AP121" i="5"/>
  <c r="AO121" i="5"/>
  <c r="AN121" i="5"/>
  <c r="AM121" i="5"/>
  <c r="AL121" i="5"/>
  <c r="AK121" i="5"/>
  <c r="AJ121" i="5"/>
  <c r="AI121" i="5"/>
  <c r="AH121" i="5"/>
  <c r="AQ120" i="5"/>
  <c r="AP120" i="5"/>
  <c r="AO120" i="5"/>
  <c r="AN120" i="5"/>
  <c r="AM120" i="5"/>
  <c r="AL120" i="5"/>
  <c r="AK120" i="5"/>
  <c r="AJ120" i="5"/>
  <c r="AI120" i="5"/>
  <c r="AH120" i="5"/>
  <c r="AQ119" i="5"/>
  <c r="AP119" i="5"/>
  <c r="AO119" i="5"/>
  <c r="AN119" i="5"/>
  <c r="AM119" i="5"/>
  <c r="AL119" i="5"/>
  <c r="AK119" i="5"/>
  <c r="AJ119" i="5"/>
  <c r="AI119" i="5"/>
  <c r="AH119" i="5"/>
  <c r="AQ118" i="5"/>
  <c r="AP118" i="5"/>
  <c r="AO118" i="5"/>
  <c r="AN118" i="5"/>
  <c r="AM118" i="5"/>
  <c r="AL118" i="5"/>
  <c r="AK118" i="5"/>
  <c r="AJ118" i="5"/>
  <c r="AI118" i="5"/>
  <c r="AH118" i="5"/>
  <c r="AQ117" i="5"/>
  <c r="AP117" i="5"/>
  <c r="AO117" i="5"/>
  <c r="AN117" i="5"/>
  <c r="AM117" i="5"/>
  <c r="AL117" i="5"/>
  <c r="AK117" i="5"/>
  <c r="AJ117" i="5"/>
  <c r="AI117" i="5"/>
  <c r="AH117" i="5"/>
  <c r="AQ116" i="5"/>
  <c r="AP116" i="5"/>
  <c r="AO116" i="5"/>
  <c r="AN116" i="5"/>
  <c r="AM116" i="5"/>
  <c r="AL116" i="5"/>
  <c r="AK116" i="5"/>
  <c r="AJ116" i="5"/>
  <c r="AI116" i="5"/>
  <c r="AH116" i="5"/>
  <c r="AQ115" i="5"/>
  <c r="AP115" i="5"/>
  <c r="AO115" i="5"/>
  <c r="AN115" i="5"/>
  <c r="AM115" i="5"/>
  <c r="AL115" i="5"/>
  <c r="AK115" i="5"/>
  <c r="AJ115" i="5"/>
  <c r="AI115" i="5"/>
  <c r="AH115" i="5"/>
  <c r="AQ114" i="5"/>
  <c r="AP114" i="5"/>
  <c r="AO114" i="5"/>
  <c r="AN114" i="5"/>
  <c r="AM114" i="5"/>
  <c r="AL114" i="5"/>
  <c r="AK114" i="5"/>
  <c r="AJ114" i="5"/>
  <c r="AI114" i="5"/>
  <c r="AH114" i="5"/>
  <c r="AQ113" i="5"/>
  <c r="AP113" i="5"/>
  <c r="AO113" i="5"/>
  <c r="AN113" i="5"/>
  <c r="AM113" i="5"/>
  <c r="AL113" i="5"/>
  <c r="AK113" i="5"/>
  <c r="AJ113" i="5"/>
  <c r="AI113" i="5"/>
  <c r="AH113" i="5"/>
  <c r="AQ112" i="5"/>
  <c r="AP112" i="5"/>
  <c r="AO112" i="5"/>
  <c r="AN112" i="5"/>
  <c r="AM112" i="5"/>
  <c r="AL112" i="5"/>
  <c r="AK112" i="5"/>
  <c r="AJ112" i="5"/>
  <c r="AI112" i="5"/>
  <c r="AH112" i="5"/>
  <c r="AQ111" i="5"/>
  <c r="AP111" i="5"/>
  <c r="AO111" i="5"/>
  <c r="AN111" i="5"/>
  <c r="AM111" i="5"/>
  <c r="AL111" i="5"/>
  <c r="AK111" i="5"/>
  <c r="AJ111" i="5"/>
  <c r="AI111" i="5"/>
  <c r="AH111" i="5"/>
  <c r="AQ110" i="5"/>
  <c r="AP110" i="5"/>
  <c r="AO110" i="5"/>
  <c r="AN110" i="5"/>
  <c r="AM110" i="5"/>
  <c r="AL110" i="5"/>
  <c r="AK110" i="5"/>
  <c r="AJ110" i="5"/>
  <c r="AI110" i="5"/>
  <c r="AH110" i="5"/>
  <c r="AQ109" i="5"/>
  <c r="AP109" i="5"/>
  <c r="AO109" i="5"/>
  <c r="AN109" i="5"/>
  <c r="AM109" i="5"/>
  <c r="AL109" i="5"/>
  <c r="AK109" i="5"/>
  <c r="AJ109" i="5"/>
  <c r="AI109" i="5"/>
  <c r="AH109" i="5"/>
  <c r="AQ108" i="5"/>
  <c r="AP108" i="5"/>
  <c r="AO108" i="5"/>
  <c r="AN108" i="5"/>
  <c r="AM108" i="5"/>
  <c r="AL108" i="5"/>
  <c r="AK108" i="5"/>
  <c r="AJ108" i="5"/>
  <c r="AI108" i="5"/>
  <c r="AH108" i="5"/>
  <c r="AQ107" i="5"/>
  <c r="AP107" i="5"/>
  <c r="AO107" i="5"/>
  <c r="AN107" i="5"/>
  <c r="AM107" i="5"/>
  <c r="AL107" i="5"/>
  <c r="AK107" i="5"/>
  <c r="AJ107" i="5"/>
  <c r="AI107" i="5"/>
  <c r="AH107" i="5"/>
  <c r="AQ106" i="5"/>
  <c r="AP106" i="5"/>
  <c r="AO106" i="5"/>
  <c r="AN106" i="5"/>
  <c r="AM106" i="5"/>
  <c r="AL106" i="5"/>
  <c r="AK106" i="5"/>
  <c r="AJ106" i="5"/>
  <c r="AI106" i="5"/>
  <c r="AH106" i="5"/>
  <c r="AQ105" i="5"/>
  <c r="AP105" i="5"/>
  <c r="AO105" i="5"/>
  <c r="AN105" i="5"/>
  <c r="AM105" i="5"/>
  <c r="AL105" i="5"/>
  <c r="AK105" i="5"/>
  <c r="AJ105" i="5"/>
  <c r="AI105" i="5"/>
  <c r="AH105" i="5"/>
  <c r="AQ104" i="5"/>
  <c r="AP104" i="5"/>
  <c r="AO104" i="5"/>
  <c r="AN104" i="5"/>
  <c r="AM104" i="5"/>
  <c r="AL104" i="5"/>
  <c r="AK104" i="5"/>
  <c r="AJ104" i="5"/>
  <c r="AI104" i="5"/>
  <c r="AH104" i="5"/>
  <c r="AQ103" i="5"/>
  <c r="AP103" i="5"/>
  <c r="AO103" i="5"/>
  <c r="AN103" i="5"/>
  <c r="AM103" i="5"/>
  <c r="AL103" i="5"/>
  <c r="AK103" i="5"/>
  <c r="AJ103" i="5"/>
  <c r="AI103" i="5"/>
  <c r="AH103" i="5"/>
  <c r="AQ102" i="5"/>
  <c r="AP102" i="5"/>
  <c r="AO102" i="5"/>
  <c r="AN102" i="5"/>
  <c r="AM102" i="5"/>
  <c r="AL102" i="5"/>
  <c r="AK102" i="5"/>
  <c r="AJ102" i="5"/>
  <c r="AI102" i="5"/>
  <c r="AH102" i="5"/>
  <c r="AQ101" i="5"/>
  <c r="AP101" i="5"/>
  <c r="AO101" i="5"/>
  <c r="AN101" i="5"/>
  <c r="AM101" i="5"/>
  <c r="AL101" i="5"/>
  <c r="AK101" i="5"/>
  <c r="AJ101" i="5"/>
  <c r="AI101" i="5"/>
  <c r="AH101" i="5"/>
  <c r="AQ100" i="5"/>
  <c r="AP100" i="5"/>
  <c r="AO100" i="5"/>
  <c r="AN100" i="5"/>
  <c r="AM100" i="5"/>
  <c r="AL100" i="5"/>
  <c r="AK100" i="5"/>
  <c r="AJ100" i="5"/>
  <c r="AI100" i="5"/>
  <c r="AH100" i="5"/>
  <c r="AQ99" i="5"/>
  <c r="AP99" i="5"/>
  <c r="AO99" i="5"/>
  <c r="AN99" i="5"/>
  <c r="AM99" i="5"/>
  <c r="AL99" i="5"/>
  <c r="AK99" i="5"/>
  <c r="AJ99" i="5"/>
  <c r="AI99" i="5"/>
  <c r="AH99" i="5"/>
  <c r="AQ98" i="5"/>
  <c r="AP98" i="5"/>
  <c r="AO98" i="5"/>
  <c r="AN98" i="5"/>
  <c r="AM98" i="5"/>
  <c r="AL98" i="5"/>
  <c r="AK98" i="5"/>
  <c r="AJ98" i="5"/>
  <c r="AI98" i="5"/>
  <c r="AH98" i="5"/>
  <c r="AQ97" i="5"/>
  <c r="AP97" i="5"/>
  <c r="AO97" i="5"/>
  <c r="AN97" i="5"/>
  <c r="AM97" i="5"/>
  <c r="AL97" i="5"/>
  <c r="AK97" i="5"/>
  <c r="AJ97" i="5"/>
  <c r="AI97" i="5"/>
  <c r="AH97" i="5"/>
  <c r="AQ96" i="5"/>
  <c r="AP96" i="5"/>
  <c r="AO96" i="5"/>
  <c r="AN96" i="5"/>
  <c r="AM96" i="5"/>
  <c r="AL96" i="5"/>
  <c r="AK96" i="5"/>
  <c r="AJ96" i="5"/>
  <c r="AI96" i="5"/>
  <c r="AH96" i="5"/>
  <c r="AQ95" i="5"/>
  <c r="AP95" i="5"/>
  <c r="AO95" i="5"/>
  <c r="AN95" i="5"/>
  <c r="AM95" i="5"/>
  <c r="AL95" i="5"/>
  <c r="AK95" i="5"/>
  <c r="AJ95" i="5"/>
  <c r="AI95" i="5"/>
  <c r="AH95" i="5"/>
  <c r="AQ94" i="5"/>
  <c r="AP94" i="5"/>
  <c r="AO94" i="5"/>
  <c r="AN94" i="5"/>
  <c r="AM94" i="5"/>
  <c r="AL94" i="5"/>
  <c r="AK94" i="5"/>
  <c r="AJ94" i="5"/>
  <c r="AI94" i="5"/>
  <c r="AH94" i="5"/>
  <c r="AQ93" i="5"/>
  <c r="AP93" i="5"/>
  <c r="AO93" i="5"/>
  <c r="AN93" i="5"/>
  <c r="AM93" i="5"/>
  <c r="AL93" i="5"/>
  <c r="AK93" i="5"/>
  <c r="AJ93" i="5"/>
  <c r="AI93" i="5"/>
  <c r="AH93" i="5"/>
  <c r="AQ92" i="5"/>
  <c r="AP92" i="5"/>
  <c r="AO92" i="5"/>
  <c r="AN92" i="5"/>
  <c r="AM92" i="5"/>
  <c r="AL92" i="5"/>
  <c r="AK92" i="5"/>
  <c r="AJ92" i="5"/>
  <c r="AI92" i="5"/>
  <c r="AH92" i="5"/>
  <c r="AQ91" i="5"/>
  <c r="AP91" i="5"/>
  <c r="AO91" i="5"/>
  <c r="AN91" i="5"/>
  <c r="AM91" i="5"/>
  <c r="AL91" i="5"/>
  <c r="AK91" i="5"/>
  <c r="AJ91" i="5"/>
  <c r="AI91" i="5"/>
  <c r="AH91" i="5"/>
  <c r="AQ90" i="5"/>
  <c r="AP90" i="5"/>
  <c r="AO90" i="5"/>
  <c r="AN90" i="5"/>
  <c r="AM90" i="5"/>
  <c r="AL90" i="5"/>
  <c r="AK90" i="5"/>
  <c r="AJ90" i="5"/>
  <c r="AI90" i="5"/>
  <c r="AH90" i="5"/>
  <c r="AQ89" i="5"/>
  <c r="AP89" i="5"/>
  <c r="AO89" i="5"/>
  <c r="AN89" i="5"/>
  <c r="AM89" i="5"/>
  <c r="AL89" i="5"/>
  <c r="AK89" i="5"/>
  <c r="AJ89" i="5"/>
  <c r="AI89" i="5"/>
  <c r="AH89" i="5"/>
  <c r="AQ88" i="5"/>
  <c r="AP88" i="5"/>
  <c r="AO88" i="5"/>
  <c r="AN88" i="5"/>
  <c r="AM88" i="5"/>
  <c r="AL88" i="5"/>
  <c r="AK88" i="5"/>
  <c r="AJ88" i="5"/>
  <c r="AI88" i="5"/>
  <c r="AH88" i="5"/>
  <c r="AQ87" i="5"/>
  <c r="AP87" i="5"/>
  <c r="AO87" i="5"/>
  <c r="AN87" i="5"/>
  <c r="AM87" i="5"/>
  <c r="AL87" i="5"/>
  <c r="AK87" i="5"/>
  <c r="AJ87" i="5"/>
  <c r="AI87" i="5"/>
  <c r="AH87" i="5"/>
  <c r="AQ86" i="5"/>
  <c r="AP86" i="5"/>
  <c r="AO86" i="5"/>
  <c r="AN86" i="5"/>
  <c r="AM86" i="5"/>
  <c r="AL86" i="5"/>
  <c r="AK86" i="5"/>
  <c r="AJ86" i="5"/>
  <c r="AI86" i="5"/>
  <c r="AH86" i="5"/>
  <c r="AQ85" i="5"/>
  <c r="AP85" i="5"/>
  <c r="AO85" i="5"/>
  <c r="AN85" i="5"/>
  <c r="AM85" i="5"/>
  <c r="AL85" i="5"/>
  <c r="AK85" i="5"/>
  <c r="AJ85" i="5"/>
  <c r="AI85" i="5"/>
  <c r="AH85" i="5"/>
  <c r="AQ84" i="5"/>
  <c r="AP84" i="5"/>
  <c r="AO84" i="5"/>
  <c r="AN84" i="5"/>
  <c r="AM84" i="5"/>
  <c r="AL84" i="5"/>
  <c r="AK84" i="5"/>
  <c r="AJ84" i="5"/>
  <c r="AI84" i="5"/>
  <c r="AH84" i="5"/>
  <c r="AQ83" i="5"/>
  <c r="AP83" i="5"/>
  <c r="AO83" i="5"/>
  <c r="AN83" i="5"/>
  <c r="AM83" i="5"/>
  <c r="AL83" i="5"/>
  <c r="AK83" i="5"/>
  <c r="AJ83" i="5"/>
  <c r="AI83" i="5"/>
  <c r="AH83" i="5"/>
  <c r="AQ82" i="5"/>
  <c r="AP82" i="5"/>
  <c r="AO82" i="5"/>
  <c r="AN82" i="5"/>
  <c r="AM82" i="5"/>
  <c r="AL82" i="5"/>
  <c r="AK82" i="5"/>
  <c r="AJ82" i="5"/>
  <c r="AI82" i="5"/>
  <c r="AH82" i="5"/>
  <c r="AQ81" i="5"/>
  <c r="AP81" i="5"/>
  <c r="AO81" i="5"/>
  <c r="AN81" i="5"/>
  <c r="AM81" i="5"/>
  <c r="AL81" i="5"/>
  <c r="AK81" i="5"/>
  <c r="AJ81" i="5"/>
  <c r="AI81" i="5"/>
  <c r="AH81" i="5"/>
  <c r="AQ80" i="5"/>
  <c r="AP80" i="5"/>
  <c r="AO80" i="5"/>
  <c r="AN80" i="5"/>
  <c r="AM80" i="5"/>
  <c r="AL80" i="5"/>
  <c r="AK80" i="5"/>
  <c r="AJ80" i="5"/>
  <c r="AI80" i="5"/>
  <c r="AH80" i="5"/>
  <c r="AQ79" i="5"/>
  <c r="AP79" i="5"/>
  <c r="AO79" i="5"/>
  <c r="AN79" i="5"/>
  <c r="AM79" i="5"/>
  <c r="AL79" i="5"/>
  <c r="AK79" i="5"/>
  <c r="AJ79" i="5"/>
  <c r="AI79" i="5"/>
  <c r="AH79" i="5"/>
  <c r="AQ78" i="5"/>
  <c r="AP78" i="5"/>
  <c r="AO78" i="5"/>
  <c r="AN78" i="5"/>
  <c r="AM78" i="5"/>
  <c r="AL78" i="5"/>
  <c r="AK78" i="5"/>
  <c r="AJ78" i="5"/>
  <c r="AI78" i="5"/>
  <c r="AH78" i="5"/>
  <c r="AQ77" i="5"/>
  <c r="AP77" i="5"/>
  <c r="AO77" i="5"/>
  <c r="AN77" i="5"/>
  <c r="AM77" i="5"/>
  <c r="AL77" i="5"/>
  <c r="AK77" i="5"/>
  <c r="AJ77" i="5"/>
  <c r="AI77" i="5"/>
  <c r="AH77" i="5"/>
  <c r="AQ76" i="5"/>
  <c r="AP76" i="5"/>
  <c r="AO76" i="5"/>
  <c r="AN76" i="5"/>
  <c r="AM76" i="5"/>
  <c r="AL76" i="5"/>
  <c r="AK76" i="5"/>
  <c r="AJ76" i="5"/>
  <c r="AI76" i="5"/>
  <c r="AH76" i="5"/>
  <c r="AQ75" i="5"/>
  <c r="AP75" i="5"/>
  <c r="AO75" i="5"/>
  <c r="AN75" i="5"/>
  <c r="AM75" i="5"/>
  <c r="AL75" i="5"/>
  <c r="AK75" i="5"/>
  <c r="AJ75" i="5"/>
  <c r="AI75" i="5"/>
  <c r="AH75" i="5"/>
  <c r="AQ74" i="5"/>
  <c r="AP74" i="5"/>
  <c r="AO74" i="5"/>
  <c r="AN74" i="5"/>
  <c r="AM74" i="5"/>
  <c r="AL74" i="5"/>
  <c r="AK74" i="5"/>
  <c r="AJ74" i="5"/>
  <c r="AI74" i="5"/>
  <c r="AH74" i="5"/>
  <c r="AQ73" i="5"/>
  <c r="AP73" i="5"/>
  <c r="AO73" i="5"/>
  <c r="AN73" i="5"/>
  <c r="AM73" i="5"/>
  <c r="AL73" i="5"/>
  <c r="AK73" i="5"/>
  <c r="AJ73" i="5"/>
  <c r="AI73" i="5"/>
  <c r="AH73" i="5"/>
  <c r="AQ72" i="5"/>
  <c r="AP72" i="5"/>
  <c r="AO72" i="5"/>
  <c r="AN72" i="5"/>
  <c r="AM72" i="5"/>
  <c r="AL72" i="5"/>
  <c r="AK72" i="5"/>
  <c r="AJ72" i="5"/>
  <c r="AI72" i="5"/>
  <c r="AH72" i="5"/>
  <c r="AQ71" i="5"/>
  <c r="AP71" i="5"/>
  <c r="AO71" i="5"/>
  <c r="AN71" i="5"/>
  <c r="AM71" i="5"/>
  <c r="AL71" i="5"/>
  <c r="AK71" i="5"/>
  <c r="AJ71" i="5"/>
  <c r="AI71" i="5"/>
  <c r="AH71" i="5"/>
  <c r="AQ70" i="5"/>
  <c r="AP70" i="5"/>
  <c r="AO70" i="5"/>
  <c r="AN70" i="5"/>
  <c r="AM70" i="5"/>
  <c r="AL70" i="5"/>
  <c r="AK70" i="5"/>
  <c r="AJ70" i="5"/>
  <c r="AI70" i="5"/>
  <c r="AH70" i="5"/>
  <c r="AQ69" i="5"/>
  <c r="AP69" i="5"/>
  <c r="AO69" i="5"/>
  <c r="AN69" i="5"/>
  <c r="AM69" i="5"/>
  <c r="AL69" i="5"/>
  <c r="AK69" i="5"/>
  <c r="AJ69" i="5"/>
  <c r="AI69" i="5"/>
  <c r="AH69" i="5"/>
  <c r="AQ68" i="5"/>
  <c r="AP68" i="5"/>
  <c r="AO68" i="5"/>
  <c r="AN68" i="5"/>
  <c r="AM68" i="5"/>
  <c r="AL68" i="5"/>
  <c r="AK68" i="5"/>
  <c r="AJ68" i="5"/>
  <c r="AI68" i="5"/>
  <c r="AH68" i="5"/>
  <c r="AQ67" i="5"/>
  <c r="AP67" i="5"/>
  <c r="AO67" i="5"/>
  <c r="AN67" i="5"/>
  <c r="AM67" i="5"/>
  <c r="AL67" i="5"/>
  <c r="AK67" i="5"/>
  <c r="AJ67" i="5"/>
  <c r="AI67" i="5"/>
  <c r="AH67" i="5"/>
  <c r="AQ66" i="5"/>
  <c r="AP66" i="5"/>
  <c r="AO66" i="5"/>
  <c r="AN66" i="5"/>
  <c r="AM66" i="5"/>
  <c r="AL66" i="5"/>
  <c r="AK66" i="5"/>
  <c r="AJ66" i="5"/>
  <c r="AI66" i="5"/>
  <c r="AH66" i="5"/>
  <c r="AQ65" i="5"/>
  <c r="AP65" i="5"/>
  <c r="AO65" i="5"/>
  <c r="AN65" i="5"/>
  <c r="AM65" i="5"/>
  <c r="AL65" i="5"/>
  <c r="AK65" i="5"/>
  <c r="AJ65" i="5"/>
  <c r="AI65" i="5"/>
  <c r="AH65" i="5"/>
  <c r="AQ64" i="5"/>
  <c r="AP64" i="5"/>
  <c r="AO64" i="5"/>
  <c r="AN64" i="5"/>
  <c r="AM64" i="5"/>
  <c r="AL64" i="5"/>
  <c r="AK64" i="5"/>
  <c r="AJ64" i="5"/>
  <c r="AI64" i="5"/>
  <c r="AH64" i="5"/>
  <c r="AQ63" i="5"/>
  <c r="AP63" i="5"/>
  <c r="AO63" i="5"/>
  <c r="AN63" i="5"/>
  <c r="AM63" i="5"/>
  <c r="AL63" i="5"/>
  <c r="AK63" i="5"/>
  <c r="AJ63" i="5"/>
  <c r="AI63" i="5"/>
  <c r="AH63" i="5"/>
  <c r="AQ62" i="5"/>
  <c r="AP62" i="5"/>
  <c r="AO62" i="5"/>
  <c r="AN62" i="5"/>
  <c r="AM62" i="5"/>
  <c r="AL62" i="5"/>
  <c r="AK62" i="5"/>
  <c r="AJ62" i="5"/>
  <c r="AI62" i="5"/>
  <c r="AH62" i="5"/>
  <c r="AQ61" i="5"/>
  <c r="AP61" i="5"/>
  <c r="AO61" i="5"/>
  <c r="AN61" i="5"/>
  <c r="AM61" i="5"/>
  <c r="AL61" i="5"/>
  <c r="AK61" i="5"/>
  <c r="AJ61" i="5"/>
  <c r="AI61" i="5"/>
  <c r="AH61" i="5"/>
  <c r="AQ60" i="5"/>
  <c r="AP60" i="5"/>
  <c r="AO60" i="5"/>
  <c r="AN60" i="5"/>
  <c r="AM60" i="5"/>
  <c r="AL60" i="5"/>
  <c r="AK60" i="5"/>
  <c r="AJ60" i="5"/>
  <c r="AI60" i="5"/>
  <c r="AH60" i="5"/>
  <c r="AQ59" i="5"/>
  <c r="AP59" i="5"/>
  <c r="AO59" i="5"/>
  <c r="AN59" i="5"/>
  <c r="AM59" i="5"/>
  <c r="AL59" i="5"/>
  <c r="AK59" i="5"/>
  <c r="AJ59" i="5"/>
  <c r="AI59" i="5"/>
  <c r="AH59" i="5"/>
  <c r="AQ58" i="5"/>
  <c r="AP58" i="5"/>
  <c r="AO58" i="5"/>
  <c r="AN58" i="5"/>
  <c r="AM58" i="5"/>
  <c r="AL58" i="5"/>
  <c r="AK58" i="5"/>
  <c r="AJ58" i="5"/>
  <c r="AI58" i="5"/>
  <c r="AH58" i="5"/>
  <c r="AQ57" i="5"/>
  <c r="AP57" i="5"/>
  <c r="AO57" i="5"/>
  <c r="AN57" i="5"/>
  <c r="AM57" i="5"/>
  <c r="AL57" i="5"/>
  <c r="AK57" i="5"/>
  <c r="AJ57" i="5"/>
  <c r="AI57" i="5"/>
  <c r="AH57" i="5"/>
  <c r="AQ56" i="5"/>
  <c r="AP56" i="5"/>
  <c r="AO56" i="5"/>
  <c r="AN56" i="5"/>
  <c r="AM56" i="5"/>
  <c r="AL56" i="5"/>
  <c r="AK56" i="5"/>
  <c r="AJ56" i="5"/>
  <c r="AI56" i="5"/>
  <c r="AH56" i="5"/>
  <c r="AQ55" i="5"/>
  <c r="AP55" i="5"/>
  <c r="AO55" i="5"/>
  <c r="AN55" i="5"/>
  <c r="AM55" i="5"/>
  <c r="AL55" i="5"/>
  <c r="AK55" i="5"/>
  <c r="AJ55" i="5"/>
  <c r="AI55" i="5"/>
  <c r="AH55" i="5"/>
  <c r="AQ54" i="5"/>
  <c r="AP54" i="5"/>
  <c r="AO54" i="5"/>
  <c r="AN54" i="5"/>
  <c r="AM54" i="5"/>
  <c r="AL54" i="5"/>
  <c r="AK54" i="5"/>
  <c r="AJ54" i="5"/>
  <c r="AI54" i="5"/>
  <c r="AH54" i="5"/>
  <c r="AQ53" i="5"/>
  <c r="AP53" i="5"/>
  <c r="AO53" i="5"/>
  <c r="AN53" i="5"/>
  <c r="AM53" i="5"/>
  <c r="AL53" i="5"/>
  <c r="AK53" i="5"/>
  <c r="AJ53" i="5"/>
  <c r="AI53" i="5"/>
  <c r="AH53" i="5"/>
  <c r="AQ52" i="5"/>
  <c r="AP52" i="5"/>
  <c r="AO52" i="5"/>
  <c r="AN52" i="5"/>
  <c r="AM52" i="5"/>
  <c r="AL52" i="5"/>
  <c r="AK52" i="5"/>
  <c r="AJ52" i="5"/>
  <c r="AI52" i="5"/>
  <c r="AH52" i="5"/>
  <c r="AQ51" i="5"/>
  <c r="AP51" i="5"/>
  <c r="AO51" i="5"/>
  <c r="AN51" i="5"/>
  <c r="AM51" i="5"/>
  <c r="AL51" i="5"/>
  <c r="AK51" i="5"/>
  <c r="AJ51" i="5"/>
  <c r="AI51" i="5"/>
  <c r="AH51" i="5"/>
  <c r="AQ50" i="5"/>
  <c r="AP50" i="5"/>
  <c r="AO50" i="5"/>
  <c r="AN50" i="5"/>
  <c r="AM50" i="5"/>
  <c r="AL50" i="5"/>
  <c r="AK50" i="5"/>
  <c r="AJ50" i="5"/>
  <c r="AI50" i="5"/>
  <c r="AH50" i="5"/>
  <c r="AQ49" i="5"/>
  <c r="AP49" i="5"/>
  <c r="AO49" i="5"/>
  <c r="AN49" i="5"/>
  <c r="AM49" i="5"/>
  <c r="AL49" i="5"/>
  <c r="AK49" i="5"/>
  <c r="AJ49" i="5"/>
  <c r="AI49" i="5"/>
  <c r="AH49" i="5"/>
  <c r="AQ48" i="5"/>
  <c r="AP48" i="5"/>
  <c r="AO48" i="5"/>
  <c r="AN48" i="5"/>
  <c r="AM48" i="5"/>
  <c r="AL48" i="5"/>
  <c r="AK48" i="5"/>
  <c r="AJ48" i="5"/>
  <c r="AI48" i="5"/>
  <c r="AH48" i="5"/>
  <c r="AQ47" i="5"/>
  <c r="AP47" i="5"/>
  <c r="AO47" i="5"/>
  <c r="AN47" i="5"/>
  <c r="AM47" i="5"/>
  <c r="AL47" i="5"/>
  <c r="AK47" i="5"/>
  <c r="AJ47" i="5"/>
  <c r="AI47" i="5"/>
  <c r="AH47" i="5"/>
  <c r="AQ46" i="5"/>
  <c r="AP46" i="5"/>
  <c r="AO46" i="5"/>
  <c r="AN46" i="5"/>
  <c r="AM46" i="5"/>
  <c r="AL46" i="5"/>
  <c r="AK46" i="5"/>
  <c r="AJ46" i="5"/>
  <c r="AI46" i="5"/>
  <c r="AH46" i="5"/>
  <c r="AQ45" i="5"/>
  <c r="AP45" i="5"/>
  <c r="AO45" i="5"/>
  <c r="AN45" i="5"/>
  <c r="AM45" i="5"/>
  <c r="AL45" i="5"/>
  <c r="AK45" i="5"/>
  <c r="AJ45" i="5"/>
  <c r="AI45" i="5"/>
  <c r="AH45" i="5"/>
  <c r="AQ44" i="5"/>
  <c r="AP44" i="5"/>
  <c r="AO44" i="5"/>
  <c r="AN44" i="5"/>
  <c r="AM44" i="5"/>
  <c r="AL44" i="5"/>
  <c r="AK44" i="5"/>
  <c r="AJ44" i="5"/>
  <c r="AI44" i="5"/>
  <c r="AH44" i="5"/>
  <c r="AQ43" i="5"/>
  <c r="AP43" i="5"/>
  <c r="AO43" i="5"/>
  <c r="AN43" i="5"/>
  <c r="AM43" i="5"/>
  <c r="AL43" i="5"/>
  <c r="AK43" i="5"/>
  <c r="AJ43" i="5"/>
  <c r="AI43" i="5"/>
  <c r="AH43" i="5"/>
  <c r="AQ42" i="5"/>
  <c r="AP42" i="5"/>
  <c r="AO42" i="5"/>
  <c r="AN42" i="5"/>
  <c r="AM42" i="5"/>
  <c r="AL42" i="5"/>
  <c r="AK42" i="5"/>
  <c r="AJ42" i="5"/>
  <c r="AI42" i="5"/>
  <c r="AH42" i="5"/>
  <c r="AQ41" i="5"/>
  <c r="AP41" i="5"/>
  <c r="AO41" i="5"/>
  <c r="AN41" i="5"/>
  <c r="AM41" i="5"/>
  <c r="AL41" i="5"/>
  <c r="AK41" i="5"/>
  <c r="AJ41" i="5"/>
  <c r="AI41" i="5"/>
  <c r="AH41" i="5"/>
  <c r="AQ40" i="5"/>
  <c r="AP40" i="5"/>
  <c r="AO40" i="5"/>
  <c r="AN40" i="5"/>
  <c r="AM40" i="5"/>
  <c r="AL40" i="5"/>
  <c r="AK40" i="5"/>
  <c r="AJ40" i="5"/>
  <c r="AI40" i="5"/>
  <c r="AH40" i="5"/>
  <c r="AQ39" i="5"/>
  <c r="AP39" i="5"/>
  <c r="AO39" i="5"/>
  <c r="AN39" i="5"/>
  <c r="AM39" i="5"/>
  <c r="AL39" i="5"/>
  <c r="AK39" i="5"/>
  <c r="AJ39" i="5"/>
  <c r="AI39" i="5"/>
  <c r="AH39" i="5"/>
  <c r="AQ38" i="5"/>
  <c r="AP38" i="5"/>
  <c r="AO38" i="5"/>
  <c r="AN38" i="5"/>
  <c r="AM38" i="5"/>
  <c r="AL38" i="5"/>
  <c r="AK38" i="5"/>
  <c r="AJ38" i="5"/>
  <c r="AI38" i="5"/>
  <c r="AH38" i="5"/>
  <c r="AQ37" i="5"/>
  <c r="AP37" i="5"/>
  <c r="AO37" i="5"/>
  <c r="AN37" i="5"/>
  <c r="AM37" i="5"/>
  <c r="AL37" i="5"/>
  <c r="AK37" i="5"/>
  <c r="AJ37" i="5"/>
  <c r="AI37" i="5"/>
  <c r="AH37" i="5"/>
  <c r="AQ36" i="5"/>
  <c r="AP36" i="5"/>
  <c r="AO36" i="5"/>
  <c r="AN36" i="5"/>
  <c r="AM36" i="5"/>
  <c r="AL36" i="5"/>
  <c r="AK36" i="5"/>
  <c r="AJ36" i="5"/>
  <c r="AI36" i="5"/>
  <c r="AH36" i="5"/>
  <c r="AQ35" i="5"/>
  <c r="AP35" i="5"/>
  <c r="AO35" i="5"/>
  <c r="AN35" i="5"/>
  <c r="AM35" i="5"/>
  <c r="AL35" i="5"/>
  <c r="AK35" i="5"/>
  <c r="AJ35" i="5"/>
  <c r="AI35" i="5"/>
  <c r="AH35" i="5"/>
  <c r="AQ34" i="5"/>
  <c r="AP34" i="5"/>
  <c r="AO34" i="5"/>
  <c r="AN34" i="5"/>
  <c r="AM34" i="5"/>
  <c r="AL34" i="5"/>
  <c r="AK34" i="5"/>
  <c r="AJ34" i="5"/>
  <c r="AI34" i="5"/>
  <c r="AH34" i="5"/>
  <c r="AQ33" i="5"/>
  <c r="AP33" i="5"/>
  <c r="AO33" i="5"/>
  <c r="AN33" i="5"/>
  <c r="AM33" i="5"/>
  <c r="AL33" i="5"/>
  <c r="AK33" i="5"/>
  <c r="AJ33" i="5"/>
  <c r="AI33" i="5"/>
  <c r="AH33" i="5"/>
  <c r="AQ32" i="5"/>
  <c r="AP32" i="5"/>
  <c r="AO32" i="5"/>
  <c r="AN32" i="5"/>
  <c r="AM32" i="5"/>
  <c r="AL32" i="5"/>
  <c r="AK32" i="5"/>
  <c r="AJ32" i="5"/>
  <c r="AI32" i="5"/>
  <c r="AH32" i="5"/>
  <c r="AQ31" i="5"/>
  <c r="AP31" i="5"/>
  <c r="AO31" i="5"/>
  <c r="AN31" i="5"/>
  <c r="AM31" i="5"/>
  <c r="AL31" i="5"/>
  <c r="AK31" i="5"/>
  <c r="AJ31" i="5"/>
  <c r="AI31" i="5"/>
  <c r="AH31" i="5"/>
  <c r="AQ30" i="5"/>
  <c r="AP30" i="5"/>
  <c r="AO30" i="5"/>
  <c r="AN30" i="5"/>
  <c r="AM30" i="5"/>
  <c r="AL30" i="5"/>
  <c r="AK30" i="5"/>
  <c r="AJ30" i="5"/>
  <c r="AI30" i="5"/>
  <c r="AH30" i="5"/>
  <c r="AQ29" i="5"/>
  <c r="AP29" i="5"/>
  <c r="AO29" i="5"/>
  <c r="AN29" i="5"/>
  <c r="AM29" i="5"/>
  <c r="AL29" i="5"/>
  <c r="AK29" i="5"/>
  <c r="AJ29" i="5"/>
  <c r="AI29" i="5"/>
  <c r="AH29" i="5"/>
  <c r="AQ28" i="5"/>
  <c r="AP28" i="5"/>
  <c r="AO28" i="5"/>
  <c r="AN28" i="5"/>
  <c r="AM28" i="5"/>
  <c r="AL28" i="5"/>
  <c r="AK28" i="5"/>
  <c r="AJ28" i="5"/>
  <c r="AI28" i="5"/>
  <c r="AH28" i="5"/>
  <c r="AQ27" i="5"/>
  <c r="AP27" i="5"/>
  <c r="AO27" i="5"/>
  <c r="AN27" i="5"/>
  <c r="AM27" i="5"/>
  <c r="AL27" i="5"/>
  <c r="AK27" i="5"/>
  <c r="AJ27" i="5"/>
  <c r="AI27" i="5"/>
  <c r="AH27" i="5"/>
  <c r="AQ26" i="5"/>
  <c r="AP26" i="5"/>
  <c r="AO26" i="5"/>
  <c r="AN26" i="5"/>
  <c r="AM26" i="5"/>
  <c r="AL26" i="5"/>
  <c r="AK26" i="5"/>
  <c r="AJ26" i="5"/>
  <c r="AI26" i="5"/>
  <c r="AH26" i="5"/>
  <c r="AQ25" i="5"/>
  <c r="AP25" i="5"/>
  <c r="AO25" i="5"/>
  <c r="AN25" i="5"/>
  <c r="AM25" i="5"/>
  <c r="AL25" i="5"/>
  <c r="AK25" i="5"/>
  <c r="AJ25" i="5"/>
  <c r="AI25" i="5"/>
  <c r="AH25" i="5"/>
  <c r="AQ24" i="5"/>
  <c r="AP24" i="5"/>
  <c r="AO24" i="5"/>
  <c r="AN24" i="5"/>
  <c r="AM24" i="5"/>
  <c r="AL24" i="5"/>
  <c r="AK24" i="5"/>
  <c r="AJ24" i="5"/>
  <c r="AI24" i="5"/>
  <c r="AH24" i="5"/>
  <c r="AQ23" i="5"/>
  <c r="AP23" i="5"/>
  <c r="AO23" i="5"/>
  <c r="AN23" i="5"/>
  <c r="AM23" i="5"/>
  <c r="AL23" i="5"/>
  <c r="AK23" i="5"/>
  <c r="AJ23" i="5"/>
  <c r="AI23" i="5"/>
  <c r="AH23" i="5"/>
  <c r="AQ22" i="5"/>
  <c r="AP22" i="5"/>
  <c r="AO22" i="5"/>
  <c r="AN22" i="5"/>
  <c r="AM22" i="5"/>
  <c r="AL22" i="5"/>
  <c r="AK22" i="5"/>
  <c r="AJ22" i="5"/>
  <c r="AI22" i="5"/>
  <c r="AH22" i="5"/>
  <c r="AQ21" i="5"/>
  <c r="AP21" i="5"/>
  <c r="AO21" i="5"/>
  <c r="AN21" i="5"/>
  <c r="AM21" i="5"/>
  <c r="AL21" i="5"/>
  <c r="AK21" i="5"/>
  <c r="AJ21" i="5"/>
  <c r="AI21" i="5"/>
  <c r="AH21" i="5"/>
  <c r="AQ20" i="5"/>
  <c r="AP20" i="5"/>
  <c r="AO20" i="5"/>
  <c r="AN20" i="5"/>
  <c r="AM20" i="5"/>
  <c r="AL20" i="5"/>
  <c r="AK20" i="5"/>
  <c r="AJ20" i="5"/>
  <c r="AI20" i="5"/>
  <c r="AH20" i="5"/>
  <c r="AQ19" i="5"/>
  <c r="AP19" i="5"/>
  <c r="AO19" i="5"/>
  <c r="AN19" i="5"/>
  <c r="AM19" i="5"/>
  <c r="AL19" i="5"/>
  <c r="AK19" i="5"/>
  <c r="AJ19" i="5"/>
  <c r="AI19" i="5"/>
  <c r="AH19" i="5"/>
  <c r="AQ18" i="5"/>
  <c r="AP18" i="5"/>
  <c r="AO18" i="5"/>
  <c r="AN18" i="5"/>
  <c r="AM18" i="5"/>
  <c r="AL18" i="5"/>
  <c r="AK18" i="5"/>
  <c r="AJ18" i="5"/>
  <c r="AI18" i="5"/>
  <c r="AH18" i="5"/>
  <c r="AQ17" i="5"/>
  <c r="AP17" i="5"/>
  <c r="AO17" i="5"/>
  <c r="AN17" i="5"/>
  <c r="AM17" i="5"/>
  <c r="AL17" i="5"/>
  <c r="AK17" i="5"/>
  <c r="AJ17" i="5"/>
  <c r="AI17" i="5"/>
  <c r="AH17" i="5"/>
  <c r="AQ16" i="5"/>
  <c r="AP16" i="5"/>
  <c r="AO16" i="5"/>
  <c r="AN16" i="5"/>
  <c r="AM16" i="5"/>
  <c r="AL16" i="5"/>
  <c r="AK16" i="5"/>
  <c r="AJ16" i="5"/>
  <c r="AI16" i="5"/>
  <c r="AH16" i="5"/>
  <c r="AQ15" i="5"/>
  <c r="AP15" i="5"/>
  <c r="AO15" i="5"/>
  <c r="AN15" i="5"/>
  <c r="AM15" i="5"/>
  <c r="AL15" i="5"/>
  <c r="AK15" i="5"/>
  <c r="AJ15" i="5"/>
  <c r="AI15" i="5"/>
  <c r="AH15" i="5"/>
  <c r="AQ14" i="5"/>
  <c r="AP14" i="5"/>
  <c r="AO14" i="5"/>
  <c r="AN14" i="5"/>
  <c r="AM14" i="5"/>
  <c r="AL14" i="5"/>
  <c r="AK14" i="5"/>
  <c r="AJ14" i="5"/>
  <c r="AI14" i="5"/>
  <c r="AH14" i="5"/>
  <c r="AQ13" i="5"/>
  <c r="AP13" i="5"/>
  <c r="AO13" i="5"/>
  <c r="AN13" i="5"/>
  <c r="AM13" i="5"/>
  <c r="AL13" i="5"/>
  <c r="AK13" i="5"/>
  <c r="AJ13" i="5"/>
  <c r="AI13" i="5"/>
  <c r="AH13" i="5"/>
  <c r="AQ12" i="5"/>
  <c r="AP12" i="5"/>
  <c r="AO12" i="5"/>
  <c r="AN12" i="5"/>
  <c r="AM12" i="5"/>
  <c r="AL12" i="5"/>
  <c r="AK12" i="5"/>
  <c r="AJ12" i="5"/>
  <c r="AI12" i="5"/>
  <c r="AH12" i="5"/>
  <c r="AQ11" i="5"/>
  <c r="AP11" i="5"/>
  <c r="AO11" i="5"/>
  <c r="AN11" i="5"/>
  <c r="AM11" i="5"/>
  <c r="AL11" i="5"/>
  <c r="AK11" i="5"/>
  <c r="AJ11" i="5"/>
  <c r="AI11" i="5"/>
  <c r="AH11" i="5"/>
  <c r="AQ10" i="5"/>
  <c r="AP10" i="5"/>
  <c r="AO10" i="5"/>
  <c r="AN10" i="5"/>
  <c r="AM10" i="5"/>
  <c r="AL10" i="5"/>
  <c r="AK10" i="5"/>
  <c r="AJ10" i="5"/>
  <c r="AI10" i="5"/>
  <c r="AH10" i="5"/>
  <c r="AQ9" i="5"/>
  <c r="AP9" i="5"/>
  <c r="AO9" i="5"/>
  <c r="AN9" i="5"/>
  <c r="AM9" i="5"/>
  <c r="AL9" i="5"/>
  <c r="AK9" i="5"/>
  <c r="AJ9" i="5"/>
  <c r="AI9" i="5"/>
  <c r="AH9" i="5"/>
  <c r="AQ8" i="5"/>
  <c r="AP8" i="5"/>
  <c r="AO8" i="5"/>
  <c r="AN8" i="5"/>
  <c r="AM8" i="5"/>
  <c r="AL8" i="5"/>
  <c r="AK8" i="5"/>
  <c r="AJ8" i="5"/>
  <c r="AI8" i="5"/>
  <c r="AH8" i="5"/>
  <c r="AQ7" i="5"/>
  <c r="AP7" i="5"/>
  <c r="AO7" i="5"/>
  <c r="AN7" i="5"/>
  <c r="AM7" i="5"/>
  <c r="AL7" i="5"/>
  <c r="AK7" i="5"/>
  <c r="AJ7" i="5"/>
  <c r="AI7" i="5"/>
  <c r="AH7" i="5"/>
  <c r="AQ6" i="5"/>
  <c r="AP6" i="5"/>
  <c r="AO6" i="5"/>
  <c r="AN6" i="5"/>
  <c r="AM6" i="5"/>
  <c r="AL6" i="5"/>
  <c r="AK6" i="5"/>
  <c r="AJ6" i="5"/>
  <c r="AI6" i="5"/>
  <c r="AH6" i="5"/>
  <c r="AQ5" i="5"/>
  <c r="AP5" i="5"/>
  <c r="AO5" i="5"/>
  <c r="AN5" i="5"/>
  <c r="AM5" i="5"/>
  <c r="AL5" i="5"/>
  <c r="AK5" i="5"/>
  <c r="AJ5" i="5"/>
  <c r="AI5" i="5"/>
  <c r="AH5" i="5"/>
  <c r="AQ4" i="5"/>
  <c r="AP4" i="5"/>
  <c r="AO4" i="5"/>
  <c r="AN4" i="5"/>
  <c r="AM4" i="5"/>
  <c r="AL4" i="5"/>
  <c r="AK4" i="5"/>
  <c r="AJ4" i="5"/>
  <c r="AI4" i="5"/>
  <c r="AH4" i="5"/>
  <c r="AQ3" i="5"/>
  <c r="AP3" i="5"/>
  <c r="AO3" i="5"/>
  <c r="AN3" i="5"/>
  <c r="AM3" i="5"/>
  <c r="AL3" i="5"/>
  <c r="AK3" i="5"/>
  <c r="AJ3" i="5"/>
  <c r="AI3" i="5"/>
  <c r="AH3" i="5"/>
  <c r="AQ2" i="5"/>
  <c r="AP2" i="5"/>
  <c r="AO2" i="5"/>
  <c r="AN2" i="5"/>
  <c r="AM2" i="5"/>
  <c r="AL2" i="5"/>
  <c r="AK2" i="5"/>
  <c r="AJ2" i="5"/>
  <c r="AI2" i="5"/>
  <c r="AH2" i="5"/>
  <c r="AM1" i="5"/>
  <c r="AL1" i="5"/>
  <c r="AK1" i="5"/>
  <c r="AJ1" i="5"/>
  <c r="AI1" i="5"/>
  <c r="AH1" i="5"/>
  <c r="EN170" i="2"/>
  <c r="EL170" i="2"/>
  <c r="EF170" i="2"/>
  <c r="EQ170" i="2" s="1"/>
  <c r="EC170" i="2"/>
  <c r="EB170" i="2"/>
  <c r="EM170" i="2" s="1"/>
  <c r="DZ170" i="2"/>
  <c r="DX170" i="2"/>
  <c r="DW170" i="2"/>
  <c r="DV170" i="2"/>
  <c r="EG170" i="2" s="1"/>
  <c r="DU170" i="2"/>
  <c r="DT170" i="2"/>
  <c r="DS170" i="2"/>
  <c r="DR170" i="2"/>
  <c r="DQ170" i="2"/>
  <c r="DP170" i="2"/>
  <c r="DO170" i="2"/>
  <c r="DN170" i="2"/>
  <c r="DM170" i="2"/>
  <c r="DL170" i="2"/>
  <c r="DK170" i="2"/>
  <c r="CX170" i="2"/>
  <c r="CH170" i="2"/>
  <c r="DF170" i="2" s="1"/>
  <c r="BZ170" i="2"/>
  <c r="BM170" i="2"/>
  <c r="BL170" i="2"/>
  <c r="BK170" i="2"/>
  <c r="BJ170" i="2"/>
  <c r="BI170" i="2"/>
  <c r="BH170" i="2"/>
  <c r="BG170" i="2"/>
  <c r="BF170" i="2"/>
  <c r="BE170" i="2"/>
  <c r="BD170" i="2"/>
  <c r="CB170" i="2" s="1"/>
  <c r="CZ170" i="2" s="1"/>
  <c r="BC170" i="2"/>
  <c r="CA170" i="2" s="1"/>
  <c r="CY170" i="2" s="1"/>
  <c r="BA170" i="2"/>
  <c r="AZ170" i="2"/>
  <c r="AY170" i="2"/>
  <c r="AX170" i="2"/>
  <c r="AW170" i="2"/>
  <c r="AV170" i="2"/>
  <c r="AU170" i="2"/>
  <c r="AT170" i="2"/>
  <c r="AS170" i="2"/>
  <c r="AR170" i="2"/>
  <c r="AQ170" i="2"/>
  <c r="AO170" i="2"/>
  <c r="AK170" i="2"/>
  <c r="AJ170" i="2"/>
  <c r="AE170" i="2"/>
  <c r="Z170" i="2"/>
  <c r="AL170" i="2" s="1"/>
  <c r="X170" i="2"/>
  <c r="CF170" i="2" s="1"/>
  <c r="DD170" i="2" s="1"/>
  <c r="W170" i="2"/>
  <c r="AI170" i="2" s="1"/>
  <c r="T170" i="2"/>
  <c r="AF170" i="2" s="1"/>
  <c r="S170" i="2"/>
  <c r="Q170" i="2"/>
  <c r="AC170" i="2" s="1"/>
  <c r="CK170" i="2" s="1"/>
  <c r="DI170" i="2" s="1"/>
  <c r="P170" i="2"/>
  <c r="O170" i="2"/>
  <c r="N170" i="2"/>
  <c r="M170" i="2"/>
  <c r="Y170" i="2" s="1"/>
  <c r="CG170" i="2" s="1"/>
  <c r="DE170" i="2" s="1"/>
  <c r="L170" i="2"/>
  <c r="EA170" i="2" s="1"/>
  <c r="K170" i="2"/>
  <c r="J170" i="2"/>
  <c r="I170" i="2"/>
  <c r="EM169" i="2"/>
  <c r="EL169" i="2"/>
  <c r="EK169" i="2"/>
  <c r="EH169" i="2"/>
  <c r="EG169" i="2"/>
  <c r="EB169" i="2"/>
  <c r="DZ169" i="2"/>
  <c r="DY169" i="2"/>
  <c r="DX169" i="2"/>
  <c r="DW169" i="2"/>
  <c r="DV169" i="2"/>
  <c r="DU169" i="2"/>
  <c r="DT169" i="2"/>
  <c r="DS169" i="2"/>
  <c r="DR169" i="2"/>
  <c r="DQ169" i="2"/>
  <c r="DP169" i="2"/>
  <c r="DO169" i="2"/>
  <c r="DN169" i="2"/>
  <c r="DM169" i="2"/>
  <c r="DL169" i="2"/>
  <c r="DK169" i="2"/>
  <c r="BZ169" i="2"/>
  <c r="CX169" i="2" s="1"/>
  <c r="BM169" i="2"/>
  <c r="BL169" i="2"/>
  <c r="BK169" i="2"/>
  <c r="BJ169" i="2"/>
  <c r="BI169" i="2"/>
  <c r="CG169" i="2" s="1"/>
  <c r="DE169" i="2" s="1"/>
  <c r="BH169" i="2"/>
  <c r="BG169" i="2"/>
  <c r="BF169" i="2"/>
  <c r="BE169" i="2"/>
  <c r="BD169" i="2"/>
  <c r="CB169" i="2" s="1"/>
  <c r="CZ169" i="2" s="1"/>
  <c r="BC169" i="2"/>
  <c r="CA169" i="2" s="1"/>
  <c r="CY169" i="2" s="1"/>
  <c r="BA169" i="2"/>
  <c r="AZ169" i="2"/>
  <c r="AY169" i="2"/>
  <c r="AX169" i="2"/>
  <c r="AW169" i="2"/>
  <c r="AV169" i="2"/>
  <c r="AU169" i="2"/>
  <c r="AT169" i="2"/>
  <c r="AS169" i="2"/>
  <c r="AR169" i="2"/>
  <c r="AQ169" i="2"/>
  <c r="AF169" i="2"/>
  <c r="AE169" i="2"/>
  <c r="Z169" i="2"/>
  <c r="Y169" i="2"/>
  <c r="AK169" i="2" s="1"/>
  <c r="W169" i="2"/>
  <c r="V169" i="2"/>
  <c r="AH169" i="2" s="1"/>
  <c r="T169" i="2"/>
  <c r="S169" i="2"/>
  <c r="Q169" i="2"/>
  <c r="P169" i="2"/>
  <c r="O169" i="2"/>
  <c r="N169" i="2"/>
  <c r="EC169" i="2" s="1"/>
  <c r="EN169" i="2" s="1"/>
  <c r="M169" i="2"/>
  <c r="L169" i="2"/>
  <c r="EA169" i="2" s="1"/>
  <c r="K169" i="2"/>
  <c r="J169" i="2"/>
  <c r="I169" i="2"/>
  <c r="EP168" i="2"/>
  <c r="EM168" i="2"/>
  <c r="EJ168" i="2"/>
  <c r="EG168" i="2"/>
  <c r="EF168" i="2"/>
  <c r="EB168" i="2"/>
  <c r="DZ168" i="2"/>
  <c r="DW168" i="2"/>
  <c r="DV168" i="2"/>
  <c r="DU168" i="2"/>
  <c r="DT168" i="2"/>
  <c r="DS168" i="2"/>
  <c r="DR168" i="2"/>
  <c r="DQ168" i="2"/>
  <c r="DP168" i="2"/>
  <c r="DO168" i="2"/>
  <c r="DN168" i="2"/>
  <c r="DM168" i="2"/>
  <c r="DL168" i="2"/>
  <c r="DK168" i="2"/>
  <c r="BZ168" i="2"/>
  <c r="CX168" i="2" s="1"/>
  <c r="BM168" i="2"/>
  <c r="BL168" i="2"/>
  <c r="BK168" i="2"/>
  <c r="BJ168" i="2"/>
  <c r="BI168" i="2"/>
  <c r="BH168" i="2"/>
  <c r="BG168" i="2"/>
  <c r="BF168" i="2"/>
  <c r="BE168" i="2"/>
  <c r="BD168" i="2"/>
  <c r="BC168" i="2"/>
  <c r="BA168" i="2"/>
  <c r="AZ168" i="2"/>
  <c r="AY168" i="2"/>
  <c r="AX168" i="2"/>
  <c r="AW168" i="2"/>
  <c r="AV168" i="2"/>
  <c r="AU168" i="2"/>
  <c r="AT168" i="2"/>
  <c r="AS168" i="2"/>
  <c r="AR168" i="2"/>
  <c r="AQ168" i="2"/>
  <c r="AF168" i="2"/>
  <c r="AE168" i="2"/>
  <c r="AB168" i="2"/>
  <c r="AA168" i="2"/>
  <c r="T168" i="2"/>
  <c r="CB168" i="2" s="1"/>
  <c r="CZ168" i="2" s="1"/>
  <c r="S168" i="2"/>
  <c r="CA168" i="2" s="1"/>
  <c r="CY168" i="2" s="1"/>
  <c r="Q168" i="2"/>
  <c r="P168" i="2"/>
  <c r="EE168" i="2" s="1"/>
  <c r="O168" i="2"/>
  <c r="ED168" i="2" s="1"/>
  <c r="EO168" i="2" s="1"/>
  <c r="N168" i="2"/>
  <c r="M168" i="2"/>
  <c r="L168" i="2"/>
  <c r="K168" i="2"/>
  <c r="J168" i="2"/>
  <c r="DY168" i="2" s="1"/>
  <c r="I168" i="2"/>
  <c r="EI167" i="2"/>
  <c r="EH167" i="2"/>
  <c r="ED167" i="2"/>
  <c r="EC167" i="2"/>
  <c r="EN167" i="2" s="1"/>
  <c r="DW167" i="2"/>
  <c r="DV167" i="2"/>
  <c r="EG167" i="2" s="1"/>
  <c r="DU167" i="2"/>
  <c r="DT167" i="2"/>
  <c r="DS167" i="2"/>
  <c r="EP167" i="2" s="1"/>
  <c r="DR167" i="2"/>
  <c r="EO167" i="2" s="1"/>
  <c r="DQ167" i="2"/>
  <c r="DP167" i="2"/>
  <c r="DO167" i="2"/>
  <c r="DN167" i="2"/>
  <c r="DM167" i="2"/>
  <c r="DL167" i="2"/>
  <c r="DK167" i="2"/>
  <c r="CX167" i="2"/>
  <c r="CF167" i="2"/>
  <c r="DD167" i="2" s="1"/>
  <c r="BZ167" i="2"/>
  <c r="BM167" i="2"/>
  <c r="BL167" i="2"/>
  <c r="BK167" i="2"/>
  <c r="BJ167" i="2"/>
  <c r="BI167" i="2"/>
  <c r="BH167" i="2"/>
  <c r="BG167" i="2"/>
  <c r="BF167" i="2"/>
  <c r="BE167" i="2"/>
  <c r="BD167" i="2"/>
  <c r="BC167" i="2"/>
  <c r="CA167" i="2" s="1"/>
  <c r="CY167" i="2" s="1"/>
  <c r="BA167" i="2"/>
  <c r="AZ167" i="2"/>
  <c r="AY167" i="2"/>
  <c r="AX167" i="2"/>
  <c r="AW167" i="2"/>
  <c r="AV167" i="2"/>
  <c r="AU167" i="2"/>
  <c r="AT167" i="2"/>
  <c r="AS167" i="2"/>
  <c r="AR167" i="2"/>
  <c r="AQ167" i="2"/>
  <c r="AJ167" i="2"/>
  <c r="AE167" i="2"/>
  <c r="AA167" i="2"/>
  <c r="X167" i="2"/>
  <c r="T167" i="2"/>
  <c r="AF167" i="2" s="1"/>
  <c r="S167" i="2"/>
  <c r="Q167" i="2"/>
  <c r="P167" i="2"/>
  <c r="EE167" i="2" s="1"/>
  <c r="O167" i="2"/>
  <c r="N167" i="2"/>
  <c r="M167" i="2"/>
  <c r="L167" i="2"/>
  <c r="EA167" i="2" s="1"/>
  <c r="EL167" i="2" s="1"/>
  <c r="K167" i="2"/>
  <c r="J167" i="2"/>
  <c r="I167" i="2"/>
  <c r="DX167" i="2" s="1"/>
  <c r="EH166" i="2"/>
  <c r="EG166" i="2"/>
  <c r="EF166" i="2"/>
  <c r="EQ166" i="2" s="1"/>
  <c r="ED166" i="2"/>
  <c r="EO166" i="2" s="1"/>
  <c r="DY166" i="2"/>
  <c r="DW166" i="2"/>
  <c r="DV166" i="2"/>
  <c r="DU166" i="2"/>
  <c r="DT166" i="2"/>
  <c r="DS166" i="2"/>
  <c r="DR166" i="2"/>
  <c r="DQ166" i="2"/>
  <c r="DP166" i="2"/>
  <c r="DO166" i="2"/>
  <c r="DN166" i="2"/>
  <c r="DM166" i="2"/>
  <c r="DL166" i="2"/>
  <c r="DK166" i="2"/>
  <c r="CY166" i="2"/>
  <c r="CB166" i="2"/>
  <c r="CZ166" i="2" s="1"/>
  <c r="BZ166" i="2"/>
  <c r="CX166" i="2" s="1"/>
  <c r="BM166" i="2"/>
  <c r="BL166" i="2"/>
  <c r="BK166" i="2"/>
  <c r="BJ166" i="2"/>
  <c r="BI166" i="2"/>
  <c r="BH166" i="2"/>
  <c r="BG166" i="2"/>
  <c r="BF166" i="2"/>
  <c r="BE166" i="2"/>
  <c r="BD166" i="2"/>
  <c r="BC166" i="2"/>
  <c r="BA166" i="2"/>
  <c r="AZ166" i="2"/>
  <c r="AY166" i="2"/>
  <c r="AX166" i="2"/>
  <c r="AW166" i="2"/>
  <c r="AV166" i="2"/>
  <c r="AU166" i="2"/>
  <c r="AT166" i="2"/>
  <c r="AS166" i="2"/>
  <c r="AR166" i="2"/>
  <c r="AQ166" i="2"/>
  <c r="AJ166" i="2"/>
  <c r="AF166" i="2"/>
  <c r="AE166" i="2"/>
  <c r="X166" i="2"/>
  <c r="CF166" i="2" s="1"/>
  <c r="DD166" i="2" s="1"/>
  <c r="V166" i="2"/>
  <c r="AH166" i="2" s="1"/>
  <c r="T166" i="2"/>
  <c r="S166" i="2"/>
  <c r="CA166" i="2" s="1"/>
  <c r="Q166" i="2"/>
  <c r="P166" i="2"/>
  <c r="O166" i="2"/>
  <c r="AA166" i="2" s="1"/>
  <c r="N166" i="2"/>
  <c r="M166" i="2"/>
  <c r="EB166" i="2" s="1"/>
  <c r="EM166" i="2" s="1"/>
  <c r="L166" i="2"/>
  <c r="EA166" i="2" s="1"/>
  <c r="EL166" i="2" s="1"/>
  <c r="K166" i="2"/>
  <c r="J166" i="2"/>
  <c r="I166" i="2"/>
  <c r="EO165" i="2"/>
  <c r="EH165" i="2"/>
  <c r="ED165" i="2"/>
  <c r="EA165" i="2"/>
  <c r="EL165" i="2" s="1"/>
  <c r="DY165" i="2"/>
  <c r="DW165" i="2"/>
  <c r="DV165" i="2"/>
  <c r="EG165" i="2" s="1"/>
  <c r="DU165" i="2"/>
  <c r="DT165" i="2"/>
  <c r="DS165" i="2"/>
  <c r="DR165" i="2"/>
  <c r="DQ165" i="2"/>
  <c r="DP165" i="2"/>
  <c r="DO165" i="2"/>
  <c r="DN165" i="2"/>
  <c r="DM165" i="2"/>
  <c r="DL165" i="2"/>
  <c r="DK165" i="2"/>
  <c r="CX165" i="2"/>
  <c r="CB165" i="2"/>
  <c r="CZ165" i="2" s="1"/>
  <c r="BZ165" i="2"/>
  <c r="BM165" i="2"/>
  <c r="BL165" i="2"/>
  <c r="BK165" i="2"/>
  <c r="BJ165" i="2"/>
  <c r="BI165" i="2"/>
  <c r="BH165" i="2"/>
  <c r="BG165" i="2"/>
  <c r="BF165" i="2"/>
  <c r="BE165" i="2"/>
  <c r="BD165" i="2"/>
  <c r="BC165" i="2"/>
  <c r="BA165" i="2"/>
  <c r="AZ165" i="2"/>
  <c r="AY165" i="2"/>
  <c r="AX165" i="2"/>
  <c r="AW165" i="2"/>
  <c r="AV165" i="2"/>
  <c r="AU165" i="2"/>
  <c r="AT165" i="2"/>
  <c r="AS165" i="2"/>
  <c r="AR165" i="2"/>
  <c r="AQ165" i="2"/>
  <c r="AF165" i="2"/>
  <c r="AE165" i="2"/>
  <c r="X165" i="2"/>
  <c r="T165" i="2"/>
  <c r="S165" i="2"/>
  <c r="CA165" i="2" s="1"/>
  <c r="CY165" i="2" s="1"/>
  <c r="Q165" i="2"/>
  <c r="AC166" i="2" s="1"/>
  <c r="P165" i="2"/>
  <c r="O165" i="2"/>
  <c r="N165" i="2"/>
  <c r="M165" i="2"/>
  <c r="L165" i="2"/>
  <c r="K165" i="2"/>
  <c r="J165" i="2"/>
  <c r="I165" i="2"/>
  <c r="DX165" i="2" s="1"/>
  <c r="EI165" i="2" s="1"/>
  <c r="EQ164" i="2"/>
  <c r="EN164" i="2"/>
  <c r="EH164" i="2"/>
  <c r="EF164" i="2"/>
  <c r="EE164" i="2"/>
  <c r="EC164" i="2"/>
  <c r="EB164" i="2"/>
  <c r="EM164" i="2" s="1"/>
  <c r="EA164" i="2"/>
  <c r="DW164" i="2"/>
  <c r="DV164" i="2"/>
  <c r="EG164" i="2" s="1"/>
  <c r="DU164" i="2"/>
  <c r="DT164" i="2"/>
  <c r="DS164" i="2"/>
  <c r="DR164" i="2"/>
  <c r="DQ164" i="2"/>
  <c r="DP164" i="2"/>
  <c r="DO164" i="2"/>
  <c r="DN164" i="2"/>
  <c r="DM164" i="2"/>
  <c r="DL164" i="2"/>
  <c r="DK164" i="2"/>
  <c r="BZ164" i="2"/>
  <c r="CX164" i="2" s="1"/>
  <c r="BM164" i="2"/>
  <c r="BL164" i="2"/>
  <c r="BK164" i="2"/>
  <c r="BJ164" i="2"/>
  <c r="BI164" i="2"/>
  <c r="BH164" i="2"/>
  <c r="BG164" i="2"/>
  <c r="BF164" i="2"/>
  <c r="BE164" i="2"/>
  <c r="BD164" i="2"/>
  <c r="CB164" i="2" s="1"/>
  <c r="CZ164" i="2" s="1"/>
  <c r="BC164" i="2"/>
  <c r="CA164" i="2" s="1"/>
  <c r="CY164" i="2" s="1"/>
  <c r="BA164" i="2"/>
  <c r="AZ164" i="2"/>
  <c r="AY164" i="2"/>
  <c r="AX164" i="2"/>
  <c r="AW164" i="2"/>
  <c r="AV164" i="2"/>
  <c r="AU164" i="2"/>
  <c r="AT164" i="2"/>
  <c r="AS164" i="2"/>
  <c r="AR164" i="2"/>
  <c r="AQ164" i="2"/>
  <c r="AF164" i="2"/>
  <c r="AC164" i="2"/>
  <c r="CK164" i="2" s="1"/>
  <c r="DI164" i="2" s="1"/>
  <c r="Y164" i="2"/>
  <c r="W164" i="2"/>
  <c r="V164" i="2"/>
  <c r="T164" i="2"/>
  <c r="S164" i="2"/>
  <c r="AE164" i="2" s="1"/>
  <c r="Q164" i="2"/>
  <c r="P164" i="2"/>
  <c r="AB164" i="2" s="1"/>
  <c r="O164" i="2"/>
  <c r="N164" i="2"/>
  <c r="M164" i="2"/>
  <c r="L164" i="2"/>
  <c r="K164" i="2"/>
  <c r="DZ164" i="2" s="1"/>
  <c r="EK164" i="2" s="1"/>
  <c r="J164" i="2"/>
  <c r="DY164" i="2" s="1"/>
  <c r="EJ164" i="2" s="1"/>
  <c r="I164" i="2"/>
  <c r="EG163" i="2"/>
  <c r="EE163" i="2"/>
  <c r="EP163" i="2" s="1"/>
  <c r="ED163" i="2"/>
  <c r="EO163" i="2" s="1"/>
  <c r="EA163" i="2"/>
  <c r="DZ163" i="2"/>
  <c r="DW163" i="2"/>
  <c r="DV163" i="2"/>
  <c r="DU163" i="2"/>
  <c r="DT163" i="2"/>
  <c r="EQ163" i="2" s="1"/>
  <c r="DS163" i="2"/>
  <c r="DR163" i="2"/>
  <c r="DQ163" i="2"/>
  <c r="DP163" i="2"/>
  <c r="DO163" i="2"/>
  <c r="DN163" i="2"/>
  <c r="DM163" i="2"/>
  <c r="DL163" i="2"/>
  <c r="DK163" i="2"/>
  <c r="CX163" i="2"/>
  <c r="BZ163" i="2"/>
  <c r="BM163" i="2"/>
  <c r="BL163" i="2"/>
  <c r="BK163" i="2"/>
  <c r="BJ163" i="2"/>
  <c r="BI163" i="2"/>
  <c r="BH163" i="2"/>
  <c r="BG163" i="2"/>
  <c r="BF163" i="2"/>
  <c r="BE163" i="2"/>
  <c r="BD163" i="2"/>
  <c r="CB163" i="2" s="1"/>
  <c r="CZ163" i="2" s="1"/>
  <c r="BC163" i="2"/>
  <c r="BA163" i="2"/>
  <c r="AZ163" i="2"/>
  <c r="AY163" i="2"/>
  <c r="AX163" i="2"/>
  <c r="AW163" i="2"/>
  <c r="AV163" i="2"/>
  <c r="AU163" i="2"/>
  <c r="AT163" i="2"/>
  <c r="AS163" i="2"/>
  <c r="AR163" i="2"/>
  <c r="AQ163" i="2"/>
  <c r="AF163" i="2"/>
  <c r="AB163" i="2"/>
  <c r="AA163" i="2"/>
  <c r="T163" i="2"/>
  <c r="S163" i="2"/>
  <c r="AE163" i="2" s="1"/>
  <c r="Q163" i="2"/>
  <c r="EF163" i="2" s="1"/>
  <c r="P163" i="2"/>
  <c r="O163" i="2"/>
  <c r="N163" i="2"/>
  <c r="M163" i="2"/>
  <c r="EB163" i="2" s="1"/>
  <c r="EM163" i="2" s="1"/>
  <c r="L163" i="2"/>
  <c r="K163" i="2"/>
  <c r="J163" i="2"/>
  <c r="DY163" i="2" s="1"/>
  <c r="EJ163" i="2" s="1"/>
  <c r="I163" i="2"/>
  <c r="DX163" i="2" s="1"/>
  <c r="EI163" i="2" s="1"/>
  <c r="EO162" i="2"/>
  <c r="EI162" i="2"/>
  <c r="EH162" i="2"/>
  <c r="EG162" i="2"/>
  <c r="EC162" i="2"/>
  <c r="EN162" i="2" s="1"/>
  <c r="EB162" i="2"/>
  <c r="EM162" i="2" s="1"/>
  <c r="DZ162" i="2"/>
  <c r="DY162" i="2"/>
  <c r="DX162" i="2"/>
  <c r="DW162" i="2"/>
  <c r="DV162" i="2"/>
  <c r="DU162" i="2"/>
  <c r="DT162" i="2"/>
  <c r="DS162" i="2"/>
  <c r="DR162" i="2"/>
  <c r="DQ162" i="2"/>
  <c r="DP162" i="2"/>
  <c r="DO162" i="2"/>
  <c r="DN162" i="2"/>
  <c r="DM162" i="2"/>
  <c r="DL162" i="2"/>
  <c r="DK162" i="2"/>
  <c r="CX162" i="2"/>
  <c r="BZ162" i="2"/>
  <c r="BM162" i="2"/>
  <c r="BL162" i="2"/>
  <c r="BK162" i="2"/>
  <c r="BJ162" i="2"/>
  <c r="BI162" i="2"/>
  <c r="BH162" i="2"/>
  <c r="BG162" i="2"/>
  <c r="BF162" i="2"/>
  <c r="BE162" i="2"/>
  <c r="BD162" i="2"/>
  <c r="BC162" i="2"/>
  <c r="BA162" i="2"/>
  <c r="AZ162" i="2"/>
  <c r="AY162" i="2"/>
  <c r="AX162" i="2"/>
  <c r="AW162" i="2"/>
  <c r="AV162" i="2"/>
  <c r="AU162" i="2"/>
  <c r="AT162" i="2"/>
  <c r="AS162" i="2"/>
  <c r="AR162" i="2"/>
  <c r="AQ162" i="2"/>
  <c r="AK162" i="2"/>
  <c r="AE162" i="2"/>
  <c r="Z162" i="2"/>
  <c r="CH162" i="2" s="1"/>
  <c r="DF162" i="2" s="1"/>
  <c r="Y162" i="2"/>
  <c r="CG162" i="2" s="1"/>
  <c r="DE162" i="2" s="1"/>
  <c r="U162" i="2"/>
  <c r="AG162" i="2" s="1"/>
  <c r="T162" i="2"/>
  <c r="S162" i="2"/>
  <c r="CA162" i="2" s="1"/>
  <c r="CY162" i="2" s="1"/>
  <c r="Q162" i="2"/>
  <c r="P162" i="2"/>
  <c r="O162" i="2"/>
  <c r="ED162" i="2" s="1"/>
  <c r="N162" i="2"/>
  <c r="M162" i="2"/>
  <c r="Y163" i="2" s="1"/>
  <c r="L162" i="2"/>
  <c r="K162" i="2"/>
  <c r="W162" i="2" s="1"/>
  <c r="AI162" i="2" s="1"/>
  <c r="J162" i="2"/>
  <c r="I162" i="2"/>
  <c r="EN161" i="2"/>
  <c r="EK161" i="2"/>
  <c r="EG161" i="2"/>
  <c r="EE161" i="2"/>
  <c r="EP161" i="2" s="1"/>
  <c r="EA161" i="2"/>
  <c r="DZ161" i="2"/>
  <c r="DY161" i="2"/>
  <c r="DX161" i="2"/>
  <c r="DW161" i="2"/>
  <c r="DV161" i="2"/>
  <c r="DU161" i="2"/>
  <c r="DT161" i="2"/>
  <c r="DS161" i="2"/>
  <c r="DR161" i="2"/>
  <c r="DQ161" i="2"/>
  <c r="DP161" i="2"/>
  <c r="DO161" i="2"/>
  <c r="DN161" i="2"/>
  <c r="DM161" i="2"/>
  <c r="DL161" i="2"/>
  <c r="DK161" i="2"/>
  <c r="CX161" i="2"/>
  <c r="BZ161" i="2"/>
  <c r="BM161" i="2"/>
  <c r="BL161" i="2"/>
  <c r="BK161" i="2"/>
  <c r="BJ161" i="2"/>
  <c r="BI161" i="2"/>
  <c r="BH161" i="2"/>
  <c r="BG161" i="2"/>
  <c r="BF161" i="2"/>
  <c r="BE161" i="2"/>
  <c r="BD161" i="2"/>
  <c r="CB161" i="2" s="1"/>
  <c r="CZ161" i="2" s="1"/>
  <c r="BC161" i="2"/>
  <c r="CA161" i="2" s="1"/>
  <c r="CY161" i="2" s="1"/>
  <c r="BA161" i="2"/>
  <c r="AZ161" i="2"/>
  <c r="AY161" i="2"/>
  <c r="AX161" i="2"/>
  <c r="AW161" i="2"/>
  <c r="AV161" i="2"/>
  <c r="AU161" i="2"/>
  <c r="AT161" i="2"/>
  <c r="AS161" i="2"/>
  <c r="AR161" i="2"/>
  <c r="AQ161" i="2"/>
  <c r="AO161" i="2"/>
  <c r="AJ161" i="2"/>
  <c r="AF161" i="2"/>
  <c r="Y161" i="2"/>
  <c r="T161" i="2"/>
  <c r="S161" i="2"/>
  <c r="AE161" i="2" s="1"/>
  <c r="Q161" i="2"/>
  <c r="EF161" i="2" s="1"/>
  <c r="EQ161" i="2" s="1"/>
  <c r="P161" i="2"/>
  <c r="AB161" i="2" s="1"/>
  <c r="O161" i="2"/>
  <c r="N161" i="2"/>
  <c r="EC161" i="2" s="1"/>
  <c r="M161" i="2"/>
  <c r="EB161" i="2" s="1"/>
  <c r="EM161" i="2" s="1"/>
  <c r="L161" i="2"/>
  <c r="X161" i="2" s="1"/>
  <c r="CF161" i="2" s="1"/>
  <c r="DD161" i="2" s="1"/>
  <c r="K161" i="2"/>
  <c r="J161" i="2"/>
  <c r="I161" i="2"/>
  <c r="EM160" i="2"/>
  <c r="EK160" i="2"/>
  <c r="EG160" i="2"/>
  <c r="ED160" i="2"/>
  <c r="EC160" i="2"/>
  <c r="EB160" i="2"/>
  <c r="DZ160" i="2"/>
  <c r="DW160" i="2"/>
  <c r="DV160" i="2"/>
  <c r="DU160" i="2"/>
  <c r="DT160" i="2"/>
  <c r="DS160" i="2"/>
  <c r="DR160" i="2"/>
  <c r="DQ160" i="2"/>
  <c r="DP160" i="2"/>
  <c r="DO160" i="2"/>
  <c r="DN160" i="2"/>
  <c r="DM160" i="2"/>
  <c r="DL160" i="2"/>
  <c r="DK160" i="2"/>
  <c r="CX160" i="2"/>
  <c r="BZ160" i="2"/>
  <c r="BM160" i="2"/>
  <c r="BL160" i="2"/>
  <c r="BK160" i="2"/>
  <c r="BJ160" i="2"/>
  <c r="BI160" i="2"/>
  <c r="BH160" i="2"/>
  <c r="BG160" i="2"/>
  <c r="BF160" i="2"/>
  <c r="BE160" i="2"/>
  <c r="BD160" i="2"/>
  <c r="CB160" i="2" s="1"/>
  <c r="CZ160" i="2" s="1"/>
  <c r="BC160" i="2"/>
  <c r="BA160" i="2"/>
  <c r="AZ160" i="2"/>
  <c r="AY160" i="2"/>
  <c r="AX160" i="2"/>
  <c r="AW160" i="2"/>
  <c r="AV160" i="2"/>
  <c r="AU160" i="2"/>
  <c r="AT160" i="2"/>
  <c r="AS160" i="2"/>
  <c r="AR160" i="2"/>
  <c r="AQ160" i="2"/>
  <c r="AF160" i="2"/>
  <c r="AB160" i="2"/>
  <c r="AA160" i="2"/>
  <c r="W160" i="2"/>
  <c r="CE160" i="2" s="1"/>
  <c r="DC160" i="2" s="1"/>
  <c r="T160" i="2"/>
  <c r="S160" i="2"/>
  <c r="Q160" i="2"/>
  <c r="AC161" i="2" s="1"/>
  <c r="CK161" i="2" s="1"/>
  <c r="DI161" i="2" s="1"/>
  <c r="P160" i="2"/>
  <c r="EE160" i="2" s="1"/>
  <c r="EP160" i="2" s="1"/>
  <c r="O160" i="2"/>
  <c r="N160" i="2"/>
  <c r="Z160" i="2" s="1"/>
  <c r="CH160" i="2" s="1"/>
  <c r="DF160" i="2" s="1"/>
  <c r="M160" i="2"/>
  <c r="L160" i="2"/>
  <c r="EA160" i="2" s="1"/>
  <c r="EL160" i="2" s="1"/>
  <c r="K160" i="2"/>
  <c r="W161" i="2" s="1"/>
  <c r="J160" i="2"/>
  <c r="V160" i="2" s="1"/>
  <c r="I160" i="2"/>
  <c r="U160" i="2" s="1"/>
  <c r="EO159" i="2"/>
  <c r="EH159" i="2"/>
  <c r="ED159" i="2"/>
  <c r="EC159" i="2"/>
  <c r="EN159" i="2" s="1"/>
  <c r="EB159" i="2"/>
  <c r="EM159" i="2" s="1"/>
  <c r="EA159" i="2"/>
  <c r="EL159" i="2" s="1"/>
  <c r="DW159" i="2"/>
  <c r="DV159" i="2"/>
  <c r="EG159" i="2" s="1"/>
  <c r="DU159" i="2"/>
  <c r="DT159" i="2"/>
  <c r="DS159" i="2"/>
  <c r="DR159" i="2"/>
  <c r="DQ159" i="2"/>
  <c r="DP159" i="2"/>
  <c r="DO159" i="2"/>
  <c r="DN159" i="2"/>
  <c r="DM159" i="2"/>
  <c r="DL159" i="2"/>
  <c r="DK159" i="2"/>
  <c r="BZ159" i="2"/>
  <c r="CX159" i="2" s="1"/>
  <c r="BM159" i="2"/>
  <c r="BL159" i="2"/>
  <c r="BK159" i="2"/>
  <c r="BJ159" i="2"/>
  <c r="BI159" i="2"/>
  <c r="BH159" i="2"/>
  <c r="BG159" i="2"/>
  <c r="BF159" i="2"/>
  <c r="BE159" i="2"/>
  <c r="CC159" i="2" s="1"/>
  <c r="DA159" i="2" s="1"/>
  <c r="BD159" i="2"/>
  <c r="CB159" i="2" s="1"/>
  <c r="CZ159" i="2" s="1"/>
  <c r="BC159" i="2"/>
  <c r="BA159" i="2"/>
  <c r="AZ159" i="2"/>
  <c r="AY159" i="2"/>
  <c r="AX159" i="2"/>
  <c r="AW159" i="2"/>
  <c r="AV159" i="2"/>
  <c r="AU159" i="2"/>
  <c r="AT159" i="2"/>
  <c r="AS159" i="2"/>
  <c r="AR159" i="2"/>
  <c r="AQ159" i="2"/>
  <c r="AN159" i="2"/>
  <c r="AF159" i="2"/>
  <c r="X159" i="2"/>
  <c r="W159" i="2"/>
  <c r="T159" i="2"/>
  <c r="S159" i="2"/>
  <c r="CA159" i="2" s="1"/>
  <c r="CY159" i="2" s="1"/>
  <c r="Q159" i="2"/>
  <c r="P159" i="2"/>
  <c r="AB159" i="2" s="1"/>
  <c r="CJ159" i="2" s="1"/>
  <c r="DH159" i="2" s="1"/>
  <c r="O159" i="2"/>
  <c r="N159" i="2"/>
  <c r="M159" i="2"/>
  <c r="Y160" i="2" s="1"/>
  <c r="AK160" i="2" s="1"/>
  <c r="L159" i="2"/>
  <c r="K159" i="2"/>
  <c r="DZ159" i="2" s="1"/>
  <c r="J159" i="2"/>
  <c r="I159" i="2"/>
  <c r="DX159" i="2" s="1"/>
  <c r="EI159" i="2" s="1"/>
  <c r="EH158" i="2"/>
  <c r="EG158" i="2"/>
  <c r="EA158" i="2"/>
  <c r="EL158" i="2" s="1"/>
  <c r="DY158" i="2"/>
  <c r="DW158" i="2"/>
  <c r="DV158" i="2"/>
  <c r="DU158" i="2"/>
  <c r="DT158" i="2"/>
  <c r="DS158" i="2"/>
  <c r="DR158" i="2"/>
  <c r="DQ158" i="2"/>
  <c r="DP158" i="2"/>
  <c r="DO158" i="2"/>
  <c r="DN158" i="2"/>
  <c r="DM158" i="2"/>
  <c r="DL158" i="2"/>
  <c r="DK158" i="2"/>
  <c r="CX158" i="2"/>
  <c r="BZ158" i="2"/>
  <c r="BM158" i="2"/>
  <c r="BL158" i="2"/>
  <c r="BK158" i="2"/>
  <c r="BJ158" i="2"/>
  <c r="BI158" i="2"/>
  <c r="BH158" i="2"/>
  <c r="BG158" i="2"/>
  <c r="CE158" i="2" s="1"/>
  <c r="DC158" i="2" s="1"/>
  <c r="BF158" i="2"/>
  <c r="BE158" i="2"/>
  <c r="BD158" i="2"/>
  <c r="CB158" i="2" s="1"/>
  <c r="CZ158" i="2" s="1"/>
  <c r="BC158" i="2"/>
  <c r="CA158" i="2" s="1"/>
  <c r="CY158" i="2" s="1"/>
  <c r="BA158" i="2"/>
  <c r="AZ158" i="2"/>
  <c r="AY158" i="2"/>
  <c r="AX158" i="2"/>
  <c r="AW158" i="2"/>
  <c r="AV158" i="2"/>
  <c r="AU158" i="2"/>
  <c r="AT158" i="2"/>
  <c r="AS158" i="2"/>
  <c r="AR158" i="2"/>
  <c r="AQ158" i="2"/>
  <c r="AF158" i="2"/>
  <c r="AC158" i="2"/>
  <c r="AB158" i="2"/>
  <c r="W158" i="2"/>
  <c r="AI158" i="2" s="1"/>
  <c r="V158" i="2"/>
  <c r="AH158" i="2" s="1"/>
  <c r="T158" i="2"/>
  <c r="S158" i="2"/>
  <c r="AE158" i="2" s="1"/>
  <c r="Q158" i="2"/>
  <c r="EF158" i="2" s="1"/>
  <c r="EQ158" i="2" s="1"/>
  <c r="P158" i="2"/>
  <c r="EE158" i="2" s="1"/>
  <c r="O158" i="2"/>
  <c r="N158" i="2"/>
  <c r="M158" i="2"/>
  <c r="L158" i="2"/>
  <c r="K158" i="2"/>
  <c r="DZ158" i="2" s="1"/>
  <c r="EK158" i="2" s="1"/>
  <c r="J158" i="2"/>
  <c r="I158" i="2"/>
  <c r="U159" i="2" s="1"/>
  <c r="AG159" i="2" s="1"/>
  <c r="EJ157" i="2"/>
  <c r="EG157" i="2"/>
  <c r="EE157" i="2"/>
  <c r="EP157" i="2" s="1"/>
  <c r="ED157" i="2"/>
  <c r="EO157" i="2" s="1"/>
  <c r="EC157" i="2"/>
  <c r="DY157" i="2"/>
  <c r="DW157" i="2"/>
  <c r="DV157" i="2"/>
  <c r="DU157" i="2"/>
  <c r="DT157" i="2"/>
  <c r="DS157" i="2"/>
  <c r="DR157" i="2"/>
  <c r="DQ157" i="2"/>
  <c r="DP157" i="2"/>
  <c r="DO157" i="2"/>
  <c r="DN157" i="2"/>
  <c r="DM157" i="2"/>
  <c r="DL157" i="2"/>
  <c r="DK157" i="2"/>
  <c r="CX157" i="2"/>
  <c r="BZ157" i="2"/>
  <c r="BM157" i="2"/>
  <c r="BL157" i="2"/>
  <c r="BK157" i="2"/>
  <c r="BJ157" i="2"/>
  <c r="BI157" i="2"/>
  <c r="BH157" i="2"/>
  <c r="BG157" i="2"/>
  <c r="BF157" i="2"/>
  <c r="BE157" i="2"/>
  <c r="BD157" i="2"/>
  <c r="CB157" i="2" s="1"/>
  <c r="CZ157" i="2" s="1"/>
  <c r="BC157" i="2"/>
  <c r="CA157" i="2" s="1"/>
  <c r="CY157" i="2" s="1"/>
  <c r="BA157" i="2"/>
  <c r="AZ157" i="2"/>
  <c r="AY157" i="2"/>
  <c r="AX157" i="2"/>
  <c r="AW157" i="2"/>
  <c r="AV157" i="2"/>
  <c r="AU157" i="2"/>
  <c r="AT157" i="2"/>
  <c r="AS157" i="2"/>
  <c r="AR157" i="2"/>
  <c r="AQ157" i="2"/>
  <c r="AF157" i="2"/>
  <c r="AA157" i="2"/>
  <c r="AM157" i="2" s="1"/>
  <c r="Y157" i="2"/>
  <c r="V157" i="2"/>
  <c r="T157" i="2"/>
  <c r="S157" i="2"/>
  <c r="AE157" i="2" s="1"/>
  <c r="Q157" i="2"/>
  <c r="P157" i="2"/>
  <c r="O157" i="2"/>
  <c r="N157" i="2"/>
  <c r="M157" i="2"/>
  <c r="EB157" i="2" s="1"/>
  <c r="EM157" i="2" s="1"/>
  <c r="L157" i="2"/>
  <c r="K157" i="2"/>
  <c r="DZ157" i="2" s="1"/>
  <c r="EK157" i="2" s="1"/>
  <c r="J157" i="2"/>
  <c r="I157" i="2"/>
  <c r="EM156" i="2"/>
  <c r="EH156" i="2"/>
  <c r="EG156" i="2"/>
  <c r="EB156" i="2"/>
  <c r="EA156" i="2"/>
  <c r="EL156" i="2" s="1"/>
  <c r="DZ156" i="2"/>
  <c r="EK156" i="2" s="1"/>
  <c r="DY156" i="2"/>
  <c r="DW156" i="2"/>
  <c r="DV156" i="2"/>
  <c r="DU156" i="2"/>
  <c r="DT156" i="2"/>
  <c r="DS156" i="2"/>
  <c r="DR156" i="2"/>
  <c r="DQ156" i="2"/>
  <c r="DP156" i="2"/>
  <c r="DO156" i="2"/>
  <c r="DN156" i="2"/>
  <c r="DM156" i="2"/>
  <c r="DL156" i="2"/>
  <c r="DK156" i="2"/>
  <c r="CE156" i="2"/>
  <c r="DC156" i="2" s="1"/>
  <c r="CB156" i="2"/>
  <c r="CZ156" i="2" s="1"/>
  <c r="BZ156" i="2"/>
  <c r="CX156" i="2" s="1"/>
  <c r="BM156" i="2"/>
  <c r="BL156" i="2"/>
  <c r="BK156" i="2"/>
  <c r="BJ156" i="2"/>
  <c r="BI156" i="2"/>
  <c r="BH156" i="2"/>
  <c r="BG156" i="2"/>
  <c r="BF156" i="2"/>
  <c r="BE156" i="2"/>
  <c r="BD156" i="2"/>
  <c r="BC156" i="2"/>
  <c r="BA156" i="2"/>
  <c r="AZ156" i="2"/>
  <c r="AY156" i="2"/>
  <c r="AX156" i="2"/>
  <c r="AW156" i="2"/>
  <c r="AV156" i="2"/>
  <c r="AU156" i="2"/>
  <c r="AT156" i="2"/>
  <c r="AS156" i="2"/>
  <c r="AR156" i="2"/>
  <c r="AQ156" i="2"/>
  <c r="AN156" i="2"/>
  <c r="AM156" i="2"/>
  <c r="AL156" i="2"/>
  <c r="AE156" i="2"/>
  <c r="AC156" i="2"/>
  <c r="AO156" i="2" s="1"/>
  <c r="W156" i="2"/>
  <c r="AI156" i="2" s="1"/>
  <c r="U156" i="2"/>
  <c r="T156" i="2"/>
  <c r="AF156" i="2" s="1"/>
  <c r="S156" i="2"/>
  <c r="CA156" i="2" s="1"/>
  <c r="CY156" i="2" s="1"/>
  <c r="Q156" i="2"/>
  <c r="EF156" i="2" s="1"/>
  <c r="EQ156" i="2" s="1"/>
  <c r="P156" i="2"/>
  <c r="AB156" i="2" s="1"/>
  <c r="CJ156" i="2" s="1"/>
  <c r="DH156" i="2" s="1"/>
  <c r="O156" i="2"/>
  <c r="ED156" i="2" s="1"/>
  <c r="EO156" i="2" s="1"/>
  <c r="N156" i="2"/>
  <c r="Z156" i="2" s="1"/>
  <c r="CH156" i="2" s="1"/>
  <c r="DF156" i="2" s="1"/>
  <c r="M156" i="2"/>
  <c r="L156" i="2"/>
  <c r="K156" i="2"/>
  <c r="J156" i="2"/>
  <c r="V156" i="2" s="1"/>
  <c r="I156" i="2"/>
  <c r="DX156" i="2" s="1"/>
  <c r="EI156" i="2" s="1"/>
  <c r="EQ155" i="2"/>
  <c r="EK155" i="2"/>
  <c r="EJ155" i="2"/>
  <c r="EG155" i="2"/>
  <c r="EE155" i="2"/>
  <c r="ED155" i="2"/>
  <c r="EB155" i="2"/>
  <c r="DX155" i="2"/>
  <c r="EI155" i="2" s="1"/>
  <c r="DW155" i="2"/>
  <c r="DV155" i="2"/>
  <c r="DU155" i="2"/>
  <c r="DT155" i="2"/>
  <c r="DS155" i="2"/>
  <c r="DR155" i="2"/>
  <c r="DQ155" i="2"/>
  <c r="DP155" i="2"/>
  <c r="DO155" i="2"/>
  <c r="DN155" i="2"/>
  <c r="DM155" i="2"/>
  <c r="DL155" i="2"/>
  <c r="DK155" i="2"/>
  <c r="BZ155" i="2"/>
  <c r="CX155" i="2" s="1"/>
  <c r="BM155" i="2"/>
  <c r="BL155" i="2"/>
  <c r="BK155" i="2"/>
  <c r="BJ155" i="2"/>
  <c r="BI155" i="2"/>
  <c r="BH155" i="2"/>
  <c r="BG155" i="2"/>
  <c r="BF155" i="2"/>
  <c r="BE155" i="2"/>
  <c r="BD155" i="2"/>
  <c r="CB155" i="2" s="1"/>
  <c r="CZ155" i="2" s="1"/>
  <c r="BC155" i="2"/>
  <c r="BA155" i="2"/>
  <c r="AZ155" i="2"/>
  <c r="AY155" i="2"/>
  <c r="AX155" i="2"/>
  <c r="AW155" i="2"/>
  <c r="AV155" i="2"/>
  <c r="AU155" i="2"/>
  <c r="AT155" i="2"/>
  <c r="AS155" i="2"/>
  <c r="AR155" i="2"/>
  <c r="AQ155" i="2"/>
  <c r="AC155" i="2"/>
  <c r="AB155" i="2"/>
  <c r="AA155" i="2"/>
  <c r="Z155" i="2"/>
  <c r="AL155" i="2" s="1"/>
  <c r="Y155" i="2"/>
  <c r="T155" i="2"/>
  <c r="AF155" i="2" s="1"/>
  <c r="S155" i="2"/>
  <c r="AE155" i="2" s="1"/>
  <c r="Q155" i="2"/>
  <c r="EF155" i="2" s="1"/>
  <c r="P155" i="2"/>
  <c r="O155" i="2"/>
  <c r="AA156" i="2" s="1"/>
  <c r="N155" i="2"/>
  <c r="EC155" i="2" s="1"/>
  <c r="EN155" i="2" s="1"/>
  <c r="M155" i="2"/>
  <c r="Y156" i="2" s="1"/>
  <c r="L155" i="2"/>
  <c r="K155" i="2"/>
  <c r="DZ155" i="2" s="1"/>
  <c r="J155" i="2"/>
  <c r="DY155" i="2" s="1"/>
  <c r="I155" i="2"/>
  <c r="EG154" i="2"/>
  <c r="EF154" i="2"/>
  <c r="EQ154" i="2" s="1"/>
  <c r="EC154" i="2"/>
  <c r="EN154" i="2" s="1"/>
  <c r="DZ154" i="2"/>
  <c r="EK154" i="2" s="1"/>
  <c r="DW154" i="2"/>
  <c r="DV154" i="2"/>
  <c r="DU154" i="2"/>
  <c r="DT154" i="2"/>
  <c r="DS154" i="2"/>
  <c r="EP154" i="2" s="1"/>
  <c r="DR154" i="2"/>
  <c r="DQ154" i="2"/>
  <c r="DP154" i="2"/>
  <c r="DO154" i="2"/>
  <c r="DN154" i="2"/>
  <c r="DM154" i="2"/>
  <c r="DL154" i="2"/>
  <c r="DK154" i="2"/>
  <c r="CG154" i="2"/>
  <c r="DE154" i="2" s="1"/>
  <c r="BZ154" i="2"/>
  <c r="CX154" i="2" s="1"/>
  <c r="BM154" i="2"/>
  <c r="BL154" i="2"/>
  <c r="CJ154" i="2" s="1"/>
  <c r="DH154" i="2" s="1"/>
  <c r="BK154" i="2"/>
  <c r="BJ154" i="2"/>
  <c r="BI154" i="2"/>
  <c r="BH154" i="2"/>
  <c r="BG154" i="2"/>
  <c r="BF154" i="2"/>
  <c r="BE154" i="2"/>
  <c r="BD154" i="2"/>
  <c r="CB154" i="2" s="1"/>
  <c r="CZ154" i="2" s="1"/>
  <c r="BC154" i="2"/>
  <c r="CA154" i="2" s="1"/>
  <c r="CY154" i="2" s="1"/>
  <c r="BA154" i="2"/>
  <c r="AZ154" i="2"/>
  <c r="AY154" i="2"/>
  <c r="AX154" i="2"/>
  <c r="AW154" i="2"/>
  <c r="AV154" i="2"/>
  <c r="AU154" i="2"/>
  <c r="AT154" i="2"/>
  <c r="AS154" i="2"/>
  <c r="AR154" i="2"/>
  <c r="AQ154" i="2"/>
  <c r="AE154" i="2"/>
  <c r="AB154" i="2"/>
  <c r="AN154" i="2" s="1"/>
  <c r="Y154" i="2"/>
  <c r="AK154" i="2" s="1"/>
  <c r="W154" i="2"/>
  <c r="T154" i="2"/>
  <c r="AF154" i="2" s="1"/>
  <c r="S154" i="2"/>
  <c r="Q154" i="2"/>
  <c r="P154" i="2"/>
  <c r="EE154" i="2" s="1"/>
  <c r="O154" i="2"/>
  <c r="N154" i="2"/>
  <c r="M154" i="2"/>
  <c r="EB154" i="2" s="1"/>
  <c r="EM154" i="2" s="1"/>
  <c r="L154" i="2"/>
  <c r="X154" i="2" s="1"/>
  <c r="AJ154" i="2" s="1"/>
  <c r="K154" i="2"/>
  <c r="W155" i="2" s="1"/>
  <c r="J154" i="2"/>
  <c r="I154" i="2"/>
  <c r="EE153" i="2"/>
  <c r="EP153" i="2" s="1"/>
  <c r="ED153" i="2"/>
  <c r="EO153" i="2" s="1"/>
  <c r="EA153" i="2"/>
  <c r="EL153" i="2" s="1"/>
  <c r="DW153" i="2"/>
  <c r="EH153" i="2" s="1"/>
  <c r="DV153" i="2"/>
  <c r="EG153" i="2" s="1"/>
  <c r="DU153" i="2"/>
  <c r="DT153" i="2"/>
  <c r="DS153" i="2"/>
  <c r="DR153" i="2"/>
  <c r="DQ153" i="2"/>
  <c r="DP153" i="2"/>
  <c r="DO153" i="2"/>
  <c r="DN153" i="2"/>
  <c r="DM153" i="2"/>
  <c r="DL153" i="2"/>
  <c r="DK153" i="2"/>
  <c r="CX153" i="2"/>
  <c r="CI153" i="2"/>
  <c r="DG153" i="2" s="1"/>
  <c r="CH153" i="2"/>
  <c r="DF153" i="2" s="1"/>
  <c r="BZ153" i="2"/>
  <c r="BM153" i="2"/>
  <c r="BL153" i="2"/>
  <c r="BK153" i="2"/>
  <c r="BJ153" i="2"/>
  <c r="BI153" i="2"/>
  <c r="BH153" i="2"/>
  <c r="BG153" i="2"/>
  <c r="BF153" i="2"/>
  <c r="BE153" i="2"/>
  <c r="BD153" i="2"/>
  <c r="BC153" i="2"/>
  <c r="BA153" i="2"/>
  <c r="AZ153" i="2"/>
  <c r="AY153" i="2"/>
  <c r="AX153" i="2"/>
  <c r="AW153" i="2"/>
  <c r="AV153" i="2"/>
  <c r="AU153" i="2"/>
  <c r="AT153" i="2"/>
  <c r="AS153" i="2"/>
  <c r="AR153" i="2"/>
  <c r="AQ153" i="2"/>
  <c r="AF153" i="2"/>
  <c r="AE153" i="2"/>
  <c r="AA153" i="2"/>
  <c r="AM153" i="2" s="1"/>
  <c r="Z153" i="2"/>
  <c r="AL153" i="2" s="1"/>
  <c r="Y153" i="2"/>
  <c r="X153" i="2"/>
  <c r="T153" i="2"/>
  <c r="CB153" i="2" s="1"/>
  <c r="CZ153" i="2" s="1"/>
  <c r="S153" i="2"/>
  <c r="CA153" i="2" s="1"/>
  <c r="CY153" i="2" s="1"/>
  <c r="Q153" i="2"/>
  <c r="AC153" i="2" s="1"/>
  <c r="AO153" i="2" s="1"/>
  <c r="P153" i="2"/>
  <c r="O153" i="2"/>
  <c r="N153" i="2"/>
  <c r="EC153" i="2" s="1"/>
  <c r="EN153" i="2" s="1"/>
  <c r="M153" i="2"/>
  <c r="EB153" i="2" s="1"/>
  <c r="EM153" i="2" s="1"/>
  <c r="L153" i="2"/>
  <c r="K153" i="2"/>
  <c r="W153" i="2" s="1"/>
  <c r="J153" i="2"/>
  <c r="I153" i="2"/>
  <c r="U153" i="2" s="1"/>
  <c r="EO152" i="2"/>
  <c r="EF152" i="2"/>
  <c r="EQ152" i="2" s="1"/>
  <c r="EB152" i="2"/>
  <c r="EM152" i="2" s="1"/>
  <c r="DY152" i="2"/>
  <c r="DX152" i="2"/>
  <c r="DW152" i="2"/>
  <c r="DV152" i="2"/>
  <c r="EG152" i="2" s="1"/>
  <c r="DU152" i="2"/>
  <c r="DT152" i="2"/>
  <c r="DS152" i="2"/>
  <c r="DR152" i="2"/>
  <c r="DQ152" i="2"/>
  <c r="DP152" i="2"/>
  <c r="DO152" i="2"/>
  <c r="DN152" i="2"/>
  <c r="DM152" i="2"/>
  <c r="DL152" i="2"/>
  <c r="DK152" i="2"/>
  <c r="CX152" i="2"/>
  <c r="CB152" i="2"/>
  <c r="CZ152" i="2" s="1"/>
  <c r="BZ152" i="2"/>
  <c r="BM152" i="2"/>
  <c r="BL152" i="2"/>
  <c r="BK152" i="2"/>
  <c r="BJ152" i="2"/>
  <c r="BI152" i="2"/>
  <c r="BH152" i="2"/>
  <c r="BG152" i="2"/>
  <c r="BF152" i="2"/>
  <c r="BE152" i="2"/>
  <c r="BD152" i="2"/>
  <c r="BC152" i="2"/>
  <c r="CA152" i="2" s="1"/>
  <c r="CY152" i="2" s="1"/>
  <c r="BA152" i="2"/>
  <c r="AZ152" i="2"/>
  <c r="AY152" i="2"/>
  <c r="AX152" i="2"/>
  <c r="AW152" i="2"/>
  <c r="AV152" i="2"/>
  <c r="AU152" i="2"/>
  <c r="AT152" i="2"/>
  <c r="AS152" i="2"/>
  <c r="AR152" i="2"/>
  <c r="AQ152" i="2"/>
  <c r="AA152" i="2"/>
  <c r="Y152" i="2"/>
  <c r="U152" i="2"/>
  <c r="T152" i="2"/>
  <c r="AF152" i="2" s="1"/>
  <c r="S152" i="2"/>
  <c r="AE152" i="2" s="1"/>
  <c r="Q152" i="2"/>
  <c r="P152" i="2"/>
  <c r="EE152" i="2" s="1"/>
  <c r="EP152" i="2" s="1"/>
  <c r="O152" i="2"/>
  <c r="ED152" i="2" s="1"/>
  <c r="N152" i="2"/>
  <c r="EC152" i="2" s="1"/>
  <c r="EN152" i="2" s="1"/>
  <c r="M152" i="2"/>
  <c r="L152" i="2"/>
  <c r="K152" i="2"/>
  <c r="W152" i="2" s="1"/>
  <c r="AI152" i="2" s="1"/>
  <c r="J152" i="2"/>
  <c r="I152" i="2"/>
  <c r="EA151" i="2"/>
  <c r="DZ151" i="2"/>
  <c r="DY151" i="2"/>
  <c r="DX151" i="2"/>
  <c r="EI151" i="2" s="1"/>
  <c r="DW151" i="2"/>
  <c r="DV151" i="2"/>
  <c r="EG151" i="2" s="1"/>
  <c r="DU151" i="2"/>
  <c r="DT151" i="2"/>
  <c r="DS151" i="2"/>
  <c r="DR151" i="2"/>
  <c r="DQ151" i="2"/>
  <c r="DP151" i="2"/>
  <c r="DO151" i="2"/>
  <c r="DN151" i="2"/>
  <c r="DM151" i="2"/>
  <c r="DL151" i="2"/>
  <c r="DK151" i="2"/>
  <c r="CX151" i="2"/>
  <c r="BZ151" i="2"/>
  <c r="BM151" i="2"/>
  <c r="BL151" i="2"/>
  <c r="BK151" i="2"/>
  <c r="CI151" i="2" s="1"/>
  <c r="DG151" i="2" s="1"/>
  <c r="BJ151" i="2"/>
  <c r="BI151" i="2"/>
  <c r="BH151" i="2"/>
  <c r="BG151" i="2"/>
  <c r="BF151" i="2"/>
  <c r="BE151" i="2"/>
  <c r="CC151" i="2" s="1"/>
  <c r="DA151" i="2" s="1"/>
  <c r="BD151" i="2"/>
  <c r="CB151" i="2" s="1"/>
  <c r="CZ151" i="2" s="1"/>
  <c r="BC151" i="2"/>
  <c r="BA151" i="2"/>
  <c r="AZ151" i="2"/>
  <c r="AY151" i="2"/>
  <c r="AX151" i="2"/>
  <c r="AW151" i="2"/>
  <c r="AV151" i="2"/>
  <c r="AU151" i="2"/>
  <c r="AT151" i="2"/>
  <c r="AS151" i="2"/>
  <c r="AR151" i="2"/>
  <c r="AQ151" i="2"/>
  <c r="AF151" i="2"/>
  <c r="AE151" i="2"/>
  <c r="AC151" i="2"/>
  <c r="X151" i="2"/>
  <c r="CF151" i="2" s="1"/>
  <c r="DD151" i="2" s="1"/>
  <c r="T151" i="2"/>
  <c r="S151" i="2"/>
  <c r="CA151" i="2" s="1"/>
  <c r="CY151" i="2" s="1"/>
  <c r="Q151" i="2"/>
  <c r="AC152" i="2" s="1"/>
  <c r="P151" i="2"/>
  <c r="O151" i="2"/>
  <c r="AA151" i="2" s="1"/>
  <c r="AM151" i="2" s="1"/>
  <c r="N151" i="2"/>
  <c r="Z152" i="2" s="1"/>
  <c r="M151" i="2"/>
  <c r="Y151" i="2" s="1"/>
  <c r="L151" i="2"/>
  <c r="K151" i="2"/>
  <c r="J151" i="2"/>
  <c r="V152" i="2" s="1"/>
  <c r="CD152" i="2" s="1"/>
  <c r="DB152" i="2" s="1"/>
  <c r="I151" i="2"/>
  <c r="U151" i="2" s="1"/>
  <c r="AG151" i="2" s="1"/>
  <c r="EH150" i="2"/>
  <c r="EG150" i="2"/>
  <c r="EF150" i="2"/>
  <c r="EQ150" i="2" s="1"/>
  <c r="EC150" i="2"/>
  <c r="EN150" i="2" s="1"/>
  <c r="EA150" i="2"/>
  <c r="DY150" i="2"/>
  <c r="DX150" i="2"/>
  <c r="EI150" i="2" s="1"/>
  <c r="DW150" i="2"/>
  <c r="DV150" i="2"/>
  <c r="DU150" i="2"/>
  <c r="DT150" i="2"/>
  <c r="DS150" i="2"/>
  <c r="DR150" i="2"/>
  <c r="DQ150" i="2"/>
  <c r="DP150" i="2"/>
  <c r="DO150" i="2"/>
  <c r="DN150" i="2"/>
  <c r="DM150" i="2"/>
  <c r="DL150" i="2"/>
  <c r="DK150" i="2"/>
  <c r="DC150" i="2"/>
  <c r="CE150" i="2"/>
  <c r="BZ150" i="2"/>
  <c r="CX150" i="2" s="1"/>
  <c r="BM150" i="2"/>
  <c r="BL150" i="2"/>
  <c r="BK150" i="2"/>
  <c r="BJ150" i="2"/>
  <c r="BI150" i="2"/>
  <c r="BH150" i="2"/>
  <c r="BG150" i="2"/>
  <c r="BF150" i="2"/>
  <c r="BE150" i="2"/>
  <c r="CC150" i="2" s="1"/>
  <c r="DA150" i="2" s="1"/>
  <c r="BD150" i="2"/>
  <c r="BC150" i="2"/>
  <c r="BA150" i="2"/>
  <c r="AZ150" i="2"/>
  <c r="AY150" i="2"/>
  <c r="AX150" i="2"/>
  <c r="AW150" i="2"/>
  <c r="AV150" i="2"/>
  <c r="AU150" i="2"/>
  <c r="AT150" i="2"/>
  <c r="AS150" i="2"/>
  <c r="AR150" i="2"/>
  <c r="AQ150" i="2"/>
  <c r="AG150" i="2"/>
  <c r="X150" i="2"/>
  <c r="U150" i="2"/>
  <c r="T150" i="2"/>
  <c r="S150" i="2"/>
  <c r="Q150" i="2"/>
  <c r="AC150" i="2" s="1"/>
  <c r="P150" i="2"/>
  <c r="O150" i="2"/>
  <c r="N150" i="2"/>
  <c r="M150" i="2"/>
  <c r="EB150" i="2" s="1"/>
  <c r="EM150" i="2" s="1"/>
  <c r="L150" i="2"/>
  <c r="K150" i="2"/>
  <c r="W150" i="2" s="1"/>
  <c r="AI150" i="2" s="1"/>
  <c r="J150" i="2"/>
  <c r="I150" i="2"/>
  <c r="EP149" i="2"/>
  <c r="EE149" i="2"/>
  <c r="EB149" i="2"/>
  <c r="EM149" i="2" s="1"/>
  <c r="EA149" i="2"/>
  <c r="EL149" i="2" s="1"/>
  <c r="DZ149" i="2"/>
  <c r="EK149" i="2" s="1"/>
  <c r="DX149" i="2"/>
  <c r="DW149" i="2"/>
  <c r="EH149" i="2" s="1"/>
  <c r="DV149" i="2"/>
  <c r="EG149" i="2" s="1"/>
  <c r="DU149" i="2"/>
  <c r="DT149" i="2"/>
  <c r="DS149" i="2"/>
  <c r="DR149" i="2"/>
  <c r="DQ149" i="2"/>
  <c r="DP149" i="2"/>
  <c r="DO149" i="2"/>
  <c r="DN149" i="2"/>
  <c r="DM149" i="2"/>
  <c r="DL149" i="2"/>
  <c r="DK149" i="2"/>
  <c r="CX149" i="2"/>
  <c r="BZ149" i="2"/>
  <c r="BM149" i="2"/>
  <c r="CK149" i="2" s="1"/>
  <c r="DI149" i="2" s="1"/>
  <c r="BL149" i="2"/>
  <c r="BK149" i="2"/>
  <c r="BJ149" i="2"/>
  <c r="BI149" i="2"/>
  <c r="BH149" i="2"/>
  <c r="BG149" i="2"/>
  <c r="BF149" i="2"/>
  <c r="BE149" i="2"/>
  <c r="BD149" i="2"/>
  <c r="BC149" i="2"/>
  <c r="BA149" i="2"/>
  <c r="AZ149" i="2"/>
  <c r="AY149" i="2"/>
  <c r="AX149" i="2"/>
  <c r="AW149" i="2"/>
  <c r="AV149" i="2"/>
  <c r="AU149" i="2"/>
  <c r="AT149" i="2"/>
  <c r="AS149" i="2"/>
  <c r="AR149" i="2"/>
  <c r="AQ149" i="2"/>
  <c r="AF149" i="2"/>
  <c r="AB149" i="2"/>
  <c r="T149" i="2"/>
  <c r="CB149" i="2" s="1"/>
  <c r="CZ149" i="2" s="1"/>
  <c r="S149" i="2"/>
  <c r="AE149" i="2" s="1"/>
  <c r="Q149" i="2"/>
  <c r="AC149" i="2" s="1"/>
  <c r="AO149" i="2" s="1"/>
  <c r="P149" i="2"/>
  <c r="O149" i="2"/>
  <c r="N149" i="2"/>
  <c r="M149" i="2"/>
  <c r="L149" i="2"/>
  <c r="K149" i="2"/>
  <c r="J149" i="2"/>
  <c r="I149" i="2"/>
  <c r="EG148" i="2"/>
  <c r="EF148" i="2"/>
  <c r="EE148" i="2"/>
  <c r="EC148" i="2"/>
  <c r="EN148" i="2" s="1"/>
  <c r="EB148" i="2"/>
  <c r="EM148" i="2" s="1"/>
  <c r="DY148" i="2"/>
  <c r="EJ148" i="2" s="1"/>
  <c r="DW148" i="2"/>
  <c r="EH148" i="2" s="1"/>
  <c r="DV148" i="2"/>
  <c r="DU148" i="2"/>
  <c r="DT148" i="2"/>
  <c r="DS148" i="2"/>
  <c r="EP148" i="2" s="1"/>
  <c r="DR148" i="2"/>
  <c r="DQ148" i="2"/>
  <c r="DP148" i="2"/>
  <c r="DO148" i="2"/>
  <c r="DN148" i="2"/>
  <c r="DM148" i="2"/>
  <c r="DL148" i="2"/>
  <c r="DK148" i="2"/>
  <c r="BZ148" i="2"/>
  <c r="CX148" i="2" s="1"/>
  <c r="BM148" i="2"/>
  <c r="BL148" i="2"/>
  <c r="BK148" i="2"/>
  <c r="BJ148" i="2"/>
  <c r="BI148" i="2"/>
  <c r="BH148" i="2"/>
  <c r="BG148" i="2"/>
  <c r="BF148" i="2"/>
  <c r="BE148" i="2"/>
  <c r="BD148" i="2"/>
  <c r="CB148" i="2" s="1"/>
  <c r="CZ148" i="2" s="1"/>
  <c r="BC148" i="2"/>
  <c r="CA148" i="2" s="1"/>
  <c r="CY148" i="2" s="1"/>
  <c r="BA148" i="2"/>
  <c r="AZ148" i="2"/>
  <c r="AY148" i="2"/>
  <c r="AX148" i="2"/>
  <c r="AW148" i="2"/>
  <c r="AV148" i="2"/>
  <c r="AU148" i="2"/>
  <c r="AT148" i="2"/>
  <c r="AS148" i="2"/>
  <c r="AR148" i="2"/>
  <c r="AQ148" i="2"/>
  <c r="AJ148" i="2"/>
  <c r="AE148" i="2"/>
  <c r="AB148" i="2"/>
  <c r="AN148" i="2" s="1"/>
  <c r="Y148" i="2"/>
  <c r="T148" i="2"/>
  <c r="AF148" i="2" s="1"/>
  <c r="S148" i="2"/>
  <c r="Q148" i="2"/>
  <c r="P148" i="2"/>
  <c r="O148" i="2"/>
  <c r="N148" i="2"/>
  <c r="M148" i="2"/>
  <c r="L148" i="2"/>
  <c r="EA148" i="2" s="1"/>
  <c r="EL148" i="2" s="1"/>
  <c r="K148" i="2"/>
  <c r="DZ148" i="2" s="1"/>
  <c r="EK148" i="2" s="1"/>
  <c r="J148" i="2"/>
  <c r="I148" i="2"/>
  <c r="EG147" i="2"/>
  <c r="EF147" i="2"/>
  <c r="EE147" i="2"/>
  <c r="EP147" i="2" s="1"/>
  <c r="ED147" i="2"/>
  <c r="EO147" i="2" s="1"/>
  <c r="EC147" i="2"/>
  <c r="EB147" i="2"/>
  <c r="DW147" i="2"/>
  <c r="EH147" i="2" s="1"/>
  <c r="DV147" i="2"/>
  <c r="DU147" i="2"/>
  <c r="DT147" i="2"/>
  <c r="EQ147" i="2" s="1"/>
  <c r="DS147" i="2"/>
  <c r="DR147" i="2"/>
  <c r="DQ147" i="2"/>
  <c r="DP147" i="2"/>
  <c r="EM147" i="2" s="1"/>
  <c r="DO147" i="2"/>
  <c r="DN147" i="2"/>
  <c r="DM147" i="2"/>
  <c r="DL147" i="2"/>
  <c r="DK147" i="2"/>
  <c r="CX147" i="2"/>
  <c r="CG147" i="2"/>
  <c r="DE147" i="2" s="1"/>
  <c r="BZ147" i="2"/>
  <c r="BM147" i="2"/>
  <c r="BL147" i="2"/>
  <c r="BK147" i="2"/>
  <c r="BJ147" i="2"/>
  <c r="BI147" i="2"/>
  <c r="BH147" i="2"/>
  <c r="BG147" i="2"/>
  <c r="BF147" i="2"/>
  <c r="BE147" i="2"/>
  <c r="BD147" i="2"/>
  <c r="BC147" i="2"/>
  <c r="BA147" i="2"/>
  <c r="AZ147" i="2"/>
  <c r="AY147" i="2"/>
  <c r="AX147" i="2"/>
  <c r="AW147" i="2"/>
  <c r="AV147" i="2"/>
  <c r="AU147" i="2"/>
  <c r="AT147" i="2"/>
  <c r="AS147" i="2"/>
  <c r="AR147" i="2"/>
  <c r="AQ147" i="2"/>
  <c r="AF147" i="2"/>
  <c r="AE147" i="2"/>
  <c r="Y147" i="2"/>
  <c r="AK147" i="2" s="1"/>
  <c r="X147" i="2"/>
  <c r="W147" i="2"/>
  <c r="T147" i="2"/>
  <c r="CB147" i="2" s="1"/>
  <c r="CZ147" i="2" s="1"/>
  <c r="S147" i="2"/>
  <c r="CA147" i="2" s="1"/>
  <c r="CY147" i="2" s="1"/>
  <c r="Q147" i="2"/>
  <c r="AC147" i="2" s="1"/>
  <c r="AO147" i="2" s="1"/>
  <c r="P147" i="2"/>
  <c r="O147" i="2"/>
  <c r="N147" i="2"/>
  <c r="M147" i="2"/>
  <c r="L147" i="2"/>
  <c r="X148" i="2" s="1"/>
  <c r="CF148" i="2" s="1"/>
  <c r="DD148" i="2" s="1"/>
  <c r="K147" i="2"/>
  <c r="J147" i="2"/>
  <c r="I147" i="2"/>
  <c r="EG146" i="2"/>
  <c r="EF146" i="2"/>
  <c r="ED146" i="2"/>
  <c r="EO146" i="2" s="1"/>
  <c r="DW146" i="2"/>
  <c r="EH146" i="2" s="1"/>
  <c r="DV146" i="2"/>
  <c r="DU146" i="2"/>
  <c r="DT146" i="2"/>
  <c r="DS146" i="2"/>
  <c r="DR146" i="2"/>
  <c r="DQ146" i="2"/>
  <c r="DP146" i="2"/>
  <c r="DO146" i="2"/>
  <c r="DN146" i="2"/>
  <c r="DM146" i="2"/>
  <c r="DL146" i="2"/>
  <c r="DK146" i="2"/>
  <c r="CX146" i="2"/>
  <c r="CF146" i="2"/>
  <c r="DD146" i="2" s="1"/>
  <c r="BZ146" i="2"/>
  <c r="BM146" i="2"/>
  <c r="BL146" i="2"/>
  <c r="BK146" i="2"/>
  <c r="BJ146" i="2"/>
  <c r="BI146" i="2"/>
  <c r="BH146" i="2"/>
  <c r="BG146" i="2"/>
  <c r="BF146" i="2"/>
  <c r="BE146" i="2"/>
  <c r="BD146" i="2"/>
  <c r="CB146" i="2" s="1"/>
  <c r="CZ146" i="2" s="1"/>
  <c r="BC146" i="2"/>
  <c r="CA146" i="2" s="1"/>
  <c r="CY146" i="2" s="1"/>
  <c r="BA146" i="2"/>
  <c r="AZ146" i="2"/>
  <c r="AY146" i="2"/>
  <c r="AX146" i="2"/>
  <c r="AW146" i="2"/>
  <c r="AV146" i="2"/>
  <c r="AU146" i="2"/>
  <c r="AT146" i="2"/>
  <c r="AS146" i="2"/>
  <c r="AR146" i="2"/>
  <c r="AQ146" i="2"/>
  <c r="AO146" i="2"/>
  <c r="AJ146" i="2"/>
  <c r="AC146" i="2"/>
  <c r="X146" i="2"/>
  <c r="U146" i="2"/>
  <c r="T146" i="2"/>
  <c r="AF146" i="2" s="1"/>
  <c r="S146" i="2"/>
  <c r="AE146" i="2" s="1"/>
  <c r="Q146" i="2"/>
  <c r="P146" i="2"/>
  <c r="O146" i="2"/>
  <c r="N146" i="2"/>
  <c r="EC146" i="2" s="1"/>
  <c r="EN146" i="2" s="1"/>
  <c r="M146" i="2"/>
  <c r="Y146" i="2" s="1"/>
  <c r="AK146" i="2" s="1"/>
  <c r="L146" i="2"/>
  <c r="EA146" i="2" s="1"/>
  <c r="EL146" i="2" s="1"/>
  <c r="K146" i="2"/>
  <c r="J146" i="2"/>
  <c r="DY146" i="2" s="1"/>
  <c r="EJ146" i="2" s="1"/>
  <c r="I146" i="2"/>
  <c r="DX146" i="2" s="1"/>
  <c r="EI146" i="2" s="1"/>
  <c r="EM145" i="2"/>
  <c r="EK145" i="2"/>
  <c r="EJ145" i="2"/>
  <c r="EI145" i="2"/>
  <c r="EF145" i="2"/>
  <c r="ED145" i="2"/>
  <c r="EA145" i="2"/>
  <c r="EL145" i="2" s="1"/>
  <c r="DY145" i="2"/>
  <c r="DW145" i="2"/>
  <c r="DV145" i="2"/>
  <c r="EG145" i="2" s="1"/>
  <c r="DU145" i="2"/>
  <c r="DT145" i="2"/>
  <c r="EQ145" i="2" s="1"/>
  <c r="DS145" i="2"/>
  <c r="DR145" i="2"/>
  <c r="DQ145" i="2"/>
  <c r="DP145" i="2"/>
  <c r="DO145" i="2"/>
  <c r="DN145" i="2"/>
  <c r="DM145" i="2"/>
  <c r="DL145" i="2"/>
  <c r="DK145" i="2"/>
  <c r="DE145" i="2"/>
  <c r="CZ145" i="2"/>
  <c r="CX145" i="2"/>
  <c r="BZ145" i="2"/>
  <c r="BM145" i="2"/>
  <c r="BL145" i="2"/>
  <c r="BK145" i="2"/>
  <c r="BJ145" i="2"/>
  <c r="BI145" i="2"/>
  <c r="BH145" i="2"/>
  <c r="BG145" i="2"/>
  <c r="BF145" i="2"/>
  <c r="BE145" i="2"/>
  <c r="BD145" i="2"/>
  <c r="CB145" i="2" s="1"/>
  <c r="BC145" i="2"/>
  <c r="BA145" i="2"/>
  <c r="AZ145" i="2"/>
  <c r="AY145" i="2"/>
  <c r="AX145" i="2"/>
  <c r="AW145" i="2"/>
  <c r="AV145" i="2"/>
  <c r="AU145" i="2"/>
  <c r="AT145" i="2"/>
  <c r="AS145" i="2"/>
  <c r="AR145" i="2"/>
  <c r="AQ145" i="2"/>
  <c r="AK145" i="2"/>
  <c r="AJ145" i="2"/>
  <c r="AI145" i="2"/>
  <c r="AF145" i="2"/>
  <c r="Y145" i="2"/>
  <c r="CG145" i="2" s="1"/>
  <c r="W145" i="2"/>
  <c r="CE145" i="2" s="1"/>
  <c r="DC145" i="2" s="1"/>
  <c r="V145" i="2"/>
  <c r="T145" i="2"/>
  <c r="S145" i="2"/>
  <c r="Q145" i="2"/>
  <c r="P145" i="2"/>
  <c r="EE145" i="2" s="1"/>
  <c r="EP145" i="2" s="1"/>
  <c r="O145" i="2"/>
  <c r="N145" i="2"/>
  <c r="M145" i="2"/>
  <c r="EB145" i="2" s="1"/>
  <c r="L145" i="2"/>
  <c r="X145" i="2" s="1"/>
  <c r="CF145" i="2" s="1"/>
  <c r="DD145" i="2" s="1"/>
  <c r="K145" i="2"/>
  <c r="DZ145" i="2" s="1"/>
  <c r="J145" i="2"/>
  <c r="V146" i="2" s="1"/>
  <c r="I145" i="2"/>
  <c r="DX145" i="2" s="1"/>
  <c r="EM144" i="2"/>
  <c r="EK144" i="2"/>
  <c r="EG144" i="2"/>
  <c r="EB144" i="2"/>
  <c r="DZ144" i="2"/>
  <c r="DY144" i="2"/>
  <c r="DW144" i="2"/>
  <c r="DV144" i="2"/>
  <c r="DU144" i="2"/>
  <c r="DT144" i="2"/>
  <c r="DS144" i="2"/>
  <c r="DR144" i="2"/>
  <c r="DQ144" i="2"/>
  <c r="DP144" i="2"/>
  <c r="DO144" i="2"/>
  <c r="DN144" i="2"/>
  <c r="DM144" i="2"/>
  <c r="DL144" i="2"/>
  <c r="DK144" i="2"/>
  <c r="BZ144" i="2"/>
  <c r="CX144" i="2" s="1"/>
  <c r="BM144" i="2"/>
  <c r="BL144" i="2"/>
  <c r="BK144" i="2"/>
  <c r="BJ144" i="2"/>
  <c r="BI144" i="2"/>
  <c r="BH144" i="2"/>
  <c r="BG144" i="2"/>
  <c r="BF144" i="2"/>
  <c r="BE144" i="2"/>
  <c r="BD144" i="2"/>
  <c r="BC144" i="2"/>
  <c r="BA144" i="2"/>
  <c r="AZ144" i="2"/>
  <c r="AY144" i="2"/>
  <c r="AX144" i="2"/>
  <c r="AW144" i="2"/>
  <c r="AV144" i="2"/>
  <c r="AU144" i="2"/>
  <c r="AT144" i="2"/>
  <c r="AS144" i="2"/>
  <c r="AR144" i="2"/>
  <c r="AQ144" i="2"/>
  <c r="AI144" i="2"/>
  <c r="Y144" i="2"/>
  <c r="T144" i="2"/>
  <c r="AF144" i="2" s="1"/>
  <c r="S144" i="2"/>
  <c r="Q144" i="2"/>
  <c r="P144" i="2"/>
  <c r="O144" i="2"/>
  <c r="N144" i="2"/>
  <c r="M144" i="2"/>
  <c r="L144" i="2"/>
  <c r="X144" i="2" s="1"/>
  <c r="K144" i="2"/>
  <c r="J144" i="2"/>
  <c r="I144" i="2"/>
  <c r="EM143" i="2"/>
  <c r="EL143" i="2"/>
  <c r="EI143" i="2"/>
  <c r="EG143" i="2"/>
  <c r="ED143" i="2"/>
  <c r="EO143" i="2" s="1"/>
  <c r="EB143" i="2"/>
  <c r="DY143" i="2"/>
  <c r="EJ143" i="2" s="1"/>
  <c r="DW143" i="2"/>
  <c r="DV143" i="2"/>
  <c r="DU143" i="2"/>
  <c r="DT143" i="2"/>
  <c r="DS143" i="2"/>
  <c r="DR143" i="2"/>
  <c r="DQ143" i="2"/>
  <c r="DP143" i="2"/>
  <c r="DO143" i="2"/>
  <c r="DN143" i="2"/>
  <c r="DM143" i="2"/>
  <c r="DL143" i="2"/>
  <c r="DK143" i="2"/>
  <c r="CZ143" i="2"/>
  <c r="CI143" i="2"/>
  <c r="DG143" i="2" s="1"/>
  <c r="CF143" i="2"/>
  <c r="DD143" i="2" s="1"/>
  <c r="CB143" i="2"/>
  <c r="BZ143" i="2"/>
  <c r="CX143" i="2" s="1"/>
  <c r="BM143" i="2"/>
  <c r="BL143" i="2"/>
  <c r="BK143" i="2"/>
  <c r="BJ143" i="2"/>
  <c r="BI143" i="2"/>
  <c r="BH143" i="2"/>
  <c r="BG143" i="2"/>
  <c r="BF143" i="2"/>
  <c r="BE143" i="2"/>
  <c r="BD143" i="2"/>
  <c r="BC143" i="2"/>
  <c r="BA143" i="2"/>
  <c r="AZ143" i="2"/>
  <c r="AY143" i="2"/>
  <c r="AX143" i="2"/>
  <c r="AW143" i="2"/>
  <c r="AV143" i="2"/>
  <c r="AU143" i="2"/>
  <c r="AT143" i="2"/>
  <c r="AS143" i="2"/>
  <c r="AR143" i="2"/>
  <c r="AQ143" i="2"/>
  <c r="AJ143" i="2"/>
  <c r="AG143" i="2"/>
  <c r="AF143" i="2"/>
  <c r="AE143" i="2"/>
  <c r="AA143" i="2"/>
  <c r="AM143" i="2" s="1"/>
  <c r="X143" i="2"/>
  <c r="U143" i="2"/>
  <c r="CC143" i="2" s="1"/>
  <c r="DA143" i="2" s="1"/>
  <c r="T143" i="2"/>
  <c r="S143" i="2"/>
  <c r="CA143" i="2" s="1"/>
  <c r="CY143" i="2" s="1"/>
  <c r="Q143" i="2"/>
  <c r="P143" i="2"/>
  <c r="O143" i="2"/>
  <c r="N143" i="2"/>
  <c r="Z143" i="2" s="1"/>
  <c r="CH143" i="2" s="1"/>
  <c r="DF143" i="2" s="1"/>
  <c r="M143" i="2"/>
  <c r="L143" i="2"/>
  <c r="EA143" i="2" s="1"/>
  <c r="K143" i="2"/>
  <c r="W144" i="2" s="1"/>
  <c r="CE144" i="2" s="1"/>
  <c r="DC144" i="2" s="1"/>
  <c r="J143" i="2"/>
  <c r="V143" i="2" s="1"/>
  <c r="I143" i="2"/>
  <c r="DX143" i="2" s="1"/>
  <c r="EQ142" i="2"/>
  <c r="EN142" i="2"/>
  <c r="EI142" i="2"/>
  <c r="EF142" i="2"/>
  <c r="EE142" i="2"/>
  <c r="EP142" i="2" s="1"/>
  <c r="ED142" i="2"/>
  <c r="EC142" i="2"/>
  <c r="EA142" i="2"/>
  <c r="DY142" i="2"/>
  <c r="EJ142" i="2" s="1"/>
  <c r="DW142" i="2"/>
  <c r="DV142" i="2"/>
  <c r="EG142" i="2" s="1"/>
  <c r="DU142" i="2"/>
  <c r="DT142" i="2"/>
  <c r="DS142" i="2"/>
  <c r="DR142" i="2"/>
  <c r="EO142" i="2" s="1"/>
  <c r="DQ142" i="2"/>
  <c r="DP142" i="2"/>
  <c r="DO142" i="2"/>
  <c r="DN142" i="2"/>
  <c r="DM142" i="2"/>
  <c r="DL142" i="2"/>
  <c r="DK142" i="2"/>
  <c r="DI142" i="2"/>
  <c r="DB142" i="2"/>
  <c r="CK142" i="2"/>
  <c r="CJ142" i="2"/>
  <c r="DH142" i="2" s="1"/>
  <c r="BZ142" i="2"/>
  <c r="CX142" i="2" s="1"/>
  <c r="BM142" i="2"/>
  <c r="BL142" i="2"/>
  <c r="BK142" i="2"/>
  <c r="BJ142" i="2"/>
  <c r="BI142" i="2"/>
  <c r="BH142" i="2"/>
  <c r="BG142" i="2"/>
  <c r="BF142" i="2"/>
  <c r="BE142" i="2"/>
  <c r="BD142" i="2"/>
  <c r="BC142" i="2"/>
  <c r="BA142" i="2"/>
  <c r="AZ142" i="2"/>
  <c r="AY142" i="2"/>
  <c r="AX142" i="2"/>
  <c r="AW142" i="2"/>
  <c r="AV142" i="2"/>
  <c r="AU142" i="2"/>
  <c r="AT142" i="2"/>
  <c r="AS142" i="2"/>
  <c r="AR142" i="2"/>
  <c r="AQ142" i="2"/>
  <c r="AH142" i="2"/>
  <c r="AC142" i="2"/>
  <c r="AO142" i="2" s="1"/>
  <c r="T142" i="2"/>
  <c r="S142" i="2"/>
  <c r="Q142" i="2"/>
  <c r="P142" i="2"/>
  <c r="AB142" i="2" s="1"/>
  <c r="AN142" i="2" s="1"/>
  <c r="O142" i="2"/>
  <c r="N142" i="2"/>
  <c r="Z142" i="2" s="1"/>
  <c r="M142" i="2"/>
  <c r="Y143" i="2" s="1"/>
  <c r="L142" i="2"/>
  <c r="K142" i="2"/>
  <c r="J142" i="2"/>
  <c r="I142" i="2"/>
  <c r="DX142" i="2" s="1"/>
  <c r="EP141" i="2"/>
  <c r="EM141" i="2"/>
  <c r="EH141" i="2"/>
  <c r="EF141" i="2"/>
  <c r="EQ141" i="2" s="1"/>
  <c r="EC141" i="2"/>
  <c r="EN141" i="2" s="1"/>
  <c r="EA141" i="2"/>
  <c r="EL141" i="2" s="1"/>
  <c r="DY141" i="2"/>
  <c r="DW141" i="2"/>
  <c r="DV141" i="2"/>
  <c r="EG141" i="2" s="1"/>
  <c r="DU141" i="2"/>
  <c r="DT141" i="2"/>
  <c r="DS141" i="2"/>
  <c r="DR141" i="2"/>
  <c r="DQ141" i="2"/>
  <c r="DP141" i="2"/>
  <c r="DO141" i="2"/>
  <c r="DN141" i="2"/>
  <c r="DM141" i="2"/>
  <c r="DL141" i="2"/>
  <c r="DK141" i="2"/>
  <c r="BZ141" i="2"/>
  <c r="CX141" i="2" s="1"/>
  <c r="BM141" i="2"/>
  <c r="CK141" i="2" s="1"/>
  <c r="DI141" i="2" s="1"/>
  <c r="BL141" i="2"/>
  <c r="BK141" i="2"/>
  <c r="BJ141" i="2"/>
  <c r="BI141" i="2"/>
  <c r="BH141" i="2"/>
  <c r="BG141" i="2"/>
  <c r="BF141" i="2"/>
  <c r="BE141" i="2"/>
  <c r="BD141" i="2"/>
  <c r="CB141" i="2" s="1"/>
  <c r="CZ141" i="2" s="1"/>
  <c r="BC141" i="2"/>
  <c r="BA141" i="2"/>
  <c r="AZ141" i="2"/>
  <c r="AY141" i="2"/>
  <c r="AX141" i="2"/>
  <c r="AW141" i="2"/>
  <c r="AV141" i="2"/>
  <c r="AU141" i="2"/>
  <c r="AT141" i="2"/>
  <c r="AS141" i="2"/>
  <c r="AR141" i="2"/>
  <c r="AQ141" i="2"/>
  <c r="AN141" i="2"/>
  <c r="AL141" i="2"/>
  <c r="AF141" i="2"/>
  <c r="AB141" i="2"/>
  <c r="Z141" i="2"/>
  <c r="CH141" i="2" s="1"/>
  <c r="DF141" i="2" s="1"/>
  <c r="W141" i="2"/>
  <c r="V141" i="2"/>
  <c r="AH141" i="2" s="1"/>
  <c r="T141" i="2"/>
  <c r="S141" i="2"/>
  <c r="AE141" i="2" s="1"/>
  <c r="Q141" i="2"/>
  <c r="P141" i="2"/>
  <c r="EE141" i="2" s="1"/>
  <c r="O141" i="2"/>
  <c r="N141" i="2"/>
  <c r="M141" i="2"/>
  <c r="EB141" i="2" s="1"/>
  <c r="L141" i="2"/>
  <c r="X142" i="2" s="1"/>
  <c r="K141" i="2"/>
  <c r="DZ141" i="2" s="1"/>
  <c r="EK141" i="2" s="1"/>
  <c r="J141" i="2"/>
  <c r="V142" i="2" s="1"/>
  <c r="CD142" i="2" s="1"/>
  <c r="I141" i="2"/>
  <c r="EL140" i="2"/>
  <c r="EJ140" i="2"/>
  <c r="EH140" i="2"/>
  <c r="EG140" i="2"/>
  <c r="EF140" i="2"/>
  <c r="EQ140" i="2" s="1"/>
  <c r="EE140" i="2"/>
  <c r="EP140" i="2" s="1"/>
  <c r="EC140" i="2"/>
  <c r="EN140" i="2" s="1"/>
  <c r="EA140" i="2"/>
  <c r="DW140" i="2"/>
  <c r="DV140" i="2"/>
  <c r="DU140" i="2"/>
  <c r="DT140" i="2"/>
  <c r="DS140" i="2"/>
  <c r="DR140" i="2"/>
  <c r="DQ140" i="2"/>
  <c r="DP140" i="2"/>
  <c r="DO140" i="2"/>
  <c r="DN140" i="2"/>
  <c r="DM140" i="2"/>
  <c r="DL140" i="2"/>
  <c r="DK140" i="2"/>
  <c r="BZ140" i="2"/>
  <c r="CX140" i="2" s="1"/>
  <c r="BM140" i="2"/>
  <c r="BL140" i="2"/>
  <c r="BK140" i="2"/>
  <c r="BJ140" i="2"/>
  <c r="CH140" i="2" s="1"/>
  <c r="DF140" i="2" s="1"/>
  <c r="BI140" i="2"/>
  <c r="BH140" i="2"/>
  <c r="BG140" i="2"/>
  <c r="BF140" i="2"/>
  <c r="BE140" i="2"/>
  <c r="BD140" i="2"/>
  <c r="BC140" i="2"/>
  <c r="CA140" i="2" s="1"/>
  <c r="CY140" i="2" s="1"/>
  <c r="BA140" i="2"/>
  <c r="AZ140" i="2"/>
  <c r="AY140" i="2"/>
  <c r="AX140" i="2"/>
  <c r="AW140" i="2"/>
  <c r="AV140" i="2"/>
  <c r="AU140" i="2"/>
  <c r="AT140" i="2"/>
  <c r="AS140" i="2"/>
  <c r="AR140" i="2"/>
  <c r="AQ140" i="2"/>
  <c r="AE140" i="2"/>
  <c r="AB140" i="2"/>
  <c r="AN140" i="2" s="1"/>
  <c r="Z140" i="2"/>
  <c r="AL140" i="2" s="1"/>
  <c r="V140" i="2"/>
  <c r="CD140" i="2" s="1"/>
  <c r="DB140" i="2" s="1"/>
  <c r="T140" i="2"/>
  <c r="S140" i="2"/>
  <c r="Q140" i="2"/>
  <c r="AC141" i="2" s="1"/>
  <c r="AO141" i="2" s="1"/>
  <c r="P140" i="2"/>
  <c r="O140" i="2"/>
  <c r="ED140" i="2" s="1"/>
  <c r="EO140" i="2" s="1"/>
  <c r="N140" i="2"/>
  <c r="M140" i="2"/>
  <c r="L140" i="2"/>
  <c r="K140" i="2"/>
  <c r="DZ140" i="2" s="1"/>
  <c r="EK140" i="2" s="1"/>
  <c r="J140" i="2"/>
  <c r="DY140" i="2" s="1"/>
  <c r="I140" i="2"/>
  <c r="DX140" i="2" s="1"/>
  <c r="EI140" i="2" s="1"/>
  <c r="EN139" i="2"/>
  <c r="EH139" i="2"/>
  <c r="EG139" i="2"/>
  <c r="EF139" i="2"/>
  <c r="EE139" i="2"/>
  <c r="EP139" i="2" s="1"/>
  <c r="EC139" i="2"/>
  <c r="DW139" i="2"/>
  <c r="DV139" i="2"/>
  <c r="DU139" i="2"/>
  <c r="DT139" i="2"/>
  <c r="EQ139" i="2" s="1"/>
  <c r="DS139" i="2"/>
  <c r="DR139" i="2"/>
  <c r="DQ139" i="2"/>
  <c r="DP139" i="2"/>
  <c r="DO139" i="2"/>
  <c r="DN139" i="2"/>
  <c r="DM139" i="2"/>
  <c r="DL139" i="2"/>
  <c r="DK139" i="2"/>
  <c r="BZ139" i="2"/>
  <c r="CX139" i="2" s="1"/>
  <c r="BM139" i="2"/>
  <c r="BL139" i="2"/>
  <c r="CJ139" i="2" s="1"/>
  <c r="DH139" i="2" s="1"/>
  <c r="BK139" i="2"/>
  <c r="BJ139" i="2"/>
  <c r="BI139" i="2"/>
  <c r="BH139" i="2"/>
  <c r="BG139" i="2"/>
  <c r="BF139" i="2"/>
  <c r="BE139" i="2"/>
  <c r="BD139" i="2"/>
  <c r="BC139" i="2"/>
  <c r="CA139" i="2" s="1"/>
  <c r="CY139" i="2" s="1"/>
  <c r="BA139" i="2"/>
  <c r="AZ139" i="2"/>
  <c r="AY139" i="2"/>
  <c r="AX139" i="2"/>
  <c r="AW139" i="2"/>
  <c r="AV139" i="2"/>
  <c r="AU139" i="2"/>
  <c r="AT139" i="2"/>
  <c r="AS139" i="2"/>
  <c r="AR139" i="2"/>
  <c r="AQ139" i="2"/>
  <c r="AE139" i="2"/>
  <c r="AB139" i="2"/>
  <c r="AN139" i="2" s="1"/>
  <c r="V139" i="2"/>
  <c r="T139" i="2"/>
  <c r="AF139" i="2" s="1"/>
  <c r="S139" i="2"/>
  <c r="Q139" i="2"/>
  <c r="AC140" i="2" s="1"/>
  <c r="AO140" i="2" s="1"/>
  <c r="P139" i="2"/>
  <c r="O139" i="2"/>
  <c r="AA139" i="2" s="1"/>
  <c r="AM139" i="2" s="1"/>
  <c r="N139" i="2"/>
  <c r="M139" i="2"/>
  <c r="EB139" i="2" s="1"/>
  <c r="EM139" i="2" s="1"/>
  <c r="L139" i="2"/>
  <c r="K139" i="2"/>
  <c r="DZ139" i="2" s="1"/>
  <c r="EK139" i="2" s="1"/>
  <c r="J139" i="2"/>
  <c r="DY139" i="2" s="1"/>
  <c r="EJ139" i="2" s="1"/>
  <c r="I139" i="2"/>
  <c r="U139" i="2" s="1"/>
  <c r="EP138" i="2"/>
  <c r="EL138" i="2"/>
  <c r="EH138" i="2"/>
  <c r="EG138" i="2"/>
  <c r="EE138" i="2"/>
  <c r="DZ138" i="2"/>
  <c r="EK138" i="2" s="1"/>
  <c r="DW138" i="2"/>
  <c r="DV138" i="2"/>
  <c r="DU138" i="2"/>
  <c r="DT138" i="2"/>
  <c r="DS138" i="2"/>
  <c r="DR138" i="2"/>
  <c r="DQ138" i="2"/>
  <c r="DP138" i="2"/>
  <c r="DO138" i="2"/>
  <c r="DN138" i="2"/>
  <c r="DM138" i="2"/>
  <c r="DL138" i="2"/>
  <c r="DK138" i="2"/>
  <c r="DA138" i="2"/>
  <c r="CC138" i="2"/>
  <c r="BZ138" i="2"/>
  <c r="CX138" i="2" s="1"/>
  <c r="BM138" i="2"/>
  <c r="BL138" i="2"/>
  <c r="BK138" i="2"/>
  <c r="BJ138" i="2"/>
  <c r="BI138" i="2"/>
  <c r="BH138" i="2"/>
  <c r="BG138" i="2"/>
  <c r="BF138" i="2"/>
  <c r="BE138" i="2"/>
  <c r="BD138" i="2"/>
  <c r="BC138" i="2"/>
  <c r="CA138" i="2" s="1"/>
  <c r="CY138" i="2" s="1"/>
  <c r="BA138" i="2"/>
  <c r="AZ138" i="2"/>
  <c r="AY138" i="2"/>
  <c r="AX138" i="2"/>
  <c r="AW138" i="2"/>
  <c r="AV138" i="2"/>
  <c r="AU138" i="2"/>
  <c r="AT138" i="2"/>
  <c r="AS138" i="2"/>
  <c r="AR138" i="2"/>
  <c r="AQ138" i="2"/>
  <c r="AE138" i="2"/>
  <c r="X138" i="2"/>
  <c r="V138" i="2"/>
  <c r="AH138" i="2" s="1"/>
  <c r="T138" i="2"/>
  <c r="AF138" i="2" s="1"/>
  <c r="S138" i="2"/>
  <c r="Q138" i="2"/>
  <c r="AC138" i="2" s="1"/>
  <c r="AO138" i="2" s="1"/>
  <c r="P138" i="2"/>
  <c r="O138" i="2"/>
  <c r="ED138" i="2" s="1"/>
  <c r="EO138" i="2" s="1"/>
  <c r="N138" i="2"/>
  <c r="M138" i="2"/>
  <c r="EB138" i="2" s="1"/>
  <c r="EM138" i="2" s="1"/>
  <c r="L138" i="2"/>
  <c r="EA138" i="2" s="1"/>
  <c r="K138" i="2"/>
  <c r="W138" i="2" s="1"/>
  <c r="J138" i="2"/>
  <c r="DY138" i="2" s="1"/>
  <c r="EJ138" i="2" s="1"/>
  <c r="I138" i="2"/>
  <c r="U138" i="2" s="1"/>
  <c r="AG138" i="2" s="1"/>
  <c r="EN137" i="2"/>
  <c r="EJ137" i="2"/>
  <c r="EI137" i="2"/>
  <c r="EH137" i="2"/>
  <c r="EB137" i="2"/>
  <c r="EM137" i="2" s="1"/>
  <c r="DY137" i="2"/>
  <c r="DX137" i="2"/>
  <c r="DW137" i="2"/>
  <c r="DV137" i="2"/>
  <c r="EG137" i="2" s="1"/>
  <c r="DU137" i="2"/>
  <c r="DT137" i="2"/>
  <c r="DS137" i="2"/>
  <c r="DR137" i="2"/>
  <c r="DQ137" i="2"/>
  <c r="DP137" i="2"/>
  <c r="DO137" i="2"/>
  <c r="DN137" i="2"/>
  <c r="DM137" i="2"/>
  <c r="DL137" i="2"/>
  <c r="DK137" i="2"/>
  <c r="DC137" i="2"/>
  <c r="CX137" i="2"/>
  <c r="CE137" i="2"/>
  <c r="BZ137" i="2"/>
  <c r="BM137" i="2"/>
  <c r="BL137" i="2"/>
  <c r="BK137" i="2"/>
  <c r="BJ137" i="2"/>
  <c r="BI137" i="2"/>
  <c r="BH137" i="2"/>
  <c r="BG137" i="2"/>
  <c r="BF137" i="2"/>
  <c r="BE137" i="2"/>
  <c r="BD137" i="2"/>
  <c r="BC137" i="2"/>
  <c r="CA137" i="2" s="1"/>
  <c r="CY137" i="2" s="1"/>
  <c r="BA137" i="2"/>
  <c r="AZ137" i="2"/>
  <c r="AY137" i="2"/>
  <c r="AX137" i="2"/>
  <c r="AW137" i="2"/>
  <c r="AV137" i="2"/>
  <c r="AU137" i="2"/>
  <c r="AT137" i="2"/>
  <c r="AS137" i="2"/>
  <c r="AR137" i="2"/>
  <c r="AQ137" i="2"/>
  <c r="AE137" i="2"/>
  <c r="AC137" i="2"/>
  <c r="CK137" i="2" s="1"/>
  <c r="DI137" i="2" s="1"/>
  <c r="AA137" i="2"/>
  <c r="CI137" i="2" s="1"/>
  <c r="DG137" i="2" s="1"/>
  <c r="Z137" i="2"/>
  <c r="X137" i="2"/>
  <c r="AJ137" i="2" s="1"/>
  <c r="V137" i="2"/>
  <c r="AH137" i="2" s="1"/>
  <c r="T137" i="2"/>
  <c r="AF137" i="2" s="1"/>
  <c r="S137" i="2"/>
  <c r="Q137" i="2"/>
  <c r="EF137" i="2" s="1"/>
  <c r="EQ137" i="2" s="1"/>
  <c r="P137" i="2"/>
  <c r="O137" i="2"/>
  <c r="ED137" i="2" s="1"/>
  <c r="EO137" i="2" s="1"/>
  <c r="N137" i="2"/>
  <c r="EC137" i="2" s="1"/>
  <c r="M137" i="2"/>
  <c r="Y137" i="2" s="1"/>
  <c r="L137" i="2"/>
  <c r="EA137" i="2" s="1"/>
  <c r="EL137" i="2" s="1"/>
  <c r="K137" i="2"/>
  <c r="W137" i="2" s="1"/>
  <c r="AI137" i="2" s="1"/>
  <c r="J137" i="2"/>
  <c r="I137" i="2"/>
  <c r="U137" i="2" s="1"/>
  <c r="CC137" i="2" s="1"/>
  <c r="DA137" i="2" s="1"/>
  <c r="EP136" i="2"/>
  <c r="EL136" i="2"/>
  <c r="EH136" i="2"/>
  <c r="EA136" i="2"/>
  <c r="DZ136" i="2"/>
  <c r="EK136" i="2" s="1"/>
  <c r="DY136" i="2"/>
  <c r="EJ136" i="2" s="1"/>
  <c r="DW136" i="2"/>
  <c r="DV136" i="2"/>
  <c r="EG136" i="2" s="1"/>
  <c r="DU136" i="2"/>
  <c r="DT136" i="2"/>
  <c r="DS136" i="2"/>
  <c r="DR136" i="2"/>
  <c r="DQ136" i="2"/>
  <c r="DP136" i="2"/>
  <c r="DO136" i="2"/>
  <c r="DN136" i="2"/>
  <c r="DM136" i="2"/>
  <c r="DL136" i="2"/>
  <c r="DK136" i="2"/>
  <c r="CC136" i="2"/>
  <c r="DA136" i="2" s="1"/>
  <c r="BZ136" i="2"/>
  <c r="CX136" i="2" s="1"/>
  <c r="BM136" i="2"/>
  <c r="BL136" i="2"/>
  <c r="BK136" i="2"/>
  <c r="BJ136" i="2"/>
  <c r="BI136" i="2"/>
  <c r="BH136" i="2"/>
  <c r="BG136" i="2"/>
  <c r="BF136" i="2"/>
  <c r="BE136" i="2"/>
  <c r="BD136" i="2"/>
  <c r="CB136" i="2" s="1"/>
  <c r="CZ136" i="2" s="1"/>
  <c r="BC136" i="2"/>
  <c r="BA136" i="2"/>
  <c r="AZ136" i="2"/>
  <c r="AY136" i="2"/>
  <c r="AX136" i="2"/>
  <c r="AW136" i="2"/>
  <c r="AV136" i="2"/>
  <c r="AU136" i="2"/>
  <c r="AT136" i="2"/>
  <c r="AS136" i="2"/>
  <c r="AR136" i="2"/>
  <c r="AQ136" i="2"/>
  <c r="AF136" i="2"/>
  <c r="AC136" i="2"/>
  <c r="AB136" i="2"/>
  <c r="Z136" i="2"/>
  <c r="AL136" i="2" s="1"/>
  <c r="X136" i="2"/>
  <c r="AJ136" i="2" s="1"/>
  <c r="V136" i="2"/>
  <c r="AH136" i="2" s="1"/>
  <c r="T136" i="2"/>
  <c r="S136" i="2"/>
  <c r="Q136" i="2"/>
  <c r="EF136" i="2" s="1"/>
  <c r="EQ136" i="2" s="1"/>
  <c r="P136" i="2"/>
  <c r="EE136" i="2" s="1"/>
  <c r="O136" i="2"/>
  <c r="AA136" i="2" s="1"/>
  <c r="N136" i="2"/>
  <c r="EC136" i="2" s="1"/>
  <c r="EN136" i="2" s="1"/>
  <c r="M136" i="2"/>
  <c r="Y136" i="2" s="1"/>
  <c r="AK136" i="2" s="1"/>
  <c r="L136" i="2"/>
  <c r="K136" i="2"/>
  <c r="W136" i="2" s="1"/>
  <c r="J136" i="2"/>
  <c r="I136" i="2"/>
  <c r="U136" i="2" s="1"/>
  <c r="AG136" i="2" s="1"/>
  <c r="EJ135" i="2"/>
  <c r="EH135" i="2"/>
  <c r="EF135" i="2"/>
  <c r="EQ135" i="2" s="1"/>
  <c r="EC135" i="2"/>
  <c r="EB135" i="2"/>
  <c r="EM135" i="2" s="1"/>
  <c r="EA135" i="2"/>
  <c r="DY135" i="2"/>
  <c r="DX135" i="2"/>
  <c r="EI135" i="2" s="1"/>
  <c r="DW135" i="2"/>
  <c r="DV135" i="2"/>
  <c r="EG135" i="2" s="1"/>
  <c r="DU135" i="2"/>
  <c r="DT135" i="2"/>
  <c r="DS135" i="2"/>
  <c r="DR135" i="2"/>
  <c r="DQ135" i="2"/>
  <c r="DP135" i="2"/>
  <c r="DO135" i="2"/>
  <c r="DN135" i="2"/>
  <c r="DM135" i="2"/>
  <c r="DL135" i="2"/>
  <c r="DK135" i="2"/>
  <c r="DG135" i="2"/>
  <c r="CI135" i="2"/>
  <c r="BZ135" i="2"/>
  <c r="CX135" i="2" s="1"/>
  <c r="BM135" i="2"/>
  <c r="BL135" i="2"/>
  <c r="BK135" i="2"/>
  <c r="BJ135" i="2"/>
  <c r="BI135" i="2"/>
  <c r="BH135" i="2"/>
  <c r="BG135" i="2"/>
  <c r="CE135" i="2" s="1"/>
  <c r="DC135" i="2" s="1"/>
  <c r="BF135" i="2"/>
  <c r="BE135" i="2"/>
  <c r="BD135" i="2"/>
  <c r="BC135" i="2"/>
  <c r="BA135" i="2"/>
  <c r="AZ135" i="2"/>
  <c r="AY135" i="2"/>
  <c r="AX135" i="2"/>
  <c r="AW135" i="2"/>
  <c r="AV135" i="2"/>
  <c r="AU135" i="2"/>
  <c r="AT135" i="2"/>
  <c r="AS135" i="2"/>
  <c r="AR135" i="2"/>
  <c r="AQ135" i="2"/>
  <c r="AB135" i="2"/>
  <c r="AN135" i="2" s="1"/>
  <c r="Z135" i="2"/>
  <c r="AL135" i="2" s="1"/>
  <c r="X135" i="2"/>
  <c r="AJ135" i="2" s="1"/>
  <c r="T135" i="2"/>
  <c r="S135" i="2"/>
  <c r="Q135" i="2"/>
  <c r="AC135" i="2" s="1"/>
  <c r="P135" i="2"/>
  <c r="EE135" i="2" s="1"/>
  <c r="EP135" i="2" s="1"/>
  <c r="O135" i="2"/>
  <c r="AA135" i="2" s="1"/>
  <c r="AM135" i="2" s="1"/>
  <c r="N135" i="2"/>
  <c r="M135" i="2"/>
  <c r="Y135" i="2" s="1"/>
  <c r="L135" i="2"/>
  <c r="K135" i="2"/>
  <c r="W135" i="2" s="1"/>
  <c r="AI135" i="2" s="1"/>
  <c r="J135" i="2"/>
  <c r="I135" i="2"/>
  <c r="EP134" i="2"/>
  <c r="EO134" i="2"/>
  <c r="EL134" i="2"/>
  <c r="EH134" i="2"/>
  <c r="EE134" i="2"/>
  <c r="ED134" i="2"/>
  <c r="EC134" i="2"/>
  <c r="EN134" i="2" s="1"/>
  <c r="EB134" i="2"/>
  <c r="EA134" i="2"/>
  <c r="DZ134" i="2"/>
  <c r="EK134" i="2" s="1"/>
  <c r="DW134" i="2"/>
  <c r="DV134" i="2"/>
  <c r="EG134" i="2" s="1"/>
  <c r="DU134" i="2"/>
  <c r="DT134" i="2"/>
  <c r="DS134" i="2"/>
  <c r="DR134" i="2"/>
  <c r="DQ134" i="2"/>
  <c r="DP134" i="2"/>
  <c r="DO134" i="2"/>
  <c r="DN134" i="2"/>
  <c r="DM134" i="2"/>
  <c r="DL134" i="2"/>
  <c r="DK134" i="2"/>
  <c r="DF134" i="2"/>
  <c r="CH134" i="2"/>
  <c r="CG134" i="2"/>
  <c r="DE134" i="2" s="1"/>
  <c r="BZ134" i="2"/>
  <c r="CX134" i="2" s="1"/>
  <c r="BM134" i="2"/>
  <c r="BL134" i="2"/>
  <c r="BK134" i="2"/>
  <c r="BJ134" i="2"/>
  <c r="BI134" i="2"/>
  <c r="BH134" i="2"/>
  <c r="BG134" i="2"/>
  <c r="BF134" i="2"/>
  <c r="BE134" i="2"/>
  <c r="BD134" i="2"/>
  <c r="BC134" i="2"/>
  <c r="CA134" i="2" s="1"/>
  <c r="CY134" i="2" s="1"/>
  <c r="BA134" i="2"/>
  <c r="AZ134" i="2"/>
  <c r="AY134" i="2"/>
  <c r="AX134" i="2"/>
  <c r="AW134" i="2"/>
  <c r="AV134" i="2"/>
  <c r="AU134" i="2"/>
  <c r="AT134" i="2"/>
  <c r="AS134" i="2"/>
  <c r="AR134" i="2"/>
  <c r="AQ134" i="2"/>
  <c r="AH134" i="2"/>
  <c r="AE134" i="2"/>
  <c r="AB134" i="2"/>
  <c r="AN134" i="2" s="1"/>
  <c r="Z134" i="2"/>
  <c r="AL134" i="2" s="1"/>
  <c r="V134" i="2"/>
  <c r="CD134" i="2" s="1"/>
  <c r="DB134" i="2" s="1"/>
  <c r="T134" i="2"/>
  <c r="S134" i="2"/>
  <c r="Q134" i="2"/>
  <c r="AC134" i="2" s="1"/>
  <c r="P134" i="2"/>
  <c r="O134" i="2"/>
  <c r="N134" i="2"/>
  <c r="M134" i="2"/>
  <c r="Y134" i="2" s="1"/>
  <c r="AK134" i="2" s="1"/>
  <c r="L134" i="2"/>
  <c r="K134" i="2"/>
  <c r="J134" i="2"/>
  <c r="I134" i="2"/>
  <c r="U135" i="2" s="1"/>
  <c r="EN133" i="2"/>
  <c r="EJ133" i="2"/>
  <c r="EH133" i="2"/>
  <c r="EG133" i="2"/>
  <c r="EF133" i="2"/>
  <c r="EQ133" i="2" s="1"/>
  <c r="EE133" i="2"/>
  <c r="EC133" i="2"/>
  <c r="EB133" i="2"/>
  <c r="EM133" i="2" s="1"/>
  <c r="DX133" i="2"/>
  <c r="DW133" i="2"/>
  <c r="DV133" i="2"/>
  <c r="DU133" i="2"/>
  <c r="DT133" i="2"/>
  <c r="DS133" i="2"/>
  <c r="EP133" i="2" s="1"/>
  <c r="DR133" i="2"/>
  <c r="DQ133" i="2"/>
  <c r="DP133" i="2"/>
  <c r="DO133" i="2"/>
  <c r="DN133" i="2"/>
  <c r="DM133" i="2"/>
  <c r="DL133" i="2"/>
  <c r="DK133" i="2"/>
  <c r="CY133" i="2"/>
  <c r="BZ133" i="2"/>
  <c r="CX133" i="2" s="1"/>
  <c r="BM133" i="2"/>
  <c r="BL133" i="2"/>
  <c r="BK133" i="2"/>
  <c r="BJ133" i="2"/>
  <c r="BI133" i="2"/>
  <c r="BH133" i="2"/>
  <c r="BG133" i="2"/>
  <c r="BF133" i="2"/>
  <c r="BE133" i="2"/>
  <c r="BD133" i="2"/>
  <c r="BC133" i="2"/>
  <c r="CA133" i="2" s="1"/>
  <c r="BA133" i="2"/>
  <c r="AZ133" i="2"/>
  <c r="AY133" i="2"/>
  <c r="AX133" i="2"/>
  <c r="AW133" i="2"/>
  <c r="AV133" i="2"/>
  <c r="AU133" i="2"/>
  <c r="AT133" i="2"/>
  <c r="AS133" i="2"/>
  <c r="AR133" i="2"/>
  <c r="AQ133" i="2"/>
  <c r="AG133" i="2"/>
  <c r="AE133" i="2"/>
  <c r="AB133" i="2"/>
  <c r="AN133" i="2" s="1"/>
  <c r="V133" i="2"/>
  <c r="T133" i="2"/>
  <c r="S133" i="2"/>
  <c r="Q133" i="2"/>
  <c r="P133" i="2"/>
  <c r="O133" i="2"/>
  <c r="N133" i="2"/>
  <c r="M133" i="2"/>
  <c r="L133" i="2"/>
  <c r="K133" i="2"/>
  <c r="DZ133" i="2" s="1"/>
  <c r="EK133" i="2" s="1"/>
  <c r="J133" i="2"/>
  <c r="DY133" i="2" s="1"/>
  <c r="I133" i="2"/>
  <c r="U133" i="2" s="1"/>
  <c r="CC133" i="2" s="1"/>
  <c r="DA133" i="2" s="1"/>
  <c r="EP132" i="2"/>
  <c r="EG132" i="2"/>
  <c r="EE132" i="2"/>
  <c r="ED132" i="2"/>
  <c r="EO132" i="2" s="1"/>
  <c r="DW132" i="2"/>
  <c r="EH132" i="2" s="1"/>
  <c r="DV132" i="2"/>
  <c r="DU132" i="2"/>
  <c r="DT132" i="2"/>
  <c r="DS132" i="2"/>
  <c r="DR132" i="2"/>
  <c r="DQ132" i="2"/>
  <c r="DP132" i="2"/>
  <c r="DO132" i="2"/>
  <c r="DN132" i="2"/>
  <c r="DM132" i="2"/>
  <c r="DL132" i="2"/>
  <c r="DK132" i="2"/>
  <c r="CX132" i="2"/>
  <c r="CK132" i="2"/>
  <c r="DI132" i="2" s="1"/>
  <c r="BZ132" i="2"/>
  <c r="BM132" i="2"/>
  <c r="BL132" i="2"/>
  <c r="BK132" i="2"/>
  <c r="BJ132" i="2"/>
  <c r="BI132" i="2"/>
  <c r="BH132" i="2"/>
  <c r="BG132" i="2"/>
  <c r="BF132" i="2"/>
  <c r="BE132" i="2"/>
  <c r="BD132" i="2"/>
  <c r="BC132" i="2"/>
  <c r="CA132" i="2" s="1"/>
  <c r="CY132" i="2" s="1"/>
  <c r="BA132" i="2"/>
  <c r="AZ132" i="2"/>
  <c r="AY132" i="2"/>
  <c r="AX132" i="2"/>
  <c r="AW132" i="2"/>
  <c r="AV132" i="2"/>
  <c r="AU132" i="2"/>
  <c r="AT132" i="2"/>
  <c r="AS132" i="2"/>
  <c r="AR132" i="2"/>
  <c r="AQ132" i="2"/>
  <c r="AE132" i="2"/>
  <c r="Z132" i="2"/>
  <c r="CH132" i="2" s="1"/>
  <c r="DF132" i="2" s="1"/>
  <c r="V132" i="2"/>
  <c r="T132" i="2"/>
  <c r="S132" i="2"/>
  <c r="Q132" i="2"/>
  <c r="AC132" i="2" s="1"/>
  <c r="AO132" i="2" s="1"/>
  <c r="P132" i="2"/>
  <c r="O132" i="2"/>
  <c r="N132" i="2"/>
  <c r="M132" i="2"/>
  <c r="Y132" i="2" s="1"/>
  <c r="L132" i="2"/>
  <c r="K132" i="2"/>
  <c r="J132" i="2"/>
  <c r="DY132" i="2" s="1"/>
  <c r="EJ132" i="2" s="1"/>
  <c r="I132" i="2"/>
  <c r="EN131" i="2"/>
  <c r="EH131" i="2"/>
  <c r="EF131" i="2"/>
  <c r="EQ131" i="2" s="1"/>
  <c r="EB131" i="2"/>
  <c r="EM131" i="2" s="1"/>
  <c r="DY131" i="2"/>
  <c r="EJ131" i="2" s="1"/>
  <c r="DX131" i="2"/>
  <c r="DW131" i="2"/>
  <c r="DV131" i="2"/>
  <c r="EG131" i="2" s="1"/>
  <c r="DU131" i="2"/>
  <c r="DT131" i="2"/>
  <c r="DS131" i="2"/>
  <c r="DR131" i="2"/>
  <c r="DQ131" i="2"/>
  <c r="DP131" i="2"/>
  <c r="DO131" i="2"/>
  <c r="DN131" i="2"/>
  <c r="DM131" i="2"/>
  <c r="DL131" i="2"/>
  <c r="DK131" i="2"/>
  <c r="CK131" i="2"/>
  <c r="DI131" i="2" s="1"/>
  <c r="CG131" i="2"/>
  <c r="DE131" i="2" s="1"/>
  <c r="BZ131" i="2"/>
  <c r="CX131" i="2" s="1"/>
  <c r="BM131" i="2"/>
  <c r="BL131" i="2"/>
  <c r="BK131" i="2"/>
  <c r="BJ131" i="2"/>
  <c r="BI131" i="2"/>
  <c r="BH131" i="2"/>
  <c r="BG131" i="2"/>
  <c r="BF131" i="2"/>
  <c r="BE131" i="2"/>
  <c r="BD131" i="2"/>
  <c r="BC131" i="2"/>
  <c r="CA131" i="2" s="1"/>
  <c r="CY131" i="2" s="1"/>
  <c r="BA131" i="2"/>
  <c r="AZ131" i="2"/>
  <c r="AY131" i="2"/>
  <c r="AX131" i="2"/>
  <c r="AW131" i="2"/>
  <c r="AV131" i="2"/>
  <c r="AU131" i="2"/>
  <c r="AT131" i="2"/>
  <c r="AS131" i="2"/>
  <c r="AR131" i="2"/>
  <c r="AQ131" i="2"/>
  <c r="AK131" i="2"/>
  <c r="AE131" i="2"/>
  <c r="AC131" i="2"/>
  <c r="AO131" i="2" s="1"/>
  <c r="AB131" i="2"/>
  <c r="AA131" i="2"/>
  <c r="AM131" i="2" s="1"/>
  <c r="Z131" i="2"/>
  <c r="X131" i="2"/>
  <c r="V131" i="2"/>
  <c r="T131" i="2"/>
  <c r="AF131" i="2" s="1"/>
  <c r="S131" i="2"/>
  <c r="Q131" i="2"/>
  <c r="P131" i="2"/>
  <c r="O131" i="2"/>
  <c r="AA132" i="2" s="1"/>
  <c r="N131" i="2"/>
  <c r="EC131" i="2" s="1"/>
  <c r="M131" i="2"/>
  <c r="Y131" i="2" s="1"/>
  <c r="L131" i="2"/>
  <c r="EA131" i="2" s="1"/>
  <c r="EL131" i="2" s="1"/>
  <c r="K131" i="2"/>
  <c r="J131" i="2"/>
  <c r="I131" i="2"/>
  <c r="EN130" i="2"/>
  <c r="EL130" i="2"/>
  <c r="EJ130" i="2"/>
  <c r="EH130" i="2"/>
  <c r="EF130" i="2"/>
  <c r="EQ130" i="2" s="1"/>
  <c r="EB130" i="2"/>
  <c r="EM130" i="2" s="1"/>
  <c r="EA130" i="2"/>
  <c r="DY130" i="2"/>
  <c r="DW130" i="2"/>
  <c r="DV130" i="2"/>
  <c r="EG130" i="2" s="1"/>
  <c r="DU130" i="2"/>
  <c r="DT130" i="2"/>
  <c r="DS130" i="2"/>
  <c r="DR130" i="2"/>
  <c r="DQ130" i="2"/>
  <c r="DP130" i="2"/>
  <c r="DO130" i="2"/>
  <c r="DN130" i="2"/>
  <c r="DM130" i="2"/>
  <c r="DL130" i="2"/>
  <c r="DK130" i="2"/>
  <c r="BZ130" i="2"/>
  <c r="CX130" i="2" s="1"/>
  <c r="BM130" i="2"/>
  <c r="BL130" i="2"/>
  <c r="BK130" i="2"/>
  <c r="BJ130" i="2"/>
  <c r="BI130" i="2"/>
  <c r="BH130" i="2"/>
  <c r="BG130" i="2"/>
  <c r="BF130" i="2"/>
  <c r="BE130" i="2"/>
  <c r="BD130" i="2"/>
  <c r="CB130" i="2" s="1"/>
  <c r="CZ130" i="2" s="1"/>
  <c r="BC130" i="2"/>
  <c r="BA130" i="2"/>
  <c r="AZ130" i="2"/>
  <c r="AY130" i="2"/>
  <c r="AX130" i="2"/>
  <c r="AW130" i="2"/>
  <c r="AV130" i="2"/>
  <c r="AU130" i="2"/>
  <c r="AT130" i="2"/>
  <c r="AS130" i="2"/>
  <c r="AR130" i="2"/>
  <c r="AQ130" i="2"/>
  <c r="AK130" i="2"/>
  <c r="Z130" i="2"/>
  <c r="X130" i="2"/>
  <c r="V130" i="2"/>
  <c r="AH130" i="2" s="1"/>
  <c r="T130" i="2"/>
  <c r="AF130" i="2" s="1"/>
  <c r="S130" i="2"/>
  <c r="Q130" i="2"/>
  <c r="P130" i="2"/>
  <c r="O130" i="2"/>
  <c r="AA130" i="2" s="1"/>
  <c r="AM130" i="2" s="1"/>
  <c r="N130" i="2"/>
  <c r="EC130" i="2" s="1"/>
  <c r="M130" i="2"/>
  <c r="Y130" i="2" s="1"/>
  <c r="CG130" i="2" s="1"/>
  <c r="DE130" i="2" s="1"/>
  <c r="L130" i="2"/>
  <c r="K130" i="2"/>
  <c r="J130" i="2"/>
  <c r="I130" i="2"/>
  <c r="EL129" i="2"/>
  <c r="EJ129" i="2"/>
  <c r="EH129" i="2"/>
  <c r="ED129" i="2"/>
  <c r="EO129" i="2" s="1"/>
  <c r="EB129" i="2"/>
  <c r="EM129" i="2" s="1"/>
  <c r="EA129" i="2"/>
  <c r="DZ129" i="2"/>
  <c r="DY129" i="2"/>
  <c r="DW129" i="2"/>
  <c r="DV129" i="2"/>
  <c r="EG129" i="2" s="1"/>
  <c r="DU129" i="2"/>
  <c r="DT129" i="2"/>
  <c r="DS129" i="2"/>
  <c r="DR129" i="2"/>
  <c r="DQ129" i="2"/>
  <c r="DP129" i="2"/>
  <c r="DO129" i="2"/>
  <c r="DN129" i="2"/>
  <c r="DM129" i="2"/>
  <c r="DL129" i="2"/>
  <c r="DK129" i="2"/>
  <c r="CI129" i="2"/>
  <c r="DG129" i="2" s="1"/>
  <c r="CF129" i="2"/>
  <c r="DD129" i="2" s="1"/>
  <c r="BZ129" i="2"/>
  <c r="CX129" i="2" s="1"/>
  <c r="BM129" i="2"/>
  <c r="BL129" i="2"/>
  <c r="BK129" i="2"/>
  <c r="BJ129" i="2"/>
  <c r="BI129" i="2"/>
  <c r="CG129" i="2" s="1"/>
  <c r="DE129" i="2" s="1"/>
  <c r="BH129" i="2"/>
  <c r="BG129" i="2"/>
  <c r="BF129" i="2"/>
  <c r="BE129" i="2"/>
  <c r="BD129" i="2"/>
  <c r="BC129" i="2"/>
  <c r="BA129" i="2"/>
  <c r="AZ129" i="2"/>
  <c r="AY129" i="2"/>
  <c r="AX129" i="2"/>
  <c r="AW129" i="2"/>
  <c r="AV129" i="2"/>
  <c r="AU129" i="2"/>
  <c r="AT129" i="2"/>
  <c r="AS129" i="2"/>
  <c r="AR129" i="2"/>
  <c r="AQ129" i="2"/>
  <c r="AM129" i="2"/>
  <c r="AC129" i="2"/>
  <c r="AO129" i="2" s="1"/>
  <c r="X129" i="2"/>
  <c r="AJ129" i="2" s="1"/>
  <c r="T129" i="2"/>
  <c r="S129" i="2"/>
  <c r="AE129" i="2" s="1"/>
  <c r="Q129" i="2"/>
  <c r="EF129" i="2" s="1"/>
  <c r="EQ129" i="2" s="1"/>
  <c r="P129" i="2"/>
  <c r="O129" i="2"/>
  <c r="AA129" i="2" s="1"/>
  <c r="N129" i="2"/>
  <c r="EC129" i="2" s="1"/>
  <c r="EN129" i="2" s="1"/>
  <c r="M129" i="2"/>
  <c r="Y129" i="2" s="1"/>
  <c r="AK129" i="2" s="1"/>
  <c r="L129" i="2"/>
  <c r="K129" i="2"/>
  <c r="W129" i="2" s="1"/>
  <c r="CE129" i="2" s="1"/>
  <c r="DC129" i="2" s="1"/>
  <c r="J129" i="2"/>
  <c r="I129" i="2"/>
  <c r="U129" i="2" s="1"/>
  <c r="CC129" i="2" s="1"/>
  <c r="DA129" i="2" s="1"/>
  <c r="EN128" i="2"/>
  <c r="EH128" i="2"/>
  <c r="EF128" i="2"/>
  <c r="EC128" i="2"/>
  <c r="EB128" i="2"/>
  <c r="EM128" i="2" s="1"/>
  <c r="EA128" i="2"/>
  <c r="DZ128" i="2"/>
  <c r="EK128" i="2" s="1"/>
  <c r="DW128" i="2"/>
  <c r="DV128" i="2"/>
  <c r="EG128" i="2" s="1"/>
  <c r="DU128" i="2"/>
  <c r="DT128" i="2"/>
  <c r="DS128" i="2"/>
  <c r="DR128" i="2"/>
  <c r="DQ128" i="2"/>
  <c r="DP128" i="2"/>
  <c r="DO128" i="2"/>
  <c r="DN128" i="2"/>
  <c r="DM128" i="2"/>
  <c r="DL128" i="2"/>
  <c r="DK128" i="2"/>
  <c r="BZ128" i="2"/>
  <c r="CX128" i="2" s="1"/>
  <c r="BM128" i="2"/>
  <c r="BL128" i="2"/>
  <c r="BK128" i="2"/>
  <c r="BJ128" i="2"/>
  <c r="BI128" i="2"/>
  <c r="BH128" i="2"/>
  <c r="BG128" i="2"/>
  <c r="BF128" i="2"/>
  <c r="BE128" i="2"/>
  <c r="BD128" i="2"/>
  <c r="BC128" i="2"/>
  <c r="CA128" i="2" s="1"/>
  <c r="CY128" i="2" s="1"/>
  <c r="BA128" i="2"/>
  <c r="AZ128" i="2"/>
  <c r="AY128" i="2"/>
  <c r="AX128" i="2"/>
  <c r="AW128" i="2"/>
  <c r="AV128" i="2"/>
  <c r="AU128" i="2"/>
  <c r="AT128" i="2"/>
  <c r="AS128" i="2"/>
  <c r="AR128" i="2"/>
  <c r="AQ128" i="2"/>
  <c r="AK128" i="2"/>
  <c r="AE128" i="2"/>
  <c r="Z128" i="2"/>
  <c r="W128" i="2"/>
  <c r="CE128" i="2" s="1"/>
  <c r="DC128" i="2" s="1"/>
  <c r="T128" i="2"/>
  <c r="AF128" i="2" s="1"/>
  <c r="S128" i="2"/>
  <c r="Q128" i="2"/>
  <c r="P128" i="2"/>
  <c r="O128" i="2"/>
  <c r="ED128" i="2" s="1"/>
  <c r="EO128" i="2" s="1"/>
  <c r="N128" i="2"/>
  <c r="M128" i="2"/>
  <c r="Y128" i="2" s="1"/>
  <c r="CG128" i="2" s="1"/>
  <c r="DE128" i="2" s="1"/>
  <c r="L128" i="2"/>
  <c r="K128" i="2"/>
  <c r="J128" i="2"/>
  <c r="V128" i="2" s="1"/>
  <c r="I128" i="2"/>
  <c r="EM127" i="2"/>
  <c r="EJ127" i="2"/>
  <c r="EH127" i="2"/>
  <c r="EE127" i="2"/>
  <c r="EP127" i="2" s="1"/>
  <c r="ED127" i="2"/>
  <c r="EO127" i="2" s="1"/>
  <c r="EC127" i="2"/>
  <c r="EB127" i="2"/>
  <c r="DW127" i="2"/>
  <c r="DV127" i="2"/>
  <c r="EG127" i="2" s="1"/>
  <c r="DU127" i="2"/>
  <c r="DT127" i="2"/>
  <c r="DS127" i="2"/>
  <c r="DR127" i="2"/>
  <c r="DQ127" i="2"/>
  <c r="DP127" i="2"/>
  <c r="DO127" i="2"/>
  <c r="DN127" i="2"/>
  <c r="DM127" i="2"/>
  <c r="DL127" i="2"/>
  <c r="DK127" i="2"/>
  <c r="CJ127" i="2"/>
  <c r="DH127" i="2" s="1"/>
  <c r="CD127" i="2"/>
  <c r="DB127" i="2" s="1"/>
  <c r="BZ127" i="2"/>
  <c r="CX127" i="2" s="1"/>
  <c r="BM127" i="2"/>
  <c r="BL127" i="2"/>
  <c r="BK127" i="2"/>
  <c r="BJ127" i="2"/>
  <c r="BI127" i="2"/>
  <c r="BH127" i="2"/>
  <c r="BG127" i="2"/>
  <c r="BF127" i="2"/>
  <c r="BE127" i="2"/>
  <c r="BD127" i="2"/>
  <c r="BC127" i="2"/>
  <c r="CA127" i="2" s="1"/>
  <c r="CY127" i="2" s="1"/>
  <c r="BA127" i="2"/>
  <c r="AZ127" i="2"/>
  <c r="AY127" i="2"/>
  <c r="AX127" i="2"/>
  <c r="AW127" i="2"/>
  <c r="AV127" i="2"/>
  <c r="AU127" i="2"/>
  <c r="AT127" i="2"/>
  <c r="AS127" i="2"/>
  <c r="AR127" i="2"/>
  <c r="AQ127" i="2"/>
  <c r="AK127" i="2"/>
  <c r="AE127" i="2"/>
  <c r="AB127" i="2"/>
  <c r="AN127" i="2" s="1"/>
  <c r="V127" i="2"/>
  <c r="AH127" i="2" s="1"/>
  <c r="T127" i="2"/>
  <c r="CB127" i="2" s="1"/>
  <c r="CZ127" i="2" s="1"/>
  <c r="S127" i="2"/>
  <c r="Q127" i="2"/>
  <c r="P127" i="2"/>
  <c r="O127" i="2"/>
  <c r="AA127" i="2" s="1"/>
  <c r="AM127" i="2" s="1"/>
  <c r="N127" i="2"/>
  <c r="M127" i="2"/>
  <c r="L127" i="2"/>
  <c r="X128" i="2" s="1"/>
  <c r="K127" i="2"/>
  <c r="DZ127" i="2" s="1"/>
  <c r="EK127" i="2" s="1"/>
  <c r="J127" i="2"/>
  <c r="DY127" i="2" s="1"/>
  <c r="I127" i="2"/>
  <c r="DX127" i="2" s="1"/>
  <c r="EI127" i="2" s="1"/>
  <c r="EQ126" i="2"/>
  <c r="EP126" i="2"/>
  <c r="EL126" i="2"/>
  <c r="EJ126" i="2"/>
  <c r="EG126" i="2"/>
  <c r="EF126" i="2"/>
  <c r="EE126" i="2"/>
  <c r="ED126" i="2"/>
  <c r="EO126" i="2" s="1"/>
  <c r="EC126" i="2"/>
  <c r="EN126" i="2" s="1"/>
  <c r="EB126" i="2"/>
  <c r="EM126" i="2" s="1"/>
  <c r="DW126" i="2"/>
  <c r="DV126" i="2"/>
  <c r="DU126" i="2"/>
  <c r="DT126" i="2"/>
  <c r="DS126" i="2"/>
  <c r="DR126" i="2"/>
  <c r="DQ126" i="2"/>
  <c r="DP126" i="2"/>
  <c r="DO126" i="2"/>
  <c r="DN126" i="2"/>
  <c r="DM126" i="2"/>
  <c r="DL126" i="2"/>
  <c r="DK126" i="2"/>
  <c r="DF126" i="2"/>
  <c r="CH126" i="2"/>
  <c r="BZ126" i="2"/>
  <c r="CX126" i="2" s="1"/>
  <c r="BM126" i="2"/>
  <c r="BL126" i="2"/>
  <c r="BK126" i="2"/>
  <c r="BJ126" i="2"/>
  <c r="BI126" i="2"/>
  <c r="BH126" i="2"/>
  <c r="BG126" i="2"/>
  <c r="BF126" i="2"/>
  <c r="BE126" i="2"/>
  <c r="BD126" i="2"/>
  <c r="BC126" i="2"/>
  <c r="CA126" i="2" s="1"/>
  <c r="CY126" i="2" s="1"/>
  <c r="BA126" i="2"/>
  <c r="AZ126" i="2"/>
  <c r="AY126" i="2"/>
  <c r="AX126" i="2"/>
  <c r="AW126" i="2"/>
  <c r="AV126" i="2"/>
  <c r="AU126" i="2"/>
  <c r="AT126" i="2"/>
  <c r="AS126" i="2"/>
  <c r="AR126" i="2"/>
  <c r="AQ126" i="2"/>
  <c r="AE126" i="2"/>
  <c r="Z126" i="2"/>
  <c r="AL126" i="2" s="1"/>
  <c r="X126" i="2"/>
  <c r="AJ126" i="2" s="1"/>
  <c r="U126" i="2"/>
  <c r="T126" i="2"/>
  <c r="S126" i="2"/>
  <c r="Q126" i="2"/>
  <c r="P126" i="2"/>
  <c r="O126" i="2"/>
  <c r="N126" i="2"/>
  <c r="Z127" i="2" s="1"/>
  <c r="M126" i="2"/>
  <c r="Y127" i="2" s="1"/>
  <c r="CG127" i="2" s="1"/>
  <c r="DE127" i="2" s="1"/>
  <c r="L126" i="2"/>
  <c r="EA126" i="2" s="1"/>
  <c r="K126" i="2"/>
  <c r="J126" i="2"/>
  <c r="DY126" i="2" s="1"/>
  <c r="I126" i="2"/>
  <c r="DX126" i="2" s="1"/>
  <c r="EI126" i="2" s="1"/>
  <c r="EN125" i="2"/>
  <c r="EG125" i="2"/>
  <c r="EF125" i="2"/>
  <c r="EB125" i="2"/>
  <c r="DY125" i="2"/>
  <c r="EJ125" i="2" s="1"/>
  <c r="DW125" i="2"/>
  <c r="EH125" i="2" s="1"/>
  <c r="DV125" i="2"/>
  <c r="DU125" i="2"/>
  <c r="DT125" i="2"/>
  <c r="EQ125" i="2" s="1"/>
  <c r="DS125" i="2"/>
  <c r="DR125" i="2"/>
  <c r="DQ125" i="2"/>
  <c r="DP125" i="2"/>
  <c r="DO125" i="2"/>
  <c r="DN125" i="2"/>
  <c r="DM125" i="2"/>
  <c r="DL125" i="2"/>
  <c r="DK125" i="2"/>
  <c r="DG125" i="2"/>
  <c r="BZ125" i="2"/>
  <c r="CX125" i="2" s="1"/>
  <c r="BM125" i="2"/>
  <c r="BL125" i="2"/>
  <c r="BK125" i="2"/>
  <c r="BJ125" i="2"/>
  <c r="BI125" i="2"/>
  <c r="BH125" i="2"/>
  <c r="BG125" i="2"/>
  <c r="BF125" i="2"/>
  <c r="BE125" i="2"/>
  <c r="BD125" i="2"/>
  <c r="BC125" i="2"/>
  <c r="CA125" i="2" s="1"/>
  <c r="CY125" i="2" s="1"/>
  <c r="BA125" i="2"/>
  <c r="AZ125" i="2"/>
  <c r="AY125" i="2"/>
  <c r="AX125" i="2"/>
  <c r="AW125" i="2"/>
  <c r="AV125" i="2"/>
  <c r="AU125" i="2"/>
  <c r="AT125" i="2"/>
  <c r="AS125" i="2"/>
  <c r="AR125" i="2"/>
  <c r="AQ125" i="2"/>
  <c r="AE125" i="2"/>
  <c r="Y125" i="2"/>
  <c r="AK125" i="2" s="1"/>
  <c r="W125" i="2"/>
  <c r="AI125" i="2" s="1"/>
  <c r="T125" i="2"/>
  <c r="S125" i="2"/>
  <c r="Q125" i="2"/>
  <c r="P125" i="2"/>
  <c r="O125" i="2"/>
  <c r="AA125" i="2" s="1"/>
  <c r="CI125" i="2" s="1"/>
  <c r="N125" i="2"/>
  <c r="EC125" i="2" s="1"/>
  <c r="M125" i="2"/>
  <c r="L125" i="2"/>
  <c r="EA125" i="2" s="1"/>
  <c r="EL125" i="2" s="1"/>
  <c r="K125" i="2"/>
  <c r="DZ125" i="2" s="1"/>
  <c r="EK125" i="2" s="1"/>
  <c r="J125" i="2"/>
  <c r="V125" i="2" s="1"/>
  <c r="I125" i="2"/>
  <c r="EJ124" i="2"/>
  <c r="EG124" i="2"/>
  <c r="ED124" i="2"/>
  <c r="EB124" i="2"/>
  <c r="DY124" i="2"/>
  <c r="DW124" i="2"/>
  <c r="DV124" i="2"/>
  <c r="DU124" i="2"/>
  <c r="DT124" i="2"/>
  <c r="DS124" i="2"/>
  <c r="DR124" i="2"/>
  <c r="DQ124" i="2"/>
  <c r="DP124" i="2"/>
  <c r="DO124" i="2"/>
  <c r="DN124" i="2"/>
  <c r="DM124" i="2"/>
  <c r="DL124" i="2"/>
  <c r="DK124" i="2"/>
  <c r="DC124" i="2"/>
  <c r="CX124" i="2"/>
  <c r="BZ124" i="2"/>
  <c r="BM124" i="2"/>
  <c r="BL124" i="2"/>
  <c r="BK124" i="2"/>
  <c r="BJ124" i="2"/>
  <c r="BI124" i="2"/>
  <c r="CG124" i="2" s="1"/>
  <c r="DE124" i="2" s="1"/>
  <c r="BH124" i="2"/>
  <c r="BG124" i="2"/>
  <c r="BF124" i="2"/>
  <c r="CD124" i="2" s="1"/>
  <c r="DB124" i="2" s="1"/>
  <c r="BE124" i="2"/>
  <c r="BD124" i="2"/>
  <c r="CB124" i="2" s="1"/>
  <c r="CZ124" i="2" s="1"/>
  <c r="BC124" i="2"/>
  <c r="BA124" i="2"/>
  <c r="AZ124" i="2"/>
  <c r="AY124" i="2"/>
  <c r="AX124" i="2"/>
  <c r="AW124" i="2"/>
  <c r="AV124" i="2"/>
  <c r="AU124" i="2"/>
  <c r="AT124" i="2"/>
  <c r="AS124" i="2"/>
  <c r="AR124" i="2"/>
  <c r="AQ124" i="2"/>
  <c r="AF124" i="2"/>
  <c r="V124" i="2"/>
  <c r="AH124" i="2" s="1"/>
  <c r="T124" i="2"/>
  <c r="S124" i="2"/>
  <c r="AE124" i="2" s="1"/>
  <c r="Q124" i="2"/>
  <c r="AC124" i="2" s="1"/>
  <c r="P124" i="2"/>
  <c r="EE124" i="2" s="1"/>
  <c r="EP124" i="2" s="1"/>
  <c r="O124" i="2"/>
  <c r="N124" i="2"/>
  <c r="EC124" i="2" s="1"/>
  <c r="EN124" i="2" s="1"/>
  <c r="M124" i="2"/>
  <c r="Y124" i="2" s="1"/>
  <c r="AK124" i="2" s="1"/>
  <c r="L124" i="2"/>
  <c r="EA124" i="2" s="1"/>
  <c r="EL124" i="2" s="1"/>
  <c r="K124" i="2"/>
  <c r="W124" i="2" s="1"/>
  <c r="CE124" i="2" s="1"/>
  <c r="J124" i="2"/>
  <c r="I124" i="2"/>
  <c r="EM123" i="2"/>
  <c r="EL123" i="2"/>
  <c r="EJ123" i="2"/>
  <c r="EH123" i="2"/>
  <c r="EF123" i="2"/>
  <c r="EQ123" i="2" s="1"/>
  <c r="EB123" i="2"/>
  <c r="EA123" i="2"/>
  <c r="DZ123" i="2"/>
  <c r="DY123" i="2"/>
  <c r="DW123" i="2"/>
  <c r="DV123" i="2"/>
  <c r="EG123" i="2" s="1"/>
  <c r="DU123" i="2"/>
  <c r="DT123" i="2"/>
  <c r="DS123" i="2"/>
  <c r="DR123" i="2"/>
  <c r="DQ123" i="2"/>
  <c r="DP123" i="2"/>
  <c r="DO123" i="2"/>
  <c r="DN123" i="2"/>
  <c r="DM123" i="2"/>
  <c r="DL123" i="2"/>
  <c r="DK123" i="2"/>
  <c r="CX123" i="2"/>
  <c r="BZ123" i="2"/>
  <c r="BM123" i="2"/>
  <c r="BL123" i="2"/>
  <c r="BK123" i="2"/>
  <c r="BJ123" i="2"/>
  <c r="BI123" i="2"/>
  <c r="BH123" i="2"/>
  <c r="BG123" i="2"/>
  <c r="BF123" i="2"/>
  <c r="BE123" i="2"/>
  <c r="BD123" i="2"/>
  <c r="CB123" i="2" s="1"/>
  <c r="CZ123" i="2" s="1"/>
  <c r="BC123" i="2"/>
  <c r="CA123" i="2" s="1"/>
  <c r="CY123" i="2" s="1"/>
  <c r="BA123" i="2"/>
  <c r="AZ123" i="2"/>
  <c r="AY123" i="2"/>
  <c r="AX123" i="2"/>
  <c r="AW123" i="2"/>
  <c r="AV123" i="2"/>
  <c r="AU123" i="2"/>
  <c r="AT123" i="2"/>
  <c r="AS123" i="2"/>
  <c r="AR123" i="2"/>
  <c r="AQ123" i="2"/>
  <c r="AM123" i="2"/>
  <c r="AG123" i="2"/>
  <c r="AF123" i="2"/>
  <c r="AE123" i="2"/>
  <c r="AA123" i="2"/>
  <c r="T123" i="2"/>
  <c r="S123" i="2"/>
  <c r="Q123" i="2"/>
  <c r="P123" i="2"/>
  <c r="O123" i="2"/>
  <c r="ED123" i="2" s="1"/>
  <c r="EO123" i="2" s="1"/>
  <c r="N123" i="2"/>
  <c r="M123" i="2"/>
  <c r="L123" i="2"/>
  <c r="K123" i="2"/>
  <c r="J123" i="2"/>
  <c r="I123" i="2"/>
  <c r="U123" i="2" s="1"/>
  <c r="CC123" i="2" s="1"/>
  <c r="DA123" i="2" s="1"/>
  <c r="EL122" i="2"/>
  <c r="ED122" i="2"/>
  <c r="EB122" i="2"/>
  <c r="EA122" i="2"/>
  <c r="DW122" i="2"/>
  <c r="DV122" i="2"/>
  <c r="EG122" i="2" s="1"/>
  <c r="DU122" i="2"/>
  <c r="DT122" i="2"/>
  <c r="DS122" i="2"/>
  <c r="DR122" i="2"/>
  <c r="DQ122" i="2"/>
  <c r="DP122" i="2"/>
  <c r="EM122" i="2" s="1"/>
  <c r="DO122" i="2"/>
  <c r="DN122" i="2"/>
  <c r="DM122" i="2"/>
  <c r="DL122" i="2"/>
  <c r="DK122" i="2"/>
  <c r="BZ122" i="2"/>
  <c r="CX122" i="2" s="1"/>
  <c r="BM122" i="2"/>
  <c r="BL122" i="2"/>
  <c r="BK122" i="2"/>
  <c r="CI122" i="2" s="1"/>
  <c r="DG122" i="2" s="1"/>
  <c r="BJ122" i="2"/>
  <c r="BI122" i="2"/>
  <c r="BH122" i="2"/>
  <c r="BG122" i="2"/>
  <c r="BF122" i="2"/>
  <c r="BE122" i="2"/>
  <c r="BD122" i="2"/>
  <c r="BC122" i="2"/>
  <c r="BA122" i="2"/>
  <c r="AZ122" i="2"/>
  <c r="AY122" i="2"/>
  <c r="AX122" i="2"/>
  <c r="AW122" i="2"/>
  <c r="AV122" i="2"/>
  <c r="AU122" i="2"/>
  <c r="AT122" i="2"/>
  <c r="AS122" i="2"/>
  <c r="AR122" i="2"/>
  <c r="AQ122" i="2"/>
  <c r="AJ122" i="2"/>
  <c r="AA122" i="2"/>
  <c r="AM122" i="2" s="1"/>
  <c r="X122" i="2"/>
  <c r="CF122" i="2" s="1"/>
  <c r="DD122" i="2" s="1"/>
  <c r="V122" i="2"/>
  <c r="AH122" i="2" s="1"/>
  <c r="T122" i="2"/>
  <c r="AF122" i="2" s="1"/>
  <c r="S122" i="2"/>
  <c r="Q122" i="2"/>
  <c r="AC123" i="2" s="1"/>
  <c r="P122" i="2"/>
  <c r="O122" i="2"/>
  <c r="N122" i="2"/>
  <c r="M122" i="2"/>
  <c r="L122" i="2"/>
  <c r="X123" i="2" s="1"/>
  <c r="AJ123" i="2" s="1"/>
  <c r="K122" i="2"/>
  <c r="DZ122" i="2" s="1"/>
  <c r="EK122" i="2" s="1"/>
  <c r="J122" i="2"/>
  <c r="V123" i="2" s="1"/>
  <c r="I122" i="2"/>
  <c r="EO121" i="2"/>
  <c r="EN121" i="2"/>
  <c r="EH121" i="2"/>
  <c r="EF121" i="2"/>
  <c r="EQ121" i="2" s="1"/>
  <c r="ED121" i="2"/>
  <c r="EC121" i="2"/>
  <c r="EA121" i="2"/>
  <c r="EL121" i="2" s="1"/>
  <c r="DY121" i="2"/>
  <c r="EJ121" i="2" s="1"/>
  <c r="DW121" i="2"/>
  <c r="DV121" i="2"/>
  <c r="EG121" i="2" s="1"/>
  <c r="DU121" i="2"/>
  <c r="DT121" i="2"/>
  <c r="DS121" i="2"/>
  <c r="DR121" i="2"/>
  <c r="DQ121" i="2"/>
  <c r="DP121" i="2"/>
  <c r="DO121" i="2"/>
  <c r="DN121" i="2"/>
  <c r="DM121" i="2"/>
  <c r="DL121" i="2"/>
  <c r="DK121" i="2"/>
  <c r="CI121" i="2"/>
  <c r="DG121" i="2" s="1"/>
  <c r="CF121" i="2"/>
  <c r="DD121" i="2" s="1"/>
  <c r="CB121" i="2"/>
  <c r="CZ121" i="2" s="1"/>
  <c r="BZ121" i="2"/>
  <c r="CX121" i="2" s="1"/>
  <c r="BM121" i="2"/>
  <c r="BL121" i="2"/>
  <c r="BK121" i="2"/>
  <c r="BJ121" i="2"/>
  <c r="BI121" i="2"/>
  <c r="BH121" i="2"/>
  <c r="BG121" i="2"/>
  <c r="BF121" i="2"/>
  <c r="BE121" i="2"/>
  <c r="BD121" i="2"/>
  <c r="BC121" i="2"/>
  <c r="BA121" i="2"/>
  <c r="AZ121" i="2"/>
  <c r="AY121" i="2"/>
  <c r="AX121" i="2"/>
  <c r="AW121" i="2"/>
  <c r="AV121" i="2"/>
  <c r="AU121" i="2"/>
  <c r="AT121" i="2"/>
  <c r="AS121" i="2"/>
  <c r="AR121" i="2"/>
  <c r="AQ121" i="2"/>
  <c r="AM121" i="2"/>
  <c r="AF121" i="2"/>
  <c r="AC121" i="2"/>
  <c r="Y121" i="2"/>
  <c r="X121" i="2"/>
  <c r="AJ121" i="2" s="1"/>
  <c r="T121" i="2"/>
  <c r="S121" i="2"/>
  <c r="Q121" i="2"/>
  <c r="P121" i="2"/>
  <c r="O121" i="2"/>
  <c r="AA121" i="2" s="1"/>
  <c r="N121" i="2"/>
  <c r="M121" i="2"/>
  <c r="EB121" i="2" s="1"/>
  <c r="EM121" i="2" s="1"/>
  <c r="L121" i="2"/>
  <c r="K121" i="2"/>
  <c r="J121" i="2"/>
  <c r="I121" i="2"/>
  <c r="DX121" i="2" s="1"/>
  <c r="EI121" i="2" s="1"/>
  <c r="EH120" i="2"/>
  <c r="EF120" i="2"/>
  <c r="EQ120" i="2" s="1"/>
  <c r="EE120" i="2"/>
  <c r="EP120" i="2" s="1"/>
  <c r="ED120" i="2"/>
  <c r="EO120" i="2" s="1"/>
  <c r="EA120" i="2"/>
  <c r="DW120" i="2"/>
  <c r="DV120" i="2"/>
  <c r="EG120" i="2" s="1"/>
  <c r="DU120" i="2"/>
  <c r="DT120" i="2"/>
  <c r="DS120" i="2"/>
  <c r="DR120" i="2"/>
  <c r="DQ120" i="2"/>
  <c r="DP120" i="2"/>
  <c r="DO120" i="2"/>
  <c r="DN120" i="2"/>
  <c r="DM120" i="2"/>
  <c r="DL120" i="2"/>
  <c r="DK120" i="2"/>
  <c r="CX120" i="2"/>
  <c r="BZ120" i="2"/>
  <c r="BM120" i="2"/>
  <c r="BL120" i="2"/>
  <c r="BK120" i="2"/>
  <c r="BJ120" i="2"/>
  <c r="BI120" i="2"/>
  <c r="BH120" i="2"/>
  <c r="BG120" i="2"/>
  <c r="BF120" i="2"/>
  <c r="BE120" i="2"/>
  <c r="BD120" i="2"/>
  <c r="BC120" i="2"/>
  <c r="BA120" i="2"/>
  <c r="AZ120" i="2"/>
  <c r="AY120" i="2"/>
  <c r="AX120" i="2"/>
  <c r="AW120" i="2"/>
  <c r="AV120" i="2"/>
  <c r="AU120" i="2"/>
  <c r="AT120" i="2"/>
  <c r="AS120" i="2"/>
  <c r="AR120" i="2"/>
  <c r="AQ120" i="2"/>
  <c r="AF120" i="2"/>
  <c r="AB120" i="2"/>
  <c r="CJ120" i="2" s="1"/>
  <c r="DH120" i="2" s="1"/>
  <c r="T120" i="2"/>
  <c r="CB120" i="2" s="1"/>
  <c r="CZ120" i="2" s="1"/>
  <c r="S120" i="2"/>
  <c r="AE120" i="2" s="1"/>
  <c r="Q120" i="2"/>
  <c r="AC120" i="2" s="1"/>
  <c r="P120" i="2"/>
  <c r="O120" i="2"/>
  <c r="N120" i="2"/>
  <c r="Z120" i="2" s="1"/>
  <c r="M120" i="2"/>
  <c r="L120" i="2"/>
  <c r="K120" i="2"/>
  <c r="DZ120" i="2" s="1"/>
  <c r="EK120" i="2" s="1"/>
  <c r="J120" i="2"/>
  <c r="DY120" i="2" s="1"/>
  <c r="EJ120" i="2" s="1"/>
  <c r="I120" i="2"/>
  <c r="U121" i="2" s="1"/>
  <c r="EH119" i="2"/>
  <c r="EG119" i="2"/>
  <c r="EE119" i="2"/>
  <c r="EP119" i="2" s="1"/>
  <c r="EC119" i="2"/>
  <c r="DX119" i="2"/>
  <c r="DW119" i="2"/>
  <c r="DV119" i="2"/>
  <c r="DU119" i="2"/>
  <c r="DT119" i="2"/>
  <c r="DS119" i="2"/>
  <c r="DR119" i="2"/>
  <c r="DQ119" i="2"/>
  <c r="DP119" i="2"/>
  <c r="DO119" i="2"/>
  <c r="DN119" i="2"/>
  <c r="DM119" i="2"/>
  <c r="DL119" i="2"/>
  <c r="DK119" i="2"/>
  <c r="BZ119" i="2"/>
  <c r="CX119" i="2" s="1"/>
  <c r="BM119" i="2"/>
  <c r="BL119" i="2"/>
  <c r="BK119" i="2"/>
  <c r="BJ119" i="2"/>
  <c r="BI119" i="2"/>
  <c r="BH119" i="2"/>
  <c r="BG119" i="2"/>
  <c r="BF119" i="2"/>
  <c r="BE119" i="2"/>
  <c r="CC119" i="2" s="1"/>
  <c r="DA119" i="2" s="1"/>
  <c r="BD119" i="2"/>
  <c r="CB119" i="2" s="1"/>
  <c r="CZ119" i="2" s="1"/>
  <c r="BC119" i="2"/>
  <c r="CA119" i="2" s="1"/>
  <c r="CY119" i="2" s="1"/>
  <c r="BA119" i="2"/>
  <c r="AZ119" i="2"/>
  <c r="AY119" i="2"/>
  <c r="AX119" i="2"/>
  <c r="AW119" i="2"/>
  <c r="AV119" i="2"/>
  <c r="AU119" i="2"/>
  <c r="AT119" i="2"/>
  <c r="AS119" i="2"/>
  <c r="AR119" i="2"/>
  <c r="AQ119" i="2"/>
  <c r="AE119" i="2"/>
  <c r="AB119" i="2"/>
  <c r="Y119" i="2"/>
  <c r="U119" i="2"/>
  <c r="AG119" i="2" s="1"/>
  <c r="T119" i="2"/>
  <c r="AF119" i="2" s="1"/>
  <c r="S119" i="2"/>
  <c r="Q119" i="2"/>
  <c r="EF119" i="2" s="1"/>
  <c r="EQ119" i="2" s="1"/>
  <c r="P119" i="2"/>
  <c r="O119" i="2"/>
  <c r="N119" i="2"/>
  <c r="M119" i="2"/>
  <c r="EB119" i="2" s="1"/>
  <c r="EM119" i="2" s="1"/>
  <c r="L119" i="2"/>
  <c r="EA119" i="2" s="1"/>
  <c r="EL119" i="2" s="1"/>
  <c r="K119" i="2"/>
  <c r="J119" i="2"/>
  <c r="V119" i="2" s="1"/>
  <c r="CD119" i="2" s="1"/>
  <c r="DB119" i="2" s="1"/>
  <c r="I119" i="2"/>
  <c r="EH118" i="2"/>
  <c r="EG118" i="2"/>
  <c r="EE118" i="2"/>
  <c r="EB118" i="2"/>
  <c r="EM118" i="2" s="1"/>
  <c r="DZ118" i="2"/>
  <c r="DX118" i="2"/>
  <c r="EI118" i="2" s="1"/>
  <c r="DW118" i="2"/>
  <c r="DV118" i="2"/>
  <c r="DU118" i="2"/>
  <c r="DT118" i="2"/>
  <c r="DS118" i="2"/>
  <c r="DR118" i="2"/>
  <c r="DQ118" i="2"/>
  <c r="DP118" i="2"/>
  <c r="DO118" i="2"/>
  <c r="DN118" i="2"/>
  <c r="DM118" i="2"/>
  <c r="DL118" i="2"/>
  <c r="DK118" i="2"/>
  <c r="CX118" i="2"/>
  <c r="BZ118" i="2"/>
  <c r="BM118" i="2"/>
  <c r="BL118" i="2"/>
  <c r="BK118" i="2"/>
  <c r="BJ118" i="2"/>
  <c r="BI118" i="2"/>
  <c r="BH118" i="2"/>
  <c r="BG118" i="2"/>
  <c r="BF118" i="2"/>
  <c r="BE118" i="2"/>
  <c r="BD118" i="2"/>
  <c r="BC118" i="2"/>
  <c r="BA118" i="2"/>
  <c r="AZ118" i="2"/>
  <c r="AY118" i="2"/>
  <c r="AX118" i="2"/>
  <c r="AW118" i="2"/>
  <c r="AV118" i="2"/>
  <c r="AU118" i="2"/>
  <c r="AT118" i="2"/>
  <c r="AS118" i="2"/>
  <c r="AR118" i="2"/>
  <c r="AQ118" i="2"/>
  <c r="AF118" i="2"/>
  <c r="AB118" i="2"/>
  <c r="T118" i="2"/>
  <c r="CB118" i="2" s="1"/>
  <c r="CZ118" i="2" s="1"/>
  <c r="S118" i="2"/>
  <c r="AE118" i="2" s="1"/>
  <c r="Q118" i="2"/>
  <c r="P118" i="2"/>
  <c r="O118" i="2"/>
  <c r="N118" i="2"/>
  <c r="EC118" i="2" s="1"/>
  <c r="EN118" i="2" s="1"/>
  <c r="M118" i="2"/>
  <c r="Y118" i="2" s="1"/>
  <c r="L118" i="2"/>
  <c r="X119" i="2" s="1"/>
  <c r="K118" i="2"/>
  <c r="J118" i="2"/>
  <c r="I118" i="2"/>
  <c r="EL117" i="2"/>
  <c r="EJ117" i="2"/>
  <c r="EI117" i="2"/>
  <c r="EG117" i="2"/>
  <c r="EB117" i="2"/>
  <c r="EM117" i="2" s="1"/>
  <c r="DY117" i="2"/>
  <c r="DX117" i="2"/>
  <c r="DW117" i="2"/>
  <c r="DV117" i="2"/>
  <c r="DU117" i="2"/>
  <c r="DT117" i="2"/>
  <c r="DS117" i="2"/>
  <c r="DR117" i="2"/>
  <c r="DQ117" i="2"/>
  <c r="DP117" i="2"/>
  <c r="DO117" i="2"/>
  <c r="DN117" i="2"/>
  <c r="DM117" i="2"/>
  <c r="DL117" i="2"/>
  <c r="DK117" i="2"/>
  <c r="BZ117" i="2"/>
  <c r="CX117" i="2" s="1"/>
  <c r="BM117" i="2"/>
  <c r="BL117" i="2"/>
  <c r="BK117" i="2"/>
  <c r="BJ117" i="2"/>
  <c r="BI117" i="2"/>
  <c r="BH117" i="2"/>
  <c r="BG117" i="2"/>
  <c r="BF117" i="2"/>
  <c r="BE117" i="2"/>
  <c r="CC117" i="2" s="1"/>
  <c r="DA117" i="2" s="1"/>
  <c r="BD117" i="2"/>
  <c r="CB117" i="2" s="1"/>
  <c r="CZ117" i="2" s="1"/>
  <c r="BC117" i="2"/>
  <c r="CA117" i="2" s="1"/>
  <c r="CY117" i="2" s="1"/>
  <c r="BA117" i="2"/>
  <c r="AZ117" i="2"/>
  <c r="AY117" i="2"/>
  <c r="AX117" i="2"/>
  <c r="AW117" i="2"/>
  <c r="AV117" i="2"/>
  <c r="AU117" i="2"/>
  <c r="AT117" i="2"/>
  <c r="AS117" i="2"/>
  <c r="AR117" i="2"/>
  <c r="AQ117" i="2"/>
  <c r="AG117" i="2"/>
  <c r="AF117" i="2"/>
  <c r="AE117" i="2"/>
  <c r="U117" i="2"/>
  <c r="T117" i="2"/>
  <c r="S117" i="2"/>
  <c r="Q117" i="2"/>
  <c r="EF117" i="2" s="1"/>
  <c r="EQ117" i="2" s="1"/>
  <c r="P117" i="2"/>
  <c r="EE117" i="2" s="1"/>
  <c r="EP117" i="2" s="1"/>
  <c r="O117" i="2"/>
  <c r="N117" i="2"/>
  <c r="M117" i="2"/>
  <c r="L117" i="2"/>
  <c r="EA117" i="2" s="1"/>
  <c r="K117" i="2"/>
  <c r="DZ117" i="2" s="1"/>
  <c r="EK117" i="2" s="1"/>
  <c r="J117" i="2"/>
  <c r="I117" i="2"/>
  <c r="EN116" i="2"/>
  <c r="EL116" i="2"/>
  <c r="EI116" i="2"/>
  <c r="ED116" i="2"/>
  <c r="EC116" i="2"/>
  <c r="EA116" i="2"/>
  <c r="DZ116" i="2"/>
  <c r="EK116" i="2" s="1"/>
  <c r="DY116" i="2"/>
  <c r="DW116" i="2"/>
  <c r="DV116" i="2"/>
  <c r="EG116" i="2" s="1"/>
  <c r="DU116" i="2"/>
  <c r="DT116" i="2"/>
  <c r="DS116" i="2"/>
  <c r="DR116" i="2"/>
  <c r="EO116" i="2" s="1"/>
  <c r="DQ116" i="2"/>
  <c r="DP116" i="2"/>
  <c r="DO116" i="2"/>
  <c r="DN116" i="2"/>
  <c r="DM116" i="2"/>
  <c r="DL116" i="2"/>
  <c r="DK116" i="2"/>
  <c r="DG116" i="2"/>
  <c r="CX116" i="2"/>
  <c r="CK116" i="2"/>
  <c r="DI116" i="2" s="1"/>
  <c r="CI116" i="2"/>
  <c r="BZ116" i="2"/>
  <c r="BM116" i="2"/>
  <c r="BL116" i="2"/>
  <c r="BK116" i="2"/>
  <c r="BJ116" i="2"/>
  <c r="BI116" i="2"/>
  <c r="BH116" i="2"/>
  <c r="BG116" i="2"/>
  <c r="BF116" i="2"/>
  <c r="BE116" i="2"/>
  <c r="BD116" i="2"/>
  <c r="BC116" i="2"/>
  <c r="BA116" i="2"/>
  <c r="AZ116" i="2"/>
  <c r="AY116" i="2"/>
  <c r="AX116" i="2"/>
  <c r="AW116" i="2"/>
  <c r="AV116" i="2"/>
  <c r="AU116" i="2"/>
  <c r="AT116" i="2"/>
  <c r="AS116" i="2"/>
  <c r="AR116" i="2"/>
  <c r="AQ116" i="2"/>
  <c r="AF116" i="2"/>
  <c r="AC116" i="2"/>
  <c r="AO116" i="2" s="1"/>
  <c r="AA116" i="2"/>
  <c r="AM116" i="2" s="1"/>
  <c r="T116" i="2"/>
  <c r="CB116" i="2" s="1"/>
  <c r="CZ116" i="2" s="1"/>
  <c r="S116" i="2"/>
  <c r="Q116" i="2"/>
  <c r="EF116" i="2" s="1"/>
  <c r="EQ116" i="2" s="1"/>
  <c r="P116" i="2"/>
  <c r="O116" i="2"/>
  <c r="N116" i="2"/>
  <c r="Z116" i="2" s="1"/>
  <c r="M116" i="2"/>
  <c r="EB116" i="2" s="1"/>
  <c r="EM116" i="2" s="1"/>
  <c r="L116" i="2"/>
  <c r="K116" i="2"/>
  <c r="J116" i="2"/>
  <c r="V117" i="2" s="1"/>
  <c r="I116" i="2"/>
  <c r="DX116" i="2" s="1"/>
  <c r="EQ115" i="2"/>
  <c r="EO115" i="2"/>
  <c r="EH115" i="2"/>
  <c r="EF115" i="2"/>
  <c r="ED115" i="2"/>
  <c r="EC115" i="2"/>
  <c r="EN115" i="2" s="1"/>
  <c r="EA115" i="2"/>
  <c r="EL115" i="2" s="1"/>
  <c r="DW115" i="2"/>
  <c r="DV115" i="2"/>
  <c r="EG115" i="2" s="1"/>
  <c r="DU115" i="2"/>
  <c r="DT115" i="2"/>
  <c r="DS115" i="2"/>
  <c r="DR115" i="2"/>
  <c r="DQ115" i="2"/>
  <c r="DP115" i="2"/>
  <c r="DO115" i="2"/>
  <c r="DN115" i="2"/>
  <c r="DM115" i="2"/>
  <c r="DL115" i="2"/>
  <c r="DK115" i="2"/>
  <c r="BZ115" i="2"/>
  <c r="CX115" i="2" s="1"/>
  <c r="BM115" i="2"/>
  <c r="BL115" i="2"/>
  <c r="BK115" i="2"/>
  <c r="BJ115" i="2"/>
  <c r="BI115" i="2"/>
  <c r="BH115" i="2"/>
  <c r="BG115" i="2"/>
  <c r="BF115" i="2"/>
  <c r="BE115" i="2"/>
  <c r="BD115" i="2"/>
  <c r="BC115" i="2"/>
  <c r="BA115" i="2"/>
  <c r="AZ115" i="2"/>
  <c r="AY115" i="2"/>
  <c r="AX115" i="2"/>
  <c r="AW115" i="2"/>
  <c r="AV115" i="2"/>
  <c r="AU115" i="2"/>
  <c r="AT115" i="2"/>
  <c r="AS115" i="2"/>
  <c r="AR115" i="2"/>
  <c r="AQ115" i="2"/>
  <c r="V115" i="2"/>
  <c r="T115" i="2"/>
  <c r="S115" i="2"/>
  <c r="Q115" i="2"/>
  <c r="P115" i="2"/>
  <c r="EE115" i="2" s="1"/>
  <c r="EP115" i="2" s="1"/>
  <c r="O115" i="2"/>
  <c r="N115" i="2"/>
  <c r="M115" i="2"/>
  <c r="L115" i="2"/>
  <c r="X116" i="2" s="1"/>
  <c r="K115" i="2"/>
  <c r="J115" i="2"/>
  <c r="V116" i="2" s="1"/>
  <c r="CD116" i="2" s="1"/>
  <c r="DB116" i="2" s="1"/>
  <c r="I115" i="2"/>
  <c r="EP114" i="2"/>
  <c r="EH114" i="2"/>
  <c r="EG114" i="2"/>
  <c r="EA114" i="2"/>
  <c r="EL114" i="2" s="1"/>
  <c r="DZ114" i="2"/>
  <c r="EK114" i="2" s="1"/>
  <c r="DW114" i="2"/>
  <c r="DV114" i="2"/>
  <c r="DU114" i="2"/>
  <c r="DT114" i="2"/>
  <c r="DS114" i="2"/>
  <c r="DR114" i="2"/>
  <c r="DQ114" i="2"/>
  <c r="DP114" i="2"/>
  <c r="DO114" i="2"/>
  <c r="DN114" i="2"/>
  <c r="DM114" i="2"/>
  <c r="DL114" i="2"/>
  <c r="DK114" i="2"/>
  <c r="BZ114" i="2"/>
  <c r="CX114" i="2" s="1"/>
  <c r="BM114" i="2"/>
  <c r="BL114" i="2"/>
  <c r="BK114" i="2"/>
  <c r="BJ114" i="2"/>
  <c r="BI114" i="2"/>
  <c r="BH114" i="2"/>
  <c r="BG114" i="2"/>
  <c r="BF114" i="2"/>
  <c r="BE114" i="2"/>
  <c r="BD114" i="2"/>
  <c r="BC114" i="2"/>
  <c r="CA114" i="2" s="1"/>
  <c r="CY114" i="2" s="1"/>
  <c r="BA114" i="2"/>
  <c r="AZ114" i="2"/>
  <c r="AY114" i="2"/>
  <c r="AX114" i="2"/>
  <c r="AW114" i="2"/>
  <c r="AV114" i="2"/>
  <c r="AU114" i="2"/>
  <c r="AT114" i="2"/>
  <c r="AS114" i="2"/>
  <c r="AR114" i="2"/>
  <c r="AQ114" i="2"/>
  <c r="AG114" i="2"/>
  <c r="AF114" i="2"/>
  <c r="AE114" i="2"/>
  <c r="AB114" i="2"/>
  <c r="CJ114" i="2" s="1"/>
  <c r="DH114" i="2" s="1"/>
  <c r="W114" i="2"/>
  <c r="CE114" i="2" s="1"/>
  <c r="DC114" i="2" s="1"/>
  <c r="T114" i="2"/>
  <c r="CB114" i="2" s="1"/>
  <c r="CZ114" i="2" s="1"/>
  <c r="S114" i="2"/>
  <c r="Q114" i="2"/>
  <c r="P114" i="2"/>
  <c r="EE114" i="2" s="1"/>
  <c r="O114" i="2"/>
  <c r="N114" i="2"/>
  <c r="M114" i="2"/>
  <c r="L114" i="2"/>
  <c r="X115" i="2" s="1"/>
  <c r="K114" i="2"/>
  <c r="J114" i="2"/>
  <c r="DY114" i="2" s="1"/>
  <c r="EJ114" i="2" s="1"/>
  <c r="I114" i="2"/>
  <c r="DX114" i="2" s="1"/>
  <c r="EI114" i="2" s="1"/>
  <c r="EP113" i="2"/>
  <c r="EJ113" i="2"/>
  <c r="EI113" i="2"/>
  <c r="EG113" i="2"/>
  <c r="ED113" i="2"/>
  <c r="EB113" i="2"/>
  <c r="DZ113" i="2"/>
  <c r="EK113" i="2" s="1"/>
  <c r="DY113" i="2"/>
  <c r="DX113" i="2"/>
  <c r="DW113" i="2"/>
  <c r="DV113" i="2"/>
  <c r="DU113" i="2"/>
  <c r="DT113" i="2"/>
  <c r="DS113" i="2"/>
  <c r="DR113" i="2"/>
  <c r="EO113" i="2" s="1"/>
  <c r="DQ113" i="2"/>
  <c r="DP113" i="2"/>
  <c r="DO113" i="2"/>
  <c r="DN113" i="2"/>
  <c r="DM113" i="2"/>
  <c r="DL113" i="2"/>
  <c r="DK113" i="2"/>
  <c r="DH113" i="2"/>
  <c r="CC113" i="2"/>
  <c r="DA113" i="2" s="1"/>
  <c r="BZ113" i="2"/>
  <c r="CX113" i="2" s="1"/>
  <c r="BM113" i="2"/>
  <c r="BL113" i="2"/>
  <c r="BK113" i="2"/>
  <c r="BJ113" i="2"/>
  <c r="BI113" i="2"/>
  <c r="BH113" i="2"/>
  <c r="BG113" i="2"/>
  <c r="BF113" i="2"/>
  <c r="BE113" i="2"/>
  <c r="BD113" i="2"/>
  <c r="BC113" i="2"/>
  <c r="CA113" i="2" s="1"/>
  <c r="CY113" i="2" s="1"/>
  <c r="BA113" i="2"/>
  <c r="AZ113" i="2"/>
  <c r="AY113" i="2"/>
  <c r="AX113" i="2"/>
  <c r="AW113" i="2"/>
  <c r="AV113" i="2"/>
  <c r="AU113" i="2"/>
  <c r="AT113" i="2"/>
  <c r="AS113" i="2"/>
  <c r="AR113" i="2"/>
  <c r="AQ113" i="2"/>
  <c r="AO113" i="2"/>
  <c r="AN113" i="2"/>
  <c r="AL113" i="2"/>
  <c r="AE113" i="2"/>
  <c r="AC113" i="2"/>
  <c r="CK113" i="2" s="1"/>
  <c r="DI113" i="2" s="1"/>
  <c r="AB113" i="2"/>
  <c r="CJ113" i="2" s="1"/>
  <c r="AA113" i="2"/>
  <c r="Y113" i="2"/>
  <c r="U113" i="2"/>
  <c r="AG113" i="2" s="1"/>
  <c r="T113" i="2"/>
  <c r="S113" i="2"/>
  <c r="Q113" i="2"/>
  <c r="EF113" i="2" s="1"/>
  <c r="EQ113" i="2" s="1"/>
  <c r="P113" i="2"/>
  <c r="EE113" i="2" s="1"/>
  <c r="O113" i="2"/>
  <c r="N113" i="2"/>
  <c r="Z113" i="2" s="1"/>
  <c r="CH113" i="2" s="1"/>
  <c r="DF113" i="2" s="1"/>
  <c r="M113" i="2"/>
  <c r="L113" i="2"/>
  <c r="K113" i="2"/>
  <c r="J113" i="2"/>
  <c r="I113" i="2"/>
  <c r="U114" i="2" s="1"/>
  <c r="EG112" i="2"/>
  <c r="ED112" i="2"/>
  <c r="EO112" i="2" s="1"/>
  <c r="EB112" i="2"/>
  <c r="DZ112" i="2"/>
  <c r="EK112" i="2" s="1"/>
  <c r="DY112" i="2"/>
  <c r="DW112" i="2"/>
  <c r="DV112" i="2"/>
  <c r="DU112" i="2"/>
  <c r="DT112" i="2"/>
  <c r="DS112" i="2"/>
  <c r="DR112" i="2"/>
  <c r="DQ112" i="2"/>
  <c r="DP112" i="2"/>
  <c r="EM112" i="2" s="1"/>
  <c r="DO112" i="2"/>
  <c r="DN112" i="2"/>
  <c r="DM112" i="2"/>
  <c r="DL112" i="2"/>
  <c r="DK112" i="2"/>
  <c r="CZ112" i="2"/>
  <c r="CI112" i="2"/>
  <c r="DG112" i="2" s="1"/>
  <c r="BZ112" i="2"/>
  <c r="CX112" i="2" s="1"/>
  <c r="BM112" i="2"/>
  <c r="BL112" i="2"/>
  <c r="BK112" i="2"/>
  <c r="BJ112" i="2"/>
  <c r="BI112" i="2"/>
  <c r="CG112" i="2" s="1"/>
  <c r="DE112" i="2" s="1"/>
  <c r="BH112" i="2"/>
  <c r="BG112" i="2"/>
  <c r="BF112" i="2"/>
  <c r="BE112" i="2"/>
  <c r="BD112" i="2"/>
  <c r="BC112" i="2"/>
  <c r="BA112" i="2"/>
  <c r="AZ112" i="2"/>
  <c r="AY112" i="2"/>
  <c r="AX112" i="2"/>
  <c r="AW112" i="2"/>
  <c r="AV112" i="2"/>
  <c r="AU112" i="2"/>
  <c r="AT112" i="2"/>
  <c r="AS112" i="2"/>
  <c r="AR112" i="2"/>
  <c r="AQ112" i="2"/>
  <c r="AK112" i="2"/>
  <c r="AE112" i="2"/>
  <c r="AC112" i="2"/>
  <c r="AA112" i="2"/>
  <c r="AM112" i="2" s="1"/>
  <c r="T112" i="2"/>
  <c r="CB112" i="2" s="1"/>
  <c r="S112" i="2"/>
  <c r="CA112" i="2" s="1"/>
  <c r="CY112" i="2" s="1"/>
  <c r="Q112" i="2"/>
  <c r="EF112" i="2" s="1"/>
  <c r="EQ112" i="2" s="1"/>
  <c r="P112" i="2"/>
  <c r="O112" i="2"/>
  <c r="N112" i="2"/>
  <c r="M112" i="2"/>
  <c r="L112" i="2"/>
  <c r="K112" i="2"/>
  <c r="J112" i="2"/>
  <c r="I112" i="2"/>
  <c r="EI111" i="2"/>
  <c r="EG111" i="2"/>
  <c r="EF111" i="2"/>
  <c r="EQ111" i="2" s="1"/>
  <c r="ED111" i="2"/>
  <c r="EO111" i="2" s="1"/>
  <c r="DW111" i="2"/>
  <c r="EH111" i="2" s="1"/>
  <c r="DV111" i="2"/>
  <c r="DU111" i="2"/>
  <c r="DT111" i="2"/>
  <c r="DS111" i="2"/>
  <c r="DR111" i="2"/>
  <c r="DQ111" i="2"/>
  <c r="DP111" i="2"/>
  <c r="DO111" i="2"/>
  <c r="DN111" i="2"/>
  <c r="DM111" i="2"/>
  <c r="DL111" i="2"/>
  <c r="DK111" i="2"/>
  <c r="CB111" i="2"/>
  <c r="CZ111" i="2" s="1"/>
  <c r="BZ111" i="2"/>
  <c r="CX111" i="2" s="1"/>
  <c r="BM111" i="2"/>
  <c r="BL111" i="2"/>
  <c r="BK111" i="2"/>
  <c r="BJ111" i="2"/>
  <c r="BI111" i="2"/>
  <c r="BH111" i="2"/>
  <c r="BG111" i="2"/>
  <c r="BF111" i="2"/>
  <c r="BE111" i="2"/>
  <c r="BD111" i="2"/>
  <c r="BC111" i="2"/>
  <c r="BA111" i="2"/>
  <c r="AZ111" i="2"/>
  <c r="AY111" i="2"/>
  <c r="AX111" i="2"/>
  <c r="AW111" i="2"/>
  <c r="AV111" i="2"/>
  <c r="AU111" i="2"/>
  <c r="AT111" i="2"/>
  <c r="AS111" i="2"/>
  <c r="AR111" i="2"/>
  <c r="AQ111" i="2"/>
  <c r="AF111" i="2"/>
  <c r="AC111" i="2"/>
  <c r="AO111" i="2" s="1"/>
  <c r="Z111" i="2"/>
  <c r="CH111" i="2" s="1"/>
  <c r="DF111" i="2" s="1"/>
  <c r="U111" i="2"/>
  <c r="T111" i="2"/>
  <c r="S111" i="2"/>
  <c r="Q111" i="2"/>
  <c r="P111" i="2"/>
  <c r="O111" i="2"/>
  <c r="AA111" i="2" s="1"/>
  <c r="CI111" i="2" s="1"/>
  <c r="DG111" i="2" s="1"/>
  <c r="N111" i="2"/>
  <c r="EC111" i="2" s="1"/>
  <c r="M111" i="2"/>
  <c r="Y112" i="2" s="1"/>
  <c r="L111" i="2"/>
  <c r="EA111" i="2" s="1"/>
  <c r="EL111" i="2" s="1"/>
  <c r="K111" i="2"/>
  <c r="J111" i="2"/>
  <c r="DY111" i="2" s="1"/>
  <c r="EJ111" i="2" s="1"/>
  <c r="I111" i="2"/>
  <c r="DX111" i="2" s="1"/>
  <c r="EQ110" i="2"/>
  <c r="EH110" i="2"/>
  <c r="EF110" i="2"/>
  <c r="EE110" i="2"/>
  <c r="ED110" i="2"/>
  <c r="DW110" i="2"/>
  <c r="DV110" i="2"/>
  <c r="EG110" i="2" s="1"/>
  <c r="DU110" i="2"/>
  <c r="DT110" i="2"/>
  <c r="DS110" i="2"/>
  <c r="DR110" i="2"/>
  <c r="DQ110" i="2"/>
  <c r="DP110" i="2"/>
  <c r="DO110" i="2"/>
  <c r="DN110" i="2"/>
  <c r="DM110" i="2"/>
  <c r="DL110" i="2"/>
  <c r="DK110" i="2"/>
  <c r="CJ110" i="2"/>
  <c r="DH110" i="2" s="1"/>
  <c r="CG110" i="2"/>
  <c r="DE110" i="2" s="1"/>
  <c r="BZ110" i="2"/>
  <c r="CX110" i="2" s="1"/>
  <c r="BM110" i="2"/>
  <c r="BL110" i="2"/>
  <c r="BK110" i="2"/>
  <c r="BJ110" i="2"/>
  <c r="BI110" i="2"/>
  <c r="BH110" i="2"/>
  <c r="BG110" i="2"/>
  <c r="BF110" i="2"/>
  <c r="BE110" i="2"/>
  <c r="BD110" i="2"/>
  <c r="BC110" i="2"/>
  <c r="CA110" i="2" s="1"/>
  <c r="CY110" i="2" s="1"/>
  <c r="BA110" i="2"/>
  <c r="AZ110" i="2"/>
  <c r="AY110" i="2"/>
  <c r="AX110" i="2"/>
  <c r="AW110" i="2"/>
  <c r="AV110" i="2"/>
  <c r="AU110" i="2"/>
  <c r="AT110" i="2"/>
  <c r="AS110" i="2"/>
  <c r="AR110" i="2"/>
  <c r="AQ110" i="2"/>
  <c r="AB110" i="2"/>
  <c r="AN110" i="2" s="1"/>
  <c r="Y110" i="2"/>
  <c r="AK110" i="2" s="1"/>
  <c r="V110" i="2"/>
  <c r="CD110" i="2" s="1"/>
  <c r="DB110" i="2" s="1"/>
  <c r="T110" i="2"/>
  <c r="AF110" i="2" s="1"/>
  <c r="S110" i="2"/>
  <c r="AE110" i="2" s="1"/>
  <c r="Q110" i="2"/>
  <c r="P110" i="2"/>
  <c r="O110" i="2"/>
  <c r="AA110" i="2" s="1"/>
  <c r="N110" i="2"/>
  <c r="EC110" i="2" s="1"/>
  <c r="EN110" i="2" s="1"/>
  <c r="M110" i="2"/>
  <c r="EB110" i="2" s="1"/>
  <c r="EM110" i="2" s="1"/>
  <c r="L110" i="2"/>
  <c r="K110" i="2"/>
  <c r="DZ110" i="2" s="1"/>
  <c r="EK110" i="2" s="1"/>
  <c r="J110" i="2"/>
  <c r="DY110" i="2" s="1"/>
  <c r="EJ110" i="2" s="1"/>
  <c r="I110" i="2"/>
  <c r="DX110" i="2" s="1"/>
  <c r="EI110" i="2" s="1"/>
  <c r="EG109" i="2"/>
  <c r="EF109" i="2"/>
  <c r="EQ109" i="2" s="1"/>
  <c r="EE109" i="2"/>
  <c r="EP109" i="2" s="1"/>
  <c r="ED109" i="2"/>
  <c r="EO109" i="2" s="1"/>
  <c r="DW109" i="2"/>
  <c r="DV109" i="2"/>
  <c r="DU109" i="2"/>
  <c r="DT109" i="2"/>
  <c r="DS109" i="2"/>
  <c r="DR109" i="2"/>
  <c r="DQ109" i="2"/>
  <c r="DP109" i="2"/>
  <c r="DO109" i="2"/>
  <c r="DN109" i="2"/>
  <c r="DM109" i="2"/>
  <c r="DL109" i="2"/>
  <c r="DK109" i="2"/>
  <c r="BZ109" i="2"/>
  <c r="CX109" i="2" s="1"/>
  <c r="BM109" i="2"/>
  <c r="BL109" i="2"/>
  <c r="BK109" i="2"/>
  <c r="BJ109" i="2"/>
  <c r="BI109" i="2"/>
  <c r="BH109" i="2"/>
  <c r="BG109" i="2"/>
  <c r="BF109" i="2"/>
  <c r="BE109" i="2"/>
  <c r="BD109" i="2"/>
  <c r="CB109" i="2" s="1"/>
  <c r="CZ109" i="2" s="1"/>
  <c r="BC109" i="2"/>
  <c r="BA109" i="2"/>
  <c r="AZ109" i="2"/>
  <c r="AY109" i="2"/>
  <c r="AX109" i="2"/>
  <c r="AW109" i="2"/>
  <c r="AV109" i="2"/>
  <c r="AU109" i="2"/>
  <c r="AT109" i="2"/>
  <c r="AS109" i="2"/>
  <c r="AR109" i="2"/>
  <c r="AQ109" i="2"/>
  <c r="AF109" i="2"/>
  <c r="AE109" i="2"/>
  <c r="AA109" i="2"/>
  <c r="AM109" i="2" s="1"/>
  <c r="T109" i="2"/>
  <c r="S109" i="2"/>
  <c r="CA109" i="2" s="1"/>
  <c r="CY109" i="2" s="1"/>
  <c r="Q109" i="2"/>
  <c r="AC110" i="2" s="1"/>
  <c r="P109" i="2"/>
  <c r="O109" i="2"/>
  <c r="N109" i="2"/>
  <c r="M109" i="2"/>
  <c r="EB109" i="2" s="1"/>
  <c r="EM109" i="2" s="1"/>
  <c r="L109" i="2"/>
  <c r="EA109" i="2" s="1"/>
  <c r="EL109" i="2" s="1"/>
  <c r="K109" i="2"/>
  <c r="DZ109" i="2" s="1"/>
  <c r="EK109" i="2" s="1"/>
  <c r="J109" i="2"/>
  <c r="I109" i="2"/>
  <c r="U109" i="2" s="1"/>
  <c r="EI108" i="2"/>
  <c r="EG108" i="2"/>
  <c r="EF108" i="2"/>
  <c r="EQ108" i="2" s="1"/>
  <c r="DY108" i="2"/>
  <c r="EJ108" i="2" s="1"/>
  <c r="DW108" i="2"/>
  <c r="EH108" i="2" s="1"/>
  <c r="DV108" i="2"/>
  <c r="DU108" i="2"/>
  <c r="DT108" i="2"/>
  <c r="DS108" i="2"/>
  <c r="DR108" i="2"/>
  <c r="DQ108" i="2"/>
  <c r="DP108" i="2"/>
  <c r="DO108" i="2"/>
  <c r="DN108" i="2"/>
  <c r="DM108" i="2"/>
  <c r="DL108" i="2"/>
  <c r="DK108" i="2"/>
  <c r="CB108" i="2"/>
  <c r="CZ108" i="2" s="1"/>
  <c r="BZ108" i="2"/>
  <c r="CX108" i="2" s="1"/>
  <c r="BM108" i="2"/>
  <c r="CK108" i="2" s="1"/>
  <c r="DI108" i="2" s="1"/>
  <c r="BL108" i="2"/>
  <c r="BK108" i="2"/>
  <c r="BJ108" i="2"/>
  <c r="BI108" i="2"/>
  <c r="BH108" i="2"/>
  <c r="BG108" i="2"/>
  <c r="BF108" i="2"/>
  <c r="BE108" i="2"/>
  <c r="BD108" i="2"/>
  <c r="BC108" i="2"/>
  <c r="BA108" i="2"/>
  <c r="AZ108" i="2"/>
  <c r="AY108" i="2"/>
  <c r="AX108" i="2"/>
  <c r="AW108" i="2"/>
  <c r="AV108" i="2"/>
  <c r="AU108" i="2"/>
  <c r="AT108" i="2"/>
  <c r="AS108" i="2"/>
  <c r="AR108" i="2"/>
  <c r="AQ108" i="2"/>
  <c r="AC108" i="2"/>
  <c r="AO108" i="2" s="1"/>
  <c r="AA108" i="2"/>
  <c r="T108" i="2"/>
  <c r="AF108" i="2" s="1"/>
  <c r="S108" i="2"/>
  <c r="AE108" i="2" s="1"/>
  <c r="Q108" i="2"/>
  <c r="P108" i="2"/>
  <c r="O108" i="2"/>
  <c r="ED108" i="2" s="1"/>
  <c r="EO108" i="2" s="1"/>
  <c r="N108" i="2"/>
  <c r="EC108" i="2" s="1"/>
  <c r="EN108" i="2" s="1"/>
  <c r="M108" i="2"/>
  <c r="EB108" i="2" s="1"/>
  <c r="EM108" i="2" s="1"/>
  <c r="L108" i="2"/>
  <c r="K108" i="2"/>
  <c r="W108" i="2" s="1"/>
  <c r="J108" i="2"/>
  <c r="V108" i="2" s="1"/>
  <c r="I108" i="2"/>
  <c r="DX108" i="2" s="1"/>
  <c r="EK107" i="2"/>
  <c r="EJ107" i="2"/>
  <c r="EA107" i="2"/>
  <c r="EL107" i="2" s="1"/>
  <c r="DY107" i="2"/>
  <c r="DX107" i="2"/>
  <c r="EI107" i="2" s="1"/>
  <c r="DW107" i="2"/>
  <c r="DV107" i="2"/>
  <c r="EG107" i="2" s="1"/>
  <c r="DU107" i="2"/>
  <c r="DT107" i="2"/>
  <c r="DS107" i="2"/>
  <c r="DR107" i="2"/>
  <c r="DQ107" i="2"/>
  <c r="DP107" i="2"/>
  <c r="DO107" i="2"/>
  <c r="DN107" i="2"/>
  <c r="DM107" i="2"/>
  <c r="DL107" i="2"/>
  <c r="DK107" i="2"/>
  <c r="CX107" i="2"/>
  <c r="BZ107" i="2"/>
  <c r="BM107" i="2"/>
  <c r="BL107" i="2"/>
  <c r="BK107" i="2"/>
  <c r="BJ107" i="2"/>
  <c r="BI107" i="2"/>
  <c r="BH107" i="2"/>
  <c r="BG107" i="2"/>
  <c r="BF107" i="2"/>
  <c r="CD107" i="2" s="1"/>
  <c r="DB107" i="2" s="1"/>
  <c r="BE107" i="2"/>
  <c r="BD107" i="2"/>
  <c r="CB107" i="2" s="1"/>
  <c r="CZ107" i="2" s="1"/>
  <c r="BC107" i="2"/>
  <c r="BA107" i="2"/>
  <c r="AZ107" i="2"/>
  <c r="AY107" i="2"/>
  <c r="AX107" i="2"/>
  <c r="AW107" i="2"/>
  <c r="AV107" i="2"/>
  <c r="AU107" i="2"/>
  <c r="AT107" i="2"/>
  <c r="AS107" i="2"/>
  <c r="AR107" i="2"/>
  <c r="AQ107" i="2"/>
  <c r="AF107" i="2"/>
  <c r="AB107" i="2"/>
  <c r="CJ107" i="2" s="1"/>
  <c r="DH107" i="2" s="1"/>
  <c r="V107" i="2"/>
  <c r="AH107" i="2" s="1"/>
  <c r="T107" i="2"/>
  <c r="S107" i="2"/>
  <c r="Q107" i="2"/>
  <c r="EF107" i="2" s="1"/>
  <c r="EQ107" i="2" s="1"/>
  <c r="P107" i="2"/>
  <c r="EE107" i="2" s="1"/>
  <c r="EP107" i="2" s="1"/>
  <c r="O107" i="2"/>
  <c r="ED107" i="2" s="1"/>
  <c r="EO107" i="2" s="1"/>
  <c r="N107" i="2"/>
  <c r="M107" i="2"/>
  <c r="Y107" i="2" s="1"/>
  <c r="L107" i="2"/>
  <c r="X107" i="2" s="1"/>
  <c r="K107" i="2"/>
  <c r="DZ107" i="2" s="1"/>
  <c r="J107" i="2"/>
  <c r="I107" i="2"/>
  <c r="U108" i="2" s="1"/>
  <c r="EL106" i="2"/>
  <c r="EK106" i="2"/>
  <c r="EG106" i="2"/>
  <c r="EC106" i="2"/>
  <c r="EN106" i="2" s="1"/>
  <c r="EA106" i="2"/>
  <c r="DZ106" i="2"/>
  <c r="DY106" i="2"/>
  <c r="DX106" i="2"/>
  <c r="EI106" i="2" s="1"/>
  <c r="DW106" i="2"/>
  <c r="EH106" i="2" s="1"/>
  <c r="DV106" i="2"/>
  <c r="DU106" i="2"/>
  <c r="DT106" i="2"/>
  <c r="DS106" i="2"/>
  <c r="DR106" i="2"/>
  <c r="DQ106" i="2"/>
  <c r="DP106" i="2"/>
  <c r="DO106" i="2"/>
  <c r="DN106" i="2"/>
  <c r="DM106" i="2"/>
  <c r="DL106" i="2"/>
  <c r="DK106" i="2"/>
  <c r="CF106" i="2"/>
  <c r="DD106" i="2" s="1"/>
  <c r="CC106" i="2"/>
  <c r="DA106" i="2" s="1"/>
  <c r="BZ106" i="2"/>
  <c r="CX106" i="2" s="1"/>
  <c r="BM106" i="2"/>
  <c r="BL106" i="2"/>
  <c r="BK106" i="2"/>
  <c r="BJ106" i="2"/>
  <c r="BI106" i="2"/>
  <c r="BH106" i="2"/>
  <c r="BG106" i="2"/>
  <c r="BF106" i="2"/>
  <c r="BE106" i="2"/>
  <c r="BD106" i="2"/>
  <c r="CB106" i="2" s="1"/>
  <c r="CZ106" i="2" s="1"/>
  <c r="BC106" i="2"/>
  <c r="BA106" i="2"/>
  <c r="AZ106" i="2"/>
  <c r="AY106" i="2"/>
  <c r="AX106" i="2"/>
  <c r="AW106" i="2"/>
  <c r="AV106" i="2"/>
  <c r="AU106" i="2"/>
  <c r="AT106" i="2"/>
  <c r="AS106" i="2"/>
  <c r="AR106" i="2"/>
  <c r="AQ106" i="2"/>
  <c r="AF106" i="2"/>
  <c r="AE106" i="2"/>
  <c r="X106" i="2"/>
  <c r="AJ106" i="2" s="1"/>
  <c r="U106" i="2"/>
  <c r="AG106" i="2" s="1"/>
  <c r="T106" i="2"/>
  <c r="S106" i="2"/>
  <c r="CA106" i="2" s="1"/>
  <c r="CY106" i="2" s="1"/>
  <c r="Q106" i="2"/>
  <c r="P106" i="2"/>
  <c r="O106" i="2"/>
  <c r="AA106" i="2" s="1"/>
  <c r="N106" i="2"/>
  <c r="Z106" i="2" s="1"/>
  <c r="M106" i="2"/>
  <c r="EB106" i="2" s="1"/>
  <c r="EM106" i="2" s="1"/>
  <c r="L106" i="2"/>
  <c r="K106" i="2"/>
  <c r="W107" i="2" s="1"/>
  <c r="J106" i="2"/>
  <c r="I106" i="2"/>
  <c r="EO105" i="2"/>
  <c r="EM105" i="2"/>
  <c r="EH105" i="2"/>
  <c r="EE105" i="2"/>
  <c r="EP105" i="2" s="1"/>
  <c r="EC105" i="2"/>
  <c r="EN105" i="2" s="1"/>
  <c r="EB105" i="2"/>
  <c r="EA105" i="2"/>
  <c r="DZ105" i="2"/>
  <c r="EK105" i="2" s="1"/>
  <c r="DW105" i="2"/>
  <c r="DV105" i="2"/>
  <c r="EG105" i="2" s="1"/>
  <c r="DU105" i="2"/>
  <c r="DT105" i="2"/>
  <c r="DS105" i="2"/>
  <c r="DR105" i="2"/>
  <c r="DQ105" i="2"/>
  <c r="DP105" i="2"/>
  <c r="DO105" i="2"/>
  <c r="DN105" i="2"/>
  <c r="DM105" i="2"/>
  <c r="DL105" i="2"/>
  <c r="DK105" i="2"/>
  <c r="CH105" i="2"/>
  <c r="DF105" i="2" s="1"/>
  <c r="BZ105" i="2"/>
  <c r="CX105" i="2" s="1"/>
  <c r="BM105" i="2"/>
  <c r="BL105" i="2"/>
  <c r="BK105" i="2"/>
  <c r="BJ105" i="2"/>
  <c r="BI105" i="2"/>
  <c r="BH105" i="2"/>
  <c r="BG105" i="2"/>
  <c r="BF105" i="2"/>
  <c r="BE105" i="2"/>
  <c r="BD105" i="2"/>
  <c r="BC105" i="2"/>
  <c r="BA105" i="2"/>
  <c r="AZ105" i="2"/>
  <c r="AY105" i="2"/>
  <c r="AX105" i="2"/>
  <c r="AW105" i="2"/>
  <c r="AV105" i="2"/>
  <c r="AU105" i="2"/>
  <c r="AT105" i="2"/>
  <c r="AS105" i="2"/>
  <c r="AR105" i="2"/>
  <c r="AQ105" i="2"/>
  <c r="Z105" i="2"/>
  <c r="AL105" i="2" s="1"/>
  <c r="W105" i="2"/>
  <c r="AI105" i="2" s="1"/>
  <c r="T105" i="2"/>
  <c r="CB105" i="2" s="1"/>
  <c r="CZ105" i="2" s="1"/>
  <c r="S105" i="2"/>
  <c r="Q105" i="2"/>
  <c r="AC105" i="2" s="1"/>
  <c r="P105" i="2"/>
  <c r="AB105" i="2" s="1"/>
  <c r="O105" i="2"/>
  <c r="ED105" i="2" s="1"/>
  <c r="N105" i="2"/>
  <c r="M105" i="2"/>
  <c r="Y106" i="2" s="1"/>
  <c r="L105" i="2"/>
  <c r="K105" i="2"/>
  <c r="J105" i="2"/>
  <c r="I105" i="2"/>
  <c r="DX105" i="2" s="1"/>
  <c r="EI105" i="2" s="1"/>
  <c r="EP104" i="2"/>
  <c r="EG104" i="2"/>
  <c r="EE104" i="2"/>
  <c r="ED104" i="2"/>
  <c r="EO104" i="2" s="1"/>
  <c r="EC104" i="2"/>
  <c r="EN104" i="2" s="1"/>
  <c r="EB104" i="2"/>
  <c r="EM104" i="2" s="1"/>
  <c r="DW104" i="2"/>
  <c r="EH104" i="2" s="1"/>
  <c r="DV104" i="2"/>
  <c r="DU104" i="2"/>
  <c r="DT104" i="2"/>
  <c r="DS104" i="2"/>
  <c r="DR104" i="2"/>
  <c r="DQ104" i="2"/>
  <c r="DP104" i="2"/>
  <c r="DO104" i="2"/>
  <c r="DN104" i="2"/>
  <c r="DM104" i="2"/>
  <c r="DL104" i="2"/>
  <c r="DK104" i="2"/>
  <c r="CJ104" i="2"/>
  <c r="DH104" i="2" s="1"/>
  <c r="CG104" i="2"/>
  <c r="DE104" i="2" s="1"/>
  <c r="BZ104" i="2"/>
  <c r="CX104" i="2" s="1"/>
  <c r="BM104" i="2"/>
  <c r="BL104" i="2"/>
  <c r="BK104" i="2"/>
  <c r="BJ104" i="2"/>
  <c r="BI104" i="2"/>
  <c r="BH104" i="2"/>
  <c r="BG104" i="2"/>
  <c r="BF104" i="2"/>
  <c r="BE104" i="2"/>
  <c r="BD104" i="2"/>
  <c r="BC104" i="2"/>
  <c r="CA104" i="2" s="1"/>
  <c r="CY104" i="2" s="1"/>
  <c r="BA104" i="2"/>
  <c r="AZ104" i="2"/>
  <c r="AY104" i="2"/>
  <c r="AX104" i="2"/>
  <c r="AW104" i="2"/>
  <c r="AV104" i="2"/>
  <c r="AU104" i="2"/>
  <c r="AT104" i="2"/>
  <c r="AS104" i="2"/>
  <c r="AR104" i="2"/>
  <c r="AQ104" i="2"/>
  <c r="AB104" i="2"/>
  <c r="AN104" i="2" s="1"/>
  <c r="Y104" i="2"/>
  <c r="AK104" i="2" s="1"/>
  <c r="V104" i="2"/>
  <c r="CD104" i="2" s="1"/>
  <c r="DB104" i="2" s="1"/>
  <c r="T104" i="2"/>
  <c r="AF104" i="2" s="1"/>
  <c r="S104" i="2"/>
  <c r="AE104" i="2" s="1"/>
  <c r="Q104" i="2"/>
  <c r="EF104" i="2" s="1"/>
  <c r="EQ104" i="2" s="1"/>
  <c r="P104" i="2"/>
  <c r="O104" i="2"/>
  <c r="AA105" i="2" s="1"/>
  <c r="N104" i="2"/>
  <c r="Z104" i="2" s="1"/>
  <c r="CH104" i="2" s="1"/>
  <c r="DF104" i="2" s="1"/>
  <c r="M104" i="2"/>
  <c r="L104" i="2"/>
  <c r="K104" i="2"/>
  <c r="DZ104" i="2" s="1"/>
  <c r="EK104" i="2" s="1"/>
  <c r="J104" i="2"/>
  <c r="DY104" i="2" s="1"/>
  <c r="EJ104" i="2" s="1"/>
  <c r="I104" i="2"/>
  <c r="DX104" i="2" s="1"/>
  <c r="EI104" i="2" s="1"/>
  <c r="EG103" i="2"/>
  <c r="EF103" i="2"/>
  <c r="EQ103" i="2" s="1"/>
  <c r="EE103" i="2"/>
  <c r="EP103" i="2" s="1"/>
  <c r="ED103" i="2"/>
  <c r="EO103" i="2" s="1"/>
  <c r="DW103" i="2"/>
  <c r="DV103" i="2"/>
  <c r="DU103" i="2"/>
  <c r="DT103" i="2"/>
  <c r="DS103" i="2"/>
  <c r="DR103" i="2"/>
  <c r="DQ103" i="2"/>
  <c r="DP103" i="2"/>
  <c r="DO103" i="2"/>
  <c r="DN103" i="2"/>
  <c r="DM103" i="2"/>
  <c r="DL103" i="2"/>
  <c r="DK103" i="2"/>
  <c r="BZ103" i="2"/>
  <c r="CX103" i="2" s="1"/>
  <c r="BM103" i="2"/>
  <c r="BL103" i="2"/>
  <c r="BK103" i="2"/>
  <c r="BJ103" i="2"/>
  <c r="BI103" i="2"/>
  <c r="BH103" i="2"/>
  <c r="BG103" i="2"/>
  <c r="BF103" i="2"/>
  <c r="BE103" i="2"/>
  <c r="BD103" i="2"/>
  <c r="CB103" i="2" s="1"/>
  <c r="CZ103" i="2" s="1"/>
  <c r="BC103" i="2"/>
  <c r="BA103" i="2"/>
  <c r="AZ103" i="2"/>
  <c r="AY103" i="2"/>
  <c r="AX103" i="2"/>
  <c r="AW103" i="2"/>
  <c r="AV103" i="2"/>
  <c r="AU103" i="2"/>
  <c r="AT103" i="2"/>
  <c r="AS103" i="2"/>
  <c r="AR103" i="2"/>
  <c r="AQ103" i="2"/>
  <c r="AF103" i="2"/>
  <c r="AE103" i="2"/>
  <c r="AA103" i="2"/>
  <c r="AM103" i="2" s="1"/>
  <c r="T103" i="2"/>
  <c r="S103" i="2"/>
  <c r="CA103" i="2" s="1"/>
  <c r="CY103" i="2" s="1"/>
  <c r="Q103" i="2"/>
  <c r="AC104" i="2" s="1"/>
  <c r="P103" i="2"/>
  <c r="O103" i="2"/>
  <c r="N103" i="2"/>
  <c r="M103" i="2"/>
  <c r="EB103" i="2" s="1"/>
  <c r="EM103" i="2" s="1"/>
  <c r="L103" i="2"/>
  <c r="EA103" i="2" s="1"/>
  <c r="EL103" i="2" s="1"/>
  <c r="K103" i="2"/>
  <c r="DZ103" i="2" s="1"/>
  <c r="EK103" i="2" s="1"/>
  <c r="J103" i="2"/>
  <c r="I103" i="2"/>
  <c r="U103" i="2" s="1"/>
  <c r="EI102" i="2"/>
  <c r="EG102" i="2"/>
  <c r="EF102" i="2"/>
  <c r="EQ102" i="2" s="1"/>
  <c r="DY102" i="2"/>
  <c r="EJ102" i="2" s="1"/>
  <c r="DW102" i="2"/>
  <c r="EH102" i="2" s="1"/>
  <c r="DV102" i="2"/>
  <c r="DU102" i="2"/>
  <c r="DT102" i="2"/>
  <c r="DS102" i="2"/>
  <c r="DR102" i="2"/>
  <c r="DQ102" i="2"/>
  <c r="DP102" i="2"/>
  <c r="DO102" i="2"/>
  <c r="DN102" i="2"/>
  <c r="DM102" i="2"/>
  <c r="DL102" i="2"/>
  <c r="DK102" i="2"/>
  <c r="CB102" i="2"/>
  <c r="CZ102" i="2" s="1"/>
  <c r="BZ102" i="2"/>
  <c r="CX102" i="2" s="1"/>
  <c r="BM102" i="2"/>
  <c r="CK102" i="2" s="1"/>
  <c r="DI102" i="2" s="1"/>
  <c r="BL102" i="2"/>
  <c r="BK102" i="2"/>
  <c r="BJ102" i="2"/>
  <c r="BI102" i="2"/>
  <c r="BH102" i="2"/>
  <c r="BG102" i="2"/>
  <c r="BF102" i="2"/>
  <c r="BE102" i="2"/>
  <c r="BD102" i="2"/>
  <c r="BC102" i="2"/>
  <c r="BA102" i="2"/>
  <c r="AZ102" i="2"/>
  <c r="AY102" i="2"/>
  <c r="AX102" i="2"/>
  <c r="AW102" i="2"/>
  <c r="AV102" i="2"/>
  <c r="AU102" i="2"/>
  <c r="AT102" i="2"/>
  <c r="AS102" i="2"/>
  <c r="AR102" i="2"/>
  <c r="AQ102" i="2"/>
  <c r="AC102" i="2"/>
  <c r="AO102" i="2" s="1"/>
  <c r="AA102" i="2"/>
  <c r="Y102" i="2"/>
  <c r="T102" i="2"/>
  <c r="AF102" i="2" s="1"/>
  <c r="S102" i="2"/>
  <c r="AE102" i="2" s="1"/>
  <c r="Q102" i="2"/>
  <c r="P102" i="2"/>
  <c r="O102" i="2"/>
  <c r="ED102" i="2" s="1"/>
  <c r="EO102" i="2" s="1"/>
  <c r="N102" i="2"/>
  <c r="EC102" i="2" s="1"/>
  <c r="EN102" i="2" s="1"/>
  <c r="M102" i="2"/>
  <c r="EB102" i="2" s="1"/>
  <c r="EM102" i="2" s="1"/>
  <c r="L102" i="2"/>
  <c r="K102" i="2"/>
  <c r="W102" i="2" s="1"/>
  <c r="J102" i="2"/>
  <c r="V102" i="2" s="1"/>
  <c r="I102" i="2"/>
  <c r="DX102" i="2" s="1"/>
  <c r="EK101" i="2"/>
  <c r="EJ101" i="2"/>
  <c r="EA101" i="2"/>
  <c r="EL101" i="2" s="1"/>
  <c r="DY101" i="2"/>
  <c r="DX101" i="2"/>
  <c r="EI101" i="2" s="1"/>
  <c r="DW101" i="2"/>
  <c r="DV101" i="2"/>
  <c r="EG101" i="2" s="1"/>
  <c r="DU101" i="2"/>
  <c r="DT101" i="2"/>
  <c r="DS101" i="2"/>
  <c r="DR101" i="2"/>
  <c r="DQ101" i="2"/>
  <c r="DP101" i="2"/>
  <c r="DO101" i="2"/>
  <c r="DN101" i="2"/>
  <c r="DM101" i="2"/>
  <c r="DL101" i="2"/>
  <c r="DK101" i="2"/>
  <c r="DB101" i="2"/>
  <c r="CX101" i="2"/>
  <c r="CD101" i="2"/>
  <c r="BZ101" i="2"/>
  <c r="BM101" i="2"/>
  <c r="BL101" i="2"/>
  <c r="BK101" i="2"/>
  <c r="BJ101" i="2"/>
  <c r="BI101" i="2"/>
  <c r="BH101" i="2"/>
  <c r="BG101" i="2"/>
  <c r="BF101" i="2"/>
  <c r="BE101" i="2"/>
  <c r="BD101" i="2"/>
  <c r="CB101" i="2" s="1"/>
  <c r="CZ101" i="2" s="1"/>
  <c r="BC101" i="2"/>
  <c r="BA101" i="2"/>
  <c r="AZ101" i="2"/>
  <c r="AY101" i="2"/>
  <c r="AX101" i="2"/>
  <c r="AW101" i="2"/>
  <c r="AV101" i="2"/>
  <c r="AU101" i="2"/>
  <c r="AT101" i="2"/>
  <c r="AS101" i="2"/>
  <c r="AR101" i="2"/>
  <c r="AQ101" i="2"/>
  <c r="AF101" i="2"/>
  <c r="AB101" i="2"/>
  <c r="CJ101" i="2" s="1"/>
  <c r="DH101" i="2" s="1"/>
  <c r="V101" i="2"/>
  <c r="AH101" i="2" s="1"/>
  <c r="T101" i="2"/>
  <c r="S101" i="2"/>
  <c r="Q101" i="2"/>
  <c r="EF101" i="2" s="1"/>
  <c r="EQ101" i="2" s="1"/>
  <c r="P101" i="2"/>
  <c r="EE101" i="2" s="1"/>
  <c r="EP101" i="2" s="1"/>
  <c r="O101" i="2"/>
  <c r="ED101" i="2" s="1"/>
  <c r="EO101" i="2" s="1"/>
  <c r="N101" i="2"/>
  <c r="M101" i="2"/>
  <c r="Y101" i="2" s="1"/>
  <c r="L101" i="2"/>
  <c r="X101" i="2" s="1"/>
  <c r="K101" i="2"/>
  <c r="DZ101" i="2" s="1"/>
  <c r="J101" i="2"/>
  <c r="I101" i="2"/>
  <c r="U102" i="2" s="1"/>
  <c r="EL100" i="2"/>
  <c r="EK100" i="2"/>
  <c r="EG100" i="2"/>
  <c r="EC100" i="2"/>
  <c r="EN100" i="2" s="1"/>
  <c r="EA100" i="2"/>
  <c r="DZ100" i="2"/>
  <c r="DY100" i="2"/>
  <c r="DX100" i="2"/>
  <c r="EI100" i="2" s="1"/>
  <c r="DW100" i="2"/>
  <c r="EH100" i="2" s="1"/>
  <c r="DV100" i="2"/>
  <c r="DU100" i="2"/>
  <c r="DT100" i="2"/>
  <c r="DS100" i="2"/>
  <c r="DR100" i="2"/>
  <c r="DQ100" i="2"/>
  <c r="DP100" i="2"/>
  <c r="DO100" i="2"/>
  <c r="DN100" i="2"/>
  <c r="DM100" i="2"/>
  <c r="DL100" i="2"/>
  <c r="DK100" i="2"/>
  <c r="CF100" i="2"/>
  <c r="DD100" i="2" s="1"/>
  <c r="CC100" i="2"/>
  <c r="DA100" i="2" s="1"/>
  <c r="BZ100" i="2"/>
  <c r="CX100" i="2" s="1"/>
  <c r="BM100" i="2"/>
  <c r="BL100" i="2"/>
  <c r="BK100" i="2"/>
  <c r="BJ100" i="2"/>
  <c r="BI100" i="2"/>
  <c r="BH100" i="2"/>
  <c r="BG100" i="2"/>
  <c r="BF100" i="2"/>
  <c r="BE100" i="2"/>
  <c r="BD100" i="2"/>
  <c r="CB100" i="2" s="1"/>
  <c r="CZ100" i="2" s="1"/>
  <c r="BC100" i="2"/>
  <c r="BA100" i="2"/>
  <c r="AZ100" i="2"/>
  <c r="AY100" i="2"/>
  <c r="AX100" i="2"/>
  <c r="AW100" i="2"/>
  <c r="AV100" i="2"/>
  <c r="AU100" i="2"/>
  <c r="AT100" i="2"/>
  <c r="AS100" i="2"/>
  <c r="AR100" i="2"/>
  <c r="AQ100" i="2"/>
  <c r="AF100" i="2"/>
  <c r="AE100" i="2"/>
  <c r="X100" i="2"/>
  <c r="AJ100" i="2" s="1"/>
  <c r="U100" i="2"/>
  <c r="AG100" i="2" s="1"/>
  <c r="T100" i="2"/>
  <c r="S100" i="2"/>
  <c r="CA100" i="2" s="1"/>
  <c r="CY100" i="2" s="1"/>
  <c r="Q100" i="2"/>
  <c r="P100" i="2"/>
  <c r="O100" i="2"/>
  <c r="AA100" i="2" s="1"/>
  <c r="N100" i="2"/>
  <c r="Z100" i="2" s="1"/>
  <c r="M100" i="2"/>
  <c r="EB100" i="2" s="1"/>
  <c r="EM100" i="2" s="1"/>
  <c r="L100" i="2"/>
  <c r="K100" i="2"/>
  <c r="W101" i="2" s="1"/>
  <c r="J100" i="2"/>
  <c r="I100" i="2"/>
  <c r="EO99" i="2"/>
  <c r="EM99" i="2"/>
  <c r="EH99" i="2"/>
  <c r="EE99" i="2"/>
  <c r="EP99" i="2" s="1"/>
  <c r="EC99" i="2"/>
  <c r="EN99" i="2" s="1"/>
  <c r="EB99" i="2"/>
  <c r="EA99" i="2"/>
  <c r="DZ99" i="2"/>
  <c r="EK99" i="2" s="1"/>
  <c r="DW99" i="2"/>
  <c r="DV99" i="2"/>
  <c r="EG99" i="2" s="1"/>
  <c r="DU99" i="2"/>
  <c r="DT99" i="2"/>
  <c r="DS99" i="2"/>
  <c r="DR99" i="2"/>
  <c r="DQ99" i="2"/>
  <c r="DP99" i="2"/>
  <c r="DO99" i="2"/>
  <c r="DN99" i="2"/>
  <c r="DM99" i="2"/>
  <c r="DL99" i="2"/>
  <c r="DK99" i="2"/>
  <c r="CH99" i="2"/>
  <c r="DF99" i="2" s="1"/>
  <c r="BZ99" i="2"/>
  <c r="CX99" i="2" s="1"/>
  <c r="BM99" i="2"/>
  <c r="BL99" i="2"/>
  <c r="BK99" i="2"/>
  <c r="BJ99" i="2"/>
  <c r="BI99" i="2"/>
  <c r="BH99" i="2"/>
  <c r="BG99" i="2"/>
  <c r="BF99" i="2"/>
  <c r="BE99" i="2"/>
  <c r="BD99" i="2"/>
  <c r="BC99" i="2"/>
  <c r="BA99" i="2"/>
  <c r="AZ99" i="2"/>
  <c r="AY99" i="2"/>
  <c r="AX99" i="2"/>
  <c r="AW99" i="2"/>
  <c r="AV99" i="2"/>
  <c r="AU99" i="2"/>
  <c r="AT99" i="2"/>
  <c r="AS99" i="2"/>
  <c r="AR99" i="2"/>
  <c r="AQ99" i="2"/>
  <c r="Z99" i="2"/>
  <c r="AL99" i="2" s="1"/>
  <c r="W99" i="2"/>
  <c r="AI99" i="2" s="1"/>
  <c r="T99" i="2"/>
  <c r="CB99" i="2" s="1"/>
  <c r="CZ99" i="2" s="1"/>
  <c r="S99" i="2"/>
  <c r="Q99" i="2"/>
  <c r="AC99" i="2" s="1"/>
  <c r="P99" i="2"/>
  <c r="AB99" i="2" s="1"/>
  <c r="O99" i="2"/>
  <c r="ED99" i="2" s="1"/>
  <c r="N99" i="2"/>
  <c r="M99" i="2"/>
  <c r="Y100" i="2" s="1"/>
  <c r="L99" i="2"/>
  <c r="K99" i="2"/>
  <c r="J99" i="2"/>
  <c r="I99" i="2"/>
  <c r="DX99" i="2" s="1"/>
  <c r="EI99" i="2" s="1"/>
  <c r="EP98" i="2"/>
  <c r="EG98" i="2"/>
  <c r="EE98" i="2"/>
  <c r="ED98" i="2"/>
  <c r="EO98" i="2" s="1"/>
  <c r="EC98" i="2"/>
  <c r="EN98" i="2" s="1"/>
  <c r="EB98" i="2"/>
  <c r="EM98" i="2" s="1"/>
  <c r="DW98" i="2"/>
  <c r="EH98" i="2" s="1"/>
  <c r="DV98" i="2"/>
  <c r="DU98" i="2"/>
  <c r="DT98" i="2"/>
  <c r="DS98" i="2"/>
  <c r="DR98" i="2"/>
  <c r="DQ98" i="2"/>
  <c r="DP98" i="2"/>
  <c r="DO98" i="2"/>
  <c r="DN98" i="2"/>
  <c r="DM98" i="2"/>
  <c r="DL98" i="2"/>
  <c r="DK98" i="2"/>
  <c r="CJ98" i="2"/>
  <c r="DH98" i="2" s="1"/>
  <c r="CG98" i="2"/>
  <c r="DE98" i="2" s="1"/>
  <c r="BZ98" i="2"/>
  <c r="CX98" i="2" s="1"/>
  <c r="BM98" i="2"/>
  <c r="BL98" i="2"/>
  <c r="BK98" i="2"/>
  <c r="BJ98" i="2"/>
  <c r="BI98" i="2"/>
  <c r="BH98" i="2"/>
  <c r="BG98" i="2"/>
  <c r="BF98" i="2"/>
  <c r="BE98" i="2"/>
  <c r="BD98" i="2"/>
  <c r="CB98" i="2" s="1"/>
  <c r="CZ98" i="2" s="1"/>
  <c r="BC98" i="2"/>
  <c r="CA98" i="2" s="1"/>
  <c r="CY98" i="2" s="1"/>
  <c r="BA98" i="2"/>
  <c r="AZ98" i="2"/>
  <c r="AY98" i="2"/>
  <c r="AX98" i="2"/>
  <c r="AW98" i="2"/>
  <c r="AV98" i="2"/>
  <c r="AU98" i="2"/>
  <c r="AT98" i="2"/>
  <c r="AS98" i="2"/>
  <c r="AR98" i="2"/>
  <c r="AQ98" i="2"/>
  <c r="AB98" i="2"/>
  <c r="AN98" i="2" s="1"/>
  <c r="Y98" i="2"/>
  <c r="AK98" i="2" s="1"/>
  <c r="V98" i="2"/>
  <c r="CD98" i="2" s="1"/>
  <c r="DB98" i="2" s="1"/>
  <c r="T98" i="2"/>
  <c r="AF98" i="2" s="1"/>
  <c r="S98" i="2"/>
  <c r="AE98" i="2" s="1"/>
  <c r="Q98" i="2"/>
  <c r="EF98" i="2" s="1"/>
  <c r="EQ98" i="2" s="1"/>
  <c r="P98" i="2"/>
  <c r="O98" i="2"/>
  <c r="AA99" i="2" s="1"/>
  <c r="N98" i="2"/>
  <c r="M98" i="2"/>
  <c r="L98" i="2"/>
  <c r="K98" i="2"/>
  <c r="DZ98" i="2" s="1"/>
  <c r="EK98" i="2" s="1"/>
  <c r="J98" i="2"/>
  <c r="DY98" i="2" s="1"/>
  <c r="EJ98" i="2" s="1"/>
  <c r="I98" i="2"/>
  <c r="DX98" i="2" s="1"/>
  <c r="EI98" i="2" s="1"/>
  <c r="EG97" i="2"/>
  <c r="EF97" i="2"/>
  <c r="EQ97" i="2" s="1"/>
  <c r="EE97" i="2"/>
  <c r="EP97" i="2" s="1"/>
  <c r="ED97" i="2"/>
  <c r="EO97" i="2" s="1"/>
  <c r="DW97" i="2"/>
  <c r="DV97" i="2"/>
  <c r="DU97" i="2"/>
  <c r="DT97" i="2"/>
  <c r="DS97" i="2"/>
  <c r="DR97" i="2"/>
  <c r="DQ97" i="2"/>
  <c r="DP97" i="2"/>
  <c r="DO97" i="2"/>
  <c r="DN97" i="2"/>
  <c r="DM97" i="2"/>
  <c r="DL97" i="2"/>
  <c r="DK97" i="2"/>
  <c r="CX97" i="2"/>
  <c r="CI97" i="2"/>
  <c r="DG97" i="2" s="1"/>
  <c r="CC97" i="2"/>
  <c r="DA97" i="2" s="1"/>
  <c r="BZ97" i="2"/>
  <c r="BM97" i="2"/>
  <c r="BL97" i="2"/>
  <c r="BK97" i="2"/>
  <c r="BJ97" i="2"/>
  <c r="BI97" i="2"/>
  <c r="BH97" i="2"/>
  <c r="BG97" i="2"/>
  <c r="BF97" i="2"/>
  <c r="BE97" i="2"/>
  <c r="BD97" i="2"/>
  <c r="CB97" i="2" s="1"/>
  <c r="CZ97" i="2" s="1"/>
  <c r="BC97" i="2"/>
  <c r="BA97" i="2"/>
  <c r="AZ97" i="2"/>
  <c r="AY97" i="2"/>
  <c r="AX97" i="2"/>
  <c r="AW97" i="2"/>
  <c r="AV97" i="2"/>
  <c r="AU97" i="2"/>
  <c r="AT97" i="2"/>
  <c r="AS97" i="2"/>
  <c r="AR97" i="2"/>
  <c r="AQ97" i="2"/>
  <c r="AF97" i="2"/>
  <c r="AE97" i="2"/>
  <c r="AA97" i="2"/>
  <c r="AM97" i="2" s="1"/>
  <c r="X97" i="2"/>
  <c r="CF97" i="2" s="1"/>
  <c r="DD97" i="2" s="1"/>
  <c r="T97" i="2"/>
  <c r="S97" i="2"/>
  <c r="CA97" i="2" s="1"/>
  <c r="CY97" i="2" s="1"/>
  <c r="Q97" i="2"/>
  <c r="P97" i="2"/>
  <c r="O97" i="2"/>
  <c r="N97" i="2"/>
  <c r="M97" i="2"/>
  <c r="EB97" i="2" s="1"/>
  <c r="EM97" i="2" s="1"/>
  <c r="L97" i="2"/>
  <c r="EA97" i="2" s="1"/>
  <c r="EL97" i="2" s="1"/>
  <c r="K97" i="2"/>
  <c r="DZ97" i="2" s="1"/>
  <c r="J97" i="2"/>
  <c r="I97" i="2"/>
  <c r="U97" i="2" s="1"/>
  <c r="AG97" i="2" s="1"/>
  <c r="EH96" i="2"/>
  <c r="EF96" i="2"/>
  <c r="EQ96" i="2" s="1"/>
  <c r="EB96" i="2"/>
  <c r="DY96" i="2"/>
  <c r="DW96" i="2"/>
  <c r="DV96" i="2"/>
  <c r="EG96" i="2" s="1"/>
  <c r="DU96" i="2"/>
  <c r="DT96" i="2"/>
  <c r="DS96" i="2"/>
  <c r="DR96" i="2"/>
  <c r="DQ96" i="2"/>
  <c r="DP96" i="2"/>
  <c r="DO96" i="2"/>
  <c r="DN96" i="2"/>
  <c r="DM96" i="2"/>
  <c r="DL96" i="2"/>
  <c r="DK96" i="2"/>
  <c r="BZ96" i="2"/>
  <c r="CX96" i="2" s="1"/>
  <c r="BM96" i="2"/>
  <c r="BL96" i="2"/>
  <c r="BK96" i="2"/>
  <c r="BJ96" i="2"/>
  <c r="BI96" i="2"/>
  <c r="BH96" i="2"/>
  <c r="BG96" i="2"/>
  <c r="BF96" i="2"/>
  <c r="BE96" i="2"/>
  <c r="BD96" i="2"/>
  <c r="BC96" i="2"/>
  <c r="BA96" i="2"/>
  <c r="AZ96" i="2"/>
  <c r="AY96" i="2"/>
  <c r="AX96" i="2"/>
  <c r="AW96" i="2"/>
  <c r="AV96" i="2"/>
  <c r="AU96" i="2"/>
  <c r="AT96" i="2"/>
  <c r="AS96" i="2"/>
  <c r="AR96" i="2"/>
  <c r="AQ96" i="2"/>
  <c r="AC96" i="2"/>
  <c r="AO96" i="2" s="1"/>
  <c r="Z96" i="2"/>
  <c r="CH96" i="2" s="1"/>
  <c r="DF96" i="2" s="1"/>
  <c r="T96" i="2"/>
  <c r="AF96" i="2" s="1"/>
  <c r="S96" i="2"/>
  <c r="AE96" i="2" s="1"/>
  <c r="Q96" i="2"/>
  <c r="P96" i="2"/>
  <c r="O96" i="2"/>
  <c r="ED96" i="2" s="1"/>
  <c r="EO96" i="2" s="1"/>
  <c r="N96" i="2"/>
  <c r="EC96" i="2" s="1"/>
  <c r="EN96" i="2" s="1"/>
  <c r="M96" i="2"/>
  <c r="Y97" i="2" s="1"/>
  <c r="L96" i="2"/>
  <c r="K96" i="2"/>
  <c r="W96" i="2" s="1"/>
  <c r="AI96" i="2" s="1"/>
  <c r="J96" i="2"/>
  <c r="V96" i="2" s="1"/>
  <c r="I96" i="2"/>
  <c r="DX96" i="2" s="1"/>
  <c r="EI96" i="2" s="1"/>
  <c r="EK95" i="2"/>
  <c r="EJ95" i="2"/>
  <c r="EA95" i="2"/>
  <c r="EL95" i="2" s="1"/>
  <c r="DY95" i="2"/>
  <c r="DW95" i="2"/>
  <c r="DV95" i="2"/>
  <c r="EG95" i="2" s="1"/>
  <c r="DU95" i="2"/>
  <c r="DT95" i="2"/>
  <c r="DS95" i="2"/>
  <c r="DR95" i="2"/>
  <c r="DQ95" i="2"/>
  <c r="DP95" i="2"/>
  <c r="DO95" i="2"/>
  <c r="DN95" i="2"/>
  <c r="DM95" i="2"/>
  <c r="DL95" i="2"/>
  <c r="DK95" i="2"/>
  <c r="CG95" i="2"/>
  <c r="DE95" i="2" s="1"/>
  <c r="BZ95" i="2"/>
  <c r="CX95" i="2" s="1"/>
  <c r="BM95" i="2"/>
  <c r="BL95" i="2"/>
  <c r="BK95" i="2"/>
  <c r="BJ95" i="2"/>
  <c r="BI95" i="2"/>
  <c r="BH95" i="2"/>
  <c r="BG95" i="2"/>
  <c r="BF95" i="2"/>
  <c r="BE95" i="2"/>
  <c r="BD95" i="2"/>
  <c r="CB95" i="2" s="1"/>
  <c r="CZ95" i="2" s="1"/>
  <c r="BC95" i="2"/>
  <c r="BA95" i="2"/>
  <c r="AZ95" i="2"/>
  <c r="AY95" i="2"/>
  <c r="AX95" i="2"/>
  <c r="AW95" i="2"/>
  <c r="AV95" i="2"/>
  <c r="AU95" i="2"/>
  <c r="AT95" i="2"/>
  <c r="AS95" i="2"/>
  <c r="AR95" i="2"/>
  <c r="AQ95" i="2"/>
  <c r="AF95" i="2"/>
  <c r="AB95" i="2"/>
  <c r="CJ95" i="2" s="1"/>
  <c r="DH95" i="2" s="1"/>
  <c r="V95" i="2"/>
  <c r="AH95" i="2" s="1"/>
  <c r="T95" i="2"/>
  <c r="S95" i="2"/>
  <c r="Q95" i="2"/>
  <c r="EF95" i="2" s="1"/>
  <c r="EQ95" i="2" s="1"/>
  <c r="P95" i="2"/>
  <c r="EE95" i="2" s="1"/>
  <c r="EP95" i="2" s="1"/>
  <c r="O95" i="2"/>
  <c r="AA96" i="2" s="1"/>
  <c r="N95" i="2"/>
  <c r="M95" i="2"/>
  <c r="Y95" i="2" s="1"/>
  <c r="AK95" i="2" s="1"/>
  <c r="L95" i="2"/>
  <c r="X95" i="2" s="1"/>
  <c r="K95" i="2"/>
  <c r="DZ95" i="2" s="1"/>
  <c r="J95" i="2"/>
  <c r="I95" i="2"/>
  <c r="EL94" i="2"/>
  <c r="EG94" i="2"/>
  <c r="EF94" i="2"/>
  <c r="EC94" i="2"/>
  <c r="EA94" i="2"/>
  <c r="DY94" i="2"/>
  <c r="DX94" i="2"/>
  <c r="EI94" i="2" s="1"/>
  <c r="DW94" i="2"/>
  <c r="EH94" i="2" s="1"/>
  <c r="DV94" i="2"/>
  <c r="DU94" i="2"/>
  <c r="DT94" i="2"/>
  <c r="DS94" i="2"/>
  <c r="DR94" i="2"/>
  <c r="DQ94" i="2"/>
  <c r="DP94" i="2"/>
  <c r="DO94" i="2"/>
  <c r="DN94" i="2"/>
  <c r="DM94" i="2"/>
  <c r="DL94" i="2"/>
  <c r="DK94" i="2"/>
  <c r="CI94" i="2"/>
  <c r="DG94" i="2" s="1"/>
  <c r="CC94" i="2"/>
  <c r="DA94" i="2" s="1"/>
  <c r="BZ94" i="2"/>
  <c r="CX94" i="2" s="1"/>
  <c r="BM94" i="2"/>
  <c r="BL94" i="2"/>
  <c r="BK94" i="2"/>
  <c r="BJ94" i="2"/>
  <c r="BI94" i="2"/>
  <c r="BH94" i="2"/>
  <c r="BG94" i="2"/>
  <c r="BF94" i="2"/>
  <c r="BE94" i="2"/>
  <c r="BD94" i="2"/>
  <c r="CB94" i="2" s="1"/>
  <c r="CZ94" i="2" s="1"/>
  <c r="BC94" i="2"/>
  <c r="BA94" i="2"/>
  <c r="AZ94" i="2"/>
  <c r="AY94" i="2"/>
  <c r="AX94" i="2"/>
  <c r="AW94" i="2"/>
  <c r="AV94" i="2"/>
  <c r="AU94" i="2"/>
  <c r="AT94" i="2"/>
  <c r="AS94" i="2"/>
  <c r="AR94" i="2"/>
  <c r="AQ94" i="2"/>
  <c r="AF94" i="2"/>
  <c r="X94" i="2"/>
  <c r="U94" i="2"/>
  <c r="AG94" i="2" s="1"/>
  <c r="T94" i="2"/>
  <c r="S94" i="2"/>
  <c r="CA94" i="2" s="1"/>
  <c r="CY94" i="2" s="1"/>
  <c r="Q94" i="2"/>
  <c r="AC95" i="2" s="1"/>
  <c r="P94" i="2"/>
  <c r="O94" i="2"/>
  <c r="AA94" i="2" s="1"/>
  <c r="AM94" i="2" s="1"/>
  <c r="N94" i="2"/>
  <c r="Z94" i="2" s="1"/>
  <c r="M94" i="2"/>
  <c r="EB94" i="2" s="1"/>
  <c r="EM94" i="2" s="1"/>
  <c r="L94" i="2"/>
  <c r="K94" i="2"/>
  <c r="J94" i="2"/>
  <c r="I94" i="2"/>
  <c r="EO93" i="2"/>
  <c r="EN93" i="2"/>
  <c r="EH93" i="2"/>
  <c r="EE93" i="2"/>
  <c r="EC93" i="2"/>
  <c r="EB93" i="2"/>
  <c r="EM93" i="2" s="1"/>
  <c r="EA93" i="2"/>
  <c r="EL93" i="2" s="1"/>
  <c r="DZ93" i="2"/>
  <c r="EK93" i="2" s="1"/>
  <c r="DW93" i="2"/>
  <c r="DV93" i="2"/>
  <c r="EG93" i="2" s="1"/>
  <c r="DU93" i="2"/>
  <c r="DT93" i="2"/>
  <c r="DS93" i="2"/>
  <c r="DR93" i="2"/>
  <c r="DQ93" i="2"/>
  <c r="DP93" i="2"/>
  <c r="DO93" i="2"/>
  <c r="DN93" i="2"/>
  <c r="DM93" i="2"/>
  <c r="DL93" i="2"/>
  <c r="DK93" i="2"/>
  <c r="CH93" i="2"/>
  <c r="DF93" i="2" s="1"/>
  <c r="CE93" i="2"/>
  <c r="DC93" i="2" s="1"/>
  <c r="BZ93" i="2"/>
  <c r="CX93" i="2" s="1"/>
  <c r="BM93" i="2"/>
  <c r="BL93" i="2"/>
  <c r="BK93" i="2"/>
  <c r="BJ93" i="2"/>
  <c r="BI93" i="2"/>
  <c r="BH93" i="2"/>
  <c r="BG93" i="2"/>
  <c r="BF93" i="2"/>
  <c r="BE93" i="2"/>
  <c r="BD93" i="2"/>
  <c r="BC93" i="2"/>
  <c r="BA93" i="2"/>
  <c r="AZ93" i="2"/>
  <c r="AY93" i="2"/>
  <c r="AX93" i="2"/>
  <c r="AW93" i="2"/>
  <c r="AV93" i="2"/>
  <c r="AU93" i="2"/>
  <c r="AT93" i="2"/>
  <c r="AS93" i="2"/>
  <c r="AR93" i="2"/>
  <c r="AQ93" i="2"/>
  <c r="AF93" i="2"/>
  <c r="Z93" i="2"/>
  <c r="AL93" i="2" s="1"/>
  <c r="W93" i="2"/>
  <c r="AI93" i="2" s="1"/>
  <c r="T93" i="2"/>
  <c r="CB93" i="2" s="1"/>
  <c r="CZ93" i="2" s="1"/>
  <c r="S93" i="2"/>
  <c r="Q93" i="2"/>
  <c r="AC93" i="2" s="1"/>
  <c r="AO93" i="2" s="1"/>
  <c r="P93" i="2"/>
  <c r="AB93" i="2" s="1"/>
  <c r="O93" i="2"/>
  <c r="ED93" i="2" s="1"/>
  <c r="N93" i="2"/>
  <c r="M93" i="2"/>
  <c r="L93" i="2"/>
  <c r="X93" i="2" s="1"/>
  <c r="K93" i="2"/>
  <c r="J93" i="2"/>
  <c r="I93" i="2"/>
  <c r="DX93" i="2" s="1"/>
  <c r="EI93" i="2" s="1"/>
  <c r="EG92" i="2"/>
  <c r="EE92" i="2"/>
  <c r="EP92" i="2" s="1"/>
  <c r="ED92" i="2"/>
  <c r="EO92" i="2" s="1"/>
  <c r="EC92" i="2"/>
  <c r="EB92" i="2"/>
  <c r="EM92" i="2" s="1"/>
  <c r="DW92" i="2"/>
  <c r="EH92" i="2" s="1"/>
  <c r="DV92" i="2"/>
  <c r="DU92" i="2"/>
  <c r="DT92" i="2"/>
  <c r="DS92" i="2"/>
  <c r="DR92" i="2"/>
  <c r="DQ92" i="2"/>
  <c r="DP92" i="2"/>
  <c r="DO92" i="2"/>
  <c r="DN92" i="2"/>
  <c r="DM92" i="2"/>
  <c r="DL92" i="2"/>
  <c r="DK92" i="2"/>
  <c r="CJ92" i="2"/>
  <c r="DH92" i="2" s="1"/>
  <c r="CG92" i="2"/>
  <c r="DE92" i="2" s="1"/>
  <c r="BZ92" i="2"/>
  <c r="CX92" i="2" s="1"/>
  <c r="BM92" i="2"/>
  <c r="BL92" i="2"/>
  <c r="BK92" i="2"/>
  <c r="BJ92" i="2"/>
  <c r="BI92" i="2"/>
  <c r="BH92" i="2"/>
  <c r="BG92" i="2"/>
  <c r="BF92" i="2"/>
  <c r="BE92" i="2"/>
  <c r="BD92" i="2"/>
  <c r="CB92" i="2" s="1"/>
  <c r="CZ92" i="2" s="1"/>
  <c r="BC92" i="2"/>
  <c r="CA92" i="2" s="1"/>
  <c r="CY92" i="2" s="1"/>
  <c r="BA92" i="2"/>
  <c r="AZ92" i="2"/>
  <c r="AY92" i="2"/>
  <c r="AX92" i="2"/>
  <c r="AW92" i="2"/>
  <c r="AV92" i="2"/>
  <c r="AU92" i="2"/>
  <c r="AT92" i="2"/>
  <c r="AS92" i="2"/>
  <c r="AR92" i="2"/>
  <c r="AQ92" i="2"/>
  <c r="AB92" i="2"/>
  <c r="AN92" i="2" s="1"/>
  <c r="Y92" i="2"/>
  <c r="AK92" i="2" s="1"/>
  <c r="V92" i="2"/>
  <c r="CD92" i="2" s="1"/>
  <c r="DB92" i="2" s="1"/>
  <c r="T92" i="2"/>
  <c r="AF92" i="2" s="1"/>
  <c r="S92" i="2"/>
  <c r="AE92" i="2" s="1"/>
  <c r="Q92" i="2"/>
  <c r="EF92" i="2" s="1"/>
  <c r="EQ92" i="2" s="1"/>
  <c r="P92" i="2"/>
  <c r="O92" i="2"/>
  <c r="N92" i="2"/>
  <c r="Z92" i="2" s="1"/>
  <c r="CH92" i="2" s="1"/>
  <c r="DF92" i="2" s="1"/>
  <c r="M92" i="2"/>
  <c r="L92" i="2"/>
  <c r="K92" i="2"/>
  <c r="DZ92" i="2" s="1"/>
  <c r="EK92" i="2" s="1"/>
  <c r="J92" i="2"/>
  <c r="DY92" i="2" s="1"/>
  <c r="EJ92" i="2" s="1"/>
  <c r="I92" i="2"/>
  <c r="U93" i="2" s="1"/>
  <c r="CC93" i="2" s="1"/>
  <c r="DA93" i="2" s="1"/>
  <c r="EL91" i="2"/>
  <c r="EG91" i="2"/>
  <c r="EE91" i="2"/>
  <c r="EP91" i="2" s="1"/>
  <c r="ED91" i="2"/>
  <c r="EO91" i="2" s="1"/>
  <c r="DW91" i="2"/>
  <c r="DV91" i="2"/>
  <c r="DU91" i="2"/>
  <c r="DT91" i="2"/>
  <c r="DS91" i="2"/>
  <c r="DR91" i="2"/>
  <c r="DQ91" i="2"/>
  <c r="DP91" i="2"/>
  <c r="DO91" i="2"/>
  <c r="DN91" i="2"/>
  <c r="DM91" i="2"/>
  <c r="DL91" i="2"/>
  <c r="DK91" i="2"/>
  <c r="CX91" i="2"/>
  <c r="BZ91" i="2"/>
  <c r="BM91" i="2"/>
  <c r="BL91" i="2"/>
  <c r="BK91" i="2"/>
  <c r="BJ91" i="2"/>
  <c r="BI91" i="2"/>
  <c r="BH91" i="2"/>
  <c r="BG91" i="2"/>
  <c r="BF91" i="2"/>
  <c r="BE91" i="2"/>
  <c r="BD91" i="2"/>
  <c r="CB91" i="2" s="1"/>
  <c r="CZ91" i="2" s="1"/>
  <c r="BC91" i="2"/>
  <c r="BA91" i="2"/>
  <c r="AZ91" i="2"/>
  <c r="AY91" i="2"/>
  <c r="AX91" i="2"/>
  <c r="AW91" i="2"/>
  <c r="AV91" i="2"/>
  <c r="AU91" i="2"/>
  <c r="AT91" i="2"/>
  <c r="AS91" i="2"/>
  <c r="AR91" i="2"/>
  <c r="AQ91" i="2"/>
  <c r="AF91" i="2"/>
  <c r="AA91" i="2"/>
  <c r="AM91" i="2" s="1"/>
  <c r="X91" i="2"/>
  <c r="T91" i="2"/>
  <c r="S91" i="2"/>
  <c r="CA91" i="2" s="1"/>
  <c r="CY91" i="2" s="1"/>
  <c r="Q91" i="2"/>
  <c r="EF91" i="2" s="1"/>
  <c r="EQ91" i="2" s="1"/>
  <c r="P91" i="2"/>
  <c r="O91" i="2"/>
  <c r="N91" i="2"/>
  <c r="M91" i="2"/>
  <c r="EB91" i="2" s="1"/>
  <c r="EM91" i="2" s="1"/>
  <c r="L91" i="2"/>
  <c r="EA91" i="2" s="1"/>
  <c r="K91" i="2"/>
  <c r="DZ91" i="2" s="1"/>
  <c r="EK91" i="2" s="1"/>
  <c r="J91" i="2"/>
  <c r="I91" i="2"/>
  <c r="U91" i="2" s="1"/>
  <c r="EF90" i="2"/>
  <c r="EQ90" i="2" s="1"/>
  <c r="EC90" i="2"/>
  <c r="EN90" i="2" s="1"/>
  <c r="DY90" i="2"/>
  <c r="EJ90" i="2" s="1"/>
  <c r="DW90" i="2"/>
  <c r="EH90" i="2" s="1"/>
  <c r="DV90" i="2"/>
  <c r="EG90" i="2" s="1"/>
  <c r="DU90" i="2"/>
  <c r="DT90" i="2"/>
  <c r="DS90" i="2"/>
  <c r="DR90" i="2"/>
  <c r="DQ90" i="2"/>
  <c r="DP90" i="2"/>
  <c r="DO90" i="2"/>
  <c r="DN90" i="2"/>
  <c r="DM90" i="2"/>
  <c r="DL90" i="2"/>
  <c r="DK90" i="2"/>
  <c r="BZ90" i="2"/>
  <c r="CX90" i="2" s="1"/>
  <c r="BM90" i="2"/>
  <c r="BL90" i="2"/>
  <c r="BK90" i="2"/>
  <c r="BJ90" i="2"/>
  <c r="BI90" i="2"/>
  <c r="BH90" i="2"/>
  <c r="BG90" i="2"/>
  <c r="BF90" i="2"/>
  <c r="BE90" i="2"/>
  <c r="BD90" i="2"/>
  <c r="BC90" i="2"/>
  <c r="BA90" i="2"/>
  <c r="AZ90" i="2"/>
  <c r="AY90" i="2"/>
  <c r="AX90" i="2"/>
  <c r="AW90" i="2"/>
  <c r="AV90" i="2"/>
  <c r="AU90" i="2"/>
  <c r="AT90" i="2"/>
  <c r="AS90" i="2"/>
  <c r="AR90" i="2"/>
  <c r="AQ90" i="2"/>
  <c r="AL90" i="2"/>
  <c r="AC90" i="2"/>
  <c r="AO90" i="2" s="1"/>
  <c r="AA90" i="2"/>
  <c r="CI90" i="2" s="1"/>
  <c r="DG90" i="2" s="1"/>
  <c r="Y90" i="2"/>
  <c r="T90" i="2"/>
  <c r="AF90" i="2" s="1"/>
  <c r="S90" i="2"/>
  <c r="AE90" i="2" s="1"/>
  <c r="Q90" i="2"/>
  <c r="P90" i="2"/>
  <c r="O90" i="2"/>
  <c r="ED90" i="2" s="1"/>
  <c r="EO90" i="2" s="1"/>
  <c r="N90" i="2"/>
  <c r="Z90" i="2" s="1"/>
  <c r="CH90" i="2" s="1"/>
  <c r="DF90" i="2" s="1"/>
  <c r="M90" i="2"/>
  <c r="EB90" i="2" s="1"/>
  <c r="EM90" i="2" s="1"/>
  <c r="L90" i="2"/>
  <c r="K90" i="2"/>
  <c r="W90" i="2" s="1"/>
  <c r="AI90" i="2" s="1"/>
  <c r="J90" i="2"/>
  <c r="I90" i="2"/>
  <c r="DX90" i="2" s="1"/>
  <c r="EI90" i="2" s="1"/>
  <c r="EK89" i="2"/>
  <c r="ED89" i="2"/>
  <c r="EO89" i="2" s="1"/>
  <c r="EA89" i="2"/>
  <c r="EL89" i="2" s="1"/>
  <c r="DW89" i="2"/>
  <c r="DV89" i="2"/>
  <c r="EG89" i="2" s="1"/>
  <c r="DU89" i="2"/>
  <c r="DT89" i="2"/>
  <c r="DS89" i="2"/>
  <c r="DR89" i="2"/>
  <c r="DQ89" i="2"/>
  <c r="DP89" i="2"/>
  <c r="DO89" i="2"/>
  <c r="DN89" i="2"/>
  <c r="DM89" i="2"/>
  <c r="DL89" i="2"/>
  <c r="DK89" i="2"/>
  <c r="DE89" i="2"/>
  <c r="CX89" i="2"/>
  <c r="CG89" i="2"/>
  <c r="BZ89" i="2"/>
  <c r="BM89" i="2"/>
  <c r="BL89" i="2"/>
  <c r="BK89" i="2"/>
  <c r="BJ89" i="2"/>
  <c r="BI89" i="2"/>
  <c r="BH89" i="2"/>
  <c r="BG89" i="2"/>
  <c r="BF89" i="2"/>
  <c r="BE89" i="2"/>
  <c r="BD89" i="2"/>
  <c r="CB89" i="2" s="1"/>
  <c r="CZ89" i="2" s="1"/>
  <c r="BC89" i="2"/>
  <c r="BA89" i="2"/>
  <c r="AZ89" i="2"/>
  <c r="AY89" i="2"/>
  <c r="AX89" i="2"/>
  <c r="AW89" i="2"/>
  <c r="AV89" i="2"/>
  <c r="AU89" i="2"/>
  <c r="AT89" i="2"/>
  <c r="AS89" i="2"/>
  <c r="AR89" i="2"/>
  <c r="AQ89" i="2"/>
  <c r="AF89" i="2"/>
  <c r="AA89" i="2"/>
  <c r="T89" i="2"/>
  <c r="S89" i="2"/>
  <c r="AE89" i="2" s="1"/>
  <c r="Q89" i="2"/>
  <c r="EF89" i="2" s="1"/>
  <c r="EQ89" i="2" s="1"/>
  <c r="P89" i="2"/>
  <c r="AB89" i="2" s="1"/>
  <c r="O89" i="2"/>
  <c r="N89" i="2"/>
  <c r="M89" i="2"/>
  <c r="Y89" i="2" s="1"/>
  <c r="AK89" i="2" s="1"/>
  <c r="L89" i="2"/>
  <c r="X89" i="2" s="1"/>
  <c r="CF89" i="2" s="1"/>
  <c r="DD89" i="2" s="1"/>
  <c r="K89" i="2"/>
  <c r="DZ89" i="2" s="1"/>
  <c r="J89" i="2"/>
  <c r="I89" i="2"/>
  <c r="U89" i="2" s="1"/>
  <c r="EM88" i="2"/>
  <c r="EL88" i="2"/>
  <c r="EG88" i="2"/>
  <c r="EC88" i="2"/>
  <c r="EN88" i="2" s="1"/>
  <c r="EA88" i="2"/>
  <c r="DZ88" i="2"/>
  <c r="EK88" i="2" s="1"/>
  <c r="DY88" i="2"/>
  <c r="DX88" i="2"/>
  <c r="EI88" i="2" s="1"/>
  <c r="DW88" i="2"/>
  <c r="EH88" i="2" s="1"/>
  <c r="DV88" i="2"/>
  <c r="DU88" i="2"/>
  <c r="DT88" i="2"/>
  <c r="DS88" i="2"/>
  <c r="DR88" i="2"/>
  <c r="DQ88" i="2"/>
  <c r="DP88" i="2"/>
  <c r="DO88" i="2"/>
  <c r="DN88" i="2"/>
  <c r="DM88" i="2"/>
  <c r="DL88" i="2"/>
  <c r="DK88" i="2"/>
  <c r="CC88" i="2"/>
  <c r="DA88" i="2" s="1"/>
  <c r="BZ88" i="2"/>
  <c r="CX88" i="2" s="1"/>
  <c r="BM88" i="2"/>
  <c r="BL88" i="2"/>
  <c r="BK88" i="2"/>
  <c r="BJ88" i="2"/>
  <c r="BI88" i="2"/>
  <c r="BH88" i="2"/>
  <c r="BG88" i="2"/>
  <c r="BF88" i="2"/>
  <c r="BE88" i="2"/>
  <c r="BD88" i="2"/>
  <c r="CB88" i="2" s="1"/>
  <c r="CZ88" i="2" s="1"/>
  <c r="BC88" i="2"/>
  <c r="BA88" i="2"/>
  <c r="AZ88" i="2"/>
  <c r="AY88" i="2"/>
  <c r="AX88" i="2"/>
  <c r="AW88" i="2"/>
  <c r="AV88" i="2"/>
  <c r="AU88" i="2"/>
  <c r="AT88" i="2"/>
  <c r="AS88" i="2"/>
  <c r="AR88" i="2"/>
  <c r="AQ88" i="2"/>
  <c r="AF88" i="2"/>
  <c r="X88" i="2"/>
  <c r="AJ88" i="2" s="1"/>
  <c r="U88" i="2"/>
  <c r="AG88" i="2" s="1"/>
  <c r="T88" i="2"/>
  <c r="S88" i="2"/>
  <c r="CA88" i="2" s="1"/>
  <c r="CY88" i="2" s="1"/>
  <c r="Q88" i="2"/>
  <c r="P88" i="2"/>
  <c r="O88" i="2"/>
  <c r="AA88" i="2" s="1"/>
  <c r="AM88" i="2" s="1"/>
  <c r="N88" i="2"/>
  <c r="Z88" i="2" s="1"/>
  <c r="CH88" i="2" s="1"/>
  <c r="DF88" i="2" s="1"/>
  <c r="M88" i="2"/>
  <c r="EB88" i="2" s="1"/>
  <c r="L88" i="2"/>
  <c r="K88" i="2"/>
  <c r="W88" i="2" s="1"/>
  <c r="J88" i="2"/>
  <c r="I88" i="2"/>
  <c r="EO87" i="2"/>
  <c r="EM87" i="2"/>
  <c r="EI87" i="2"/>
  <c r="EE87" i="2"/>
  <c r="EA87" i="2"/>
  <c r="EL87" i="2" s="1"/>
  <c r="DZ87" i="2"/>
  <c r="EK87" i="2" s="1"/>
  <c r="DW87" i="2"/>
  <c r="EH87" i="2" s="1"/>
  <c r="DV87" i="2"/>
  <c r="EG87" i="2" s="1"/>
  <c r="DU87" i="2"/>
  <c r="DT87" i="2"/>
  <c r="DS87" i="2"/>
  <c r="DR87" i="2"/>
  <c r="DQ87" i="2"/>
  <c r="DP87" i="2"/>
  <c r="DO87" i="2"/>
  <c r="DN87" i="2"/>
  <c r="DM87" i="2"/>
  <c r="DL87" i="2"/>
  <c r="DK87" i="2"/>
  <c r="DC87" i="2"/>
  <c r="CX87" i="2"/>
  <c r="CE87" i="2"/>
  <c r="BZ87" i="2"/>
  <c r="BM87" i="2"/>
  <c r="BL87" i="2"/>
  <c r="BK87" i="2"/>
  <c r="BJ87" i="2"/>
  <c r="BI87" i="2"/>
  <c r="BH87" i="2"/>
  <c r="BG87" i="2"/>
  <c r="BF87" i="2"/>
  <c r="BE87" i="2"/>
  <c r="BD87" i="2"/>
  <c r="BC87" i="2"/>
  <c r="BA87" i="2"/>
  <c r="AZ87" i="2"/>
  <c r="AY87" i="2"/>
  <c r="AX87" i="2"/>
  <c r="AW87" i="2"/>
  <c r="AV87" i="2"/>
  <c r="AU87" i="2"/>
  <c r="AT87" i="2"/>
  <c r="AS87" i="2"/>
  <c r="AR87" i="2"/>
  <c r="AQ87" i="2"/>
  <c r="AF87" i="2"/>
  <c r="AE87" i="2"/>
  <c r="AA87" i="2"/>
  <c r="CI87" i="2" s="1"/>
  <c r="DG87" i="2" s="1"/>
  <c r="W87" i="2"/>
  <c r="AI87" i="2" s="1"/>
  <c r="U87" i="2"/>
  <c r="CC87" i="2" s="1"/>
  <c r="DA87" i="2" s="1"/>
  <c r="T87" i="2"/>
  <c r="CB87" i="2" s="1"/>
  <c r="CZ87" i="2" s="1"/>
  <c r="S87" i="2"/>
  <c r="CA87" i="2" s="1"/>
  <c r="CY87" i="2" s="1"/>
  <c r="Q87" i="2"/>
  <c r="P87" i="2"/>
  <c r="AB87" i="2" s="1"/>
  <c r="O87" i="2"/>
  <c r="ED87" i="2" s="1"/>
  <c r="N87" i="2"/>
  <c r="EC87" i="2" s="1"/>
  <c r="EN87" i="2" s="1"/>
  <c r="M87" i="2"/>
  <c r="EB87" i="2" s="1"/>
  <c r="L87" i="2"/>
  <c r="K87" i="2"/>
  <c r="J87" i="2"/>
  <c r="I87" i="2"/>
  <c r="DX87" i="2" s="1"/>
  <c r="EQ86" i="2"/>
  <c r="EK86" i="2"/>
  <c r="EG86" i="2"/>
  <c r="EB86" i="2"/>
  <c r="EM86" i="2" s="1"/>
  <c r="DW86" i="2"/>
  <c r="DV86" i="2"/>
  <c r="DU86" i="2"/>
  <c r="DT86" i="2"/>
  <c r="DS86" i="2"/>
  <c r="DR86" i="2"/>
  <c r="DQ86" i="2"/>
  <c r="DP86" i="2"/>
  <c r="DO86" i="2"/>
  <c r="DN86" i="2"/>
  <c r="DM86" i="2"/>
  <c r="DL86" i="2"/>
  <c r="DK86" i="2"/>
  <c r="CX86" i="2"/>
  <c r="CG86" i="2"/>
  <c r="DE86" i="2" s="1"/>
  <c r="CB86" i="2"/>
  <c r="CZ86" i="2" s="1"/>
  <c r="BZ86" i="2"/>
  <c r="BM86" i="2"/>
  <c r="BL86" i="2"/>
  <c r="BK86" i="2"/>
  <c r="BJ86" i="2"/>
  <c r="BI86" i="2"/>
  <c r="BH86" i="2"/>
  <c r="BG86" i="2"/>
  <c r="BF86" i="2"/>
  <c r="BE86" i="2"/>
  <c r="BD86" i="2"/>
  <c r="BC86" i="2"/>
  <c r="CA86" i="2" s="1"/>
  <c r="CY86" i="2" s="1"/>
  <c r="BA86" i="2"/>
  <c r="AZ86" i="2"/>
  <c r="AY86" i="2"/>
  <c r="AX86" i="2"/>
  <c r="AW86" i="2"/>
  <c r="AV86" i="2"/>
  <c r="AU86" i="2"/>
  <c r="AT86" i="2"/>
  <c r="AS86" i="2"/>
  <c r="AR86" i="2"/>
  <c r="AQ86" i="2"/>
  <c r="AC86" i="2"/>
  <c r="CK86" i="2" s="1"/>
  <c r="DI86" i="2" s="1"/>
  <c r="AA86" i="2"/>
  <c r="Y86" i="2"/>
  <c r="AK86" i="2" s="1"/>
  <c r="W86" i="2"/>
  <c r="U86" i="2"/>
  <c r="CC86" i="2" s="1"/>
  <c r="DA86" i="2" s="1"/>
  <c r="T86" i="2"/>
  <c r="AF86" i="2" s="1"/>
  <c r="S86" i="2"/>
  <c r="AE86" i="2" s="1"/>
  <c r="Q86" i="2"/>
  <c r="EF86" i="2" s="1"/>
  <c r="P86" i="2"/>
  <c r="EE86" i="2" s="1"/>
  <c r="EP86" i="2" s="1"/>
  <c r="O86" i="2"/>
  <c r="ED86" i="2" s="1"/>
  <c r="EO86" i="2" s="1"/>
  <c r="N86" i="2"/>
  <c r="M86" i="2"/>
  <c r="L86" i="2"/>
  <c r="K86" i="2"/>
  <c r="DZ86" i="2" s="1"/>
  <c r="J86" i="2"/>
  <c r="I86" i="2"/>
  <c r="DX86" i="2" s="1"/>
  <c r="EI86" i="2" s="1"/>
  <c r="EM85" i="2"/>
  <c r="EG85" i="2"/>
  <c r="ED85" i="2"/>
  <c r="EA85" i="2"/>
  <c r="EL85" i="2" s="1"/>
  <c r="DW85" i="2"/>
  <c r="DV85" i="2"/>
  <c r="DU85" i="2"/>
  <c r="DT85" i="2"/>
  <c r="DS85" i="2"/>
  <c r="DR85" i="2"/>
  <c r="DQ85" i="2"/>
  <c r="DP85" i="2"/>
  <c r="DO85" i="2"/>
  <c r="DN85" i="2"/>
  <c r="DM85" i="2"/>
  <c r="DL85" i="2"/>
  <c r="DK85" i="2"/>
  <c r="CZ85" i="2"/>
  <c r="CX85" i="2"/>
  <c r="CJ85" i="2"/>
  <c r="DH85" i="2" s="1"/>
  <c r="CB85" i="2"/>
  <c r="BZ85" i="2"/>
  <c r="BM85" i="2"/>
  <c r="BL85" i="2"/>
  <c r="BK85" i="2"/>
  <c r="BJ85" i="2"/>
  <c r="BI85" i="2"/>
  <c r="BH85" i="2"/>
  <c r="BG85" i="2"/>
  <c r="BF85" i="2"/>
  <c r="BE85" i="2"/>
  <c r="BD85" i="2"/>
  <c r="BC85" i="2"/>
  <c r="BA85" i="2"/>
  <c r="AZ85" i="2"/>
  <c r="AY85" i="2"/>
  <c r="AX85" i="2"/>
  <c r="AW85" i="2"/>
  <c r="AV85" i="2"/>
  <c r="AU85" i="2"/>
  <c r="AT85" i="2"/>
  <c r="AS85" i="2"/>
  <c r="AR85" i="2"/>
  <c r="AQ85" i="2"/>
  <c r="AK85" i="2"/>
  <c r="AF85" i="2"/>
  <c r="AE85" i="2"/>
  <c r="AA85" i="2"/>
  <c r="AM85" i="2" s="1"/>
  <c r="Y85" i="2"/>
  <c r="CG85" i="2" s="1"/>
  <c r="DE85" i="2" s="1"/>
  <c r="V85" i="2"/>
  <c r="AH85" i="2" s="1"/>
  <c r="T85" i="2"/>
  <c r="S85" i="2"/>
  <c r="CA85" i="2" s="1"/>
  <c r="CY85" i="2" s="1"/>
  <c r="Q85" i="2"/>
  <c r="EF85" i="2" s="1"/>
  <c r="EQ85" i="2" s="1"/>
  <c r="P85" i="2"/>
  <c r="AB85" i="2" s="1"/>
  <c r="AN85" i="2" s="1"/>
  <c r="O85" i="2"/>
  <c r="N85" i="2"/>
  <c r="M85" i="2"/>
  <c r="EB85" i="2" s="1"/>
  <c r="L85" i="2"/>
  <c r="X85" i="2" s="1"/>
  <c r="K85" i="2"/>
  <c r="W85" i="2" s="1"/>
  <c r="J85" i="2"/>
  <c r="DY85" i="2" s="1"/>
  <c r="EJ85" i="2" s="1"/>
  <c r="I85" i="2"/>
  <c r="EO84" i="2"/>
  <c r="EM84" i="2"/>
  <c r="EG84" i="2"/>
  <c r="EF84" i="2"/>
  <c r="EQ84" i="2" s="1"/>
  <c r="EB84" i="2"/>
  <c r="EA84" i="2"/>
  <c r="EL84" i="2" s="1"/>
  <c r="DY84" i="2"/>
  <c r="DW84" i="2"/>
  <c r="EH84" i="2" s="1"/>
  <c r="DV84" i="2"/>
  <c r="DU84" i="2"/>
  <c r="DT84" i="2"/>
  <c r="DS84" i="2"/>
  <c r="DR84" i="2"/>
  <c r="DQ84" i="2"/>
  <c r="DP84" i="2"/>
  <c r="DO84" i="2"/>
  <c r="DN84" i="2"/>
  <c r="DM84" i="2"/>
  <c r="DL84" i="2"/>
  <c r="DK84" i="2"/>
  <c r="BZ84" i="2"/>
  <c r="CX84" i="2" s="1"/>
  <c r="BM84" i="2"/>
  <c r="BL84" i="2"/>
  <c r="BK84" i="2"/>
  <c r="BJ84" i="2"/>
  <c r="BI84" i="2"/>
  <c r="BH84" i="2"/>
  <c r="BG84" i="2"/>
  <c r="BF84" i="2"/>
  <c r="BE84" i="2"/>
  <c r="BD84" i="2"/>
  <c r="BC84" i="2"/>
  <c r="BA84" i="2"/>
  <c r="AZ84" i="2"/>
  <c r="AY84" i="2"/>
  <c r="AX84" i="2"/>
  <c r="AW84" i="2"/>
  <c r="AV84" i="2"/>
  <c r="AU84" i="2"/>
  <c r="AT84" i="2"/>
  <c r="AS84" i="2"/>
  <c r="AR84" i="2"/>
  <c r="AQ84" i="2"/>
  <c r="AK84" i="2"/>
  <c r="AF84" i="2"/>
  <c r="X84" i="2"/>
  <c r="T84" i="2"/>
  <c r="CB84" i="2" s="1"/>
  <c r="CZ84" i="2" s="1"/>
  <c r="S84" i="2"/>
  <c r="Q84" i="2"/>
  <c r="P84" i="2"/>
  <c r="O84" i="2"/>
  <c r="ED84" i="2" s="1"/>
  <c r="N84" i="2"/>
  <c r="Z84" i="2" s="1"/>
  <c r="M84" i="2"/>
  <c r="Y84" i="2" s="1"/>
  <c r="CG84" i="2" s="1"/>
  <c r="DE84" i="2" s="1"/>
  <c r="L84" i="2"/>
  <c r="K84" i="2"/>
  <c r="J84" i="2"/>
  <c r="I84" i="2"/>
  <c r="DX84" i="2" s="1"/>
  <c r="EI84" i="2" s="1"/>
  <c r="EM83" i="2"/>
  <c r="EJ83" i="2"/>
  <c r="EH83" i="2"/>
  <c r="ED83" i="2"/>
  <c r="EO83" i="2" s="1"/>
  <c r="EA83" i="2"/>
  <c r="EL83" i="2" s="1"/>
  <c r="DY83" i="2"/>
  <c r="DW83" i="2"/>
  <c r="DV83" i="2"/>
  <c r="EG83" i="2" s="1"/>
  <c r="DU83" i="2"/>
  <c r="DT83" i="2"/>
  <c r="DS83" i="2"/>
  <c r="DR83" i="2"/>
  <c r="DQ83" i="2"/>
  <c r="DP83" i="2"/>
  <c r="DO83" i="2"/>
  <c r="DN83" i="2"/>
  <c r="DM83" i="2"/>
  <c r="DL83" i="2"/>
  <c r="DK83" i="2"/>
  <c r="BZ83" i="2"/>
  <c r="CX83" i="2" s="1"/>
  <c r="BM83" i="2"/>
  <c r="BL83" i="2"/>
  <c r="BK83" i="2"/>
  <c r="BJ83" i="2"/>
  <c r="BI83" i="2"/>
  <c r="BH83" i="2"/>
  <c r="BG83" i="2"/>
  <c r="BF83" i="2"/>
  <c r="BE83" i="2"/>
  <c r="BD83" i="2"/>
  <c r="BC83" i="2"/>
  <c r="CA83" i="2" s="1"/>
  <c r="CY83" i="2" s="1"/>
  <c r="BA83" i="2"/>
  <c r="AZ83" i="2"/>
  <c r="AY83" i="2"/>
  <c r="AX83" i="2"/>
  <c r="AW83" i="2"/>
  <c r="AV83" i="2"/>
  <c r="AU83" i="2"/>
  <c r="AT83" i="2"/>
  <c r="AS83" i="2"/>
  <c r="AR83" i="2"/>
  <c r="AQ83" i="2"/>
  <c r="AE83" i="2"/>
  <c r="AA83" i="2"/>
  <c r="CI83" i="2" s="1"/>
  <c r="DG83" i="2" s="1"/>
  <c r="X83" i="2"/>
  <c r="AJ83" i="2" s="1"/>
  <c r="V83" i="2"/>
  <c r="AH83" i="2" s="1"/>
  <c r="T83" i="2"/>
  <c r="AF83" i="2" s="1"/>
  <c r="S83" i="2"/>
  <c r="Q83" i="2"/>
  <c r="P83" i="2"/>
  <c r="EE83" i="2" s="1"/>
  <c r="EP83" i="2" s="1"/>
  <c r="O83" i="2"/>
  <c r="AA84" i="2" s="1"/>
  <c r="N83" i="2"/>
  <c r="Z83" i="2" s="1"/>
  <c r="M83" i="2"/>
  <c r="EB83" i="2" s="1"/>
  <c r="L83" i="2"/>
  <c r="K83" i="2"/>
  <c r="DZ83" i="2" s="1"/>
  <c r="EK83" i="2" s="1"/>
  <c r="J83" i="2"/>
  <c r="I83" i="2"/>
  <c r="EN82" i="2"/>
  <c r="EL82" i="2"/>
  <c r="EH82" i="2"/>
  <c r="EF82" i="2"/>
  <c r="EQ82" i="2" s="1"/>
  <c r="ED82" i="2"/>
  <c r="EO82" i="2" s="1"/>
  <c r="EC82" i="2"/>
  <c r="EB82" i="2"/>
  <c r="EA82" i="2"/>
  <c r="DY82" i="2"/>
  <c r="EJ82" i="2" s="1"/>
  <c r="DW82" i="2"/>
  <c r="DV82" i="2"/>
  <c r="EG82" i="2" s="1"/>
  <c r="DU82" i="2"/>
  <c r="DT82" i="2"/>
  <c r="DS82" i="2"/>
  <c r="DR82" i="2"/>
  <c r="DQ82" i="2"/>
  <c r="DP82" i="2"/>
  <c r="DO82" i="2"/>
  <c r="DN82" i="2"/>
  <c r="DM82" i="2"/>
  <c r="DL82" i="2"/>
  <c r="DK82" i="2"/>
  <c r="BZ82" i="2"/>
  <c r="CX82" i="2" s="1"/>
  <c r="BM82" i="2"/>
  <c r="BL82" i="2"/>
  <c r="BK82" i="2"/>
  <c r="BJ82" i="2"/>
  <c r="BI82" i="2"/>
  <c r="BH82" i="2"/>
  <c r="BG82" i="2"/>
  <c r="BF82" i="2"/>
  <c r="BE82" i="2"/>
  <c r="BD82" i="2"/>
  <c r="BC82" i="2"/>
  <c r="CA82" i="2" s="1"/>
  <c r="CY82" i="2" s="1"/>
  <c r="BA82" i="2"/>
  <c r="AZ82" i="2"/>
  <c r="AY82" i="2"/>
  <c r="AX82" i="2"/>
  <c r="AW82" i="2"/>
  <c r="AV82" i="2"/>
  <c r="AU82" i="2"/>
  <c r="AT82" i="2"/>
  <c r="AS82" i="2"/>
  <c r="AR82" i="2"/>
  <c r="AQ82" i="2"/>
  <c r="AK82" i="2"/>
  <c r="AE82" i="2"/>
  <c r="AC82" i="2"/>
  <c r="AO82" i="2" s="1"/>
  <c r="Z82" i="2"/>
  <c r="AL82" i="2" s="1"/>
  <c r="X82" i="2"/>
  <c r="V82" i="2"/>
  <c r="AH82" i="2" s="1"/>
  <c r="T82" i="2"/>
  <c r="S82" i="2"/>
  <c r="Q82" i="2"/>
  <c r="P82" i="2"/>
  <c r="AB82" i="2" s="1"/>
  <c r="O82" i="2"/>
  <c r="AA82" i="2" s="1"/>
  <c r="AM82" i="2" s="1"/>
  <c r="N82" i="2"/>
  <c r="M82" i="2"/>
  <c r="Y82" i="2" s="1"/>
  <c r="CG82" i="2" s="1"/>
  <c r="DE82" i="2" s="1"/>
  <c r="L82" i="2"/>
  <c r="K82" i="2"/>
  <c r="J82" i="2"/>
  <c r="I82" i="2"/>
  <c r="DX82" i="2" s="1"/>
  <c r="EI82" i="2" s="1"/>
  <c r="EP81" i="2"/>
  <c r="EN81" i="2"/>
  <c r="EH81" i="2"/>
  <c r="EF81" i="2"/>
  <c r="EQ81" i="2" s="1"/>
  <c r="EE81" i="2"/>
  <c r="ED81" i="2"/>
  <c r="EO81" i="2" s="1"/>
  <c r="EC81" i="2"/>
  <c r="EA81" i="2"/>
  <c r="EL81" i="2" s="1"/>
  <c r="DW81" i="2"/>
  <c r="DV81" i="2"/>
  <c r="EG81" i="2" s="1"/>
  <c r="DU81" i="2"/>
  <c r="DT81" i="2"/>
  <c r="DS81" i="2"/>
  <c r="DR81" i="2"/>
  <c r="DQ81" i="2"/>
  <c r="DP81" i="2"/>
  <c r="DO81" i="2"/>
  <c r="DN81" i="2"/>
  <c r="DM81" i="2"/>
  <c r="DL81" i="2"/>
  <c r="DK81" i="2"/>
  <c r="BZ81" i="2"/>
  <c r="CX81" i="2" s="1"/>
  <c r="BM81" i="2"/>
  <c r="BL81" i="2"/>
  <c r="BK81" i="2"/>
  <c r="BJ81" i="2"/>
  <c r="BI81" i="2"/>
  <c r="BH81" i="2"/>
  <c r="BG81" i="2"/>
  <c r="BF81" i="2"/>
  <c r="BE81" i="2"/>
  <c r="BD81" i="2"/>
  <c r="BC81" i="2"/>
  <c r="BA81" i="2"/>
  <c r="AZ81" i="2"/>
  <c r="AY81" i="2"/>
  <c r="AX81" i="2"/>
  <c r="AW81" i="2"/>
  <c r="AV81" i="2"/>
  <c r="AU81" i="2"/>
  <c r="AT81" i="2"/>
  <c r="AS81" i="2"/>
  <c r="AR81" i="2"/>
  <c r="AQ81" i="2"/>
  <c r="AF81" i="2"/>
  <c r="AB81" i="2"/>
  <c r="AN81" i="2" s="1"/>
  <c r="Z81" i="2"/>
  <c r="X81" i="2"/>
  <c r="AJ81" i="2" s="1"/>
  <c r="V81" i="2"/>
  <c r="T81" i="2"/>
  <c r="CB81" i="2" s="1"/>
  <c r="CZ81" i="2" s="1"/>
  <c r="S81" i="2"/>
  <c r="AE81" i="2" s="1"/>
  <c r="Q81" i="2"/>
  <c r="AC81" i="2" s="1"/>
  <c r="AO81" i="2" s="1"/>
  <c r="P81" i="2"/>
  <c r="O81" i="2"/>
  <c r="N81" i="2"/>
  <c r="M81" i="2"/>
  <c r="L81" i="2"/>
  <c r="K81" i="2"/>
  <c r="DZ81" i="2" s="1"/>
  <c r="EK81" i="2" s="1"/>
  <c r="J81" i="2"/>
  <c r="DY81" i="2" s="1"/>
  <c r="EJ81" i="2" s="1"/>
  <c r="I81" i="2"/>
  <c r="EP80" i="2"/>
  <c r="EJ80" i="2"/>
  <c r="EH80" i="2"/>
  <c r="EF80" i="2"/>
  <c r="EE80" i="2"/>
  <c r="EC80" i="2"/>
  <c r="EN80" i="2" s="1"/>
  <c r="DX80" i="2"/>
  <c r="DW80" i="2"/>
  <c r="DV80" i="2"/>
  <c r="EG80" i="2" s="1"/>
  <c r="DU80" i="2"/>
  <c r="DT80" i="2"/>
  <c r="DS80" i="2"/>
  <c r="DR80" i="2"/>
  <c r="DQ80" i="2"/>
  <c r="DP80" i="2"/>
  <c r="DO80" i="2"/>
  <c r="DN80" i="2"/>
  <c r="DM80" i="2"/>
  <c r="DL80" i="2"/>
  <c r="DK80" i="2"/>
  <c r="BZ80" i="2"/>
  <c r="CX80" i="2" s="1"/>
  <c r="BM80" i="2"/>
  <c r="BL80" i="2"/>
  <c r="BK80" i="2"/>
  <c r="BJ80" i="2"/>
  <c r="BI80" i="2"/>
  <c r="BH80" i="2"/>
  <c r="BG80" i="2"/>
  <c r="BF80" i="2"/>
  <c r="BE80" i="2"/>
  <c r="BD80" i="2"/>
  <c r="BC80" i="2"/>
  <c r="CA80" i="2" s="1"/>
  <c r="CY80" i="2" s="1"/>
  <c r="BA80" i="2"/>
  <c r="AZ80" i="2"/>
  <c r="AY80" i="2"/>
  <c r="AX80" i="2"/>
  <c r="AW80" i="2"/>
  <c r="AV80" i="2"/>
  <c r="AU80" i="2"/>
  <c r="AT80" i="2"/>
  <c r="AS80" i="2"/>
  <c r="AR80" i="2"/>
  <c r="AQ80" i="2"/>
  <c r="AE80" i="2"/>
  <c r="AB80" i="2"/>
  <c r="Z80" i="2"/>
  <c r="AL80" i="2" s="1"/>
  <c r="X80" i="2"/>
  <c r="U80" i="2"/>
  <c r="AG80" i="2" s="1"/>
  <c r="T80" i="2"/>
  <c r="AF80" i="2" s="1"/>
  <c r="S80" i="2"/>
  <c r="Q80" i="2"/>
  <c r="P80" i="2"/>
  <c r="O80" i="2"/>
  <c r="N80" i="2"/>
  <c r="M80" i="2"/>
  <c r="EB80" i="2" s="1"/>
  <c r="EM80" i="2" s="1"/>
  <c r="L80" i="2"/>
  <c r="EA80" i="2" s="1"/>
  <c r="EL80" i="2" s="1"/>
  <c r="K80" i="2"/>
  <c r="J80" i="2"/>
  <c r="DY80" i="2" s="1"/>
  <c r="I80" i="2"/>
  <c r="EH79" i="2"/>
  <c r="EE79" i="2"/>
  <c r="EP79" i="2" s="1"/>
  <c r="DZ79" i="2"/>
  <c r="EK79" i="2" s="1"/>
  <c r="DX79" i="2"/>
  <c r="EI79" i="2" s="1"/>
  <c r="DW79" i="2"/>
  <c r="DV79" i="2"/>
  <c r="EG79" i="2" s="1"/>
  <c r="DU79" i="2"/>
  <c r="DT79" i="2"/>
  <c r="DS79" i="2"/>
  <c r="DR79" i="2"/>
  <c r="DQ79" i="2"/>
  <c r="DP79" i="2"/>
  <c r="DO79" i="2"/>
  <c r="DN79" i="2"/>
  <c r="DM79" i="2"/>
  <c r="DL79" i="2"/>
  <c r="DK79" i="2"/>
  <c r="BZ79" i="2"/>
  <c r="CX79" i="2" s="1"/>
  <c r="BM79" i="2"/>
  <c r="BL79" i="2"/>
  <c r="BK79" i="2"/>
  <c r="BJ79" i="2"/>
  <c r="BI79" i="2"/>
  <c r="BH79" i="2"/>
  <c r="BG79" i="2"/>
  <c r="BF79" i="2"/>
  <c r="BE79" i="2"/>
  <c r="CC79" i="2" s="1"/>
  <c r="DA79" i="2" s="1"/>
  <c r="BD79" i="2"/>
  <c r="BC79" i="2"/>
  <c r="CA79" i="2" s="1"/>
  <c r="CY79" i="2" s="1"/>
  <c r="BA79" i="2"/>
  <c r="AZ79" i="2"/>
  <c r="AY79" i="2"/>
  <c r="AX79" i="2"/>
  <c r="AW79" i="2"/>
  <c r="AV79" i="2"/>
  <c r="AU79" i="2"/>
  <c r="AT79" i="2"/>
  <c r="AS79" i="2"/>
  <c r="AR79" i="2"/>
  <c r="AQ79" i="2"/>
  <c r="AE79" i="2"/>
  <c r="AB79" i="2"/>
  <c r="AN79" i="2" s="1"/>
  <c r="Z79" i="2"/>
  <c r="W79" i="2"/>
  <c r="AI79" i="2" s="1"/>
  <c r="T79" i="2"/>
  <c r="AF79" i="2" s="1"/>
  <c r="S79" i="2"/>
  <c r="Q79" i="2"/>
  <c r="P79" i="2"/>
  <c r="O79" i="2"/>
  <c r="ED79" i="2" s="1"/>
  <c r="EO79" i="2" s="1"/>
  <c r="N79" i="2"/>
  <c r="EC79" i="2" s="1"/>
  <c r="EN79" i="2" s="1"/>
  <c r="M79" i="2"/>
  <c r="L79" i="2"/>
  <c r="EA79" i="2" s="1"/>
  <c r="EL79" i="2" s="1"/>
  <c r="K79" i="2"/>
  <c r="J79" i="2"/>
  <c r="V79" i="2" s="1"/>
  <c r="I79" i="2"/>
  <c r="U79" i="2" s="1"/>
  <c r="AG79" i="2" s="1"/>
  <c r="EN78" i="2"/>
  <c r="EJ78" i="2"/>
  <c r="EH78" i="2"/>
  <c r="EG78" i="2"/>
  <c r="EB78" i="2"/>
  <c r="EM78" i="2" s="1"/>
  <c r="DZ78" i="2"/>
  <c r="EK78" i="2" s="1"/>
  <c r="DY78" i="2"/>
  <c r="DX78" i="2"/>
  <c r="DW78" i="2"/>
  <c r="DV78" i="2"/>
  <c r="DU78" i="2"/>
  <c r="DT78" i="2"/>
  <c r="DS78" i="2"/>
  <c r="DR78" i="2"/>
  <c r="DQ78" i="2"/>
  <c r="DP78" i="2"/>
  <c r="DO78" i="2"/>
  <c r="DN78" i="2"/>
  <c r="DM78" i="2"/>
  <c r="DL78" i="2"/>
  <c r="DK78" i="2"/>
  <c r="BZ78" i="2"/>
  <c r="CX78" i="2" s="1"/>
  <c r="BM78" i="2"/>
  <c r="BL78" i="2"/>
  <c r="BK78" i="2"/>
  <c r="BJ78" i="2"/>
  <c r="BI78" i="2"/>
  <c r="BH78" i="2"/>
  <c r="BG78" i="2"/>
  <c r="BF78" i="2"/>
  <c r="BE78" i="2"/>
  <c r="BD78" i="2"/>
  <c r="BC78" i="2"/>
  <c r="CA78" i="2" s="1"/>
  <c r="CY78" i="2" s="1"/>
  <c r="BA78" i="2"/>
  <c r="AZ78" i="2"/>
  <c r="AY78" i="2"/>
  <c r="AX78" i="2"/>
  <c r="AW78" i="2"/>
  <c r="AV78" i="2"/>
  <c r="AU78" i="2"/>
  <c r="AT78" i="2"/>
  <c r="AS78" i="2"/>
  <c r="AR78" i="2"/>
  <c r="AQ78" i="2"/>
  <c r="AE78" i="2"/>
  <c r="AB78" i="2"/>
  <c r="Y78" i="2"/>
  <c r="AK78" i="2" s="1"/>
  <c r="V78" i="2"/>
  <c r="AH78" i="2" s="1"/>
  <c r="T78" i="2"/>
  <c r="S78" i="2"/>
  <c r="Q78" i="2"/>
  <c r="EF78" i="2" s="1"/>
  <c r="EQ78" i="2" s="1"/>
  <c r="P78" i="2"/>
  <c r="EE78" i="2" s="1"/>
  <c r="EP78" i="2" s="1"/>
  <c r="O78" i="2"/>
  <c r="N78" i="2"/>
  <c r="EC78" i="2" s="1"/>
  <c r="M78" i="2"/>
  <c r="L78" i="2"/>
  <c r="X78" i="2" s="1"/>
  <c r="K78" i="2"/>
  <c r="W78" i="2" s="1"/>
  <c r="AI78" i="2" s="1"/>
  <c r="J78" i="2"/>
  <c r="I78" i="2"/>
  <c r="U78" i="2" s="1"/>
  <c r="EL77" i="2"/>
  <c r="EJ77" i="2"/>
  <c r="ED77" i="2"/>
  <c r="EB77" i="2"/>
  <c r="EM77" i="2" s="1"/>
  <c r="EA77" i="2"/>
  <c r="DZ77" i="2"/>
  <c r="DY77" i="2"/>
  <c r="DW77" i="2"/>
  <c r="DV77" i="2"/>
  <c r="EG77" i="2" s="1"/>
  <c r="DU77" i="2"/>
  <c r="DT77" i="2"/>
  <c r="DS77" i="2"/>
  <c r="DR77" i="2"/>
  <c r="DQ77" i="2"/>
  <c r="DP77" i="2"/>
  <c r="DO77" i="2"/>
  <c r="DN77" i="2"/>
  <c r="DM77" i="2"/>
  <c r="DL77" i="2"/>
  <c r="DK77" i="2"/>
  <c r="CX77" i="2"/>
  <c r="BZ77" i="2"/>
  <c r="BM77" i="2"/>
  <c r="BL77" i="2"/>
  <c r="BK77" i="2"/>
  <c r="BJ77" i="2"/>
  <c r="BI77" i="2"/>
  <c r="BH77" i="2"/>
  <c r="BG77" i="2"/>
  <c r="BF77" i="2"/>
  <c r="BE77" i="2"/>
  <c r="BD77" i="2"/>
  <c r="BC77" i="2"/>
  <c r="CA77" i="2" s="1"/>
  <c r="CY77" i="2" s="1"/>
  <c r="BA77" i="2"/>
  <c r="AZ77" i="2"/>
  <c r="AY77" i="2"/>
  <c r="AX77" i="2"/>
  <c r="AW77" i="2"/>
  <c r="AV77" i="2"/>
  <c r="AU77" i="2"/>
  <c r="AT77" i="2"/>
  <c r="AS77" i="2"/>
  <c r="AR77" i="2"/>
  <c r="AQ77" i="2"/>
  <c r="AI77" i="2"/>
  <c r="AE77" i="2"/>
  <c r="AA77" i="2"/>
  <c r="X77" i="2"/>
  <c r="AJ77" i="2" s="1"/>
  <c r="V77" i="2"/>
  <c r="T77" i="2"/>
  <c r="AF77" i="2" s="1"/>
  <c r="S77" i="2"/>
  <c r="Q77" i="2"/>
  <c r="P77" i="2"/>
  <c r="EE77" i="2" s="1"/>
  <c r="EP77" i="2" s="1"/>
  <c r="O77" i="2"/>
  <c r="N77" i="2"/>
  <c r="M77" i="2"/>
  <c r="Y77" i="2" s="1"/>
  <c r="AK77" i="2" s="1"/>
  <c r="L77" i="2"/>
  <c r="K77" i="2"/>
  <c r="W77" i="2" s="1"/>
  <c r="CE77" i="2" s="1"/>
  <c r="DC77" i="2" s="1"/>
  <c r="J77" i="2"/>
  <c r="I77" i="2"/>
  <c r="EN76" i="2"/>
  <c r="EL76" i="2"/>
  <c r="EH76" i="2"/>
  <c r="EF76" i="2"/>
  <c r="EQ76" i="2" s="1"/>
  <c r="ED76" i="2"/>
  <c r="EO76" i="2" s="1"/>
  <c r="EC76" i="2"/>
  <c r="EB76" i="2"/>
  <c r="EA76" i="2"/>
  <c r="DY76" i="2"/>
  <c r="DW76" i="2"/>
  <c r="DV76" i="2"/>
  <c r="EG76" i="2" s="1"/>
  <c r="DU76" i="2"/>
  <c r="DT76" i="2"/>
  <c r="DS76" i="2"/>
  <c r="DR76" i="2"/>
  <c r="DQ76" i="2"/>
  <c r="DP76" i="2"/>
  <c r="DO76" i="2"/>
  <c r="DN76" i="2"/>
  <c r="DM76" i="2"/>
  <c r="DL76" i="2"/>
  <c r="DK76" i="2"/>
  <c r="CI76" i="2"/>
  <c r="DG76" i="2" s="1"/>
  <c r="CG76" i="2"/>
  <c r="DE76" i="2" s="1"/>
  <c r="BZ76" i="2"/>
  <c r="CX76" i="2" s="1"/>
  <c r="BM76" i="2"/>
  <c r="BL76" i="2"/>
  <c r="BK76" i="2"/>
  <c r="BJ76" i="2"/>
  <c r="BI76" i="2"/>
  <c r="BH76" i="2"/>
  <c r="BG76" i="2"/>
  <c r="BF76" i="2"/>
  <c r="BE76" i="2"/>
  <c r="BD76" i="2"/>
  <c r="CB76" i="2" s="1"/>
  <c r="CZ76" i="2" s="1"/>
  <c r="BC76" i="2"/>
  <c r="CA76" i="2" s="1"/>
  <c r="CY76" i="2" s="1"/>
  <c r="BA76" i="2"/>
  <c r="AZ76" i="2"/>
  <c r="AY76" i="2"/>
  <c r="AX76" i="2"/>
  <c r="AW76" i="2"/>
  <c r="AV76" i="2"/>
  <c r="AU76" i="2"/>
  <c r="AT76" i="2"/>
  <c r="AS76" i="2"/>
  <c r="AR76" i="2"/>
  <c r="AQ76" i="2"/>
  <c r="AE76" i="2"/>
  <c r="AC76" i="2"/>
  <c r="Z76" i="2"/>
  <c r="AL76" i="2" s="1"/>
  <c r="X76" i="2"/>
  <c r="V76" i="2"/>
  <c r="T76" i="2"/>
  <c r="AF76" i="2" s="1"/>
  <c r="S76" i="2"/>
  <c r="Q76" i="2"/>
  <c r="P76" i="2"/>
  <c r="O76" i="2"/>
  <c r="AA76" i="2" s="1"/>
  <c r="AM76" i="2" s="1"/>
  <c r="N76" i="2"/>
  <c r="M76" i="2"/>
  <c r="Y76" i="2" s="1"/>
  <c r="AK76" i="2" s="1"/>
  <c r="L76" i="2"/>
  <c r="K76" i="2"/>
  <c r="J76" i="2"/>
  <c r="I76" i="2"/>
  <c r="EP75" i="2"/>
  <c r="EN75" i="2"/>
  <c r="EH75" i="2"/>
  <c r="EF75" i="2"/>
  <c r="EQ75" i="2" s="1"/>
  <c r="EE75" i="2"/>
  <c r="ED75" i="2"/>
  <c r="EO75" i="2" s="1"/>
  <c r="EC75" i="2"/>
  <c r="EA75" i="2"/>
  <c r="EL75" i="2" s="1"/>
  <c r="DW75" i="2"/>
  <c r="DV75" i="2"/>
  <c r="EG75" i="2" s="1"/>
  <c r="DU75" i="2"/>
  <c r="DT75" i="2"/>
  <c r="DS75" i="2"/>
  <c r="DR75" i="2"/>
  <c r="DQ75" i="2"/>
  <c r="DP75" i="2"/>
  <c r="DO75" i="2"/>
  <c r="DN75" i="2"/>
  <c r="DM75" i="2"/>
  <c r="DL75" i="2"/>
  <c r="DK75" i="2"/>
  <c r="CI75" i="2"/>
  <c r="DG75" i="2" s="1"/>
  <c r="CD75" i="2"/>
  <c r="DB75" i="2" s="1"/>
  <c r="BZ75" i="2"/>
  <c r="CX75" i="2" s="1"/>
  <c r="BM75" i="2"/>
  <c r="BL75" i="2"/>
  <c r="BK75" i="2"/>
  <c r="BJ75" i="2"/>
  <c r="BI75" i="2"/>
  <c r="BH75" i="2"/>
  <c r="BG75" i="2"/>
  <c r="BF75" i="2"/>
  <c r="BE75" i="2"/>
  <c r="BD75" i="2"/>
  <c r="BC75" i="2"/>
  <c r="BA75" i="2"/>
  <c r="AZ75" i="2"/>
  <c r="AY75" i="2"/>
  <c r="AX75" i="2"/>
  <c r="AW75" i="2"/>
  <c r="AV75" i="2"/>
  <c r="AU75" i="2"/>
  <c r="AT75" i="2"/>
  <c r="AS75" i="2"/>
  <c r="AR75" i="2"/>
  <c r="AQ75" i="2"/>
  <c r="AM75" i="2"/>
  <c r="AB75" i="2"/>
  <c r="AN75" i="2" s="1"/>
  <c r="Z75" i="2"/>
  <c r="X75" i="2"/>
  <c r="V75" i="2"/>
  <c r="AH75" i="2" s="1"/>
  <c r="T75" i="2"/>
  <c r="CB75" i="2" s="1"/>
  <c r="CZ75" i="2" s="1"/>
  <c r="S75" i="2"/>
  <c r="Q75" i="2"/>
  <c r="P75" i="2"/>
  <c r="O75" i="2"/>
  <c r="AA75" i="2" s="1"/>
  <c r="N75" i="2"/>
  <c r="M75" i="2"/>
  <c r="L75" i="2"/>
  <c r="K75" i="2"/>
  <c r="J75" i="2"/>
  <c r="DY75" i="2" s="1"/>
  <c r="EJ75" i="2" s="1"/>
  <c r="I75" i="2"/>
  <c r="EP74" i="2"/>
  <c r="EJ74" i="2"/>
  <c r="EH74" i="2"/>
  <c r="EF74" i="2"/>
  <c r="EQ74" i="2" s="1"/>
  <c r="EE74" i="2"/>
  <c r="EC74" i="2"/>
  <c r="DW74" i="2"/>
  <c r="DV74" i="2"/>
  <c r="EG74" i="2" s="1"/>
  <c r="DU74" i="2"/>
  <c r="DT74" i="2"/>
  <c r="DS74" i="2"/>
  <c r="DR74" i="2"/>
  <c r="DQ74" i="2"/>
  <c r="DP74" i="2"/>
  <c r="DO74" i="2"/>
  <c r="DN74" i="2"/>
  <c r="DM74" i="2"/>
  <c r="DL74" i="2"/>
  <c r="DK74" i="2"/>
  <c r="BZ74" i="2"/>
  <c r="CX74" i="2" s="1"/>
  <c r="BM74" i="2"/>
  <c r="BL74" i="2"/>
  <c r="BK74" i="2"/>
  <c r="CI74" i="2" s="1"/>
  <c r="DG74" i="2" s="1"/>
  <c r="BJ74" i="2"/>
  <c r="BI74" i="2"/>
  <c r="BH74" i="2"/>
  <c r="BG74" i="2"/>
  <c r="BF74" i="2"/>
  <c r="BE74" i="2"/>
  <c r="BD74" i="2"/>
  <c r="BC74" i="2"/>
  <c r="CA74" i="2" s="1"/>
  <c r="CY74" i="2" s="1"/>
  <c r="BA74" i="2"/>
  <c r="AZ74" i="2"/>
  <c r="AY74" i="2"/>
  <c r="AX74" i="2"/>
  <c r="AW74" i="2"/>
  <c r="AV74" i="2"/>
  <c r="AU74" i="2"/>
  <c r="AT74" i="2"/>
  <c r="AS74" i="2"/>
  <c r="AR74" i="2"/>
  <c r="AQ74" i="2"/>
  <c r="AM74" i="2"/>
  <c r="AE74" i="2"/>
  <c r="AB74" i="2"/>
  <c r="Z74" i="2"/>
  <c r="X74" i="2"/>
  <c r="AJ74" i="2" s="1"/>
  <c r="T74" i="2"/>
  <c r="AF74" i="2" s="1"/>
  <c r="S74" i="2"/>
  <c r="Q74" i="2"/>
  <c r="P74" i="2"/>
  <c r="O74" i="2"/>
  <c r="AA74" i="2" s="1"/>
  <c r="N74" i="2"/>
  <c r="M74" i="2"/>
  <c r="L74" i="2"/>
  <c r="EA74" i="2" s="1"/>
  <c r="EL74" i="2" s="1"/>
  <c r="K74" i="2"/>
  <c r="J74" i="2"/>
  <c r="DY74" i="2" s="1"/>
  <c r="I74" i="2"/>
  <c r="U74" i="2" s="1"/>
  <c r="EH73" i="2"/>
  <c r="EE73" i="2"/>
  <c r="EP73" i="2" s="1"/>
  <c r="EB73" i="2"/>
  <c r="EM73" i="2" s="1"/>
  <c r="DZ73" i="2"/>
  <c r="DX73" i="2"/>
  <c r="DW73" i="2"/>
  <c r="DV73" i="2"/>
  <c r="EG73" i="2" s="1"/>
  <c r="DU73" i="2"/>
  <c r="DT73" i="2"/>
  <c r="DS73" i="2"/>
  <c r="DR73" i="2"/>
  <c r="DQ73" i="2"/>
  <c r="DP73" i="2"/>
  <c r="DO73" i="2"/>
  <c r="DN73" i="2"/>
  <c r="DM73" i="2"/>
  <c r="DL73" i="2"/>
  <c r="DK73" i="2"/>
  <c r="CH73" i="2"/>
  <c r="DF73" i="2" s="1"/>
  <c r="CC73" i="2"/>
  <c r="DA73" i="2" s="1"/>
  <c r="BZ73" i="2"/>
  <c r="CX73" i="2" s="1"/>
  <c r="BM73" i="2"/>
  <c r="BL73" i="2"/>
  <c r="BK73" i="2"/>
  <c r="BJ73" i="2"/>
  <c r="BI73" i="2"/>
  <c r="BH73" i="2"/>
  <c r="BG73" i="2"/>
  <c r="BF73" i="2"/>
  <c r="BE73" i="2"/>
  <c r="BD73" i="2"/>
  <c r="BC73" i="2"/>
  <c r="CA73" i="2" s="1"/>
  <c r="CY73" i="2" s="1"/>
  <c r="BA73" i="2"/>
  <c r="AZ73" i="2"/>
  <c r="AY73" i="2"/>
  <c r="AX73" i="2"/>
  <c r="AW73" i="2"/>
  <c r="AV73" i="2"/>
  <c r="AU73" i="2"/>
  <c r="AT73" i="2"/>
  <c r="AS73" i="2"/>
  <c r="AR73" i="2"/>
  <c r="AQ73" i="2"/>
  <c r="AE73" i="2"/>
  <c r="AB73" i="2"/>
  <c r="Z73" i="2"/>
  <c r="AL73" i="2" s="1"/>
  <c r="X73" i="2"/>
  <c r="CF73" i="2" s="1"/>
  <c r="DD73" i="2" s="1"/>
  <c r="W73" i="2"/>
  <c r="T73" i="2"/>
  <c r="S73" i="2"/>
  <c r="Q73" i="2"/>
  <c r="P73" i="2"/>
  <c r="O73" i="2"/>
  <c r="N73" i="2"/>
  <c r="EC73" i="2" s="1"/>
  <c r="EN73" i="2" s="1"/>
  <c r="M73" i="2"/>
  <c r="L73" i="2"/>
  <c r="EA73" i="2" s="1"/>
  <c r="EL73" i="2" s="1"/>
  <c r="K73" i="2"/>
  <c r="J73" i="2"/>
  <c r="I73" i="2"/>
  <c r="U73" i="2" s="1"/>
  <c r="AG73" i="2" s="1"/>
  <c r="EJ72" i="2"/>
  <c r="EH72" i="2"/>
  <c r="DZ72" i="2"/>
  <c r="DY72" i="2"/>
  <c r="DX72" i="2"/>
  <c r="DW72" i="2"/>
  <c r="DV72" i="2"/>
  <c r="EG72" i="2" s="1"/>
  <c r="DU72" i="2"/>
  <c r="DT72" i="2"/>
  <c r="DS72" i="2"/>
  <c r="DR72" i="2"/>
  <c r="DQ72" i="2"/>
  <c r="DP72" i="2"/>
  <c r="DO72" i="2"/>
  <c r="DN72" i="2"/>
  <c r="DM72" i="2"/>
  <c r="DL72" i="2"/>
  <c r="DK72" i="2"/>
  <c r="BZ72" i="2"/>
  <c r="CX72" i="2" s="1"/>
  <c r="BM72" i="2"/>
  <c r="BL72" i="2"/>
  <c r="BK72" i="2"/>
  <c r="BJ72" i="2"/>
  <c r="BI72" i="2"/>
  <c r="BH72" i="2"/>
  <c r="BG72" i="2"/>
  <c r="BF72" i="2"/>
  <c r="BE72" i="2"/>
  <c r="BD72" i="2"/>
  <c r="BC72" i="2"/>
  <c r="CA72" i="2" s="1"/>
  <c r="CY72" i="2" s="1"/>
  <c r="BA72" i="2"/>
  <c r="AZ72" i="2"/>
  <c r="AY72" i="2"/>
  <c r="AX72" i="2"/>
  <c r="AW72" i="2"/>
  <c r="AV72" i="2"/>
  <c r="AU72" i="2"/>
  <c r="AT72" i="2"/>
  <c r="AS72" i="2"/>
  <c r="AR72" i="2"/>
  <c r="AQ72" i="2"/>
  <c r="AE72" i="2"/>
  <c r="AB72" i="2"/>
  <c r="AN72" i="2" s="1"/>
  <c r="V72" i="2"/>
  <c r="T72" i="2"/>
  <c r="S72" i="2"/>
  <c r="Q72" i="2"/>
  <c r="P72" i="2"/>
  <c r="EE72" i="2" s="1"/>
  <c r="EP72" i="2" s="1"/>
  <c r="O72" i="2"/>
  <c r="N72" i="2"/>
  <c r="EC72" i="2" s="1"/>
  <c r="EN72" i="2" s="1"/>
  <c r="M72" i="2"/>
  <c r="EB72" i="2" s="1"/>
  <c r="EM72" i="2" s="1"/>
  <c r="L72" i="2"/>
  <c r="K72" i="2"/>
  <c r="J72" i="2"/>
  <c r="I72" i="2"/>
  <c r="EP71" i="2"/>
  <c r="EL71" i="2"/>
  <c r="EJ71" i="2"/>
  <c r="EH71" i="2"/>
  <c r="EA71" i="2"/>
  <c r="DY71" i="2"/>
  <c r="DW71" i="2"/>
  <c r="DV71" i="2"/>
  <c r="EG71" i="2" s="1"/>
  <c r="DU71" i="2"/>
  <c r="DT71" i="2"/>
  <c r="DS71" i="2"/>
  <c r="DR71" i="2"/>
  <c r="DQ71" i="2"/>
  <c r="DP71" i="2"/>
  <c r="DO71" i="2"/>
  <c r="DN71" i="2"/>
  <c r="DM71" i="2"/>
  <c r="DL71" i="2"/>
  <c r="DK71" i="2"/>
  <c r="BZ71" i="2"/>
  <c r="CX71" i="2" s="1"/>
  <c r="BM71" i="2"/>
  <c r="BL71" i="2"/>
  <c r="BK71" i="2"/>
  <c r="BJ71" i="2"/>
  <c r="BI71" i="2"/>
  <c r="BH71" i="2"/>
  <c r="BG71" i="2"/>
  <c r="BF71" i="2"/>
  <c r="BE71" i="2"/>
  <c r="BD71" i="2"/>
  <c r="BC71" i="2"/>
  <c r="CA71" i="2" s="1"/>
  <c r="CY71" i="2" s="1"/>
  <c r="BA71" i="2"/>
  <c r="AZ71" i="2"/>
  <c r="AY71" i="2"/>
  <c r="AX71" i="2"/>
  <c r="AW71" i="2"/>
  <c r="AV71" i="2"/>
  <c r="AU71" i="2"/>
  <c r="AT71" i="2"/>
  <c r="AS71" i="2"/>
  <c r="AR71" i="2"/>
  <c r="AQ71" i="2"/>
  <c r="AN71" i="2"/>
  <c r="AE71" i="2"/>
  <c r="AB71" i="2"/>
  <c r="CJ71" i="2" s="1"/>
  <c r="DH71" i="2" s="1"/>
  <c r="X71" i="2"/>
  <c r="V71" i="2"/>
  <c r="T71" i="2"/>
  <c r="S71" i="2"/>
  <c r="Q71" i="2"/>
  <c r="P71" i="2"/>
  <c r="EE71" i="2" s="1"/>
  <c r="O71" i="2"/>
  <c r="AA71" i="2" s="1"/>
  <c r="CI71" i="2" s="1"/>
  <c r="DG71" i="2" s="1"/>
  <c r="N71" i="2"/>
  <c r="EC71" i="2" s="1"/>
  <c r="EN71" i="2" s="1"/>
  <c r="M71" i="2"/>
  <c r="L71" i="2"/>
  <c r="K71" i="2"/>
  <c r="J71" i="2"/>
  <c r="I71" i="2"/>
  <c r="EN70" i="2"/>
  <c r="EL70" i="2"/>
  <c r="EJ70" i="2"/>
  <c r="EH70" i="2"/>
  <c r="EF70" i="2"/>
  <c r="EC70" i="2"/>
  <c r="EA70" i="2"/>
  <c r="DY70" i="2"/>
  <c r="DW70" i="2"/>
  <c r="DV70" i="2"/>
  <c r="EG70" i="2" s="1"/>
  <c r="DU70" i="2"/>
  <c r="DT70" i="2"/>
  <c r="DS70" i="2"/>
  <c r="DR70" i="2"/>
  <c r="DQ70" i="2"/>
  <c r="DP70" i="2"/>
  <c r="DO70" i="2"/>
  <c r="DN70" i="2"/>
  <c r="DM70" i="2"/>
  <c r="DL70" i="2"/>
  <c r="DK70" i="2"/>
  <c r="CF70" i="2"/>
  <c r="DD70" i="2" s="1"/>
  <c r="BZ70" i="2"/>
  <c r="CX70" i="2" s="1"/>
  <c r="BM70" i="2"/>
  <c r="BL70" i="2"/>
  <c r="BK70" i="2"/>
  <c r="BJ70" i="2"/>
  <c r="BI70" i="2"/>
  <c r="BH70" i="2"/>
  <c r="BG70" i="2"/>
  <c r="BF70" i="2"/>
  <c r="BE70" i="2"/>
  <c r="BD70" i="2"/>
  <c r="CB70" i="2" s="1"/>
  <c r="CZ70" i="2" s="1"/>
  <c r="BC70" i="2"/>
  <c r="CA70" i="2" s="1"/>
  <c r="CY70" i="2" s="1"/>
  <c r="BA70" i="2"/>
  <c r="AZ70" i="2"/>
  <c r="AY70" i="2"/>
  <c r="AX70" i="2"/>
  <c r="AW70" i="2"/>
  <c r="AV70" i="2"/>
  <c r="AU70" i="2"/>
  <c r="AT70" i="2"/>
  <c r="AS70" i="2"/>
  <c r="AR70" i="2"/>
  <c r="AQ70" i="2"/>
  <c r="AE70" i="2"/>
  <c r="AC70" i="2"/>
  <c r="CK70" i="2" s="1"/>
  <c r="DI70" i="2" s="1"/>
  <c r="AB70" i="2"/>
  <c r="Z70" i="2"/>
  <c r="X70" i="2"/>
  <c r="AJ70" i="2" s="1"/>
  <c r="T70" i="2"/>
  <c r="AF70" i="2" s="1"/>
  <c r="S70" i="2"/>
  <c r="Q70" i="2"/>
  <c r="P70" i="2"/>
  <c r="EE70" i="2" s="1"/>
  <c r="EP70" i="2" s="1"/>
  <c r="O70" i="2"/>
  <c r="AA70" i="2" s="1"/>
  <c r="AM70" i="2" s="1"/>
  <c r="N70" i="2"/>
  <c r="M70" i="2"/>
  <c r="Y70" i="2" s="1"/>
  <c r="AK70" i="2" s="1"/>
  <c r="L70" i="2"/>
  <c r="K70" i="2"/>
  <c r="J70" i="2"/>
  <c r="I70" i="2"/>
  <c r="DX70" i="2" s="1"/>
  <c r="EI70" i="2" s="1"/>
  <c r="EH69" i="2"/>
  <c r="EF69" i="2"/>
  <c r="EQ69" i="2" s="1"/>
  <c r="EE69" i="2"/>
  <c r="EP69" i="2" s="1"/>
  <c r="ED69" i="2"/>
  <c r="EO69" i="2" s="1"/>
  <c r="EC69" i="2"/>
  <c r="EB69" i="2"/>
  <c r="EM69" i="2" s="1"/>
  <c r="EA69" i="2"/>
  <c r="EL69" i="2" s="1"/>
  <c r="DW69" i="2"/>
  <c r="DV69" i="2"/>
  <c r="EG69" i="2" s="1"/>
  <c r="DU69" i="2"/>
  <c r="DT69" i="2"/>
  <c r="DS69" i="2"/>
  <c r="DR69" i="2"/>
  <c r="DQ69" i="2"/>
  <c r="EN69" i="2" s="1"/>
  <c r="DP69" i="2"/>
  <c r="DO69" i="2"/>
  <c r="DN69" i="2"/>
  <c r="DM69" i="2"/>
  <c r="DL69" i="2"/>
  <c r="DK69" i="2"/>
  <c r="BZ69" i="2"/>
  <c r="CX69" i="2" s="1"/>
  <c r="BM69" i="2"/>
  <c r="BL69" i="2"/>
  <c r="BK69" i="2"/>
  <c r="BJ69" i="2"/>
  <c r="BI69" i="2"/>
  <c r="BH69" i="2"/>
  <c r="BG69" i="2"/>
  <c r="BF69" i="2"/>
  <c r="BE69" i="2"/>
  <c r="BD69" i="2"/>
  <c r="BC69" i="2"/>
  <c r="CA69" i="2" s="1"/>
  <c r="CY69" i="2" s="1"/>
  <c r="BA69" i="2"/>
  <c r="AZ69" i="2"/>
  <c r="AY69" i="2"/>
  <c r="AX69" i="2"/>
  <c r="AW69" i="2"/>
  <c r="AV69" i="2"/>
  <c r="AU69" i="2"/>
  <c r="AT69" i="2"/>
  <c r="AS69" i="2"/>
  <c r="AR69" i="2"/>
  <c r="AQ69" i="2"/>
  <c r="AE69" i="2"/>
  <c r="AB69" i="2"/>
  <c r="X69" i="2"/>
  <c r="CF69" i="2" s="1"/>
  <c r="DD69" i="2" s="1"/>
  <c r="W69" i="2"/>
  <c r="U69" i="2"/>
  <c r="AG69" i="2" s="1"/>
  <c r="T69" i="2"/>
  <c r="CB69" i="2" s="1"/>
  <c r="CZ69" i="2" s="1"/>
  <c r="S69" i="2"/>
  <c r="Q69" i="2"/>
  <c r="P69" i="2"/>
  <c r="O69" i="2"/>
  <c r="N69" i="2"/>
  <c r="M69" i="2"/>
  <c r="L69" i="2"/>
  <c r="K69" i="2"/>
  <c r="DZ69" i="2" s="1"/>
  <c r="EK69" i="2" s="1"/>
  <c r="J69" i="2"/>
  <c r="I69" i="2"/>
  <c r="DX69" i="2" s="1"/>
  <c r="EI69" i="2" s="1"/>
  <c r="EQ68" i="2"/>
  <c r="EH68" i="2"/>
  <c r="EF68" i="2"/>
  <c r="EE68" i="2"/>
  <c r="EP68" i="2" s="1"/>
  <c r="ED68" i="2"/>
  <c r="EO68" i="2" s="1"/>
  <c r="EB68" i="2"/>
  <c r="DX68" i="2"/>
  <c r="DW68" i="2"/>
  <c r="DV68" i="2"/>
  <c r="EG68" i="2" s="1"/>
  <c r="DU68" i="2"/>
  <c r="DT68" i="2"/>
  <c r="DS68" i="2"/>
  <c r="DR68" i="2"/>
  <c r="DQ68" i="2"/>
  <c r="DP68" i="2"/>
  <c r="DO68" i="2"/>
  <c r="DN68" i="2"/>
  <c r="DM68" i="2"/>
  <c r="DL68" i="2"/>
  <c r="DK68" i="2"/>
  <c r="BZ68" i="2"/>
  <c r="CX68" i="2" s="1"/>
  <c r="BM68" i="2"/>
  <c r="BL68" i="2"/>
  <c r="BK68" i="2"/>
  <c r="BJ68" i="2"/>
  <c r="BI68" i="2"/>
  <c r="BH68" i="2"/>
  <c r="BG68" i="2"/>
  <c r="BF68" i="2"/>
  <c r="BE68" i="2"/>
  <c r="BD68" i="2"/>
  <c r="BC68" i="2"/>
  <c r="CA68" i="2" s="1"/>
  <c r="CY68" i="2" s="1"/>
  <c r="BA68" i="2"/>
  <c r="AZ68" i="2"/>
  <c r="AY68" i="2"/>
  <c r="AX68" i="2"/>
  <c r="AW68" i="2"/>
  <c r="AV68" i="2"/>
  <c r="AU68" i="2"/>
  <c r="AT68" i="2"/>
  <c r="AS68" i="2"/>
  <c r="AR68" i="2"/>
  <c r="AQ68" i="2"/>
  <c r="AE68" i="2"/>
  <c r="AB68" i="2"/>
  <c r="AN68" i="2" s="1"/>
  <c r="X68" i="2"/>
  <c r="CF68" i="2" s="1"/>
  <c r="DD68" i="2" s="1"/>
  <c r="W68" i="2"/>
  <c r="U68" i="2"/>
  <c r="AG68" i="2" s="1"/>
  <c r="T68" i="2"/>
  <c r="S68" i="2"/>
  <c r="Q68" i="2"/>
  <c r="P68" i="2"/>
  <c r="O68" i="2"/>
  <c r="N68" i="2"/>
  <c r="Z68" i="2" s="1"/>
  <c r="M68" i="2"/>
  <c r="L68" i="2"/>
  <c r="EA68" i="2" s="1"/>
  <c r="EL68" i="2" s="1"/>
  <c r="K68" i="2"/>
  <c r="DZ68" i="2" s="1"/>
  <c r="EK68" i="2" s="1"/>
  <c r="J68" i="2"/>
  <c r="I68" i="2"/>
  <c r="EQ67" i="2"/>
  <c r="EG67" i="2"/>
  <c r="EF67" i="2"/>
  <c r="EE67" i="2"/>
  <c r="EP67" i="2" s="1"/>
  <c r="DW67" i="2"/>
  <c r="EH67" i="2" s="1"/>
  <c r="DV67" i="2"/>
  <c r="DU67" i="2"/>
  <c r="DT67" i="2"/>
  <c r="DS67" i="2"/>
  <c r="DR67" i="2"/>
  <c r="DQ67" i="2"/>
  <c r="DP67" i="2"/>
  <c r="DO67" i="2"/>
  <c r="DN67" i="2"/>
  <c r="DM67" i="2"/>
  <c r="DL67" i="2"/>
  <c r="DK67" i="2"/>
  <c r="BZ67" i="2"/>
  <c r="CX67" i="2" s="1"/>
  <c r="BM67" i="2"/>
  <c r="BL67" i="2"/>
  <c r="BK67" i="2"/>
  <c r="BJ67" i="2"/>
  <c r="BI67" i="2"/>
  <c r="BH67" i="2"/>
  <c r="BG67" i="2"/>
  <c r="BF67" i="2"/>
  <c r="BE67" i="2"/>
  <c r="CC67" i="2" s="1"/>
  <c r="DA67" i="2" s="1"/>
  <c r="BD67" i="2"/>
  <c r="CB67" i="2" s="1"/>
  <c r="CZ67" i="2" s="1"/>
  <c r="BC67" i="2"/>
  <c r="CA67" i="2" s="1"/>
  <c r="CY67" i="2" s="1"/>
  <c r="BA67" i="2"/>
  <c r="AZ67" i="2"/>
  <c r="AY67" i="2"/>
  <c r="AX67" i="2"/>
  <c r="AW67" i="2"/>
  <c r="AV67" i="2"/>
  <c r="AU67" i="2"/>
  <c r="AT67" i="2"/>
  <c r="AS67" i="2"/>
  <c r="AR67" i="2"/>
  <c r="AQ67" i="2"/>
  <c r="AE67" i="2"/>
  <c r="AA67" i="2"/>
  <c r="T67" i="2"/>
  <c r="AF67" i="2" s="1"/>
  <c r="S67" i="2"/>
  <c r="Q67" i="2"/>
  <c r="P67" i="2"/>
  <c r="O67" i="2"/>
  <c r="ED67" i="2" s="1"/>
  <c r="EO67" i="2" s="1"/>
  <c r="N67" i="2"/>
  <c r="EC67" i="2" s="1"/>
  <c r="EN67" i="2" s="1"/>
  <c r="M67" i="2"/>
  <c r="L67" i="2"/>
  <c r="EA67" i="2" s="1"/>
  <c r="EL67" i="2" s="1"/>
  <c r="K67" i="2"/>
  <c r="W67" i="2" s="1"/>
  <c r="J67" i="2"/>
  <c r="DY67" i="2" s="1"/>
  <c r="EJ67" i="2" s="1"/>
  <c r="I67" i="2"/>
  <c r="U67" i="2" s="1"/>
  <c r="AG67" i="2" s="1"/>
  <c r="EJ66" i="2"/>
  <c r="EI66" i="2"/>
  <c r="EH66" i="2"/>
  <c r="EF66" i="2"/>
  <c r="DY66" i="2"/>
  <c r="DX66" i="2"/>
  <c r="DW66" i="2"/>
  <c r="DV66" i="2"/>
  <c r="EG66" i="2" s="1"/>
  <c r="DU66" i="2"/>
  <c r="DT66" i="2"/>
  <c r="DS66" i="2"/>
  <c r="DR66" i="2"/>
  <c r="DQ66" i="2"/>
  <c r="DP66" i="2"/>
  <c r="DO66" i="2"/>
  <c r="DN66" i="2"/>
  <c r="DM66" i="2"/>
  <c r="DL66" i="2"/>
  <c r="DK66" i="2"/>
  <c r="BZ66" i="2"/>
  <c r="CX66" i="2" s="1"/>
  <c r="BM66" i="2"/>
  <c r="BL66" i="2"/>
  <c r="BK66" i="2"/>
  <c r="BJ66" i="2"/>
  <c r="BI66" i="2"/>
  <c r="BH66" i="2"/>
  <c r="BG66" i="2"/>
  <c r="BF66" i="2"/>
  <c r="BE66" i="2"/>
  <c r="BD66" i="2"/>
  <c r="BC66" i="2"/>
  <c r="CA66" i="2" s="1"/>
  <c r="CY66" i="2" s="1"/>
  <c r="BA66" i="2"/>
  <c r="AZ66" i="2"/>
  <c r="AY66" i="2"/>
  <c r="AX66" i="2"/>
  <c r="AW66" i="2"/>
  <c r="AV66" i="2"/>
  <c r="AU66" i="2"/>
  <c r="AT66" i="2"/>
  <c r="AS66" i="2"/>
  <c r="AR66" i="2"/>
  <c r="AQ66" i="2"/>
  <c r="AF66" i="2"/>
  <c r="AE66" i="2"/>
  <c r="AB66" i="2"/>
  <c r="AN66" i="2" s="1"/>
  <c r="Z66" i="2"/>
  <c r="CH66" i="2" s="1"/>
  <c r="DF66" i="2" s="1"/>
  <c r="T66" i="2"/>
  <c r="CB66" i="2" s="1"/>
  <c r="CZ66" i="2" s="1"/>
  <c r="S66" i="2"/>
  <c r="Q66" i="2"/>
  <c r="AC67" i="2" s="1"/>
  <c r="P66" i="2"/>
  <c r="EE66" i="2" s="1"/>
  <c r="EP66" i="2" s="1"/>
  <c r="O66" i="2"/>
  <c r="N66" i="2"/>
  <c r="EC66" i="2" s="1"/>
  <c r="EN66" i="2" s="1"/>
  <c r="M66" i="2"/>
  <c r="EB66" i="2" s="1"/>
  <c r="EM66" i="2" s="1"/>
  <c r="L66" i="2"/>
  <c r="EA66" i="2" s="1"/>
  <c r="EL66" i="2" s="1"/>
  <c r="K66" i="2"/>
  <c r="DZ66" i="2" s="1"/>
  <c r="EK66" i="2" s="1"/>
  <c r="J66" i="2"/>
  <c r="I66" i="2"/>
  <c r="EF65" i="2"/>
  <c r="EQ65" i="2" s="1"/>
  <c r="EC65" i="2"/>
  <c r="EN65" i="2" s="1"/>
  <c r="DY65" i="2"/>
  <c r="EJ65" i="2" s="1"/>
  <c r="DW65" i="2"/>
  <c r="DV65" i="2"/>
  <c r="EG65" i="2" s="1"/>
  <c r="DU65" i="2"/>
  <c r="DT65" i="2"/>
  <c r="DS65" i="2"/>
  <c r="DR65" i="2"/>
  <c r="DQ65" i="2"/>
  <c r="DP65" i="2"/>
  <c r="DO65" i="2"/>
  <c r="DN65" i="2"/>
  <c r="DM65" i="2"/>
  <c r="DL65" i="2"/>
  <c r="DK65" i="2"/>
  <c r="CX65" i="2"/>
  <c r="BZ65" i="2"/>
  <c r="BM65" i="2"/>
  <c r="BL65" i="2"/>
  <c r="BK65" i="2"/>
  <c r="BJ65" i="2"/>
  <c r="BI65" i="2"/>
  <c r="BH65" i="2"/>
  <c r="BG65" i="2"/>
  <c r="BF65" i="2"/>
  <c r="BE65" i="2"/>
  <c r="BD65" i="2"/>
  <c r="BC65" i="2"/>
  <c r="CA65" i="2" s="1"/>
  <c r="CY65" i="2" s="1"/>
  <c r="BA65" i="2"/>
  <c r="AZ65" i="2"/>
  <c r="AY65" i="2"/>
  <c r="AX65" i="2"/>
  <c r="AW65" i="2"/>
  <c r="AV65" i="2"/>
  <c r="AU65" i="2"/>
  <c r="AT65" i="2"/>
  <c r="AS65" i="2"/>
  <c r="AR65" i="2"/>
  <c r="AQ65" i="2"/>
  <c r="AE65" i="2"/>
  <c r="AB65" i="2"/>
  <c r="AN65" i="2" s="1"/>
  <c r="X65" i="2"/>
  <c r="V65" i="2"/>
  <c r="CD65" i="2" s="1"/>
  <c r="DB65" i="2" s="1"/>
  <c r="T65" i="2"/>
  <c r="AF65" i="2" s="1"/>
  <c r="S65" i="2"/>
  <c r="Q65" i="2"/>
  <c r="AC65" i="2" s="1"/>
  <c r="P65" i="2"/>
  <c r="EE65" i="2" s="1"/>
  <c r="EP65" i="2" s="1"/>
  <c r="O65" i="2"/>
  <c r="ED65" i="2" s="1"/>
  <c r="EO65" i="2" s="1"/>
  <c r="N65" i="2"/>
  <c r="M65" i="2"/>
  <c r="EB65" i="2" s="1"/>
  <c r="EM65" i="2" s="1"/>
  <c r="L65" i="2"/>
  <c r="EA65" i="2" s="1"/>
  <c r="EL65" i="2" s="1"/>
  <c r="K65" i="2"/>
  <c r="J65" i="2"/>
  <c r="V66" i="2" s="1"/>
  <c r="I65" i="2"/>
  <c r="DX65" i="2" s="1"/>
  <c r="EI65" i="2" s="1"/>
  <c r="EP64" i="2"/>
  <c r="EH64" i="2"/>
  <c r="EF64" i="2"/>
  <c r="EQ64" i="2" s="1"/>
  <c r="EE64" i="2"/>
  <c r="DW64" i="2"/>
  <c r="DV64" i="2"/>
  <c r="EG64" i="2" s="1"/>
  <c r="DU64" i="2"/>
  <c r="DT64" i="2"/>
  <c r="DS64" i="2"/>
  <c r="DR64" i="2"/>
  <c r="DQ64" i="2"/>
  <c r="DP64" i="2"/>
  <c r="DO64" i="2"/>
  <c r="DN64" i="2"/>
  <c r="DM64" i="2"/>
  <c r="DL64" i="2"/>
  <c r="DK64" i="2"/>
  <c r="BZ64" i="2"/>
  <c r="CX64" i="2" s="1"/>
  <c r="BM64" i="2"/>
  <c r="CK64" i="2" s="1"/>
  <c r="DI64" i="2" s="1"/>
  <c r="BL64" i="2"/>
  <c r="BK64" i="2"/>
  <c r="BJ64" i="2"/>
  <c r="BI64" i="2"/>
  <c r="BH64" i="2"/>
  <c r="BG64" i="2"/>
  <c r="BF64" i="2"/>
  <c r="BE64" i="2"/>
  <c r="BD64" i="2"/>
  <c r="BC64" i="2"/>
  <c r="CA64" i="2" s="1"/>
  <c r="CY64" i="2" s="1"/>
  <c r="BA64" i="2"/>
  <c r="AZ64" i="2"/>
  <c r="AY64" i="2"/>
  <c r="AX64" i="2"/>
  <c r="AW64" i="2"/>
  <c r="AV64" i="2"/>
  <c r="AU64" i="2"/>
  <c r="AT64" i="2"/>
  <c r="AS64" i="2"/>
  <c r="AR64" i="2"/>
  <c r="AQ64" i="2"/>
  <c r="AE64" i="2"/>
  <c r="Z64" i="2"/>
  <c r="X64" i="2"/>
  <c r="CF64" i="2" s="1"/>
  <c r="DD64" i="2" s="1"/>
  <c r="V64" i="2"/>
  <c r="AH64" i="2" s="1"/>
  <c r="T64" i="2"/>
  <c r="AF64" i="2" s="1"/>
  <c r="S64" i="2"/>
  <c r="Q64" i="2"/>
  <c r="AC64" i="2" s="1"/>
  <c r="AO64" i="2" s="1"/>
  <c r="P64" i="2"/>
  <c r="O64" i="2"/>
  <c r="ED64" i="2" s="1"/>
  <c r="EO64" i="2" s="1"/>
  <c r="N64" i="2"/>
  <c r="EC64" i="2" s="1"/>
  <c r="EN64" i="2" s="1"/>
  <c r="M64" i="2"/>
  <c r="L64" i="2"/>
  <c r="EA64" i="2" s="1"/>
  <c r="EL64" i="2" s="1"/>
  <c r="K64" i="2"/>
  <c r="DZ64" i="2" s="1"/>
  <c r="EK64" i="2" s="1"/>
  <c r="J64" i="2"/>
  <c r="DY64" i="2" s="1"/>
  <c r="EJ64" i="2" s="1"/>
  <c r="I64" i="2"/>
  <c r="U64" i="2" s="1"/>
  <c r="EJ63" i="2"/>
  <c r="EH63" i="2"/>
  <c r="DY63" i="2"/>
  <c r="DX63" i="2"/>
  <c r="DW63" i="2"/>
  <c r="DV63" i="2"/>
  <c r="EG63" i="2" s="1"/>
  <c r="DU63" i="2"/>
  <c r="DT63" i="2"/>
  <c r="DS63" i="2"/>
  <c r="DR63" i="2"/>
  <c r="DQ63" i="2"/>
  <c r="DP63" i="2"/>
  <c r="DO63" i="2"/>
  <c r="DN63" i="2"/>
  <c r="DM63" i="2"/>
  <c r="DL63" i="2"/>
  <c r="DK63" i="2"/>
  <c r="BZ63" i="2"/>
  <c r="CX63" i="2" s="1"/>
  <c r="BM63" i="2"/>
  <c r="BL63" i="2"/>
  <c r="BK63" i="2"/>
  <c r="BJ63" i="2"/>
  <c r="BI63" i="2"/>
  <c r="BH63" i="2"/>
  <c r="BG63" i="2"/>
  <c r="BF63" i="2"/>
  <c r="BE63" i="2"/>
  <c r="BD63" i="2"/>
  <c r="CB63" i="2" s="1"/>
  <c r="CZ63" i="2" s="1"/>
  <c r="BC63" i="2"/>
  <c r="CA63" i="2" s="1"/>
  <c r="CY63" i="2" s="1"/>
  <c r="BA63" i="2"/>
  <c r="AZ63" i="2"/>
  <c r="AY63" i="2"/>
  <c r="AX63" i="2"/>
  <c r="AW63" i="2"/>
  <c r="AV63" i="2"/>
  <c r="AU63" i="2"/>
  <c r="AT63" i="2"/>
  <c r="AS63" i="2"/>
  <c r="AR63" i="2"/>
  <c r="AQ63" i="2"/>
  <c r="AE63" i="2"/>
  <c r="AB63" i="2"/>
  <c r="Z63" i="2"/>
  <c r="CH63" i="2" s="1"/>
  <c r="DF63" i="2" s="1"/>
  <c r="X63" i="2"/>
  <c r="AJ63" i="2" s="1"/>
  <c r="T63" i="2"/>
  <c r="AF63" i="2" s="1"/>
  <c r="S63" i="2"/>
  <c r="Q63" i="2"/>
  <c r="EF63" i="2" s="1"/>
  <c r="EQ63" i="2" s="1"/>
  <c r="P63" i="2"/>
  <c r="EE63" i="2" s="1"/>
  <c r="EP63" i="2" s="1"/>
  <c r="O63" i="2"/>
  <c r="N63" i="2"/>
  <c r="EC63" i="2" s="1"/>
  <c r="EN63" i="2" s="1"/>
  <c r="M63" i="2"/>
  <c r="EB63" i="2" s="1"/>
  <c r="EM63" i="2" s="1"/>
  <c r="L63" i="2"/>
  <c r="EA63" i="2" s="1"/>
  <c r="EL63" i="2" s="1"/>
  <c r="K63" i="2"/>
  <c r="W63" i="2" s="1"/>
  <c r="J63" i="2"/>
  <c r="I63" i="2"/>
  <c r="U63" i="2" s="1"/>
  <c r="EL62" i="2"/>
  <c r="EJ62" i="2"/>
  <c r="EH62" i="2"/>
  <c r="EA62" i="2"/>
  <c r="DZ62" i="2"/>
  <c r="DY62" i="2"/>
  <c r="DX62" i="2"/>
  <c r="DW62" i="2"/>
  <c r="DV62" i="2"/>
  <c r="EG62" i="2" s="1"/>
  <c r="DU62" i="2"/>
  <c r="DT62" i="2"/>
  <c r="DS62" i="2"/>
  <c r="DR62" i="2"/>
  <c r="DQ62" i="2"/>
  <c r="DP62" i="2"/>
  <c r="DO62" i="2"/>
  <c r="DN62" i="2"/>
  <c r="DM62" i="2"/>
  <c r="DL62" i="2"/>
  <c r="DK62" i="2"/>
  <c r="DA62" i="2"/>
  <c r="CC62" i="2"/>
  <c r="BZ62" i="2"/>
  <c r="CX62" i="2" s="1"/>
  <c r="BM62" i="2"/>
  <c r="BL62" i="2"/>
  <c r="BK62" i="2"/>
  <c r="BJ62" i="2"/>
  <c r="BI62" i="2"/>
  <c r="BH62" i="2"/>
  <c r="BG62" i="2"/>
  <c r="BF62" i="2"/>
  <c r="CD62" i="2" s="1"/>
  <c r="DB62" i="2" s="1"/>
  <c r="BE62" i="2"/>
  <c r="BD62" i="2"/>
  <c r="BC62" i="2"/>
  <c r="CA62" i="2" s="1"/>
  <c r="CY62" i="2" s="1"/>
  <c r="BA62" i="2"/>
  <c r="AZ62" i="2"/>
  <c r="AY62" i="2"/>
  <c r="AX62" i="2"/>
  <c r="AW62" i="2"/>
  <c r="AV62" i="2"/>
  <c r="AU62" i="2"/>
  <c r="AT62" i="2"/>
  <c r="AS62" i="2"/>
  <c r="AR62" i="2"/>
  <c r="AQ62" i="2"/>
  <c r="AF62" i="2"/>
  <c r="AE62" i="2"/>
  <c r="AB62" i="2"/>
  <c r="Z62" i="2"/>
  <c r="AL62" i="2" s="1"/>
  <c r="V62" i="2"/>
  <c r="AH62" i="2" s="1"/>
  <c r="T62" i="2"/>
  <c r="CB62" i="2" s="1"/>
  <c r="CZ62" i="2" s="1"/>
  <c r="S62" i="2"/>
  <c r="Q62" i="2"/>
  <c r="P62" i="2"/>
  <c r="EE62" i="2" s="1"/>
  <c r="EP62" i="2" s="1"/>
  <c r="O62" i="2"/>
  <c r="N62" i="2"/>
  <c r="EC62" i="2" s="1"/>
  <c r="EN62" i="2" s="1"/>
  <c r="M62" i="2"/>
  <c r="Y62" i="2" s="1"/>
  <c r="L62" i="2"/>
  <c r="K62" i="2"/>
  <c r="W62" i="2" s="1"/>
  <c r="J62" i="2"/>
  <c r="V63" i="2" s="1"/>
  <c r="I62" i="2"/>
  <c r="U62" i="2" s="1"/>
  <c r="AG62" i="2" s="1"/>
  <c r="EN61" i="2"/>
  <c r="EL61" i="2"/>
  <c r="EJ61" i="2"/>
  <c r="EH61" i="2"/>
  <c r="EC61" i="2"/>
  <c r="EB61" i="2"/>
  <c r="EA61" i="2"/>
  <c r="DZ61" i="2"/>
  <c r="DY61" i="2"/>
  <c r="DX61" i="2"/>
  <c r="EI61" i="2" s="1"/>
  <c r="DW61" i="2"/>
  <c r="DV61" i="2"/>
  <c r="EG61" i="2" s="1"/>
  <c r="DU61" i="2"/>
  <c r="DT61" i="2"/>
  <c r="DS61" i="2"/>
  <c r="DR61" i="2"/>
  <c r="DQ61" i="2"/>
  <c r="DP61" i="2"/>
  <c r="DO61" i="2"/>
  <c r="DN61" i="2"/>
  <c r="DM61" i="2"/>
  <c r="DL61" i="2"/>
  <c r="DK61" i="2"/>
  <c r="CE61" i="2"/>
  <c r="DC61" i="2" s="1"/>
  <c r="BZ61" i="2"/>
  <c r="CX61" i="2" s="1"/>
  <c r="BM61" i="2"/>
  <c r="BL61" i="2"/>
  <c r="BK61" i="2"/>
  <c r="BJ61" i="2"/>
  <c r="BI61" i="2"/>
  <c r="BH61" i="2"/>
  <c r="CF61" i="2" s="1"/>
  <c r="DD61" i="2" s="1"/>
  <c r="BG61" i="2"/>
  <c r="BF61" i="2"/>
  <c r="BE61" i="2"/>
  <c r="BD61" i="2"/>
  <c r="BC61" i="2"/>
  <c r="CA61" i="2" s="1"/>
  <c r="CY61" i="2" s="1"/>
  <c r="BA61" i="2"/>
  <c r="AZ61" i="2"/>
  <c r="AY61" i="2"/>
  <c r="AX61" i="2"/>
  <c r="AW61" i="2"/>
  <c r="AV61" i="2"/>
  <c r="AU61" i="2"/>
  <c r="AT61" i="2"/>
  <c r="AS61" i="2"/>
  <c r="AR61" i="2"/>
  <c r="AQ61" i="2"/>
  <c r="AE61" i="2"/>
  <c r="AB61" i="2"/>
  <c r="AN61" i="2" s="1"/>
  <c r="X61" i="2"/>
  <c r="AJ61" i="2" s="1"/>
  <c r="T61" i="2"/>
  <c r="S61" i="2"/>
  <c r="Q61" i="2"/>
  <c r="P61" i="2"/>
  <c r="EE61" i="2" s="1"/>
  <c r="EP61" i="2" s="1"/>
  <c r="O61" i="2"/>
  <c r="AA61" i="2" s="1"/>
  <c r="N61" i="2"/>
  <c r="M61" i="2"/>
  <c r="Y61" i="2" s="1"/>
  <c r="L61" i="2"/>
  <c r="X62" i="2" s="1"/>
  <c r="K61" i="2"/>
  <c r="W61" i="2" s="1"/>
  <c r="AI61" i="2" s="1"/>
  <c r="J61" i="2"/>
  <c r="I61" i="2"/>
  <c r="EP60" i="2"/>
  <c r="EN60" i="2"/>
  <c r="EL60" i="2"/>
  <c r="EH60" i="2"/>
  <c r="EE60" i="2"/>
  <c r="ED60" i="2"/>
  <c r="EC60" i="2"/>
  <c r="EB60" i="2"/>
  <c r="EA60" i="2"/>
  <c r="DZ60" i="2"/>
  <c r="EK60" i="2" s="1"/>
  <c r="DW60" i="2"/>
  <c r="DV60" i="2"/>
  <c r="EG60" i="2" s="1"/>
  <c r="DU60" i="2"/>
  <c r="DT60" i="2"/>
  <c r="DS60" i="2"/>
  <c r="DR60" i="2"/>
  <c r="DQ60" i="2"/>
  <c r="DP60" i="2"/>
  <c r="DO60" i="2"/>
  <c r="DN60" i="2"/>
  <c r="DM60" i="2"/>
  <c r="DL60" i="2"/>
  <c r="DK60" i="2"/>
  <c r="BZ60" i="2"/>
  <c r="CX60" i="2" s="1"/>
  <c r="BM60" i="2"/>
  <c r="BL60" i="2"/>
  <c r="BK60" i="2"/>
  <c r="BJ60" i="2"/>
  <c r="CH60" i="2" s="1"/>
  <c r="DF60" i="2" s="1"/>
  <c r="BI60" i="2"/>
  <c r="BH60" i="2"/>
  <c r="BG60" i="2"/>
  <c r="BF60" i="2"/>
  <c r="BE60" i="2"/>
  <c r="BD60" i="2"/>
  <c r="BC60" i="2"/>
  <c r="BA60" i="2"/>
  <c r="AZ60" i="2"/>
  <c r="AY60" i="2"/>
  <c r="AX60" i="2"/>
  <c r="AW60" i="2"/>
  <c r="AV60" i="2"/>
  <c r="AU60" i="2"/>
  <c r="AT60" i="2"/>
  <c r="AS60" i="2"/>
  <c r="AR60" i="2"/>
  <c r="AQ60" i="2"/>
  <c r="AE60" i="2"/>
  <c r="Z60" i="2"/>
  <c r="AL60" i="2" s="1"/>
  <c r="V60" i="2"/>
  <c r="T60" i="2"/>
  <c r="S60" i="2"/>
  <c r="CA60" i="2" s="1"/>
  <c r="CY60" i="2" s="1"/>
  <c r="Q60" i="2"/>
  <c r="AC60" i="2" s="1"/>
  <c r="P60" i="2"/>
  <c r="O60" i="2"/>
  <c r="AA60" i="2" s="1"/>
  <c r="N60" i="2"/>
  <c r="Z61" i="2" s="1"/>
  <c r="M60" i="2"/>
  <c r="Y60" i="2" s="1"/>
  <c r="AK60" i="2" s="1"/>
  <c r="L60" i="2"/>
  <c r="K60" i="2"/>
  <c r="J60" i="2"/>
  <c r="DY60" i="2" s="1"/>
  <c r="EJ60" i="2" s="1"/>
  <c r="I60" i="2"/>
  <c r="EP59" i="2"/>
  <c r="EN59" i="2"/>
  <c r="EH59" i="2"/>
  <c r="EG59" i="2"/>
  <c r="EF59" i="2"/>
  <c r="EE59" i="2"/>
  <c r="ED59" i="2"/>
  <c r="EC59" i="2"/>
  <c r="EB59" i="2"/>
  <c r="EM59" i="2" s="1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BZ59" i="2"/>
  <c r="CX59" i="2" s="1"/>
  <c r="BM59" i="2"/>
  <c r="BL59" i="2"/>
  <c r="CJ59" i="2" s="1"/>
  <c r="DH59" i="2" s="1"/>
  <c r="BK59" i="2"/>
  <c r="CI59" i="2" s="1"/>
  <c r="DG59" i="2" s="1"/>
  <c r="BJ59" i="2"/>
  <c r="BI59" i="2"/>
  <c r="BH59" i="2"/>
  <c r="BG59" i="2"/>
  <c r="BF59" i="2"/>
  <c r="BE59" i="2"/>
  <c r="BD59" i="2"/>
  <c r="BC59" i="2"/>
  <c r="CA59" i="2" s="1"/>
  <c r="CY59" i="2" s="1"/>
  <c r="BA59" i="2"/>
  <c r="AZ59" i="2"/>
  <c r="AY59" i="2"/>
  <c r="AX59" i="2"/>
  <c r="AW59" i="2"/>
  <c r="AV59" i="2"/>
  <c r="AU59" i="2"/>
  <c r="AT59" i="2"/>
  <c r="AS59" i="2"/>
  <c r="AR59" i="2"/>
  <c r="AQ59" i="2"/>
  <c r="AE59" i="2"/>
  <c r="AB59" i="2"/>
  <c r="AN59" i="2" s="1"/>
  <c r="X59" i="2"/>
  <c r="V59" i="2"/>
  <c r="T59" i="2"/>
  <c r="AF59" i="2" s="1"/>
  <c r="S59" i="2"/>
  <c r="Q59" i="2"/>
  <c r="AC59" i="2" s="1"/>
  <c r="P59" i="2"/>
  <c r="AB60" i="2" s="1"/>
  <c r="O59" i="2"/>
  <c r="AA59" i="2" s="1"/>
  <c r="AM59" i="2" s="1"/>
  <c r="N59" i="2"/>
  <c r="M59" i="2"/>
  <c r="L59" i="2"/>
  <c r="EA59" i="2" s="1"/>
  <c r="EL59" i="2" s="1"/>
  <c r="K59" i="2"/>
  <c r="J59" i="2"/>
  <c r="DY59" i="2" s="1"/>
  <c r="EJ59" i="2" s="1"/>
  <c r="I59" i="2"/>
  <c r="EP58" i="2"/>
  <c r="EH58" i="2"/>
  <c r="EF58" i="2"/>
  <c r="EE58" i="2"/>
  <c r="ED58" i="2"/>
  <c r="EO58" i="2" s="1"/>
  <c r="DW58" i="2"/>
  <c r="DV58" i="2"/>
  <c r="EG58" i="2" s="1"/>
  <c r="DU58" i="2"/>
  <c r="DT58" i="2"/>
  <c r="DS58" i="2"/>
  <c r="DR58" i="2"/>
  <c r="DQ58" i="2"/>
  <c r="DP58" i="2"/>
  <c r="DO58" i="2"/>
  <c r="DN58" i="2"/>
  <c r="DM58" i="2"/>
  <c r="DL58" i="2"/>
  <c r="DK58" i="2"/>
  <c r="BZ58" i="2"/>
  <c r="CX58" i="2" s="1"/>
  <c r="BM58" i="2"/>
  <c r="CK58" i="2" s="1"/>
  <c r="DI58" i="2" s="1"/>
  <c r="BL58" i="2"/>
  <c r="BK58" i="2"/>
  <c r="BJ58" i="2"/>
  <c r="BI58" i="2"/>
  <c r="BH58" i="2"/>
  <c r="BG58" i="2"/>
  <c r="BF58" i="2"/>
  <c r="BE58" i="2"/>
  <c r="BD58" i="2"/>
  <c r="BC58" i="2"/>
  <c r="CA58" i="2" s="1"/>
  <c r="CY58" i="2" s="1"/>
  <c r="BA58" i="2"/>
  <c r="AZ58" i="2"/>
  <c r="AY58" i="2"/>
  <c r="AX58" i="2"/>
  <c r="AW58" i="2"/>
  <c r="AV58" i="2"/>
  <c r="AU58" i="2"/>
  <c r="AT58" i="2"/>
  <c r="AS58" i="2"/>
  <c r="AR58" i="2"/>
  <c r="AQ58" i="2"/>
  <c r="AE58" i="2"/>
  <c r="Z58" i="2"/>
  <c r="X58" i="2"/>
  <c r="V58" i="2"/>
  <c r="AH58" i="2" s="1"/>
  <c r="T58" i="2"/>
  <c r="AF58" i="2" s="1"/>
  <c r="S58" i="2"/>
  <c r="Q58" i="2"/>
  <c r="AC58" i="2" s="1"/>
  <c r="AO58" i="2" s="1"/>
  <c r="P58" i="2"/>
  <c r="O58" i="2"/>
  <c r="N58" i="2"/>
  <c r="EC58" i="2" s="1"/>
  <c r="EN58" i="2" s="1"/>
  <c r="M58" i="2"/>
  <c r="L58" i="2"/>
  <c r="EA58" i="2" s="1"/>
  <c r="EL58" i="2" s="1"/>
  <c r="K58" i="2"/>
  <c r="J58" i="2"/>
  <c r="DY58" i="2" s="1"/>
  <c r="EJ58" i="2" s="1"/>
  <c r="I58" i="2"/>
  <c r="U58" i="2" s="1"/>
  <c r="EJ57" i="2"/>
  <c r="EH57" i="2"/>
  <c r="EF57" i="2"/>
  <c r="EQ57" i="2" s="1"/>
  <c r="DY57" i="2"/>
  <c r="DX57" i="2"/>
  <c r="DW57" i="2"/>
  <c r="DV57" i="2"/>
  <c r="EG57" i="2" s="1"/>
  <c r="DU57" i="2"/>
  <c r="DT57" i="2"/>
  <c r="DS57" i="2"/>
  <c r="DR57" i="2"/>
  <c r="DQ57" i="2"/>
  <c r="DP57" i="2"/>
  <c r="DO57" i="2"/>
  <c r="DN57" i="2"/>
  <c r="DM57" i="2"/>
  <c r="DL57" i="2"/>
  <c r="DK57" i="2"/>
  <c r="BZ57" i="2"/>
  <c r="CX57" i="2" s="1"/>
  <c r="BM57" i="2"/>
  <c r="BL57" i="2"/>
  <c r="BK57" i="2"/>
  <c r="BJ57" i="2"/>
  <c r="BI57" i="2"/>
  <c r="BH57" i="2"/>
  <c r="BG57" i="2"/>
  <c r="BF57" i="2"/>
  <c r="BE57" i="2"/>
  <c r="BD57" i="2"/>
  <c r="CB57" i="2" s="1"/>
  <c r="CZ57" i="2" s="1"/>
  <c r="BC57" i="2"/>
  <c r="CA57" i="2" s="1"/>
  <c r="CY57" i="2" s="1"/>
  <c r="BA57" i="2"/>
  <c r="AZ57" i="2"/>
  <c r="AY57" i="2"/>
  <c r="AX57" i="2"/>
  <c r="AW57" i="2"/>
  <c r="AV57" i="2"/>
  <c r="AU57" i="2"/>
  <c r="AT57" i="2"/>
  <c r="AS57" i="2"/>
  <c r="AR57" i="2"/>
  <c r="AQ57" i="2"/>
  <c r="AE57" i="2"/>
  <c r="AB57" i="2"/>
  <c r="Z57" i="2"/>
  <c r="X57" i="2"/>
  <c r="AJ57" i="2" s="1"/>
  <c r="T57" i="2"/>
  <c r="AF57" i="2" s="1"/>
  <c r="S57" i="2"/>
  <c r="Q57" i="2"/>
  <c r="P57" i="2"/>
  <c r="EE57" i="2" s="1"/>
  <c r="EP57" i="2" s="1"/>
  <c r="O57" i="2"/>
  <c r="N57" i="2"/>
  <c r="EC57" i="2" s="1"/>
  <c r="EN57" i="2" s="1"/>
  <c r="M57" i="2"/>
  <c r="L57" i="2"/>
  <c r="EA57" i="2" s="1"/>
  <c r="EL57" i="2" s="1"/>
  <c r="K57" i="2"/>
  <c r="W57" i="2" s="1"/>
  <c r="J57" i="2"/>
  <c r="I57" i="2"/>
  <c r="U57" i="2" s="1"/>
  <c r="EL56" i="2"/>
  <c r="EJ56" i="2"/>
  <c r="EH56" i="2"/>
  <c r="EA56" i="2"/>
  <c r="DZ56" i="2"/>
  <c r="DY56" i="2"/>
  <c r="DX56" i="2"/>
  <c r="DW56" i="2"/>
  <c r="DV56" i="2"/>
  <c r="EG56" i="2" s="1"/>
  <c r="DU56" i="2"/>
  <c r="DT56" i="2"/>
  <c r="DS56" i="2"/>
  <c r="DR56" i="2"/>
  <c r="DQ56" i="2"/>
  <c r="DP56" i="2"/>
  <c r="DO56" i="2"/>
  <c r="DN56" i="2"/>
  <c r="DM56" i="2"/>
  <c r="DL56" i="2"/>
  <c r="DK56" i="2"/>
  <c r="BZ56" i="2"/>
  <c r="CX56" i="2" s="1"/>
  <c r="BM56" i="2"/>
  <c r="BL56" i="2"/>
  <c r="BK56" i="2"/>
  <c r="BJ56" i="2"/>
  <c r="BI56" i="2"/>
  <c r="BH56" i="2"/>
  <c r="BG56" i="2"/>
  <c r="BF56" i="2"/>
  <c r="CD56" i="2" s="1"/>
  <c r="DB56" i="2" s="1"/>
  <c r="BE56" i="2"/>
  <c r="CC56" i="2" s="1"/>
  <c r="DA56" i="2" s="1"/>
  <c r="BD56" i="2"/>
  <c r="BC56" i="2"/>
  <c r="CA56" i="2" s="1"/>
  <c r="CY56" i="2" s="1"/>
  <c r="BA56" i="2"/>
  <c r="AZ56" i="2"/>
  <c r="AY56" i="2"/>
  <c r="AX56" i="2"/>
  <c r="AW56" i="2"/>
  <c r="AV56" i="2"/>
  <c r="AU56" i="2"/>
  <c r="AT56" i="2"/>
  <c r="AS56" i="2"/>
  <c r="AR56" i="2"/>
  <c r="AQ56" i="2"/>
  <c r="AF56" i="2"/>
  <c r="AE56" i="2"/>
  <c r="AB56" i="2"/>
  <c r="Z56" i="2"/>
  <c r="AL56" i="2" s="1"/>
  <c r="V56" i="2"/>
  <c r="AH56" i="2" s="1"/>
  <c r="T56" i="2"/>
  <c r="CB56" i="2" s="1"/>
  <c r="CZ56" i="2" s="1"/>
  <c r="S56" i="2"/>
  <c r="Q56" i="2"/>
  <c r="P56" i="2"/>
  <c r="EE56" i="2" s="1"/>
  <c r="EP56" i="2" s="1"/>
  <c r="O56" i="2"/>
  <c r="N56" i="2"/>
  <c r="EC56" i="2" s="1"/>
  <c r="EN56" i="2" s="1"/>
  <c r="M56" i="2"/>
  <c r="Y56" i="2" s="1"/>
  <c r="L56" i="2"/>
  <c r="K56" i="2"/>
  <c r="W56" i="2" s="1"/>
  <c r="J56" i="2"/>
  <c r="V57" i="2" s="1"/>
  <c r="I56" i="2"/>
  <c r="U56" i="2" s="1"/>
  <c r="AG56" i="2" s="1"/>
  <c r="EN55" i="2"/>
  <c r="EL55" i="2"/>
  <c r="EJ55" i="2"/>
  <c r="EH55" i="2"/>
  <c r="EC55" i="2"/>
  <c r="EB55" i="2"/>
  <c r="EA55" i="2"/>
  <c r="DZ55" i="2"/>
  <c r="DY55" i="2"/>
  <c r="DX55" i="2"/>
  <c r="EI55" i="2" s="1"/>
  <c r="DW55" i="2"/>
  <c r="DV55" i="2"/>
  <c r="EG55" i="2" s="1"/>
  <c r="DU55" i="2"/>
  <c r="DT55" i="2"/>
  <c r="DS55" i="2"/>
  <c r="DR55" i="2"/>
  <c r="DQ55" i="2"/>
  <c r="DP55" i="2"/>
  <c r="DO55" i="2"/>
  <c r="DN55" i="2"/>
  <c r="DM55" i="2"/>
  <c r="DL55" i="2"/>
  <c r="DK55" i="2"/>
  <c r="BZ55" i="2"/>
  <c r="CX55" i="2" s="1"/>
  <c r="BM55" i="2"/>
  <c r="BL55" i="2"/>
  <c r="BK55" i="2"/>
  <c r="BJ55" i="2"/>
  <c r="BI55" i="2"/>
  <c r="BH55" i="2"/>
  <c r="CF55" i="2" s="1"/>
  <c r="DD55" i="2" s="1"/>
  <c r="BG55" i="2"/>
  <c r="BF55" i="2"/>
  <c r="BE55" i="2"/>
  <c r="BD55" i="2"/>
  <c r="BC55" i="2"/>
  <c r="CA55" i="2" s="1"/>
  <c r="CY55" i="2" s="1"/>
  <c r="BA55" i="2"/>
  <c r="AZ55" i="2"/>
  <c r="AY55" i="2"/>
  <c r="AX55" i="2"/>
  <c r="AW55" i="2"/>
  <c r="AV55" i="2"/>
  <c r="AU55" i="2"/>
  <c r="AT55" i="2"/>
  <c r="AS55" i="2"/>
  <c r="AR55" i="2"/>
  <c r="AQ55" i="2"/>
  <c r="AE55" i="2"/>
  <c r="AB55" i="2"/>
  <c r="AN55" i="2" s="1"/>
  <c r="X55" i="2"/>
  <c r="AJ55" i="2" s="1"/>
  <c r="T55" i="2"/>
  <c r="S55" i="2"/>
  <c r="Q55" i="2"/>
  <c r="P55" i="2"/>
  <c r="EE55" i="2" s="1"/>
  <c r="EP55" i="2" s="1"/>
  <c r="O55" i="2"/>
  <c r="AA55" i="2" s="1"/>
  <c r="N55" i="2"/>
  <c r="M55" i="2"/>
  <c r="Y55" i="2" s="1"/>
  <c r="L55" i="2"/>
  <c r="X56" i="2" s="1"/>
  <c r="K55" i="2"/>
  <c r="W55" i="2" s="1"/>
  <c r="AI55" i="2" s="1"/>
  <c r="J55" i="2"/>
  <c r="I55" i="2"/>
  <c r="EP54" i="2"/>
  <c r="EN54" i="2"/>
  <c r="EL54" i="2"/>
  <c r="EH54" i="2"/>
  <c r="EE54" i="2"/>
  <c r="ED54" i="2"/>
  <c r="EO54" i="2" s="1"/>
  <c r="EC54" i="2"/>
  <c r="EB54" i="2"/>
  <c r="EM54" i="2" s="1"/>
  <c r="EA54" i="2"/>
  <c r="DZ54" i="2"/>
  <c r="EK54" i="2" s="1"/>
  <c r="DW54" i="2"/>
  <c r="DV54" i="2"/>
  <c r="EG54" i="2" s="1"/>
  <c r="DU54" i="2"/>
  <c r="DT54" i="2"/>
  <c r="DS54" i="2"/>
  <c r="DR54" i="2"/>
  <c r="DQ54" i="2"/>
  <c r="DP54" i="2"/>
  <c r="DO54" i="2"/>
  <c r="DN54" i="2"/>
  <c r="DM54" i="2"/>
  <c r="DL54" i="2"/>
  <c r="DK54" i="2"/>
  <c r="BZ54" i="2"/>
  <c r="CX54" i="2" s="1"/>
  <c r="BM54" i="2"/>
  <c r="BL54" i="2"/>
  <c r="BK54" i="2"/>
  <c r="BJ54" i="2"/>
  <c r="CH54" i="2" s="1"/>
  <c r="DF54" i="2" s="1"/>
  <c r="BI54" i="2"/>
  <c r="BH54" i="2"/>
  <c r="BG54" i="2"/>
  <c r="BF54" i="2"/>
  <c r="BE54" i="2"/>
  <c r="BD54" i="2"/>
  <c r="BC54" i="2"/>
  <c r="BA54" i="2"/>
  <c r="AZ54" i="2"/>
  <c r="AY54" i="2"/>
  <c r="AX54" i="2"/>
  <c r="AW54" i="2"/>
  <c r="AV54" i="2"/>
  <c r="AU54" i="2"/>
  <c r="AT54" i="2"/>
  <c r="AS54" i="2"/>
  <c r="AR54" i="2"/>
  <c r="AQ54" i="2"/>
  <c r="AE54" i="2"/>
  <c r="Z54" i="2"/>
  <c r="AL54" i="2" s="1"/>
  <c r="V54" i="2"/>
  <c r="T54" i="2"/>
  <c r="S54" i="2"/>
  <c r="CA54" i="2" s="1"/>
  <c r="CY54" i="2" s="1"/>
  <c r="Q54" i="2"/>
  <c r="AC54" i="2" s="1"/>
  <c r="P54" i="2"/>
  <c r="O54" i="2"/>
  <c r="AA54" i="2" s="1"/>
  <c r="N54" i="2"/>
  <c r="Z55" i="2" s="1"/>
  <c r="M54" i="2"/>
  <c r="Y54" i="2" s="1"/>
  <c r="AK54" i="2" s="1"/>
  <c r="L54" i="2"/>
  <c r="K54" i="2"/>
  <c r="J54" i="2"/>
  <c r="DY54" i="2" s="1"/>
  <c r="EJ54" i="2" s="1"/>
  <c r="I54" i="2"/>
  <c r="EP53" i="2"/>
  <c r="EN53" i="2"/>
  <c r="EH53" i="2"/>
  <c r="EG53" i="2"/>
  <c r="EF53" i="2"/>
  <c r="EQ53" i="2" s="1"/>
  <c r="EE53" i="2"/>
  <c r="ED53" i="2"/>
  <c r="EO53" i="2" s="1"/>
  <c r="EC53" i="2"/>
  <c r="EB53" i="2"/>
  <c r="DW53" i="2"/>
  <c r="DV53" i="2"/>
  <c r="DU53" i="2"/>
  <c r="DT53" i="2"/>
  <c r="DS53" i="2"/>
  <c r="DR53" i="2"/>
  <c r="DQ53" i="2"/>
  <c r="DP53" i="2"/>
  <c r="DO53" i="2"/>
  <c r="DN53" i="2"/>
  <c r="DM53" i="2"/>
  <c r="DL53" i="2"/>
  <c r="DK53" i="2"/>
  <c r="BZ53" i="2"/>
  <c r="CX53" i="2" s="1"/>
  <c r="BM53" i="2"/>
  <c r="BL53" i="2"/>
  <c r="CJ53" i="2" s="1"/>
  <c r="DH53" i="2" s="1"/>
  <c r="BK53" i="2"/>
  <c r="BJ53" i="2"/>
  <c r="BI53" i="2"/>
  <c r="BH53" i="2"/>
  <c r="BG53" i="2"/>
  <c r="BF53" i="2"/>
  <c r="BE53" i="2"/>
  <c r="BD53" i="2"/>
  <c r="BC53" i="2"/>
  <c r="CA53" i="2" s="1"/>
  <c r="CY53" i="2" s="1"/>
  <c r="BA53" i="2"/>
  <c r="AZ53" i="2"/>
  <c r="AY53" i="2"/>
  <c r="AX53" i="2"/>
  <c r="AW53" i="2"/>
  <c r="AV53" i="2"/>
  <c r="AU53" i="2"/>
  <c r="AT53" i="2"/>
  <c r="AS53" i="2"/>
  <c r="AR53" i="2"/>
  <c r="AQ53" i="2"/>
  <c r="AE53" i="2"/>
  <c r="AB53" i="2"/>
  <c r="AN53" i="2" s="1"/>
  <c r="X53" i="2"/>
  <c r="V53" i="2"/>
  <c r="T53" i="2"/>
  <c r="S53" i="2"/>
  <c r="Q53" i="2"/>
  <c r="AC53" i="2" s="1"/>
  <c r="P53" i="2"/>
  <c r="AB54" i="2" s="1"/>
  <c r="O53" i="2"/>
  <c r="AA53" i="2" s="1"/>
  <c r="N53" i="2"/>
  <c r="M53" i="2"/>
  <c r="L53" i="2"/>
  <c r="K53" i="2"/>
  <c r="J53" i="2"/>
  <c r="DY53" i="2" s="1"/>
  <c r="EJ53" i="2" s="1"/>
  <c r="I53" i="2"/>
  <c r="EP52" i="2"/>
  <c r="EH52" i="2"/>
  <c r="EF52" i="2"/>
  <c r="EE52" i="2"/>
  <c r="ED52" i="2"/>
  <c r="EO52" i="2" s="1"/>
  <c r="DW52" i="2"/>
  <c r="DV52" i="2"/>
  <c r="EG52" i="2" s="1"/>
  <c r="DU52" i="2"/>
  <c r="DT52" i="2"/>
  <c r="DS52" i="2"/>
  <c r="DR52" i="2"/>
  <c r="DQ52" i="2"/>
  <c r="DP52" i="2"/>
  <c r="DO52" i="2"/>
  <c r="DN52" i="2"/>
  <c r="DM52" i="2"/>
  <c r="DL52" i="2"/>
  <c r="DK52" i="2"/>
  <c r="BZ52" i="2"/>
  <c r="CX52" i="2" s="1"/>
  <c r="BM52" i="2"/>
  <c r="BL52" i="2"/>
  <c r="BK52" i="2"/>
  <c r="BJ52" i="2"/>
  <c r="BI52" i="2"/>
  <c r="BH52" i="2"/>
  <c r="BG52" i="2"/>
  <c r="BF52" i="2"/>
  <c r="BE52" i="2"/>
  <c r="BD52" i="2"/>
  <c r="BC52" i="2"/>
  <c r="CA52" i="2" s="1"/>
  <c r="CY52" i="2" s="1"/>
  <c r="BA52" i="2"/>
  <c r="AZ52" i="2"/>
  <c r="AY52" i="2"/>
  <c r="AX52" i="2"/>
  <c r="AW52" i="2"/>
  <c r="AV52" i="2"/>
  <c r="AU52" i="2"/>
  <c r="AT52" i="2"/>
  <c r="AS52" i="2"/>
  <c r="AR52" i="2"/>
  <c r="AQ52" i="2"/>
  <c r="AM52" i="2"/>
  <c r="AE52" i="2"/>
  <c r="AA52" i="2"/>
  <c r="Z52" i="2"/>
  <c r="X52" i="2"/>
  <c r="V52" i="2"/>
  <c r="T52" i="2"/>
  <c r="AF52" i="2" s="1"/>
  <c r="S52" i="2"/>
  <c r="Q52" i="2"/>
  <c r="AC52" i="2" s="1"/>
  <c r="AO52" i="2" s="1"/>
  <c r="P52" i="2"/>
  <c r="O52" i="2"/>
  <c r="N52" i="2"/>
  <c r="M52" i="2"/>
  <c r="L52" i="2"/>
  <c r="EA52" i="2" s="1"/>
  <c r="EL52" i="2" s="1"/>
  <c r="K52" i="2"/>
  <c r="J52" i="2"/>
  <c r="DY52" i="2" s="1"/>
  <c r="EJ52" i="2" s="1"/>
  <c r="I52" i="2"/>
  <c r="EJ51" i="2"/>
  <c r="EH51" i="2"/>
  <c r="EF51" i="2"/>
  <c r="DY51" i="2"/>
  <c r="DX51" i="2"/>
  <c r="DW51" i="2"/>
  <c r="DV51" i="2"/>
  <c r="EG51" i="2" s="1"/>
  <c r="DU51" i="2"/>
  <c r="DT51" i="2"/>
  <c r="DS51" i="2"/>
  <c r="DR51" i="2"/>
  <c r="DQ51" i="2"/>
  <c r="DP51" i="2"/>
  <c r="DO51" i="2"/>
  <c r="DN51" i="2"/>
  <c r="DM51" i="2"/>
  <c r="DL51" i="2"/>
  <c r="DK51" i="2"/>
  <c r="BZ51" i="2"/>
  <c r="CX51" i="2" s="1"/>
  <c r="BM51" i="2"/>
  <c r="BL51" i="2"/>
  <c r="BK51" i="2"/>
  <c r="BJ51" i="2"/>
  <c r="BI51" i="2"/>
  <c r="BH51" i="2"/>
  <c r="BG51" i="2"/>
  <c r="BF51" i="2"/>
  <c r="BE51" i="2"/>
  <c r="BD51" i="2"/>
  <c r="CB51" i="2" s="1"/>
  <c r="CZ51" i="2" s="1"/>
  <c r="BC51" i="2"/>
  <c r="CA51" i="2" s="1"/>
  <c r="CY51" i="2" s="1"/>
  <c r="BA51" i="2"/>
  <c r="AZ51" i="2"/>
  <c r="AY51" i="2"/>
  <c r="AX51" i="2"/>
  <c r="AW51" i="2"/>
  <c r="AV51" i="2"/>
  <c r="AU51" i="2"/>
  <c r="AT51" i="2"/>
  <c r="AS51" i="2"/>
  <c r="AR51" i="2"/>
  <c r="AQ51" i="2"/>
  <c r="AE51" i="2"/>
  <c r="AB51" i="2"/>
  <c r="Z51" i="2"/>
  <c r="X51" i="2"/>
  <c r="T51" i="2"/>
  <c r="AF51" i="2" s="1"/>
  <c r="S51" i="2"/>
  <c r="Q51" i="2"/>
  <c r="P51" i="2"/>
  <c r="O51" i="2"/>
  <c r="N51" i="2"/>
  <c r="EC51" i="2" s="1"/>
  <c r="EN51" i="2" s="1"/>
  <c r="M51" i="2"/>
  <c r="L51" i="2"/>
  <c r="EA51" i="2" s="1"/>
  <c r="EL51" i="2" s="1"/>
  <c r="K51" i="2"/>
  <c r="J51" i="2"/>
  <c r="I51" i="2"/>
  <c r="U51" i="2" s="1"/>
  <c r="EH50" i="2"/>
  <c r="EA50" i="2"/>
  <c r="DZ50" i="2"/>
  <c r="DX50" i="2"/>
  <c r="DW50" i="2"/>
  <c r="DV50" i="2"/>
  <c r="EG50" i="2" s="1"/>
  <c r="DU50" i="2"/>
  <c r="DT50" i="2"/>
  <c r="DS50" i="2"/>
  <c r="DR50" i="2"/>
  <c r="DQ50" i="2"/>
  <c r="DP50" i="2"/>
  <c r="DO50" i="2"/>
  <c r="EL50" i="2" s="1"/>
  <c r="DN50" i="2"/>
  <c r="DM50" i="2"/>
  <c r="DL50" i="2"/>
  <c r="DK50" i="2"/>
  <c r="CD50" i="2"/>
  <c r="DB50" i="2" s="1"/>
  <c r="BZ50" i="2"/>
  <c r="CX50" i="2" s="1"/>
  <c r="BM50" i="2"/>
  <c r="BL50" i="2"/>
  <c r="BK50" i="2"/>
  <c r="BJ50" i="2"/>
  <c r="BI50" i="2"/>
  <c r="BH50" i="2"/>
  <c r="BG50" i="2"/>
  <c r="BF50" i="2"/>
  <c r="BE50" i="2"/>
  <c r="BD50" i="2"/>
  <c r="BC50" i="2"/>
  <c r="BA50" i="2"/>
  <c r="AZ50" i="2"/>
  <c r="AY50" i="2"/>
  <c r="AX50" i="2"/>
  <c r="AW50" i="2"/>
  <c r="AV50" i="2"/>
  <c r="AU50" i="2"/>
  <c r="AT50" i="2"/>
  <c r="AS50" i="2"/>
  <c r="AR50" i="2"/>
  <c r="AQ50" i="2"/>
  <c r="AF50" i="2"/>
  <c r="AB50" i="2"/>
  <c r="Z50" i="2"/>
  <c r="V50" i="2"/>
  <c r="AH50" i="2" s="1"/>
  <c r="T50" i="2"/>
  <c r="CB50" i="2" s="1"/>
  <c r="CZ50" i="2" s="1"/>
  <c r="S50" i="2"/>
  <c r="Q50" i="2"/>
  <c r="AC51" i="2" s="1"/>
  <c r="P50" i="2"/>
  <c r="EE50" i="2" s="1"/>
  <c r="EP50" i="2" s="1"/>
  <c r="O50" i="2"/>
  <c r="N50" i="2"/>
  <c r="EC50" i="2" s="1"/>
  <c r="EN50" i="2" s="1"/>
  <c r="M50" i="2"/>
  <c r="L50" i="2"/>
  <c r="K50" i="2"/>
  <c r="W50" i="2" s="1"/>
  <c r="J50" i="2"/>
  <c r="V51" i="2" s="1"/>
  <c r="I50" i="2"/>
  <c r="U50" i="2" s="1"/>
  <c r="AG50" i="2" s="1"/>
  <c r="EJ49" i="2"/>
  <c r="EC49" i="2"/>
  <c r="EN49" i="2" s="1"/>
  <c r="EB49" i="2"/>
  <c r="DZ49" i="2"/>
  <c r="DY49" i="2"/>
  <c r="DW49" i="2"/>
  <c r="DV49" i="2"/>
  <c r="EG49" i="2" s="1"/>
  <c r="DU49" i="2"/>
  <c r="DT49" i="2"/>
  <c r="DS49" i="2"/>
  <c r="DR49" i="2"/>
  <c r="DQ49" i="2"/>
  <c r="DP49" i="2"/>
  <c r="DO49" i="2"/>
  <c r="DN49" i="2"/>
  <c r="DM49" i="2"/>
  <c r="DL49" i="2"/>
  <c r="DK49" i="2"/>
  <c r="EH49" i="2" s="1"/>
  <c r="CF49" i="2"/>
  <c r="DD49" i="2" s="1"/>
  <c r="BZ49" i="2"/>
  <c r="CX49" i="2" s="1"/>
  <c r="BM49" i="2"/>
  <c r="BL49" i="2"/>
  <c r="BK49" i="2"/>
  <c r="BJ49" i="2"/>
  <c r="BI49" i="2"/>
  <c r="BH49" i="2"/>
  <c r="BG49" i="2"/>
  <c r="BF49" i="2"/>
  <c r="BE49" i="2"/>
  <c r="BD49" i="2"/>
  <c r="BC49" i="2"/>
  <c r="CA49" i="2" s="1"/>
  <c r="CY49" i="2" s="1"/>
  <c r="BA49" i="2"/>
  <c r="AZ49" i="2"/>
  <c r="AY49" i="2"/>
  <c r="AX49" i="2"/>
  <c r="AW49" i="2"/>
  <c r="AV49" i="2"/>
  <c r="AU49" i="2"/>
  <c r="AT49" i="2"/>
  <c r="AS49" i="2"/>
  <c r="AR49" i="2"/>
  <c r="AQ49" i="2"/>
  <c r="AE49" i="2"/>
  <c r="AB49" i="2"/>
  <c r="X49" i="2"/>
  <c r="AJ49" i="2" s="1"/>
  <c r="U49" i="2"/>
  <c r="CC49" i="2" s="1"/>
  <c r="DA49" i="2" s="1"/>
  <c r="T49" i="2"/>
  <c r="S49" i="2"/>
  <c r="Q49" i="2"/>
  <c r="P49" i="2"/>
  <c r="EE49" i="2" s="1"/>
  <c r="EP49" i="2" s="1"/>
  <c r="O49" i="2"/>
  <c r="N49" i="2"/>
  <c r="M49" i="2"/>
  <c r="Y49" i="2" s="1"/>
  <c r="L49" i="2"/>
  <c r="X50" i="2" s="1"/>
  <c r="K49" i="2"/>
  <c r="J49" i="2"/>
  <c r="I49" i="2"/>
  <c r="DX49" i="2" s="1"/>
  <c r="EI49" i="2" s="1"/>
  <c r="EL48" i="2"/>
  <c r="EH48" i="2"/>
  <c r="EF48" i="2"/>
  <c r="EQ48" i="2" s="1"/>
  <c r="EE48" i="2"/>
  <c r="EP48" i="2" s="1"/>
  <c r="ED48" i="2"/>
  <c r="EO48" i="2" s="1"/>
  <c r="EB48" i="2"/>
  <c r="EM48" i="2" s="1"/>
  <c r="EA48" i="2"/>
  <c r="DZ48" i="2"/>
  <c r="EK48" i="2" s="1"/>
  <c r="DW48" i="2"/>
  <c r="DV48" i="2"/>
  <c r="EG48" i="2" s="1"/>
  <c r="DU48" i="2"/>
  <c r="DT48" i="2"/>
  <c r="DS48" i="2"/>
  <c r="DR48" i="2"/>
  <c r="DQ48" i="2"/>
  <c r="DP48" i="2"/>
  <c r="DO48" i="2"/>
  <c r="DN48" i="2"/>
  <c r="DM48" i="2"/>
  <c r="DL48" i="2"/>
  <c r="DK48" i="2"/>
  <c r="DG48" i="2"/>
  <c r="CI48" i="2"/>
  <c r="BZ48" i="2"/>
  <c r="CX48" i="2" s="1"/>
  <c r="BM48" i="2"/>
  <c r="BL48" i="2"/>
  <c r="BK48" i="2"/>
  <c r="BJ48" i="2"/>
  <c r="CH48" i="2" s="1"/>
  <c r="DF48" i="2" s="1"/>
  <c r="BI48" i="2"/>
  <c r="CG48" i="2" s="1"/>
  <c r="DE48" i="2" s="1"/>
  <c r="BH48" i="2"/>
  <c r="BG48" i="2"/>
  <c r="BF48" i="2"/>
  <c r="BE48" i="2"/>
  <c r="BD48" i="2"/>
  <c r="BC48" i="2"/>
  <c r="BA48" i="2"/>
  <c r="AZ48" i="2"/>
  <c r="AY48" i="2"/>
  <c r="AX48" i="2"/>
  <c r="AW48" i="2"/>
  <c r="AV48" i="2"/>
  <c r="AU48" i="2"/>
  <c r="AT48" i="2"/>
  <c r="AS48" i="2"/>
  <c r="AR48" i="2"/>
  <c r="AQ48" i="2"/>
  <c r="AE48" i="2"/>
  <c r="Z48" i="2"/>
  <c r="AL48" i="2" s="1"/>
  <c r="X48" i="2"/>
  <c r="T48" i="2"/>
  <c r="S48" i="2"/>
  <c r="CA48" i="2" s="1"/>
  <c r="CY48" i="2" s="1"/>
  <c r="Q48" i="2"/>
  <c r="AC48" i="2" s="1"/>
  <c r="P48" i="2"/>
  <c r="O48" i="2"/>
  <c r="AA48" i="2" s="1"/>
  <c r="AM48" i="2" s="1"/>
  <c r="N48" i="2"/>
  <c r="Z49" i="2" s="1"/>
  <c r="M48" i="2"/>
  <c r="Y48" i="2" s="1"/>
  <c r="AK48" i="2" s="1"/>
  <c r="L48" i="2"/>
  <c r="K48" i="2"/>
  <c r="W48" i="2" s="1"/>
  <c r="J48" i="2"/>
  <c r="I48" i="2"/>
  <c r="EN47" i="2"/>
  <c r="EH47" i="2"/>
  <c r="EF47" i="2"/>
  <c r="ED47" i="2"/>
  <c r="EO47" i="2" s="1"/>
  <c r="EC47" i="2"/>
  <c r="EB47" i="2"/>
  <c r="EM47" i="2" s="1"/>
  <c r="DW47" i="2"/>
  <c r="DV47" i="2"/>
  <c r="EG47" i="2" s="1"/>
  <c r="DU47" i="2"/>
  <c r="DT47" i="2"/>
  <c r="DS47" i="2"/>
  <c r="DR47" i="2"/>
  <c r="DQ47" i="2"/>
  <c r="DP47" i="2"/>
  <c r="DO47" i="2"/>
  <c r="DN47" i="2"/>
  <c r="DM47" i="2"/>
  <c r="DL47" i="2"/>
  <c r="DK47" i="2"/>
  <c r="CK47" i="2"/>
  <c r="DI47" i="2" s="1"/>
  <c r="BZ47" i="2"/>
  <c r="CX47" i="2" s="1"/>
  <c r="BM47" i="2"/>
  <c r="BL47" i="2"/>
  <c r="CJ47" i="2" s="1"/>
  <c r="DH47" i="2" s="1"/>
  <c r="BK47" i="2"/>
  <c r="BJ47" i="2"/>
  <c r="BI47" i="2"/>
  <c r="BH47" i="2"/>
  <c r="BG47" i="2"/>
  <c r="BF47" i="2"/>
  <c r="BE47" i="2"/>
  <c r="BD47" i="2"/>
  <c r="BC47" i="2"/>
  <c r="CA47" i="2" s="1"/>
  <c r="CY47" i="2" s="1"/>
  <c r="BA47" i="2"/>
  <c r="AZ47" i="2"/>
  <c r="AY47" i="2"/>
  <c r="AX47" i="2"/>
  <c r="AW47" i="2"/>
  <c r="AV47" i="2"/>
  <c r="AU47" i="2"/>
  <c r="AT47" i="2"/>
  <c r="AS47" i="2"/>
  <c r="AR47" i="2"/>
  <c r="AQ47" i="2"/>
  <c r="AE47" i="2"/>
  <c r="AB47" i="2"/>
  <c r="AN47" i="2" s="1"/>
  <c r="V47" i="2"/>
  <c r="T47" i="2"/>
  <c r="S47" i="2"/>
  <c r="Q47" i="2"/>
  <c r="AC47" i="2" s="1"/>
  <c r="AO47" i="2" s="1"/>
  <c r="P47" i="2"/>
  <c r="AB48" i="2" s="1"/>
  <c r="O47" i="2"/>
  <c r="N47" i="2"/>
  <c r="M47" i="2"/>
  <c r="L47" i="2"/>
  <c r="EA47" i="2" s="1"/>
  <c r="EL47" i="2" s="1"/>
  <c r="K47" i="2"/>
  <c r="J47" i="2"/>
  <c r="DY47" i="2" s="1"/>
  <c r="EJ47" i="2" s="1"/>
  <c r="I47" i="2"/>
  <c r="EP46" i="2"/>
  <c r="EH46" i="2"/>
  <c r="EF46" i="2"/>
  <c r="EE46" i="2"/>
  <c r="ED46" i="2"/>
  <c r="EO46" i="2" s="1"/>
  <c r="DX46" i="2"/>
  <c r="EI46" i="2" s="1"/>
  <c r="DW46" i="2"/>
  <c r="DV46" i="2"/>
  <c r="EG46" i="2" s="1"/>
  <c r="DU46" i="2"/>
  <c r="DT46" i="2"/>
  <c r="DS46" i="2"/>
  <c r="DR46" i="2"/>
  <c r="DQ46" i="2"/>
  <c r="DP46" i="2"/>
  <c r="DO46" i="2"/>
  <c r="DN46" i="2"/>
  <c r="DM46" i="2"/>
  <c r="DL46" i="2"/>
  <c r="DK46" i="2"/>
  <c r="BZ46" i="2"/>
  <c r="CX46" i="2" s="1"/>
  <c r="BM46" i="2"/>
  <c r="BL46" i="2"/>
  <c r="BK46" i="2"/>
  <c r="BJ46" i="2"/>
  <c r="BI46" i="2"/>
  <c r="BH46" i="2"/>
  <c r="BG46" i="2"/>
  <c r="BF46" i="2"/>
  <c r="BE46" i="2"/>
  <c r="BD46" i="2"/>
  <c r="BC46" i="2"/>
  <c r="CA46" i="2" s="1"/>
  <c r="CY46" i="2" s="1"/>
  <c r="BA46" i="2"/>
  <c r="AZ46" i="2"/>
  <c r="AY46" i="2"/>
  <c r="AX46" i="2"/>
  <c r="AW46" i="2"/>
  <c r="AV46" i="2"/>
  <c r="AU46" i="2"/>
  <c r="AT46" i="2"/>
  <c r="AS46" i="2"/>
  <c r="AR46" i="2"/>
  <c r="AQ46" i="2"/>
  <c r="AE46" i="2"/>
  <c r="Z46" i="2"/>
  <c r="X46" i="2"/>
  <c r="V46" i="2"/>
  <c r="T46" i="2"/>
  <c r="AF46" i="2" s="1"/>
  <c r="S46" i="2"/>
  <c r="Q46" i="2"/>
  <c r="AC46" i="2" s="1"/>
  <c r="P46" i="2"/>
  <c r="O46" i="2"/>
  <c r="AA46" i="2" s="1"/>
  <c r="N46" i="2"/>
  <c r="EC46" i="2" s="1"/>
  <c r="EN46" i="2" s="1"/>
  <c r="M46" i="2"/>
  <c r="L46" i="2"/>
  <c r="EA46" i="2" s="1"/>
  <c r="EL46" i="2" s="1"/>
  <c r="K46" i="2"/>
  <c r="J46" i="2"/>
  <c r="DY46" i="2" s="1"/>
  <c r="EJ46" i="2" s="1"/>
  <c r="I46" i="2"/>
  <c r="U46" i="2" s="1"/>
  <c r="EL45" i="2"/>
  <c r="EJ45" i="2"/>
  <c r="EH45" i="2"/>
  <c r="DZ45" i="2"/>
  <c r="EK45" i="2" s="1"/>
  <c r="DY45" i="2"/>
  <c r="DX45" i="2"/>
  <c r="DW45" i="2"/>
  <c r="DV45" i="2"/>
  <c r="EG45" i="2" s="1"/>
  <c r="DU45" i="2"/>
  <c r="DT45" i="2"/>
  <c r="DS45" i="2"/>
  <c r="DR45" i="2"/>
  <c r="DQ45" i="2"/>
  <c r="DP45" i="2"/>
  <c r="DO45" i="2"/>
  <c r="DN45" i="2"/>
  <c r="DM45" i="2"/>
  <c r="DL45" i="2"/>
  <c r="DK45" i="2"/>
  <c r="BZ45" i="2"/>
  <c r="CX45" i="2" s="1"/>
  <c r="BM45" i="2"/>
  <c r="BL45" i="2"/>
  <c r="BK45" i="2"/>
  <c r="BJ45" i="2"/>
  <c r="BI45" i="2"/>
  <c r="BH45" i="2"/>
  <c r="BG45" i="2"/>
  <c r="BF45" i="2"/>
  <c r="BE45" i="2"/>
  <c r="BD45" i="2"/>
  <c r="CB45" i="2" s="1"/>
  <c r="CZ45" i="2" s="1"/>
  <c r="BC45" i="2"/>
  <c r="CA45" i="2" s="1"/>
  <c r="CY45" i="2" s="1"/>
  <c r="BA45" i="2"/>
  <c r="AZ45" i="2"/>
  <c r="AY45" i="2"/>
  <c r="AX45" i="2"/>
  <c r="AW45" i="2"/>
  <c r="AV45" i="2"/>
  <c r="AU45" i="2"/>
  <c r="AT45" i="2"/>
  <c r="AS45" i="2"/>
  <c r="AR45" i="2"/>
  <c r="AQ45" i="2"/>
  <c r="AE45" i="2"/>
  <c r="AC45" i="2"/>
  <c r="AO45" i="2" s="1"/>
  <c r="Z45" i="2"/>
  <c r="X45" i="2"/>
  <c r="T45" i="2"/>
  <c r="AF45" i="2" s="1"/>
  <c r="S45" i="2"/>
  <c r="Q45" i="2"/>
  <c r="EF45" i="2" s="1"/>
  <c r="EQ45" i="2" s="1"/>
  <c r="P45" i="2"/>
  <c r="EE45" i="2" s="1"/>
  <c r="EP45" i="2" s="1"/>
  <c r="O45" i="2"/>
  <c r="N45" i="2"/>
  <c r="EC45" i="2" s="1"/>
  <c r="EN45" i="2" s="1"/>
  <c r="M45" i="2"/>
  <c r="L45" i="2"/>
  <c r="EA45" i="2" s="1"/>
  <c r="K45" i="2"/>
  <c r="W45" i="2" s="1"/>
  <c r="J45" i="2"/>
  <c r="I45" i="2"/>
  <c r="U45" i="2" s="1"/>
  <c r="AG45" i="2" s="1"/>
  <c r="EL44" i="2"/>
  <c r="EH44" i="2"/>
  <c r="EB44" i="2"/>
  <c r="EM44" i="2" s="1"/>
  <c r="EA44" i="2"/>
  <c r="DZ44" i="2"/>
  <c r="DX44" i="2"/>
  <c r="DW44" i="2"/>
  <c r="DV44" i="2"/>
  <c r="EG44" i="2" s="1"/>
  <c r="DU44" i="2"/>
  <c r="DT44" i="2"/>
  <c r="DS44" i="2"/>
  <c r="DR44" i="2"/>
  <c r="DQ44" i="2"/>
  <c r="DP44" i="2"/>
  <c r="DO44" i="2"/>
  <c r="DN44" i="2"/>
  <c r="DM44" i="2"/>
  <c r="DL44" i="2"/>
  <c r="DK44" i="2"/>
  <c r="CX44" i="2"/>
  <c r="BZ44" i="2"/>
  <c r="BM44" i="2"/>
  <c r="BL44" i="2"/>
  <c r="BK44" i="2"/>
  <c r="BJ44" i="2"/>
  <c r="BI44" i="2"/>
  <c r="BH44" i="2"/>
  <c r="BG44" i="2"/>
  <c r="BF44" i="2"/>
  <c r="BE44" i="2"/>
  <c r="BD44" i="2"/>
  <c r="BC44" i="2"/>
  <c r="BA44" i="2"/>
  <c r="AZ44" i="2"/>
  <c r="AY44" i="2"/>
  <c r="AX44" i="2"/>
  <c r="AW44" i="2"/>
  <c r="AV44" i="2"/>
  <c r="AU44" i="2"/>
  <c r="AT44" i="2"/>
  <c r="AS44" i="2"/>
  <c r="AR44" i="2"/>
  <c r="AQ44" i="2"/>
  <c r="AI44" i="2"/>
  <c r="AF44" i="2"/>
  <c r="V44" i="2"/>
  <c r="AH44" i="2" s="1"/>
  <c r="T44" i="2"/>
  <c r="CB44" i="2" s="1"/>
  <c r="CZ44" i="2" s="1"/>
  <c r="S44" i="2"/>
  <c r="AE44" i="2" s="1"/>
  <c r="Q44" i="2"/>
  <c r="P44" i="2"/>
  <c r="EE44" i="2" s="1"/>
  <c r="EP44" i="2" s="1"/>
  <c r="O44" i="2"/>
  <c r="N44" i="2"/>
  <c r="EC44" i="2" s="1"/>
  <c r="EN44" i="2" s="1"/>
  <c r="M44" i="2"/>
  <c r="Y44" i="2" s="1"/>
  <c r="AK44" i="2" s="1"/>
  <c r="L44" i="2"/>
  <c r="X44" i="2" s="1"/>
  <c r="K44" i="2"/>
  <c r="W44" i="2" s="1"/>
  <c r="CE44" i="2" s="1"/>
  <c r="DC44" i="2" s="1"/>
  <c r="J44" i="2"/>
  <c r="V45" i="2" s="1"/>
  <c r="I44" i="2"/>
  <c r="EN43" i="2"/>
  <c r="EJ43" i="2"/>
  <c r="ED43" i="2"/>
  <c r="EO43" i="2" s="1"/>
  <c r="EC43" i="2"/>
  <c r="EB43" i="2"/>
  <c r="EM43" i="2" s="1"/>
  <c r="DY43" i="2"/>
  <c r="DW43" i="2"/>
  <c r="EH43" i="2" s="1"/>
  <c r="DV43" i="2"/>
  <c r="EG43" i="2" s="1"/>
  <c r="DU43" i="2"/>
  <c r="DT43" i="2"/>
  <c r="DS43" i="2"/>
  <c r="DR43" i="2"/>
  <c r="DQ43" i="2"/>
  <c r="DP43" i="2"/>
  <c r="DO43" i="2"/>
  <c r="DN43" i="2"/>
  <c r="DM43" i="2"/>
  <c r="DL43" i="2"/>
  <c r="DK43" i="2"/>
  <c r="BZ43" i="2"/>
  <c r="CX43" i="2" s="1"/>
  <c r="BM43" i="2"/>
  <c r="BL43" i="2"/>
  <c r="BK43" i="2"/>
  <c r="BJ43" i="2"/>
  <c r="BI43" i="2"/>
  <c r="BH43" i="2"/>
  <c r="BG43" i="2"/>
  <c r="BF43" i="2"/>
  <c r="BE43" i="2"/>
  <c r="BD43" i="2"/>
  <c r="BC43" i="2"/>
  <c r="CA43" i="2" s="1"/>
  <c r="CY43" i="2" s="1"/>
  <c r="BA43" i="2"/>
  <c r="AZ43" i="2"/>
  <c r="AY43" i="2"/>
  <c r="AX43" i="2"/>
  <c r="AW43" i="2"/>
  <c r="AV43" i="2"/>
  <c r="AU43" i="2"/>
  <c r="AT43" i="2"/>
  <c r="AS43" i="2"/>
  <c r="AR43" i="2"/>
  <c r="AQ43" i="2"/>
  <c r="AE43" i="2"/>
  <c r="AC43" i="2"/>
  <c r="CK43" i="2" s="1"/>
  <c r="DI43" i="2" s="1"/>
  <c r="V43" i="2"/>
  <c r="CD43" i="2" s="1"/>
  <c r="DB43" i="2" s="1"/>
  <c r="T43" i="2"/>
  <c r="AF43" i="2" s="1"/>
  <c r="S43" i="2"/>
  <c r="Q43" i="2"/>
  <c r="EF43" i="2" s="1"/>
  <c r="EQ43" i="2" s="1"/>
  <c r="P43" i="2"/>
  <c r="O43" i="2"/>
  <c r="N43" i="2"/>
  <c r="M43" i="2"/>
  <c r="L43" i="2"/>
  <c r="EA43" i="2" s="1"/>
  <c r="EL43" i="2" s="1"/>
  <c r="K43" i="2"/>
  <c r="J43" i="2"/>
  <c r="I43" i="2"/>
  <c r="DX43" i="2" s="1"/>
  <c r="EI43" i="2" s="1"/>
  <c r="EM42" i="2"/>
  <c r="EH42" i="2"/>
  <c r="EF42" i="2"/>
  <c r="EQ42" i="2" s="1"/>
  <c r="EE42" i="2"/>
  <c r="ED42" i="2"/>
  <c r="EO42" i="2" s="1"/>
  <c r="EB42" i="2"/>
  <c r="DZ42" i="2"/>
  <c r="EK42" i="2" s="1"/>
  <c r="DW42" i="2"/>
  <c r="DV42" i="2"/>
  <c r="EG42" i="2" s="1"/>
  <c r="DU42" i="2"/>
  <c r="DT42" i="2"/>
  <c r="DS42" i="2"/>
  <c r="EP42" i="2" s="1"/>
  <c r="DR42" i="2"/>
  <c r="DQ42" i="2"/>
  <c r="DP42" i="2"/>
  <c r="DO42" i="2"/>
  <c r="DN42" i="2"/>
  <c r="DM42" i="2"/>
  <c r="DL42" i="2"/>
  <c r="DK42" i="2"/>
  <c r="BZ42" i="2"/>
  <c r="CX42" i="2" s="1"/>
  <c r="BM42" i="2"/>
  <c r="CK42" i="2" s="1"/>
  <c r="DI42" i="2" s="1"/>
  <c r="BL42" i="2"/>
  <c r="BK42" i="2"/>
  <c r="CI42" i="2" s="1"/>
  <c r="DG42" i="2" s="1"/>
  <c r="BJ42" i="2"/>
  <c r="BI42" i="2"/>
  <c r="BH42" i="2"/>
  <c r="BG42" i="2"/>
  <c r="BF42" i="2"/>
  <c r="BE42" i="2"/>
  <c r="BD42" i="2"/>
  <c r="BC42" i="2"/>
  <c r="BA42" i="2"/>
  <c r="AZ42" i="2"/>
  <c r="AY42" i="2"/>
  <c r="AX42" i="2"/>
  <c r="AW42" i="2"/>
  <c r="AV42" i="2"/>
  <c r="AU42" i="2"/>
  <c r="AT42" i="2"/>
  <c r="AS42" i="2"/>
  <c r="AR42" i="2"/>
  <c r="AQ42" i="2"/>
  <c r="AE42" i="2"/>
  <c r="T42" i="2"/>
  <c r="CB42" i="2" s="1"/>
  <c r="CZ42" i="2" s="1"/>
  <c r="S42" i="2"/>
  <c r="CA42" i="2" s="1"/>
  <c r="CY42" i="2" s="1"/>
  <c r="Q42" i="2"/>
  <c r="AC42" i="2" s="1"/>
  <c r="AO42" i="2" s="1"/>
  <c r="P42" i="2"/>
  <c r="AB42" i="2" s="1"/>
  <c r="O42" i="2"/>
  <c r="AA42" i="2" s="1"/>
  <c r="AM42" i="2" s="1"/>
  <c r="N42" i="2"/>
  <c r="EC42" i="2" s="1"/>
  <c r="EN42" i="2" s="1"/>
  <c r="M42" i="2"/>
  <c r="L42" i="2"/>
  <c r="X43" i="2" s="1"/>
  <c r="K42" i="2"/>
  <c r="J42" i="2"/>
  <c r="DY42" i="2" s="1"/>
  <c r="EJ42" i="2" s="1"/>
  <c r="I42" i="2"/>
  <c r="EM41" i="2"/>
  <c r="EF41" i="2"/>
  <c r="EQ41" i="2" s="1"/>
  <c r="ED41" i="2"/>
  <c r="EO41" i="2" s="1"/>
  <c r="EB41" i="2"/>
  <c r="EA41" i="2"/>
  <c r="DY41" i="2"/>
  <c r="EJ41" i="2" s="1"/>
  <c r="DW41" i="2"/>
  <c r="EH41" i="2" s="1"/>
  <c r="DV41" i="2"/>
  <c r="EG41" i="2" s="1"/>
  <c r="DU41" i="2"/>
  <c r="DT41" i="2"/>
  <c r="DS41" i="2"/>
  <c r="DR41" i="2"/>
  <c r="DQ41" i="2"/>
  <c r="DP41" i="2"/>
  <c r="DO41" i="2"/>
  <c r="DN41" i="2"/>
  <c r="DM41" i="2"/>
  <c r="DL41" i="2"/>
  <c r="DK41" i="2"/>
  <c r="BZ41" i="2"/>
  <c r="CX41" i="2" s="1"/>
  <c r="BM41" i="2"/>
  <c r="BL41" i="2"/>
  <c r="BK41" i="2"/>
  <c r="BJ41" i="2"/>
  <c r="BI41" i="2"/>
  <c r="BH41" i="2"/>
  <c r="BG41" i="2"/>
  <c r="BF41" i="2"/>
  <c r="CD41" i="2" s="1"/>
  <c r="DB41" i="2" s="1"/>
  <c r="BE41" i="2"/>
  <c r="BD41" i="2"/>
  <c r="CB41" i="2" s="1"/>
  <c r="CZ41" i="2" s="1"/>
  <c r="BC41" i="2"/>
  <c r="BA41" i="2"/>
  <c r="AZ41" i="2"/>
  <c r="AY41" i="2"/>
  <c r="AX41" i="2"/>
  <c r="AW41" i="2"/>
  <c r="AV41" i="2"/>
  <c r="AU41" i="2"/>
  <c r="AT41" i="2"/>
  <c r="AS41" i="2"/>
  <c r="AR41" i="2"/>
  <c r="AQ41" i="2"/>
  <c r="AF41" i="2"/>
  <c r="AC41" i="2"/>
  <c r="AO41" i="2" s="1"/>
  <c r="AA41" i="2"/>
  <c r="AM41" i="2" s="1"/>
  <c r="X41" i="2"/>
  <c r="AJ41" i="2" s="1"/>
  <c r="V41" i="2"/>
  <c r="AH41" i="2" s="1"/>
  <c r="T41" i="2"/>
  <c r="S41" i="2"/>
  <c r="Q41" i="2"/>
  <c r="P41" i="2"/>
  <c r="AB41" i="2" s="1"/>
  <c r="O41" i="2"/>
  <c r="N41" i="2"/>
  <c r="Z41" i="2" s="1"/>
  <c r="M41" i="2"/>
  <c r="Y41" i="2" s="1"/>
  <c r="L41" i="2"/>
  <c r="K41" i="2"/>
  <c r="DZ41" i="2" s="1"/>
  <c r="EK41" i="2" s="1"/>
  <c r="J41" i="2"/>
  <c r="I41" i="2"/>
  <c r="DX41" i="2" s="1"/>
  <c r="EI41" i="2" s="1"/>
  <c r="EO40" i="2"/>
  <c r="EH40" i="2"/>
  <c r="EF40" i="2"/>
  <c r="EQ40" i="2" s="1"/>
  <c r="ED40" i="2"/>
  <c r="EC40" i="2"/>
  <c r="EA40" i="2"/>
  <c r="EL40" i="2" s="1"/>
  <c r="DY40" i="2"/>
  <c r="EJ40" i="2" s="1"/>
  <c r="DW40" i="2"/>
  <c r="DV40" i="2"/>
  <c r="EG40" i="2" s="1"/>
  <c r="DU40" i="2"/>
  <c r="DT40" i="2"/>
  <c r="DS40" i="2"/>
  <c r="DR40" i="2"/>
  <c r="DQ40" i="2"/>
  <c r="DP40" i="2"/>
  <c r="DO40" i="2"/>
  <c r="DN40" i="2"/>
  <c r="DM40" i="2"/>
  <c r="DL40" i="2"/>
  <c r="DK40" i="2"/>
  <c r="CF40" i="2"/>
  <c r="DD40" i="2" s="1"/>
  <c r="BZ40" i="2"/>
  <c r="CX40" i="2" s="1"/>
  <c r="BM40" i="2"/>
  <c r="BL40" i="2"/>
  <c r="BK40" i="2"/>
  <c r="BJ40" i="2"/>
  <c r="BI40" i="2"/>
  <c r="BH40" i="2"/>
  <c r="BG40" i="2"/>
  <c r="BF40" i="2"/>
  <c r="BE40" i="2"/>
  <c r="BD40" i="2"/>
  <c r="CB40" i="2" s="1"/>
  <c r="CZ40" i="2" s="1"/>
  <c r="BC40" i="2"/>
  <c r="BA40" i="2"/>
  <c r="AZ40" i="2"/>
  <c r="AY40" i="2"/>
  <c r="AX40" i="2"/>
  <c r="AW40" i="2"/>
  <c r="AV40" i="2"/>
  <c r="AU40" i="2"/>
  <c r="AT40" i="2"/>
  <c r="AS40" i="2"/>
  <c r="AR40" i="2"/>
  <c r="AQ40" i="2"/>
  <c r="AF40" i="2"/>
  <c r="AC40" i="2"/>
  <c r="AO40" i="2" s="1"/>
  <c r="Z40" i="2"/>
  <c r="AL40" i="2" s="1"/>
  <c r="X40" i="2"/>
  <c r="AJ40" i="2" s="1"/>
  <c r="U40" i="2"/>
  <c r="T40" i="2"/>
  <c r="S40" i="2"/>
  <c r="AE40" i="2" s="1"/>
  <c r="Q40" i="2"/>
  <c r="P40" i="2"/>
  <c r="AB40" i="2" s="1"/>
  <c r="O40" i="2"/>
  <c r="AA40" i="2" s="1"/>
  <c r="N40" i="2"/>
  <c r="M40" i="2"/>
  <c r="EB40" i="2" s="1"/>
  <c r="EM40" i="2" s="1"/>
  <c r="L40" i="2"/>
  <c r="K40" i="2"/>
  <c r="DZ40" i="2" s="1"/>
  <c r="EK40" i="2" s="1"/>
  <c r="J40" i="2"/>
  <c r="I40" i="2"/>
  <c r="DX40" i="2" s="1"/>
  <c r="EI40" i="2" s="1"/>
  <c r="EQ39" i="2"/>
  <c r="EH39" i="2"/>
  <c r="EF39" i="2"/>
  <c r="EE39" i="2"/>
  <c r="EC39" i="2"/>
  <c r="EN39" i="2" s="1"/>
  <c r="EA39" i="2"/>
  <c r="EL39" i="2" s="1"/>
  <c r="DX39" i="2"/>
  <c r="EI39" i="2" s="1"/>
  <c r="DW39" i="2"/>
  <c r="DV39" i="2"/>
  <c r="EG39" i="2" s="1"/>
  <c r="DU39" i="2"/>
  <c r="DT39" i="2"/>
  <c r="DS39" i="2"/>
  <c r="DR39" i="2"/>
  <c r="DQ39" i="2"/>
  <c r="DP39" i="2"/>
  <c r="DO39" i="2"/>
  <c r="DN39" i="2"/>
  <c r="DM39" i="2"/>
  <c r="DL39" i="2"/>
  <c r="DK39" i="2"/>
  <c r="CH39" i="2"/>
  <c r="DF39" i="2" s="1"/>
  <c r="BZ39" i="2"/>
  <c r="CX39" i="2" s="1"/>
  <c r="BM39" i="2"/>
  <c r="BL39" i="2"/>
  <c r="BK39" i="2"/>
  <c r="BJ39" i="2"/>
  <c r="BI39" i="2"/>
  <c r="BH39" i="2"/>
  <c r="BG39" i="2"/>
  <c r="BF39" i="2"/>
  <c r="BE39" i="2"/>
  <c r="BD39" i="2"/>
  <c r="BC39" i="2"/>
  <c r="BA39" i="2"/>
  <c r="AZ39" i="2"/>
  <c r="AY39" i="2"/>
  <c r="AX39" i="2"/>
  <c r="AW39" i="2"/>
  <c r="AV39" i="2"/>
  <c r="AU39" i="2"/>
  <c r="AT39" i="2"/>
  <c r="AS39" i="2"/>
  <c r="AR39" i="2"/>
  <c r="AQ39" i="2"/>
  <c r="AF39" i="2"/>
  <c r="AB39" i="2"/>
  <c r="AN39" i="2" s="1"/>
  <c r="Z39" i="2"/>
  <c r="AL39" i="2" s="1"/>
  <c r="W39" i="2"/>
  <c r="U39" i="2"/>
  <c r="AG39" i="2" s="1"/>
  <c r="T39" i="2"/>
  <c r="CB39" i="2" s="1"/>
  <c r="CZ39" i="2" s="1"/>
  <c r="S39" i="2"/>
  <c r="AE39" i="2" s="1"/>
  <c r="Q39" i="2"/>
  <c r="AC39" i="2" s="1"/>
  <c r="P39" i="2"/>
  <c r="O39" i="2"/>
  <c r="ED39" i="2" s="1"/>
  <c r="EO39" i="2" s="1"/>
  <c r="N39" i="2"/>
  <c r="M39" i="2"/>
  <c r="EB39" i="2" s="1"/>
  <c r="EM39" i="2" s="1"/>
  <c r="L39" i="2"/>
  <c r="K39" i="2"/>
  <c r="DZ39" i="2" s="1"/>
  <c r="EK39" i="2" s="1"/>
  <c r="J39" i="2"/>
  <c r="I39" i="2"/>
  <c r="EH38" i="2"/>
  <c r="EG38" i="2"/>
  <c r="EE38" i="2"/>
  <c r="EP38" i="2" s="1"/>
  <c r="EC38" i="2"/>
  <c r="EN38" i="2" s="1"/>
  <c r="DZ38" i="2"/>
  <c r="EK38" i="2" s="1"/>
  <c r="DX38" i="2"/>
  <c r="EI38" i="2" s="1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H38" i="2"/>
  <c r="CJ38" i="2"/>
  <c r="BZ38" i="2"/>
  <c r="CX38" i="2" s="1"/>
  <c r="BM38" i="2"/>
  <c r="BL38" i="2"/>
  <c r="BK38" i="2"/>
  <c r="BJ38" i="2"/>
  <c r="BI38" i="2"/>
  <c r="BH38" i="2"/>
  <c r="BG38" i="2"/>
  <c r="BF38" i="2"/>
  <c r="BE38" i="2"/>
  <c r="BD38" i="2"/>
  <c r="BC38" i="2"/>
  <c r="CA38" i="2" s="1"/>
  <c r="CY38" i="2" s="1"/>
  <c r="BA38" i="2"/>
  <c r="AZ38" i="2"/>
  <c r="AY38" i="2"/>
  <c r="AX38" i="2"/>
  <c r="AW38" i="2"/>
  <c r="AV38" i="2"/>
  <c r="AU38" i="2"/>
  <c r="AT38" i="2"/>
  <c r="AS38" i="2"/>
  <c r="AR38" i="2"/>
  <c r="AQ38" i="2"/>
  <c r="AE38" i="2"/>
  <c r="AB38" i="2"/>
  <c r="AN38" i="2" s="1"/>
  <c r="Y38" i="2"/>
  <c r="W38" i="2"/>
  <c r="AI38" i="2" s="1"/>
  <c r="U38" i="2"/>
  <c r="AG38" i="2" s="1"/>
  <c r="T38" i="2"/>
  <c r="AF38" i="2" s="1"/>
  <c r="S38" i="2"/>
  <c r="Q38" i="2"/>
  <c r="EF38" i="2" s="1"/>
  <c r="EQ38" i="2" s="1"/>
  <c r="P38" i="2"/>
  <c r="O38" i="2"/>
  <c r="ED38" i="2" s="1"/>
  <c r="EO38" i="2" s="1"/>
  <c r="N38" i="2"/>
  <c r="M38" i="2"/>
  <c r="EB38" i="2" s="1"/>
  <c r="EM38" i="2" s="1"/>
  <c r="L38" i="2"/>
  <c r="K38" i="2"/>
  <c r="J38" i="2"/>
  <c r="V38" i="2" s="1"/>
  <c r="I38" i="2"/>
  <c r="EI37" i="2"/>
  <c r="EG37" i="2"/>
  <c r="EE37" i="2"/>
  <c r="EP37" i="2" s="1"/>
  <c r="EB37" i="2"/>
  <c r="EM37" i="2" s="1"/>
  <c r="DZ37" i="2"/>
  <c r="EK37" i="2" s="1"/>
  <c r="DX37" i="2"/>
  <c r="DW37" i="2"/>
  <c r="EH37" i="2" s="1"/>
  <c r="DV37" i="2"/>
  <c r="DU37" i="2"/>
  <c r="DT37" i="2"/>
  <c r="DS37" i="2"/>
  <c r="DR37" i="2"/>
  <c r="DQ37" i="2"/>
  <c r="DP37" i="2"/>
  <c r="DO37" i="2"/>
  <c r="DN37" i="2"/>
  <c r="DM37" i="2"/>
  <c r="DL37" i="2"/>
  <c r="DK37" i="2"/>
  <c r="BZ37" i="2"/>
  <c r="CX37" i="2" s="1"/>
  <c r="BM37" i="2"/>
  <c r="BL37" i="2"/>
  <c r="BK37" i="2"/>
  <c r="BJ37" i="2"/>
  <c r="BI37" i="2"/>
  <c r="BH37" i="2"/>
  <c r="BG37" i="2"/>
  <c r="BF37" i="2"/>
  <c r="BE37" i="2"/>
  <c r="BD37" i="2"/>
  <c r="BC37" i="2"/>
  <c r="CA37" i="2" s="1"/>
  <c r="CY37" i="2" s="1"/>
  <c r="BA37" i="2"/>
  <c r="AZ37" i="2"/>
  <c r="AY37" i="2"/>
  <c r="AX37" i="2"/>
  <c r="AW37" i="2"/>
  <c r="AV37" i="2"/>
  <c r="AU37" i="2"/>
  <c r="AT37" i="2"/>
  <c r="AS37" i="2"/>
  <c r="AR37" i="2"/>
  <c r="AQ37" i="2"/>
  <c r="AE37" i="2"/>
  <c r="AA37" i="2"/>
  <c r="Y37" i="2"/>
  <c r="AK37" i="2" s="1"/>
  <c r="W37" i="2"/>
  <c r="AI37" i="2" s="1"/>
  <c r="T37" i="2"/>
  <c r="AF37" i="2" s="1"/>
  <c r="S37" i="2"/>
  <c r="Q37" i="2"/>
  <c r="EF37" i="2" s="1"/>
  <c r="EQ37" i="2" s="1"/>
  <c r="P37" i="2"/>
  <c r="O37" i="2"/>
  <c r="ED37" i="2" s="1"/>
  <c r="EO37" i="2" s="1"/>
  <c r="N37" i="2"/>
  <c r="M37" i="2"/>
  <c r="L37" i="2"/>
  <c r="X37" i="2" s="1"/>
  <c r="K37" i="2"/>
  <c r="J37" i="2"/>
  <c r="V37" i="2" s="1"/>
  <c r="I37" i="2"/>
  <c r="U37" i="2" s="1"/>
  <c r="EK36" i="2"/>
  <c r="EG36" i="2"/>
  <c r="ED36" i="2"/>
  <c r="EO36" i="2" s="1"/>
  <c r="EB36" i="2"/>
  <c r="EM36" i="2" s="1"/>
  <c r="DZ36" i="2"/>
  <c r="DY36" i="2"/>
  <c r="EJ36" i="2" s="1"/>
  <c r="DW36" i="2"/>
  <c r="EH36" i="2" s="1"/>
  <c r="DV36" i="2"/>
  <c r="DU36" i="2"/>
  <c r="DT36" i="2"/>
  <c r="DS36" i="2"/>
  <c r="DR36" i="2"/>
  <c r="DQ36" i="2"/>
  <c r="DP36" i="2"/>
  <c r="DO36" i="2"/>
  <c r="DN36" i="2"/>
  <c r="DM36" i="2"/>
  <c r="DL36" i="2"/>
  <c r="DK36" i="2"/>
  <c r="BZ36" i="2"/>
  <c r="CX36" i="2" s="1"/>
  <c r="BM36" i="2"/>
  <c r="BL36" i="2"/>
  <c r="BK36" i="2"/>
  <c r="BJ36" i="2"/>
  <c r="BI36" i="2"/>
  <c r="BH36" i="2"/>
  <c r="BG36" i="2"/>
  <c r="BF36" i="2"/>
  <c r="BE36" i="2"/>
  <c r="BD36" i="2"/>
  <c r="CB36" i="2" s="1"/>
  <c r="CZ36" i="2" s="1"/>
  <c r="BC36" i="2"/>
  <c r="CA36" i="2" s="1"/>
  <c r="CY36" i="2" s="1"/>
  <c r="BA36" i="2"/>
  <c r="AZ36" i="2"/>
  <c r="AY36" i="2"/>
  <c r="AX36" i="2"/>
  <c r="AW36" i="2"/>
  <c r="AV36" i="2"/>
  <c r="AU36" i="2"/>
  <c r="AT36" i="2"/>
  <c r="AS36" i="2"/>
  <c r="AR36" i="2"/>
  <c r="AQ36" i="2"/>
  <c r="AE36" i="2"/>
  <c r="AC36" i="2"/>
  <c r="AA36" i="2"/>
  <c r="AM36" i="2" s="1"/>
  <c r="Y36" i="2"/>
  <c r="AK36" i="2" s="1"/>
  <c r="V36" i="2"/>
  <c r="AH36" i="2" s="1"/>
  <c r="T36" i="2"/>
  <c r="AF36" i="2" s="1"/>
  <c r="S36" i="2"/>
  <c r="Q36" i="2"/>
  <c r="EF36" i="2" s="1"/>
  <c r="EQ36" i="2" s="1"/>
  <c r="P36" i="2"/>
  <c r="O36" i="2"/>
  <c r="N36" i="2"/>
  <c r="M36" i="2"/>
  <c r="L36" i="2"/>
  <c r="X36" i="2" s="1"/>
  <c r="K36" i="2"/>
  <c r="W36" i="2" s="1"/>
  <c r="J36" i="2"/>
  <c r="I36" i="2"/>
  <c r="DX36" i="2" s="1"/>
  <c r="EI36" i="2" s="1"/>
  <c r="EM35" i="2"/>
  <c r="EF35" i="2"/>
  <c r="EQ35" i="2" s="1"/>
  <c r="ED35" i="2"/>
  <c r="EO35" i="2" s="1"/>
  <c r="EB35" i="2"/>
  <c r="EA35" i="2"/>
  <c r="DY35" i="2"/>
  <c r="EJ35" i="2" s="1"/>
  <c r="DW35" i="2"/>
  <c r="EH35" i="2" s="1"/>
  <c r="DV35" i="2"/>
  <c r="EG35" i="2" s="1"/>
  <c r="DU35" i="2"/>
  <c r="DT35" i="2"/>
  <c r="DS35" i="2"/>
  <c r="DR35" i="2"/>
  <c r="DQ35" i="2"/>
  <c r="DP35" i="2"/>
  <c r="DO35" i="2"/>
  <c r="DN35" i="2"/>
  <c r="DM35" i="2"/>
  <c r="DL35" i="2"/>
  <c r="DK35" i="2"/>
  <c r="BZ35" i="2"/>
  <c r="CX35" i="2" s="1"/>
  <c r="BM35" i="2"/>
  <c r="BL35" i="2"/>
  <c r="BK35" i="2"/>
  <c r="BJ35" i="2"/>
  <c r="BI35" i="2"/>
  <c r="BH35" i="2"/>
  <c r="BG35" i="2"/>
  <c r="BF35" i="2"/>
  <c r="CD35" i="2" s="1"/>
  <c r="DB35" i="2" s="1"/>
  <c r="BE35" i="2"/>
  <c r="BD35" i="2"/>
  <c r="CB35" i="2" s="1"/>
  <c r="CZ35" i="2" s="1"/>
  <c r="BC35" i="2"/>
  <c r="BA35" i="2"/>
  <c r="AZ35" i="2"/>
  <c r="AY35" i="2"/>
  <c r="AX35" i="2"/>
  <c r="AW35" i="2"/>
  <c r="AV35" i="2"/>
  <c r="AU35" i="2"/>
  <c r="AT35" i="2"/>
  <c r="AS35" i="2"/>
  <c r="AR35" i="2"/>
  <c r="AQ35" i="2"/>
  <c r="AF35" i="2"/>
  <c r="AC35" i="2"/>
  <c r="AO35" i="2" s="1"/>
  <c r="AA35" i="2"/>
  <c r="X35" i="2"/>
  <c r="AJ35" i="2" s="1"/>
  <c r="V35" i="2"/>
  <c r="AH35" i="2" s="1"/>
  <c r="T35" i="2"/>
  <c r="S35" i="2"/>
  <c r="Q35" i="2"/>
  <c r="P35" i="2"/>
  <c r="O35" i="2"/>
  <c r="N35" i="2"/>
  <c r="M35" i="2"/>
  <c r="Y35" i="2" s="1"/>
  <c r="L35" i="2"/>
  <c r="K35" i="2"/>
  <c r="DZ35" i="2" s="1"/>
  <c r="EK35" i="2" s="1"/>
  <c r="J35" i="2"/>
  <c r="I35" i="2"/>
  <c r="DX35" i="2" s="1"/>
  <c r="EI35" i="2" s="1"/>
  <c r="EO34" i="2"/>
  <c r="EK34" i="2"/>
  <c r="EH34" i="2"/>
  <c r="EF34" i="2"/>
  <c r="EQ34" i="2" s="1"/>
  <c r="ED34" i="2"/>
  <c r="EC34" i="2"/>
  <c r="EN34" i="2" s="1"/>
  <c r="EA34" i="2"/>
  <c r="EL34" i="2" s="1"/>
  <c r="DY34" i="2"/>
  <c r="EJ34" i="2" s="1"/>
  <c r="DW34" i="2"/>
  <c r="DV34" i="2"/>
  <c r="EG34" i="2" s="1"/>
  <c r="DU34" i="2"/>
  <c r="DT34" i="2"/>
  <c r="DS34" i="2"/>
  <c r="DR34" i="2"/>
  <c r="DQ34" i="2"/>
  <c r="DP34" i="2"/>
  <c r="DO34" i="2"/>
  <c r="DN34" i="2"/>
  <c r="DM34" i="2"/>
  <c r="DL34" i="2"/>
  <c r="DK34" i="2"/>
  <c r="CZ34" i="2"/>
  <c r="CB34" i="2"/>
  <c r="BZ34" i="2"/>
  <c r="CX34" i="2" s="1"/>
  <c r="BM34" i="2"/>
  <c r="BL34" i="2"/>
  <c r="BK34" i="2"/>
  <c r="BJ34" i="2"/>
  <c r="BI34" i="2"/>
  <c r="BH34" i="2"/>
  <c r="CF34" i="2" s="1"/>
  <c r="DD34" i="2" s="1"/>
  <c r="BG34" i="2"/>
  <c r="BF34" i="2"/>
  <c r="BE34" i="2"/>
  <c r="BD34" i="2"/>
  <c r="BC34" i="2"/>
  <c r="BA34" i="2"/>
  <c r="AZ34" i="2"/>
  <c r="AY34" i="2"/>
  <c r="AX34" i="2"/>
  <c r="AW34" i="2"/>
  <c r="AV34" i="2"/>
  <c r="AU34" i="2"/>
  <c r="AT34" i="2"/>
  <c r="AS34" i="2"/>
  <c r="AR34" i="2"/>
  <c r="AQ34" i="2"/>
  <c r="AF34" i="2"/>
  <c r="AC34" i="2"/>
  <c r="Z34" i="2"/>
  <c r="AL34" i="2" s="1"/>
  <c r="X34" i="2"/>
  <c r="AJ34" i="2" s="1"/>
  <c r="U34" i="2"/>
  <c r="T34" i="2"/>
  <c r="S34" i="2"/>
  <c r="AE34" i="2" s="1"/>
  <c r="Q34" i="2"/>
  <c r="P34" i="2"/>
  <c r="O34" i="2"/>
  <c r="AA34" i="2" s="1"/>
  <c r="N34" i="2"/>
  <c r="M34" i="2"/>
  <c r="EB34" i="2" s="1"/>
  <c r="EM34" i="2" s="1"/>
  <c r="L34" i="2"/>
  <c r="K34" i="2"/>
  <c r="DZ34" i="2" s="1"/>
  <c r="J34" i="2"/>
  <c r="I34" i="2"/>
  <c r="DX34" i="2" s="1"/>
  <c r="EI34" i="2" s="1"/>
  <c r="EQ33" i="2"/>
  <c r="EH33" i="2"/>
  <c r="EF33" i="2"/>
  <c r="EE33" i="2"/>
  <c r="EP33" i="2" s="1"/>
  <c r="EC33" i="2"/>
  <c r="EN33" i="2" s="1"/>
  <c r="EA33" i="2"/>
  <c r="DX33" i="2"/>
  <c r="EI33" i="2" s="1"/>
  <c r="DW33" i="2"/>
  <c r="DV33" i="2"/>
  <c r="EG33" i="2" s="1"/>
  <c r="DU33" i="2"/>
  <c r="DT33" i="2"/>
  <c r="DS33" i="2"/>
  <c r="DR33" i="2"/>
  <c r="DQ33" i="2"/>
  <c r="DP33" i="2"/>
  <c r="DO33" i="2"/>
  <c r="DN33" i="2"/>
  <c r="DM33" i="2"/>
  <c r="DL33" i="2"/>
  <c r="DK33" i="2"/>
  <c r="BZ33" i="2"/>
  <c r="CX33" i="2" s="1"/>
  <c r="BM33" i="2"/>
  <c r="BL33" i="2"/>
  <c r="BK33" i="2"/>
  <c r="BJ33" i="2"/>
  <c r="CH33" i="2" s="1"/>
  <c r="DF33" i="2" s="1"/>
  <c r="BI33" i="2"/>
  <c r="BH33" i="2"/>
  <c r="BG33" i="2"/>
  <c r="BF33" i="2"/>
  <c r="BE33" i="2"/>
  <c r="BD33" i="2"/>
  <c r="BC33" i="2"/>
  <c r="BA33" i="2"/>
  <c r="AZ33" i="2"/>
  <c r="AY33" i="2"/>
  <c r="AX33" i="2"/>
  <c r="AW33" i="2"/>
  <c r="AV33" i="2"/>
  <c r="AU33" i="2"/>
  <c r="AT33" i="2"/>
  <c r="AS33" i="2"/>
  <c r="AR33" i="2"/>
  <c r="AQ33" i="2"/>
  <c r="AF33" i="2"/>
  <c r="AB33" i="2"/>
  <c r="AN33" i="2" s="1"/>
  <c r="Z33" i="2"/>
  <c r="AL33" i="2" s="1"/>
  <c r="W33" i="2"/>
  <c r="U33" i="2"/>
  <c r="AG33" i="2" s="1"/>
  <c r="T33" i="2"/>
  <c r="CB33" i="2" s="1"/>
  <c r="CZ33" i="2" s="1"/>
  <c r="S33" i="2"/>
  <c r="Q33" i="2"/>
  <c r="AC33" i="2" s="1"/>
  <c r="P33" i="2"/>
  <c r="O33" i="2"/>
  <c r="ED33" i="2" s="1"/>
  <c r="EO33" i="2" s="1"/>
  <c r="N33" i="2"/>
  <c r="M33" i="2"/>
  <c r="EB33" i="2" s="1"/>
  <c r="EM33" i="2" s="1"/>
  <c r="L33" i="2"/>
  <c r="K33" i="2"/>
  <c r="DZ33" i="2" s="1"/>
  <c r="EK33" i="2" s="1"/>
  <c r="J33" i="2"/>
  <c r="I33" i="2"/>
  <c r="EO32" i="2"/>
  <c r="EH32" i="2"/>
  <c r="EG32" i="2"/>
  <c r="EE32" i="2"/>
  <c r="EP32" i="2" s="1"/>
  <c r="EC32" i="2"/>
  <c r="EN32" i="2" s="1"/>
  <c r="DZ32" i="2"/>
  <c r="EK32" i="2" s="1"/>
  <c r="DX32" i="2"/>
  <c r="EI32" i="2" s="1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BZ32" i="2"/>
  <c r="CX32" i="2" s="1"/>
  <c r="BM32" i="2"/>
  <c r="BL32" i="2"/>
  <c r="CJ32" i="2" s="1"/>
  <c r="DH32" i="2" s="1"/>
  <c r="BK32" i="2"/>
  <c r="BJ32" i="2"/>
  <c r="BI32" i="2"/>
  <c r="BH32" i="2"/>
  <c r="BG32" i="2"/>
  <c r="BF32" i="2"/>
  <c r="BE32" i="2"/>
  <c r="BD32" i="2"/>
  <c r="BC32" i="2"/>
  <c r="CA32" i="2" s="1"/>
  <c r="CY32" i="2" s="1"/>
  <c r="BA32" i="2"/>
  <c r="AZ32" i="2"/>
  <c r="AY32" i="2"/>
  <c r="AX32" i="2"/>
  <c r="AW32" i="2"/>
  <c r="AV32" i="2"/>
  <c r="AU32" i="2"/>
  <c r="AT32" i="2"/>
  <c r="AS32" i="2"/>
  <c r="AR32" i="2"/>
  <c r="AQ32" i="2"/>
  <c r="AE32" i="2"/>
  <c r="AB32" i="2"/>
  <c r="AN32" i="2" s="1"/>
  <c r="Y32" i="2"/>
  <c r="W32" i="2"/>
  <c r="AI32" i="2" s="1"/>
  <c r="U32" i="2"/>
  <c r="T32" i="2"/>
  <c r="AF32" i="2" s="1"/>
  <c r="S32" i="2"/>
  <c r="Q32" i="2"/>
  <c r="EF32" i="2" s="1"/>
  <c r="EQ32" i="2" s="1"/>
  <c r="P32" i="2"/>
  <c r="O32" i="2"/>
  <c r="ED32" i="2" s="1"/>
  <c r="N32" i="2"/>
  <c r="M32" i="2"/>
  <c r="EB32" i="2" s="1"/>
  <c r="EM32" i="2" s="1"/>
  <c r="L32" i="2"/>
  <c r="K32" i="2"/>
  <c r="J32" i="2"/>
  <c r="V32" i="2" s="1"/>
  <c r="CD32" i="2" s="1"/>
  <c r="DB32" i="2" s="1"/>
  <c r="I32" i="2"/>
  <c r="EI31" i="2"/>
  <c r="EG31" i="2"/>
  <c r="EE31" i="2"/>
  <c r="EB31" i="2"/>
  <c r="EM31" i="2" s="1"/>
  <c r="DZ31" i="2"/>
  <c r="EK31" i="2" s="1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CX31" i="2"/>
  <c r="BZ31" i="2"/>
  <c r="BM31" i="2"/>
  <c r="BL31" i="2"/>
  <c r="BK31" i="2"/>
  <c r="BJ31" i="2"/>
  <c r="BI31" i="2"/>
  <c r="BH31" i="2"/>
  <c r="BG31" i="2"/>
  <c r="BF31" i="2"/>
  <c r="BE31" i="2"/>
  <c r="BD31" i="2"/>
  <c r="BC31" i="2"/>
  <c r="CA31" i="2" s="1"/>
  <c r="CY31" i="2" s="1"/>
  <c r="BA31" i="2"/>
  <c r="AZ31" i="2"/>
  <c r="AY31" i="2"/>
  <c r="AX31" i="2"/>
  <c r="AW31" i="2"/>
  <c r="AV31" i="2"/>
  <c r="AU31" i="2"/>
  <c r="AT31" i="2"/>
  <c r="AS31" i="2"/>
  <c r="AR31" i="2"/>
  <c r="AQ31" i="2"/>
  <c r="AE31" i="2"/>
  <c r="AA31" i="2"/>
  <c r="Y31" i="2"/>
  <c r="AK31" i="2" s="1"/>
  <c r="W31" i="2"/>
  <c r="T31" i="2"/>
  <c r="AF31" i="2" s="1"/>
  <c r="S31" i="2"/>
  <c r="Q31" i="2"/>
  <c r="EF31" i="2" s="1"/>
  <c r="EQ31" i="2" s="1"/>
  <c r="P31" i="2"/>
  <c r="O31" i="2"/>
  <c r="ED31" i="2" s="1"/>
  <c r="EO31" i="2" s="1"/>
  <c r="N31" i="2"/>
  <c r="M31" i="2"/>
  <c r="L31" i="2"/>
  <c r="K31" i="2"/>
  <c r="J31" i="2"/>
  <c r="I31" i="2"/>
  <c r="U31" i="2" s="1"/>
  <c r="EK30" i="2"/>
  <c r="EG30" i="2"/>
  <c r="ED30" i="2"/>
  <c r="EO30" i="2" s="1"/>
  <c r="EB30" i="2"/>
  <c r="EM30" i="2" s="1"/>
  <c r="DZ30" i="2"/>
  <c r="DY30" i="2"/>
  <c r="DW30" i="2"/>
  <c r="EH30" i="2" s="1"/>
  <c r="DV30" i="2"/>
  <c r="DU30" i="2"/>
  <c r="DT30" i="2"/>
  <c r="DS30" i="2"/>
  <c r="DR30" i="2"/>
  <c r="DQ30" i="2"/>
  <c r="DP30" i="2"/>
  <c r="DO30" i="2"/>
  <c r="DN30" i="2"/>
  <c r="DM30" i="2"/>
  <c r="DL30" i="2"/>
  <c r="DK30" i="2"/>
  <c r="BZ30" i="2"/>
  <c r="CX30" i="2" s="1"/>
  <c r="BM30" i="2"/>
  <c r="BL30" i="2"/>
  <c r="BK30" i="2"/>
  <c r="BJ30" i="2"/>
  <c r="BI30" i="2"/>
  <c r="BH30" i="2"/>
  <c r="BG30" i="2"/>
  <c r="BF30" i="2"/>
  <c r="BE30" i="2"/>
  <c r="BD30" i="2"/>
  <c r="CB30" i="2" s="1"/>
  <c r="CZ30" i="2" s="1"/>
  <c r="BC30" i="2"/>
  <c r="BA30" i="2"/>
  <c r="AZ30" i="2"/>
  <c r="AY30" i="2"/>
  <c r="AX30" i="2"/>
  <c r="AW30" i="2"/>
  <c r="AV30" i="2"/>
  <c r="AU30" i="2"/>
  <c r="AT30" i="2"/>
  <c r="AS30" i="2"/>
  <c r="AR30" i="2"/>
  <c r="AQ30" i="2"/>
  <c r="AE30" i="2"/>
  <c r="AC30" i="2"/>
  <c r="AA30" i="2"/>
  <c r="AM30" i="2" s="1"/>
  <c r="Y30" i="2"/>
  <c r="V30" i="2"/>
  <c r="AH30" i="2" s="1"/>
  <c r="T30" i="2"/>
  <c r="AF30" i="2" s="1"/>
  <c r="S30" i="2"/>
  <c r="CA30" i="2" s="1"/>
  <c r="CY30" i="2" s="1"/>
  <c r="Q30" i="2"/>
  <c r="EF30" i="2" s="1"/>
  <c r="EQ30" i="2" s="1"/>
  <c r="P30" i="2"/>
  <c r="O30" i="2"/>
  <c r="N30" i="2"/>
  <c r="M30" i="2"/>
  <c r="L30" i="2"/>
  <c r="K30" i="2"/>
  <c r="W30" i="2" s="1"/>
  <c r="J30" i="2"/>
  <c r="I30" i="2"/>
  <c r="DX30" i="2" s="1"/>
  <c r="EI30" i="2" s="1"/>
  <c r="EM29" i="2"/>
  <c r="EI29" i="2"/>
  <c r="EF29" i="2"/>
  <c r="EQ29" i="2" s="1"/>
  <c r="ED29" i="2"/>
  <c r="EO29" i="2" s="1"/>
  <c r="EB29" i="2"/>
  <c r="EA29" i="2"/>
  <c r="DY29" i="2"/>
  <c r="EJ29" i="2" s="1"/>
  <c r="DW29" i="2"/>
  <c r="DV29" i="2"/>
  <c r="EG29" i="2" s="1"/>
  <c r="DU29" i="2"/>
  <c r="DT29" i="2"/>
  <c r="DS29" i="2"/>
  <c r="DR29" i="2"/>
  <c r="DQ29" i="2"/>
  <c r="DP29" i="2"/>
  <c r="DO29" i="2"/>
  <c r="DN29" i="2"/>
  <c r="DM29" i="2"/>
  <c r="DL29" i="2"/>
  <c r="DK29" i="2"/>
  <c r="CX29" i="2"/>
  <c r="CD29" i="2"/>
  <c r="DB29" i="2" s="1"/>
  <c r="BZ29" i="2"/>
  <c r="BM29" i="2"/>
  <c r="BL29" i="2"/>
  <c r="BK29" i="2"/>
  <c r="BJ29" i="2"/>
  <c r="BI29" i="2"/>
  <c r="BH29" i="2"/>
  <c r="BG29" i="2"/>
  <c r="BF29" i="2"/>
  <c r="BE29" i="2"/>
  <c r="BD29" i="2"/>
  <c r="CB29" i="2" s="1"/>
  <c r="CZ29" i="2" s="1"/>
  <c r="BC29" i="2"/>
  <c r="BA29" i="2"/>
  <c r="AZ29" i="2"/>
  <c r="AY29" i="2"/>
  <c r="AX29" i="2"/>
  <c r="AW29" i="2"/>
  <c r="AV29" i="2"/>
  <c r="AU29" i="2"/>
  <c r="AT29" i="2"/>
  <c r="AS29" i="2"/>
  <c r="AR29" i="2"/>
  <c r="AQ29" i="2"/>
  <c r="AF29" i="2"/>
  <c r="AC29" i="2"/>
  <c r="AO29" i="2" s="1"/>
  <c r="AA29" i="2"/>
  <c r="X29" i="2"/>
  <c r="AJ29" i="2" s="1"/>
  <c r="V29" i="2"/>
  <c r="AH29" i="2" s="1"/>
  <c r="T29" i="2"/>
  <c r="S29" i="2"/>
  <c r="Q29" i="2"/>
  <c r="P29" i="2"/>
  <c r="O29" i="2"/>
  <c r="N29" i="2"/>
  <c r="M29" i="2"/>
  <c r="Y29" i="2" s="1"/>
  <c r="L29" i="2"/>
  <c r="K29" i="2"/>
  <c r="DZ29" i="2" s="1"/>
  <c r="EK29" i="2" s="1"/>
  <c r="J29" i="2"/>
  <c r="I29" i="2"/>
  <c r="DX29" i="2" s="1"/>
  <c r="EO28" i="2"/>
  <c r="EK28" i="2"/>
  <c r="EH28" i="2"/>
  <c r="EF28" i="2"/>
  <c r="EQ28" i="2" s="1"/>
  <c r="ED28" i="2"/>
  <c r="EC28" i="2"/>
  <c r="EN28" i="2" s="1"/>
  <c r="EA28" i="2"/>
  <c r="EL28" i="2" s="1"/>
  <c r="DY28" i="2"/>
  <c r="EJ28" i="2" s="1"/>
  <c r="DW28" i="2"/>
  <c r="DV28" i="2"/>
  <c r="EG28" i="2" s="1"/>
  <c r="DU28" i="2"/>
  <c r="DT28" i="2"/>
  <c r="DS28" i="2"/>
  <c r="DR28" i="2"/>
  <c r="DQ28" i="2"/>
  <c r="DP28" i="2"/>
  <c r="DO28" i="2"/>
  <c r="DN28" i="2"/>
  <c r="DM28" i="2"/>
  <c r="DL28" i="2"/>
  <c r="DK28" i="2"/>
  <c r="CZ28" i="2"/>
  <c r="CB28" i="2"/>
  <c r="BZ28" i="2"/>
  <c r="CX28" i="2" s="1"/>
  <c r="BM28" i="2"/>
  <c r="BL28" i="2"/>
  <c r="BK28" i="2"/>
  <c r="BJ28" i="2"/>
  <c r="BI28" i="2"/>
  <c r="BH28" i="2"/>
  <c r="CF28" i="2" s="1"/>
  <c r="DD28" i="2" s="1"/>
  <c r="BG28" i="2"/>
  <c r="BF28" i="2"/>
  <c r="BE28" i="2"/>
  <c r="BD28" i="2"/>
  <c r="BC28" i="2"/>
  <c r="BA28" i="2"/>
  <c r="AZ28" i="2"/>
  <c r="AY28" i="2"/>
  <c r="AX28" i="2"/>
  <c r="AW28" i="2"/>
  <c r="AV28" i="2"/>
  <c r="AU28" i="2"/>
  <c r="AT28" i="2"/>
  <c r="AS28" i="2"/>
  <c r="AR28" i="2"/>
  <c r="AQ28" i="2"/>
  <c r="AF28" i="2"/>
  <c r="AC28" i="2"/>
  <c r="Z28" i="2"/>
  <c r="AL28" i="2" s="1"/>
  <c r="X28" i="2"/>
  <c r="AJ28" i="2" s="1"/>
  <c r="U28" i="2"/>
  <c r="T28" i="2"/>
  <c r="S28" i="2"/>
  <c r="AE28" i="2" s="1"/>
  <c r="Q28" i="2"/>
  <c r="P28" i="2"/>
  <c r="O28" i="2"/>
  <c r="AA28" i="2" s="1"/>
  <c r="N28" i="2"/>
  <c r="M28" i="2"/>
  <c r="EB28" i="2" s="1"/>
  <c r="EM28" i="2" s="1"/>
  <c r="L28" i="2"/>
  <c r="K28" i="2"/>
  <c r="DZ28" i="2" s="1"/>
  <c r="J28" i="2"/>
  <c r="I28" i="2"/>
  <c r="DX28" i="2" s="1"/>
  <c r="EI28" i="2" s="1"/>
  <c r="EQ27" i="2"/>
  <c r="EH27" i="2"/>
  <c r="EF27" i="2"/>
  <c r="EE27" i="2"/>
  <c r="EP27" i="2" s="1"/>
  <c r="EC27" i="2"/>
  <c r="EN27" i="2" s="1"/>
  <c r="EA27" i="2"/>
  <c r="DX27" i="2"/>
  <c r="EI27" i="2" s="1"/>
  <c r="DW27" i="2"/>
  <c r="DV27" i="2"/>
  <c r="EG27" i="2" s="1"/>
  <c r="DU27" i="2"/>
  <c r="DT27" i="2"/>
  <c r="DS27" i="2"/>
  <c r="DR27" i="2"/>
  <c r="DQ27" i="2"/>
  <c r="DP27" i="2"/>
  <c r="DO27" i="2"/>
  <c r="DN27" i="2"/>
  <c r="DM27" i="2"/>
  <c r="DL27" i="2"/>
  <c r="DK27" i="2"/>
  <c r="BZ27" i="2"/>
  <c r="CX27" i="2" s="1"/>
  <c r="BM27" i="2"/>
  <c r="BL27" i="2"/>
  <c r="BK27" i="2"/>
  <c r="BJ27" i="2"/>
  <c r="CH27" i="2" s="1"/>
  <c r="DF27" i="2" s="1"/>
  <c r="BI27" i="2"/>
  <c r="BH27" i="2"/>
  <c r="BG27" i="2"/>
  <c r="BF27" i="2"/>
  <c r="BE27" i="2"/>
  <c r="BD27" i="2"/>
  <c r="BC27" i="2"/>
  <c r="BA27" i="2"/>
  <c r="AZ27" i="2"/>
  <c r="AY27" i="2"/>
  <c r="AX27" i="2"/>
  <c r="AW27" i="2"/>
  <c r="AV27" i="2"/>
  <c r="AU27" i="2"/>
  <c r="AT27" i="2"/>
  <c r="AS27" i="2"/>
  <c r="AR27" i="2"/>
  <c r="AQ27" i="2"/>
  <c r="AF27" i="2"/>
  <c r="AB27" i="2"/>
  <c r="AN27" i="2" s="1"/>
  <c r="Z27" i="2"/>
  <c r="AL27" i="2" s="1"/>
  <c r="W27" i="2"/>
  <c r="U27" i="2"/>
  <c r="AG27" i="2" s="1"/>
  <c r="T27" i="2"/>
  <c r="CB27" i="2" s="1"/>
  <c r="CZ27" i="2" s="1"/>
  <c r="S27" i="2"/>
  <c r="Q27" i="2"/>
  <c r="AC27" i="2" s="1"/>
  <c r="P27" i="2"/>
  <c r="O27" i="2"/>
  <c r="ED27" i="2" s="1"/>
  <c r="EO27" i="2" s="1"/>
  <c r="N27" i="2"/>
  <c r="M27" i="2"/>
  <c r="EB27" i="2" s="1"/>
  <c r="EM27" i="2" s="1"/>
  <c r="L27" i="2"/>
  <c r="K27" i="2"/>
  <c r="DZ27" i="2" s="1"/>
  <c r="EK27" i="2" s="1"/>
  <c r="J27" i="2"/>
  <c r="I27" i="2"/>
  <c r="EO26" i="2"/>
  <c r="EH26" i="2"/>
  <c r="EG26" i="2"/>
  <c r="EE26" i="2"/>
  <c r="EP26" i="2" s="1"/>
  <c r="EC26" i="2"/>
  <c r="EN26" i="2" s="1"/>
  <c r="DZ26" i="2"/>
  <c r="EK26" i="2" s="1"/>
  <c r="DX26" i="2"/>
  <c r="EI26" i="2" s="1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BZ26" i="2"/>
  <c r="CX26" i="2" s="1"/>
  <c r="BM26" i="2"/>
  <c r="BL26" i="2"/>
  <c r="CJ26" i="2" s="1"/>
  <c r="DH26" i="2" s="1"/>
  <c r="BK26" i="2"/>
  <c r="BJ26" i="2"/>
  <c r="BI26" i="2"/>
  <c r="BH26" i="2"/>
  <c r="BG26" i="2"/>
  <c r="BF26" i="2"/>
  <c r="BE26" i="2"/>
  <c r="BD26" i="2"/>
  <c r="BC26" i="2"/>
  <c r="CA26" i="2" s="1"/>
  <c r="CY26" i="2" s="1"/>
  <c r="BA26" i="2"/>
  <c r="AZ26" i="2"/>
  <c r="AY26" i="2"/>
  <c r="AX26" i="2"/>
  <c r="AW26" i="2"/>
  <c r="AV26" i="2"/>
  <c r="AU26" i="2"/>
  <c r="AT26" i="2"/>
  <c r="AS26" i="2"/>
  <c r="AR26" i="2"/>
  <c r="AQ26" i="2"/>
  <c r="AE26" i="2"/>
  <c r="AB26" i="2"/>
  <c r="AN26" i="2" s="1"/>
  <c r="Y26" i="2"/>
  <c r="W26" i="2"/>
  <c r="AI26" i="2" s="1"/>
  <c r="U26" i="2"/>
  <c r="T26" i="2"/>
  <c r="AF26" i="2" s="1"/>
  <c r="S26" i="2"/>
  <c r="Q26" i="2"/>
  <c r="EF26" i="2" s="1"/>
  <c r="EQ26" i="2" s="1"/>
  <c r="P26" i="2"/>
  <c r="O26" i="2"/>
  <c r="ED26" i="2" s="1"/>
  <c r="N26" i="2"/>
  <c r="M26" i="2"/>
  <c r="EB26" i="2" s="1"/>
  <c r="EM26" i="2" s="1"/>
  <c r="L26" i="2"/>
  <c r="K26" i="2"/>
  <c r="J26" i="2"/>
  <c r="I26" i="2"/>
  <c r="EI25" i="2"/>
  <c r="EG25" i="2"/>
  <c r="EE25" i="2"/>
  <c r="EB25" i="2"/>
  <c r="EM25" i="2" s="1"/>
  <c r="DZ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CX25" i="2"/>
  <c r="BZ25" i="2"/>
  <c r="BM25" i="2"/>
  <c r="BL25" i="2"/>
  <c r="BK25" i="2"/>
  <c r="BJ25" i="2"/>
  <c r="BI25" i="2"/>
  <c r="BH25" i="2"/>
  <c r="BG25" i="2"/>
  <c r="BF25" i="2"/>
  <c r="BE25" i="2"/>
  <c r="BD25" i="2"/>
  <c r="BC25" i="2"/>
  <c r="CA25" i="2" s="1"/>
  <c r="CY25" i="2" s="1"/>
  <c r="BA25" i="2"/>
  <c r="AZ25" i="2"/>
  <c r="AY25" i="2"/>
  <c r="AX25" i="2"/>
  <c r="AW25" i="2"/>
  <c r="AV25" i="2"/>
  <c r="AU25" i="2"/>
  <c r="AT25" i="2"/>
  <c r="AS25" i="2"/>
  <c r="AR25" i="2"/>
  <c r="AQ25" i="2"/>
  <c r="AE25" i="2"/>
  <c r="AA25" i="2"/>
  <c r="Y25" i="2"/>
  <c r="T25" i="2"/>
  <c r="AF25" i="2" s="1"/>
  <c r="S25" i="2"/>
  <c r="Q25" i="2"/>
  <c r="P25" i="2"/>
  <c r="O25" i="2"/>
  <c r="ED25" i="2" s="1"/>
  <c r="EO25" i="2" s="1"/>
  <c r="N25" i="2"/>
  <c r="M25" i="2"/>
  <c r="L25" i="2"/>
  <c r="K25" i="2"/>
  <c r="J25" i="2"/>
  <c r="I25" i="2"/>
  <c r="U25" i="2" s="1"/>
  <c r="AG25" i="2" s="1"/>
  <c r="EG24" i="2"/>
  <c r="EF24" i="2"/>
  <c r="EQ24" i="2" s="1"/>
  <c r="ED24" i="2"/>
  <c r="EO24" i="2" s="1"/>
  <c r="EB24" i="2"/>
  <c r="EM24" i="2" s="1"/>
  <c r="DY24" i="2"/>
  <c r="DW24" i="2"/>
  <c r="EH24" i="2" s="1"/>
  <c r="DV24" i="2"/>
  <c r="DU24" i="2"/>
  <c r="DT24" i="2"/>
  <c r="DS24" i="2"/>
  <c r="DR24" i="2"/>
  <c r="DQ24" i="2"/>
  <c r="DP24" i="2"/>
  <c r="DO24" i="2"/>
  <c r="DN24" i="2"/>
  <c r="DM24" i="2"/>
  <c r="DL24" i="2"/>
  <c r="DK24" i="2"/>
  <c r="DI24" i="2"/>
  <c r="CX24" i="2"/>
  <c r="BZ24" i="2"/>
  <c r="BM24" i="2"/>
  <c r="BL24" i="2"/>
  <c r="BK24" i="2"/>
  <c r="BJ24" i="2"/>
  <c r="BI24" i="2"/>
  <c r="BH24" i="2"/>
  <c r="BG24" i="2"/>
  <c r="BF24" i="2"/>
  <c r="BE24" i="2"/>
  <c r="BD24" i="2"/>
  <c r="CB24" i="2" s="1"/>
  <c r="CZ24" i="2" s="1"/>
  <c r="BC24" i="2"/>
  <c r="CA24" i="2" s="1"/>
  <c r="CY24" i="2" s="1"/>
  <c r="BA24" i="2"/>
  <c r="AZ24" i="2"/>
  <c r="AY24" i="2"/>
  <c r="AX24" i="2"/>
  <c r="AW24" i="2"/>
  <c r="AV24" i="2"/>
  <c r="AU24" i="2"/>
  <c r="AT24" i="2"/>
  <c r="AS24" i="2"/>
  <c r="AR24" i="2"/>
  <c r="AQ24" i="2"/>
  <c r="AJ24" i="2"/>
  <c r="AE24" i="2"/>
  <c r="Z24" i="2"/>
  <c r="CH24" i="2" s="1"/>
  <c r="DF24" i="2" s="1"/>
  <c r="X24" i="2"/>
  <c r="CF24" i="2" s="1"/>
  <c r="DD24" i="2" s="1"/>
  <c r="V24" i="2"/>
  <c r="AH24" i="2" s="1"/>
  <c r="T24" i="2"/>
  <c r="AF24" i="2" s="1"/>
  <c r="S24" i="2"/>
  <c r="Q24" i="2"/>
  <c r="P24" i="2"/>
  <c r="O24" i="2"/>
  <c r="N24" i="2"/>
  <c r="EC24" i="2" s="1"/>
  <c r="EN24" i="2" s="1"/>
  <c r="M24" i="2"/>
  <c r="Y24" i="2" s="1"/>
  <c r="L24" i="2"/>
  <c r="EA24" i="2" s="1"/>
  <c r="EL24" i="2" s="1"/>
  <c r="K24" i="2"/>
  <c r="J24" i="2"/>
  <c r="I24" i="2"/>
  <c r="EQ23" i="2"/>
  <c r="EM23" i="2"/>
  <c r="EE23" i="2"/>
  <c r="EP23" i="2" s="1"/>
  <c r="EB23" i="2"/>
  <c r="DZ23" i="2"/>
  <c r="EK23" i="2" s="1"/>
  <c r="DX23" i="2"/>
  <c r="EI23" i="2" s="1"/>
  <c r="DW23" i="2"/>
  <c r="EH23" i="2" s="1"/>
  <c r="DV23" i="2"/>
  <c r="EG23" i="2" s="1"/>
  <c r="DT23" i="2"/>
  <c r="DS23" i="2"/>
  <c r="DR23" i="2"/>
  <c r="DQ23" i="2"/>
  <c r="DP23" i="2"/>
  <c r="DO23" i="2"/>
  <c r="DN23" i="2"/>
  <c r="DM23" i="2"/>
  <c r="DL23" i="2"/>
  <c r="DK23" i="2"/>
  <c r="DI23" i="2"/>
  <c r="CX23" i="2"/>
  <c r="CJ23" i="2"/>
  <c r="DH23" i="2" s="1"/>
  <c r="CH23" i="2"/>
  <c r="DF23" i="2" s="1"/>
  <c r="CF23" i="2"/>
  <c r="DD23" i="2" s="1"/>
  <c r="BZ23" i="2"/>
  <c r="BL23" i="2"/>
  <c r="BK23" i="2"/>
  <c r="BJ23" i="2"/>
  <c r="BI23" i="2"/>
  <c r="BH23" i="2"/>
  <c r="BG23" i="2"/>
  <c r="BF23" i="2"/>
  <c r="BE23" i="2"/>
  <c r="BD23" i="2"/>
  <c r="BC23" i="2"/>
  <c r="AZ23" i="2"/>
  <c r="AY23" i="2"/>
  <c r="AX23" i="2"/>
  <c r="AW23" i="2"/>
  <c r="AV23" i="2"/>
  <c r="AU23" i="2"/>
  <c r="AT23" i="2"/>
  <c r="AS23" i="2"/>
  <c r="AR23" i="2"/>
  <c r="AQ23" i="2"/>
  <c r="AN23" i="2"/>
  <c r="AL23" i="2"/>
  <c r="AB23" i="2"/>
  <c r="Z23" i="2"/>
  <c r="X23" i="2"/>
  <c r="AJ23" i="2" s="1"/>
  <c r="U23" i="2"/>
  <c r="CC23" i="2" s="1"/>
  <c r="DA23" i="2" s="1"/>
  <c r="T23" i="2"/>
  <c r="AF23" i="2" s="1"/>
  <c r="S23" i="2"/>
  <c r="CA23" i="2" s="1"/>
  <c r="CY23" i="2" s="1"/>
  <c r="P23" i="2"/>
  <c r="O23" i="2"/>
  <c r="N23" i="2"/>
  <c r="EC23" i="2" s="1"/>
  <c r="EN23" i="2" s="1"/>
  <c r="M23" i="2"/>
  <c r="L23" i="2"/>
  <c r="EA23" i="2" s="1"/>
  <c r="EL23" i="2" s="1"/>
  <c r="K23" i="2"/>
  <c r="J23" i="2"/>
  <c r="I23" i="2"/>
  <c r="EQ22" i="2"/>
  <c r="EP22" i="2"/>
  <c r="EL22" i="2"/>
  <c r="EI22" i="2"/>
  <c r="EC22" i="2"/>
  <c r="EN22" i="2" s="1"/>
  <c r="EA22" i="2"/>
  <c r="DY22" i="2"/>
  <c r="EJ22" i="2" s="1"/>
  <c r="DX22" i="2"/>
  <c r="DW22" i="2"/>
  <c r="EH22" i="2" s="1"/>
  <c r="DV22" i="2"/>
  <c r="EG22" i="2" s="1"/>
  <c r="DT22" i="2"/>
  <c r="DS22" i="2"/>
  <c r="DR22" i="2"/>
  <c r="DQ22" i="2"/>
  <c r="DP22" i="2"/>
  <c r="DO22" i="2"/>
  <c r="DN22" i="2"/>
  <c r="DM22" i="2"/>
  <c r="DL22" i="2"/>
  <c r="DK22" i="2"/>
  <c r="DI22" i="2"/>
  <c r="DH22" i="2"/>
  <c r="CY22" i="2"/>
  <c r="CX22" i="2"/>
  <c r="CC22" i="2"/>
  <c r="DA22" i="2" s="1"/>
  <c r="CA22" i="2"/>
  <c r="BZ22" i="2"/>
  <c r="BL22" i="2"/>
  <c r="BK22" i="2"/>
  <c r="BJ22" i="2"/>
  <c r="BI22" i="2"/>
  <c r="BH22" i="2"/>
  <c r="BG22" i="2"/>
  <c r="BF22" i="2"/>
  <c r="BE22" i="2"/>
  <c r="BD22" i="2"/>
  <c r="BC22" i="2"/>
  <c r="AZ22" i="2"/>
  <c r="AY22" i="2"/>
  <c r="AX22" i="2"/>
  <c r="AW22" i="2"/>
  <c r="AV22" i="2"/>
  <c r="AU22" i="2"/>
  <c r="AT22" i="2"/>
  <c r="AS22" i="2"/>
  <c r="AR22" i="2"/>
  <c r="AQ22" i="2"/>
  <c r="X22" i="2"/>
  <c r="AJ22" i="2" s="1"/>
  <c r="T22" i="2"/>
  <c r="CB22" i="2" s="1"/>
  <c r="CZ22" i="2" s="1"/>
  <c r="S22" i="2"/>
  <c r="AE22" i="2" s="1"/>
  <c r="P22" i="2"/>
  <c r="EE22" i="2" s="1"/>
  <c r="O22" i="2"/>
  <c r="ED22" i="2" s="1"/>
  <c r="EO22" i="2" s="1"/>
  <c r="N22" i="2"/>
  <c r="Z22" i="2" s="1"/>
  <c r="AL22" i="2" s="1"/>
  <c r="M22" i="2"/>
  <c r="L22" i="2"/>
  <c r="K22" i="2"/>
  <c r="J22" i="2"/>
  <c r="V22" i="2" s="1"/>
  <c r="I22" i="2"/>
  <c r="U22" i="2" s="1"/>
  <c r="AG22" i="2" s="1"/>
  <c r="EQ21" i="2"/>
  <c r="EP21" i="2"/>
  <c r="EO21" i="2"/>
  <c r="EH21" i="2"/>
  <c r="EC21" i="2"/>
  <c r="EA21" i="2"/>
  <c r="EL21" i="2" s="1"/>
  <c r="DX21" i="2"/>
  <c r="EI21" i="2" s="1"/>
  <c r="DW21" i="2"/>
  <c r="DV21" i="2"/>
  <c r="EG21" i="2" s="1"/>
  <c r="DS21" i="2"/>
  <c r="DR21" i="2"/>
  <c r="DQ21" i="2"/>
  <c r="DP21" i="2"/>
  <c r="DO21" i="2"/>
  <c r="DN21" i="2"/>
  <c r="DM21" i="2"/>
  <c r="DL21" i="2"/>
  <c r="DK21" i="2"/>
  <c r="DI21" i="2"/>
  <c r="DH21" i="2"/>
  <c r="DB21" i="2"/>
  <c r="CD21" i="2"/>
  <c r="BZ21" i="2"/>
  <c r="CX21" i="2" s="1"/>
  <c r="BK21" i="2"/>
  <c r="BJ21" i="2"/>
  <c r="BI21" i="2"/>
  <c r="BH21" i="2"/>
  <c r="BG21" i="2"/>
  <c r="BF21" i="2"/>
  <c r="BE21" i="2"/>
  <c r="BD21" i="2"/>
  <c r="CB21" i="2" s="1"/>
  <c r="CZ21" i="2" s="1"/>
  <c r="BC21" i="2"/>
  <c r="AY21" i="2"/>
  <c r="AX21" i="2"/>
  <c r="AW21" i="2"/>
  <c r="AV21" i="2"/>
  <c r="AU21" i="2"/>
  <c r="AT21" i="2"/>
  <c r="AS21" i="2"/>
  <c r="AR21" i="2"/>
  <c r="AQ21" i="2"/>
  <c r="AL21" i="2"/>
  <c r="AH21" i="2"/>
  <c r="AF21" i="2"/>
  <c r="AE21" i="2"/>
  <c r="Z21" i="2"/>
  <c r="CH21" i="2" s="1"/>
  <c r="DF21" i="2" s="1"/>
  <c r="X21" i="2"/>
  <c r="CF21" i="2" s="1"/>
  <c r="DD21" i="2" s="1"/>
  <c r="T21" i="2"/>
  <c r="S21" i="2"/>
  <c r="CA21" i="2" s="1"/>
  <c r="CY21" i="2" s="1"/>
  <c r="O21" i="2"/>
  <c r="ED21" i="2" s="1"/>
  <c r="N21" i="2"/>
  <c r="M21" i="2"/>
  <c r="L21" i="2"/>
  <c r="K21" i="2"/>
  <c r="DZ21" i="2" s="1"/>
  <c r="EK21" i="2" s="1"/>
  <c r="J21" i="2"/>
  <c r="V21" i="2" s="1"/>
  <c r="I21" i="2"/>
  <c r="U21" i="2" s="1"/>
  <c r="EQ20" i="2"/>
  <c r="EP20" i="2"/>
  <c r="EH20" i="2"/>
  <c r="ED20" i="2"/>
  <c r="EO20" i="2" s="1"/>
  <c r="EC20" i="2"/>
  <c r="EN20" i="2" s="1"/>
  <c r="EA20" i="2"/>
  <c r="DY20" i="2"/>
  <c r="EJ20" i="2" s="1"/>
  <c r="DX20" i="2"/>
  <c r="EI20" i="2" s="1"/>
  <c r="DW20" i="2"/>
  <c r="DV20" i="2"/>
  <c r="EG20" i="2" s="1"/>
  <c r="DS20" i="2"/>
  <c r="DR20" i="2"/>
  <c r="DQ20" i="2"/>
  <c r="DP20" i="2"/>
  <c r="DO20" i="2"/>
  <c r="DN20" i="2"/>
  <c r="DM20" i="2"/>
  <c r="DL20" i="2"/>
  <c r="DK20" i="2"/>
  <c r="DI20" i="2"/>
  <c r="DH20" i="2"/>
  <c r="DG20" i="2"/>
  <c r="CX20" i="2"/>
  <c r="BZ20" i="2"/>
  <c r="BK20" i="2"/>
  <c r="BJ20" i="2"/>
  <c r="BI20" i="2"/>
  <c r="BH20" i="2"/>
  <c r="BG20" i="2"/>
  <c r="BF20" i="2"/>
  <c r="BE20" i="2"/>
  <c r="BD20" i="2"/>
  <c r="CB20" i="2" s="1"/>
  <c r="CZ20" i="2" s="1"/>
  <c r="BC20" i="2"/>
  <c r="AY20" i="2"/>
  <c r="AX20" i="2"/>
  <c r="AW20" i="2"/>
  <c r="AV20" i="2"/>
  <c r="AU20" i="2"/>
  <c r="AT20" i="2"/>
  <c r="AS20" i="2"/>
  <c r="AR20" i="2"/>
  <c r="AQ20" i="2"/>
  <c r="AF20" i="2"/>
  <c r="Z20" i="2"/>
  <c r="U20" i="2"/>
  <c r="T20" i="2"/>
  <c r="S20" i="2"/>
  <c r="AE20" i="2" s="1"/>
  <c r="O20" i="2"/>
  <c r="N20" i="2"/>
  <c r="M20" i="2"/>
  <c r="L20" i="2"/>
  <c r="X20" i="2" s="1"/>
  <c r="AJ20" i="2" s="1"/>
  <c r="K20" i="2"/>
  <c r="DZ20" i="2" s="1"/>
  <c r="EK20" i="2" s="1"/>
  <c r="J20" i="2"/>
  <c r="I20" i="2"/>
  <c r="EQ19" i="2"/>
  <c r="EP19" i="2"/>
  <c r="EO19" i="2"/>
  <c r="EL19" i="2"/>
  <c r="EH19" i="2"/>
  <c r="EG19" i="2"/>
  <c r="EB19" i="2"/>
  <c r="EM19" i="2" s="1"/>
  <c r="DZ19" i="2"/>
  <c r="EK19" i="2" s="1"/>
  <c r="DX19" i="2"/>
  <c r="EI19" i="2" s="1"/>
  <c r="DW19" i="2"/>
  <c r="DV19" i="2"/>
  <c r="DR19" i="2"/>
  <c r="DQ19" i="2"/>
  <c r="DP19" i="2"/>
  <c r="DO19" i="2"/>
  <c r="DN19" i="2"/>
  <c r="DM19" i="2"/>
  <c r="DL19" i="2"/>
  <c r="DK19" i="2"/>
  <c r="DI19" i="2"/>
  <c r="DH19" i="2"/>
  <c r="DG19" i="2"/>
  <c r="DC19" i="2"/>
  <c r="CZ19" i="2"/>
  <c r="CX19" i="2"/>
  <c r="CG19" i="2"/>
  <c r="DE19" i="2" s="1"/>
  <c r="CD19" i="2"/>
  <c r="DB19" i="2" s="1"/>
  <c r="CB19" i="2"/>
  <c r="BZ19" i="2"/>
  <c r="BJ19" i="2"/>
  <c r="BI19" i="2"/>
  <c r="BH19" i="2"/>
  <c r="BG19" i="2"/>
  <c r="BF19" i="2"/>
  <c r="BE19" i="2"/>
  <c r="BD19" i="2"/>
  <c r="BC19" i="2"/>
  <c r="AX19" i="2"/>
  <c r="AW19" i="2"/>
  <c r="AV19" i="2"/>
  <c r="AU19" i="2"/>
  <c r="AT19" i="2"/>
  <c r="AS19" i="2"/>
  <c r="AR19" i="2"/>
  <c r="AQ19" i="2"/>
  <c r="AI19" i="2"/>
  <c r="AF19" i="2"/>
  <c r="Z19" i="2"/>
  <c r="CH19" i="2" s="1"/>
  <c r="DF19" i="2" s="1"/>
  <c r="V19" i="2"/>
  <c r="AH19" i="2" s="1"/>
  <c r="U19" i="2"/>
  <c r="CC19" i="2" s="1"/>
  <c r="DA19" i="2" s="1"/>
  <c r="T19" i="2"/>
  <c r="S19" i="2"/>
  <c r="N19" i="2"/>
  <c r="EC19" i="2" s="1"/>
  <c r="EN19" i="2" s="1"/>
  <c r="M19" i="2"/>
  <c r="Y19" i="2" s="1"/>
  <c r="AK19" i="2" s="1"/>
  <c r="L19" i="2"/>
  <c r="EA19" i="2" s="1"/>
  <c r="K19" i="2"/>
  <c r="J19" i="2"/>
  <c r="DY19" i="2" s="1"/>
  <c r="EJ19" i="2" s="1"/>
  <c r="I19" i="2"/>
  <c r="EQ18" i="2"/>
  <c r="EP18" i="2"/>
  <c r="EO18" i="2"/>
  <c r="EN18" i="2"/>
  <c r="EG18" i="2"/>
  <c r="EB18" i="2"/>
  <c r="EM18" i="2" s="1"/>
  <c r="DZ18" i="2"/>
  <c r="EK18" i="2" s="1"/>
  <c r="DY18" i="2"/>
  <c r="DW18" i="2"/>
  <c r="EH18" i="2" s="1"/>
  <c r="DV18" i="2"/>
  <c r="DR18" i="2"/>
  <c r="DQ18" i="2"/>
  <c r="DP18" i="2"/>
  <c r="DO18" i="2"/>
  <c r="DN18" i="2"/>
  <c r="DM18" i="2"/>
  <c r="EJ18" i="2" s="1"/>
  <c r="DL18" i="2"/>
  <c r="DK18" i="2"/>
  <c r="DI18" i="2"/>
  <c r="DH18" i="2"/>
  <c r="DG18" i="2"/>
  <c r="DF18" i="2"/>
  <c r="CX18" i="2"/>
  <c r="BZ18" i="2"/>
  <c r="BJ18" i="2"/>
  <c r="BI18" i="2"/>
  <c r="BH18" i="2"/>
  <c r="BG18" i="2"/>
  <c r="BF18" i="2"/>
  <c r="BE18" i="2"/>
  <c r="BD18" i="2"/>
  <c r="BC18" i="2"/>
  <c r="AX18" i="2"/>
  <c r="AW18" i="2"/>
  <c r="AV18" i="2"/>
  <c r="AU18" i="2"/>
  <c r="AT18" i="2"/>
  <c r="AS18" i="2"/>
  <c r="AR18" i="2"/>
  <c r="AQ18" i="2"/>
  <c r="AK18" i="2"/>
  <c r="AG18" i="2"/>
  <c r="Y18" i="2"/>
  <c r="CG18" i="2" s="1"/>
  <c r="DE18" i="2" s="1"/>
  <c r="U18" i="2"/>
  <c r="CC18" i="2" s="1"/>
  <c r="DA18" i="2" s="1"/>
  <c r="T18" i="2"/>
  <c r="S18" i="2"/>
  <c r="CA18" i="2" s="1"/>
  <c r="CY18" i="2" s="1"/>
  <c r="N18" i="2"/>
  <c r="EC18" i="2" s="1"/>
  <c r="M18" i="2"/>
  <c r="L18" i="2"/>
  <c r="X19" i="2" s="1"/>
  <c r="K18" i="2"/>
  <c r="W19" i="2" s="1"/>
  <c r="CE19" i="2" s="1"/>
  <c r="J18" i="2"/>
  <c r="I18" i="2"/>
  <c r="DX18" i="2" s="1"/>
  <c r="EI18" i="2" s="1"/>
  <c r="EQ17" i="2"/>
  <c r="EP17" i="2"/>
  <c r="EO17" i="2"/>
  <c r="EN17" i="2"/>
  <c r="DZ17" i="2"/>
  <c r="EK17" i="2" s="1"/>
  <c r="DX17" i="2"/>
  <c r="DW17" i="2"/>
  <c r="EH17" i="2" s="1"/>
  <c r="DV17" i="2"/>
  <c r="EG17" i="2" s="1"/>
  <c r="DQ17" i="2"/>
  <c r="DP17" i="2"/>
  <c r="DO17" i="2"/>
  <c r="DN17" i="2"/>
  <c r="DM17" i="2"/>
  <c r="DL17" i="2"/>
  <c r="EI17" i="2" s="1"/>
  <c r="DK17" i="2"/>
  <c r="DI17" i="2"/>
  <c r="DH17" i="2"/>
  <c r="DG17" i="2"/>
  <c r="DF17" i="2"/>
  <c r="BZ17" i="2"/>
  <c r="CX17" i="2" s="1"/>
  <c r="BI17" i="2"/>
  <c r="BH17" i="2"/>
  <c r="BG17" i="2"/>
  <c r="BF17" i="2"/>
  <c r="BE17" i="2"/>
  <c r="BD17" i="2"/>
  <c r="BC17" i="2"/>
  <c r="AW17" i="2"/>
  <c r="AV17" i="2"/>
  <c r="AU17" i="2"/>
  <c r="AT17" i="2"/>
  <c r="AS17" i="2"/>
  <c r="AR17" i="2"/>
  <c r="AQ17" i="2"/>
  <c r="AF17" i="2"/>
  <c r="Y17" i="2"/>
  <c r="CG17" i="2" s="1"/>
  <c r="DE17" i="2" s="1"/>
  <c r="T17" i="2"/>
  <c r="CB17" i="2" s="1"/>
  <c r="CZ17" i="2" s="1"/>
  <c r="S17" i="2"/>
  <c r="AE17" i="2" s="1"/>
  <c r="M17" i="2"/>
  <c r="EB17" i="2" s="1"/>
  <c r="EM17" i="2" s="1"/>
  <c r="L17" i="2"/>
  <c r="X17" i="2" s="1"/>
  <c r="K17" i="2"/>
  <c r="W18" i="2" s="1"/>
  <c r="J17" i="2"/>
  <c r="I17" i="2"/>
  <c r="EQ16" i="2"/>
  <c r="EP16" i="2"/>
  <c r="EO16" i="2"/>
  <c r="EN16" i="2"/>
  <c r="EJ16" i="2"/>
  <c r="EG16" i="2"/>
  <c r="EA16" i="2"/>
  <c r="EL16" i="2" s="1"/>
  <c r="DY16" i="2"/>
  <c r="DW16" i="2"/>
  <c r="DV16" i="2"/>
  <c r="DQ16" i="2"/>
  <c r="DP16" i="2"/>
  <c r="DO16" i="2"/>
  <c r="DN16" i="2"/>
  <c r="DM16" i="2"/>
  <c r="DL16" i="2"/>
  <c r="DK16" i="2"/>
  <c r="EH16" i="2" s="1"/>
  <c r="DI16" i="2"/>
  <c r="DH16" i="2"/>
  <c r="DG16" i="2"/>
  <c r="DF16" i="2"/>
  <c r="DE16" i="2"/>
  <c r="CZ16" i="2"/>
  <c r="CX16" i="2"/>
  <c r="CB16" i="2"/>
  <c r="BZ16" i="2"/>
  <c r="BI16" i="2"/>
  <c r="BH16" i="2"/>
  <c r="BG16" i="2"/>
  <c r="BF16" i="2"/>
  <c r="BE16" i="2"/>
  <c r="BD16" i="2"/>
  <c r="BC16" i="2"/>
  <c r="AW16" i="2"/>
  <c r="AV16" i="2"/>
  <c r="AU16" i="2"/>
  <c r="AT16" i="2"/>
  <c r="AS16" i="2"/>
  <c r="AR16" i="2"/>
  <c r="AQ16" i="2"/>
  <c r="AF16" i="2"/>
  <c r="W16" i="2"/>
  <c r="AI16" i="2" s="1"/>
  <c r="T16" i="2"/>
  <c r="S16" i="2"/>
  <c r="M16" i="2"/>
  <c r="EB16" i="2" s="1"/>
  <c r="EM16" i="2" s="1"/>
  <c r="L16" i="2"/>
  <c r="X16" i="2" s="1"/>
  <c r="CF16" i="2" s="1"/>
  <c r="DD16" i="2" s="1"/>
  <c r="K16" i="2"/>
  <c r="DZ16" i="2" s="1"/>
  <c r="J16" i="2"/>
  <c r="V16" i="2" s="1"/>
  <c r="CD16" i="2" s="1"/>
  <c r="DB16" i="2" s="1"/>
  <c r="I16" i="2"/>
  <c r="DX16" i="2" s="1"/>
  <c r="EI16" i="2" s="1"/>
  <c r="EQ15" i="2"/>
  <c r="EP15" i="2"/>
  <c r="EO15" i="2"/>
  <c r="EN15" i="2"/>
  <c r="EM15" i="2"/>
  <c r="EH15" i="2"/>
  <c r="EA15" i="2"/>
  <c r="EL15" i="2" s="1"/>
  <c r="DX15" i="2"/>
  <c r="EI15" i="2" s="1"/>
  <c r="DW15" i="2"/>
  <c r="DV15" i="2"/>
  <c r="EG15" i="2" s="1"/>
  <c r="DP15" i="2"/>
  <c r="DO15" i="2"/>
  <c r="DN15" i="2"/>
  <c r="DM15" i="2"/>
  <c r="DL15" i="2"/>
  <c r="DK15" i="2"/>
  <c r="DI15" i="2"/>
  <c r="DH15" i="2"/>
  <c r="DG15" i="2"/>
  <c r="DF15" i="2"/>
  <c r="DE15" i="2"/>
  <c r="CF15" i="2"/>
  <c r="DD15" i="2" s="1"/>
  <c r="CA15" i="2"/>
  <c r="CY15" i="2" s="1"/>
  <c r="BZ15" i="2"/>
  <c r="CX15" i="2" s="1"/>
  <c r="BH15" i="2"/>
  <c r="BG15" i="2"/>
  <c r="BF15" i="2"/>
  <c r="BE15" i="2"/>
  <c r="BD15" i="2"/>
  <c r="BC15" i="2"/>
  <c r="AV15" i="2"/>
  <c r="AU15" i="2"/>
  <c r="AT15" i="2"/>
  <c r="AS15" i="2"/>
  <c r="AR15" i="2"/>
  <c r="AQ15" i="2"/>
  <c r="AJ15" i="2"/>
  <c r="AE15" i="2"/>
  <c r="X15" i="2"/>
  <c r="V15" i="2"/>
  <c r="T15" i="2"/>
  <c r="S15" i="2"/>
  <c r="L15" i="2"/>
  <c r="K15" i="2"/>
  <c r="J15" i="2"/>
  <c r="DY15" i="2" s="1"/>
  <c r="EJ15" i="2" s="1"/>
  <c r="I15" i="2"/>
  <c r="EQ14" i="2"/>
  <c r="EP14" i="2"/>
  <c r="EO14" i="2"/>
  <c r="EN14" i="2"/>
  <c r="EM14" i="2"/>
  <c r="EH14" i="2"/>
  <c r="EA14" i="2"/>
  <c r="DY14" i="2"/>
  <c r="EJ14" i="2" s="1"/>
  <c r="DX14" i="2"/>
  <c r="EI14" i="2" s="1"/>
  <c r="DW14" i="2"/>
  <c r="DV14" i="2"/>
  <c r="EG14" i="2" s="1"/>
  <c r="DP14" i="2"/>
  <c r="DO14" i="2"/>
  <c r="DN14" i="2"/>
  <c r="DM14" i="2"/>
  <c r="DL14" i="2"/>
  <c r="DK14" i="2"/>
  <c r="DI14" i="2"/>
  <c r="DH14" i="2"/>
  <c r="DG14" i="2"/>
  <c r="DF14" i="2"/>
  <c r="DE14" i="2"/>
  <c r="DD14" i="2"/>
  <c r="DB14" i="2"/>
  <c r="BZ14" i="2"/>
  <c r="CX14" i="2" s="1"/>
  <c r="BH14" i="2"/>
  <c r="BG14" i="2"/>
  <c r="BF14" i="2"/>
  <c r="BE14" i="2"/>
  <c r="BD14" i="2"/>
  <c r="BC14" i="2"/>
  <c r="AV14" i="2"/>
  <c r="AU14" i="2"/>
  <c r="AT14" i="2"/>
  <c r="AS14" i="2"/>
  <c r="AR14" i="2"/>
  <c r="AQ14" i="2"/>
  <c r="AF14" i="2"/>
  <c r="AE14" i="2"/>
  <c r="V14" i="2"/>
  <c r="CD14" i="2" s="1"/>
  <c r="T14" i="2"/>
  <c r="CB14" i="2" s="1"/>
  <c r="CZ14" i="2" s="1"/>
  <c r="S14" i="2"/>
  <c r="CA14" i="2" s="1"/>
  <c r="CY14" i="2" s="1"/>
  <c r="L14" i="2"/>
  <c r="K14" i="2"/>
  <c r="J14" i="2"/>
  <c r="I14" i="2"/>
  <c r="EQ13" i="2"/>
  <c r="EP13" i="2"/>
  <c r="EO13" i="2"/>
  <c r="EN13" i="2"/>
  <c r="EM13" i="2"/>
  <c r="EL13" i="2"/>
  <c r="EH13" i="2"/>
  <c r="DW13" i="2"/>
  <c r="DV13" i="2"/>
  <c r="EG13" i="2" s="1"/>
  <c r="DO13" i="2"/>
  <c r="DN13" i="2"/>
  <c r="DM13" i="2"/>
  <c r="EJ13" i="2" s="1"/>
  <c r="DL13" i="2"/>
  <c r="DK13" i="2"/>
  <c r="DI13" i="2"/>
  <c r="DH13" i="2"/>
  <c r="DG13" i="2"/>
  <c r="DF13" i="2"/>
  <c r="DE13" i="2"/>
  <c r="DD13" i="2"/>
  <c r="CA13" i="2"/>
  <c r="CY13" i="2" s="1"/>
  <c r="BZ13" i="2"/>
  <c r="CX13" i="2" s="1"/>
  <c r="BG13" i="2"/>
  <c r="BF13" i="2"/>
  <c r="BE13" i="2"/>
  <c r="BD13" i="2"/>
  <c r="BC13" i="2"/>
  <c r="AU13" i="2"/>
  <c r="AT13" i="2"/>
  <c r="AS13" i="2"/>
  <c r="AR13" i="2"/>
  <c r="AQ13" i="2"/>
  <c r="AF13" i="2"/>
  <c r="T13" i="2"/>
  <c r="CB13" i="2" s="1"/>
  <c r="CZ13" i="2" s="1"/>
  <c r="S13" i="2"/>
  <c r="AE13" i="2" s="1"/>
  <c r="K13" i="2"/>
  <c r="DZ13" i="2" s="1"/>
  <c r="EK13" i="2" s="1"/>
  <c r="J13" i="2"/>
  <c r="DY13" i="2" s="1"/>
  <c r="I13" i="2"/>
  <c r="U13" i="2" s="1"/>
  <c r="AG13" i="2" s="1"/>
  <c r="EQ12" i="2"/>
  <c r="EP12" i="2"/>
  <c r="EO12" i="2"/>
  <c r="EN12" i="2"/>
  <c r="EM12" i="2"/>
  <c r="EL12" i="2"/>
  <c r="EG12" i="2"/>
  <c r="DZ12" i="2"/>
  <c r="EK12" i="2" s="1"/>
  <c r="DW12" i="2"/>
  <c r="EH12" i="2" s="1"/>
  <c r="DV12" i="2"/>
  <c r="DO12" i="2"/>
  <c r="DN12" i="2"/>
  <c r="DM12" i="2"/>
  <c r="DL12" i="2"/>
  <c r="DK12" i="2"/>
  <c r="DI12" i="2"/>
  <c r="DH12" i="2"/>
  <c r="DG12" i="2"/>
  <c r="DF12" i="2"/>
  <c r="DE12" i="2"/>
  <c r="DD12" i="2"/>
  <c r="DC12" i="2"/>
  <c r="BZ12" i="2"/>
  <c r="CX12" i="2" s="1"/>
  <c r="BG12" i="2"/>
  <c r="BF12" i="2"/>
  <c r="BE12" i="2"/>
  <c r="BD12" i="2"/>
  <c r="CB12" i="2" s="1"/>
  <c r="CZ12" i="2" s="1"/>
  <c r="BC12" i="2"/>
  <c r="AU12" i="2"/>
  <c r="AT12" i="2"/>
  <c r="AS12" i="2"/>
  <c r="AR12" i="2"/>
  <c r="AQ12" i="2"/>
  <c r="AF12" i="2"/>
  <c r="V12" i="2"/>
  <c r="CD12" i="2" s="1"/>
  <c r="DB12" i="2" s="1"/>
  <c r="T12" i="2"/>
  <c r="S12" i="2"/>
  <c r="AE12" i="2" s="1"/>
  <c r="K12" i="2"/>
  <c r="J12" i="2"/>
  <c r="V13" i="2" s="1"/>
  <c r="I12" i="2"/>
  <c r="DX12" i="2" s="1"/>
  <c r="EI12" i="2" s="1"/>
  <c r="EQ11" i="2"/>
  <c r="EP11" i="2"/>
  <c r="EO11" i="2"/>
  <c r="EN11" i="2"/>
  <c r="EM11" i="2"/>
  <c r="EL11" i="2"/>
  <c r="EK11" i="2"/>
  <c r="EI11" i="2"/>
  <c r="EG11" i="2"/>
  <c r="DX11" i="2"/>
  <c r="DW11" i="2"/>
  <c r="EH11" i="2" s="1"/>
  <c r="DV11" i="2"/>
  <c r="DN11" i="2"/>
  <c r="DM11" i="2"/>
  <c r="DL11" i="2"/>
  <c r="DK11" i="2"/>
  <c r="DI11" i="2"/>
  <c r="DH11" i="2"/>
  <c r="DG11" i="2"/>
  <c r="DF11" i="2"/>
  <c r="DE11" i="2"/>
  <c r="DD11" i="2"/>
  <c r="DC11" i="2"/>
  <c r="CX11" i="2"/>
  <c r="CB11" i="2"/>
  <c r="CZ11" i="2" s="1"/>
  <c r="CA11" i="2"/>
  <c r="CY11" i="2" s="1"/>
  <c r="BZ11" i="2"/>
  <c r="BF11" i="2"/>
  <c r="BE11" i="2"/>
  <c r="BD11" i="2"/>
  <c r="BC11" i="2"/>
  <c r="AT11" i="2"/>
  <c r="AS11" i="2"/>
  <c r="AR11" i="2"/>
  <c r="AQ11" i="2"/>
  <c r="AG11" i="2"/>
  <c r="AF11" i="2"/>
  <c r="U11" i="2"/>
  <c r="CC11" i="2" s="1"/>
  <c r="DA11" i="2" s="1"/>
  <c r="T11" i="2"/>
  <c r="S11" i="2"/>
  <c r="AE11" i="2" s="1"/>
  <c r="J11" i="2"/>
  <c r="DY11" i="2" s="1"/>
  <c r="EJ11" i="2" s="1"/>
  <c r="I11" i="2"/>
  <c r="EQ10" i="2"/>
  <c r="EP10" i="2"/>
  <c r="EO10" i="2"/>
  <c r="EN10" i="2"/>
  <c r="EM10" i="2"/>
  <c r="EL10" i="2"/>
  <c r="EK10" i="2"/>
  <c r="EI10" i="2"/>
  <c r="EG10" i="2"/>
  <c r="DX10" i="2"/>
  <c r="DW10" i="2"/>
  <c r="EH10" i="2" s="1"/>
  <c r="DV10" i="2"/>
  <c r="DN10" i="2"/>
  <c r="DM10" i="2"/>
  <c r="DL10" i="2"/>
  <c r="DK10" i="2"/>
  <c r="DI10" i="2"/>
  <c r="DH10" i="2"/>
  <c r="DG10" i="2"/>
  <c r="DF10" i="2"/>
  <c r="DE10" i="2"/>
  <c r="DD10" i="2"/>
  <c r="DC10" i="2"/>
  <c r="DB10" i="2"/>
  <c r="CX10" i="2"/>
  <c r="CA10" i="2"/>
  <c r="CY10" i="2" s="1"/>
  <c r="BZ10" i="2"/>
  <c r="BF10" i="2"/>
  <c r="BE10" i="2"/>
  <c r="BD10" i="2"/>
  <c r="CB10" i="2" s="1"/>
  <c r="CZ10" i="2" s="1"/>
  <c r="BC10" i="2"/>
  <c r="AT10" i="2"/>
  <c r="AS10" i="2"/>
  <c r="AR10" i="2"/>
  <c r="AQ10" i="2"/>
  <c r="AF10" i="2"/>
  <c r="AE10" i="2"/>
  <c r="T10" i="2"/>
  <c r="S10" i="2"/>
  <c r="J10" i="2"/>
  <c r="V11" i="2" s="1"/>
  <c r="I10" i="2"/>
  <c r="EQ9" i="2"/>
  <c r="EP9" i="2"/>
  <c r="EO9" i="2"/>
  <c r="EN9" i="2"/>
  <c r="EM9" i="2"/>
  <c r="EL9" i="2"/>
  <c r="EK9" i="2"/>
  <c r="EJ9" i="2"/>
  <c r="EG9" i="2"/>
  <c r="DW9" i="2"/>
  <c r="EH9" i="2" s="1"/>
  <c r="DV9" i="2"/>
  <c r="DM9" i="2"/>
  <c r="DL9" i="2"/>
  <c r="DK9" i="2"/>
  <c r="DI9" i="2"/>
  <c r="DH9" i="2"/>
  <c r="DG9" i="2"/>
  <c r="DF9" i="2"/>
  <c r="DE9" i="2"/>
  <c r="DD9" i="2"/>
  <c r="DC9" i="2"/>
  <c r="DB9" i="2"/>
  <c r="CX9" i="2"/>
  <c r="BZ9" i="2"/>
  <c r="BE9" i="2"/>
  <c r="BD9" i="2"/>
  <c r="CB9" i="2" s="1"/>
  <c r="CZ9" i="2" s="1"/>
  <c r="BC9" i="2"/>
  <c r="AS9" i="2"/>
  <c r="AR9" i="2"/>
  <c r="AQ9" i="2"/>
  <c r="AF9" i="2"/>
  <c r="AE9" i="2"/>
  <c r="T9" i="2"/>
  <c r="S9" i="2"/>
  <c r="CA9" i="2" s="1"/>
  <c r="CY9" i="2" s="1"/>
  <c r="I9" i="2"/>
  <c r="U10" i="2" s="1"/>
  <c r="EQ8" i="2"/>
  <c r="EP8" i="2"/>
  <c r="EO8" i="2"/>
  <c r="EN8" i="2"/>
  <c r="EM8" i="2"/>
  <c r="EL8" i="2"/>
  <c r="EK8" i="2"/>
  <c r="EJ8" i="2"/>
  <c r="EG8" i="2"/>
  <c r="DW8" i="2"/>
  <c r="EH8" i="2" s="1"/>
  <c r="DV8" i="2"/>
  <c r="DM8" i="2"/>
  <c r="DL8" i="2"/>
  <c r="DK8" i="2"/>
  <c r="DI8" i="2"/>
  <c r="DH8" i="2"/>
  <c r="DG8" i="2"/>
  <c r="DF8" i="2"/>
  <c r="DE8" i="2"/>
  <c r="DD8" i="2"/>
  <c r="DC8" i="2"/>
  <c r="DB8" i="2"/>
  <c r="DA8" i="2"/>
  <c r="CZ8" i="2"/>
  <c r="CY8" i="2"/>
  <c r="CB8" i="2"/>
  <c r="CA8" i="2"/>
  <c r="BZ8" i="2"/>
  <c r="CX8" i="2" s="1"/>
  <c r="BE8" i="2"/>
  <c r="BD8" i="2"/>
  <c r="BC8" i="2"/>
  <c r="AS8" i="2"/>
  <c r="AR8" i="2"/>
  <c r="AQ8" i="2"/>
  <c r="AF8" i="2"/>
  <c r="AE8" i="2"/>
  <c r="T8" i="2"/>
  <c r="S8" i="2"/>
  <c r="I8" i="2"/>
  <c r="U9" i="2" s="1"/>
  <c r="EQ7" i="2"/>
  <c r="EP7" i="2"/>
  <c r="EO7" i="2"/>
  <c r="EN7" i="2"/>
  <c r="EM7" i="2"/>
  <c r="EL7" i="2"/>
  <c r="EK7" i="2"/>
  <c r="EJ7" i="2"/>
  <c r="EI7" i="2"/>
  <c r="DW7" i="2"/>
  <c r="EH7" i="2" s="1"/>
  <c r="DV7" i="2"/>
  <c r="EG7" i="2" s="1"/>
  <c r="DL7" i="2"/>
  <c r="DK7" i="2"/>
  <c r="DI7" i="2"/>
  <c r="DH7" i="2"/>
  <c r="DG7" i="2"/>
  <c r="DF7" i="2"/>
  <c r="DE7" i="2"/>
  <c r="DD7" i="2"/>
  <c r="DC7" i="2"/>
  <c r="DB7" i="2"/>
  <c r="DA7" i="2"/>
  <c r="BZ7" i="2"/>
  <c r="CX7" i="2" s="1"/>
  <c r="BD7" i="2"/>
  <c r="BC7" i="2"/>
  <c r="AR7" i="2"/>
  <c r="AQ7" i="2"/>
  <c r="AE7" i="2"/>
  <c r="T7" i="2"/>
  <c r="AF7" i="2" s="1"/>
  <c r="S7" i="2"/>
  <c r="CA7" i="2" s="1"/>
  <c r="CY7" i="2" s="1"/>
  <c r="EQ6" i="2"/>
  <c r="EP6" i="2"/>
  <c r="EO6" i="2"/>
  <c r="EN6" i="2"/>
  <c r="EM6" i="2"/>
  <c r="EL6" i="2"/>
  <c r="EK6" i="2"/>
  <c r="EJ6" i="2"/>
  <c r="EI6" i="2"/>
  <c r="EH6" i="2"/>
  <c r="EG6" i="2"/>
  <c r="DW6" i="2"/>
  <c r="DV6" i="2"/>
  <c r="DL6" i="2"/>
  <c r="DK6" i="2"/>
  <c r="DI6" i="2"/>
  <c r="DH6" i="2"/>
  <c r="DG6" i="2"/>
  <c r="DF6" i="2"/>
  <c r="DE6" i="2"/>
  <c r="DD6" i="2"/>
  <c r="DC6" i="2"/>
  <c r="DB6" i="2"/>
  <c r="DA6" i="2"/>
  <c r="CB6" i="2"/>
  <c r="CZ6" i="2" s="1"/>
  <c r="BZ6" i="2"/>
  <c r="CX6" i="2" s="1"/>
  <c r="BD6" i="2"/>
  <c r="BC6" i="2"/>
  <c r="AR6" i="2"/>
  <c r="AQ6" i="2"/>
  <c r="AF6" i="2"/>
  <c r="T6" i="2"/>
  <c r="S6" i="2"/>
  <c r="AE6" i="2" s="1"/>
  <c r="EQ5" i="2"/>
  <c r="EP5" i="2"/>
  <c r="EO5" i="2"/>
  <c r="EN5" i="2"/>
  <c r="EM5" i="2"/>
  <c r="EL5" i="2"/>
  <c r="EK5" i="2"/>
  <c r="EJ5" i="2"/>
  <c r="EI5" i="2"/>
  <c r="DW5" i="2"/>
  <c r="EH5" i="2" s="1"/>
  <c r="DV5" i="2"/>
  <c r="EG5" i="2" s="1"/>
  <c r="DK5" i="2"/>
  <c r="DI5" i="2"/>
  <c r="DH5" i="2"/>
  <c r="DG5" i="2"/>
  <c r="DF5" i="2"/>
  <c r="DE5" i="2"/>
  <c r="DD5" i="2"/>
  <c r="DC5" i="2"/>
  <c r="DB5" i="2"/>
  <c r="DA5" i="2"/>
  <c r="CZ5" i="2"/>
  <c r="CX5" i="2"/>
  <c r="BZ5" i="2"/>
  <c r="BC5" i="2"/>
  <c r="AQ5" i="2"/>
  <c r="AE5" i="2"/>
  <c r="T5" i="2"/>
  <c r="AF5" i="2" s="1"/>
  <c r="S5" i="2"/>
  <c r="CA5" i="2" s="1"/>
  <c r="CY5" i="2" s="1"/>
  <c r="EQ4" i="2"/>
  <c r="EP4" i="2"/>
  <c r="EO4" i="2"/>
  <c r="EN4" i="2"/>
  <c r="EM4" i="2"/>
  <c r="EL4" i="2"/>
  <c r="EK4" i="2"/>
  <c r="EJ4" i="2"/>
  <c r="EI4" i="2"/>
  <c r="EH4" i="2"/>
  <c r="EG4" i="2"/>
  <c r="DW4" i="2"/>
  <c r="DV4" i="2"/>
  <c r="DK4" i="2"/>
  <c r="DI4" i="2"/>
  <c r="DH4" i="2"/>
  <c r="DG4" i="2"/>
  <c r="DF4" i="2"/>
  <c r="DE4" i="2"/>
  <c r="DD4" i="2"/>
  <c r="DC4" i="2"/>
  <c r="DB4" i="2"/>
  <c r="DA4" i="2"/>
  <c r="CZ4" i="2"/>
  <c r="BZ4" i="2"/>
  <c r="CX4" i="2" s="1"/>
  <c r="BC4" i="2"/>
  <c r="AQ4" i="2"/>
  <c r="AF4" i="2"/>
  <c r="T4" i="2"/>
  <c r="S4" i="2"/>
  <c r="AE4" i="2" s="1"/>
  <c r="EQ3" i="2"/>
  <c r="EP3" i="2"/>
  <c r="EO3" i="2"/>
  <c r="EN3" i="2"/>
  <c r="EM3" i="2"/>
  <c r="EL3" i="2"/>
  <c r="EK3" i="2"/>
  <c r="EJ3" i="2"/>
  <c r="EI3" i="2"/>
  <c r="DW3" i="2"/>
  <c r="EH3" i="2" s="1"/>
  <c r="DV3" i="2"/>
  <c r="EG3" i="2" s="1"/>
  <c r="DI3" i="2"/>
  <c r="DH3" i="2"/>
  <c r="DG3" i="2"/>
  <c r="DF3" i="2"/>
  <c r="DE3" i="2"/>
  <c r="DD3" i="2"/>
  <c r="DC3" i="2"/>
  <c r="DB3" i="2"/>
  <c r="DA3" i="2"/>
  <c r="CZ3" i="2"/>
  <c r="CY3" i="2"/>
  <c r="CX3" i="2"/>
  <c r="BZ3" i="2"/>
  <c r="T3" i="2"/>
  <c r="AF3" i="2" s="1"/>
  <c r="S3" i="2"/>
  <c r="AE3" i="2" s="1"/>
  <c r="EQ2" i="2"/>
  <c r="EP2" i="2"/>
  <c r="EO2" i="2"/>
  <c r="EN2" i="2"/>
  <c r="EM2" i="2"/>
  <c r="EL2" i="2"/>
  <c r="EK2" i="2"/>
  <c r="EJ2" i="2"/>
  <c r="EI2" i="2"/>
  <c r="EG2" i="2"/>
  <c r="DW2" i="2"/>
  <c r="EH2" i="2" s="1"/>
  <c r="DV2" i="2"/>
  <c r="DI2" i="2"/>
  <c r="DH2" i="2"/>
  <c r="DG2" i="2"/>
  <c r="DF2" i="2"/>
  <c r="DE2" i="2"/>
  <c r="DD2" i="2"/>
  <c r="DC2" i="2"/>
  <c r="DB2" i="2"/>
  <c r="DA2" i="2"/>
  <c r="CZ2" i="2"/>
  <c r="CY2" i="2"/>
  <c r="BZ2" i="2"/>
  <c r="CX2" i="2" s="1"/>
  <c r="EG29" i="6" l="1"/>
  <c r="EQ30" i="6"/>
  <c r="EQ114" i="6"/>
  <c r="EO92" i="6"/>
  <c r="EK94" i="6"/>
  <c r="EO98" i="6"/>
  <c r="EK100" i="6"/>
  <c r="EG102" i="6"/>
  <c r="EL56" i="6"/>
  <c r="EJ172" i="6"/>
  <c r="EU172" i="6" s="1"/>
  <c r="EG126" i="6"/>
  <c r="ER126" i="6" s="1"/>
  <c r="EK148" i="6"/>
  <c r="EJ63" i="6"/>
  <c r="EK16" i="6"/>
  <c r="EV16" i="6" s="1"/>
  <c r="EQ25" i="6"/>
  <c r="EM23" i="6"/>
  <c r="EG32" i="6"/>
  <c r="EM41" i="6"/>
  <c r="EM47" i="6"/>
  <c r="EX47" i="6" s="1"/>
  <c r="EO58" i="6"/>
  <c r="EI61" i="6"/>
  <c r="EO82" i="6"/>
  <c r="EK84" i="6"/>
  <c r="EV84" i="6" s="1"/>
  <c r="EO88" i="6"/>
  <c r="EK90" i="6"/>
  <c r="EO94" i="6"/>
  <c r="EZ94" i="6" s="1"/>
  <c r="EK96" i="6"/>
  <c r="EO100" i="6"/>
  <c r="EK102" i="6"/>
  <c r="EM143" i="6"/>
  <c r="EQ153" i="6"/>
  <c r="FB153" i="6" s="1"/>
  <c r="EO154" i="6"/>
  <c r="EI10" i="6"/>
  <c r="EL51" i="6"/>
  <c r="EK65" i="6"/>
  <c r="EV65" i="6" s="1"/>
  <c r="EI66" i="6"/>
  <c r="EN40" i="6"/>
  <c r="EJ42" i="6"/>
  <c r="EU42" i="6" s="1"/>
  <c r="EJ48" i="6"/>
  <c r="EL59" i="6"/>
  <c r="EJ60" i="6"/>
  <c r="EH61" i="6"/>
  <c r="EP63" i="6"/>
  <c r="FL63" i="6" s="1"/>
  <c r="EN70" i="6"/>
  <c r="EL30" i="6"/>
  <c r="EN77" i="6"/>
  <c r="EJ109" i="6"/>
  <c r="EU109" i="6" s="1"/>
  <c r="EP148" i="6"/>
  <c r="EN149" i="6"/>
  <c r="EL150" i="6"/>
  <c r="EW150" i="6" s="1"/>
  <c r="EO83" i="6"/>
  <c r="EO89" i="6"/>
  <c r="EO95" i="6"/>
  <c r="EO101" i="6"/>
  <c r="EM102" i="6"/>
  <c r="EX102" i="6" s="1"/>
  <c r="EM120" i="6"/>
  <c r="EG135" i="6"/>
  <c r="EG110" i="6"/>
  <c r="ER110" i="6" s="1"/>
  <c r="EG7" i="6"/>
  <c r="EJ16" i="6"/>
  <c r="EH17" i="6"/>
  <c r="EP25" i="6"/>
  <c r="EG41" i="6"/>
  <c r="ER41" i="6" s="1"/>
  <c r="EQ54" i="6"/>
  <c r="EM56" i="6"/>
  <c r="EG59" i="6"/>
  <c r="EO61" i="6"/>
  <c r="FK61" i="6" s="1"/>
  <c r="EM62" i="6"/>
  <c r="EX62" i="6" s="1"/>
  <c r="EK63" i="6"/>
  <c r="EP125" i="6"/>
  <c r="FA125" i="6" s="1"/>
  <c r="EP131" i="6"/>
  <c r="EN132" i="6"/>
  <c r="EP137" i="6"/>
  <c r="EJ140" i="6"/>
  <c r="EP149" i="6"/>
  <c r="FA149" i="6" s="1"/>
  <c r="EG40" i="6"/>
  <c r="EJ17" i="6"/>
  <c r="EJ111" i="6"/>
  <c r="EP114" i="6"/>
  <c r="FA114" i="6" s="1"/>
  <c r="EN115" i="6"/>
  <c r="EY115" i="6" s="1"/>
  <c r="EP120" i="6"/>
  <c r="EG15" i="6"/>
  <c r="ER15" i="6" s="1"/>
  <c r="EI72" i="6"/>
  <c r="EO74" i="6"/>
  <c r="EH77" i="6"/>
  <c r="EH83" i="6"/>
  <c r="EH89" i="6"/>
  <c r="ES89" i="6" s="1"/>
  <c r="EH95" i="6"/>
  <c r="EH101" i="6"/>
  <c r="EP109" i="6"/>
  <c r="EN110" i="6"/>
  <c r="EY110" i="6" s="1"/>
  <c r="EL111" i="6"/>
  <c r="FH111" i="6" s="1"/>
  <c r="EI22" i="6"/>
  <c r="EP23" i="6"/>
  <c r="FA23" i="6" s="1"/>
  <c r="EN147" i="6"/>
  <c r="EO29" i="6"/>
  <c r="EK31" i="6"/>
  <c r="EH32" i="6"/>
  <c r="EH38" i="6"/>
  <c r="ES38" i="6" s="1"/>
  <c r="EP40" i="6"/>
  <c r="EL48" i="6"/>
  <c r="EJ55" i="6"/>
  <c r="EH56" i="6"/>
  <c r="ES56" i="6" s="1"/>
  <c r="EM124" i="6"/>
  <c r="FI124" i="6" s="1"/>
  <c r="EO129" i="6"/>
  <c r="EH12" i="6"/>
  <c r="FD12" i="6" s="1"/>
  <c r="EH103" i="6"/>
  <c r="EL107" i="6"/>
  <c r="EH115" i="6"/>
  <c r="EP117" i="6"/>
  <c r="EL119" i="6"/>
  <c r="EW119" i="6" s="1"/>
  <c r="EL28" i="6"/>
  <c r="EM33" i="6"/>
  <c r="EI35" i="6"/>
  <c r="EG36" i="6"/>
  <c r="ER36" i="6" s="1"/>
  <c r="EQ37" i="6"/>
  <c r="FB37" i="6" s="1"/>
  <c r="EQ43" i="6"/>
  <c r="EI53" i="6"/>
  <c r="ET53" i="6" s="1"/>
  <c r="EP67" i="6"/>
  <c r="EH81" i="6"/>
  <c r="EH87" i="6"/>
  <c r="EH93" i="6"/>
  <c r="EH99" i="6"/>
  <c r="FD99" i="6" s="1"/>
  <c r="EM108" i="6"/>
  <c r="EI110" i="6"/>
  <c r="EJ144" i="6"/>
  <c r="EI161" i="6"/>
  <c r="ET161" i="6" s="1"/>
  <c r="EI167" i="6"/>
  <c r="ET167" i="6" s="1"/>
  <c r="EG168" i="6"/>
  <c r="EO170" i="6"/>
  <c r="EZ170" i="6" s="1"/>
  <c r="EM171" i="6"/>
  <c r="EX171" i="6" s="1"/>
  <c r="EL20" i="6"/>
  <c r="EO27" i="6"/>
  <c r="EL46" i="6"/>
  <c r="EG47" i="6"/>
  <c r="ER47" i="6" s="1"/>
  <c r="EN79" i="6"/>
  <c r="EK80" i="6"/>
  <c r="EI81" i="6"/>
  <c r="EO84" i="6"/>
  <c r="EZ84" i="6" s="1"/>
  <c r="EK86" i="6"/>
  <c r="EV86" i="6" s="1"/>
  <c r="EO90" i="6"/>
  <c r="EK92" i="6"/>
  <c r="FG92" i="6" s="1"/>
  <c r="EO96" i="6"/>
  <c r="EK98" i="6"/>
  <c r="EI99" i="6"/>
  <c r="EN28" i="6"/>
  <c r="EH31" i="6"/>
  <c r="ES31" i="6" s="1"/>
  <c r="EG43" i="6"/>
  <c r="EJ71" i="6"/>
  <c r="EN74" i="6"/>
  <c r="EO79" i="6"/>
  <c r="EZ79" i="6" s="1"/>
  <c r="EO137" i="6"/>
  <c r="EZ137" i="6" s="1"/>
  <c r="EM138" i="6"/>
  <c r="EP142" i="6"/>
  <c r="FA142" i="6" s="1"/>
  <c r="EN154" i="6"/>
  <c r="EL155" i="6"/>
  <c r="EJ156" i="6"/>
  <c r="EG163" i="6"/>
  <c r="EK167" i="6"/>
  <c r="EV167" i="6" s="1"/>
  <c r="EM172" i="6"/>
  <c r="EX172" i="6" s="1"/>
  <c r="EH72" i="6"/>
  <c r="EK22" i="6"/>
  <c r="EO172" i="6"/>
  <c r="EZ172" i="6" s="1"/>
  <c r="EG23" i="6"/>
  <c r="ER23" i="6" s="1"/>
  <c r="EH27" i="6"/>
  <c r="EK37" i="6"/>
  <c r="FG37" i="6" s="1"/>
  <c r="EM42" i="6"/>
  <c r="EO47" i="6"/>
  <c r="EM48" i="6"/>
  <c r="EQ73" i="6"/>
  <c r="EP75" i="6"/>
  <c r="FA75" i="6" s="1"/>
  <c r="EO110" i="6"/>
  <c r="EO127" i="6"/>
  <c r="EP144" i="6"/>
  <c r="EN156" i="6"/>
  <c r="EY156" i="6" s="1"/>
  <c r="EK157" i="6"/>
  <c r="EV157" i="6" s="1"/>
  <c r="EI158" i="6"/>
  <c r="EG159" i="6"/>
  <c r="ER159" i="6" s="1"/>
  <c r="EQ160" i="6"/>
  <c r="EM168" i="6"/>
  <c r="EI170" i="6"/>
  <c r="EN25" i="6"/>
  <c r="EK26" i="6"/>
  <c r="FG26" i="6" s="1"/>
  <c r="EL43" i="6"/>
  <c r="EJ44" i="6"/>
  <c r="EG44" i="6"/>
  <c r="EI68" i="6"/>
  <c r="ET68" i="6" s="1"/>
  <c r="EO71" i="6"/>
  <c r="EZ71" i="6" s="1"/>
  <c r="EM72" i="6"/>
  <c r="EJ73" i="6"/>
  <c r="EU73" i="6" s="1"/>
  <c r="EH79" i="6"/>
  <c r="EO81" i="6"/>
  <c r="EO87" i="6"/>
  <c r="EO93" i="6"/>
  <c r="EO99" i="6"/>
  <c r="EZ99" i="6" s="1"/>
  <c r="EN105" i="6"/>
  <c r="EP116" i="6"/>
  <c r="EJ119" i="6"/>
  <c r="EG143" i="6"/>
  <c r="ER143" i="6" s="1"/>
  <c r="EQ144" i="6"/>
  <c r="FB144" i="6" s="1"/>
  <c r="EG34" i="6"/>
  <c r="EN66" i="6"/>
  <c r="EY66" i="6" s="1"/>
  <c r="EH69" i="6"/>
  <c r="EN72" i="6"/>
  <c r="EO76" i="6"/>
  <c r="EI114" i="6"/>
  <c r="EK136" i="6"/>
  <c r="EV136" i="6" s="1"/>
  <c r="EQ139" i="6"/>
  <c r="EN140" i="6"/>
  <c r="EJ142" i="6"/>
  <c r="EH7" i="6"/>
  <c r="FD7" i="6" s="1"/>
  <c r="EL23" i="6"/>
  <c r="EW23" i="6" s="1"/>
  <c r="EG13" i="6"/>
  <c r="EH24" i="6"/>
  <c r="FD24" i="6" s="1"/>
  <c r="EN36" i="6"/>
  <c r="EK36" i="6"/>
  <c r="EJ38" i="6"/>
  <c r="EG49" i="6"/>
  <c r="EO51" i="6"/>
  <c r="EZ51" i="6" s="1"/>
  <c r="EL52" i="6"/>
  <c r="EM68" i="6"/>
  <c r="EX68" i="6" s="1"/>
  <c r="EJ68" i="6"/>
  <c r="EK69" i="6"/>
  <c r="EV69" i="6" s="1"/>
  <c r="EI70" i="6"/>
  <c r="ET70" i="6" s="1"/>
  <c r="EH75" i="6"/>
  <c r="EO77" i="6"/>
  <c r="EZ77" i="6" s="1"/>
  <c r="EL78" i="6"/>
  <c r="EH85" i="6"/>
  <c r="EH91" i="6"/>
  <c r="EH97" i="6"/>
  <c r="EQ104" i="6"/>
  <c r="FB104" i="6" s="1"/>
  <c r="EI108" i="6"/>
  <c r="EG141" i="6"/>
  <c r="ER141" i="6" s="1"/>
  <c r="EL143" i="6"/>
  <c r="EP151" i="6"/>
  <c r="FL151" i="6" s="1"/>
  <c r="EK155" i="6"/>
  <c r="FG155" i="6" s="1"/>
  <c r="EI156" i="6"/>
  <c r="EN159" i="6"/>
  <c r="EY159" i="6" s="1"/>
  <c r="EL160" i="6"/>
  <c r="EL166" i="6"/>
  <c r="EJ167" i="6"/>
  <c r="EO21" i="6"/>
  <c r="EO23" i="6"/>
  <c r="EZ23" i="6" s="1"/>
  <c r="EP26" i="6"/>
  <c r="EM27" i="6"/>
  <c r="EX27" i="6" s="1"/>
  <c r="EK28" i="6"/>
  <c r="EM58" i="6"/>
  <c r="EX58" i="6" s="1"/>
  <c r="EG61" i="6"/>
  <c r="ER61" i="6" s="1"/>
  <c r="EI64" i="6"/>
  <c r="EQ67" i="6"/>
  <c r="FB67" i="6" s="1"/>
  <c r="EO68" i="6"/>
  <c r="EO73" i="6"/>
  <c r="EP82" i="6"/>
  <c r="EP111" i="6"/>
  <c r="EL113" i="6"/>
  <c r="EW113" i="6" s="1"/>
  <c r="EQ116" i="6"/>
  <c r="EO117" i="6"/>
  <c r="EZ117" i="6" s="1"/>
  <c r="EM118" i="6"/>
  <c r="EI120" i="6"/>
  <c r="ET120" i="6" s="1"/>
  <c r="EP122" i="6"/>
  <c r="FA122" i="6" s="1"/>
  <c r="EI125" i="6"/>
  <c r="EP127" i="6"/>
  <c r="FA127" i="6" s="1"/>
  <c r="EM128" i="6"/>
  <c r="EK129" i="6"/>
  <c r="EP132" i="6"/>
  <c r="EJ146" i="6"/>
  <c r="EK151" i="6"/>
  <c r="EV151" i="6" s="1"/>
  <c r="EP154" i="6"/>
  <c r="EQ127" i="6"/>
  <c r="FB127" i="6" s="1"/>
  <c r="EH6" i="6"/>
  <c r="EJ22" i="6"/>
  <c r="FF22" i="6" s="1"/>
  <c r="EH21" i="6"/>
  <c r="ES21" i="6" s="1"/>
  <c r="EN24" i="6"/>
  <c r="EL34" i="6"/>
  <c r="EW34" i="6" s="1"/>
  <c r="EQ36" i="6"/>
  <c r="EM39" i="6"/>
  <c r="EM49" i="6"/>
  <c r="EI51" i="6"/>
  <c r="EM54" i="6"/>
  <c r="EX54" i="6" s="1"/>
  <c r="EQ69" i="6"/>
  <c r="EL71" i="6"/>
  <c r="EW71" i="6" s="1"/>
  <c r="EN75" i="6"/>
  <c r="EK76" i="6"/>
  <c r="EV76" i="6" s="1"/>
  <c r="EI77" i="6"/>
  <c r="ET77" i="6" s="1"/>
  <c r="EP79" i="6"/>
  <c r="EI105" i="6"/>
  <c r="ET105" i="6" s="1"/>
  <c r="EG106" i="6"/>
  <c r="EQ132" i="6"/>
  <c r="EN135" i="6"/>
  <c r="EI143" i="6"/>
  <c r="EP145" i="6"/>
  <c r="FA145" i="6" s="1"/>
  <c r="EL163" i="6"/>
  <c r="EH165" i="6"/>
  <c r="ES165" i="6" s="1"/>
  <c r="EJ170" i="6"/>
  <c r="EH171" i="6"/>
  <c r="ES171" i="6" s="1"/>
  <c r="EM29" i="6"/>
  <c r="EX29" i="6" s="1"/>
  <c r="EI31" i="6"/>
  <c r="EQ32" i="6"/>
  <c r="FM32" i="6" s="1"/>
  <c r="EM34" i="6"/>
  <c r="EG51" i="6"/>
  <c r="EH68" i="6"/>
  <c r="EO75" i="6"/>
  <c r="EO85" i="6"/>
  <c r="EZ85" i="6" s="1"/>
  <c r="EO91" i="6"/>
  <c r="EO97" i="6"/>
  <c r="EZ97" i="6" s="1"/>
  <c r="EQ102" i="6"/>
  <c r="EK103" i="6"/>
  <c r="EV103" i="6" s="1"/>
  <c r="EL115" i="6"/>
  <c r="EW115" i="6" s="1"/>
  <c r="EH117" i="6"/>
  <c r="EI122" i="6"/>
  <c r="ET122" i="6" s="1"/>
  <c r="EQ124" i="6"/>
  <c r="EN124" i="6"/>
  <c r="EK126" i="6"/>
  <c r="EP129" i="6"/>
  <c r="EQ134" i="6"/>
  <c r="FB134" i="6" s="1"/>
  <c r="EK137" i="6"/>
  <c r="EG139" i="6"/>
  <c r="ER139" i="6" s="1"/>
  <c r="EP140" i="6"/>
  <c r="EN141" i="6"/>
  <c r="EY141" i="6" s="1"/>
  <c r="EM152" i="6"/>
  <c r="FI152" i="6" s="1"/>
  <c r="EK153" i="6"/>
  <c r="EI154" i="6"/>
  <c r="ET154" i="6" s="1"/>
  <c r="EO162" i="6"/>
  <c r="EZ162" i="6" s="1"/>
  <c r="EK116" i="6"/>
  <c r="EL121" i="6"/>
  <c r="EH123" i="6"/>
  <c r="EO130" i="6"/>
  <c r="EZ130" i="6" s="1"/>
  <c r="EL131" i="6"/>
  <c r="EJ132" i="6"/>
  <c r="EU132" i="6" s="1"/>
  <c r="EH133" i="6"/>
  <c r="EQ133" i="6"/>
  <c r="FB133" i="6" s="1"/>
  <c r="EI149" i="6"/>
  <c r="ET149" i="6" s="1"/>
  <c r="EG150" i="6"/>
  <c r="EG22" i="6"/>
  <c r="ER22" i="6" s="1"/>
  <c r="EM40" i="6"/>
  <c r="EP108" i="6"/>
  <c r="EH28" i="6"/>
  <c r="EN30" i="6"/>
  <c r="EL31" i="6"/>
  <c r="EW31" i="6" s="1"/>
  <c r="EN34" i="6"/>
  <c r="EK35" i="6"/>
  <c r="EV35" i="6" s="1"/>
  <c r="EN39" i="6"/>
  <c r="EK39" i="6"/>
  <c r="EV39" i="6" s="1"/>
  <c r="EL44" i="6"/>
  <c r="EW44" i="6" s="1"/>
  <c r="EI45" i="6"/>
  <c r="EG46" i="6"/>
  <c r="ER46" i="6" s="1"/>
  <c r="EM57" i="6"/>
  <c r="EJ58" i="6"/>
  <c r="EH59" i="6"/>
  <c r="EP61" i="6"/>
  <c r="EN62" i="6"/>
  <c r="EY62" i="6" s="1"/>
  <c r="EL63" i="6"/>
  <c r="EM70" i="6"/>
  <c r="EX70" i="6" s="1"/>
  <c r="EK75" i="6"/>
  <c r="EP77" i="6"/>
  <c r="FL77" i="6" s="1"/>
  <c r="EP81" i="6"/>
  <c r="FA81" i="6" s="1"/>
  <c r="EP85" i="6"/>
  <c r="EN86" i="6"/>
  <c r="EY86" i="6" s="1"/>
  <c r="EP89" i="6"/>
  <c r="EN90" i="6"/>
  <c r="EP93" i="6"/>
  <c r="EN94" i="6"/>
  <c r="EP97" i="6"/>
  <c r="FA97" i="6" s="1"/>
  <c r="EN98" i="6"/>
  <c r="EP101" i="6"/>
  <c r="FA101" i="6" s="1"/>
  <c r="EO106" i="6"/>
  <c r="EP110" i="6"/>
  <c r="FA110" i="6" s="1"/>
  <c r="EM111" i="6"/>
  <c r="EX111" i="6" s="1"/>
  <c r="EH113" i="6"/>
  <c r="EM116" i="6"/>
  <c r="EX116" i="6" s="1"/>
  <c r="EI118" i="6"/>
  <c r="EQ120" i="6"/>
  <c r="EN121" i="6"/>
  <c r="EI128" i="6"/>
  <c r="EM131" i="6"/>
  <c r="EX131" i="6" s="1"/>
  <c r="EJ138" i="6"/>
  <c r="EL142" i="6"/>
  <c r="EW142" i="6" s="1"/>
  <c r="EL145" i="6"/>
  <c r="EG148" i="6"/>
  <c r="ER148" i="6" s="1"/>
  <c r="EN150" i="6"/>
  <c r="EY150" i="6" s="1"/>
  <c r="EL151" i="6"/>
  <c r="EK156" i="6"/>
  <c r="EV156" i="6" s="1"/>
  <c r="EH163" i="6"/>
  <c r="EP165" i="6"/>
  <c r="EN166" i="6"/>
  <c r="EI168" i="6"/>
  <c r="ET168" i="6" s="1"/>
  <c r="EG169" i="6"/>
  <c r="ER169" i="6" s="1"/>
  <c r="EO171" i="6"/>
  <c r="EN20" i="6"/>
  <c r="EY20" i="6" s="1"/>
  <c r="EJ24" i="6"/>
  <c r="EK27" i="6"/>
  <c r="EV27" i="6" s="1"/>
  <c r="EQ29" i="6"/>
  <c r="FB29" i="6" s="1"/>
  <c r="EM44" i="6"/>
  <c r="EJ45" i="6"/>
  <c r="EU45" i="6" s="1"/>
  <c r="EQ47" i="6"/>
  <c r="EN67" i="6"/>
  <c r="EK68" i="6"/>
  <c r="EI69" i="6"/>
  <c r="EN71" i="6"/>
  <c r="FJ71" i="6" s="1"/>
  <c r="EL75" i="6"/>
  <c r="EI76" i="6"/>
  <c r="FE76" i="6" s="1"/>
  <c r="EL79" i="6"/>
  <c r="EN82" i="6"/>
  <c r="EY82" i="6" s="1"/>
  <c r="EK83" i="6"/>
  <c r="FG83" i="6" s="1"/>
  <c r="EK87" i="6"/>
  <c r="EK91" i="6"/>
  <c r="EV91" i="6" s="1"/>
  <c r="EK95" i="6"/>
  <c r="EK99" i="6"/>
  <c r="EI100" i="6"/>
  <c r="EL103" i="6"/>
  <c r="EI104" i="6"/>
  <c r="ET104" i="6" s="1"/>
  <c r="EP106" i="6"/>
  <c r="EN111" i="6"/>
  <c r="EY111" i="6" s="1"/>
  <c r="EG114" i="6"/>
  <c r="EP115" i="6"/>
  <c r="FA115" i="6" s="1"/>
  <c r="EL117" i="6"/>
  <c r="EW117" i="6" s="1"/>
  <c r="EH119" i="6"/>
  <c r="EO121" i="6"/>
  <c r="EZ121" i="6" s="1"/>
  <c r="EM122" i="6"/>
  <c r="EO126" i="6"/>
  <c r="EM127" i="6"/>
  <c r="EG129" i="6"/>
  <c r="EQ130" i="6"/>
  <c r="FM130" i="6" s="1"/>
  <c r="EN131" i="6"/>
  <c r="EM137" i="6"/>
  <c r="EX137" i="6" s="1"/>
  <c r="EI139" i="6"/>
  <c r="EM142" i="6"/>
  <c r="FI142" i="6" s="1"/>
  <c r="EM146" i="6"/>
  <c r="EX146" i="6" s="1"/>
  <c r="EH148" i="6"/>
  <c r="ES148" i="6" s="1"/>
  <c r="EI157" i="6"/>
  <c r="ET157" i="6" s="1"/>
  <c r="EG158" i="6"/>
  <c r="EO160" i="6"/>
  <c r="EZ160" i="6" s="1"/>
  <c r="EK162" i="6"/>
  <c r="EI163" i="6"/>
  <c r="EO166" i="6"/>
  <c r="EZ166" i="6" s="1"/>
  <c r="EG21" i="6"/>
  <c r="EJ28" i="6"/>
  <c r="FF28" i="6" s="1"/>
  <c r="EP30" i="6"/>
  <c r="EP39" i="6"/>
  <c r="FA39" i="6" s="1"/>
  <c r="EJ41" i="6"/>
  <c r="EU41" i="6" s="1"/>
  <c r="EG42" i="6"/>
  <c r="EN44" i="6"/>
  <c r="EY44" i="6" s="1"/>
  <c r="EK45" i="6"/>
  <c r="EI46" i="6"/>
  <c r="EK49" i="6"/>
  <c r="EL58" i="6"/>
  <c r="EJ59" i="6"/>
  <c r="EU59" i="6" s="1"/>
  <c r="EN63" i="6"/>
  <c r="EK64" i="6"/>
  <c r="EV64" i="6" s="1"/>
  <c r="EL72" i="6"/>
  <c r="EO78" i="6"/>
  <c r="EZ78" i="6" s="1"/>
  <c r="EL83" i="6"/>
  <c r="EW83" i="6" s="1"/>
  <c r="EL87" i="6"/>
  <c r="EL91" i="6"/>
  <c r="EW91" i="6" s="1"/>
  <c r="EL95" i="6"/>
  <c r="EL99" i="6"/>
  <c r="EP102" i="6"/>
  <c r="EJ104" i="6"/>
  <c r="EJ113" i="6"/>
  <c r="EU113" i="6" s="1"/>
  <c r="EG120" i="6"/>
  <c r="EP121" i="6"/>
  <c r="FA121" i="6" s="1"/>
  <c r="EP126" i="6"/>
  <c r="EK128" i="6"/>
  <c r="EV128" i="6" s="1"/>
  <c r="EP136" i="6"/>
  <c r="FA136" i="6" s="1"/>
  <c r="EJ139" i="6"/>
  <c r="EQ141" i="6"/>
  <c r="FB141" i="6" s="1"/>
  <c r="EQ145" i="6"/>
  <c r="EK152" i="6"/>
  <c r="EI153" i="6"/>
  <c r="EP155" i="6"/>
  <c r="EM156" i="6"/>
  <c r="EX156" i="6" s="1"/>
  <c r="EN161" i="6"/>
  <c r="EY161" i="6" s="1"/>
  <c r="EK168" i="6"/>
  <c r="EV168" i="6" s="1"/>
  <c r="EG170" i="6"/>
  <c r="EQ171" i="6"/>
  <c r="FB171" i="6" s="1"/>
  <c r="EN172" i="6"/>
  <c r="EY172" i="6" s="1"/>
  <c r="EL22" i="6"/>
  <c r="EM114" i="6"/>
  <c r="EX114" i="6" s="1"/>
  <c r="EN127" i="6"/>
  <c r="EH13" i="6"/>
  <c r="EK14" i="6"/>
  <c r="EM16" i="6"/>
  <c r="EO24" i="6"/>
  <c r="EZ24" i="6" s="1"/>
  <c r="EM37" i="6"/>
  <c r="EK38" i="6"/>
  <c r="EV38" i="6" s="1"/>
  <c r="EH39" i="6"/>
  <c r="EQ39" i="6"/>
  <c r="FB39" i="6" s="1"/>
  <c r="EG48" i="6"/>
  <c r="ER48" i="6" s="1"/>
  <c r="EM50" i="6"/>
  <c r="EH52" i="6"/>
  <c r="ES52" i="6" s="1"/>
  <c r="EK55" i="6"/>
  <c r="EI56" i="6"/>
  <c r="EN59" i="6"/>
  <c r="EL60" i="6"/>
  <c r="EO64" i="6"/>
  <c r="EZ64" i="6" s="1"/>
  <c r="EJ66" i="6"/>
  <c r="EP68" i="6"/>
  <c r="FA68" i="6" s="1"/>
  <c r="EI74" i="6"/>
  <c r="EN76" i="6"/>
  <c r="EY76" i="6" s="1"/>
  <c r="EN80" i="6"/>
  <c r="EY80" i="6" s="1"/>
  <c r="EP83" i="6"/>
  <c r="EN84" i="6"/>
  <c r="FJ84" i="6" s="1"/>
  <c r="EP87" i="6"/>
  <c r="EN88" i="6"/>
  <c r="EP91" i="6"/>
  <c r="EN92" i="6"/>
  <c r="EP95" i="6"/>
  <c r="FA95" i="6" s="1"/>
  <c r="EN96" i="6"/>
  <c r="EP99" i="6"/>
  <c r="FA99" i="6" s="1"/>
  <c r="EN100" i="6"/>
  <c r="EM109" i="6"/>
  <c r="EX109" i="6" s="1"/>
  <c r="EJ110" i="6"/>
  <c r="EU110" i="6" s="1"/>
  <c r="EO118" i="6"/>
  <c r="EM119" i="6"/>
  <c r="EX119" i="6" s="1"/>
  <c r="EP123" i="6"/>
  <c r="EK125" i="6"/>
  <c r="EJ130" i="6"/>
  <c r="EM134" i="6"/>
  <c r="EP138" i="6"/>
  <c r="FA138" i="6" s="1"/>
  <c r="EI141" i="6"/>
  <c r="EI145" i="6"/>
  <c r="ET145" i="6" s="1"/>
  <c r="EO147" i="6"/>
  <c r="EK149" i="6"/>
  <c r="FG149" i="6" s="1"/>
  <c r="EH150" i="6"/>
  <c r="FD150" i="6" s="1"/>
  <c r="EL158" i="6"/>
  <c r="EW158" i="6" s="1"/>
  <c r="EH160" i="6"/>
  <c r="ES160" i="6" s="1"/>
  <c r="EJ165" i="6"/>
  <c r="EO168" i="6"/>
  <c r="EZ168" i="6" s="1"/>
  <c r="EM169" i="6"/>
  <c r="EX169" i="6" s="1"/>
  <c r="EK170" i="6"/>
  <c r="EV170" i="6" s="1"/>
  <c r="EH26" i="6"/>
  <c r="ES26" i="6" s="1"/>
  <c r="EQ26" i="6"/>
  <c r="EQ27" i="6"/>
  <c r="FB27" i="6" s="1"/>
  <c r="EI30" i="6"/>
  <c r="EG31" i="6"/>
  <c r="ER31" i="6" s="1"/>
  <c r="EO32" i="6"/>
  <c r="FK32" i="6" s="1"/>
  <c r="EK33" i="6"/>
  <c r="EP36" i="6"/>
  <c r="FA36" i="6" s="1"/>
  <c r="EL38" i="6"/>
  <c r="EI52" i="6"/>
  <c r="EO54" i="6"/>
  <c r="EL55" i="6"/>
  <c r="EJ56" i="6"/>
  <c r="EU56" i="6" s="1"/>
  <c r="EQ58" i="6"/>
  <c r="EM60" i="6"/>
  <c r="EX60" i="6" s="1"/>
  <c r="EQ72" i="6"/>
  <c r="EH78" i="6"/>
  <c r="ES78" i="6" s="1"/>
  <c r="EK81" i="6"/>
  <c r="EV81" i="6" s="1"/>
  <c r="EH82" i="6"/>
  <c r="EK85" i="6"/>
  <c r="FG85" i="6" s="1"/>
  <c r="EK89" i="6"/>
  <c r="EK93" i="6"/>
  <c r="EK97" i="6"/>
  <c r="EK101" i="6"/>
  <c r="EI102" i="6"/>
  <c r="ET102" i="6" s="1"/>
  <c r="EJ106" i="6"/>
  <c r="EH107" i="6"/>
  <c r="ES107" i="6" s="1"/>
  <c r="EK110" i="6"/>
  <c r="EO113" i="6"/>
  <c r="EZ113" i="6" s="1"/>
  <c r="EP118" i="6"/>
  <c r="FA118" i="6" s="1"/>
  <c r="EO124" i="6"/>
  <c r="EI126" i="6"/>
  <c r="ET126" i="6" s="1"/>
  <c r="EP128" i="6"/>
  <c r="EM129" i="6"/>
  <c r="EH131" i="6"/>
  <c r="EN134" i="6"/>
  <c r="EG137" i="6"/>
  <c r="ER137" i="6" s="1"/>
  <c r="EQ138" i="6"/>
  <c r="EQ143" i="6"/>
  <c r="FM143" i="6" s="1"/>
  <c r="EM144" i="6"/>
  <c r="EP147" i="6"/>
  <c r="FA147" i="6" s="1"/>
  <c r="EP152" i="6"/>
  <c r="FA152" i="6" s="1"/>
  <c r="EN153" i="6"/>
  <c r="EL154" i="6"/>
  <c r="EW154" i="6" s="1"/>
  <c r="EI155" i="6"/>
  <c r="EG161" i="6"/>
  <c r="ER161" i="6" s="1"/>
  <c r="EL170" i="6"/>
  <c r="EI12" i="6"/>
  <c r="EQ24" i="6"/>
  <c r="FB24" i="6" s="1"/>
  <c r="EN26" i="6"/>
  <c r="EJ30" i="6"/>
  <c r="EU30" i="6" s="1"/>
  <c r="EG30" i="6"/>
  <c r="EO37" i="6"/>
  <c r="EZ37" i="6" s="1"/>
  <c r="EH44" i="6"/>
  <c r="ES44" i="6" s="1"/>
  <c r="EL47" i="6"/>
  <c r="EI48" i="6"/>
  <c r="ET48" i="6" s="1"/>
  <c r="EO50" i="6"/>
  <c r="EM51" i="6"/>
  <c r="EJ52" i="6"/>
  <c r="EG53" i="6"/>
  <c r="EM55" i="6"/>
  <c r="EX55" i="6" s="1"/>
  <c r="EI57" i="6"/>
  <c r="EJ62" i="6"/>
  <c r="EU62" i="6" s="1"/>
  <c r="EO65" i="6"/>
  <c r="EL70" i="6"/>
  <c r="EW70" i="6" s="1"/>
  <c r="EN73" i="6"/>
  <c r="FJ73" i="6" s="1"/>
  <c r="EL77" i="6"/>
  <c r="EL81" i="6"/>
  <c r="EW81" i="6" s="1"/>
  <c r="EL85" i="6"/>
  <c r="EL89" i="6"/>
  <c r="EL93" i="6"/>
  <c r="EL97" i="6"/>
  <c r="EL101" i="6"/>
  <c r="FH101" i="6" s="1"/>
  <c r="EP104" i="6"/>
  <c r="EK106" i="6"/>
  <c r="FG106" i="6" s="1"/>
  <c r="EI107" i="6"/>
  <c r="EI111" i="6"/>
  <c r="ET111" i="6" s="1"/>
  <c r="EP113" i="6"/>
  <c r="FA113" i="6" s="1"/>
  <c r="EI116" i="6"/>
  <c r="EQ118" i="6"/>
  <c r="FM118" i="6" s="1"/>
  <c r="EP124" i="6"/>
  <c r="EM125" i="6"/>
  <c r="EL135" i="6"/>
  <c r="EJ136" i="6"/>
  <c r="EH142" i="6"/>
  <c r="ES142" i="6" s="1"/>
  <c r="EK145" i="6"/>
  <c r="EH151" i="6"/>
  <c r="FD151" i="6" s="1"/>
  <c r="EN158" i="6"/>
  <c r="EY158" i="6" s="1"/>
  <c r="EN164" i="6"/>
  <c r="EY164" i="6" s="1"/>
  <c r="EO169" i="6"/>
  <c r="EZ169" i="6" s="1"/>
  <c r="EK171" i="6"/>
  <c r="EV171" i="6" s="1"/>
  <c r="EH172" i="6"/>
  <c r="ES172" i="6" s="1"/>
  <c r="EG9" i="6"/>
  <c r="EI13" i="6"/>
  <c r="EL25" i="6"/>
  <c r="EN33" i="6"/>
  <c r="EJ34" i="6"/>
  <c r="EU34" i="6" s="1"/>
  <c r="EG35" i="6"/>
  <c r="EO43" i="6"/>
  <c r="FK43" i="6" s="1"/>
  <c r="EG45" i="6"/>
  <c r="EH48" i="6"/>
  <c r="ES48" i="6" s="1"/>
  <c r="EJ51" i="6"/>
  <c r="FF51" i="6" s="1"/>
  <c r="EO53" i="6"/>
  <c r="FK53" i="6" s="1"/>
  <c r="EL54" i="6"/>
  <c r="EW54" i="6" s="1"/>
  <c r="EI55" i="6"/>
  <c r="EG56" i="6"/>
  <c r="EI60" i="6"/>
  <c r="EH65" i="6"/>
  <c r="EG12" i="6"/>
  <c r="ER12" i="6" s="1"/>
  <c r="EK13" i="6"/>
  <c r="EG20" i="6"/>
  <c r="ER20" i="6" s="1"/>
  <c r="EN32" i="6"/>
  <c r="EK34" i="6"/>
  <c r="FG34" i="6" s="1"/>
  <c r="EG52" i="6"/>
  <c r="ER52" i="6" s="1"/>
  <c r="EJ12" i="6"/>
  <c r="FF12" i="6" s="1"/>
  <c r="EL15" i="6"/>
  <c r="EW15" i="6" s="1"/>
  <c r="EG16" i="6"/>
  <c r="EH20" i="6"/>
  <c r="EK21" i="6"/>
  <c r="EL26" i="6"/>
  <c r="EG27" i="6"/>
  <c r="FC27" i="6" s="1"/>
  <c r="EI29" i="6"/>
  <c r="EO31" i="6"/>
  <c r="EZ31" i="6" s="1"/>
  <c r="EK32" i="6"/>
  <c r="EL35" i="6"/>
  <c r="FH35" i="6" s="1"/>
  <c r="EG37" i="6"/>
  <c r="FC37" i="6" s="1"/>
  <c r="EJ39" i="6"/>
  <c r="EU39" i="6" s="1"/>
  <c r="EK41" i="6"/>
  <c r="EV41" i="6" s="1"/>
  <c r="EK42" i="6"/>
  <c r="EP44" i="6"/>
  <c r="EL45" i="6"/>
  <c r="EJ46" i="6"/>
  <c r="EI49" i="6"/>
  <c r="ET49" i="6" s="1"/>
  <c r="EQ50" i="6"/>
  <c r="EM69" i="6"/>
  <c r="EX69" i="6" s="1"/>
  <c r="EN22" i="6"/>
  <c r="EL32" i="6"/>
  <c r="EW32" i="6" s="1"/>
  <c r="EH33" i="6"/>
  <c r="ES33" i="6" s="1"/>
  <c r="EQ33" i="6"/>
  <c r="FB33" i="6" s="1"/>
  <c r="EP34" i="6"/>
  <c r="FA34" i="6" s="1"/>
  <c r="EM35" i="6"/>
  <c r="EO41" i="6"/>
  <c r="EI43" i="6"/>
  <c r="EM45" i="6"/>
  <c r="EN48" i="6"/>
  <c r="EY48" i="6" s="1"/>
  <c r="EJ49" i="6"/>
  <c r="EL53" i="6"/>
  <c r="EW53" i="6" s="1"/>
  <c r="EO55" i="6"/>
  <c r="EJ57" i="6"/>
  <c r="FF57" i="6" s="1"/>
  <c r="EG58" i="6"/>
  <c r="ER58" i="6" s="1"/>
  <c r="EQ68" i="6"/>
  <c r="FM68" i="6" s="1"/>
  <c r="EI16" i="6"/>
  <c r="ET16" i="6" s="1"/>
  <c r="EJ20" i="6"/>
  <c r="EM21" i="6"/>
  <c r="EO22" i="6"/>
  <c r="EH23" i="6"/>
  <c r="EI27" i="6"/>
  <c r="ET27" i="6" s="1"/>
  <c r="EK29" i="6"/>
  <c r="EH30" i="6"/>
  <c r="ES30" i="6" s="1"/>
  <c r="EQ31" i="6"/>
  <c r="EM32" i="6"/>
  <c r="FI32" i="6" s="1"/>
  <c r="EL36" i="6"/>
  <c r="EW36" i="6" s="1"/>
  <c r="EP38" i="6"/>
  <c r="FA38" i="6" s="1"/>
  <c r="EL39" i="6"/>
  <c r="EW39" i="6" s="1"/>
  <c r="EP41" i="6"/>
  <c r="EJ43" i="6"/>
  <c r="EI47" i="6"/>
  <c r="EQ51" i="6"/>
  <c r="EM52" i="6"/>
  <c r="FI52" i="6" s="1"/>
  <c r="EJ53" i="6"/>
  <c r="EG54" i="6"/>
  <c r="ER54" i="6" s="1"/>
  <c r="EO67" i="6"/>
  <c r="EH14" i="6"/>
  <c r="ES14" i="6" s="1"/>
  <c r="EI23" i="6"/>
  <c r="ET23" i="6" s="1"/>
  <c r="EQ28" i="6"/>
  <c r="FB28" i="6" s="1"/>
  <c r="EJ33" i="6"/>
  <c r="EU33" i="6" s="1"/>
  <c r="EM36" i="6"/>
  <c r="EJ37" i="6"/>
  <c r="EQ41" i="6"/>
  <c r="EN42" i="6"/>
  <c r="EO45" i="6"/>
  <c r="EZ45" i="6" s="1"/>
  <c r="EM46" i="6"/>
  <c r="EJ47" i="6"/>
  <c r="EU47" i="6" s="1"/>
  <c r="EP48" i="6"/>
  <c r="EM61" i="6"/>
  <c r="EX61" i="6" s="1"/>
  <c r="EJ67" i="6"/>
  <c r="EU67" i="6" s="1"/>
  <c r="EK74" i="6"/>
  <c r="EV74" i="6" s="1"/>
  <c r="EI14" i="6"/>
  <c r="ET14" i="6" s="1"/>
  <c r="EJ23" i="6"/>
  <c r="EH25" i="6"/>
  <c r="EG6" i="6"/>
  <c r="EH8" i="6"/>
  <c r="EJ14" i="6"/>
  <c r="EU14" i="6" s="1"/>
  <c r="EL16" i="6"/>
  <c r="EI17" i="6"/>
  <c r="ET17" i="6" s="1"/>
  <c r="EK23" i="6"/>
  <c r="EP24" i="6"/>
  <c r="FA24" i="6" s="1"/>
  <c r="EJ25" i="6"/>
  <c r="FF25" i="6" s="1"/>
  <c r="EL27" i="6"/>
  <c r="EW27" i="6" s="1"/>
  <c r="EG28" i="6"/>
  <c r="ER28" i="6" s="1"/>
  <c r="EN29" i="6"/>
  <c r="EK30" i="6"/>
  <c r="EL33" i="6"/>
  <c r="EH34" i="6"/>
  <c r="EQ35" i="6"/>
  <c r="FB35" i="6" s="1"/>
  <c r="EO39" i="6"/>
  <c r="EJ40" i="6"/>
  <c r="EU40" i="6" s="1"/>
  <c r="EM43" i="6"/>
  <c r="EI44" i="6"/>
  <c r="ET44" i="6" s="1"/>
  <c r="EO46" i="6"/>
  <c r="EZ46" i="6" s="1"/>
  <c r="EP52" i="6"/>
  <c r="FA52" i="6" s="1"/>
  <c r="EM53" i="6"/>
  <c r="EX53" i="6" s="1"/>
  <c r="EJ54" i="6"/>
  <c r="EG55" i="6"/>
  <c r="EG60" i="6"/>
  <c r="EI50" i="6"/>
  <c r="EK53" i="6"/>
  <c r="EV53" i="6" s="1"/>
  <c r="EN56" i="6"/>
  <c r="EK57" i="6"/>
  <c r="EV57" i="6" s="1"/>
  <c r="EO60" i="6"/>
  <c r="EJ61" i="6"/>
  <c r="EU61" i="6" s="1"/>
  <c r="EJ64" i="6"/>
  <c r="FF64" i="6" s="1"/>
  <c r="EI65" i="6"/>
  <c r="ET65" i="6" s="1"/>
  <c r="EM66" i="6"/>
  <c r="EX66" i="6" s="1"/>
  <c r="EP73" i="6"/>
  <c r="EI80" i="6"/>
  <c r="EK82" i="6"/>
  <c r="EI84" i="6"/>
  <c r="EI86" i="6"/>
  <c r="ET86" i="6" s="1"/>
  <c r="EI88" i="6"/>
  <c r="EI90" i="6"/>
  <c r="ET90" i="6" s="1"/>
  <c r="EI92" i="6"/>
  <c r="EI94" i="6"/>
  <c r="ET94" i="6" s="1"/>
  <c r="EI96" i="6"/>
  <c r="ET96" i="6" s="1"/>
  <c r="EI98" i="6"/>
  <c r="ET98" i="6" s="1"/>
  <c r="EJ103" i="6"/>
  <c r="EU103" i="6" s="1"/>
  <c r="EG104" i="6"/>
  <c r="EP105" i="6"/>
  <c r="EM106" i="6"/>
  <c r="EJ107" i="6"/>
  <c r="EO109" i="6"/>
  <c r="EZ109" i="6" s="1"/>
  <c r="EP112" i="6"/>
  <c r="EM113" i="6"/>
  <c r="EX113" i="6" s="1"/>
  <c r="EJ114" i="6"/>
  <c r="EI117" i="6"/>
  <c r="ET117" i="6" s="1"/>
  <c r="EJ120" i="6"/>
  <c r="EU120" i="6" s="1"/>
  <c r="EI123" i="6"/>
  <c r="FE123" i="6" s="1"/>
  <c r="EL132" i="6"/>
  <c r="EW132" i="6" s="1"/>
  <c r="EI133" i="6"/>
  <c r="EG134" i="6"/>
  <c r="EO139" i="6"/>
  <c r="EL140" i="6"/>
  <c r="EJ141" i="6"/>
  <c r="EU141" i="6" s="1"/>
  <c r="EK144" i="6"/>
  <c r="EL147" i="6"/>
  <c r="EW147" i="6" s="1"/>
  <c r="EI148" i="6"/>
  <c r="EP150" i="6"/>
  <c r="FA150" i="6" s="1"/>
  <c r="EM151" i="6"/>
  <c r="EX151" i="6" s="1"/>
  <c r="EI152" i="6"/>
  <c r="ET152" i="6" s="1"/>
  <c r="EG153" i="6"/>
  <c r="ER153" i="6" s="1"/>
  <c r="EQ154" i="6"/>
  <c r="EN155" i="6"/>
  <c r="EY155" i="6" s="1"/>
  <c r="EG157" i="6"/>
  <c r="ER157" i="6" s="1"/>
  <c r="EM160" i="6"/>
  <c r="EX160" i="6" s="1"/>
  <c r="EQ163" i="6"/>
  <c r="FB163" i="6" s="1"/>
  <c r="EO164" i="6"/>
  <c r="EM165" i="6"/>
  <c r="FI165" i="6" s="1"/>
  <c r="EK166" i="6"/>
  <c r="EH167" i="6"/>
  <c r="ES167" i="6" s="1"/>
  <c r="EH170" i="6"/>
  <c r="ES170" i="6" s="1"/>
  <c r="EP171" i="6"/>
  <c r="FA171" i="6" s="1"/>
  <c r="EK172" i="6"/>
  <c r="EV172" i="6" s="1"/>
  <c r="EJ50" i="6"/>
  <c r="EI54" i="6"/>
  <c r="EQ55" i="6"/>
  <c r="EI58" i="6"/>
  <c r="EN64" i="6"/>
  <c r="EY64" i="6" s="1"/>
  <c r="EL67" i="6"/>
  <c r="EI67" i="6"/>
  <c r="ET67" i="6" s="1"/>
  <c r="EG68" i="6"/>
  <c r="EO69" i="6"/>
  <c r="EZ69" i="6" s="1"/>
  <c r="EJ70" i="6"/>
  <c r="FF70" i="6" s="1"/>
  <c r="EP71" i="6"/>
  <c r="FL71" i="6" s="1"/>
  <c r="EM71" i="6"/>
  <c r="EX71" i="6" s="1"/>
  <c r="EK72" i="6"/>
  <c r="EL82" i="6"/>
  <c r="EI82" i="6"/>
  <c r="EO102" i="6"/>
  <c r="EL102" i="6"/>
  <c r="EW102" i="6" s="1"/>
  <c r="EH111" i="6"/>
  <c r="EN113" i="6"/>
  <c r="EY113" i="6" s="1"/>
  <c r="EK114" i="6"/>
  <c r="EO116" i="6"/>
  <c r="EZ116" i="6" s="1"/>
  <c r="EJ117" i="6"/>
  <c r="EU117" i="6" s="1"/>
  <c r="EG118" i="6"/>
  <c r="ER118" i="6" s="1"/>
  <c r="EN119" i="6"/>
  <c r="EY119" i="6" s="1"/>
  <c r="EK120" i="6"/>
  <c r="EO122" i="6"/>
  <c r="EJ123" i="6"/>
  <c r="EG124" i="6"/>
  <c r="EG127" i="6"/>
  <c r="ER127" i="6" s="1"/>
  <c r="EJ129" i="6"/>
  <c r="EG130" i="6"/>
  <c r="ER130" i="6" s="1"/>
  <c r="EJ133" i="6"/>
  <c r="EG133" i="6"/>
  <c r="ER133" i="6" s="1"/>
  <c r="EP135" i="6"/>
  <c r="FA135" i="6" s="1"/>
  <c r="EM136" i="6"/>
  <c r="FI136" i="6" s="1"/>
  <c r="EJ137" i="6"/>
  <c r="EU137" i="6" s="1"/>
  <c r="EG138" i="6"/>
  <c r="EK141" i="6"/>
  <c r="EL144" i="6"/>
  <c r="EQ146" i="6"/>
  <c r="EJ148" i="6"/>
  <c r="EU148" i="6" s="1"/>
  <c r="EL156" i="6"/>
  <c r="EW156" i="6" s="1"/>
  <c r="EH157" i="6"/>
  <c r="ES157" i="6" s="1"/>
  <c r="EP159" i="6"/>
  <c r="EN160" i="6"/>
  <c r="EY160" i="6" s="1"/>
  <c r="EK161" i="6"/>
  <c r="FG161" i="6" s="1"/>
  <c r="EI162" i="6"/>
  <c r="ET162" i="6" s="1"/>
  <c r="EI78" i="6"/>
  <c r="ET78" i="6" s="1"/>
  <c r="EN139" i="6"/>
  <c r="EG167" i="6"/>
  <c r="EP119" i="6"/>
  <c r="EH121" i="6"/>
  <c r="EQ122" i="6"/>
  <c r="FB122" i="6" s="1"/>
  <c r="EL123" i="6"/>
  <c r="EI124" i="6"/>
  <c r="ET124" i="6" s="1"/>
  <c r="EQ125" i="6"/>
  <c r="EI127" i="6"/>
  <c r="ET127" i="6" s="1"/>
  <c r="EQ128" i="6"/>
  <c r="FB128" i="6" s="1"/>
  <c r="EN128" i="6"/>
  <c r="EY128" i="6" s="1"/>
  <c r="EI130" i="6"/>
  <c r="ET130" i="6" s="1"/>
  <c r="EL133" i="6"/>
  <c r="EO136" i="6"/>
  <c r="EM141" i="6"/>
  <c r="EO57" i="6"/>
  <c r="EI59" i="6"/>
  <c r="ET59" i="6" s="1"/>
  <c r="EN61" i="6"/>
  <c r="EL62" i="6"/>
  <c r="EW62" i="6" s="1"/>
  <c r="EI63" i="6"/>
  <c r="EQ64" i="6"/>
  <c r="FB64" i="6" s="1"/>
  <c r="EM65" i="6"/>
  <c r="EX65" i="6" s="1"/>
  <c r="EH73" i="6"/>
  <c r="FD73" i="6" s="1"/>
  <c r="EP74" i="6"/>
  <c r="FA74" i="6" s="1"/>
  <c r="EP76" i="6"/>
  <c r="EN78" i="6"/>
  <c r="EP80" i="6"/>
  <c r="EP84" i="6"/>
  <c r="EP86" i="6"/>
  <c r="FA86" i="6" s="1"/>
  <c r="EP88" i="6"/>
  <c r="EP90" i="6"/>
  <c r="FA90" i="6" s="1"/>
  <c r="EP92" i="6"/>
  <c r="EP94" i="6"/>
  <c r="FA94" i="6" s="1"/>
  <c r="EP96" i="6"/>
  <c r="FA96" i="6" s="1"/>
  <c r="EP98" i="6"/>
  <c r="FA98" i="6" s="1"/>
  <c r="EP100" i="6"/>
  <c r="FA100" i="6" s="1"/>
  <c r="EK104" i="6"/>
  <c r="EH105" i="6"/>
  <c r="EQ106" i="6"/>
  <c r="EN107" i="6"/>
  <c r="EJ108" i="6"/>
  <c r="EU108" i="6" s="1"/>
  <c r="EG109" i="6"/>
  <c r="EI115" i="6"/>
  <c r="ET115" i="6" s="1"/>
  <c r="EM117" i="6"/>
  <c r="EJ118" i="6"/>
  <c r="FF118" i="6" s="1"/>
  <c r="EM123" i="6"/>
  <c r="FI123" i="6" s="1"/>
  <c r="EJ124" i="6"/>
  <c r="EU124" i="6" s="1"/>
  <c r="EM126" i="6"/>
  <c r="FI126" i="6" s="1"/>
  <c r="EJ127" i="6"/>
  <c r="EM154" i="6"/>
  <c r="EL172" i="6"/>
  <c r="EW172" i="6" s="1"/>
  <c r="EM63" i="6"/>
  <c r="EO114" i="6"/>
  <c r="EZ114" i="6" s="1"/>
  <c r="EJ115" i="6"/>
  <c r="EG116" i="6"/>
  <c r="ER116" i="6" s="1"/>
  <c r="EN117" i="6"/>
  <c r="EK118" i="6"/>
  <c r="EV118" i="6" s="1"/>
  <c r="EO120" i="6"/>
  <c r="EZ120" i="6" s="1"/>
  <c r="EJ121" i="6"/>
  <c r="EU121" i="6" s="1"/>
  <c r="EG122" i="6"/>
  <c r="FC122" i="6" s="1"/>
  <c r="EN123" i="6"/>
  <c r="EK124" i="6"/>
  <c r="EG125" i="6"/>
  <c r="EK127" i="6"/>
  <c r="EG128" i="6"/>
  <c r="ER128" i="6" s="1"/>
  <c r="EK130" i="6"/>
  <c r="EG131" i="6"/>
  <c r="ER131" i="6" s="1"/>
  <c r="EN133" i="6"/>
  <c r="EH135" i="6"/>
  <c r="ES135" i="6" s="1"/>
  <c r="EN137" i="6"/>
  <c r="EY137" i="6" s="1"/>
  <c r="EK138" i="6"/>
  <c r="EV138" i="6" s="1"/>
  <c r="EO141" i="6"/>
  <c r="EZ141" i="6" s="1"/>
  <c r="EK142" i="6"/>
  <c r="EQ147" i="6"/>
  <c r="FB147" i="6" s="1"/>
  <c r="EI150" i="6"/>
  <c r="EL153" i="6"/>
  <c r="EW153" i="6" s="1"/>
  <c r="EJ154" i="6"/>
  <c r="EU154" i="6" s="1"/>
  <c r="EG155" i="6"/>
  <c r="ER155" i="6" s="1"/>
  <c r="EH159" i="6"/>
  <c r="FD159" i="6" s="1"/>
  <c r="EM162" i="6"/>
  <c r="EP166" i="6"/>
  <c r="FA166" i="6" s="1"/>
  <c r="EM167" i="6"/>
  <c r="EX167" i="6" s="1"/>
  <c r="EQ169" i="6"/>
  <c r="FB169" i="6" s="1"/>
  <c r="EP172" i="6"/>
  <c r="FA172" i="6" s="1"/>
  <c r="EK77" i="6"/>
  <c r="EP78" i="6"/>
  <c r="EK79" i="6"/>
  <c r="EI83" i="6"/>
  <c r="EI85" i="6"/>
  <c r="ET85" i="6" s="1"/>
  <c r="EI87" i="6"/>
  <c r="EI89" i="6"/>
  <c r="ET89" i="6" s="1"/>
  <c r="EI91" i="6"/>
  <c r="EI93" i="6"/>
  <c r="FE93" i="6" s="1"/>
  <c r="EI95" i="6"/>
  <c r="ET95" i="6" s="1"/>
  <c r="EI97" i="6"/>
  <c r="FE97" i="6" s="1"/>
  <c r="EP103" i="6"/>
  <c r="FA103" i="6" s="1"/>
  <c r="EJ105" i="6"/>
  <c r="EP107" i="6"/>
  <c r="EI109" i="6"/>
  <c r="EJ112" i="6"/>
  <c r="EP146" i="6"/>
  <c r="FA146" i="6" s="1"/>
  <c r="EO148" i="6"/>
  <c r="EM149" i="6"/>
  <c r="EX149" i="6" s="1"/>
  <c r="EJ150" i="6"/>
  <c r="EO152" i="6"/>
  <c r="EZ152" i="6" s="1"/>
  <c r="EK154" i="6"/>
  <c r="EV154" i="6" s="1"/>
  <c r="EH155" i="6"/>
  <c r="ES155" i="6" s="1"/>
  <c r="EM157" i="6"/>
  <c r="EX157" i="6" s="1"/>
  <c r="EK158" i="6"/>
  <c r="EI159" i="6"/>
  <c r="EP161" i="6"/>
  <c r="EN162" i="6"/>
  <c r="EY162" i="6" s="1"/>
  <c r="EK163" i="6"/>
  <c r="EV163" i="6" s="1"/>
  <c r="EI164" i="6"/>
  <c r="EJ171" i="6"/>
  <c r="EU171" i="6" s="1"/>
  <c r="EQ172" i="6"/>
  <c r="EI75" i="6"/>
  <c r="ET75" i="6" s="1"/>
  <c r="EI79" i="6"/>
  <c r="FE79" i="6" s="1"/>
  <c r="EJ102" i="6"/>
  <c r="EU102" i="6" s="1"/>
  <c r="EM130" i="6"/>
  <c r="EX130" i="6" s="1"/>
  <c r="EI131" i="6"/>
  <c r="EP133" i="6"/>
  <c r="EJ135" i="6"/>
  <c r="EG136" i="6"/>
  <c r="EL167" i="6"/>
  <c r="EW167" i="6" s="1"/>
  <c r="EP58" i="6"/>
  <c r="EM59" i="6"/>
  <c r="EX59" i="6" s="1"/>
  <c r="EK60" i="6"/>
  <c r="EP62" i="6"/>
  <c r="FA62" i="6" s="1"/>
  <c r="EQ65" i="6"/>
  <c r="FB65" i="6" s="1"/>
  <c r="EL66" i="6"/>
  <c r="EW66" i="6" s="1"/>
  <c r="EL73" i="6"/>
  <c r="EW73" i="6" s="1"/>
  <c r="EI73" i="6"/>
  <c r="EH74" i="6"/>
  <c r="EH76" i="6"/>
  <c r="EH80" i="6"/>
  <c r="EN81" i="6"/>
  <c r="EY81" i="6" s="1"/>
  <c r="EN83" i="6"/>
  <c r="EH84" i="6"/>
  <c r="FD84" i="6" s="1"/>
  <c r="EN85" i="6"/>
  <c r="EH86" i="6"/>
  <c r="FD86" i="6" s="1"/>
  <c r="EN87" i="6"/>
  <c r="EY87" i="6" s="1"/>
  <c r="EH88" i="6"/>
  <c r="ES88" i="6" s="1"/>
  <c r="EN89" i="6"/>
  <c r="EY89" i="6" s="1"/>
  <c r="EH90" i="6"/>
  <c r="EN91" i="6"/>
  <c r="EH92" i="6"/>
  <c r="EN93" i="6"/>
  <c r="EH94" i="6"/>
  <c r="ES94" i="6" s="1"/>
  <c r="EN95" i="6"/>
  <c r="EH96" i="6"/>
  <c r="ES96" i="6" s="1"/>
  <c r="EN97" i="6"/>
  <c r="EH98" i="6"/>
  <c r="ES98" i="6" s="1"/>
  <c r="EN99" i="6"/>
  <c r="EY99" i="6" s="1"/>
  <c r="EH100" i="6"/>
  <c r="ES100" i="6" s="1"/>
  <c r="EN101" i="6"/>
  <c r="EY101" i="6" s="1"/>
  <c r="EO104" i="6"/>
  <c r="EI106" i="6"/>
  <c r="EN108" i="6"/>
  <c r="EK109" i="6"/>
  <c r="EM115" i="6"/>
  <c r="EX115" i="6" s="1"/>
  <c r="EJ116" i="6"/>
  <c r="EI119" i="6"/>
  <c r="FE119" i="6" s="1"/>
  <c r="EM121" i="6"/>
  <c r="EJ122" i="6"/>
  <c r="FF122" i="6" s="1"/>
  <c r="EJ125" i="6"/>
  <c r="EU125" i="6" s="1"/>
  <c r="EO125" i="6"/>
  <c r="FK125" i="6" s="1"/>
  <c r="EQ126" i="6"/>
  <c r="FB126" i="6" s="1"/>
  <c r="EJ128" i="6"/>
  <c r="EO128" i="6"/>
  <c r="EQ129" i="6"/>
  <c r="EJ131" i="6"/>
  <c r="EH132" i="6"/>
  <c r="ES132" i="6" s="1"/>
  <c r="EO134" i="6"/>
  <c r="EK139" i="6"/>
  <c r="EV139" i="6" s="1"/>
  <c r="EH140" i="6"/>
  <c r="EN142" i="6"/>
  <c r="EY142" i="6" s="1"/>
  <c r="EK143" i="6"/>
  <c r="EV143" i="6" s="1"/>
  <c r="EO145" i="6"/>
  <c r="EZ145" i="6" s="1"/>
  <c r="EL146" i="6"/>
  <c r="EW146" i="6" s="1"/>
  <c r="EQ148" i="6"/>
  <c r="EO149" i="6"/>
  <c r="EI151" i="6"/>
  <c r="EQ152" i="6"/>
  <c r="EG156" i="6"/>
  <c r="FC156" i="6" s="1"/>
  <c r="EO157" i="6"/>
  <c r="EM158" i="6"/>
  <c r="EX158" i="6" s="1"/>
  <c r="EK159" i="6"/>
  <c r="EI160" i="6"/>
  <c r="ET160" i="6" s="1"/>
  <c r="EP162" i="6"/>
  <c r="FA162" i="6" s="1"/>
  <c r="EK164" i="6"/>
  <c r="FG164" i="6" s="1"/>
  <c r="EI165" i="6"/>
  <c r="ET165" i="6" s="1"/>
  <c r="EG166" i="6"/>
  <c r="ER166" i="6" s="1"/>
  <c r="EP167" i="6"/>
  <c r="FA167" i="6" s="1"/>
  <c r="EG172" i="6"/>
  <c r="EL68" i="6"/>
  <c r="EI71" i="6"/>
  <c r="ET71" i="6" s="1"/>
  <c r="EL138" i="6"/>
  <c r="EL74" i="6"/>
  <c r="EW74" i="6" s="1"/>
  <c r="EL76" i="6"/>
  <c r="EL80" i="6"/>
  <c r="EW80" i="6" s="1"/>
  <c r="EL84" i="6"/>
  <c r="FH84" i="6" s="1"/>
  <c r="EL86" i="6"/>
  <c r="FH86" i="6" s="1"/>
  <c r="EL88" i="6"/>
  <c r="EW88" i="6" s="1"/>
  <c r="EL90" i="6"/>
  <c r="EL92" i="6"/>
  <c r="EL94" i="6"/>
  <c r="EL96" i="6"/>
  <c r="EL98" i="6"/>
  <c r="EW98" i="6" s="1"/>
  <c r="EL100" i="6"/>
  <c r="EN104" i="6"/>
  <c r="EY104" i="6" s="1"/>
  <c r="EJ143" i="6"/>
  <c r="EN145" i="6"/>
  <c r="EY145" i="6" s="1"/>
  <c r="EQ157" i="6"/>
  <c r="FB157" i="6" s="1"/>
  <c r="EM159" i="6"/>
  <c r="EX159" i="6" s="1"/>
  <c r="EK160" i="6"/>
  <c r="FG160" i="6" s="1"/>
  <c r="EH161" i="6"/>
  <c r="ES161" i="6" s="1"/>
  <c r="EO163" i="6"/>
  <c r="EZ163" i="6" s="1"/>
  <c r="EM164" i="6"/>
  <c r="EK165" i="6"/>
  <c r="EI166" i="6"/>
  <c r="ET166" i="6" s="1"/>
  <c r="EN168" i="6"/>
  <c r="EW20" i="6"/>
  <c r="FH20" i="6"/>
  <c r="FG27" i="6"/>
  <c r="EV36" i="6"/>
  <c r="FG36" i="6"/>
  <c r="ET50" i="6"/>
  <c r="FE50" i="6"/>
  <c r="ER6" i="6"/>
  <c r="FC6" i="6"/>
  <c r="EW16" i="6"/>
  <c r="FH16" i="6"/>
  <c r="EY29" i="6"/>
  <c r="FJ29" i="6"/>
  <c r="EV30" i="6"/>
  <c r="FG30" i="6"/>
  <c r="ER40" i="6"/>
  <c r="FC40" i="6"/>
  <c r="EX43" i="6"/>
  <c r="FI43" i="6"/>
  <c r="EX44" i="6"/>
  <c r="FI44" i="6"/>
  <c r="EU50" i="6"/>
  <c r="FF50" i="6"/>
  <c r="ET54" i="6"/>
  <c r="FE54" i="6"/>
  <c r="ET58" i="6"/>
  <c r="FE58" i="6"/>
  <c r="EW82" i="6"/>
  <c r="FH82" i="6"/>
  <c r="ET82" i="6"/>
  <c r="FE82" i="6"/>
  <c r="EX36" i="6"/>
  <c r="FI36" i="6"/>
  <c r="ES6" i="6"/>
  <c r="FD6" i="6"/>
  <c r="ES13" i="6"/>
  <c r="FD13" i="6"/>
  <c r="FB25" i="6"/>
  <c r="FM25" i="6"/>
  <c r="ES28" i="6"/>
  <c r="FD28" i="6"/>
  <c r="ET31" i="6"/>
  <c r="FE31" i="6"/>
  <c r="EX37" i="6"/>
  <c r="FI37" i="6"/>
  <c r="EU44" i="6"/>
  <c r="FF44" i="6"/>
  <c r="EU54" i="6"/>
  <c r="FF54" i="6"/>
  <c r="EX57" i="6"/>
  <c r="FI57" i="6"/>
  <c r="EU58" i="6"/>
  <c r="FF58" i="6"/>
  <c r="ER59" i="6"/>
  <c r="FC59" i="6"/>
  <c r="EW72" i="6"/>
  <c r="FH72" i="6"/>
  <c r="EW78" i="6"/>
  <c r="FH78" i="6"/>
  <c r="ET13" i="6"/>
  <c r="FE13" i="6"/>
  <c r="EV19" i="6"/>
  <c r="FG19" i="6"/>
  <c r="ER35" i="6"/>
  <c r="FC35" i="6"/>
  <c r="ET51" i="6"/>
  <c r="FE51" i="6"/>
  <c r="ER55" i="6"/>
  <c r="FC55" i="6"/>
  <c r="ET12" i="6"/>
  <c r="FE12" i="6"/>
  <c r="EZ27" i="6"/>
  <c r="FK27" i="6"/>
  <c r="EY28" i="6"/>
  <c r="FJ28" i="6"/>
  <c r="EY30" i="6"/>
  <c r="FJ30" i="6"/>
  <c r="EV31" i="6"/>
  <c r="FG31" i="6"/>
  <c r="ER32" i="6"/>
  <c r="FC32" i="6"/>
  <c r="EU38" i="6"/>
  <c r="FF38" i="6"/>
  <c r="EX50" i="6"/>
  <c r="FI50" i="6"/>
  <c r="EU63" i="6"/>
  <c r="FF63" i="6"/>
  <c r="EU127" i="6"/>
  <c r="FF127" i="6"/>
  <c r="ET158" i="6"/>
  <c r="FE158" i="6"/>
  <c r="ET80" i="6"/>
  <c r="FE80" i="6"/>
  <c r="ER18" i="6"/>
  <c r="FC18" i="6"/>
  <c r="EY25" i="6"/>
  <c r="FJ25" i="6"/>
  <c r="EV28" i="6"/>
  <c r="FG28" i="6"/>
  <c r="ET35" i="6"/>
  <c r="FE35" i="6"/>
  <c r="ET45" i="6"/>
  <c r="FE45" i="6"/>
  <c r="EU48" i="6"/>
  <c r="FF48" i="6"/>
  <c r="ET55" i="6"/>
  <c r="FE55" i="6"/>
  <c r="ER56" i="6"/>
  <c r="FC56" i="6"/>
  <c r="EZ75" i="6"/>
  <c r="FK75" i="6"/>
  <c r="EX18" i="6"/>
  <c r="FI18" i="6"/>
  <c r="EX19" i="6"/>
  <c r="FI19" i="6"/>
  <c r="EU37" i="6"/>
  <c r="FF37" i="6"/>
  <c r="EY42" i="6"/>
  <c r="FJ42" i="6"/>
  <c r="EX46" i="6"/>
  <c r="FI46" i="6"/>
  <c r="EU53" i="6"/>
  <c r="FF53" i="6"/>
  <c r="EZ73" i="6"/>
  <c r="FK73" i="6"/>
  <c r="EZ74" i="6"/>
  <c r="FK74" i="6"/>
  <c r="EZ76" i="6"/>
  <c r="FK76" i="6"/>
  <c r="EY19" i="6"/>
  <c r="FJ19" i="6"/>
  <c r="EU23" i="6"/>
  <c r="FF23" i="6"/>
  <c r="EY36" i="6"/>
  <c r="FJ36" i="6"/>
  <c r="ES11" i="6"/>
  <c r="FD11" i="6"/>
  <c r="ES18" i="6"/>
  <c r="FD18" i="6"/>
  <c r="EV22" i="6"/>
  <c r="FG22" i="6"/>
  <c r="EX34" i="6"/>
  <c r="FI34" i="6"/>
  <c r="FB36" i="6"/>
  <c r="FM36" i="6"/>
  <c r="EX42" i="6"/>
  <c r="FI42" i="6"/>
  <c r="EU55" i="6"/>
  <c r="FF55" i="6"/>
  <c r="ET60" i="6"/>
  <c r="FE60" i="6"/>
  <c r="EZ65" i="6"/>
  <c r="FK65" i="6"/>
  <c r="ET139" i="6"/>
  <c r="FE139" i="6"/>
  <c r="ET11" i="6"/>
  <c r="FE11" i="6"/>
  <c r="ET19" i="6"/>
  <c r="FE19" i="6"/>
  <c r="FA25" i="6"/>
  <c r="FL25" i="6"/>
  <c r="FB30" i="6"/>
  <c r="FM30" i="6"/>
  <c r="EY32" i="6"/>
  <c r="FJ32" i="6"/>
  <c r="FA40" i="6"/>
  <c r="FL40" i="6"/>
  <c r="EX41" i="6"/>
  <c r="FI41" i="6"/>
  <c r="ET46" i="6"/>
  <c r="FE46" i="6"/>
  <c r="EW48" i="6"/>
  <c r="FH48" i="6"/>
  <c r="EX51" i="6"/>
  <c r="FI51" i="6"/>
  <c r="ET52" i="6"/>
  <c r="FE52" i="6"/>
  <c r="ET56" i="6"/>
  <c r="FE56" i="6"/>
  <c r="EX56" i="6"/>
  <c r="FI56" i="6"/>
  <c r="EU60" i="6"/>
  <c r="FF60" i="6"/>
  <c r="EW63" i="6"/>
  <c r="FH63" i="6"/>
  <c r="EW75" i="6"/>
  <c r="FH75" i="6"/>
  <c r="EW79" i="6"/>
  <c r="FH79" i="6"/>
  <c r="ET116" i="6"/>
  <c r="FE116" i="6"/>
  <c r="ET10" i="6"/>
  <c r="FE10" i="6"/>
  <c r="EU11" i="6"/>
  <c r="FF11" i="6"/>
  <c r="EU19" i="6"/>
  <c r="FF19" i="6"/>
  <c r="EY24" i="6"/>
  <c r="FJ24" i="6"/>
  <c r="ET29" i="6"/>
  <c r="FE29" i="6"/>
  <c r="EV32" i="6"/>
  <c r="FG32" i="6"/>
  <c r="EY39" i="6"/>
  <c r="FJ39" i="6"/>
  <c r="EW45" i="6"/>
  <c r="FH45" i="6"/>
  <c r="EU46" i="6"/>
  <c r="FF46" i="6"/>
  <c r="EU52" i="6"/>
  <c r="FF52" i="6"/>
  <c r="EW55" i="6"/>
  <c r="FH55" i="6"/>
  <c r="EU10" i="6"/>
  <c r="FF10" i="6"/>
  <c r="EX35" i="6"/>
  <c r="FI35" i="6"/>
  <c r="ET43" i="6"/>
  <c r="FE43" i="6"/>
  <c r="EX45" i="6"/>
  <c r="FI45" i="6"/>
  <c r="EU49" i="6"/>
  <c r="FF49" i="6"/>
  <c r="EX49" i="6"/>
  <c r="FI49" i="6"/>
  <c r="EZ68" i="6"/>
  <c r="FK68" i="6"/>
  <c r="EW68" i="6"/>
  <c r="FH68" i="6"/>
  <c r="EU20" i="6"/>
  <c r="FF20" i="6"/>
  <c r="EX21" i="6"/>
  <c r="FI21" i="6"/>
  <c r="EZ22" i="6"/>
  <c r="FK22" i="6"/>
  <c r="ES23" i="6"/>
  <c r="FD23" i="6"/>
  <c r="EV29" i="6"/>
  <c r="FG29" i="6"/>
  <c r="FM31" i="6"/>
  <c r="FB31" i="6"/>
  <c r="FA41" i="6"/>
  <c r="FL41" i="6"/>
  <c r="EU43" i="6"/>
  <c r="FF43" i="6"/>
  <c r="ET47" i="6"/>
  <c r="FE47" i="6"/>
  <c r="EW56" i="6"/>
  <c r="FH56" i="6"/>
  <c r="ET57" i="6"/>
  <c r="FE57" i="6"/>
  <c r="EY105" i="6"/>
  <c r="FJ105" i="6"/>
  <c r="EY7" i="6"/>
  <c r="FJ7" i="6"/>
  <c r="ER21" i="6"/>
  <c r="FC21" i="6"/>
  <c r="ES39" i="6"/>
  <c r="FD39" i="6"/>
  <c r="EW47" i="6"/>
  <c r="FH47" i="6"/>
  <c r="EU66" i="6"/>
  <c r="FF66" i="6"/>
  <c r="ER2" i="6"/>
  <c r="FC2" i="6"/>
  <c r="ER3" i="6"/>
  <c r="FC3" i="6"/>
  <c r="EY4" i="6"/>
  <c r="FJ4" i="6"/>
  <c r="EG5" i="6"/>
  <c r="FA6" i="6"/>
  <c r="FL6" i="6"/>
  <c r="EZ7" i="6"/>
  <c r="FK7" i="6"/>
  <c r="FA8" i="6"/>
  <c r="FL8" i="6"/>
  <c r="EZ11" i="6"/>
  <c r="FK11" i="6"/>
  <c r="FB12" i="6"/>
  <c r="FM12" i="6"/>
  <c r="EG14" i="6"/>
  <c r="EH16" i="6"/>
  <c r="FA16" i="6"/>
  <c r="FL16" i="6"/>
  <c r="FA18" i="6"/>
  <c r="FL18" i="6"/>
  <c r="ER19" i="6"/>
  <c r="FC19" i="6"/>
  <c r="FC20" i="6"/>
  <c r="EI24" i="6"/>
  <c r="EK25" i="6"/>
  <c r="EM25" i="6"/>
  <c r="EM26" i="6"/>
  <c r="FB26" i="6"/>
  <c r="FM26" i="6"/>
  <c r="EP31" i="6"/>
  <c r="EG33" i="6"/>
  <c r="EP37" i="6"/>
  <c r="EQ38" i="6"/>
  <c r="EK40" i="6"/>
  <c r="EN41" i="6"/>
  <c r="ER44" i="6"/>
  <c r="FC44" i="6"/>
  <c r="EP45" i="6"/>
  <c r="EO48" i="6"/>
  <c r="EX48" i="6"/>
  <c r="FI48" i="6"/>
  <c r="EN51" i="6"/>
  <c r="EP55" i="6"/>
  <c r="EN58" i="6"/>
  <c r="FA61" i="6"/>
  <c r="FL61" i="6"/>
  <c r="FA67" i="6"/>
  <c r="FL67" i="6"/>
  <c r="EY70" i="6"/>
  <c r="FJ70" i="6"/>
  <c r="FA71" i="6"/>
  <c r="EY72" i="6"/>
  <c r="FJ72" i="6"/>
  <c r="ES74" i="6"/>
  <c r="FD74" i="6"/>
  <c r="FA76" i="6"/>
  <c r="FL76" i="6"/>
  <c r="ES77" i="6"/>
  <c r="FD77" i="6"/>
  <c r="EV80" i="6"/>
  <c r="FG80" i="6"/>
  <c r="EZ80" i="6"/>
  <c r="FK80" i="6"/>
  <c r="EY83" i="6"/>
  <c r="FJ83" i="6"/>
  <c r="EY85" i="6"/>
  <c r="FJ85" i="6"/>
  <c r="ES90" i="6"/>
  <c r="FD90" i="6"/>
  <c r="EY91" i="6"/>
  <c r="FJ91" i="6"/>
  <c r="ES92" i="6"/>
  <c r="FD92" i="6"/>
  <c r="EY93" i="6"/>
  <c r="FJ93" i="6"/>
  <c r="EY95" i="6"/>
  <c r="FJ95" i="6"/>
  <c r="EY97" i="6"/>
  <c r="FJ97" i="6"/>
  <c r="EX108" i="6"/>
  <c r="FI108" i="6"/>
  <c r="ET109" i="6"/>
  <c r="FE109" i="6"/>
  <c r="FA109" i="6"/>
  <c r="FL109" i="6"/>
  <c r="EU112" i="6"/>
  <c r="FF112" i="6"/>
  <c r="EI121" i="6"/>
  <c r="FA131" i="6"/>
  <c r="FL131" i="6"/>
  <c r="EV137" i="6"/>
  <c r="FG137" i="6"/>
  <c r="EY139" i="6"/>
  <c r="FJ139" i="6"/>
  <c r="EX165" i="6"/>
  <c r="EV166" i="6"/>
  <c r="FG166" i="6"/>
  <c r="ER29" i="6"/>
  <c r="FC29" i="6"/>
  <c r="EI34" i="6"/>
  <c r="EV60" i="6"/>
  <c r="FG60" i="6"/>
  <c r="ES2" i="6"/>
  <c r="FD2" i="6"/>
  <c r="ET3" i="6"/>
  <c r="FE3" i="6"/>
  <c r="FB4" i="6"/>
  <c r="FM4" i="6"/>
  <c r="ES5" i="6"/>
  <c r="FD5" i="6"/>
  <c r="FB7" i="6"/>
  <c r="FM7" i="6"/>
  <c r="EU8" i="6"/>
  <c r="FF8" i="6"/>
  <c r="EV9" i="6"/>
  <c r="FG9" i="6"/>
  <c r="FB11" i="6"/>
  <c r="FM11" i="6"/>
  <c r="EZ14" i="6"/>
  <c r="FK14" i="6"/>
  <c r="EU16" i="6"/>
  <c r="FF16" i="6"/>
  <c r="ES19" i="6"/>
  <c r="FD19" i="6"/>
  <c r="ES20" i="6"/>
  <c r="FD20" i="6"/>
  <c r="EU24" i="6"/>
  <c r="FF24" i="6"/>
  <c r="EW25" i="6"/>
  <c r="FH25" i="6"/>
  <c r="EH29" i="6"/>
  <c r="EW30" i="6"/>
  <c r="FH30" i="6"/>
  <c r="FM33" i="6"/>
  <c r="FJ34" i="6"/>
  <c r="EY34" i="6"/>
  <c r="EX40" i="6"/>
  <c r="FI40" i="6"/>
  <c r="EZ41" i="6"/>
  <c r="FK41" i="6"/>
  <c r="ER42" i="6"/>
  <c r="FC42" i="6"/>
  <c r="EW43" i="6"/>
  <c r="FH43" i="6"/>
  <c r="FA48" i="6"/>
  <c r="FL48" i="6"/>
  <c r="ER49" i="6"/>
  <c r="FC49" i="6"/>
  <c r="EL50" i="6"/>
  <c r="FB55" i="6"/>
  <c r="FM55" i="6"/>
  <c r="EL57" i="6"/>
  <c r="EZ58" i="6"/>
  <c r="FK58" i="6"/>
  <c r="ES59" i="6"/>
  <c r="FD59" i="6"/>
  <c r="ER60" i="6"/>
  <c r="FC60" i="6"/>
  <c r="FH62" i="6"/>
  <c r="EV68" i="6"/>
  <c r="FG68" i="6"/>
  <c r="FB69" i="6"/>
  <c r="FM69" i="6"/>
  <c r="EV72" i="6"/>
  <c r="FG72" i="6"/>
  <c r="FB72" i="6"/>
  <c r="FM72" i="6"/>
  <c r="FL73" i="6"/>
  <c r="FA73" i="6"/>
  <c r="EY78" i="6"/>
  <c r="FJ78" i="6"/>
  <c r="ET100" i="6"/>
  <c r="FE100" i="6"/>
  <c r="EZ101" i="6"/>
  <c r="FK101" i="6"/>
  <c r="FA104" i="6"/>
  <c r="FL104" i="6"/>
  <c r="ET106" i="6"/>
  <c r="FE106" i="6"/>
  <c r="EY108" i="6"/>
  <c r="FJ108" i="6"/>
  <c r="EU130" i="6"/>
  <c r="FF130" i="6"/>
  <c r="EY140" i="6"/>
  <c r="FJ140" i="6"/>
  <c r="EX144" i="6"/>
  <c r="FI144" i="6"/>
  <c r="ET153" i="6"/>
  <c r="FE153" i="6"/>
  <c r="FE162" i="6"/>
  <c r="EV162" i="6"/>
  <c r="FG162" i="6"/>
  <c r="EY11" i="6"/>
  <c r="FJ11" i="6"/>
  <c r="FB13" i="6"/>
  <c r="FM13" i="6"/>
  <c r="ET30" i="6"/>
  <c r="FE30" i="6"/>
  <c r="ER34" i="6"/>
  <c r="FC34" i="6"/>
  <c r="EV2" i="6"/>
  <c r="FG2" i="6"/>
  <c r="EU3" i="6"/>
  <c r="FF3" i="6"/>
  <c r="EU5" i="6"/>
  <c r="FF5" i="6"/>
  <c r="ET6" i="6"/>
  <c r="FE6" i="6"/>
  <c r="EV8" i="6"/>
  <c r="FG8" i="6"/>
  <c r="EW9" i="6"/>
  <c r="FH9" i="6"/>
  <c r="ER11" i="6"/>
  <c r="FC11" i="6"/>
  <c r="EX14" i="6"/>
  <c r="FI14" i="6"/>
  <c r="EY16" i="6"/>
  <c r="FJ16" i="6"/>
  <c r="EG17" i="6"/>
  <c r="ET18" i="6"/>
  <c r="FE18" i="6"/>
  <c r="EZ18" i="6"/>
  <c r="FK18" i="6"/>
  <c r="EJ21" i="6"/>
  <c r="EV23" i="6"/>
  <c r="FG23" i="6"/>
  <c r="EK24" i="6"/>
  <c r="EM24" i="6"/>
  <c r="EO26" i="6"/>
  <c r="EJ29" i="6"/>
  <c r="EM30" i="6"/>
  <c r="EO34" i="6"/>
  <c r="EH35" i="6"/>
  <c r="EO36" i="6"/>
  <c r="EG38" i="6"/>
  <c r="EO44" i="6"/>
  <c r="EN47" i="6"/>
  <c r="EP51" i="6"/>
  <c r="EN54" i="6"/>
  <c r="FA58" i="6"/>
  <c r="FL58" i="6"/>
  <c r="EH63" i="6"/>
  <c r="EY75" i="6"/>
  <c r="FJ75" i="6"/>
  <c r="EW77" i="6"/>
  <c r="FH77" i="6"/>
  <c r="ES79" i="6"/>
  <c r="FD79" i="6"/>
  <c r="EV82" i="6"/>
  <c r="FG82" i="6"/>
  <c r="FK82" i="6"/>
  <c r="EZ82" i="6"/>
  <c r="FA83" i="6"/>
  <c r="FL83" i="6"/>
  <c r="EW90" i="6"/>
  <c r="FH90" i="6"/>
  <c r="EW92" i="6"/>
  <c r="FH92" i="6"/>
  <c r="EW94" i="6"/>
  <c r="FH94" i="6"/>
  <c r="EW96" i="6"/>
  <c r="FH96" i="6"/>
  <c r="EW100" i="6"/>
  <c r="FH100" i="6"/>
  <c r="ES103" i="6"/>
  <c r="FD103" i="6"/>
  <c r="EU106" i="6"/>
  <c r="FF106" i="6"/>
  <c r="EI113" i="6"/>
  <c r="EU116" i="6"/>
  <c r="FF116" i="6"/>
  <c r="FA117" i="6"/>
  <c r="FL117" i="6"/>
  <c r="EX129" i="6"/>
  <c r="FI129" i="6"/>
  <c r="FA132" i="6"/>
  <c r="FL132" i="6"/>
  <c r="EU138" i="6"/>
  <c r="FF138" i="6"/>
  <c r="EZ2" i="6"/>
  <c r="FK2" i="6"/>
  <c r="EZ8" i="6"/>
  <c r="FK8" i="6"/>
  <c r="EZ16" i="6"/>
  <c r="FK16" i="6"/>
  <c r="FB19" i="6"/>
  <c r="FM19" i="6"/>
  <c r="ER53" i="6"/>
  <c r="FC53" i="6"/>
  <c r="ES68" i="6"/>
  <c r="FD68" i="6"/>
  <c r="FA107" i="6"/>
  <c r="FL107" i="6"/>
  <c r="ET148" i="6"/>
  <c r="FE148" i="6"/>
  <c r="ER170" i="6"/>
  <c r="FC170" i="6"/>
  <c r="EX2" i="6"/>
  <c r="FI2" i="6"/>
  <c r="EX3" i="6"/>
  <c r="FI3" i="6"/>
  <c r="EX5" i="6"/>
  <c r="FI5" i="6"/>
  <c r="EV6" i="6"/>
  <c r="FG6" i="6"/>
  <c r="ER7" i="6"/>
  <c r="FC7" i="6"/>
  <c r="ES8" i="6"/>
  <c r="FD8" i="6"/>
  <c r="EX8" i="6"/>
  <c r="FI8" i="6"/>
  <c r="EY9" i="6"/>
  <c r="FJ9" i="6"/>
  <c r="EW10" i="6"/>
  <c r="FH10" i="6"/>
  <c r="ER13" i="6"/>
  <c r="FC13" i="6"/>
  <c r="EY14" i="6"/>
  <c r="FJ14" i="6"/>
  <c r="FB16" i="6"/>
  <c r="FM16" i="6"/>
  <c r="ES17" i="6"/>
  <c r="FD17" i="6"/>
  <c r="EU18" i="6"/>
  <c r="FF18" i="6"/>
  <c r="FB18" i="6"/>
  <c r="FM18" i="6"/>
  <c r="EV21" i="6"/>
  <c r="FG21" i="6"/>
  <c r="ET22" i="6"/>
  <c r="FE22" i="6"/>
  <c r="FA26" i="6"/>
  <c r="FL26" i="6"/>
  <c r="ES27" i="6"/>
  <c r="FD27" i="6"/>
  <c r="ES32" i="6"/>
  <c r="FD32" i="6"/>
  <c r="EY40" i="6"/>
  <c r="FJ40" i="6"/>
  <c r="FB41" i="6"/>
  <c r="FM41" i="6"/>
  <c r="ER43" i="6"/>
  <c r="FC43" i="6"/>
  <c r="FA44" i="6"/>
  <c r="FL44" i="6"/>
  <c r="ER45" i="6"/>
  <c r="FC45" i="6"/>
  <c r="EW46" i="6"/>
  <c r="FH46" i="6"/>
  <c r="EZ47" i="6"/>
  <c r="FK47" i="6"/>
  <c r="FB51" i="6"/>
  <c r="FM51" i="6"/>
  <c r="EZ54" i="6"/>
  <c r="FK54" i="6"/>
  <c r="FB58" i="6"/>
  <c r="FM58" i="6"/>
  <c r="EZ60" i="6"/>
  <c r="FK60" i="6"/>
  <c r="FC61" i="6"/>
  <c r="ET63" i="6"/>
  <c r="FE63" i="6"/>
  <c r="ES65" i="6"/>
  <c r="FD65" i="6"/>
  <c r="EU68" i="6"/>
  <c r="FF68" i="6"/>
  <c r="EX72" i="6"/>
  <c r="FI72" i="6"/>
  <c r="EZ72" i="6"/>
  <c r="FK72" i="6"/>
  <c r="EV77" i="6"/>
  <c r="FG77" i="6"/>
  <c r="FA78" i="6"/>
  <c r="FL78" i="6"/>
  <c r="EZ86" i="6"/>
  <c r="FK86" i="6"/>
  <c r="EV88" i="6"/>
  <c r="FG88" i="6"/>
  <c r="EZ88" i="6"/>
  <c r="FK88" i="6"/>
  <c r="EV90" i="6"/>
  <c r="FG90" i="6"/>
  <c r="EZ90" i="6"/>
  <c r="FK90" i="6"/>
  <c r="EZ92" i="6"/>
  <c r="FK92" i="6"/>
  <c r="EV94" i="6"/>
  <c r="FG94" i="6"/>
  <c r="EV96" i="6"/>
  <c r="FG96" i="6"/>
  <c r="EZ96" i="6"/>
  <c r="FK96" i="6"/>
  <c r="EV98" i="6"/>
  <c r="FG98" i="6"/>
  <c r="EZ98" i="6"/>
  <c r="FK98" i="6"/>
  <c r="EV100" i="6"/>
  <c r="FG100" i="6"/>
  <c r="EZ100" i="6"/>
  <c r="FK100" i="6"/>
  <c r="ET110" i="6"/>
  <c r="FE110" i="6"/>
  <c r="FA111" i="6"/>
  <c r="FL111" i="6"/>
  <c r="ET119" i="6"/>
  <c r="EW121" i="6"/>
  <c r="FH121" i="6"/>
  <c r="FA123" i="6"/>
  <c r="FL123" i="6"/>
  <c r="EY133" i="6"/>
  <c r="FJ133" i="6"/>
  <c r="FA140" i="6"/>
  <c r="FL140" i="6"/>
  <c r="EU142" i="6"/>
  <c r="FF142" i="6"/>
  <c r="FC143" i="6"/>
  <c r="EV153" i="6"/>
  <c r="FG153" i="6"/>
  <c r="ER168" i="6"/>
  <c r="FC168" i="6"/>
  <c r="EY26" i="6"/>
  <c r="FJ26" i="6"/>
  <c r="ER51" i="6"/>
  <c r="FC51" i="6"/>
  <c r="EZ55" i="6"/>
  <c r="FK55" i="6"/>
  <c r="ET112" i="6"/>
  <c r="FE112" i="6"/>
  <c r="EU129" i="6"/>
  <c r="FF129" i="6"/>
  <c r="EY2" i="6"/>
  <c r="FJ2" i="6"/>
  <c r="EZ3" i="6"/>
  <c r="FK3" i="6"/>
  <c r="ET4" i="6"/>
  <c r="FE4" i="6"/>
  <c r="FA5" i="6"/>
  <c r="FL5" i="6"/>
  <c r="EW6" i="6"/>
  <c r="FH6" i="6"/>
  <c r="EY8" i="6"/>
  <c r="FJ8" i="6"/>
  <c r="FB9" i="6"/>
  <c r="FM9" i="6"/>
  <c r="EZ10" i="6"/>
  <c r="FK10" i="6"/>
  <c r="EJ13" i="6"/>
  <c r="EV14" i="6"/>
  <c r="FG14" i="6"/>
  <c r="FA14" i="6"/>
  <c r="FL14" i="6"/>
  <c r="EV18" i="6"/>
  <c r="FG18" i="6"/>
  <c r="EK20" i="6"/>
  <c r="EO25" i="6"/>
  <c r="EJ27" i="6"/>
  <c r="EL29" i="6"/>
  <c r="EO30" i="6"/>
  <c r="EJ32" i="6"/>
  <c r="EQ34" i="6"/>
  <c r="EJ35" i="6"/>
  <c r="EH37" i="6"/>
  <c r="EO40" i="6"/>
  <c r="EN43" i="6"/>
  <c r="EP47" i="6"/>
  <c r="EN50" i="6"/>
  <c r="EP54" i="6"/>
  <c r="EH55" i="6"/>
  <c r="EK56" i="6"/>
  <c r="EN57" i="6"/>
  <c r="EP60" i="6"/>
  <c r="ES61" i="6"/>
  <c r="FD61" i="6"/>
  <c r="EL65" i="6"/>
  <c r="EN68" i="6"/>
  <c r="ES76" i="6"/>
  <c r="FD76" i="6"/>
  <c r="ES81" i="6"/>
  <c r="FD81" i="6"/>
  <c r="ET84" i="6"/>
  <c r="FE84" i="6"/>
  <c r="ET88" i="6"/>
  <c r="FE88" i="6"/>
  <c r="FE90" i="6"/>
  <c r="ET92" i="6"/>
  <c r="FE92" i="6"/>
  <c r="FE98" i="6"/>
  <c r="FC104" i="6"/>
  <c r="ER104" i="6"/>
  <c r="FA105" i="6"/>
  <c r="FL105" i="6"/>
  <c r="ET107" i="6"/>
  <c r="FE107" i="6"/>
  <c r="EZ118" i="6"/>
  <c r="FK118" i="6"/>
  <c r="EU119" i="6"/>
  <c r="FF119" i="6"/>
  <c r="EX121" i="6"/>
  <c r="FI121" i="6"/>
  <c r="EU122" i="6"/>
  <c r="ET125" i="6"/>
  <c r="FE125" i="6"/>
  <c r="EX125" i="6"/>
  <c r="FI125" i="6"/>
  <c r="FA126" i="6"/>
  <c r="FL126" i="6"/>
  <c r="ER135" i="6"/>
  <c r="FC135" i="6"/>
  <c r="EW60" i="6"/>
  <c r="FH60" i="6"/>
  <c r="EX117" i="6"/>
  <c r="FI117" i="6"/>
  <c r="FA2" i="6"/>
  <c r="FL2" i="6"/>
  <c r="FA3" i="6"/>
  <c r="FL3" i="6"/>
  <c r="EW4" i="6"/>
  <c r="FH4" i="6"/>
  <c r="ET5" i="6"/>
  <c r="FE5" i="6"/>
  <c r="EZ6" i="6"/>
  <c r="FK6" i="6"/>
  <c r="EU7" i="6"/>
  <c r="FF7" i="6"/>
  <c r="EG8" i="6"/>
  <c r="FB8" i="6"/>
  <c r="FM8" i="6"/>
  <c r="EU9" i="6"/>
  <c r="FF9" i="6"/>
  <c r="EV10" i="6"/>
  <c r="FG10" i="6"/>
  <c r="EU12" i="6"/>
  <c r="EV13" i="6"/>
  <c r="FG13" i="6"/>
  <c r="EX13" i="6"/>
  <c r="FI13" i="6"/>
  <c r="EL14" i="6"/>
  <c r="FB14" i="6"/>
  <c r="FM14" i="6"/>
  <c r="EX16" i="6"/>
  <c r="FI16" i="6"/>
  <c r="EU17" i="6"/>
  <c r="FF17" i="6"/>
  <c r="EW18" i="6"/>
  <c r="FH18" i="6"/>
  <c r="EM22" i="6"/>
  <c r="EN23" i="6"/>
  <c r="EW28" i="6"/>
  <c r="FH28" i="6"/>
  <c r="EI28" i="6"/>
  <c r="FA30" i="6"/>
  <c r="FL30" i="6"/>
  <c r="EW33" i="6"/>
  <c r="FH33" i="6"/>
  <c r="EI33" i="6"/>
  <c r="EV33" i="6"/>
  <c r="FG33" i="6"/>
  <c r="EV42" i="6"/>
  <c r="FG42" i="6"/>
  <c r="EZ43" i="6"/>
  <c r="FB47" i="6"/>
  <c r="FM47" i="6"/>
  <c r="EV49" i="6"/>
  <c r="FG49" i="6"/>
  <c r="EL49" i="6"/>
  <c r="EZ50" i="6"/>
  <c r="FK50" i="6"/>
  <c r="FB54" i="6"/>
  <c r="FM54" i="6"/>
  <c r="EZ57" i="6"/>
  <c r="FK57" i="6"/>
  <c r="EW59" i="6"/>
  <c r="FH59" i="6"/>
  <c r="ET61" i="6"/>
  <c r="FE61" i="6"/>
  <c r="EV63" i="6"/>
  <c r="FG63" i="6"/>
  <c r="EX63" i="6"/>
  <c r="FI63" i="6"/>
  <c r="FG65" i="6"/>
  <c r="ET69" i="6"/>
  <c r="FE69" i="6"/>
  <c r="ES69" i="6"/>
  <c r="FD69" i="6"/>
  <c r="ES73" i="6"/>
  <c r="ET74" i="6"/>
  <c r="FE74" i="6"/>
  <c r="EV79" i="6"/>
  <c r="FG79" i="6"/>
  <c r="FA80" i="6"/>
  <c r="FL80" i="6"/>
  <c r="EZ102" i="6"/>
  <c r="FK102" i="6"/>
  <c r="EX106" i="6"/>
  <c r="FI106" i="6"/>
  <c r="EU107" i="6"/>
  <c r="FF107" i="6"/>
  <c r="ET114" i="6"/>
  <c r="FE114" i="6"/>
  <c r="EZ124" i="6"/>
  <c r="FK124" i="6"/>
  <c r="ET128" i="6"/>
  <c r="FE128" i="6"/>
  <c r="FA129" i="6"/>
  <c r="FL129" i="6"/>
  <c r="ET131" i="6"/>
  <c r="FE131" i="6"/>
  <c r="FA133" i="6"/>
  <c r="FL133" i="6"/>
  <c r="EU135" i="6"/>
  <c r="FF135" i="6"/>
  <c r="ER136" i="6"/>
  <c r="FC136" i="6"/>
  <c r="EU139" i="6"/>
  <c r="FF139" i="6"/>
  <c r="EU146" i="6"/>
  <c r="FF146" i="6"/>
  <c r="EV158" i="6"/>
  <c r="FG158" i="6"/>
  <c r="EY6" i="6"/>
  <c r="FJ6" i="6"/>
  <c r="ER16" i="6"/>
  <c r="FC16" i="6"/>
  <c r="ET72" i="6"/>
  <c r="FE72" i="6"/>
  <c r="FM2" i="6"/>
  <c r="FB2" i="6"/>
  <c r="EZ4" i="6"/>
  <c r="FK4" i="6"/>
  <c r="EV5" i="6"/>
  <c r="FG5" i="6"/>
  <c r="FB6" i="6"/>
  <c r="FM6" i="6"/>
  <c r="EX7" i="6"/>
  <c r="FI7" i="6"/>
  <c r="ER9" i="6"/>
  <c r="FC9" i="6"/>
  <c r="EX9" i="6"/>
  <c r="FI9" i="6"/>
  <c r="EX10" i="6"/>
  <c r="FI10" i="6"/>
  <c r="EX11" i="6"/>
  <c r="FI11" i="6"/>
  <c r="EK12" i="6"/>
  <c r="EX12" i="6"/>
  <c r="FI12" i="6"/>
  <c r="FA13" i="6"/>
  <c r="FL13" i="6"/>
  <c r="EY15" i="6"/>
  <c r="FJ15" i="6"/>
  <c r="EM17" i="6"/>
  <c r="FA19" i="6"/>
  <c r="FL19" i="6"/>
  <c r="EM20" i="6"/>
  <c r="EI20" i="6"/>
  <c r="EN21" i="6"/>
  <c r="EL21" i="6"/>
  <c r="FJ22" i="6"/>
  <c r="EY22" i="6"/>
  <c r="EW22" i="6"/>
  <c r="FH22" i="6"/>
  <c r="EX23" i="6"/>
  <c r="FI23" i="6"/>
  <c r="EO28" i="6"/>
  <c r="EI32" i="6"/>
  <c r="EX33" i="6"/>
  <c r="FI33" i="6"/>
  <c r="EM38" i="6"/>
  <c r="EZ39" i="6"/>
  <c r="FK39" i="6"/>
  <c r="EX39" i="6"/>
  <c r="FI39" i="6"/>
  <c r="EQ40" i="6"/>
  <c r="EH41" i="6"/>
  <c r="EL42" i="6"/>
  <c r="EP43" i="6"/>
  <c r="EN46" i="6"/>
  <c r="EP50" i="6"/>
  <c r="EH51" i="6"/>
  <c r="EK52" i="6"/>
  <c r="EW52" i="6"/>
  <c r="FH52" i="6"/>
  <c r="EN53" i="6"/>
  <c r="EP57" i="6"/>
  <c r="EZ67" i="6"/>
  <c r="FK67" i="6"/>
  <c r="EL69" i="6"/>
  <c r="EU71" i="6"/>
  <c r="FF71" i="6"/>
  <c r="EY74" i="6"/>
  <c r="FJ74" i="6"/>
  <c r="EW76" i="6"/>
  <c r="FH76" i="6"/>
  <c r="EY77" i="6"/>
  <c r="FJ77" i="6"/>
  <c r="ES83" i="6"/>
  <c r="FD83" i="6"/>
  <c r="ES85" i="6"/>
  <c r="FD85" i="6"/>
  <c r="ES87" i="6"/>
  <c r="FD87" i="6"/>
  <c r="EY88" i="6"/>
  <c r="FJ88" i="6"/>
  <c r="EY90" i="6"/>
  <c r="FJ90" i="6"/>
  <c r="ES91" i="6"/>
  <c r="FD91" i="6"/>
  <c r="EY92" i="6"/>
  <c r="FJ92" i="6"/>
  <c r="ES93" i="6"/>
  <c r="FD93" i="6"/>
  <c r="EY94" i="6"/>
  <c r="FJ94" i="6"/>
  <c r="ES95" i="6"/>
  <c r="FD95" i="6"/>
  <c r="EY96" i="6"/>
  <c r="FJ96" i="6"/>
  <c r="ES97" i="6"/>
  <c r="FD97" i="6"/>
  <c r="EY98" i="6"/>
  <c r="FJ98" i="6"/>
  <c r="EY100" i="6"/>
  <c r="FJ100" i="6"/>
  <c r="ES101" i="6"/>
  <c r="FD101" i="6"/>
  <c r="EX104" i="6"/>
  <c r="FI104" i="6"/>
  <c r="FA112" i="6"/>
  <c r="FL112" i="6"/>
  <c r="EU114" i="6"/>
  <c r="FF114" i="6"/>
  <c r="FA124" i="6"/>
  <c r="FL124" i="6"/>
  <c r="EV125" i="6"/>
  <c r="FG125" i="6"/>
  <c r="EZ127" i="6"/>
  <c r="FK127" i="6"/>
  <c r="EU128" i="6"/>
  <c r="FF128" i="6"/>
  <c r="EU131" i="6"/>
  <c r="FF131" i="6"/>
  <c r="FB132" i="6"/>
  <c r="FM132" i="6"/>
  <c r="EX4" i="6"/>
  <c r="FI4" i="6"/>
  <c r="ET64" i="6"/>
  <c r="FE64" i="6"/>
  <c r="ES72" i="6"/>
  <c r="FD72" i="6"/>
  <c r="EU115" i="6"/>
  <c r="FF115" i="6"/>
  <c r="EW160" i="6"/>
  <c r="FH160" i="6"/>
  <c r="ES3" i="6"/>
  <c r="FD3" i="6"/>
  <c r="FA4" i="6"/>
  <c r="FL4" i="6"/>
  <c r="EW5" i="6"/>
  <c r="FH5" i="6"/>
  <c r="FA7" i="6"/>
  <c r="FL7" i="6"/>
  <c r="EZ9" i="6"/>
  <c r="FK9" i="6"/>
  <c r="EY10" i="6"/>
  <c r="FJ10" i="6"/>
  <c r="FA11" i="6"/>
  <c r="FL11" i="6"/>
  <c r="FA12" i="6"/>
  <c r="FL12" i="6"/>
  <c r="EH15" i="6"/>
  <c r="FB15" i="6"/>
  <c r="FM15" i="6"/>
  <c r="FA17" i="6"/>
  <c r="FL17" i="6"/>
  <c r="EZ21" i="6"/>
  <c r="FK21" i="6"/>
  <c r="EN27" i="6"/>
  <c r="FK29" i="6"/>
  <c r="EZ29" i="6"/>
  <c r="EY33" i="6"/>
  <c r="FJ33" i="6"/>
  <c r="ES34" i="6"/>
  <c r="FD34" i="6"/>
  <c r="EL37" i="6"/>
  <c r="FH38" i="6"/>
  <c r="EW38" i="6"/>
  <c r="EO38" i="6"/>
  <c r="FB43" i="6"/>
  <c r="FM43" i="6"/>
  <c r="EV45" i="6"/>
  <c r="FG45" i="6"/>
  <c r="FB50" i="6"/>
  <c r="FM50" i="6"/>
  <c r="EV55" i="6"/>
  <c r="FG55" i="6"/>
  <c r="EY56" i="6"/>
  <c r="FJ56" i="6"/>
  <c r="EY59" i="6"/>
  <c r="FJ59" i="6"/>
  <c r="ER64" i="6"/>
  <c r="FC64" i="6"/>
  <c r="FB68" i="6"/>
  <c r="EZ81" i="6"/>
  <c r="FK81" i="6"/>
  <c r="FA82" i="6"/>
  <c r="FL82" i="6"/>
  <c r="ET99" i="6"/>
  <c r="FE99" i="6"/>
  <c r="EU104" i="6"/>
  <c r="FF104" i="6"/>
  <c r="FA128" i="6"/>
  <c r="FL128" i="6"/>
  <c r="EW135" i="6"/>
  <c r="FH135" i="6"/>
  <c r="EW138" i="6"/>
  <c r="FH138" i="6"/>
  <c r="ET151" i="6"/>
  <c r="FE151" i="6"/>
  <c r="FB152" i="6"/>
  <c r="FM152" i="6"/>
  <c r="EY18" i="6"/>
  <c r="FJ18" i="6"/>
  <c r="ER30" i="6"/>
  <c r="FC30" i="6"/>
  <c r="ET66" i="6"/>
  <c r="FE66" i="6"/>
  <c r="EU133" i="6"/>
  <c r="FF133" i="6"/>
  <c r="EZ171" i="6"/>
  <c r="FK171" i="6"/>
  <c r="ET2" i="6"/>
  <c r="FE2" i="6"/>
  <c r="EV3" i="6"/>
  <c r="FG3" i="6"/>
  <c r="ES4" i="6"/>
  <c r="FD4" i="6"/>
  <c r="EY5" i="6"/>
  <c r="FJ5" i="6"/>
  <c r="ET7" i="6"/>
  <c r="FE7" i="6"/>
  <c r="EI9" i="6"/>
  <c r="FA9" i="6"/>
  <c r="FL9" i="6"/>
  <c r="FA10" i="6"/>
  <c r="FL10" i="6"/>
  <c r="EW13" i="6"/>
  <c r="FH13" i="6"/>
  <c r="EI15" i="6"/>
  <c r="EX15" i="6"/>
  <c r="FI15" i="6"/>
  <c r="EK17" i="6"/>
  <c r="EO20" i="6"/>
  <c r="FA20" i="6"/>
  <c r="FL20" i="6"/>
  <c r="FB21" i="6"/>
  <c r="FM21" i="6"/>
  <c r="EP22" i="6"/>
  <c r="EP29" i="6"/>
  <c r="EO33" i="6"/>
  <c r="EP46" i="6"/>
  <c r="EH47" i="6"/>
  <c r="EK48" i="6"/>
  <c r="EN49" i="6"/>
  <c r="EP53" i="6"/>
  <c r="EO56" i="6"/>
  <c r="EO59" i="6"/>
  <c r="EL61" i="6"/>
  <c r="EG62" i="6"/>
  <c r="EY63" i="6"/>
  <c r="FJ63" i="6"/>
  <c r="EW67" i="6"/>
  <c r="FH67" i="6"/>
  <c r="FB73" i="6"/>
  <c r="FM73" i="6"/>
  <c r="ES75" i="6"/>
  <c r="FD75" i="6"/>
  <c r="EY79" i="6"/>
  <c r="FJ79" i="6"/>
  <c r="EW85" i="6"/>
  <c r="FH85" i="6"/>
  <c r="EW87" i="6"/>
  <c r="FH87" i="6"/>
  <c r="EW89" i="6"/>
  <c r="FH89" i="6"/>
  <c r="EW93" i="6"/>
  <c r="FH93" i="6"/>
  <c r="EW95" i="6"/>
  <c r="FH95" i="6"/>
  <c r="EW97" i="6"/>
  <c r="FH97" i="6"/>
  <c r="EW99" i="6"/>
  <c r="FH99" i="6"/>
  <c r="EV104" i="6"/>
  <c r="FG104" i="6"/>
  <c r="FA106" i="6"/>
  <c r="FL106" i="6"/>
  <c r="ET108" i="6"/>
  <c r="FE108" i="6"/>
  <c r="ET123" i="6"/>
  <c r="ER129" i="6"/>
  <c r="FC129" i="6"/>
  <c r="EU136" i="6"/>
  <c r="FF136" i="6"/>
  <c r="EX139" i="6"/>
  <c r="FI139" i="6"/>
  <c r="EV164" i="6"/>
  <c r="FB17" i="6"/>
  <c r="FM17" i="6"/>
  <c r="ES25" i="6"/>
  <c r="FD25" i="6"/>
  <c r="EV75" i="6"/>
  <c r="FG75" i="6"/>
  <c r="EU2" i="6"/>
  <c r="FF2" i="6"/>
  <c r="EW3" i="6"/>
  <c r="FH3" i="6"/>
  <c r="EU4" i="6"/>
  <c r="FF4" i="6"/>
  <c r="EZ5" i="6"/>
  <c r="FK5" i="6"/>
  <c r="EU6" i="6"/>
  <c r="FF6" i="6"/>
  <c r="EV7" i="6"/>
  <c r="FG7" i="6"/>
  <c r="EI8" i="6"/>
  <c r="ER10" i="6"/>
  <c r="FC10" i="6"/>
  <c r="FB10" i="6"/>
  <c r="FM10" i="6"/>
  <c r="EV11" i="6"/>
  <c r="FG11" i="6"/>
  <c r="EW12" i="6"/>
  <c r="FH12" i="6"/>
  <c r="EY13" i="6"/>
  <c r="FJ13" i="6"/>
  <c r="EJ15" i="6"/>
  <c r="EZ15" i="6"/>
  <c r="FK15" i="6"/>
  <c r="EL17" i="6"/>
  <c r="EY17" i="6"/>
  <c r="FJ17" i="6"/>
  <c r="EW19" i="6"/>
  <c r="FH19" i="6"/>
  <c r="FB22" i="6"/>
  <c r="FM22" i="6"/>
  <c r="FB23" i="6"/>
  <c r="FM23" i="6"/>
  <c r="EJ26" i="6"/>
  <c r="EG26" i="6"/>
  <c r="EI26" i="6"/>
  <c r="EP28" i="6"/>
  <c r="EM31" i="6"/>
  <c r="EN31" i="6"/>
  <c r="EP33" i="6"/>
  <c r="EO35" i="6"/>
  <c r="EJ36" i="6"/>
  <c r="EN38" i="6"/>
  <c r="EH40" i="6"/>
  <c r="EO42" i="6"/>
  <c r="EQ46" i="6"/>
  <c r="EO49" i="6"/>
  <c r="EG50" i="6"/>
  <c r="EW51" i="6"/>
  <c r="FH51" i="6"/>
  <c r="EN52" i="6"/>
  <c r="EP56" i="6"/>
  <c r="EG57" i="6"/>
  <c r="EK58" i="6"/>
  <c r="EW58" i="6"/>
  <c r="FH58" i="6"/>
  <c r="EP59" i="6"/>
  <c r="EH64" i="6"/>
  <c r="EM67" i="6"/>
  <c r="ER68" i="6"/>
  <c r="FC68" i="6"/>
  <c r="ET73" i="6"/>
  <c r="FE73" i="6"/>
  <c r="ES80" i="6"/>
  <c r="FD80" i="6"/>
  <c r="ET81" i="6"/>
  <c r="FE81" i="6"/>
  <c r="EZ83" i="6"/>
  <c r="FK83" i="6"/>
  <c r="EV87" i="6"/>
  <c r="FG87" i="6"/>
  <c r="EZ87" i="6"/>
  <c r="FK87" i="6"/>
  <c r="EV89" i="6"/>
  <c r="FG89" i="6"/>
  <c r="EZ89" i="6"/>
  <c r="FK89" i="6"/>
  <c r="EZ91" i="6"/>
  <c r="FK91" i="6"/>
  <c r="EV93" i="6"/>
  <c r="FG93" i="6"/>
  <c r="EZ93" i="6"/>
  <c r="FK93" i="6"/>
  <c r="EV95" i="6"/>
  <c r="FG95" i="6"/>
  <c r="EZ95" i="6"/>
  <c r="FK95" i="6"/>
  <c r="EV97" i="6"/>
  <c r="FG97" i="6"/>
  <c r="FK97" i="6"/>
  <c r="EV99" i="6"/>
  <c r="FG99" i="6"/>
  <c r="EV101" i="6"/>
  <c r="FG101" i="6"/>
  <c r="ER102" i="6"/>
  <c r="FC102" i="6"/>
  <c r="FB106" i="6"/>
  <c r="FM106" i="6"/>
  <c r="EY107" i="6"/>
  <c r="FJ107" i="6"/>
  <c r="FA108" i="6"/>
  <c r="FL108" i="6"/>
  <c r="EZ110" i="6"/>
  <c r="FK110" i="6"/>
  <c r="EU111" i="6"/>
  <c r="FF111" i="6"/>
  <c r="EZ122" i="6"/>
  <c r="FK122" i="6"/>
  <c r="EU123" i="6"/>
  <c r="FF123" i="6"/>
  <c r="EZ126" i="6"/>
  <c r="FK126" i="6"/>
  <c r="FB138" i="6"/>
  <c r="FM138" i="6"/>
  <c r="EU140" i="6"/>
  <c r="FF140" i="6"/>
  <c r="EU144" i="6"/>
  <c r="FF144" i="6"/>
  <c r="ET156" i="6"/>
  <c r="FE156" i="6"/>
  <c r="FB3" i="6"/>
  <c r="FM3" i="6"/>
  <c r="EZ12" i="6"/>
  <c r="FK12" i="6"/>
  <c r="EW26" i="6"/>
  <c r="FH26" i="6"/>
  <c r="FE70" i="6"/>
  <c r="ES82" i="6"/>
  <c r="FD82" i="6"/>
  <c r="EW140" i="6"/>
  <c r="FH140" i="6"/>
  <c r="EW2" i="6"/>
  <c r="FH2" i="6"/>
  <c r="EY3" i="6"/>
  <c r="FJ3" i="6"/>
  <c r="EV4" i="6"/>
  <c r="FG4" i="6"/>
  <c r="FB5" i="6"/>
  <c r="FM5" i="6"/>
  <c r="EX6" i="6"/>
  <c r="FI6" i="6"/>
  <c r="EW7" i="6"/>
  <c r="FH7" i="6"/>
  <c r="EW8" i="6"/>
  <c r="FH8" i="6"/>
  <c r="ES10" i="6"/>
  <c r="FD10" i="6"/>
  <c r="EW11" i="6"/>
  <c r="FH11" i="6"/>
  <c r="EY12" i="6"/>
  <c r="FJ12" i="6"/>
  <c r="EZ13" i="6"/>
  <c r="FK13" i="6"/>
  <c r="FA15" i="6"/>
  <c r="FL15" i="6"/>
  <c r="EZ17" i="6"/>
  <c r="FK17" i="6"/>
  <c r="EZ19" i="6"/>
  <c r="FK19" i="6"/>
  <c r="FB20" i="6"/>
  <c r="FM20" i="6"/>
  <c r="FA21" i="6"/>
  <c r="FL21" i="6"/>
  <c r="EI25" i="6"/>
  <c r="EP27" i="6"/>
  <c r="EP32" i="6"/>
  <c r="EP35" i="6"/>
  <c r="EG39" i="6"/>
  <c r="EL41" i="6"/>
  <c r="EP42" i="6"/>
  <c r="EH43" i="6"/>
  <c r="EK44" i="6"/>
  <c r="EN45" i="6"/>
  <c r="EP49" i="6"/>
  <c r="EO52" i="6"/>
  <c r="EN55" i="6"/>
  <c r="EY61" i="6"/>
  <c r="FJ61" i="6"/>
  <c r="EI62" i="6"/>
  <c r="EY67" i="6"/>
  <c r="FJ67" i="6"/>
  <c r="EM73" i="6"/>
  <c r="EK78" i="6"/>
  <c r="FA79" i="6"/>
  <c r="FL79" i="6"/>
  <c r="ET83" i="6"/>
  <c r="FE83" i="6"/>
  <c r="ET87" i="6"/>
  <c r="FE87" i="6"/>
  <c r="ET91" i="6"/>
  <c r="FE91" i="6"/>
  <c r="EU105" i="6"/>
  <c r="FF105" i="6"/>
  <c r="ER109" i="6"/>
  <c r="FC109" i="6"/>
  <c r="ET118" i="6"/>
  <c r="FE118" i="6"/>
  <c r="FA119" i="6"/>
  <c r="FL119" i="6"/>
  <c r="EJ126" i="6"/>
  <c r="ET129" i="6"/>
  <c r="FE129" i="6"/>
  <c r="ET133" i="6"/>
  <c r="FE133" i="6"/>
  <c r="ER134" i="6"/>
  <c r="FC134" i="6"/>
  <c r="FA137" i="6"/>
  <c r="FL137" i="6"/>
  <c r="ET141" i="6"/>
  <c r="FE141" i="6"/>
  <c r="EQ62" i="6"/>
  <c r="EL64" i="6"/>
  <c r="EP65" i="6"/>
  <c r="EK67" i="6"/>
  <c r="EP69" i="6"/>
  <c r="EP70" i="6"/>
  <c r="EK71" i="6"/>
  <c r="EM89" i="6"/>
  <c r="EM90" i="6"/>
  <c r="EM91" i="6"/>
  <c r="EM92" i="6"/>
  <c r="EM93" i="6"/>
  <c r="EM94" i="6"/>
  <c r="EM95" i="6"/>
  <c r="EM96" i="6"/>
  <c r="EM97" i="6"/>
  <c r="EM98" i="6"/>
  <c r="EM99" i="6"/>
  <c r="EM100" i="6"/>
  <c r="EM101" i="6"/>
  <c r="EL104" i="6"/>
  <c r="EO105" i="6"/>
  <c r="EK108" i="6"/>
  <c r="EN109" i="6"/>
  <c r="EG111" i="6"/>
  <c r="EG115" i="6"/>
  <c r="EG119" i="6"/>
  <c r="EG123" i="6"/>
  <c r="EL125" i="6"/>
  <c r="EH129" i="6"/>
  <c r="EQ131" i="6"/>
  <c r="EM135" i="6"/>
  <c r="EL137" i="6"/>
  <c r="EO140" i="6"/>
  <c r="EJ145" i="6"/>
  <c r="EG146" i="6"/>
  <c r="EM150" i="6"/>
  <c r="EP153" i="6"/>
  <c r="EL157" i="6"/>
  <c r="ER163" i="6"/>
  <c r="FC163" i="6"/>
  <c r="FM102" i="6"/>
  <c r="FB102" i="6"/>
  <c r="ES111" i="6"/>
  <c r="FD111" i="6"/>
  <c r="FJ113" i="6"/>
  <c r="FB114" i="6"/>
  <c r="FM114" i="6"/>
  <c r="ES115" i="6"/>
  <c r="FD115" i="6"/>
  <c r="EV116" i="6"/>
  <c r="FG116" i="6"/>
  <c r="EY117" i="6"/>
  <c r="FJ117" i="6"/>
  <c r="ES119" i="6"/>
  <c r="FD119" i="6"/>
  <c r="EV120" i="6"/>
  <c r="FG120" i="6"/>
  <c r="EX120" i="6"/>
  <c r="FI120" i="6"/>
  <c r="EY121" i="6"/>
  <c r="FJ121" i="6"/>
  <c r="ES123" i="6"/>
  <c r="FD123" i="6"/>
  <c r="EV124" i="6"/>
  <c r="FG124" i="6"/>
  <c r="EY127" i="6"/>
  <c r="FJ127" i="6"/>
  <c r="EV130" i="6"/>
  <c r="FG130" i="6"/>
  <c r="EP130" i="6"/>
  <c r="EK132" i="6"/>
  <c r="EY135" i="6"/>
  <c r="FJ135" i="6"/>
  <c r="ER138" i="6"/>
  <c r="FC138" i="6"/>
  <c r="FG139" i="6"/>
  <c r="ET143" i="6"/>
  <c r="FE143" i="6"/>
  <c r="EP143" i="6"/>
  <c r="EV145" i="6"/>
  <c r="FG145" i="6"/>
  <c r="EY147" i="6"/>
  <c r="FJ147" i="6"/>
  <c r="ET155" i="6"/>
  <c r="FE155" i="6"/>
  <c r="EU167" i="6"/>
  <c r="FF167" i="6"/>
  <c r="ER167" i="6"/>
  <c r="FC167" i="6"/>
  <c r="ET170" i="6"/>
  <c r="FE170" i="6"/>
  <c r="FB71" i="6"/>
  <c r="FM71" i="6"/>
  <c r="EQ74" i="6"/>
  <c r="EQ75" i="6"/>
  <c r="EQ76" i="6"/>
  <c r="EQ77" i="6"/>
  <c r="EQ78" i="6"/>
  <c r="EQ79" i="6"/>
  <c r="EQ80" i="6"/>
  <c r="EQ81" i="6"/>
  <c r="EQ82" i="6"/>
  <c r="EQ83" i="6"/>
  <c r="EQ84" i="6"/>
  <c r="EQ85" i="6"/>
  <c r="EQ86" i="6"/>
  <c r="EQ87" i="6"/>
  <c r="EQ88" i="6"/>
  <c r="EQ89" i="6"/>
  <c r="EQ90" i="6"/>
  <c r="EQ91" i="6"/>
  <c r="EQ92" i="6"/>
  <c r="EQ93" i="6"/>
  <c r="EQ94" i="6"/>
  <c r="EQ95" i="6"/>
  <c r="EQ96" i="6"/>
  <c r="EQ97" i="6"/>
  <c r="EQ98" i="6"/>
  <c r="EQ99" i="6"/>
  <c r="EQ100" i="6"/>
  <c r="EO103" i="6"/>
  <c r="EK107" i="6"/>
  <c r="EM107" i="6"/>
  <c r="EK112" i="6"/>
  <c r="EM112" i="6"/>
  <c r="EL116" i="6"/>
  <c r="EL120" i="6"/>
  <c r="EL124" i="6"/>
  <c r="EH128" i="6"/>
  <c r="EL130" i="6"/>
  <c r="EO135" i="6"/>
  <c r="EH136" i="6"/>
  <c r="EH138" i="6"/>
  <c r="EL139" i="6"/>
  <c r="EP139" i="6"/>
  <c r="EQ140" i="6"/>
  <c r="EO142" i="6"/>
  <c r="EW143" i="6"/>
  <c r="FH143" i="6"/>
  <c r="EZ147" i="6"/>
  <c r="FK147" i="6"/>
  <c r="EV148" i="6"/>
  <c r="FG148" i="6"/>
  <c r="EW151" i="6"/>
  <c r="FH151" i="6"/>
  <c r="EY154" i="6"/>
  <c r="FJ154" i="6"/>
  <c r="ET163" i="6"/>
  <c r="FE163" i="6"/>
  <c r="EY166" i="6"/>
  <c r="FJ166" i="6"/>
  <c r="EU170" i="6"/>
  <c r="FF170" i="6"/>
  <c r="FA84" i="6"/>
  <c r="FL84" i="6"/>
  <c r="FA85" i="6"/>
  <c r="FL85" i="6"/>
  <c r="FA87" i="6"/>
  <c r="FL87" i="6"/>
  <c r="FA88" i="6"/>
  <c r="FL88" i="6"/>
  <c r="FA89" i="6"/>
  <c r="FL89" i="6"/>
  <c r="FA91" i="6"/>
  <c r="FL91" i="6"/>
  <c r="FA92" i="6"/>
  <c r="FL92" i="6"/>
  <c r="FA93" i="6"/>
  <c r="FL93" i="6"/>
  <c r="EW103" i="6"/>
  <c r="FH103" i="6"/>
  <c r="EZ104" i="6"/>
  <c r="FK104" i="6"/>
  <c r="EW107" i="6"/>
  <c r="FH107" i="6"/>
  <c r="EO107" i="6"/>
  <c r="ER114" i="6"/>
  <c r="FC114" i="6"/>
  <c r="EN126" i="6"/>
  <c r="EV129" i="6"/>
  <c r="FG129" i="6"/>
  <c r="ES131" i="6"/>
  <c r="FD131" i="6"/>
  <c r="EV134" i="6"/>
  <c r="FG134" i="6"/>
  <c r="EP134" i="6"/>
  <c r="FK137" i="6"/>
  <c r="EV141" i="6"/>
  <c r="FG141" i="6"/>
  <c r="EP141" i="6"/>
  <c r="EX145" i="6"/>
  <c r="FI145" i="6"/>
  <c r="EZ157" i="6"/>
  <c r="FK157" i="6"/>
  <c r="ET159" i="6"/>
  <c r="FE159" i="6"/>
  <c r="EX162" i="6"/>
  <c r="FI162" i="6"/>
  <c r="EK59" i="6"/>
  <c r="EN60" i="6"/>
  <c r="EP64" i="6"/>
  <c r="EK66" i="6"/>
  <c r="EK70" i="6"/>
  <c r="EQ101" i="6"/>
  <c r="EH102" i="6"/>
  <c r="EM103" i="6"/>
  <c r="EG105" i="6"/>
  <c r="EO108" i="6"/>
  <c r="EH110" i="6"/>
  <c r="EK111" i="6"/>
  <c r="EQ113" i="6"/>
  <c r="EK115" i="6"/>
  <c r="EQ117" i="6"/>
  <c r="EK119" i="6"/>
  <c r="EQ121" i="6"/>
  <c r="EH122" i="6"/>
  <c r="EK123" i="6"/>
  <c r="EH127" i="6"/>
  <c r="EL129" i="6"/>
  <c r="EM132" i="6"/>
  <c r="EL134" i="6"/>
  <c r="EG140" i="6"/>
  <c r="EL141" i="6"/>
  <c r="EQ142" i="6"/>
  <c r="EH144" i="6"/>
  <c r="EV146" i="6"/>
  <c r="FG146" i="6"/>
  <c r="EJ152" i="6"/>
  <c r="FA154" i="6"/>
  <c r="FL154" i="6"/>
  <c r="FA161" i="6"/>
  <c r="FL161" i="6"/>
  <c r="ET164" i="6"/>
  <c r="FE164" i="6"/>
  <c r="EW170" i="6"/>
  <c r="FH170" i="6"/>
  <c r="ES105" i="6"/>
  <c r="FD105" i="6"/>
  <c r="EV106" i="6"/>
  <c r="EW111" i="6"/>
  <c r="EO111" i="6"/>
  <c r="EO115" i="6"/>
  <c r="FA116" i="6"/>
  <c r="FL116" i="6"/>
  <c r="EO119" i="6"/>
  <c r="FA120" i="6"/>
  <c r="FL120" i="6"/>
  <c r="EW123" i="6"/>
  <c r="FH123" i="6"/>
  <c r="EO123" i="6"/>
  <c r="FB125" i="6"/>
  <c r="FM125" i="6"/>
  <c r="EN125" i="6"/>
  <c r="EX128" i="6"/>
  <c r="FI128" i="6"/>
  <c r="EZ129" i="6"/>
  <c r="FK129" i="6"/>
  <c r="EY132" i="6"/>
  <c r="FJ132" i="6"/>
  <c r="ES133" i="6"/>
  <c r="FD133" i="6"/>
  <c r="EX134" i="6"/>
  <c r="FI134" i="6"/>
  <c r="EJ134" i="6"/>
  <c r="EY134" i="6"/>
  <c r="FJ134" i="6"/>
  <c r="EX138" i="6"/>
  <c r="FI138" i="6"/>
  <c r="EZ139" i="6"/>
  <c r="FK139" i="6"/>
  <c r="ES140" i="6"/>
  <c r="FD140" i="6"/>
  <c r="EX141" i="6"/>
  <c r="FI141" i="6"/>
  <c r="EX143" i="6"/>
  <c r="FI143" i="6"/>
  <c r="EU143" i="6"/>
  <c r="FF143" i="6"/>
  <c r="EW145" i="6"/>
  <c r="FH145" i="6"/>
  <c r="EY149" i="6"/>
  <c r="FJ149" i="6"/>
  <c r="EV152" i="6"/>
  <c r="FG152" i="6"/>
  <c r="EU156" i="6"/>
  <c r="FF156" i="6"/>
  <c r="EV159" i="6"/>
  <c r="FG159" i="6"/>
  <c r="EW163" i="6"/>
  <c r="FH163" i="6"/>
  <c r="EK62" i="6"/>
  <c r="EO63" i="6"/>
  <c r="EJ65" i="6"/>
  <c r="EO66" i="6"/>
  <c r="EJ69" i="6"/>
  <c r="EO70" i="6"/>
  <c r="EG74" i="6"/>
  <c r="EG75" i="6"/>
  <c r="EG76" i="6"/>
  <c r="EG77" i="6"/>
  <c r="EG78" i="6"/>
  <c r="EG79" i="6"/>
  <c r="EG80" i="6"/>
  <c r="EG81" i="6"/>
  <c r="EG82" i="6"/>
  <c r="EG83" i="6"/>
  <c r="EG84" i="6"/>
  <c r="EG85" i="6"/>
  <c r="EG86" i="6"/>
  <c r="EG87" i="6"/>
  <c r="EG88" i="6"/>
  <c r="EG89" i="6"/>
  <c r="EG90" i="6"/>
  <c r="EG91" i="6"/>
  <c r="EG92" i="6"/>
  <c r="EG93" i="6"/>
  <c r="EG94" i="6"/>
  <c r="EG95" i="6"/>
  <c r="EG96" i="6"/>
  <c r="EG97" i="6"/>
  <c r="EG98" i="6"/>
  <c r="EG99" i="6"/>
  <c r="EG100" i="6"/>
  <c r="EG101" i="6"/>
  <c r="EQ108" i="6"/>
  <c r="EH109" i="6"/>
  <c r="EO112" i="6"/>
  <c r="EG113" i="6"/>
  <c r="EG117" i="6"/>
  <c r="EG121" i="6"/>
  <c r="EH126" i="6"/>
  <c r="EL128" i="6"/>
  <c r="EK131" i="6"/>
  <c r="EL136" i="6"/>
  <c r="EG142" i="6"/>
  <c r="EN143" i="6"/>
  <c r="EZ148" i="6"/>
  <c r="FK148" i="6"/>
  <c r="EV102" i="6"/>
  <c r="FG102" i="6"/>
  <c r="FA102" i="6"/>
  <c r="FL102" i="6"/>
  <c r="ER106" i="6"/>
  <c r="FC106" i="6"/>
  <c r="EV110" i="6"/>
  <c r="FG110" i="6"/>
  <c r="EX110" i="6"/>
  <c r="FI110" i="6"/>
  <c r="ES113" i="6"/>
  <c r="FD113" i="6"/>
  <c r="EV114" i="6"/>
  <c r="FG114" i="6"/>
  <c r="FB116" i="6"/>
  <c r="FM116" i="6"/>
  <c r="ES117" i="6"/>
  <c r="FD117" i="6"/>
  <c r="EX118" i="6"/>
  <c r="FI118" i="6"/>
  <c r="FB120" i="6"/>
  <c r="FM120" i="6"/>
  <c r="ES121" i="6"/>
  <c r="FD121" i="6"/>
  <c r="EV122" i="6"/>
  <c r="FG122" i="6"/>
  <c r="EX122" i="6"/>
  <c r="FI122" i="6"/>
  <c r="EY123" i="6"/>
  <c r="FJ123" i="6"/>
  <c r="FB124" i="6"/>
  <c r="FM124" i="6"/>
  <c r="EY124" i="6"/>
  <c r="FJ124" i="6"/>
  <c r="ER125" i="6"/>
  <c r="FC125" i="6"/>
  <c r="EV127" i="6"/>
  <c r="FG127" i="6"/>
  <c r="EX127" i="6"/>
  <c r="FI127" i="6"/>
  <c r="EZ128" i="6"/>
  <c r="FK128" i="6"/>
  <c r="EW131" i="6"/>
  <c r="FH131" i="6"/>
  <c r="EZ134" i="6"/>
  <c r="FK134" i="6"/>
  <c r="EX136" i="6"/>
  <c r="FB139" i="6"/>
  <c r="FM139" i="6"/>
  <c r="EV144" i="6"/>
  <c r="FG144" i="6"/>
  <c r="FA144" i="6"/>
  <c r="FL144" i="6"/>
  <c r="FB145" i="6"/>
  <c r="FM145" i="6"/>
  <c r="FA148" i="6"/>
  <c r="FL148" i="6"/>
  <c r="EN65" i="6"/>
  <c r="EG67" i="6"/>
  <c r="EN69" i="6"/>
  <c r="EG71" i="6"/>
  <c r="EJ72" i="6"/>
  <c r="EQ103" i="6"/>
  <c r="EN103" i="6"/>
  <c r="EK105" i="6"/>
  <c r="EM105" i="6"/>
  <c r="EN106" i="6"/>
  <c r="EQ107" i="6"/>
  <c r="EG108" i="6"/>
  <c r="EQ112" i="6"/>
  <c r="EL114" i="6"/>
  <c r="EL118" i="6"/>
  <c r="EL122" i="6"/>
  <c r="EH125" i="6"/>
  <c r="EL127" i="6"/>
  <c r="EK133" i="6"/>
  <c r="EN136" i="6"/>
  <c r="EH137" i="6"/>
  <c r="EN138" i="6"/>
  <c r="EK140" i="6"/>
  <c r="EW144" i="6"/>
  <c r="FH144" i="6"/>
  <c r="EI147" i="6"/>
  <c r="FB148" i="6"/>
  <c r="FM148" i="6"/>
  <c r="ET150" i="6"/>
  <c r="FE150" i="6"/>
  <c r="FA155" i="6"/>
  <c r="FL155" i="6"/>
  <c r="EX164" i="6"/>
  <c r="FI164" i="6"/>
  <c r="EU165" i="6"/>
  <c r="FF165" i="6"/>
  <c r="EX168" i="6"/>
  <c r="FI168" i="6"/>
  <c r="EL171" i="6"/>
  <c r="ER172" i="6"/>
  <c r="FC172" i="6"/>
  <c r="EI101" i="6"/>
  <c r="EZ106" i="6"/>
  <c r="FK106" i="6"/>
  <c r="EV109" i="6"/>
  <c r="FG109" i="6"/>
  <c r="ER120" i="6"/>
  <c r="FC120" i="6"/>
  <c r="ER124" i="6"/>
  <c r="FC124" i="6"/>
  <c r="EV126" i="6"/>
  <c r="FG126" i="6"/>
  <c r="FB129" i="6"/>
  <c r="FM129" i="6"/>
  <c r="EN129" i="6"/>
  <c r="EY131" i="6"/>
  <c r="FJ131" i="6"/>
  <c r="EW133" i="6"/>
  <c r="FH133" i="6"/>
  <c r="EZ136" i="6"/>
  <c r="FK136" i="6"/>
  <c r="EZ138" i="6"/>
  <c r="FK138" i="6"/>
  <c r="FB143" i="6"/>
  <c r="EZ149" i="6"/>
  <c r="FK149" i="6"/>
  <c r="EU150" i="6"/>
  <c r="FF150" i="6"/>
  <c r="EX154" i="6"/>
  <c r="FI154" i="6"/>
  <c r="EV165" i="6"/>
  <c r="FG165" i="6"/>
  <c r="EW166" i="6"/>
  <c r="FH166" i="6"/>
  <c r="EY168" i="6"/>
  <c r="FJ168" i="6"/>
  <c r="EQ59" i="6"/>
  <c r="EH60" i="6"/>
  <c r="EK61" i="6"/>
  <c r="EO62" i="6"/>
  <c r="EG63" i="6"/>
  <c r="EQ66" i="6"/>
  <c r="EQ70" i="6"/>
  <c r="EN102" i="6"/>
  <c r="EG103" i="6"/>
  <c r="EG107" i="6"/>
  <c r="EL109" i="6"/>
  <c r="EG112" i="6"/>
  <c r="EK113" i="6"/>
  <c r="EQ115" i="6"/>
  <c r="EK117" i="6"/>
  <c r="EQ119" i="6"/>
  <c r="EK121" i="6"/>
  <c r="EQ123" i="6"/>
  <c r="EH124" i="6"/>
  <c r="EL126" i="6"/>
  <c r="EH130" i="6"/>
  <c r="EO131" i="6"/>
  <c r="EG132" i="6"/>
  <c r="EM133" i="6"/>
  <c r="EM140" i="6"/>
  <c r="EV142" i="6"/>
  <c r="FG142" i="6"/>
  <c r="FB146" i="6"/>
  <c r="FM146" i="6"/>
  <c r="EK147" i="6"/>
  <c r="EK150" i="6"/>
  <c r="EY153" i="6"/>
  <c r="FJ153" i="6"/>
  <c r="FA159" i="6"/>
  <c r="FL159" i="6"/>
  <c r="EO144" i="6"/>
  <c r="EN146" i="6"/>
  <c r="EG147" i="6"/>
  <c r="EL148" i="6"/>
  <c r="EO151" i="6"/>
  <c r="EH152" i="6"/>
  <c r="EG154" i="6"/>
  <c r="EP158" i="6"/>
  <c r="FB160" i="6"/>
  <c r="FM160" i="6"/>
  <c r="EI169" i="6"/>
  <c r="FH172" i="6"/>
  <c r="EO146" i="6"/>
  <c r="EH147" i="6"/>
  <c r="EM148" i="6"/>
  <c r="EG149" i="6"/>
  <c r="EO153" i="6"/>
  <c r="EH154" i="6"/>
  <c r="EQ156" i="6"/>
  <c r="EQ158" i="6"/>
  <c r="EL159" i="6"/>
  <c r="EL161" i="6"/>
  <c r="EG162" i="6"/>
  <c r="EM163" i="6"/>
  <c r="EG164" i="6"/>
  <c r="EN165" i="6"/>
  <c r="EH166" i="6"/>
  <c r="EN167" i="6"/>
  <c r="EP170" i="6"/>
  <c r="EG171" i="6"/>
  <c r="FF172" i="6"/>
  <c r="EN148" i="6"/>
  <c r="EH149" i="6"/>
  <c r="EQ151" i="6"/>
  <c r="EM155" i="6"/>
  <c r="EW155" i="6"/>
  <c r="FH155" i="6"/>
  <c r="EG160" i="6"/>
  <c r="EM161" i="6"/>
  <c r="EH162" i="6"/>
  <c r="EN163" i="6"/>
  <c r="EH164" i="6"/>
  <c r="EO165" i="6"/>
  <c r="EO167" i="6"/>
  <c r="EH168" i="6"/>
  <c r="EL169" i="6"/>
  <c r="EK169" i="6"/>
  <c r="EQ170" i="6"/>
  <c r="EI171" i="6"/>
  <c r="FE172" i="6"/>
  <c r="FI169" i="6"/>
  <c r="FJ161" i="6"/>
  <c r="FJ158" i="6"/>
  <c r="ER158" i="6"/>
  <c r="FC158" i="6"/>
  <c r="FA165" i="6"/>
  <c r="FL165" i="6"/>
  <c r="FE168" i="6"/>
  <c r="FJ155" i="6"/>
  <c r="FD148" i="6"/>
  <c r="EG144" i="6"/>
  <c r="EO150" i="6"/>
  <c r="EG151" i="6"/>
  <c r="EL152" i="6"/>
  <c r="EO155" i="6"/>
  <c r="EH156" i="6"/>
  <c r="EN157" i="6"/>
  <c r="EH158" i="6"/>
  <c r="EO159" i="6"/>
  <c r="EO161" i="6"/>
  <c r="EP163" i="6"/>
  <c r="EQ165" i="6"/>
  <c r="EQ167" i="6"/>
  <c r="EN169" i="6"/>
  <c r="FB172" i="6"/>
  <c r="FM172" i="6"/>
  <c r="FH158" i="6"/>
  <c r="FC157" i="6"/>
  <c r="FK162" i="6"/>
  <c r="FM147" i="6"/>
  <c r="EO143" i="6"/>
  <c r="EM147" i="6"/>
  <c r="EL149" i="6"/>
  <c r="EQ150" i="6"/>
  <c r="EN152" i="6"/>
  <c r="EH153" i="6"/>
  <c r="EQ155" i="6"/>
  <c r="EP157" i="6"/>
  <c r="EQ159" i="6"/>
  <c r="EQ161" i="6"/>
  <c r="EL162" i="6"/>
  <c r="EL164" i="6"/>
  <c r="EG165" i="6"/>
  <c r="EM166" i="6"/>
  <c r="EL168" i="6"/>
  <c r="EP169" i="6"/>
  <c r="EN171" i="6"/>
  <c r="FL167" i="6"/>
  <c r="FJ162" i="6"/>
  <c r="FD161" i="6"/>
  <c r="FG170" i="6"/>
  <c r="FC161" i="6"/>
  <c r="ER150" i="6"/>
  <c r="FC150" i="6"/>
  <c r="EZ154" i="6"/>
  <c r="FK154" i="6"/>
  <c r="EP156" i="6"/>
  <c r="ES163" i="6"/>
  <c r="FD163" i="6"/>
  <c r="FI171" i="6"/>
  <c r="FK163" i="6"/>
  <c r="FH156" i="6"/>
  <c r="ES159" i="6"/>
  <c r="EZ164" i="6"/>
  <c r="FK164" i="6"/>
  <c r="FK160" i="6"/>
  <c r="FC155" i="6"/>
  <c r="FH153" i="6"/>
  <c r="FB154" i="6"/>
  <c r="FM154" i="6"/>
  <c r="EP164" i="6"/>
  <c r="EQ166" i="6"/>
  <c r="EP168" i="6"/>
  <c r="EH169" i="6"/>
  <c r="EM170" i="6"/>
  <c r="FG171" i="6"/>
  <c r="FK168" i="6"/>
  <c r="EN144" i="6"/>
  <c r="EG145" i="6"/>
  <c r="EQ149" i="6"/>
  <c r="EN151" i="6"/>
  <c r="EG152" i="6"/>
  <c r="EM153" i="6"/>
  <c r="EO156" i="6"/>
  <c r="EO158" i="6"/>
  <c r="EP160" i="6"/>
  <c r="EQ162" i="6"/>
  <c r="EQ164" i="6"/>
  <c r="EL165" i="6"/>
  <c r="EQ168" i="6"/>
  <c r="EN170" i="6"/>
  <c r="FI172" i="6"/>
  <c r="FC166" i="6"/>
  <c r="FI160" i="6"/>
  <c r="AG9" i="2"/>
  <c r="CC9" i="2"/>
  <c r="DA9" i="2" s="1"/>
  <c r="CD13" i="2"/>
  <c r="DB13" i="2" s="1"/>
  <c r="AH13" i="2"/>
  <c r="AJ19" i="2"/>
  <c r="CF19" i="2"/>
  <c r="DD19" i="2" s="1"/>
  <c r="CC10" i="2"/>
  <c r="DA10" i="2" s="1"/>
  <c r="AG10" i="2"/>
  <c r="AH11" i="2"/>
  <c r="CD11" i="2"/>
  <c r="DB11" i="2" s="1"/>
  <c r="AH22" i="2"/>
  <c r="CD22" i="2"/>
  <c r="DB22" i="2" s="1"/>
  <c r="CE18" i="2"/>
  <c r="DC18" i="2" s="1"/>
  <c r="AI18" i="2"/>
  <c r="CC21" i="2"/>
  <c r="DA21" i="2" s="1"/>
  <c r="AG21" i="2"/>
  <c r="CC13" i="2"/>
  <c r="DA13" i="2" s="1"/>
  <c r="AE16" i="2"/>
  <c r="CA16" i="2"/>
  <c r="CY16" i="2" s="1"/>
  <c r="CF20" i="2"/>
  <c r="DD20" i="2" s="1"/>
  <c r="AK25" i="2"/>
  <c r="CG25" i="2"/>
  <c r="DE25" i="2" s="1"/>
  <c r="EH25" i="2"/>
  <c r="AM28" i="2"/>
  <c r="CI28" i="2"/>
  <c r="DG28" i="2" s="1"/>
  <c r="AM29" i="2"/>
  <c r="CI29" i="2"/>
  <c r="DG29" i="2" s="1"/>
  <c r="EH31" i="2"/>
  <c r="AH32" i="2"/>
  <c r="AM34" i="2"/>
  <c r="CI34" i="2"/>
  <c r="DG34" i="2" s="1"/>
  <c r="AM35" i="2"/>
  <c r="CI35" i="2"/>
  <c r="DG35" i="2" s="1"/>
  <c r="AH37" i="2"/>
  <c r="CD37" i="2"/>
  <c r="DB37" i="2" s="1"/>
  <c r="AM37" i="2"/>
  <c r="CI37" i="2"/>
  <c r="DG37" i="2" s="1"/>
  <c r="V39" i="2"/>
  <c r="DY39" i="2"/>
  <c r="EJ39" i="2" s="1"/>
  <c r="V40" i="2"/>
  <c r="AG40" i="2"/>
  <c r="CC40" i="2"/>
  <c r="DA40" i="2" s="1"/>
  <c r="AE41" i="2"/>
  <c r="CA41" i="2"/>
  <c r="CY41" i="2" s="1"/>
  <c r="CA50" i="2"/>
  <c r="CY50" i="2" s="1"/>
  <c r="AE50" i="2"/>
  <c r="AG51" i="2"/>
  <c r="CC51" i="2"/>
  <c r="DA51" i="2" s="1"/>
  <c r="CH51" i="2"/>
  <c r="DF51" i="2" s="1"/>
  <c r="AL51" i="2"/>
  <c r="AC71" i="2"/>
  <c r="EF71" i="2"/>
  <c r="EQ71" i="2" s="1"/>
  <c r="DZ15" i="2"/>
  <c r="EK15" i="2" s="1"/>
  <c r="W15" i="2"/>
  <c r="V25" i="2"/>
  <c r="DY25" i="2"/>
  <c r="EJ25" i="2" s="1"/>
  <c r="AM25" i="2"/>
  <c r="CI25" i="2"/>
  <c r="DG25" i="2" s="1"/>
  <c r="AI27" i="2"/>
  <c r="CE27" i="2"/>
  <c r="DC27" i="2" s="1"/>
  <c r="AB28" i="2"/>
  <c r="EE28" i="2"/>
  <c r="EP28" i="2" s="1"/>
  <c r="AI33" i="2"/>
  <c r="CE33" i="2"/>
  <c r="DC33" i="2" s="1"/>
  <c r="AB34" i="2"/>
  <c r="EE34" i="2"/>
  <c r="EP34" i="2" s="1"/>
  <c r="AI36" i="2"/>
  <c r="CE36" i="2"/>
  <c r="DC36" i="2" s="1"/>
  <c r="AO36" i="2"/>
  <c r="CK36" i="2"/>
  <c r="DI36" i="2" s="1"/>
  <c r="X38" i="2"/>
  <c r="EA38" i="2"/>
  <c r="EL38" i="2" s="1"/>
  <c r="X39" i="2"/>
  <c r="AM46" i="2"/>
  <c r="CI46" i="2"/>
  <c r="DG46" i="2" s="1"/>
  <c r="EF49" i="2"/>
  <c r="EQ49" i="2" s="1"/>
  <c r="AC49" i="2"/>
  <c r="AM53" i="2"/>
  <c r="CI53" i="2"/>
  <c r="DG53" i="2" s="1"/>
  <c r="DX59" i="2"/>
  <c r="EI59" i="2" s="1"/>
  <c r="U59" i="2"/>
  <c r="AJ59" i="2"/>
  <c r="CF59" i="2"/>
  <c r="DD59" i="2" s="1"/>
  <c r="X25" i="2"/>
  <c r="EA25" i="2"/>
  <c r="EL25" i="2" s="1"/>
  <c r="CA6" i="2"/>
  <c r="CY6" i="2" s="1"/>
  <c r="DX9" i="2"/>
  <c r="EI9" i="2" s="1"/>
  <c r="U12" i="2"/>
  <c r="DY12" i="2"/>
  <c r="EJ12" i="2" s="1"/>
  <c r="AH14" i="2"/>
  <c r="EL14" i="2"/>
  <c r="U16" i="2"/>
  <c r="EB20" i="2"/>
  <c r="EM20" i="2" s="1"/>
  <c r="Y20" i="2"/>
  <c r="DX24" i="2"/>
  <c r="EI24" i="2" s="1"/>
  <c r="U24" i="2"/>
  <c r="EK25" i="2"/>
  <c r="V27" i="2"/>
  <c r="DY27" i="2"/>
  <c r="EJ27" i="2" s="1"/>
  <c r="V28" i="2"/>
  <c r="AK30" i="2"/>
  <c r="CG30" i="2"/>
  <c r="DE30" i="2" s="1"/>
  <c r="V33" i="2"/>
  <c r="DY33" i="2"/>
  <c r="EJ33" i="2" s="1"/>
  <c r="V34" i="2"/>
  <c r="AJ36" i="2"/>
  <c r="CF36" i="2"/>
  <c r="DD36" i="2" s="1"/>
  <c r="AJ37" i="2"/>
  <c r="CF37" i="2"/>
  <c r="DD37" i="2" s="1"/>
  <c r="AK35" i="2"/>
  <c r="CG35" i="2"/>
  <c r="DE35" i="2" s="1"/>
  <c r="CA4" i="2"/>
  <c r="CY4" i="2" s="1"/>
  <c r="DX8" i="2"/>
  <c r="EI8" i="2" s="1"/>
  <c r="AF15" i="2"/>
  <c r="CB15" i="2"/>
  <c r="CZ15" i="2" s="1"/>
  <c r="U17" i="2"/>
  <c r="AK17" i="2"/>
  <c r="W24" i="2"/>
  <c r="DZ24" i="2"/>
  <c r="EK24" i="2" s="1"/>
  <c r="EJ24" i="2"/>
  <c r="EP25" i="2"/>
  <c r="Z29" i="2"/>
  <c r="EC29" i="2"/>
  <c r="EN29" i="2" s="1"/>
  <c r="AI30" i="2"/>
  <c r="CE30" i="2"/>
  <c r="DC30" i="2" s="1"/>
  <c r="AO30" i="2"/>
  <c r="CK30" i="2"/>
  <c r="DI30" i="2" s="1"/>
  <c r="AI31" i="2"/>
  <c r="CE31" i="2"/>
  <c r="DC31" i="2" s="1"/>
  <c r="EP31" i="2"/>
  <c r="Z35" i="2"/>
  <c r="EC35" i="2"/>
  <c r="EN35" i="2" s="1"/>
  <c r="Z36" i="2"/>
  <c r="Z37" i="2"/>
  <c r="EC37" i="2"/>
  <c r="EN37" i="2" s="1"/>
  <c r="Z38" i="2"/>
  <c r="EF56" i="2"/>
  <c r="EQ56" i="2" s="1"/>
  <c r="AC57" i="2"/>
  <c r="AC56" i="2"/>
  <c r="CB7" i="2"/>
  <c r="CZ7" i="2" s="1"/>
  <c r="DY10" i="2"/>
  <c r="EJ10" i="2" s="1"/>
  <c r="AH12" i="2"/>
  <c r="CA12" i="2"/>
  <c r="CY12" i="2" s="1"/>
  <c r="U14" i="2"/>
  <c r="AH15" i="2"/>
  <c r="CD15" i="2"/>
  <c r="DB15" i="2" s="1"/>
  <c r="AH16" i="2"/>
  <c r="V17" i="2"/>
  <c r="V18" i="2"/>
  <c r="DY17" i="2"/>
  <c r="EJ17" i="2" s="1"/>
  <c r="X18" i="2"/>
  <c r="EA18" i="2"/>
  <c r="EL18" i="2" s="1"/>
  <c r="AG19" i="2"/>
  <c r="W21" i="2"/>
  <c r="Z25" i="2"/>
  <c r="EC25" i="2"/>
  <c r="EN25" i="2" s="1"/>
  <c r="Z26" i="2"/>
  <c r="CC25" i="2"/>
  <c r="DA25" i="2" s="1"/>
  <c r="AG28" i="2"/>
  <c r="CC28" i="2"/>
  <c r="DA28" i="2" s="1"/>
  <c r="X30" i="2"/>
  <c r="EA30" i="2"/>
  <c r="EL30" i="2" s="1"/>
  <c r="AG31" i="2"/>
  <c r="CC31" i="2"/>
  <c r="DA31" i="2" s="1"/>
  <c r="AG34" i="2"/>
  <c r="CC34" i="2"/>
  <c r="DA34" i="2" s="1"/>
  <c r="ED44" i="2"/>
  <c r="EO44" i="2" s="1"/>
  <c r="AA44" i="2"/>
  <c r="DY48" i="2"/>
  <c r="EJ48" i="2" s="1"/>
  <c r="V49" i="2"/>
  <c r="V48" i="2"/>
  <c r="DX13" i="2"/>
  <c r="EI13" i="2" s="1"/>
  <c r="AJ16" i="2"/>
  <c r="AA22" i="2"/>
  <c r="DY23" i="2"/>
  <c r="EJ23" i="2" s="1"/>
  <c r="V23" i="2"/>
  <c r="AK24" i="2"/>
  <c r="CG24" i="2"/>
  <c r="DE24" i="2" s="1"/>
  <c r="AL24" i="2"/>
  <c r="AB29" i="2"/>
  <c r="EH29" i="2"/>
  <c r="V31" i="2"/>
  <c r="DY31" i="2"/>
  <c r="EJ31" i="2" s="1"/>
  <c r="AM31" i="2"/>
  <c r="CI31" i="2"/>
  <c r="DG31" i="2" s="1"/>
  <c r="AB35" i="2"/>
  <c r="EL35" i="2"/>
  <c r="AB36" i="2"/>
  <c r="EE36" i="2"/>
  <c r="EP36" i="2" s="1"/>
  <c r="AB37" i="2"/>
  <c r="AJ43" i="2"/>
  <c r="CF43" i="2"/>
  <c r="DD43" i="2" s="1"/>
  <c r="CE48" i="2"/>
  <c r="DC48" i="2" s="1"/>
  <c r="AI48" i="2"/>
  <c r="W13" i="2"/>
  <c r="W14" i="2"/>
  <c r="DZ14" i="2"/>
  <c r="EK14" i="2" s="1"/>
  <c r="AJ17" i="2"/>
  <c r="CF17" i="2"/>
  <c r="DD17" i="2" s="1"/>
  <c r="AG20" i="2"/>
  <c r="CC20" i="2"/>
  <c r="DA20" i="2" s="1"/>
  <c r="AF22" i="2"/>
  <c r="AE23" i="2"/>
  <c r="AG26" i="2"/>
  <c r="CC26" i="2"/>
  <c r="DA26" i="2" s="1"/>
  <c r="Z30" i="2"/>
  <c r="AG32" i="2"/>
  <c r="CC32" i="2"/>
  <c r="DA32" i="2" s="1"/>
  <c r="AO39" i="2"/>
  <c r="CK39" i="2"/>
  <c r="DI39" i="2" s="1"/>
  <c r="AM40" i="2"/>
  <c r="CI40" i="2"/>
  <c r="DG40" i="2" s="1"/>
  <c r="AK41" i="2"/>
  <c r="CG41" i="2"/>
  <c r="DE41" i="2" s="1"/>
  <c r="DZ58" i="2"/>
  <c r="EK58" i="2" s="1"/>
  <c r="W58" i="2"/>
  <c r="AM60" i="2"/>
  <c r="CI60" i="2"/>
  <c r="DG60" i="2" s="1"/>
  <c r="AL70" i="2"/>
  <c r="CH70" i="2"/>
  <c r="DF70" i="2" s="1"/>
  <c r="AL19" i="2"/>
  <c r="W20" i="2"/>
  <c r="W22" i="2"/>
  <c r="AG23" i="2"/>
  <c r="CD24" i="2"/>
  <c r="DB24" i="2" s="1"/>
  <c r="EF25" i="2"/>
  <c r="EQ25" i="2" s="1"/>
  <c r="AC25" i="2"/>
  <c r="AO28" i="2"/>
  <c r="CK28" i="2"/>
  <c r="DI28" i="2" s="1"/>
  <c r="AE29" i="2"/>
  <c r="CA29" i="2"/>
  <c r="CY29" i="2" s="1"/>
  <c r="EL29" i="2"/>
  <c r="X31" i="2"/>
  <c r="AO34" i="2"/>
  <c r="CK34" i="2"/>
  <c r="DI34" i="2" s="1"/>
  <c r="AE35" i="2"/>
  <c r="CA35" i="2"/>
  <c r="CY35" i="2" s="1"/>
  <c r="AN40" i="2"/>
  <c r="CJ40" i="2"/>
  <c r="DH40" i="2" s="1"/>
  <c r="AL41" i="2"/>
  <c r="CH41" i="2"/>
  <c r="DF41" i="2" s="1"/>
  <c r="EE43" i="2"/>
  <c r="EP43" i="2" s="1"/>
  <c r="AB44" i="2"/>
  <c r="AB43" i="2"/>
  <c r="AK29" i="2"/>
  <c r="CG29" i="2"/>
  <c r="DE29" i="2" s="1"/>
  <c r="CF48" i="2"/>
  <c r="DD48" i="2" s="1"/>
  <c r="AJ48" i="2"/>
  <c r="EK16" i="2"/>
  <c r="CB18" i="2"/>
  <c r="CZ18" i="2" s="1"/>
  <c r="AF18" i="2"/>
  <c r="CH20" i="2"/>
  <c r="DF20" i="2" s="1"/>
  <c r="AL20" i="2"/>
  <c r="CA20" i="2"/>
  <c r="CY20" i="2" s="1"/>
  <c r="Y23" i="2"/>
  <c r="EE24" i="2"/>
  <c r="EP24" i="2" s="1"/>
  <c r="AB24" i="2"/>
  <c r="AB25" i="2"/>
  <c r="V26" i="2"/>
  <c r="AK26" i="2"/>
  <c r="CG26" i="2"/>
  <c r="DE26" i="2" s="1"/>
  <c r="AO27" i="2"/>
  <c r="CK27" i="2"/>
  <c r="DI27" i="2" s="1"/>
  <c r="AB30" i="2"/>
  <c r="EE30" i="2"/>
  <c r="EP30" i="2" s="1"/>
  <c r="AB31" i="2"/>
  <c r="AK32" i="2"/>
  <c r="CG32" i="2"/>
  <c r="DE32" i="2" s="1"/>
  <c r="AO33" i="2"/>
  <c r="CK33" i="2"/>
  <c r="DI33" i="2" s="1"/>
  <c r="EP39" i="2"/>
  <c r="CA19" i="2"/>
  <c r="CY19" i="2" s="1"/>
  <c r="AE19" i="2"/>
  <c r="EL20" i="2"/>
  <c r="EN21" i="2"/>
  <c r="EB22" i="2"/>
  <c r="EM22" i="2" s="1"/>
  <c r="Y22" i="2"/>
  <c r="CF22" i="2"/>
  <c r="DD22" i="2" s="1"/>
  <c r="AE27" i="2"/>
  <c r="CA27" i="2"/>
  <c r="CY27" i="2" s="1"/>
  <c r="Z31" i="2"/>
  <c r="EC31" i="2"/>
  <c r="EN31" i="2" s="1"/>
  <c r="Z32" i="2"/>
  <c r="AE33" i="2"/>
  <c r="CA33" i="2"/>
  <c r="CY33" i="2" s="1"/>
  <c r="EN40" i="2"/>
  <c r="AN41" i="2"/>
  <c r="CJ41" i="2"/>
  <c r="DH41" i="2" s="1"/>
  <c r="EL41" i="2"/>
  <c r="AN42" i="2"/>
  <c r="CJ42" i="2"/>
  <c r="DH42" i="2" s="1"/>
  <c r="CK46" i="2"/>
  <c r="DI46" i="2" s="1"/>
  <c r="AO46" i="2"/>
  <c r="U15" i="2"/>
  <c r="CE16" i="2"/>
  <c r="DC16" i="2" s="1"/>
  <c r="W17" i="2"/>
  <c r="V20" i="2"/>
  <c r="EB21" i="2"/>
  <c r="EM21" i="2" s="1"/>
  <c r="Y21" i="2"/>
  <c r="AJ21" i="2"/>
  <c r="CH22" i="2"/>
  <c r="DF22" i="2" s="1"/>
  <c r="ED23" i="2"/>
  <c r="EO23" i="2" s="1"/>
  <c r="AA23" i="2"/>
  <c r="AA24" i="2"/>
  <c r="W25" i="2"/>
  <c r="X26" i="2"/>
  <c r="EA26" i="2"/>
  <c r="EL26" i="2" s="1"/>
  <c r="X27" i="2"/>
  <c r="EL27" i="2"/>
  <c r="EJ30" i="2"/>
  <c r="X32" i="2"/>
  <c r="EA32" i="2"/>
  <c r="EL32" i="2" s="1"/>
  <c r="X33" i="2"/>
  <c r="EL33" i="2"/>
  <c r="AG37" i="2"/>
  <c r="CC37" i="2"/>
  <c r="DA37" i="2" s="1"/>
  <c r="AH38" i="2"/>
  <c r="CD38" i="2"/>
  <c r="DB38" i="2" s="1"/>
  <c r="AK38" i="2"/>
  <c r="CG38" i="2"/>
  <c r="DE38" i="2" s="1"/>
  <c r="AI39" i="2"/>
  <c r="CE39" i="2"/>
  <c r="DC39" i="2" s="1"/>
  <c r="CK51" i="2"/>
  <c r="DI51" i="2" s="1"/>
  <c r="AO51" i="2"/>
  <c r="CI52" i="2"/>
  <c r="DG52" i="2" s="1"/>
  <c r="EB57" i="2"/>
  <c r="EM57" i="2" s="1"/>
  <c r="Y57" i="2"/>
  <c r="CK45" i="2"/>
  <c r="DI45" i="2" s="1"/>
  <c r="AA47" i="2"/>
  <c r="AN51" i="2"/>
  <c r="CJ51" i="2"/>
  <c r="DH51" i="2" s="1"/>
  <c r="EB52" i="2"/>
  <c r="EM52" i="2" s="1"/>
  <c r="Y52" i="2"/>
  <c r="AN54" i="2"/>
  <c r="CJ54" i="2"/>
  <c r="DH54" i="2" s="1"/>
  <c r="AO54" i="2"/>
  <c r="CK54" i="2"/>
  <c r="DI54" i="2" s="1"/>
  <c r="EI56" i="2"/>
  <c r="EQ59" i="2"/>
  <c r="EF62" i="2"/>
  <c r="EQ62" i="2" s="1"/>
  <c r="AC63" i="2"/>
  <c r="AC62" i="2"/>
  <c r="AO65" i="2"/>
  <c r="CK65" i="2"/>
  <c r="DI65" i="2" s="1"/>
  <c r="CI67" i="2"/>
  <c r="DG67" i="2" s="1"/>
  <c r="AM67" i="2"/>
  <c r="AJ84" i="2"/>
  <c r="CF84" i="2"/>
  <c r="DD84" i="2" s="1"/>
  <c r="W23" i="2"/>
  <c r="CB25" i="2"/>
  <c r="CZ25" i="2" s="1"/>
  <c r="AA26" i="2"/>
  <c r="Y27" i="2"/>
  <c r="CJ27" i="2"/>
  <c r="DH27" i="2" s="1"/>
  <c r="W28" i="2"/>
  <c r="CH28" i="2"/>
  <c r="DF28" i="2" s="1"/>
  <c r="U29" i="2"/>
  <c r="CF29" i="2"/>
  <c r="DD29" i="2" s="1"/>
  <c r="CD30" i="2"/>
  <c r="DB30" i="2" s="1"/>
  <c r="AC31" i="2"/>
  <c r="CB31" i="2"/>
  <c r="CZ31" i="2" s="1"/>
  <c r="AA32" i="2"/>
  <c r="Y33" i="2"/>
  <c r="CJ33" i="2"/>
  <c r="DH33" i="2" s="1"/>
  <c r="W34" i="2"/>
  <c r="CH34" i="2"/>
  <c r="DF34" i="2" s="1"/>
  <c r="U35" i="2"/>
  <c r="CF35" i="2"/>
  <c r="DD35" i="2" s="1"/>
  <c r="CD36" i="2"/>
  <c r="DB36" i="2" s="1"/>
  <c r="EA36" i="2"/>
  <c r="EL36" i="2" s="1"/>
  <c r="AC37" i="2"/>
  <c r="CB37" i="2"/>
  <c r="CZ37" i="2" s="1"/>
  <c r="DY37" i="2"/>
  <c r="EJ37" i="2" s="1"/>
  <c r="AA38" i="2"/>
  <c r="Y39" i="2"/>
  <c r="CJ39" i="2"/>
  <c r="DH39" i="2" s="1"/>
  <c r="W40" i="2"/>
  <c r="CH40" i="2"/>
  <c r="DF40" i="2" s="1"/>
  <c r="EE40" i="2"/>
  <c r="EP40" i="2" s="1"/>
  <c r="U41" i="2"/>
  <c r="CF41" i="2"/>
  <c r="DD41" i="2" s="1"/>
  <c r="EC41" i="2"/>
  <c r="EN41" i="2" s="1"/>
  <c r="AO43" i="2"/>
  <c r="EF44" i="2"/>
  <c r="EQ44" i="2" s="1"/>
  <c r="AC44" i="2"/>
  <c r="AJ45" i="2"/>
  <c r="CF45" i="2"/>
  <c r="DD45" i="2" s="1"/>
  <c r="EQ46" i="2"/>
  <c r="AN48" i="2"/>
  <c r="CJ48" i="2"/>
  <c r="DH48" i="2" s="1"/>
  <c r="AF49" i="2"/>
  <c r="CB49" i="2"/>
  <c r="CZ49" i="2" s="1"/>
  <c r="W51" i="2"/>
  <c r="DZ51" i="2"/>
  <c r="EK51" i="2" s="1"/>
  <c r="EC52" i="2"/>
  <c r="EN52" i="2" s="1"/>
  <c r="Z53" i="2"/>
  <c r="EQ52" i="2"/>
  <c r="AO53" i="2"/>
  <c r="CK53" i="2"/>
  <c r="DI53" i="2" s="1"/>
  <c r="AJ56" i="2"/>
  <c r="CF56" i="2"/>
  <c r="DD56" i="2" s="1"/>
  <c r="CE55" i="2"/>
  <c r="DC55" i="2" s="1"/>
  <c r="ED57" i="2"/>
  <c r="EO57" i="2" s="1"/>
  <c r="AA58" i="2"/>
  <c r="AA57" i="2"/>
  <c r="EB58" i="2"/>
  <c r="EM58" i="2" s="1"/>
  <c r="Y59" i="2"/>
  <c r="Y58" i="2"/>
  <c r="DZ59" i="2"/>
  <c r="EK59" i="2" s="1"/>
  <c r="W60" i="2"/>
  <c r="W59" i="2"/>
  <c r="AO60" i="2"/>
  <c r="CK60" i="2"/>
  <c r="DI60" i="2" s="1"/>
  <c r="EI62" i="2"/>
  <c r="CH68" i="2"/>
  <c r="DF68" i="2" s="1"/>
  <c r="AL68" i="2"/>
  <c r="W70" i="2"/>
  <c r="DZ70" i="2"/>
  <c r="EK70" i="2" s="1"/>
  <c r="AI73" i="2"/>
  <c r="CE73" i="2"/>
  <c r="DC73" i="2" s="1"/>
  <c r="AG74" i="2"/>
  <c r="CC74" i="2"/>
  <c r="DA74" i="2" s="1"/>
  <c r="CB43" i="2"/>
  <c r="CZ43" i="2" s="1"/>
  <c r="CA44" i="2"/>
  <c r="CY44" i="2" s="1"/>
  <c r="CH45" i="2"/>
  <c r="DF45" i="2" s="1"/>
  <c r="AL45" i="2"/>
  <c r="AH46" i="2"/>
  <c r="CD46" i="2"/>
  <c r="DB46" i="2" s="1"/>
  <c r="AL50" i="2"/>
  <c r="CH50" i="2"/>
  <c r="DF50" i="2" s="1"/>
  <c r="EI51" i="2"/>
  <c r="CB54" i="2"/>
  <c r="CZ54" i="2" s="1"/>
  <c r="AF54" i="2"/>
  <c r="AK55" i="2"/>
  <c r="CG55" i="2"/>
  <c r="DE55" i="2" s="1"/>
  <c r="EK56" i="2"/>
  <c r="AJ62" i="2"/>
  <c r="CF62" i="2"/>
  <c r="DD62" i="2" s="1"/>
  <c r="ED63" i="2"/>
  <c r="EO63" i="2" s="1"/>
  <c r="AA64" i="2"/>
  <c r="AA63" i="2"/>
  <c r="EI63" i="2"/>
  <c r="AL81" i="2"/>
  <c r="CH81" i="2"/>
  <c r="DF81" i="2" s="1"/>
  <c r="EA17" i="2"/>
  <c r="EL17" i="2" s="1"/>
  <c r="AA21" i="2"/>
  <c r="CB23" i="2"/>
  <c r="CZ23" i="2" s="1"/>
  <c r="AC26" i="2"/>
  <c r="CB26" i="2"/>
  <c r="CZ26" i="2" s="1"/>
  <c r="DY26" i="2"/>
  <c r="EJ26" i="2" s="1"/>
  <c r="AA27" i="2"/>
  <c r="Y28" i="2"/>
  <c r="W29" i="2"/>
  <c r="EE29" i="2"/>
  <c r="EP29" i="2" s="1"/>
  <c r="U30" i="2"/>
  <c r="EC30" i="2"/>
  <c r="EN30" i="2" s="1"/>
  <c r="EA31" i="2"/>
  <c r="EL31" i="2" s="1"/>
  <c r="AC32" i="2"/>
  <c r="CB32" i="2"/>
  <c r="CZ32" i="2" s="1"/>
  <c r="DY32" i="2"/>
  <c r="EJ32" i="2" s="1"/>
  <c r="AA33" i="2"/>
  <c r="Y34" i="2"/>
  <c r="W35" i="2"/>
  <c r="EE35" i="2"/>
  <c r="EP35" i="2" s="1"/>
  <c r="U36" i="2"/>
  <c r="EC36" i="2"/>
  <c r="EN36" i="2" s="1"/>
  <c r="EA37" i="2"/>
  <c r="EL37" i="2" s="1"/>
  <c r="AC38" i="2"/>
  <c r="CB38" i="2"/>
  <c r="CZ38" i="2" s="1"/>
  <c r="DY38" i="2"/>
  <c r="EJ38" i="2" s="1"/>
  <c r="AA39" i="2"/>
  <c r="Y40" i="2"/>
  <c r="W41" i="2"/>
  <c r="EE41" i="2"/>
  <c r="EP41" i="2" s="1"/>
  <c r="V42" i="2"/>
  <c r="U43" i="2"/>
  <c r="AB45" i="2"/>
  <c r="AG46" i="2"/>
  <c r="CC46" i="2"/>
  <c r="DA46" i="2" s="1"/>
  <c r="CF46" i="2"/>
  <c r="DD46" i="2" s="1"/>
  <c r="AJ46" i="2"/>
  <c r="AL49" i="2"/>
  <c r="CH49" i="2"/>
  <c r="DF49" i="2" s="1"/>
  <c r="AH51" i="2"/>
  <c r="CD51" i="2"/>
  <c r="DB51" i="2" s="1"/>
  <c r="CJ50" i="2"/>
  <c r="DH50" i="2" s="1"/>
  <c r="AN50" i="2"/>
  <c r="EB51" i="2"/>
  <c r="EM51" i="2" s="1"/>
  <c r="Y51" i="2"/>
  <c r="AF53" i="2"/>
  <c r="CB53" i="2"/>
  <c r="CZ53" i="2" s="1"/>
  <c r="AH54" i="2"/>
  <c r="CD54" i="2"/>
  <c r="DB54" i="2" s="1"/>
  <c r="CB60" i="2"/>
  <c r="CZ60" i="2" s="1"/>
  <c r="AF60" i="2"/>
  <c r="EM60" i="2"/>
  <c r="AK61" i="2"/>
  <c r="CG61" i="2"/>
  <c r="DE61" i="2" s="1"/>
  <c r="EK62" i="2"/>
  <c r="AI67" i="2"/>
  <c r="CE67" i="2"/>
  <c r="DC67" i="2" s="1"/>
  <c r="CG36" i="2"/>
  <c r="DE36" i="2" s="1"/>
  <c r="CE37" i="2"/>
  <c r="DC37" i="2" s="1"/>
  <c r="CC38" i="2"/>
  <c r="DA38" i="2" s="1"/>
  <c r="CA39" i="2"/>
  <c r="CY39" i="2" s="1"/>
  <c r="CK40" i="2"/>
  <c r="DI40" i="2" s="1"/>
  <c r="CI41" i="2"/>
  <c r="DG41" i="2" s="1"/>
  <c r="DX42" i="2"/>
  <c r="EI42" i="2" s="1"/>
  <c r="U42" i="2"/>
  <c r="W42" i="2"/>
  <c r="CD44" i="2"/>
  <c r="DB44" i="2" s="1"/>
  <c r="EI44" i="2"/>
  <c r="AI45" i="2"/>
  <c r="CE45" i="2"/>
  <c r="DC45" i="2" s="1"/>
  <c r="AL46" i="2"/>
  <c r="CH46" i="2"/>
  <c r="DF46" i="2" s="1"/>
  <c r="AF47" i="2"/>
  <c r="CB47" i="2"/>
  <c r="CZ47" i="2" s="1"/>
  <c r="AN49" i="2"/>
  <c r="CJ49" i="2"/>
  <c r="DH49" i="2" s="1"/>
  <c r="AI50" i="2"/>
  <c r="CE50" i="2"/>
  <c r="DC50" i="2" s="1"/>
  <c r="EI50" i="2"/>
  <c r="EQ51" i="2"/>
  <c r="CD53" i="2"/>
  <c r="DB53" i="2" s="1"/>
  <c r="AH53" i="2"/>
  <c r="DX54" i="2"/>
  <c r="EI54" i="2" s="1"/>
  <c r="U55" i="2"/>
  <c r="U54" i="2"/>
  <c r="AM55" i="2"/>
  <c r="CI55" i="2"/>
  <c r="DG55" i="2" s="1"/>
  <c r="AH57" i="2"/>
  <c r="CD57" i="2"/>
  <c r="DB57" i="2" s="1"/>
  <c r="CJ56" i="2"/>
  <c r="DH56" i="2" s="1"/>
  <c r="AN56" i="2"/>
  <c r="EI57" i="2"/>
  <c r="AH60" i="2"/>
  <c r="CD60" i="2"/>
  <c r="DB60" i="2" s="1"/>
  <c r="AJ65" i="2"/>
  <c r="CF65" i="2"/>
  <c r="DD65" i="2" s="1"/>
  <c r="U84" i="2"/>
  <c r="U83" i="2"/>
  <c r="DX83" i="2"/>
  <c r="EI83" i="2" s="1"/>
  <c r="AE18" i="2"/>
  <c r="DY21" i="2"/>
  <c r="EJ21" i="2" s="1"/>
  <c r="X42" i="2"/>
  <c r="EA42" i="2"/>
  <c r="EL42" i="2" s="1"/>
  <c r="U44" i="2"/>
  <c r="Z44" i="2"/>
  <c r="EK44" i="2"/>
  <c r="DZ46" i="2"/>
  <c r="EK46" i="2" s="1"/>
  <c r="W46" i="2"/>
  <c r="CD47" i="2"/>
  <c r="DB47" i="2" s="1"/>
  <c r="AH47" i="2"/>
  <c r="EQ47" i="2"/>
  <c r="W49" i="2"/>
  <c r="EK50" i="2"/>
  <c r="ED51" i="2"/>
  <c r="EO51" i="2" s="1"/>
  <c r="AA51" i="2"/>
  <c r="CK52" i="2"/>
  <c r="DI52" i="2" s="1"/>
  <c r="DX53" i="2"/>
  <c r="EI53" i="2" s="1"/>
  <c r="U53" i="2"/>
  <c r="AJ53" i="2"/>
  <c r="CF53" i="2"/>
  <c r="DD53" i="2" s="1"/>
  <c r="AI56" i="2"/>
  <c r="CE56" i="2"/>
  <c r="DC56" i="2" s="1"/>
  <c r="DX60" i="2"/>
  <c r="EI60" i="2" s="1"/>
  <c r="U61" i="2"/>
  <c r="U60" i="2"/>
  <c r="EO60" i="2"/>
  <c r="AM61" i="2"/>
  <c r="CI61" i="2"/>
  <c r="DG61" i="2" s="1"/>
  <c r="AH63" i="2"/>
  <c r="CD63" i="2"/>
  <c r="DB63" i="2" s="1"/>
  <c r="CJ62" i="2"/>
  <c r="DH62" i="2" s="1"/>
  <c r="AN62" i="2"/>
  <c r="AH66" i="2"/>
  <c r="CD66" i="2"/>
  <c r="DB66" i="2" s="1"/>
  <c r="Y68" i="2"/>
  <c r="EB67" i="2"/>
  <c r="EM67" i="2" s="1"/>
  <c r="Y67" i="2"/>
  <c r="EB74" i="2"/>
  <c r="EM74" i="2" s="1"/>
  <c r="Y74" i="2"/>
  <c r="CE26" i="2"/>
  <c r="DC26" i="2" s="1"/>
  <c r="CC27" i="2"/>
  <c r="DA27" i="2" s="1"/>
  <c r="CA28" i="2"/>
  <c r="CY28" i="2" s="1"/>
  <c r="CK29" i="2"/>
  <c r="DI29" i="2" s="1"/>
  <c r="CI30" i="2"/>
  <c r="DG30" i="2" s="1"/>
  <c r="CG31" i="2"/>
  <c r="DE31" i="2" s="1"/>
  <c r="CE32" i="2"/>
  <c r="DC32" i="2" s="1"/>
  <c r="CC33" i="2"/>
  <c r="DA33" i="2" s="1"/>
  <c r="CA34" i="2"/>
  <c r="CY34" i="2" s="1"/>
  <c r="CK35" i="2"/>
  <c r="DI35" i="2" s="1"/>
  <c r="CI36" i="2"/>
  <c r="DG36" i="2" s="1"/>
  <c r="CG37" i="2"/>
  <c r="DE37" i="2" s="1"/>
  <c r="CE38" i="2"/>
  <c r="DC38" i="2" s="1"/>
  <c r="CC39" i="2"/>
  <c r="DA39" i="2" s="1"/>
  <c r="CA40" i="2"/>
  <c r="CY40" i="2" s="1"/>
  <c r="CK41" i="2"/>
  <c r="DI41" i="2" s="1"/>
  <c r="Z42" i="2"/>
  <c r="W43" i="2"/>
  <c r="DZ43" i="2"/>
  <c r="EK43" i="2" s="1"/>
  <c r="AH45" i="2"/>
  <c r="CD45" i="2"/>
  <c r="DB45" i="2" s="1"/>
  <c r="CG44" i="2"/>
  <c r="DE44" i="2" s="1"/>
  <c r="EB45" i="2"/>
  <c r="EM45" i="2" s="1"/>
  <c r="Y45" i="2"/>
  <c r="AB46" i="2"/>
  <c r="DX47" i="2"/>
  <c r="EI47" i="2" s="1"/>
  <c r="U47" i="2"/>
  <c r="X47" i="2"/>
  <c r="AO48" i="2"/>
  <c r="CK48" i="2"/>
  <c r="DI48" i="2" s="1"/>
  <c r="AJ50" i="2"/>
  <c r="CF50" i="2"/>
  <c r="DD50" i="2" s="1"/>
  <c r="AG49" i="2"/>
  <c r="Y50" i="2"/>
  <c r="EB50" i="2"/>
  <c r="EM50" i="2" s="1"/>
  <c r="EE51" i="2"/>
  <c r="EP51" i="2" s="1"/>
  <c r="AB52" i="2"/>
  <c r="Y53" i="2"/>
  <c r="EF55" i="2"/>
  <c r="EQ55" i="2" s="1"/>
  <c r="AC55" i="2"/>
  <c r="AN60" i="2"/>
  <c r="CJ60" i="2"/>
  <c r="DH60" i="2" s="1"/>
  <c r="AI62" i="2"/>
  <c r="CE62" i="2"/>
  <c r="DC62" i="2" s="1"/>
  <c r="AG64" i="2"/>
  <c r="CC64" i="2"/>
  <c r="DA64" i="2" s="1"/>
  <c r="DZ65" i="2"/>
  <c r="EK65" i="2" s="1"/>
  <c r="W65" i="2"/>
  <c r="AM71" i="2"/>
  <c r="EI45" i="2"/>
  <c r="EB46" i="2"/>
  <c r="EM46" i="2" s="1"/>
  <c r="Y46" i="2"/>
  <c r="Y47" i="2"/>
  <c r="AK49" i="2"/>
  <c r="CG49" i="2"/>
  <c r="DE49" i="2" s="1"/>
  <c r="EK49" i="2"/>
  <c r="AH52" i="2"/>
  <c r="CD52" i="2"/>
  <c r="DB52" i="2" s="1"/>
  <c r="DZ53" i="2"/>
  <c r="EK53" i="2" s="1"/>
  <c r="W54" i="2"/>
  <c r="W53" i="2"/>
  <c r="EM53" i="2"/>
  <c r="EK55" i="2"/>
  <c r="AK56" i="2"/>
  <c r="CG56" i="2"/>
  <c r="DE56" i="2" s="1"/>
  <c r="AG57" i="2"/>
  <c r="CC57" i="2"/>
  <c r="DA57" i="2" s="1"/>
  <c r="CH57" i="2"/>
  <c r="DF57" i="2" s="1"/>
  <c r="AL57" i="2"/>
  <c r="AO59" i="2"/>
  <c r="CK59" i="2"/>
  <c r="DI59" i="2" s="1"/>
  <c r="EF61" i="2"/>
  <c r="EQ61" i="2" s="1"/>
  <c r="AC61" i="2"/>
  <c r="AL64" i="2"/>
  <c r="CH64" i="2"/>
  <c r="DF64" i="2" s="1"/>
  <c r="CC78" i="2"/>
  <c r="DA78" i="2" s="1"/>
  <c r="AG78" i="2"/>
  <c r="AA80" i="2"/>
  <c r="ED80" i="2"/>
  <c r="EO80" i="2" s="1"/>
  <c r="CA17" i="2"/>
  <c r="CY17" i="2" s="1"/>
  <c r="DZ22" i="2"/>
  <c r="EK22" i="2" s="1"/>
  <c r="Y42" i="2"/>
  <c r="AF42" i="2"/>
  <c r="Y43" i="2"/>
  <c r="AJ44" i="2"/>
  <c r="CF44" i="2"/>
  <c r="DD44" i="2" s="1"/>
  <c r="ED45" i="2"/>
  <c r="EO45" i="2" s="1"/>
  <c r="AA45" i="2"/>
  <c r="DZ47" i="2"/>
  <c r="EK47" i="2" s="1"/>
  <c r="W47" i="2"/>
  <c r="Z47" i="2"/>
  <c r="CB48" i="2"/>
  <c r="CZ48" i="2" s="1"/>
  <c r="AF48" i="2"/>
  <c r="EM49" i="2"/>
  <c r="ED50" i="2"/>
  <c r="EO50" i="2" s="1"/>
  <c r="AA50" i="2"/>
  <c r="CC50" i="2"/>
  <c r="DA50" i="2" s="1"/>
  <c r="U52" i="2"/>
  <c r="DX52" i="2"/>
  <c r="EI52" i="2" s="1"/>
  <c r="CF52" i="2"/>
  <c r="DD52" i="2" s="1"/>
  <c r="AJ52" i="2"/>
  <c r="EA53" i="2"/>
  <c r="EL53" i="2" s="1"/>
  <c r="X54" i="2"/>
  <c r="CG54" i="2"/>
  <c r="DE54" i="2" s="1"/>
  <c r="AF55" i="2"/>
  <c r="CB55" i="2"/>
  <c r="CZ55" i="2" s="1"/>
  <c r="AN57" i="2"/>
  <c r="CJ57" i="2"/>
  <c r="DH57" i="2" s="1"/>
  <c r="EQ58" i="2"/>
  <c r="EK61" i="2"/>
  <c r="AK62" i="2"/>
  <c r="CG62" i="2"/>
  <c r="DE62" i="2" s="1"/>
  <c r="AG63" i="2"/>
  <c r="CC63" i="2"/>
  <c r="DA63" i="2" s="1"/>
  <c r="ED66" i="2"/>
  <c r="EO66" i="2" s="1"/>
  <c r="AA66" i="2"/>
  <c r="AI68" i="2"/>
  <c r="CE68" i="2"/>
  <c r="DC68" i="2" s="1"/>
  <c r="AN82" i="2"/>
  <c r="CJ82" i="2"/>
  <c r="DH82" i="2" s="1"/>
  <c r="Z43" i="2"/>
  <c r="AA49" i="2"/>
  <c r="ED49" i="2"/>
  <c r="EO49" i="2" s="1"/>
  <c r="AL52" i="2"/>
  <c r="CH52" i="2"/>
  <c r="DF52" i="2" s="1"/>
  <c r="AL55" i="2"/>
  <c r="CH55" i="2"/>
  <c r="DF55" i="2" s="1"/>
  <c r="EM55" i="2"/>
  <c r="ED56" i="2"/>
  <c r="EO56" i="2" s="1"/>
  <c r="AA56" i="2"/>
  <c r="AI57" i="2"/>
  <c r="CE57" i="2"/>
  <c r="DC57" i="2" s="1"/>
  <c r="AG58" i="2"/>
  <c r="CC58" i="2"/>
  <c r="DA58" i="2" s="1"/>
  <c r="CF58" i="2"/>
  <c r="DD58" i="2" s="1"/>
  <c r="AJ58" i="2"/>
  <c r="CG60" i="2"/>
  <c r="DE60" i="2" s="1"/>
  <c r="AF61" i="2"/>
  <c r="CB61" i="2"/>
  <c r="CZ61" i="2" s="1"/>
  <c r="AN63" i="2"/>
  <c r="CJ63" i="2"/>
  <c r="DH63" i="2" s="1"/>
  <c r="EH65" i="2"/>
  <c r="DY68" i="2"/>
  <c r="EJ68" i="2" s="1"/>
  <c r="V68" i="2"/>
  <c r="AI69" i="2"/>
  <c r="CE69" i="2"/>
  <c r="DC69" i="2" s="1"/>
  <c r="AE75" i="2"/>
  <c r="CA75" i="2"/>
  <c r="CY75" i="2" s="1"/>
  <c r="AH102" i="2"/>
  <c r="CD102" i="2"/>
  <c r="DB102" i="2" s="1"/>
  <c r="AA43" i="2"/>
  <c r="AH43" i="2"/>
  <c r="CC45" i="2"/>
  <c r="DA45" i="2" s="1"/>
  <c r="DX48" i="2"/>
  <c r="EI48" i="2" s="1"/>
  <c r="U48" i="2"/>
  <c r="EF50" i="2"/>
  <c r="EQ50" i="2" s="1"/>
  <c r="AC50" i="2"/>
  <c r="AJ51" i="2"/>
  <c r="CF51" i="2"/>
  <c r="DD51" i="2" s="1"/>
  <c r="DZ52" i="2"/>
  <c r="EK52" i="2" s="1"/>
  <c r="W52" i="2"/>
  <c r="AM54" i="2"/>
  <c r="CI54" i="2"/>
  <c r="DG54" i="2" s="1"/>
  <c r="AL58" i="2"/>
  <c r="CH58" i="2"/>
  <c r="DF58" i="2" s="1"/>
  <c r="CD59" i="2"/>
  <c r="DB59" i="2" s="1"/>
  <c r="AH59" i="2"/>
  <c r="EO59" i="2"/>
  <c r="AL61" i="2"/>
  <c r="CH61" i="2"/>
  <c r="DF61" i="2" s="1"/>
  <c r="EM61" i="2"/>
  <c r="ED62" i="2"/>
  <c r="EO62" i="2" s="1"/>
  <c r="AA62" i="2"/>
  <c r="AI63" i="2"/>
  <c r="CE63" i="2"/>
  <c r="DC63" i="2" s="1"/>
  <c r="EB64" i="2"/>
  <c r="EM64" i="2" s="1"/>
  <c r="Y65" i="2"/>
  <c r="Y64" i="2"/>
  <c r="CK67" i="2"/>
  <c r="DI67" i="2" s="1"/>
  <c r="AO67" i="2"/>
  <c r="DY69" i="2"/>
  <c r="EJ69" i="2" s="1"/>
  <c r="V69" i="2"/>
  <c r="V70" i="2"/>
  <c r="AB76" i="2"/>
  <c r="EE76" i="2"/>
  <c r="EP76" i="2" s="1"/>
  <c r="AB77" i="2"/>
  <c r="Y63" i="2"/>
  <c r="AL63" i="2"/>
  <c r="W64" i="2"/>
  <c r="AJ64" i="2"/>
  <c r="U65" i="2"/>
  <c r="AH65" i="2"/>
  <c r="X67" i="2"/>
  <c r="DZ67" i="2"/>
  <c r="EK67" i="2" s="1"/>
  <c r="AF68" i="2"/>
  <c r="CB68" i="2"/>
  <c r="CZ68" i="2" s="1"/>
  <c r="AJ68" i="2"/>
  <c r="AJ69" i="2"/>
  <c r="U70" i="2"/>
  <c r="AO70" i="2"/>
  <c r="EQ70" i="2"/>
  <c r="ED71" i="2"/>
  <c r="EO71" i="2" s="1"/>
  <c r="AC73" i="2"/>
  <c r="EI78" i="2"/>
  <c r="EB79" i="2"/>
  <c r="EM79" i="2" s="1"/>
  <c r="Y79" i="2"/>
  <c r="CJ89" i="2"/>
  <c r="DH89" i="2" s="1"/>
  <c r="AN89" i="2"/>
  <c r="AE101" i="2"/>
  <c r="CA101" i="2"/>
  <c r="CY101" i="2" s="1"/>
  <c r="AH108" i="2"/>
  <c r="CD108" i="2"/>
  <c r="DB108" i="2" s="1"/>
  <c r="EQ66" i="2"/>
  <c r="EM68" i="2"/>
  <c r="EI73" i="2"/>
  <c r="DZ74" i="2"/>
  <c r="EK74" i="2" s="1"/>
  <c r="W74" i="2"/>
  <c r="AL74" i="2"/>
  <c r="CH74" i="2"/>
  <c r="DF74" i="2" s="1"/>
  <c r="EM76" i="2"/>
  <c r="AF78" i="2"/>
  <c r="CB78" i="2"/>
  <c r="CZ78" i="2" s="1"/>
  <c r="AH81" i="2"/>
  <c r="CD81" i="2"/>
  <c r="DB81" i="2" s="1"/>
  <c r="CK95" i="2"/>
  <c r="DI95" i="2" s="1"/>
  <c r="AO95" i="2"/>
  <c r="DY44" i="2"/>
  <c r="EJ44" i="2" s="1"/>
  <c r="EE47" i="2"/>
  <c r="EP47" i="2" s="1"/>
  <c r="EC48" i="2"/>
  <c r="EN48" i="2" s="1"/>
  <c r="EA49" i="2"/>
  <c r="EL49" i="2" s="1"/>
  <c r="DY50" i="2"/>
  <c r="EJ50" i="2" s="1"/>
  <c r="AC66" i="2"/>
  <c r="Z67" i="2"/>
  <c r="EC68" i="2"/>
  <c r="EN68" i="2" s="1"/>
  <c r="AA72" i="2"/>
  <c r="AF73" i="2"/>
  <c r="CB73" i="2"/>
  <c r="CZ73" i="2" s="1"/>
  <c r="EK73" i="2"/>
  <c r="AN74" i="2"/>
  <c r="CJ74" i="2"/>
  <c r="DH74" i="2" s="1"/>
  <c r="AC75" i="2"/>
  <c r="Z77" i="2"/>
  <c r="EC77" i="2"/>
  <c r="EN77" i="2" s="1"/>
  <c r="Z78" i="2"/>
  <c r="CG77" i="2"/>
  <c r="DE77" i="2" s="1"/>
  <c r="DX81" i="2"/>
  <c r="EI81" i="2" s="1"/>
  <c r="U81" i="2"/>
  <c r="CI82" i="2"/>
  <c r="DG82" i="2" s="1"/>
  <c r="AC88" i="2"/>
  <c r="EF88" i="2"/>
  <c r="EQ88" i="2" s="1"/>
  <c r="AC89" i="2"/>
  <c r="AE95" i="2"/>
  <c r="CA95" i="2"/>
  <c r="CY95" i="2" s="1"/>
  <c r="AC98" i="2"/>
  <c r="AC97" i="2"/>
  <c r="CI102" i="2"/>
  <c r="DG102" i="2" s="1"/>
  <c r="AM102" i="2"/>
  <c r="AB67" i="2"/>
  <c r="CC69" i="2"/>
  <c r="DA69" i="2" s="1"/>
  <c r="AN70" i="2"/>
  <c r="CJ70" i="2"/>
  <c r="DH70" i="2" s="1"/>
  <c r="EF72" i="2"/>
  <c r="EQ72" i="2" s="1"/>
  <c r="AC72" i="2"/>
  <c r="AN78" i="2"/>
  <c r="CJ78" i="2"/>
  <c r="DH78" i="2" s="1"/>
  <c r="AC79" i="2"/>
  <c r="EF79" i="2"/>
  <c r="EQ79" i="2" s="1"/>
  <c r="AI86" i="2"/>
  <c r="CE86" i="2"/>
  <c r="DC86" i="2" s="1"/>
  <c r="AM89" i="2"/>
  <c r="CI89" i="2"/>
  <c r="DG89" i="2" s="1"/>
  <c r="CG97" i="2"/>
  <c r="DE97" i="2" s="1"/>
  <c r="AK97" i="2"/>
  <c r="AK113" i="2"/>
  <c r="CG113" i="2"/>
  <c r="DE113" i="2" s="1"/>
  <c r="AO134" i="2"/>
  <c r="CK134" i="2"/>
  <c r="DI134" i="2" s="1"/>
  <c r="EF54" i="2"/>
  <c r="EQ54" i="2" s="1"/>
  <c r="V55" i="2"/>
  <c r="ED55" i="2"/>
  <c r="EO55" i="2" s="1"/>
  <c r="EB56" i="2"/>
  <c r="EM56" i="2" s="1"/>
  <c r="DZ57" i="2"/>
  <c r="EK57" i="2" s="1"/>
  <c r="AB58" i="2"/>
  <c r="DX58" i="2"/>
  <c r="EI58" i="2" s="1"/>
  <c r="Z59" i="2"/>
  <c r="X60" i="2"/>
  <c r="EF60" i="2"/>
  <c r="EQ60" i="2" s="1"/>
  <c r="V61" i="2"/>
  <c r="ED61" i="2"/>
  <c r="EO61" i="2" s="1"/>
  <c r="EB62" i="2"/>
  <c r="EM62" i="2" s="1"/>
  <c r="DZ63" i="2"/>
  <c r="EK63" i="2" s="1"/>
  <c r="AB64" i="2"/>
  <c r="DX64" i="2"/>
  <c r="EI64" i="2" s="1"/>
  <c r="Z65" i="2"/>
  <c r="CC68" i="2"/>
  <c r="DA68" i="2" s="1"/>
  <c r="Z69" i="2"/>
  <c r="CG70" i="2"/>
  <c r="DE70" i="2" s="1"/>
  <c r="AF71" i="2"/>
  <c r="CB71" i="2"/>
  <c r="CZ71" i="2" s="1"/>
  <c r="EI72" i="2"/>
  <c r="V73" i="2"/>
  <c r="DY73" i="2"/>
  <c r="EJ73" i="2" s="1"/>
  <c r="EF73" i="2"/>
  <c r="EQ73" i="2" s="1"/>
  <c r="EF77" i="2"/>
  <c r="EQ77" i="2" s="1"/>
  <c r="AC77" i="2"/>
  <c r="AC80" i="2"/>
  <c r="CE85" i="2"/>
  <c r="DC85" i="2" s="1"/>
  <c r="AI85" i="2"/>
  <c r="DY86" i="2"/>
  <c r="EJ86" i="2" s="1"/>
  <c r="V86" i="2"/>
  <c r="AG93" i="2"/>
  <c r="AJ94" i="2"/>
  <c r="CF94" i="2"/>
  <c r="DD94" i="2" s="1"/>
  <c r="AE115" i="2"/>
  <c r="CA115" i="2"/>
  <c r="CY115" i="2" s="1"/>
  <c r="CB46" i="2"/>
  <c r="CZ46" i="2" s="1"/>
  <c r="CB52" i="2"/>
  <c r="CZ52" i="2" s="1"/>
  <c r="CB58" i="2"/>
  <c r="CZ58" i="2" s="1"/>
  <c r="CB64" i="2"/>
  <c r="CZ64" i="2" s="1"/>
  <c r="AA65" i="2"/>
  <c r="CJ66" i="2"/>
  <c r="DH66" i="2" s="1"/>
  <c r="Y69" i="2"/>
  <c r="AN69" i="2"/>
  <c r="CJ69" i="2"/>
  <c r="DH69" i="2" s="1"/>
  <c r="CI70" i="2"/>
  <c r="DG70" i="2" s="1"/>
  <c r="AH71" i="2"/>
  <c r="CD71" i="2"/>
  <c r="DB71" i="2" s="1"/>
  <c r="AF72" i="2"/>
  <c r="CB72" i="2"/>
  <c r="CZ72" i="2" s="1"/>
  <c r="AN73" i="2"/>
  <c r="CJ73" i="2"/>
  <c r="DH73" i="2" s="1"/>
  <c r="DX75" i="2"/>
  <c r="EI75" i="2" s="1"/>
  <c r="U75" i="2"/>
  <c r="AJ75" i="2"/>
  <c r="CF75" i="2"/>
  <c r="DD75" i="2" s="1"/>
  <c r="EH77" i="2"/>
  <c r="AJ78" i="2"/>
  <c r="CF78" i="2"/>
  <c r="DD78" i="2" s="1"/>
  <c r="Y81" i="2"/>
  <c r="EB81" i="2"/>
  <c r="EM81" i="2" s="1"/>
  <c r="AF82" i="2"/>
  <c r="CB82" i="2"/>
  <c r="CZ82" i="2" s="1"/>
  <c r="CD83" i="2"/>
  <c r="DB83" i="2" s="1"/>
  <c r="CF85" i="2"/>
  <c r="DD85" i="2" s="1"/>
  <c r="AJ85" i="2"/>
  <c r="DY89" i="2"/>
  <c r="EJ89" i="2" s="1"/>
  <c r="V89" i="2"/>
  <c r="CF93" i="2"/>
  <c r="DD93" i="2" s="1"/>
  <c r="AJ93" i="2"/>
  <c r="DZ121" i="2"/>
  <c r="EK121" i="2" s="1"/>
  <c r="W121" i="2"/>
  <c r="W122" i="2"/>
  <c r="CJ65" i="2"/>
  <c r="DH65" i="2" s="1"/>
  <c r="U71" i="2"/>
  <c r="AJ71" i="2"/>
  <c r="CF71" i="2"/>
  <c r="DD71" i="2" s="1"/>
  <c r="DX71" i="2"/>
  <c r="EI71" i="2" s="1"/>
  <c r="AH72" i="2"/>
  <c r="CD72" i="2"/>
  <c r="DB72" i="2" s="1"/>
  <c r="EK72" i="2"/>
  <c r="AC74" i="2"/>
  <c r="AL75" i="2"/>
  <c r="CH75" i="2"/>
  <c r="DF75" i="2" s="1"/>
  <c r="AH76" i="2"/>
  <c r="CD76" i="2"/>
  <c r="DB76" i="2" s="1"/>
  <c r="EI80" i="2"/>
  <c r="CF91" i="2"/>
  <c r="DD91" i="2" s="1"/>
  <c r="AJ91" i="2"/>
  <c r="CJ55" i="2"/>
  <c r="DH55" i="2" s="1"/>
  <c r="CH56" i="2"/>
  <c r="DF56" i="2" s="1"/>
  <c r="CF57" i="2"/>
  <c r="DD57" i="2" s="1"/>
  <c r="CD58" i="2"/>
  <c r="DB58" i="2" s="1"/>
  <c r="CB59" i="2"/>
  <c r="CZ59" i="2" s="1"/>
  <c r="CJ61" i="2"/>
  <c r="DH61" i="2" s="1"/>
  <c r="CH62" i="2"/>
  <c r="DF62" i="2" s="1"/>
  <c r="CF63" i="2"/>
  <c r="DD63" i="2" s="1"/>
  <c r="CD64" i="2"/>
  <c r="DB64" i="2" s="1"/>
  <c r="CB65" i="2"/>
  <c r="CZ65" i="2" s="1"/>
  <c r="AL66" i="2"/>
  <c r="AA68" i="2"/>
  <c r="AA69" i="2"/>
  <c r="AF69" i="2"/>
  <c r="Z71" i="2"/>
  <c r="U72" i="2"/>
  <c r="Y72" i="2"/>
  <c r="CJ72" i="2"/>
  <c r="DH72" i="2" s="1"/>
  <c r="Y73" i="2"/>
  <c r="DZ75" i="2"/>
  <c r="EK75" i="2" s="1"/>
  <c r="W75" i="2"/>
  <c r="DX76" i="2"/>
  <c r="EI76" i="2" s="1"/>
  <c r="U76" i="2"/>
  <c r="AJ76" i="2"/>
  <c r="CF76" i="2"/>
  <c r="DD76" i="2" s="1"/>
  <c r="AH77" i="2"/>
  <c r="CD77" i="2"/>
  <c r="DB77" i="2" s="1"/>
  <c r="EK77" i="2"/>
  <c r="CE78" i="2"/>
  <c r="DC78" i="2" s="1"/>
  <c r="AL79" i="2"/>
  <c r="CH79" i="2"/>
  <c r="DF79" i="2" s="1"/>
  <c r="AA81" i="2"/>
  <c r="CK81" i="2"/>
  <c r="DI81" i="2" s="1"/>
  <c r="AJ82" i="2"/>
  <c r="CF82" i="2"/>
  <c r="DD82" i="2" s="1"/>
  <c r="EM82" i="2"/>
  <c r="AL83" i="2"/>
  <c r="CH83" i="2"/>
  <c r="DF83" i="2" s="1"/>
  <c r="EC85" i="2"/>
  <c r="EN85" i="2" s="1"/>
  <c r="Z85" i="2"/>
  <c r="AG91" i="2"/>
  <c r="CC91" i="2"/>
  <c r="DA91" i="2" s="1"/>
  <c r="EF106" i="2"/>
  <c r="EQ106" i="2" s="1"/>
  <c r="AC107" i="2"/>
  <c r="AC106" i="2"/>
  <c r="CC111" i="2"/>
  <c r="DA111" i="2" s="1"/>
  <c r="AG111" i="2"/>
  <c r="U66" i="2"/>
  <c r="X66" i="2"/>
  <c r="EB70" i="2"/>
  <c r="EM70" i="2" s="1"/>
  <c r="W71" i="2"/>
  <c r="DZ71" i="2"/>
  <c r="EK71" i="2" s="1"/>
  <c r="Z72" i="2"/>
  <c r="ED72" i="2"/>
  <c r="EO72" i="2" s="1"/>
  <c r="AJ73" i="2"/>
  <c r="DX74" i="2"/>
  <c r="EI74" i="2" s="1"/>
  <c r="AF75" i="2"/>
  <c r="U77" i="2"/>
  <c r="DX77" i="2"/>
  <c r="EI77" i="2" s="1"/>
  <c r="ED78" i="2"/>
  <c r="EO78" i="2" s="1"/>
  <c r="AA78" i="2"/>
  <c r="AH79" i="2"/>
  <c r="CD79" i="2"/>
  <c r="DB79" i="2" s="1"/>
  <c r="AJ80" i="2"/>
  <c r="CF80" i="2"/>
  <c r="DD80" i="2" s="1"/>
  <c r="CI84" i="2"/>
  <c r="DG84" i="2" s="1"/>
  <c r="AM84" i="2"/>
  <c r="CH84" i="2"/>
  <c r="DF84" i="2" s="1"/>
  <c r="AL84" i="2"/>
  <c r="EF100" i="2"/>
  <c r="EQ100" i="2" s="1"/>
  <c r="AC101" i="2"/>
  <c r="AC100" i="2"/>
  <c r="Y66" i="2"/>
  <c r="V67" i="2"/>
  <c r="DX67" i="2"/>
  <c r="EI67" i="2" s="1"/>
  <c r="AC68" i="2"/>
  <c r="AC69" i="2"/>
  <c r="W72" i="2"/>
  <c r="ED73" i="2"/>
  <c r="EO73" i="2" s="1"/>
  <c r="AA73" i="2"/>
  <c r="CF74" i="2"/>
  <c r="DD74" i="2" s="1"/>
  <c r="EN74" i="2"/>
  <c r="Y75" i="2"/>
  <c r="EB75" i="2"/>
  <c r="EM75" i="2" s="1"/>
  <c r="W76" i="2"/>
  <c r="DZ76" i="2"/>
  <c r="EK76" i="2" s="1"/>
  <c r="AO76" i="2"/>
  <c r="CK76" i="2"/>
  <c r="DI76" i="2" s="1"/>
  <c r="AM77" i="2"/>
  <c r="CI77" i="2"/>
  <c r="DG77" i="2" s="1"/>
  <c r="EQ80" i="2"/>
  <c r="W82" i="2"/>
  <c r="DZ82" i="2"/>
  <c r="EK82" i="2" s="1"/>
  <c r="AO105" i="2"/>
  <c r="CK105" i="2"/>
  <c r="DI105" i="2" s="1"/>
  <c r="CI108" i="2"/>
  <c r="DG108" i="2" s="1"/>
  <c r="AM108" i="2"/>
  <c r="W66" i="2"/>
  <c r="CJ68" i="2"/>
  <c r="DH68" i="2" s="1"/>
  <c r="EI68" i="2"/>
  <c r="ED70" i="2"/>
  <c r="EO70" i="2" s="1"/>
  <c r="Y71" i="2"/>
  <c r="EB71" i="2"/>
  <c r="EM71" i="2" s="1"/>
  <c r="X72" i="2"/>
  <c r="EA72" i="2"/>
  <c r="EL72" i="2" s="1"/>
  <c r="V74" i="2"/>
  <c r="ED74" i="2"/>
  <c r="EO74" i="2" s="1"/>
  <c r="EJ76" i="2"/>
  <c r="EO77" i="2"/>
  <c r="DZ80" i="2"/>
  <c r="EK80" i="2" s="1"/>
  <c r="W80" i="2"/>
  <c r="AN80" i="2"/>
  <c r="CJ80" i="2"/>
  <c r="DH80" i="2" s="1"/>
  <c r="EF83" i="2"/>
  <c r="EQ83" i="2" s="1"/>
  <c r="AC84" i="2"/>
  <c r="AC83" i="2"/>
  <c r="CJ87" i="2"/>
  <c r="DH87" i="2" s="1"/>
  <c r="AN87" i="2"/>
  <c r="CI96" i="2"/>
  <c r="DG96" i="2" s="1"/>
  <c r="AM96" i="2"/>
  <c r="AO99" i="2"/>
  <c r="CK99" i="2"/>
  <c r="DI99" i="2" s="1"/>
  <c r="AE107" i="2"/>
  <c r="CA107" i="2"/>
  <c r="CY107" i="2" s="1"/>
  <c r="EH85" i="2"/>
  <c r="EP87" i="2"/>
  <c r="X90" i="2"/>
  <c r="EA90" i="2"/>
  <c r="EL90" i="2" s="1"/>
  <c r="EQ94" i="2"/>
  <c r="EM96" i="2"/>
  <c r="EC97" i="2"/>
  <c r="EN97" i="2" s="1"/>
  <c r="Z97" i="2"/>
  <c r="AJ97" i="2"/>
  <c r="EH97" i="2"/>
  <c r="Z98" i="2"/>
  <c r="AL100" i="2"/>
  <c r="CH100" i="2"/>
  <c r="DF100" i="2" s="1"/>
  <c r="EH103" i="2"/>
  <c r="AL106" i="2"/>
  <c r="CH106" i="2"/>
  <c r="DF106" i="2" s="1"/>
  <c r="EH109" i="2"/>
  <c r="EP110" i="2"/>
  <c r="W113" i="2"/>
  <c r="W112" i="2"/>
  <c r="EH116" i="2"/>
  <c r="AO123" i="2"/>
  <c r="CK123" i="2"/>
  <c r="DI123" i="2" s="1"/>
  <c r="X79" i="2"/>
  <c r="V80" i="2"/>
  <c r="AB83" i="2"/>
  <c r="EC84" i="2"/>
  <c r="EN84" i="2" s="1"/>
  <c r="AA93" i="2"/>
  <c r="AA92" i="2"/>
  <c r="DY93" i="2"/>
  <c r="EJ93" i="2" s="1"/>
  <c r="V93" i="2"/>
  <c r="ED95" i="2"/>
  <c r="EO95" i="2" s="1"/>
  <c r="CB96" i="2"/>
  <c r="CZ96" i="2" s="1"/>
  <c r="AM99" i="2"/>
  <c r="CI99" i="2"/>
  <c r="DG99" i="2" s="1"/>
  <c r="CE99" i="2"/>
  <c r="DC99" i="2" s="1"/>
  <c r="AM100" i="2"/>
  <c r="CI100" i="2"/>
  <c r="DG100" i="2" s="1"/>
  <c r="AK102" i="2"/>
  <c r="CG102" i="2"/>
  <c r="DE102" i="2" s="1"/>
  <c r="AM105" i="2"/>
  <c r="CI105" i="2"/>
  <c r="DG105" i="2" s="1"/>
  <c r="CE105" i="2"/>
  <c r="DC105" i="2" s="1"/>
  <c r="AM106" i="2"/>
  <c r="CI106" i="2"/>
  <c r="DG106" i="2" s="1"/>
  <c r="Y108" i="2"/>
  <c r="AM110" i="2"/>
  <c r="CI110" i="2"/>
  <c r="DG110" i="2" s="1"/>
  <c r="X112" i="2"/>
  <c r="AF113" i="2"/>
  <c r="CB113" i="2"/>
  <c r="CZ113" i="2" s="1"/>
  <c r="AK121" i="2"/>
  <c r="CG121" i="2"/>
  <c r="DE121" i="2" s="1"/>
  <c r="CA122" i="2"/>
  <c r="CY122" i="2" s="1"/>
  <c r="AE122" i="2"/>
  <c r="EK129" i="2"/>
  <c r="AM132" i="2"/>
  <c r="CI132" i="2"/>
  <c r="DG132" i="2" s="1"/>
  <c r="CB77" i="2"/>
  <c r="CZ77" i="2" s="1"/>
  <c r="CJ79" i="2"/>
  <c r="DH79" i="2" s="1"/>
  <c r="CH80" i="2"/>
  <c r="DF80" i="2" s="1"/>
  <c r="CF81" i="2"/>
  <c r="DD81" i="2" s="1"/>
  <c r="CD82" i="2"/>
  <c r="DB82" i="2" s="1"/>
  <c r="CB83" i="2"/>
  <c r="CZ83" i="2" s="1"/>
  <c r="EE84" i="2"/>
  <c r="EP84" i="2" s="1"/>
  <c r="AB84" i="2"/>
  <c r="AC85" i="2"/>
  <c r="CI85" i="2"/>
  <c r="DG85" i="2" s="1"/>
  <c r="DZ85" i="2"/>
  <c r="EK85" i="2" s="1"/>
  <c r="AO86" i="2"/>
  <c r="AG87" i="2"/>
  <c r="AB88" i="2"/>
  <c r="EE88" i="2"/>
  <c r="EP88" i="2" s="1"/>
  <c r="AL88" i="2"/>
  <c r="AG89" i="2"/>
  <c r="CC89" i="2"/>
  <c r="DA89" i="2" s="1"/>
  <c r="W89" i="2"/>
  <c r="EE89" i="2"/>
  <c r="EP89" i="2" s="1"/>
  <c r="W91" i="2"/>
  <c r="CI91" i="2"/>
  <c r="DG91" i="2" s="1"/>
  <c r="AL92" i="2"/>
  <c r="DX92" i="2"/>
  <c r="EI92" i="2" s="1"/>
  <c r="CD95" i="2"/>
  <c r="DB95" i="2" s="1"/>
  <c r="EE96" i="2"/>
  <c r="EP96" i="2" s="1"/>
  <c r="AB96" i="2"/>
  <c r="CE96" i="2"/>
  <c r="DC96" i="2" s="1"/>
  <c r="AB97" i="2"/>
  <c r="AN99" i="2"/>
  <c r="CJ99" i="2"/>
  <c r="DH99" i="2" s="1"/>
  <c r="AB100" i="2"/>
  <c r="EE100" i="2"/>
  <c r="EP100" i="2" s="1"/>
  <c r="Z102" i="2"/>
  <c r="EC103" i="2"/>
  <c r="EN103" i="2" s="1"/>
  <c r="Z103" i="2"/>
  <c r="AL104" i="2"/>
  <c r="AN105" i="2"/>
  <c r="CJ105" i="2"/>
  <c r="DH105" i="2" s="1"/>
  <c r="AB106" i="2"/>
  <c r="EE106" i="2"/>
  <c r="EP106" i="2" s="1"/>
  <c r="Z108" i="2"/>
  <c r="EC109" i="2"/>
  <c r="EN109" i="2" s="1"/>
  <c r="Z109" i="2"/>
  <c r="AO121" i="2"/>
  <c r="CK121" i="2"/>
  <c r="DI121" i="2" s="1"/>
  <c r="CG132" i="2"/>
  <c r="DE132" i="2" s="1"/>
  <c r="AK132" i="2"/>
  <c r="AC78" i="2"/>
  <c r="AA79" i="2"/>
  <c r="Y80" i="2"/>
  <c r="W81" i="2"/>
  <c r="U82" i="2"/>
  <c r="CF83" i="2"/>
  <c r="DD83" i="2" s="1"/>
  <c r="AE84" i="2"/>
  <c r="CA84" i="2"/>
  <c r="CY84" i="2" s="1"/>
  <c r="EO85" i="2"/>
  <c r="AC87" i="2"/>
  <c r="EF87" i="2"/>
  <c r="EQ87" i="2" s="1"/>
  <c r="EJ88" i="2"/>
  <c r="EE90" i="2"/>
  <c r="EP90" i="2" s="1"/>
  <c r="AB90" i="2"/>
  <c r="AM90" i="2"/>
  <c r="V91" i="2"/>
  <c r="DY91" i="2"/>
  <c r="EJ91" i="2" s="1"/>
  <c r="Y91" i="2"/>
  <c r="EN92" i="2"/>
  <c r="Y94" i="2"/>
  <c r="Y93" i="2"/>
  <c r="V94" i="2"/>
  <c r="AC94" i="2"/>
  <c r="CK96" i="2"/>
  <c r="DI96" i="2" s="1"/>
  <c r="AE99" i="2"/>
  <c r="CA99" i="2"/>
  <c r="CY99" i="2" s="1"/>
  <c r="AI102" i="2"/>
  <c r="CE102" i="2"/>
  <c r="DC102" i="2" s="1"/>
  <c r="AB103" i="2"/>
  <c r="AE105" i="2"/>
  <c r="CA105" i="2"/>
  <c r="CY105" i="2" s="1"/>
  <c r="AI108" i="2"/>
  <c r="CE108" i="2"/>
  <c r="DC108" i="2" s="1"/>
  <c r="AB109" i="2"/>
  <c r="V111" i="2"/>
  <c r="AF115" i="2"/>
  <c r="CB115" i="2"/>
  <c r="CZ115" i="2" s="1"/>
  <c r="CA116" i="2"/>
  <c r="CY116" i="2" s="1"/>
  <c r="AE116" i="2"/>
  <c r="EE85" i="2"/>
  <c r="EP85" i="2" s="1"/>
  <c r="EA86" i="2"/>
  <c r="EL86" i="2" s="1"/>
  <c r="X86" i="2"/>
  <c r="AM86" i="2"/>
  <c r="CI86" i="2"/>
  <c r="DG86" i="2" s="1"/>
  <c r="EH86" i="2"/>
  <c r="CF88" i="2"/>
  <c r="DD88" i="2" s="1"/>
  <c r="CB90" i="2"/>
  <c r="CZ90" i="2" s="1"/>
  <c r="W95" i="2"/>
  <c r="W94" i="2"/>
  <c r="AE94" i="2"/>
  <c r="X102" i="2"/>
  <c r="EA102" i="2"/>
  <c r="EL102" i="2" s="1"/>
  <c r="AO104" i="2"/>
  <c r="CK104" i="2"/>
  <c r="DI104" i="2" s="1"/>
  <c r="X108" i="2"/>
  <c r="EA108" i="2"/>
  <c r="EL108" i="2" s="1"/>
  <c r="AO110" i="2"/>
  <c r="CK110" i="2"/>
  <c r="DI110" i="2" s="1"/>
  <c r="X111" i="2"/>
  <c r="CD115" i="2"/>
  <c r="DB115" i="2" s="1"/>
  <c r="AH115" i="2"/>
  <c r="CC121" i="2"/>
  <c r="DA121" i="2" s="1"/>
  <c r="AG121" i="2"/>
  <c r="CJ75" i="2"/>
  <c r="DH75" i="2" s="1"/>
  <c r="CH76" i="2"/>
  <c r="DF76" i="2" s="1"/>
  <c r="CF77" i="2"/>
  <c r="DD77" i="2" s="1"/>
  <c r="CD78" i="2"/>
  <c r="DB78" i="2" s="1"/>
  <c r="EA78" i="2"/>
  <c r="EL78" i="2" s="1"/>
  <c r="CB79" i="2"/>
  <c r="CZ79" i="2" s="1"/>
  <c r="DY79" i="2"/>
  <c r="EJ79" i="2" s="1"/>
  <c r="CJ81" i="2"/>
  <c r="DH81" i="2" s="1"/>
  <c r="CH82" i="2"/>
  <c r="DF82" i="2" s="1"/>
  <c r="EE82" i="2"/>
  <c r="EP82" i="2" s="1"/>
  <c r="AB86" i="2"/>
  <c r="AM87" i="2"/>
  <c r="CI88" i="2"/>
  <c r="DG88" i="2" s="1"/>
  <c r="CE90" i="2"/>
  <c r="DC90" i="2" s="1"/>
  <c r="AE91" i="2"/>
  <c r="U92" i="2"/>
  <c r="U96" i="2"/>
  <c r="U95" i="2"/>
  <c r="AA95" i="2"/>
  <c r="Y96" i="2"/>
  <c r="W97" i="2"/>
  <c r="U98" i="2"/>
  <c r="U99" i="2"/>
  <c r="AG102" i="2"/>
  <c r="CC102" i="2"/>
  <c r="DA102" i="2" s="1"/>
  <c r="AA101" i="2"/>
  <c r="EH101" i="2"/>
  <c r="CI103" i="2"/>
  <c r="DG103" i="2" s="1"/>
  <c r="U104" i="2"/>
  <c r="U105" i="2"/>
  <c r="AG108" i="2"/>
  <c r="CC108" i="2"/>
  <c r="DA108" i="2" s="1"/>
  <c r="AA107" i="2"/>
  <c r="EH107" i="2"/>
  <c r="CI109" i="2"/>
  <c r="DG109" i="2" s="1"/>
  <c r="U110" i="2"/>
  <c r="EJ112" i="2"/>
  <c r="CF115" i="2"/>
  <c r="DD115" i="2" s="1"/>
  <c r="AJ115" i="2"/>
  <c r="DX115" i="2"/>
  <c r="EI115" i="2" s="1"/>
  <c r="U116" i="2"/>
  <c r="U115" i="2"/>
  <c r="CG119" i="2"/>
  <c r="DE119" i="2" s="1"/>
  <c r="AK119" i="2"/>
  <c r="AC127" i="2"/>
  <c r="EF127" i="2"/>
  <c r="EQ127" i="2" s="1"/>
  <c r="AC128" i="2"/>
  <c r="Z86" i="2"/>
  <c r="Z89" i="2"/>
  <c r="EC89" i="2"/>
  <c r="EN89" i="2" s="1"/>
  <c r="AN93" i="2"/>
  <c r="CJ93" i="2"/>
  <c r="DH93" i="2" s="1"/>
  <c r="EB114" i="2"/>
  <c r="EM114" i="2" s="1"/>
  <c r="Y114" i="2"/>
  <c r="AN119" i="2"/>
  <c r="CJ119" i="2"/>
  <c r="DH119" i="2" s="1"/>
  <c r="CB74" i="2"/>
  <c r="CZ74" i="2" s="1"/>
  <c r="CB80" i="2"/>
  <c r="CZ80" i="2" s="1"/>
  <c r="W83" i="2"/>
  <c r="EC83" i="2"/>
  <c r="EN83" i="2" s="1"/>
  <c r="V84" i="2"/>
  <c r="AG86" i="2"/>
  <c r="V88" i="2"/>
  <c r="Y88" i="2"/>
  <c r="AJ89" i="2"/>
  <c r="U90" i="2"/>
  <c r="EC91" i="2"/>
  <c r="EN91" i="2" s="1"/>
  <c r="Z91" i="2"/>
  <c r="W92" i="2"/>
  <c r="AL94" i="2"/>
  <c r="CH94" i="2"/>
  <c r="DF94" i="2" s="1"/>
  <c r="EJ94" i="2"/>
  <c r="AH96" i="2"/>
  <c r="CD96" i="2"/>
  <c r="DB96" i="2" s="1"/>
  <c r="V97" i="2"/>
  <c r="DY97" i="2"/>
  <c r="EJ97" i="2" s="1"/>
  <c r="W98" i="2"/>
  <c r="DY99" i="2"/>
  <c r="EJ99" i="2" s="1"/>
  <c r="V99" i="2"/>
  <c r="V100" i="2"/>
  <c r="W103" i="2"/>
  <c r="W104" i="2"/>
  <c r="DY105" i="2"/>
  <c r="EJ105" i="2" s="1"/>
  <c r="V105" i="2"/>
  <c r="V106" i="2"/>
  <c r="W109" i="2"/>
  <c r="W110" i="2"/>
  <c r="EA112" i="2"/>
  <c r="EL112" i="2" s="1"/>
  <c r="Z114" i="2"/>
  <c r="EC114" i="2"/>
  <c r="EN114" i="2" s="1"/>
  <c r="Z115" i="2"/>
  <c r="CJ118" i="2"/>
  <c r="DH118" i="2" s="1"/>
  <c r="CG78" i="2"/>
  <c r="DE78" i="2" s="1"/>
  <c r="CE79" i="2"/>
  <c r="DC79" i="2" s="1"/>
  <c r="CC80" i="2"/>
  <c r="DA80" i="2" s="1"/>
  <c r="CA81" i="2"/>
  <c r="CY81" i="2" s="1"/>
  <c r="CK82" i="2"/>
  <c r="DI82" i="2" s="1"/>
  <c r="W84" i="2"/>
  <c r="DZ84" i="2"/>
  <c r="EK84" i="2" s="1"/>
  <c r="EC86" i="2"/>
  <c r="EN86" i="2" s="1"/>
  <c r="DY87" i="2"/>
  <c r="EJ87" i="2" s="1"/>
  <c r="V87" i="2"/>
  <c r="Y87" i="2"/>
  <c r="AI88" i="2"/>
  <c r="CE88" i="2"/>
  <c r="DC88" i="2" s="1"/>
  <c r="EH89" i="2"/>
  <c r="AK90" i="2"/>
  <c r="CG90" i="2"/>
  <c r="DE90" i="2" s="1"/>
  <c r="CK90" i="2"/>
  <c r="DI90" i="2" s="1"/>
  <c r="AE93" i="2"/>
  <c r="CA93" i="2"/>
  <c r="CY93" i="2" s="1"/>
  <c r="EP93" i="2"/>
  <c r="DZ94" i="2"/>
  <c r="EK94" i="2" s="1"/>
  <c r="AJ95" i="2"/>
  <c r="CF95" i="2"/>
  <c r="DD95" i="2" s="1"/>
  <c r="EH95" i="2"/>
  <c r="EK97" i="2"/>
  <c r="AF99" i="2"/>
  <c r="AI101" i="2"/>
  <c r="CE101" i="2"/>
  <c r="DC101" i="2" s="1"/>
  <c r="EJ100" i="2"/>
  <c r="AJ101" i="2"/>
  <c r="CF101" i="2"/>
  <c r="DD101" i="2" s="1"/>
  <c r="EE102" i="2"/>
  <c r="EP102" i="2" s="1"/>
  <c r="AB102" i="2"/>
  <c r="AG103" i="2"/>
  <c r="CC103" i="2"/>
  <c r="DA103" i="2" s="1"/>
  <c r="X103" i="2"/>
  <c r="AF105" i="2"/>
  <c r="AI107" i="2"/>
  <c r="CE107" i="2"/>
  <c r="DC107" i="2" s="1"/>
  <c r="EJ106" i="2"/>
  <c r="AJ107" i="2"/>
  <c r="CF107" i="2"/>
  <c r="DD107" i="2" s="1"/>
  <c r="EE108" i="2"/>
  <c r="EP108" i="2" s="1"/>
  <c r="AB108" i="2"/>
  <c r="AG109" i="2"/>
  <c r="CC109" i="2"/>
  <c r="DA109" i="2" s="1"/>
  <c r="X109" i="2"/>
  <c r="EN111" i="2"/>
  <c r="AL111" i="2"/>
  <c r="AA114" i="2"/>
  <c r="ED114" i="2"/>
  <c r="EO114" i="2" s="1"/>
  <c r="Y83" i="2"/>
  <c r="EJ84" i="2"/>
  <c r="U85" i="2"/>
  <c r="DX85" i="2"/>
  <c r="EI85" i="2" s="1"/>
  <c r="Z87" i="2"/>
  <c r="AE88" i="2"/>
  <c r="CA89" i="2"/>
  <c r="CY89" i="2" s="1"/>
  <c r="DX89" i="2"/>
  <c r="EI89" i="2" s="1"/>
  <c r="V90" i="2"/>
  <c r="AB91" i="2"/>
  <c r="EH91" i="2"/>
  <c r="EA92" i="2"/>
  <c r="EL92" i="2" s="1"/>
  <c r="X92" i="2"/>
  <c r="CK93" i="2"/>
  <c r="DI93" i="2" s="1"/>
  <c r="AB94" i="2"/>
  <c r="EE94" i="2"/>
  <c r="EP94" i="2" s="1"/>
  <c r="DX95" i="2"/>
  <c r="EI95" i="2" s="1"/>
  <c r="X96" i="2"/>
  <c r="EA96" i="2"/>
  <c r="EL96" i="2" s="1"/>
  <c r="EA98" i="2"/>
  <c r="EL98" i="2" s="1"/>
  <c r="X98" i="2"/>
  <c r="X99" i="2"/>
  <c r="EL99" i="2"/>
  <c r="AK101" i="2"/>
  <c r="CG101" i="2"/>
  <c r="DE101" i="2" s="1"/>
  <c r="AN101" i="2"/>
  <c r="V103" i="2"/>
  <c r="DY103" i="2"/>
  <c r="EJ103" i="2" s="1"/>
  <c r="Y103" i="2"/>
  <c r="EA104" i="2"/>
  <c r="EL104" i="2" s="1"/>
  <c r="X104" i="2"/>
  <c r="X105" i="2"/>
  <c r="EL105" i="2"/>
  <c r="AK107" i="2"/>
  <c r="CG107" i="2"/>
  <c r="DE107" i="2" s="1"/>
  <c r="AN107" i="2"/>
  <c r="V109" i="2"/>
  <c r="DY109" i="2"/>
  <c r="EJ109" i="2" s="1"/>
  <c r="Y109" i="2"/>
  <c r="EA110" i="2"/>
  <c r="EL110" i="2" s="1"/>
  <c r="X110" i="2"/>
  <c r="AM111" i="2"/>
  <c r="AO112" i="2"/>
  <c r="CK112" i="2"/>
  <c r="DI112" i="2" s="1"/>
  <c r="CK124" i="2"/>
  <c r="DI124" i="2" s="1"/>
  <c r="AO124" i="2"/>
  <c r="AM83" i="2"/>
  <c r="CD85" i="2"/>
  <c r="DB85" i="2" s="1"/>
  <c r="X87" i="2"/>
  <c r="AC92" i="2"/>
  <c r="AC91" i="2"/>
  <c r="AH92" i="2"/>
  <c r="EN94" i="2"/>
  <c r="Z95" i="2"/>
  <c r="EC95" i="2"/>
  <c r="EN95" i="2" s="1"/>
  <c r="AN95" i="2"/>
  <c r="AL96" i="2"/>
  <c r="EJ96" i="2"/>
  <c r="AH98" i="2"/>
  <c r="AK100" i="2"/>
  <c r="CG100" i="2"/>
  <c r="DE100" i="2" s="1"/>
  <c r="Z101" i="2"/>
  <c r="EC101" i="2"/>
  <c r="EN101" i="2" s="1"/>
  <c r="AH104" i="2"/>
  <c r="AK106" i="2"/>
  <c r="CG106" i="2"/>
  <c r="DE106" i="2" s="1"/>
  <c r="Z107" i="2"/>
  <c r="EC107" i="2"/>
  <c r="EN107" i="2" s="1"/>
  <c r="AH110" i="2"/>
  <c r="EO110" i="2"/>
  <c r="V112" i="2"/>
  <c r="AC115" i="2"/>
  <c r="AC114" i="2"/>
  <c r="EF114" i="2"/>
  <c r="EQ114" i="2" s="1"/>
  <c r="CA90" i="2"/>
  <c r="CY90" i="2" s="1"/>
  <c r="CA96" i="2"/>
  <c r="CY96" i="2" s="1"/>
  <c r="CA102" i="2"/>
  <c r="CY102" i="2" s="1"/>
  <c r="CA108" i="2"/>
  <c r="CY108" i="2" s="1"/>
  <c r="DZ111" i="2"/>
  <c r="EK111" i="2" s="1"/>
  <c r="W111" i="2"/>
  <c r="Y111" i="2"/>
  <c r="Z112" i="2"/>
  <c r="EC112" i="2"/>
  <c r="EN112" i="2" s="1"/>
  <c r="AF112" i="2"/>
  <c r="CC114" i="2"/>
  <c r="DA114" i="2" s="1"/>
  <c r="V113" i="2"/>
  <c r="W119" i="2"/>
  <c r="W120" i="2"/>
  <c r="DZ119" i="2"/>
  <c r="EK119" i="2" s="1"/>
  <c r="ED88" i="2"/>
  <c r="EO88" i="2" s="1"/>
  <c r="EB89" i="2"/>
  <c r="EM89" i="2" s="1"/>
  <c r="DZ90" i="2"/>
  <c r="EK90" i="2" s="1"/>
  <c r="DX91" i="2"/>
  <c r="EI91" i="2" s="1"/>
  <c r="EF93" i="2"/>
  <c r="EQ93" i="2" s="1"/>
  <c r="ED94" i="2"/>
  <c r="EO94" i="2" s="1"/>
  <c r="EB95" i="2"/>
  <c r="EM95" i="2" s="1"/>
  <c r="DZ96" i="2"/>
  <c r="EK96" i="2" s="1"/>
  <c r="DX97" i="2"/>
  <c r="EI97" i="2" s="1"/>
  <c r="EF99" i="2"/>
  <c r="EQ99" i="2" s="1"/>
  <c r="ED100" i="2"/>
  <c r="EO100" i="2" s="1"/>
  <c r="EB101" i="2"/>
  <c r="EM101" i="2" s="1"/>
  <c r="DZ102" i="2"/>
  <c r="EK102" i="2" s="1"/>
  <c r="DX103" i="2"/>
  <c r="EI103" i="2" s="1"/>
  <c r="EF105" i="2"/>
  <c r="EQ105" i="2" s="1"/>
  <c r="ED106" i="2"/>
  <c r="EO106" i="2" s="1"/>
  <c r="EB107" i="2"/>
  <c r="EM107" i="2" s="1"/>
  <c r="DZ108" i="2"/>
  <c r="EK108" i="2" s="1"/>
  <c r="DX109" i="2"/>
  <c r="EI109" i="2" s="1"/>
  <c r="Z110" i="2"/>
  <c r="AB112" i="2"/>
  <c r="EE112" i="2"/>
  <c r="EP112" i="2" s="1"/>
  <c r="AM113" i="2"/>
  <c r="CI113" i="2"/>
  <c r="DG113" i="2" s="1"/>
  <c r="EH113" i="2"/>
  <c r="AN114" i="2"/>
  <c r="CD117" i="2"/>
  <c r="DB117" i="2" s="1"/>
  <c r="AH117" i="2"/>
  <c r="ED117" i="2"/>
  <c r="EO117" i="2" s="1"/>
  <c r="AA117" i="2"/>
  <c r="AJ119" i="2"/>
  <c r="CF119" i="2"/>
  <c r="DD119" i="2" s="1"/>
  <c r="AH123" i="2"/>
  <c r="CD123" i="2"/>
  <c r="DB123" i="2" s="1"/>
  <c r="CB129" i="2"/>
  <c r="CZ129" i="2" s="1"/>
  <c r="AF129" i="2"/>
  <c r="AA98" i="2"/>
  <c r="Y99" i="2"/>
  <c r="W100" i="2"/>
  <c r="U101" i="2"/>
  <c r="AC103" i="2"/>
  <c r="AA104" i="2"/>
  <c r="Y105" i="2"/>
  <c r="W106" i="2"/>
  <c r="U107" i="2"/>
  <c r="AC109" i="2"/>
  <c r="X113" i="2"/>
  <c r="EA113" i="2"/>
  <c r="EL113" i="2" s="1"/>
  <c r="DZ115" i="2"/>
  <c r="EK115" i="2" s="1"/>
  <c r="W115" i="2"/>
  <c r="W116" i="2"/>
  <c r="AK118" i="2"/>
  <c r="CG118" i="2"/>
  <c r="DE118" i="2" s="1"/>
  <c r="CF116" i="2"/>
  <c r="DD116" i="2" s="1"/>
  <c r="AL120" i="2"/>
  <c r="CH120" i="2"/>
  <c r="DF120" i="2" s="1"/>
  <c r="Z123" i="2"/>
  <c r="EC123" i="2"/>
  <c r="EN123" i="2" s="1"/>
  <c r="CB104" i="2"/>
  <c r="CZ104" i="2" s="1"/>
  <c r="CB110" i="2"/>
  <c r="CZ110" i="2" s="1"/>
  <c r="AB111" i="2"/>
  <c r="EE111" i="2"/>
  <c r="EP111" i="2" s="1"/>
  <c r="EB115" i="2"/>
  <c r="EM115" i="2" s="1"/>
  <c r="Y115" i="2"/>
  <c r="AH116" i="2"/>
  <c r="ED118" i="2"/>
  <c r="EO118" i="2" s="1"/>
  <c r="AA118" i="2"/>
  <c r="AH128" i="2"/>
  <c r="CD128" i="2"/>
  <c r="DB128" i="2" s="1"/>
  <c r="CC135" i="2"/>
  <c r="DA135" i="2" s="1"/>
  <c r="AG135" i="2"/>
  <c r="CK111" i="2"/>
  <c r="DI111" i="2" s="1"/>
  <c r="EM113" i="2"/>
  <c r="AL116" i="2"/>
  <c r="CH116" i="2"/>
  <c r="DF116" i="2" s="1"/>
  <c r="AJ116" i="2"/>
  <c r="AJ128" i="2"/>
  <c r="CF128" i="2"/>
  <c r="DD128" i="2" s="1"/>
  <c r="AE111" i="2"/>
  <c r="CA111" i="2"/>
  <c r="CY111" i="2" s="1"/>
  <c r="EB111" i="2"/>
  <c r="EM111" i="2" s="1"/>
  <c r="DX112" i="2"/>
  <c r="EI112" i="2" s="1"/>
  <c r="U112" i="2"/>
  <c r="EC113" i="2"/>
  <c r="EN113" i="2" s="1"/>
  <c r="EF118" i="2"/>
  <c r="EQ118" i="2" s="1"/>
  <c r="AC118" i="2"/>
  <c r="AC119" i="2"/>
  <c r="AO120" i="2"/>
  <c r="CK120" i="2"/>
  <c r="DI120" i="2" s="1"/>
  <c r="AB126" i="2"/>
  <c r="EE125" i="2"/>
  <c r="EP125" i="2" s="1"/>
  <c r="AB125" i="2"/>
  <c r="CJ131" i="2"/>
  <c r="DH131" i="2" s="1"/>
  <c r="AN131" i="2"/>
  <c r="EH112" i="2"/>
  <c r="X114" i="2"/>
  <c r="AB116" i="2"/>
  <c r="EE116" i="2"/>
  <c r="EP116" i="2" s="1"/>
  <c r="AB117" i="2"/>
  <c r="CB135" i="2"/>
  <c r="CZ135" i="2" s="1"/>
  <c r="AF135" i="2"/>
  <c r="EA118" i="2"/>
  <c r="EL118" i="2" s="1"/>
  <c r="EC120" i="2"/>
  <c r="EN120" i="2" s="1"/>
  <c r="EF122" i="2"/>
  <c r="EQ122" i="2" s="1"/>
  <c r="EF124" i="2"/>
  <c r="EQ124" i="2" s="1"/>
  <c r="EE128" i="2"/>
  <c r="EP128" i="2" s="1"/>
  <c r="AB128" i="2"/>
  <c r="AL130" i="2"/>
  <c r="CH130" i="2"/>
  <c r="DF130" i="2" s="1"/>
  <c r="W131" i="2"/>
  <c r="DZ131" i="2"/>
  <c r="EK131" i="2" s="1"/>
  <c r="CA135" i="2"/>
  <c r="CY135" i="2" s="1"/>
  <c r="AE135" i="2"/>
  <c r="CK136" i="2"/>
  <c r="DI136" i="2" s="1"/>
  <c r="AO136" i="2"/>
  <c r="EB140" i="2"/>
  <c r="EM140" i="2" s="1"/>
  <c r="Y140" i="2"/>
  <c r="Y141" i="2"/>
  <c r="AF142" i="2"/>
  <c r="CB142" i="2"/>
  <c r="CZ142" i="2" s="1"/>
  <c r="DY115" i="2"/>
  <c r="EJ115" i="2" s="1"/>
  <c r="Z117" i="2"/>
  <c r="AC117" i="2"/>
  <c r="EP118" i="2"/>
  <c r="Z119" i="2"/>
  <c r="Z121" i="2"/>
  <c r="CB122" i="2"/>
  <c r="CZ122" i="2" s="1"/>
  <c r="AI124" i="2"/>
  <c r="AM125" i="2"/>
  <c r="AF126" i="2"/>
  <c r="CB126" i="2"/>
  <c r="CZ126" i="2" s="1"/>
  <c r="DY128" i="2"/>
  <c r="EJ128" i="2" s="1"/>
  <c r="V129" i="2"/>
  <c r="ED131" i="2"/>
  <c r="EO131" i="2" s="1"/>
  <c r="EL135" i="2"/>
  <c r="CF142" i="2"/>
  <c r="DD142" i="2" s="1"/>
  <c r="AJ142" i="2"/>
  <c r="EH143" i="2"/>
  <c r="EE123" i="2"/>
  <c r="EP123" i="2" s="1"/>
  <c r="AB123" i="2"/>
  <c r="AG126" i="2"/>
  <c r="CC126" i="2"/>
  <c r="DA126" i="2" s="1"/>
  <c r="EH126" i="2"/>
  <c r="CB128" i="2"/>
  <c r="CZ128" i="2" s="1"/>
  <c r="EJ116" i="2"/>
  <c r="EH117" i="2"/>
  <c r="EI119" i="2"/>
  <c r="U120" i="2"/>
  <c r="DX122" i="2"/>
  <c r="EI122" i="2" s="1"/>
  <c r="U122" i="2"/>
  <c r="CD122" i="2"/>
  <c r="DB122" i="2" s="1"/>
  <c r="CA124" i="2"/>
  <c r="CY124" i="2" s="1"/>
  <c r="AF125" i="2"/>
  <c r="CB125" i="2"/>
  <c r="CZ125" i="2" s="1"/>
  <c r="V126" i="2"/>
  <c r="CF126" i="2"/>
  <c r="DD126" i="2" s="1"/>
  <c r="U127" i="2"/>
  <c r="EL128" i="2"/>
  <c r="Z129" i="2"/>
  <c r="CK129" i="2"/>
  <c r="DI129" i="2" s="1"/>
  <c r="ED130" i="2"/>
  <c r="EO130" i="2" s="1"/>
  <c r="AA133" i="2"/>
  <c r="ED133" i="2"/>
  <c r="EO133" i="2" s="1"/>
  <c r="EN135" i="2"/>
  <c r="AK137" i="2"/>
  <c r="CG137" i="2"/>
  <c r="DE137" i="2" s="1"/>
  <c r="AN118" i="2"/>
  <c r="ED119" i="2"/>
  <c r="EO119" i="2" s="1"/>
  <c r="AA119" i="2"/>
  <c r="DY119" i="2"/>
  <c r="EJ119" i="2" s="1"/>
  <c r="V120" i="2"/>
  <c r="AN120" i="2"/>
  <c r="EH122" i="2"/>
  <c r="DX128" i="2"/>
  <c r="EI128" i="2" s="1"/>
  <c r="U128" i="2"/>
  <c r="CI130" i="2"/>
  <c r="DG130" i="2" s="1"/>
  <c r="CD130" i="2"/>
  <c r="DB130" i="2" s="1"/>
  <c r="DX134" i="2"/>
  <c r="EI134" i="2" s="1"/>
  <c r="U134" i="2"/>
  <c r="AO137" i="2"/>
  <c r="AA142" i="2"/>
  <c r="AA141" i="2"/>
  <c r="ED141" i="2"/>
  <c r="EO141" i="2" s="1"/>
  <c r="AB115" i="2"/>
  <c r="W118" i="2"/>
  <c r="CA118" i="2"/>
  <c r="CY118" i="2" s="1"/>
  <c r="AH119" i="2"/>
  <c r="CA120" i="2"/>
  <c r="CY120" i="2" s="1"/>
  <c r="AB121" i="2"/>
  <c r="EE121" i="2"/>
  <c r="EP121" i="2" s="1"/>
  <c r="DY122" i="2"/>
  <c r="EJ122" i="2" s="1"/>
  <c r="DX123" i="2"/>
  <c r="EI123" i="2" s="1"/>
  <c r="U125" i="2"/>
  <c r="DX125" i="2"/>
  <c r="EI125" i="2" s="1"/>
  <c r="X125" i="2"/>
  <c r="CE125" i="2"/>
  <c r="DC125" i="2" s="1"/>
  <c r="DZ126" i="2"/>
  <c r="EK126" i="2" s="1"/>
  <c r="W126" i="2"/>
  <c r="Y126" i="2"/>
  <c r="EE130" i="2"/>
  <c r="EP130" i="2" s="1"/>
  <c r="AB130" i="2"/>
  <c r="CA136" i="2"/>
  <c r="CY136" i="2" s="1"/>
  <c r="AE136" i="2"/>
  <c r="CB137" i="2"/>
  <c r="CZ137" i="2" s="1"/>
  <c r="AH139" i="2"/>
  <c r="CD139" i="2"/>
  <c r="DB139" i="2" s="1"/>
  <c r="AF140" i="2"/>
  <c r="CB140" i="2"/>
  <c r="CZ140" i="2" s="1"/>
  <c r="AK143" i="2"/>
  <c r="CG143" i="2"/>
  <c r="DE143" i="2" s="1"/>
  <c r="AC144" i="2"/>
  <c r="EF144" i="2"/>
  <c r="EQ144" i="2" s="1"/>
  <c r="AB146" i="2"/>
  <c r="EE146" i="2"/>
  <c r="EP146" i="2" s="1"/>
  <c r="V114" i="2"/>
  <c r="AI114" i="2"/>
  <c r="AA115" i="2"/>
  <c r="U118" i="2"/>
  <c r="EN119" i="2"/>
  <c r="X120" i="2"/>
  <c r="AC122" i="2"/>
  <c r="CF123" i="2"/>
  <c r="DD123" i="2" s="1"/>
  <c r="U124" i="2"/>
  <c r="DX124" i="2"/>
  <c r="EI124" i="2" s="1"/>
  <c r="X124" i="2"/>
  <c r="EH124" i="2"/>
  <c r="AH125" i="2"/>
  <c r="CD125" i="2"/>
  <c r="DB125" i="2" s="1"/>
  <c r="CG125" i="2"/>
  <c r="DE125" i="2" s="1"/>
  <c r="EM125" i="2"/>
  <c r="CI127" i="2"/>
  <c r="DG127" i="2" s="1"/>
  <c r="EN127" i="2"/>
  <c r="AL128" i="2"/>
  <c r="CH128" i="2"/>
  <c r="DF128" i="2" s="1"/>
  <c r="AG129" i="2"/>
  <c r="AC130" i="2"/>
  <c r="CI131" i="2"/>
  <c r="DG131" i="2" s="1"/>
  <c r="EF132" i="2"/>
  <c r="EQ132" i="2" s="1"/>
  <c r="CG135" i="2"/>
  <c r="DE135" i="2" s="1"/>
  <c r="AK135" i="2"/>
  <c r="CF135" i="2"/>
  <c r="DD135" i="2" s="1"/>
  <c r="Y138" i="2"/>
  <c r="EJ141" i="2"/>
  <c r="AE144" i="2"/>
  <c r="CA144" i="2"/>
  <c r="CY144" i="2" s="1"/>
  <c r="V118" i="2"/>
  <c r="DY118" i="2"/>
  <c r="EJ118" i="2" s="1"/>
  <c r="Z118" i="2"/>
  <c r="AE121" i="2"/>
  <c r="CA121" i="2"/>
  <c r="CY121" i="2" s="1"/>
  <c r="Y122" i="2"/>
  <c r="EK123" i="2"/>
  <c r="Z124" i="2"/>
  <c r="Z125" i="2"/>
  <c r="ED125" i="2"/>
  <c r="EO125" i="2" s="1"/>
  <c r="EA127" i="2"/>
  <c r="EL127" i="2" s="1"/>
  <c r="X127" i="2"/>
  <c r="EQ128" i="2"/>
  <c r="AE130" i="2"/>
  <c r="CA130" i="2"/>
  <c r="CY130" i="2" s="1"/>
  <c r="EI133" i="2"/>
  <c r="EC117" i="2"/>
  <c r="EN117" i="2" s="1"/>
  <c r="EB120" i="2"/>
  <c r="EM120" i="2" s="1"/>
  <c r="Y120" i="2"/>
  <c r="AA120" i="2"/>
  <c r="Z122" i="2"/>
  <c r="EC122" i="2"/>
  <c r="EN122" i="2" s="1"/>
  <c r="CI123" i="2"/>
  <c r="DG123" i="2" s="1"/>
  <c r="AA124" i="2"/>
  <c r="DZ124" i="2"/>
  <c r="EK124" i="2" s="1"/>
  <c r="AL127" i="2"/>
  <c r="CH127" i="2"/>
  <c r="DF127" i="2" s="1"/>
  <c r="AF127" i="2"/>
  <c r="AI129" i="2"/>
  <c r="W132" i="2"/>
  <c r="DZ132" i="2"/>
  <c r="EK132" i="2" s="1"/>
  <c r="AH133" i="2"/>
  <c r="CD133" i="2"/>
  <c r="DB133" i="2" s="1"/>
  <c r="Y116" i="2"/>
  <c r="X117" i="2"/>
  <c r="X118" i="2"/>
  <c r="DX120" i="2"/>
  <c r="EI120" i="2" s="1"/>
  <c r="EO122" i="2"/>
  <c r="AB124" i="2"/>
  <c r="EM124" i="2"/>
  <c r="AC125" i="2"/>
  <c r="AA126" i="2"/>
  <c r="EE129" i="2"/>
  <c r="EP129" i="2" s="1"/>
  <c r="AB129" i="2"/>
  <c r="EA132" i="2"/>
  <c r="EL132" i="2" s="1"/>
  <c r="X132" i="2"/>
  <c r="X133" i="2"/>
  <c r="W117" i="2"/>
  <c r="Y117" i="2"/>
  <c r="EK118" i="2"/>
  <c r="EL120" i="2"/>
  <c r="V121" i="2"/>
  <c r="AB122" i="2"/>
  <c r="EE122" i="2"/>
  <c r="EP122" i="2" s="1"/>
  <c r="EO124" i="2"/>
  <c r="AA128" i="2"/>
  <c r="AI128" i="2"/>
  <c r="CA129" i="2"/>
  <c r="CY129" i="2" s="1"/>
  <c r="DX129" i="2"/>
  <c r="EI129" i="2" s="1"/>
  <c r="AL131" i="2"/>
  <c r="CH131" i="2"/>
  <c r="DF131" i="2" s="1"/>
  <c r="EI131" i="2"/>
  <c r="EB132" i="2"/>
  <c r="EM132" i="2" s="1"/>
  <c r="Y133" i="2"/>
  <c r="AL132" i="2"/>
  <c r="AA134" i="2"/>
  <c r="CE136" i="2"/>
  <c r="DC136" i="2" s="1"/>
  <c r="AI136" i="2"/>
  <c r="AN136" i="2"/>
  <c r="CJ136" i="2"/>
  <c r="DH136" i="2" s="1"/>
  <c r="U141" i="2"/>
  <c r="DX141" i="2"/>
  <c r="EI141" i="2" s="1"/>
  <c r="U142" i="2"/>
  <c r="CE141" i="2"/>
  <c r="DC141" i="2" s="1"/>
  <c r="AI141" i="2"/>
  <c r="EC145" i="2"/>
  <c r="EN145" i="2" s="1"/>
  <c r="Z145" i="2"/>
  <c r="EI152" i="2"/>
  <c r="EF138" i="2"/>
  <c r="EQ138" i="2" s="1"/>
  <c r="U140" i="2"/>
  <c r="AL142" i="2"/>
  <c r="CH142" i="2"/>
  <c r="DF142" i="2" s="1"/>
  <c r="AB143" i="2"/>
  <c r="EE143" i="2"/>
  <c r="EP143" i="2" s="1"/>
  <c r="AK144" i="2"/>
  <c r="CG144" i="2"/>
  <c r="DE144" i="2" s="1"/>
  <c r="U168" i="2"/>
  <c r="DX168" i="2"/>
  <c r="EI168" i="2" s="1"/>
  <c r="CJ168" i="2"/>
  <c r="DH168" i="2" s="1"/>
  <c r="AN168" i="2"/>
  <c r="EC132" i="2"/>
  <c r="EN132" i="2" s="1"/>
  <c r="Z133" i="2"/>
  <c r="AC133" i="2"/>
  <c r="AM136" i="2"/>
  <c r="CI136" i="2"/>
  <c r="DG136" i="2" s="1"/>
  <c r="DX136" i="2"/>
  <c r="EI136" i="2" s="1"/>
  <c r="AL137" i="2"/>
  <c r="CH137" i="2"/>
  <c r="DF137" i="2" s="1"/>
  <c r="DX139" i="2"/>
  <c r="EI139" i="2" s="1"/>
  <c r="W140" i="2"/>
  <c r="CK140" i="2"/>
  <c r="DI140" i="2" s="1"/>
  <c r="CD141" i="2"/>
  <c r="DB141" i="2" s="1"/>
  <c r="EF143" i="2"/>
  <c r="EQ143" i="2" s="1"/>
  <c r="AC143" i="2"/>
  <c r="U144" i="2"/>
  <c r="DX144" i="2"/>
  <c r="EI144" i="2" s="1"/>
  <c r="CC146" i="2"/>
  <c r="DA146" i="2" s="1"/>
  <c r="AG146" i="2"/>
  <c r="AA148" i="2"/>
  <c r="ED148" i="2"/>
  <c r="EO148" i="2" s="1"/>
  <c r="AA149" i="2"/>
  <c r="ED149" i="2"/>
  <c r="EO149" i="2" s="1"/>
  <c r="CH152" i="2"/>
  <c r="DF152" i="2" s="1"/>
  <c r="AL152" i="2"/>
  <c r="AF134" i="2"/>
  <c r="CB134" i="2"/>
  <c r="CZ134" i="2" s="1"/>
  <c r="EM134" i="2"/>
  <c r="CK138" i="2"/>
  <c r="DI138" i="2" s="1"/>
  <c r="CA145" i="2"/>
  <c r="CY145" i="2" s="1"/>
  <c r="AE145" i="2"/>
  <c r="EK151" i="2"/>
  <c r="CG156" i="2"/>
  <c r="DE156" i="2" s="1"/>
  <c r="AK156" i="2"/>
  <c r="DX157" i="2"/>
  <c r="EI157" i="2" s="1"/>
  <c r="U157" i="2"/>
  <c r="CG157" i="2"/>
  <c r="DE157" i="2" s="1"/>
  <c r="AK157" i="2"/>
  <c r="U130" i="2"/>
  <c r="AJ130" i="2"/>
  <c r="CF130" i="2"/>
  <c r="DD130" i="2" s="1"/>
  <c r="EE131" i="2"/>
  <c r="EP131" i="2" s="1"/>
  <c r="AB132" i="2"/>
  <c r="AF133" i="2"/>
  <c r="CB133" i="2"/>
  <c r="CZ133" i="2" s="1"/>
  <c r="AB137" i="2"/>
  <c r="AJ138" i="2"/>
  <c r="CF138" i="2"/>
  <c r="DD138" i="2" s="1"/>
  <c r="ED139" i="2"/>
  <c r="EO139" i="2" s="1"/>
  <c r="AE142" i="2"/>
  <c r="CA142" i="2"/>
  <c r="CY142" i="2" s="1"/>
  <c r="CE147" i="2"/>
  <c r="DC147" i="2" s="1"/>
  <c r="AI147" i="2"/>
  <c r="CF154" i="2"/>
  <c r="DD154" i="2" s="1"/>
  <c r="AO158" i="2"/>
  <c r="CK158" i="2"/>
  <c r="DI158" i="2" s="1"/>
  <c r="EI169" i="2"/>
  <c r="EH145" i="2"/>
  <c r="DX147" i="2"/>
  <c r="EI147" i="2" s="1"/>
  <c r="U147" i="2"/>
  <c r="AJ147" i="2"/>
  <c r="CF147" i="2"/>
  <c r="DD147" i="2" s="1"/>
  <c r="AF150" i="2"/>
  <c r="CB150" i="2"/>
  <c r="CZ150" i="2" s="1"/>
  <c r="AO152" i="2"/>
  <c r="CK152" i="2"/>
  <c r="DI152" i="2" s="1"/>
  <c r="CC152" i="2"/>
  <c r="DA152" i="2" s="1"/>
  <c r="AG152" i="2"/>
  <c r="W127" i="2"/>
  <c r="W130" i="2"/>
  <c r="W133" i="2"/>
  <c r="DY134" i="2"/>
  <c r="EJ134" i="2" s="1"/>
  <c r="V135" i="2"/>
  <c r="W134" i="2"/>
  <c r="CD136" i="2"/>
  <c r="DB136" i="2" s="1"/>
  <c r="ED136" i="2"/>
  <c r="EO136" i="2" s="1"/>
  <c r="AI138" i="2"/>
  <c r="CE138" i="2"/>
  <c r="DC138" i="2" s="1"/>
  <c r="Z138" i="2"/>
  <c r="AG139" i="2"/>
  <c r="CC139" i="2"/>
  <c r="DA139" i="2" s="1"/>
  <c r="W139" i="2"/>
  <c r="CI139" i="2"/>
  <c r="DG139" i="2" s="1"/>
  <c r="X141" i="2"/>
  <c r="EH142" i="2"/>
  <c r="DY147" i="2"/>
  <c r="EJ147" i="2" s="1"/>
  <c r="V147" i="2"/>
  <c r="EH154" i="2"/>
  <c r="W123" i="2"/>
  <c r="DX130" i="2"/>
  <c r="EI130" i="2" s="1"/>
  <c r="AF132" i="2"/>
  <c r="CB132" i="2"/>
  <c r="CZ132" i="2" s="1"/>
  <c r="CG136" i="2"/>
  <c r="DE136" i="2" s="1"/>
  <c r="AG137" i="2"/>
  <c r="AA138" i="2"/>
  <c r="X139" i="2"/>
  <c r="AH140" i="2"/>
  <c r="CD143" i="2"/>
  <c r="DB143" i="2" s="1"/>
  <c r="AH143" i="2"/>
  <c r="DZ147" i="2"/>
  <c r="EK147" i="2" s="1"/>
  <c r="W148" i="2"/>
  <c r="U165" i="2"/>
  <c r="DX164" i="2"/>
  <c r="EI164" i="2" s="1"/>
  <c r="U164" i="2"/>
  <c r="AI164" i="2"/>
  <c r="CE164" i="2"/>
  <c r="DC164" i="2" s="1"/>
  <c r="AH131" i="2"/>
  <c r="CD131" i="2"/>
  <c r="DB131" i="2" s="1"/>
  <c r="AH132" i="2"/>
  <c r="CD132" i="2"/>
  <c r="DB132" i="2" s="1"/>
  <c r="EE137" i="2"/>
  <c r="EP137" i="2" s="1"/>
  <c r="AB138" i="2"/>
  <c r="AM137" i="2"/>
  <c r="Y139" i="2"/>
  <c r="U148" i="2"/>
  <c r="Y123" i="2"/>
  <c r="AC126" i="2"/>
  <c r="DZ130" i="2"/>
  <c r="EK130" i="2" s="1"/>
  <c r="U131" i="2"/>
  <c r="AJ131" i="2"/>
  <c r="CF131" i="2"/>
  <c r="DD131" i="2" s="1"/>
  <c r="CB131" i="2"/>
  <c r="CZ131" i="2" s="1"/>
  <c r="U132" i="2"/>
  <c r="DX132" i="2"/>
  <c r="EI132" i="2" s="1"/>
  <c r="EA133" i="2"/>
  <c r="EL133" i="2" s="1"/>
  <c r="X134" i="2"/>
  <c r="CJ133" i="2"/>
  <c r="DH133" i="2" s="1"/>
  <c r="AO135" i="2"/>
  <c r="CK135" i="2"/>
  <c r="DI135" i="2" s="1"/>
  <c r="DZ135" i="2"/>
  <c r="EK135" i="2" s="1"/>
  <c r="EC138" i="2"/>
  <c r="EN138" i="2" s="1"/>
  <c r="Z139" i="2"/>
  <c r="EA139" i="2"/>
  <c r="EL139" i="2" s="1"/>
  <c r="X140" i="2"/>
  <c r="CJ141" i="2"/>
  <c r="DH141" i="2" s="1"/>
  <c r="DZ142" i="2"/>
  <c r="EK142" i="2" s="1"/>
  <c r="W142" i="2"/>
  <c r="EE144" i="2"/>
  <c r="EP144" i="2" s="1"/>
  <c r="AB144" i="2"/>
  <c r="AA147" i="2"/>
  <c r="AA146" i="2"/>
  <c r="V148" i="2"/>
  <c r="DY149" i="2"/>
  <c r="EJ149" i="2" s="1"/>
  <c r="V149" i="2"/>
  <c r="ED144" i="2"/>
  <c r="EO144" i="2" s="1"/>
  <c r="AA145" i="2"/>
  <c r="EN147" i="2"/>
  <c r="CJ149" i="2"/>
  <c r="DH149" i="2" s="1"/>
  <c r="AN149" i="2"/>
  <c r="AB151" i="2"/>
  <c r="AB152" i="2"/>
  <c r="EE151" i="2"/>
  <c r="EP151" i="2" s="1"/>
  <c r="X155" i="2"/>
  <c r="EA155" i="2"/>
  <c r="EL155" i="2" s="1"/>
  <c r="X156" i="2"/>
  <c r="CK155" i="2"/>
  <c r="DI155" i="2" s="1"/>
  <c r="AO155" i="2"/>
  <c r="AA150" i="2"/>
  <c r="EJ151" i="2"/>
  <c r="EH152" i="2"/>
  <c r="CD157" i="2"/>
  <c r="DB157" i="2" s="1"/>
  <c r="AH157" i="2"/>
  <c r="AH164" i="2"/>
  <c r="CD164" i="2"/>
  <c r="DB164" i="2" s="1"/>
  <c r="AM168" i="2"/>
  <c r="CI168" i="2"/>
  <c r="DG168" i="2" s="1"/>
  <c r="EF134" i="2"/>
  <c r="EQ134" i="2" s="1"/>
  <c r="ED135" i="2"/>
  <c r="EO135" i="2" s="1"/>
  <c r="EB136" i="2"/>
  <c r="EM136" i="2" s="1"/>
  <c r="DZ137" i="2"/>
  <c r="EK137" i="2" s="1"/>
  <c r="DX138" i="2"/>
  <c r="EI138" i="2" s="1"/>
  <c r="CA141" i="2"/>
  <c r="CY141" i="2" s="1"/>
  <c r="EL142" i="2"/>
  <c r="DZ143" i="2"/>
  <c r="EK143" i="2" s="1"/>
  <c r="Z147" i="2"/>
  <c r="Y149" i="2"/>
  <c r="Y150" i="2"/>
  <c r="AO150" i="2"/>
  <c r="CK150" i="2"/>
  <c r="DI150" i="2" s="1"/>
  <c r="EL151" i="2"/>
  <c r="EJ152" i="2"/>
  <c r="AA162" i="2"/>
  <c r="AA161" i="2"/>
  <c r="ED161" i="2"/>
  <c r="EO161" i="2" s="1"/>
  <c r="EA162" i="2"/>
  <c r="EL162" i="2" s="1"/>
  <c r="X162" i="2"/>
  <c r="AM163" i="2"/>
  <c r="CI163" i="2"/>
  <c r="DG163" i="2" s="1"/>
  <c r="AK164" i="2"/>
  <c r="CG164" i="2"/>
  <c r="DE164" i="2" s="1"/>
  <c r="CJ134" i="2"/>
  <c r="DH134" i="2" s="1"/>
  <c r="CH135" i="2"/>
  <c r="DF135" i="2" s="1"/>
  <c r="CF136" i="2"/>
  <c r="DD136" i="2" s="1"/>
  <c r="CD137" i="2"/>
  <c r="DB137" i="2" s="1"/>
  <c r="CB138" i="2"/>
  <c r="CZ138" i="2" s="1"/>
  <c r="CJ140" i="2"/>
  <c r="DH140" i="2" s="1"/>
  <c r="EB142" i="2"/>
  <c r="EM142" i="2" s="1"/>
  <c r="V144" i="2"/>
  <c r="CB144" i="2"/>
  <c r="CZ144" i="2" s="1"/>
  <c r="AC145" i="2"/>
  <c r="EB146" i="2"/>
  <c r="EM146" i="2" s="1"/>
  <c r="Z149" i="2"/>
  <c r="Z150" i="2"/>
  <c r="EC149" i="2"/>
  <c r="EN149" i="2" s="1"/>
  <c r="CA150" i="2"/>
  <c r="CY150" i="2" s="1"/>
  <c r="AE150" i="2"/>
  <c r="CK151" i="2"/>
  <c r="DI151" i="2" s="1"/>
  <c r="AO151" i="2"/>
  <c r="ED151" i="2"/>
  <c r="EO151" i="2" s="1"/>
  <c r="DZ153" i="2"/>
  <c r="EK153" i="2" s="1"/>
  <c r="EA154" i="2"/>
  <c r="EL154" i="2" s="1"/>
  <c r="CI157" i="2"/>
  <c r="DG157" i="2" s="1"/>
  <c r="EO160" i="2"/>
  <c r="AN161" i="2"/>
  <c r="CJ161" i="2"/>
  <c r="DH161" i="2" s="1"/>
  <c r="CG163" i="2"/>
  <c r="DE163" i="2" s="1"/>
  <c r="AK163" i="2"/>
  <c r="CJ163" i="2"/>
  <c r="DH163" i="2" s="1"/>
  <c r="AN163" i="2"/>
  <c r="CI167" i="2"/>
  <c r="DG167" i="2" s="1"/>
  <c r="AM167" i="2"/>
  <c r="CJ135" i="2"/>
  <c r="DH135" i="2" s="1"/>
  <c r="CH136" i="2"/>
  <c r="DF136" i="2" s="1"/>
  <c r="CF137" i="2"/>
  <c r="DD137" i="2" s="1"/>
  <c r="CD138" i="2"/>
  <c r="DB138" i="2" s="1"/>
  <c r="AC139" i="2"/>
  <c r="CB139" i="2"/>
  <c r="CZ139" i="2" s="1"/>
  <c r="AA140" i="2"/>
  <c r="Y142" i="2"/>
  <c r="EC143" i="2"/>
  <c r="EN143" i="2" s="1"/>
  <c r="AA144" i="2"/>
  <c r="EH144" i="2"/>
  <c r="CG146" i="2"/>
  <c r="DE146" i="2" s="1"/>
  <c r="EQ148" i="2"/>
  <c r="AK152" i="2"/>
  <c r="CG152" i="2"/>
  <c r="DE152" i="2" s="1"/>
  <c r="CF153" i="2"/>
  <c r="DD153" i="2" s="1"/>
  <c r="AJ153" i="2"/>
  <c r="EP155" i="2"/>
  <c r="AI159" i="2"/>
  <c r="CE159" i="2"/>
  <c r="DC159" i="2" s="1"/>
  <c r="W167" i="2"/>
  <c r="DZ167" i="2"/>
  <c r="EK167" i="2" s="1"/>
  <c r="W143" i="2"/>
  <c r="AL143" i="2"/>
  <c r="AH145" i="2"/>
  <c r="CD145" i="2"/>
  <c r="DB145" i="2" s="1"/>
  <c r="Z146" i="2"/>
  <c r="EQ146" i="2"/>
  <c r="AB147" i="2"/>
  <c r="U149" i="2"/>
  <c r="DX148" i="2"/>
  <c r="EI148" i="2" s="1"/>
  <c r="AJ150" i="2"/>
  <c r="CF150" i="2"/>
  <c r="DD150" i="2" s="1"/>
  <c r="AG153" i="2"/>
  <c r="CC153" i="2"/>
  <c r="DA153" i="2" s="1"/>
  <c r="CG153" i="2"/>
  <c r="DE153" i="2" s="1"/>
  <c r="AK153" i="2"/>
  <c r="CE154" i="2"/>
  <c r="DC154" i="2" s="1"/>
  <c r="AI154" i="2"/>
  <c r="EJ156" i="2"/>
  <c r="EB158" i="2"/>
  <c r="EM158" i="2" s="1"/>
  <c r="Y158" i="2"/>
  <c r="AG160" i="2"/>
  <c r="CC160" i="2"/>
  <c r="DA160" i="2" s="1"/>
  <c r="AM160" i="2"/>
  <c r="CI160" i="2"/>
  <c r="DG160" i="2" s="1"/>
  <c r="EL161" i="2"/>
  <c r="X163" i="2"/>
  <c r="AJ144" i="2"/>
  <c r="CF144" i="2"/>
  <c r="DD144" i="2" s="1"/>
  <c r="EJ144" i="2"/>
  <c r="U145" i="2"/>
  <c r="DZ146" i="2"/>
  <c r="EK146" i="2" s="1"/>
  <c r="W146" i="2"/>
  <c r="CG151" i="2"/>
  <c r="DE151" i="2" s="1"/>
  <c r="AK151" i="2"/>
  <c r="CI152" i="2"/>
  <c r="DG152" i="2" s="1"/>
  <c r="AM152" i="2"/>
  <c r="V153" i="2"/>
  <c r="DY153" i="2"/>
  <c r="EJ153" i="2" s="1"/>
  <c r="EC158" i="2"/>
  <c r="EN158" i="2" s="1"/>
  <c r="Z158" i="2"/>
  <c r="Z159" i="2"/>
  <c r="CD160" i="2"/>
  <c r="DB160" i="2" s="1"/>
  <c r="AH160" i="2"/>
  <c r="AN160" i="2"/>
  <c r="CJ160" i="2"/>
  <c r="DH160" i="2" s="1"/>
  <c r="EJ162" i="2"/>
  <c r="CD146" i="2"/>
  <c r="DB146" i="2" s="1"/>
  <c r="AH146" i="2"/>
  <c r="EA147" i="2"/>
  <c r="EL147" i="2" s="1"/>
  <c r="Z151" i="2"/>
  <c r="EC151" i="2"/>
  <c r="EN151" i="2" s="1"/>
  <c r="CE152" i="2"/>
  <c r="DC152" i="2" s="1"/>
  <c r="AI153" i="2"/>
  <c r="CE153" i="2"/>
  <c r="DC153" i="2" s="1"/>
  <c r="DY154" i="2"/>
  <c r="EJ154" i="2" s="1"/>
  <c r="V154" i="2"/>
  <c r="CI155" i="2"/>
  <c r="DG155" i="2" s="1"/>
  <c r="AM155" i="2"/>
  <c r="AA158" i="2"/>
  <c r="ED158" i="2"/>
  <c r="EO158" i="2" s="1"/>
  <c r="AA159" i="2"/>
  <c r="CE161" i="2"/>
  <c r="DC161" i="2" s="1"/>
  <c r="AI161" i="2"/>
  <c r="EK162" i="2"/>
  <c r="Z144" i="2"/>
  <c r="EC144" i="2"/>
  <c r="EN144" i="2" s="1"/>
  <c r="EA144" i="2"/>
  <c r="EL144" i="2" s="1"/>
  <c r="AB145" i="2"/>
  <c r="CK146" i="2"/>
  <c r="DI146" i="2" s="1"/>
  <c r="AK148" i="2"/>
  <c r="CG148" i="2"/>
  <c r="DE148" i="2" s="1"/>
  <c r="W149" i="2"/>
  <c r="EI149" i="2"/>
  <c r="EL150" i="2"/>
  <c r="CE155" i="2"/>
  <c r="DC155" i="2" s="1"/>
  <c r="AI155" i="2"/>
  <c r="AN155" i="2"/>
  <c r="CJ155" i="2"/>
  <c r="DH155" i="2" s="1"/>
  <c r="EP158" i="2"/>
  <c r="U155" i="2"/>
  <c r="DX154" i="2"/>
  <c r="EI154" i="2" s="1"/>
  <c r="AN158" i="2"/>
  <c r="CJ158" i="2"/>
  <c r="DH158" i="2" s="1"/>
  <c r="AC160" i="2"/>
  <c r="EF159" i="2"/>
  <c r="EQ159" i="2" s="1"/>
  <c r="AC159" i="2"/>
  <c r="EJ161" i="2"/>
  <c r="W163" i="2"/>
  <c r="CK166" i="2"/>
  <c r="DI166" i="2" s="1"/>
  <c r="AO166" i="2"/>
  <c r="V170" i="2"/>
  <c r="DY170" i="2"/>
  <c r="EJ170" i="2" s="1"/>
  <c r="V150" i="2"/>
  <c r="AJ151" i="2"/>
  <c r="X152" i="2"/>
  <c r="EA152" i="2"/>
  <c r="EL152" i="2" s="1"/>
  <c r="CK153" i="2"/>
  <c r="DI153" i="2" s="1"/>
  <c r="EA157" i="2"/>
  <c r="EL157" i="2" s="1"/>
  <c r="X157" i="2"/>
  <c r="AJ159" i="2"/>
  <c r="CF159" i="2"/>
  <c r="DD159" i="2" s="1"/>
  <c r="AL162" i="2"/>
  <c r="CC162" i="2"/>
  <c r="DA162" i="2" s="1"/>
  <c r="Z163" i="2"/>
  <c r="Z164" i="2"/>
  <c r="AC165" i="2"/>
  <c r="EC166" i="2"/>
  <c r="EN166" i="2" s="1"/>
  <c r="Z166" i="2"/>
  <c r="Z167" i="2"/>
  <c r="U169" i="2"/>
  <c r="U170" i="2"/>
  <c r="CE169" i="2"/>
  <c r="DC169" i="2" s="1"/>
  <c r="AI169" i="2"/>
  <c r="Z148" i="2"/>
  <c r="AC148" i="2"/>
  <c r="EF151" i="2"/>
  <c r="EQ151" i="2" s="1"/>
  <c r="EF153" i="2"/>
  <c r="EQ153" i="2" s="1"/>
  <c r="Z154" i="2"/>
  <c r="AC154" i="2"/>
  <c r="AG156" i="2"/>
  <c r="CC156" i="2"/>
  <c r="DA156" i="2" s="1"/>
  <c r="V159" i="2"/>
  <c r="DY159" i="2"/>
  <c r="EJ159" i="2" s="1"/>
  <c r="Y159" i="2"/>
  <c r="EE159" i="2"/>
  <c r="EP159" i="2" s="1"/>
  <c r="AI160" i="2"/>
  <c r="CE162" i="2"/>
  <c r="DC162" i="2" s="1"/>
  <c r="EL163" i="2"/>
  <c r="AM166" i="2"/>
  <c r="CI166" i="2"/>
  <c r="DG166" i="2" s="1"/>
  <c r="Y167" i="2"/>
  <c r="EB167" i="2"/>
  <c r="EM167" i="2" s="1"/>
  <c r="Y168" i="2"/>
  <c r="ED154" i="2"/>
  <c r="EO154" i="2" s="1"/>
  <c r="AA154" i="2"/>
  <c r="CI156" i="2"/>
  <c r="DG156" i="2" s="1"/>
  <c r="CK156" i="2"/>
  <c r="DI156" i="2" s="1"/>
  <c r="EC156" i="2"/>
  <c r="EN156" i="2" s="1"/>
  <c r="CD158" i="2"/>
  <c r="DB158" i="2" s="1"/>
  <c r="DX158" i="2"/>
  <c r="EI158" i="2" s="1"/>
  <c r="EK159" i="2"/>
  <c r="EH160" i="2"/>
  <c r="AK161" i="2"/>
  <c r="CG161" i="2"/>
  <c r="DE161" i="2" s="1"/>
  <c r="AC162" i="2"/>
  <c r="EF162" i="2"/>
  <c r="EQ162" i="2" s="1"/>
  <c r="EC163" i="2"/>
  <c r="EN163" i="2" s="1"/>
  <c r="W165" i="2"/>
  <c r="DZ165" i="2"/>
  <c r="EK165" i="2" s="1"/>
  <c r="EF165" i="2"/>
  <c r="EQ165" i="2" s="1"/>
  <c r="AB166" i="2"/>
  <c r="EE166" i="2"/>
  <c r="EP166" i="2" s="1"/>
  <c r="X168" i="2"/>
  <c r="EA168" i="2"/>
  <c r="EL168" i="2" s="1"/>
  <c r="AL169" i="2"/>
  <c r="CH169" i="2"/>
  <c r="DF169" i="2" s="1"/>
  <c r="AB170" i="2"/>
  <c r="EE170" i="2"/>
  <c r="EP170" i="2" s="1"/>
  <c r="EO145" i="2"/>
  <c r="CJ148" i="2"/>
  <c r="DH148" i="2" s="1"/>
  <c r="EJ150" i="2"/>
  <c r="V151" i="2"/>
  <c r="AH152" i="2"/>
  <c r="CA155" i="2"/>
  <c r="CY155" i="2" s="1"/>
  <c r="EH155" i="2"/>
  <c r="AH156" i="2"/>
  <c r="CD156" i="2"/>
  <c r="DB156" i="2" s="1"/>
  <c r="EJ158" i="2"/>
  <c r="DX160" i="2"/>
  <c r="EI160" i="2" s="1"/>
  <c r="Z161" i="2"/>
  <c r="AA164" i="2"/>
  <c r="AA165" i="2"/>
  <c r="ED164" i="2"/>
  <c r="EO164" i="2" s="1"/>
  <c r="AO164" i="2"/>
  <c r="CA149" i="2"/>
  <c r="CY149" i="2" s="1"/>
  <c r="DZ150" i="2"/>
  <c r="EK150" i="2" s="1"/>
  <c r="W151" i="2"/>
  <c r="AB153" i="2"/>
  <c r="EH157" i="2"/>
  <c r="U158" i="2"/>
  <c r="CG160" i="2"/>
  <c r="DE160" i="2" s="1"/>
  <c r="AE160" i="2"/>
  <c r="CA160" i="2"/>
  <c r="CY160" i="2" s="1"/>
  <c r="AL160" i="2"/>
  <c r="DY160" i="2"/>
  <c r="EJ160" i="2" s="1"/>
  <c r="V161" i="2"/>
  <c r="AF162" i="2"/>
  <c r="CB162" i="2"/>
  <c r="CZ162" i="2" s="1"/>
  <c r="AN164" i="2"/>
  <c r="CJ164" i="2"/>
  <c r="DH164" i="2" s="1"/>
  <c r="Y166" i="2"/>
  <c r="Y165" i="2"/>
  <c r="EB165" i="2"/>
  <c r="EM165" i="2" s="1"/>
  <c r="EJ166" i="2"/>
  <c r="EH168" i="2"/>
  <c r="EM155" i="2"/>
  <c r="EF157" i="2"/>
  <c r="EQ157" i="2" s="1"/>
  <c r="AC157" i="2"/>
  <c r="EC165" i="2"/>
  <c r="EN165" i="2" s="1"/>
  <c r="Z165" i="2"/>
  <c r="AC167" i="2"/>
  <c r="EF167" i="2"/>
  <c r="EQ167" i="2" s="1"/>
  <c r="EH170" i="2"/>
  <c r="CK147" i="2"/>
  <c r="DI147" i="2" s="1"/>
  <c r="AB150" i="2"/>
  <c r="EE150" i="2"/>
  <c r="EP150" i="2" s="1"/>
  <c r="EH151" i="2"/>
  <c r="EH161" i="2"/>
  <c r="U163" i="2"/>
  <c r="EP164" i="2"/>
  <c r="X149" i="2"/>
  <c r="U154" i="2"/>
  <c r="AK155" i="2"/>
  <c r="CG155" i="2"/>
  <c r="DE155" i="2" s="1"/>
  <c r="CH155" i="2"/>
  <c r="DF155" i="2" s="1"/>
  <c r="EO155" i="2"/>
  <c r="EN157" i="2"/>
  <c r="EN160" i="2"/>
  <c r="EI161" i="2"/>
  <c r="V163" i="2"/>
  <c r="AB162" i="2"/>
  <c r="EK163" i="2"/>
  <c r="V165" i="2"/>
  <c r="DY167" i="2"/>
  <c r="EJ167" i="2" s="1"/>
  <c r="V167" i="2"/>
  <c r="V168" i="2"/>
  <c r="ED170" i="2"/>
  <c r="EO170" i="2" s="1"/>
  <c r="AA170" i="2"/>
  <c r="EF149" i="2"/>
  <c r="EQ149" i="2" s="1"/>
  <c r="ED150" i="2"/>
  <c r="EO150" i="2" s="1"/>
  <c r="EB151" i="2"/>
  <c r="EM151" i="2" s="1"/>
  <c r="DZ152" i="2"/>
  <c r="EK152" i="2" s="1"/>
  <c r="DX153" i="2"/>
  <c r="EI153" i="2" s="1"/>
  <c r="EE156" i="2"/>
  <c r="EP156" i="2" s="1"/>
  <c r="W157" i="2"/>
  <c r="X160" i="2"/>
  <c r="EE162" i="2"/>
  <c r="EP162" i="2" s="1"/>
  <c r="CA163" i="2"/>
  <c r="CY163" i="2" s="1"/>
  <c r="X164" i="2"/>
  <c r="CB167" i="2"/>
  <c r="CZ167" i="2" s="1"/>
  <c r="EG4" i="6"/>
  <c r="AE159" i="2"/>
  <c r="U161" i="2"/>
  <c r="V162" i="2"/>
  <c r="EE165" i="2"/>
  <c r="EP165" i="2" s="1"/>
  <c r="AB165" i="2"/>
  <c r="CD166" i="2"/>
  <c r="DB166" i="2" s="1"/>
  <c r="Z168" i="2"/>
  <c r="EC168" i="2"/>
  <c r="EN168" i="2" s="1"/>
  <c r="AA169" i="2"/>
  <c r="EJ169" i="2"/>
  <c r="EI170" i="2"/>
  <c r="Z157" i="2"/>
  <c r="AB157" i="2"/>
  <c r="EF160" i="2"/>
  <c r="EQ160" i="2" s="1"/>
  <c r="EL164" i="2"/>
  <c r="EJ165" i="2"/>
  <c r="U167" i="2"/>
  <c r="DX166" i="2"/>
  <c r="EI166" i="2" s="1"/>
  <c r="U166" i="2"/>
  <c r="AB169" i="2"/>
  <c r="EE169" i="2"/>
  <c r="EP169" i="2" s="1"/>
  <c r="EG24" i="6"/>
  <c r="V155" i="2"/>
  <c r="EH163" i="2"/>
  <c r="AJ165" i="2"/>
  <c r="CF165" i="2"/>
  <c r="DD165" i="2" s="1"/>
  <c r="EF169" i="2"/>
  <c r="EQ169" i="2" s="1"/>
  <c r="AC169" i="2"/>
  <c r="EK170" i="2"/>
  <c r="X158" i="2"/>
  <c r="AC163" i="2"/>
  <c r="DZ166" i="2"/>
  <c r="EK166" i="2" s="1"/>
  <c r="W166" i="2"/>
  <c r="ED169" i="2"/>
  <c r="EO169" i="2" s="1"/>
  <c r="W168" i="2"/>
  <c r="EG25" i="6"/>
  <c r="EH9" i="6"/>
  <c r="EK15" i="6"/>
  <c r="EL24" i="6"/>
  <c r="EN35" i="6"/>
  <c r="AC168" i="2"/>
  <c r="EK168" i="2"/>
  <c r="EN37" i="6"/>
  <c r="AB167" i="2"/>
  <c r="EI21" i="6"/>
  <c r="EH22" i="6"/>
  <c r="EM28" i="6"/>
  <c r="EQ168" i="2"/>
  <c r="X169" i="2"/>
  <c r="CD169" i="2"/>
  <c r="DB169" i="2" s="1"/>
  <c r="CE170" i="2"/>
  <c r="DC170" i="2" s="1"/>
  <c r="EJ31" i="6"/>
  <c r="EI36" i="6"/>
  <c r="EI42" i="6"/>
  <c r="EK43" i="6"/>
  <c r="EQ45" i="6"/>
  <c r="EH46" i="6"/>
  <c r="EK47" i="6"/>
  <c r="EQ49" i="6"/>
  <c r="EH50" i="6"/>
  <c r="EK51" i="6"/>
  <c r="EQ53" i="6"/>
  <c r="EH54" i="6"/>
  <c r="EQ57" i="6"/>
  <c r="EH58" i="6"/>
  <c r="EQ61" i="6"/>
  <c r="EH62" i="6"/>
  <c r="EI39" i="6"/>
  <c r="EQ44" i="6"/>
  <c r="EH45" i="6"/>
  <c r="EK46" i="6"/>
  <c r="EQ48" i="6"/>
  <c r="EH49" i="6"/>
  <c r="EK50" i="6"/>
  <c r="EQ52" i="6"/>
  <c r="EH53" i="6"/>
  <c r="EK54" i="6"/>
  <c r="EQ56" i="6"/>
  <c r="EH57" i="6"/>
  <c r="EQ60" i="6"/>
  <c r="EI37" i="6"/>
  <c r="EI40" i="6"/>
  <c r="EP66" i="6"/>
  <c r="EQ42" i="6"/>
  <c r="EL40" i="6"/>
  <c r="EI38" i="6"/>
  <c r="EI41" i="6"/>
  <c r="EG66" i="6"/>
  <c r="EG70" i="6"/>
  <c r="EH36" i="6"/>
  <c r="EH42" i="6"/>
  <c r="EM64" i="6"/>
  <c r="EH66" i="6"/>
  <c r="EH70" i="6"/>
  <c r="EG72" i="6"/>
  <c r="EH67" i="6"/>
  <c r="EH71" i="6"/>
  <c r="EG73" i="6"/>
  <c r="EG65" i="6"/>
  <c r="EG69" i="6"/>
  <c r="EK73" i="6"/>
  <c r="EJ74" i="6"/>
  <c r="EJ75" i="6"/>
  <c r="EJ76" i="6"/>
  <c r="EJ77" i="6"/>
  <c r="EJ78" i="6"/>
  <c r="EJ79" i="6"/>
  <c r="EJ80" i="6"/>
  <c r="EJ81" i="6"/>
  <c r="EJ82" i="6"/>
  <c r="EJ83" i="6"/>
  <c r="EJ84" i="6"/>
  <c r="EJ85" i="6"/>
  <c r="EJ86" i="6"/>
  <c r="EJ87" i="6"/>
  <c r="EJ88" i="6"/>
  <c r="EJ89" i="6"/>
  <c r="EJ90" i="6"/>
  <c r="EJ91" i="6"/>
  <c r="EJ92" i="6"/>
  <c r="EJ93" i="6"/>
  <c r="EJ94" i="6"/>
  <c r="EJ95" i="6"/>
  <c r="EJ96" i="6"/>
  <c r="EJ97" i="6"/>
  <c r="EJ98" i="6"/>
  <c r="EJ99" i="6"/>
  <c r="EJ100" i="6"/>
  <c r="EJ101" i="6"/>
  <c r="EQ63" i="6"/>
  <c r="EM74" i="6"/>
  <c r="EM75" i="6"/>
  <c r="EM76" i="6"/>
  <c r="EM77" i="6"/>
  <c r="EM78" i="6"/>
  <c r="EM79" i="6"/>
  <c r="EM80" i="6"/>
  <c r="EM81" i="6"/>
  <c r="EM82" i="6"/>
  <c r="EM83" i="6"/>
  <c r="EM84" i="6"/>
  <c r="EM85" i="6"/>
  <c r="EM86" i="6"/>
  <c r="EM87" i="6"/>
  <c r="EM88" i="6"/>
  <c r="EP72" i="6"/>
  <c r="EL108" i="6"/>
  <c r="EL106" i="6"/>
  <c r="EQ111" i="6"/>
  <c r="EL105" i="6"/>
  <c r="EQ110" i="6"/>
  <c r="EQ109" i="6"/>
  <c r="EH112" i="6"/>
  <c r="EN114" i="6"/>
  <c r="EH116" i="6"/>
  <c r="EN118" i="6"/>
  <c r="EH120" i="6"/>
  <c r="EN122" i="6"/>
  <c r="EK135" i="6"/>
  <c r="EN130" i="6"/>
  <c r="EQ105" i="6"/>
  <c r="EH108" i="6"/>
  <c r="EL112" i="6"/>
  <c r="EI103" i="6"/>
  <c r="EH104" i="6"/>
  <c r="EH106" i="6"/>
  <c r="EL110" i="6"/>
  <c r="EN112" i="6"/>
  <c r="EH114" i="6"/>
  <c r="EN116" i="6"/>
  <c r="EH118" i="6"/>
  <c r="EN120" i="6"/>
  <c r="EI137" i="6"/>
  <c r="EH139" i="6"/>
  <c r="EI140" i="6"/>
  <c r="EI138" i="6"/>
  <c r="EJ159" i="6"/>
  <c r="EJ162" i="6"/>
  <c r="EJ169" i="6"/>
  <c r="EO132" i="6"/>
  <c r="EH134" i="6"/>
  <c r="EQ135" i="6"/>
  <c r="EJ147" i="6"/>
  <c r="EJ151" i="6"/>
  <c r="EJ155" i="6"/>
  <c r="EI134" i="6"/>
  <c r="EH146" i="6"/>
  <c r="EJ168" i="6"/>
  <c r="EQ136" i="6"/>
  <c r="EH145" i="6"/>
  <c r="EI146" i="6"/>
  <c r="EJ158" i="6"/>
  <c r="EJ161" i="6"/>
  <c r="EJ164" i="6"/>
  <c r="EO133" i="6"/>
  <c r="EI135" i="6"/>
  <c r="EQ137" i="6"/>
  <c r="EH143" i="6"/>
  <c r="EI144" i="6"/>
  <c r="EI136" i="6"/>
  <c r="EH141" i="6"/>
  <c r="EI142" i="6"/>
  <c r="EJ149" i="6"/>
  <c r="EJ153" i="6"/>
  <c r="EJ157" i="6"/>
  <c r="EJ160" i="6"/>
  <c r="EJ163" i="6"/>
  <c r="EJ166" i="6"/>
  <c r="EI132" i="6"/>
  <c r="EZ61" i="6" l="1"/>
  <c r="EU22" i="6"/>
  <c r="FK79" i="6"/>
  <c r="FF109" i="6"/>
  <c r="FJ76" i="6"/>
  <c r="FL24" i="6"/>
  <c r="FL110" i="6"/>
  <c r="FM39" i="6"/>
  <c r="FC126" i="6"/>
  <c r="ET93" i="6"/>
  <c r="FE68" i="6"/>
  <c r="FE44" i="6"/>
  <c r="FE117" i="6"/>
  <c r="EU57" i="6"/>
  <c r="FJ156" i="6"/>
  <c r="FJ141" i="6"/>
  <c r="FK113" i="6"/>
  <c r="FA151" i="6"/>
  <c r="FD48" i="6"/>
  <c r="FG84" i="6"/>
  <c r="FK152" i="6"/>
  <c r="ES7" i="6"/>
  <c r="FD56" i="6"/>
  <c r="FA77" i="6"/>
  <c r="FI114" i="6"/>
  <c r="FI71" i="6"/>
  <c r="EV85" i="6"/>
  <c r="FD52" i="6"/>
  <c r="EV160" i="6"/>
  <c r="EV92" i="6"/>
  <c r="FH132" i="6"/>
  <c r="EY84" i="6"/>
  <c r="ES12" i="6"/>
  <c r="FF33" i="6"/>
  <c r="FE16" i="6"/>
  <c r="FJ159" i="6"/>
  <c r="FE126" i="6"/>
  <c r="EV37" i="6"/>
  <c r="FC159" i="6"/>
  <c r="FL100" i="6"/>
  <c r="EX126" i="6"/>
  <c r="ER122" i="6"/>
  <c r="FL36" i="6"/>
  <c r="FI157" i="6"/>
  <c r="FB118" i="6"/>
  <c r="ES24" i="6"/>
  <c r="FL172" i="6"/>
  <c r="FC153" i="6"/>
  <c r="FG91" i="6"/>
  <c r="FB32" i="6"/>
  <c r="FC28" i="6"/>
  <c r="FD160" i="6"/>
  <c r="FE157" i="6"/>
  <c r="FM141" i="6"/>
  <c r="FF73" i="6"/>
  <c r="FI116" i="6"/>
  <c r="FC46" i="6"/>
  <c r="FH88" i="6"/>
  <c r="FE48" i="6"/>
  <c r="FC110" i="6"/>
  <c r="FG172" i="6"/>
  <c r="FL127" i="6"/>
  <c r="FC22" i="6"/>
  <c r="FH81" i="6"/>
  <c r="FK77" i="6"/>
  <c r="FJ119" i="6"/>
  <c r="FH146" i="6"/>
  <c r="FI130" i="6"/>
  <c r="FH54" i="6"/>
  <c r="FL142" i="6"/>
  <c r="FE105" i="6"/>
  <c r="FH34" i="6"/>
  <c r="FC15" i="6"/>
  <c r="FG16" i="6"/>
  <c r="FJ101" i="6"/>
  <c r="FE53" i="6"/>
  <c r="FG41" i="6"/>
  <c r="FE78" i="6"/>
  <c r="FI119" i="6"/>
  <c r="FM67" i="6"/>
  <c r="FL125" i="6"/>
  <c r="FF137" i="6"/>
  <c r="FK94" i="6"/>
  <c r="FJ44" i="6"/>
  <c r="FK121" i="6"/>
  <c r="FL23" i="6"/>
  <c r="FH150" i="6"/>
  <c r="FE154" i="6"/>
  <c r="FL103" i="6"/>
  <c r="FH39" i="6"/>
  <c r="FH15" i="6"/>
  <c r="FJ89" i="6"/>
  <c r="FH73" i="6"/>
  <c r="FF42" i="6"/>
  <c r="FI53" i="6"/>
  <c r="FK69" i="6"/>
  <c r="FH154" i="6"/>
  <c r="FJ86" i="6"/>
  <c r="FJ66" i="6"/>
  <c r="FD172" i="6"/>
  <c r="FK170" i="6"/>
  <c r="FG156" i="6"/>
  <c r="FH91" i="6"/>
  <c r="FE122" i="6"/>
  <c r="FL34" i="6"/>
  <c r="FE14" i="6"/>
  <c r="FE165" i="6"/>
  <c r="FK141" i="6"/>
  <c r="FM126" i="6"/>
  <c r="FL74" i="6"/>
  <c r="FF103" i="6"/>
  <c r="FE130" i="6"/>
  <c r="FF45" i="6"/>
  <c r="FI66" i="6"/>
  <c r="FM153" i="6"/>
  <c r="FI47" i="6"/>
  <c r="ES86" i="6"/>
  <c r="FB130" i="6"/>
  <c r="FA63" i="6"/>
  <c r="FK166" i="6"/>
  <c r="FE102" i="6"/>
  <c r="EW101" i="6"/>
  <c r="ER27" i="6"/>
  <c r="FC41" i="6"/>
  <c r="FL149" i="6"/>
  <c r="FH119" i="6"/>
  <c r="FI102" i="6"/>
  <c r="FC127" i="6"/>
  <c r="FD89" i="6"/>
  <c r="FK24" i="6"/>
  <c r="FD38" i="6"/>
  <c r="EY71" i="6"/>
  <c r="FF113" i="6"/>
  <c r="EV26" i="6"/>
  <c r="EX52" i="6"/>
  <c r="FL152" i="6"/>
  <c r="EX142" i="6"/>
  <c r="EX124" i="6"/>
  <c r="EX32" i="6"/>
  <c r="EW35" i="6"/>
  <c r="FG154" i="6"/>
  <c r="EV149" i="6"/>
  <c r="EU118" i="6"/>
  <c r="EV34" i="6"/>
  <c r="FL166" i="6"/>
  <c r="EX152" i="6"/>
  <c r="FG128" i="6"/>
  <c r="EV155" i="6"/>
  <c r="FG103" i="6"/>
  <c r="FI29" i="6"/>
  <c r="EU25" i="6"/>
  <c r="FG86" i="6"/>
  <c r="FC23" i="6"/>
  <c r="FL39" i="6"/>
  <c r="FI62" i="6"/>
  <c r="EV161" i="6"/>
  <c r="FJ164" i="6"/>
  <c r="FE167" i="6"/>
  <c r="FC148" i="6"/>
  <c r="FG118" i="6"/>
  <c r="FK116" i="6"/>
  <c r="FD78" i="6"/>
  <c r="FH32" i="6"/>
  <c r="FM64" i="6"/>
  <c r="FF61" i="6"/>
  <c r="FE120" i="6"/>
  <c r="FM171" i="6"/>
  <c r="FD171" i="6"/>
  <c r="FM133" i="6"/>
  <c r="FM144" i="6"/>
  <c r="FE111" i="6"/>
  <c r="FE77" i="6"/>
  <c r="FK84" i="6"/>
  <c r="FE149" i="6"/>
  <c r="EU64" i="6"/>
  <c r="FD14" i="6"/>
  <c r="FE127" i="6"/>
  <c r="FE161" i="6"/>
  <c r="FJ145" i="6"/>
  <c r="FE160" i="6"/>
  <c r="FL150" i="6"/>
  <c r="FL114" i="6"/>
  <c r="FG76" i="6"/>
  <c r="FH23" i="6"/>
  <c r="FD167" i="6"/>
  <c r="FG39" i="6"/>
  <c r="FD135" i="6"/>
  <c r="FJ110" i="6"/>
  <c r="FL122" i="6"/>
  <c r="FE94" i="6"/>
  <c r="FG157" i="6"/>
  <c r="FE75" i="6"/>
  <c r="FI58" i="6"/>
  <c r="FK37" i="6"/>
  <c r="FL147" i="6"/>
  <c r="FG69" i="6"/>
  <c r="FI109" i="6"/>
  <c r="FD98" i="6"/>
  <c r="FH115" i="6"/>
  <c r="FL94" i="6"/>
  <c r="FK71" i="6"/>
  <c r="FC36" i="6"/>
  <c r="FL115" i="6"/>
  <c r="FJ82" i="6"/>
  <c r="FH80" i="6"/>
  <c r="ER37" i="6"/>
  <c r="FH70" i="6"/>
  <c r="FC133" i="6"/>
  <c r="FM37" i="6"/>
  <c r="FI61" i="6"/>
  <c r="FJ160" i="6"/>
  <c r="FJ115" i="6"/>
  <c r="FJ142" i="6"/>
  <c r="FK78" i="6"/>
  <c r="FL62" i="6"/>
  <c r="FD21" i="6"/>
  <c r="FC31" i="6"/>
  <c r="FK172" i="6"/>
  <c r="FG136" i="6"/>
  <c r="FJ81" i="6"/>
  <c r="FF141" i="6"/>
  <c r="FK114" i="6"/>
  <c r="FD31" i="6"/>
  <c r="FF108" i="6"/>
  <c r="FD26" i="6"/>
  <c r="FF34" i="6"/>
  <c r="FK64" i="6"/>
  <c r="ER156" i="6"/>
  <c r="FH167" i="6"/>
  <c r="FC169" i="6"/>
  <c r="FC137" i="6"/>
  <c r="FK130" i="6"/>
  <c r="FL86" i="6"/>
  <c r="FE104" i="6"/>
  <c r="FL75" i="6"/>
  <c r="FH98" i="6"/>
  <c r="FL145" i="6"/>
  <c r="FK45" i="6"/>
  <c r="FI115" i="6"/>
  <c r="FK51" i="6"/>
  <c r="FD94" i="6"/>
  <c r="FM35" i="6"/>
  <c r="FE27" i="6"/>
  <c r="FE71" i="6"/>
  <c r="FF56" i="6"/>
  <c r="FF59" i="6"/>
  <c r="FM163" i="6"/>
  <c r="FE166" i="6"/>
  <c r="FL138" i="6"/>
  <c r="FD132" i="6"/>
  <c r="FK23" i="6"/>
  <c r="FI156" i="6"/>
  <c r="FL146" i="6"/>
  <c r="FI131" i="6"/>
  <c r="FH102" i="6"/>
  <c r="FH31" i="6"/>
  <c r="FC12" i="6"/>
  <c r="FE59" i="6"/>
  <c r="FJ64" i="6"/>
  <c r="FG163" i="6"/>
  <c r="FM122" i="6"/>
  <c r="FE86" i="6"/>
  <c r="FK99" i="6"/>
  <c r="FF154" i="6"/>
  <c r="FD142" i="6"/>
  <c r="FL97" i="6"/>
  <c r="FG151" i="6"/>
  <c r="FC128" i="6"/>
  <c r="ES99" i="6"/>
  <c r="FG53" i="6"/>
  <c r="FJ48" i="6"/>
  <c r="FM134" i="6"/>
  <c r="FE85" i="6"/>
  <c r="FH113" i="6"/>
  <c r="FI55" i="6"/>
  <c r="FM24" i="6"/>
  <c r="FE49" i="6"/>
  <c r="FI54" i="6"/>
  <c r="FF14" i="6"/>
  <c r="FM104" i="6"/>
  <c r="FL95" i="6"/>
  <c r="FG167" i="6"/>
  <c r="FF148" i="6"/>
  <c r="FK85" i="6"/>
  <c r="FK109" i="6"/>
  <c r="FJ62" i="6"/>
  <c r="FC47" i="6"/>
  <c r="ES151" i="6"/>
  <c r="ET76" i="6"/>
  <c r="EU28" i="6"/>
  <c r="ES84" i="6"/>
  <c r="FD157" i="6"/>
  <c r="FF171" i="6"/>
  <c r="FL101" i="6"/>
  <c r="FH53" i="6"/>
  <c r="FI59" i="6"/>
  <c r="FE67" i="6"/>
  <c r="FK31" i="6"/>
  <c r="FG64" i="6"/>
  <c r="FD96" i="6"/>
  <c r="FI158" i="6"/>
  <c r="FI69" i="6"/>
  <c r="FG168" i="6"/>
  <c r="FJ104" i="6"/>
  <c r="FI27" i="6"/>
  <c r="FH142" i="6"/>
  <c r="FG35" i="6"/>
  <c r="FC131" i="6"/>
  <c r="FH74" i="6"/>
  <c r="FH147" i="6"/>
  <c r="FF47" i="6"/>
  <c r="FC116" i="6"/>
  <c r="FI137" i="6"/>
  <c r="FM27" i="6"/>
  <c r="FG38" i="6"/>
  <c r="FC139" i="6"/>
  <c r="FC130" i="6"/>
  <c r="FD165" i="6"/>
  <c r="FL99" i="6"/>
  <c r="FL121" i="6"/>
  <c r="FI70" i="6"/>
  <c r="FI149" i="6"/>
  <c r="FM127" i="6"/>
  <c r="FE115" i="6"/>
  <c r="FE89" i="6"/>
  <c r="FC141" i="6"/>
  <c r="FC54" i="6"/>
  <c r="FI113" i="6"/>
  <c r="FL90" i="6"/>
  <c r="FJ20" i="6"/>
  <c r="FL68" i="6"/>
  <c r="FD107" i="6"/>
  <c r="FI60" i="6"/>
  <c r="FE124" i="6"/>
  <c r="FF62" i="6"/>
  <c r="FE17" i="6"/>
  <c r="FF30" i="6"/>
  <c r="FF132" i="6"/>
  <c r="FH71" i="6"/>
  <c r="FK117" i="6"/>
  <c r="FI68" i="6"/>
  <c r="FE145" i="6"/>
  <c r="FJ111" i="6"/>
  <c r="FG57" i="6"/>
  <c r="FD30" i="6"/>
  <c r="FF40" i="6"/>
  <c r="ES150" i="6"/>
  <c r="EV83" i="6"/>
  <c r="EW84" i="6"/>
  <c r="EX123" i="6"/>
  <c r="EU70" i="6"/>
  <c r="EY73" i="6"/>
  <c r="ET79" i="6"/>
  <c r="EU51" i="6"/>
  <c r="EZ32" i="6"/>
  <c r="FL136" i="6"/>
  <c r="FK169" i="6"/>
  <c r="FL96" i="6"/>
  <c r="FF117" i="6"/>
  <c r="FC58" i="6"/>
  <c r="FL135" i="6"/>
  <c r="FJ80" i="6"/>
  <c r="FE95" i="6"/>
  <c r="FI65" i="6"/>
  <c r="FD33" i="6"/>
  <c r="FM65" i="6"/>
  <c r="FG81" i="6"/>
  <c r="FJ137" i="6"/>
  <c r="FK120" i="6"/>
  <c r="FL81" i="6"/>
  <c r="FI151" i="6"/>
  <c r="FD170" i="6"/>
  <c r="FH117" i="6"/>
  <c r="FK46" i="6"/>
  <c r="FC52" i="6"/>
  <c r="FH44" i="6"/>
  <c r="FG143" i="6"/>
  <c r="FJ150" i="6"/>
  <c r="FF110" i="6"/>
  <c r="FM128" i="6"/>
  <c r="FL118" i="6"/>
  <c r="FJ87" i="6"/>
  <c r="FI146" i="6"/>
  <c r="FL113" i="6"/>
  <c r="FE96" i="6"/>
  <c r="FF41" i="6"/>
  <c r="FM29" i="6"/>
  <c r="FC48" i="6"/>
  <c r="FE23" i="6"/>
  <c r="FJ172" i="6"/>
  <c r="FM157" i="6"/>
  <c r="FF120" i="6"/>
  <c r="FJ99" i="6"/>
  <c r="FI167" i="6"/>
  <c r="FD44" i="6"/>
  <c r="FF125" i="6"/>
  <c r="FL162" i="6"/>
  <c r="FH83" i="6"/>
  <c r="FF67" i="6"/>
  <c r="FH36" i="6"/>
  <c r="FI111" i="6"/>
  <c r="EZ125" i="6"/>
  <c r="ET97" i="6"/>
  <c r="EW86" i="6"/>
  <c r="FE152" i="6"/>
  <c r="FF39" i="6"/>
  <c r="FD155" i="6"/>
  <c r="FF121" i="6"/>
  <c r="FF102" i="6"/>
  <c r="FL98" i="6"/>
  <c r="EZ53" i="6"/>
  <c r="FL52" i="6"/>
  <c r="FM169" i="6"/>
  <c r="FK145" i="6"/>
  <c r="FG74" i="6"/>
  <c r="FE65" i="6"/>
  <c r="FH27" i="6"/>
  <c r="FH66" i="6"/>
  <c r="FL171" i="6"/>
  <c r="FD100" i="6"/>
  <c r="FD88" i="6"/>
  <c r="FL38" i="6"/>
  <c r="FC118" i="6"/>
  <c r="FJ128" i="6"/>
  <c r="FF124" i="6"/>
  <c r="FI159" i="6"/>
  <c r="FG138" i="6"/>
  <c r="FM28" i="6"/>
  <c r="ES145" i="6"/>
  <c r="FD145" i="6"/>
  <c r="EV47" i="6"/>
  <c r="FG47" i="6"/>
  <c r="EZ156" i="6"/>
  <c r="FK156" i="6"/>
  <c r="FB156" i="6"/>
  <c r="FM156" i="6"/>
  <c r="ES137" i="6"/>
  <c r="FD137" i="6"/>
  <c r="FA54" i="6"/>
  <c r="FL54" i="6"/>
  <c r="FB101" i="6"/>
  <c r="FM101" i="6"/>
  <c r="EU149" i="6"/>
  <c r="FF149" i="6"/>
  <c r="ET146" i="6"/>
  <c r="FE146" i="6"/>
  <c r="EU169" i="6"/>
  <c r="FF169" i="6"/>
  <c r="EW110" i="6"/>
  <c r="FH110" i="6"/>
  <c r="ES116" i="6"/>
  <c r="FD116" i="6"/>
  <c r="EX86" i="6"/>
  <c r="FI86" i="6"/>
  <c r="EX74" i="6"/>
  <c r="FI74" i="6"/>
  <c r="EU91" i="6"/>
  <c r="FF91" i="6"/>
  <c r="EU79" i="6"/>
  <c r="FF79" i="6"/>
  <c r="ER72" i="6"/>
  <c r="FC72" i="6"/>
  <c r="FA66" i="6"/>
  <c r="FL66" i="6"/>
  <c r="EV46" i="6"/>
  <c r="FG46" i="6"/>
  <c r="FB49" i="6"/>
  <c r="FM49" i="6"/>
  <c r="EX28" i="6"/>
  <c r="FI28" i="6"/>
  <c r="EZ158" i="6"/>
  <c r="FK158" i="6"/>
  <c r="EW164" i="6"/>
  <c r="FH164" i="6"/>
  <c r="FA163" i="6"/>
  <c r="FL163" i="6"/>
  <c r="EZ165" i="6"/>
  <c r="FK165" i="6"/>
  <c r="FB158" i="6"/>
  <c r="FM158" i="6"/>
  <c r="EV150" i="6"/>
  <c r="FG150" i="6"/>
  <c r="ER132" i="6"/>
  <c r="FC132" i="6"/>
  <c r="EW109" i="6"/>
  <c r="FH109" i="6"/>
  <c r="ET101" i="6"/>
  <c r="FE101" i="6"/>
  <c r="EY138" i="6"/>
  <c r="FJ138" i="6"/>
  <c r="EY106" i="6"/>
  <c r="FJ106" i="6"/>
  <c r="ES109" i="6"/>
  <c r="FD109" i="6"/>
  <c r="ER91" i="6"/>
  <c r="FC91" i="6"/>
  <c r="ER79" i="6"/>
  <c r="FC79" i="6"/>
  <c r="EU134" i="6"/>
  <c r="FF134" i="6"/>
  <c r="EU152" i="6"/>
  <c r="FF152" i="6"/>
  <c r="ES127" i="6"/>
  <c r="FD127" i="6"/>
  <c r="EX103" i="6"/>
  <c r="FI103" i="6"/>
  <c r="FA139" i="6"/>
  <c r="FL139" i="6"/>
  <c r="EX107" i="6"/>
  <c r="FI107" i="6"/>
  <c r="FB91" i="6"/>
  <c r="FM91" i="6"/>
  <c r="FB79" i="6"/>
  <c r="FM79" i="6"/>
  <c r="FA153" i="6"/>
  <c r="FL153" i="6"/>
  <c r="ER123" i="6"/>
  <c r="FC123" i="6"/>
  <c r="EX97" i="6"/>
  <c r="FI97" i="6"/>
  <c r="EV67" i="6"/>
  <c r="FG67" i="6"/>
  <c r="ER39" i="6"/>
  <c r="FC39" i="6"/>
  <c r="EX31" i="6"/>
  <c r="FI31" i="6"/>
  <c r="EZ59" i="6"/>
  <c r="FK59" i="6"/>
  <c r="EY53" i="6"/>
  <c r="FJ53" i="6"/>
  <c r="ET32" i="6"/>
  <c r="FE32" i="6"/>
  <c r="ES55" i="6"/>
  <c r="FD55" i="6"/>
  <c r="EU27" i="6"/>
  <c r="FF27" i="6"/>
  <c r="ES35" i="6"/>
  <c r="FD35" i="6"/>
  <c r="FA45" i="6"/>
  <c r="FL45" i="6"/>
  <c r="EU162" i="6"/>
  <c r="FF162" i="6"/>
  <c r="ES22" i="6"/>
  <c r="FD22" i="6"/>
  <c r="ET169" i="6"/>
  <c r="FE169" i="6"/>
  <c r="EX105" i="6"/>
  <c r="FI105" i="6"/>
  <c r="EZ56" i="6"/>
  <c r="FK56" i="6"/>
  <c r="EZ34" i="6"/>
  <c r="FK34" i="6"/>
  <c r="EU159" i="6"/>
  <c r="FF159" i="6"/>
  <c r="EU89" i="6"/>
  <c r="FF89" i="6"/>
  <c r="FB44" i="6"/>
  <c r="FM44" i="6"/>
  <c r="EY163" i="6"/>
  <c r="FJ163" i="6"/>
  <c r="EV105" i="6"/>
  <c r="FG105" i="6"/>
  <c r="EY143" i="6"/>
  <c r="FJ143" i="6"/>
  <c r="ER77" i="6"/>
  <c r="FC77" i="6"/>
  <c r="ES122" i="6"/>
  <c r="FD122" i="6"/>
  <c r="EZ103" i="6"/>
  <c r="FK103" i="6"/>
  <c r="FB89" i="6"/>
  <c r="FM89" i="6"/>
  <c r="FB77" i="6"/>
  <c r="FM77" i="6"/>
  <c r="ER115" i="6"/>
  <c r="FC115" i="6"/>
  <c r="EX95" i="6"/>
  <c r="FI95" i="6"/>
  <c r="EW64" i="6"/>
  <c r="FH64" i="6"/>
  <c r="EU126" i="6"/>
  <c r="FF126" i="6"/>
  <c r="FA32" i="6"/>
  <c r="FL32" i="6"/>
  <c r="ER50" i="6"/>
  <c r="FC50" i="6"/>
  <c r="ET26" i="6"/>
  <c r="FE26" i="6"/>
  <c r="FA53" i="6"/>
  <c r="FL53" i="6"/>
  <c r="EZ20" i="6"/>
  <c r="FK20" i="6"/>
  <c r="EW21" i="6"/>
  <c r="FH21" i="6"/>
  <c r="EX22" i="6"/>
  <c r="FI22" i="6"/>
  <c r="ER8" i="6"/>
  <c r="FC8" i="6"/>
  <c r="EY50" i="6"/>
  <c r="FJ50" i="6"/>
  <c r="EV20" i="6"/>
  <c r="FG20" i="6"/>
  <c r="EX30" i="6"/>
  <c r="FI30" i="6"/>
  <c r="EX25" i="6"/>
  <c r="FI25" i="6"/>
  <c r="ER14" i="6"/>
  <c r="FC14" i="6"/>
  <c r="EY114" i="6"/>
  <c r="FJ114" i="6"/>
  <c r="ER90" i="6"/>
  <c r="FC90" i="6"/>
  <c r="ES102" i="6"/>
  <c r="FD102" i="6"/>
  <c r="ET9" i="6"/>
  <c r="FE9" i="6"/>
  <c r="ES16" i="6"/>
  <c r="FD16" i="6"/>
  <c r="FB136" i="6"/>
  <c r="FM136" i="6"/>
  <c r="EU101" i="6"/>
  <c r="FF101" i="6"/>
  <c r="ES46" i="6"/>
  <c r="FD46" i="6"/>
  <c r="ES169" i="6"/>
  <c r="FD169" i="6"/>
  <c r="FB161" i="6"/>
  <c r="FM161" i="6"/>
  <c r="EY136" i="6"/>
  <c r="FJ136" i="6"/>
  <c r="ER101" i="6"/>
  <c r="FC101" i="6"/>
  <c r="ES138" i="6"/>
  <c r="FD138" i="6"/>
  <c r="ET136" i="6"/>
  <c r="FE136" i="6"/>
  <c r="EU168" i="6"/>
  <c r="FF168" i="6"/>
  <c r="ET138" i="6"/>
  <c r="FE138" i="6"/>
  <c r="ET103" i="6"/>
  <c r="FE103" i="6"/>
  <c r="FB109" i="6"/>
  <c r="FM109" i="6"/>
  <c r="EX83" i="6"/>
  <c r="FI83" i="6"/>
  <c r="EU100" i="6"/>
  <c r="FF100" i="6"/>
  <c r="EU88" i="6"/>
  <c r="FF88" i="6"/>
  <c r="EU76" i="6"/>
  <c r="FF76" i="6"/>
  <c r="EX64" i="6"/>
  <c r="FI64" i="6"/>
  <c r="FB60" i="6"/>
  <c r="FM60" i="6"/>
  <c r="ET39" i="6"/>
  <c r="FE39" i="6"/>
  <c r="FB45" i="6"/>
  <c r="FM45" i="6"/>
  <c r="ER152" i="6"/>
  <c r="FC152" i="6"/>
  <c r="FA168" i="6"/>
  <c r="FL168" i="6"/>
  <c r="FB159" i="6"/>
  <c r="FM159" i="6"/>
  <c r="ES158" i="6"/>
  <c r="FD158" i="6"/>
  <c r="ES162" i="6"/>
  <c r="FD162" i="6"/>
  <c r="FA170" i="6"/>
  <c r="FL170" i="6"/>
  <c r="EZ153" i="6"/>
  <c r="FK153" i="6"/>
  <c r="EW126" i="6"/>
  <c r="FH126" i="6"/>
  <c r="EY102" i="6"/>
  <c r="FJ102" i="6"/>
  <c r="EV133" i="6"/>
  <c r="FG133" i="6"/>
  <c r="EY103" i="6"/>
  <c r="FJ103" i="6"/>
  <c r="ER142" i="6"/>
  <c r="FC142" i="6"/>
  <c r="ER100" i="6"/>
  <c r="FC100" i="6"/>
  <c r="ER88" i="6"/>
  <c r="FC88" i="6"/>
  <c r="ER76" i="6"/>
  <c r="FC76" i="6"/>
  <c r="EZ119" i="6"/>
  <c r="FK119" i="6"/>
  <c r="FB121" i="6"/>
  <c r="FM121" i="6"/>
  <c r="EV70" i="6"/>
  <c r="FG70" i="6"/>
  <c r="ES136" i="6"/>
  <c r="FD136" i="6"/>
  <c r="FB100" i="6"/>
  <c r="FM100" i="6"/>
  <c r="FB88" i="6"/>
  <c r="FM88" i="6"/>
  <c r="FB76" i="6"/>
  <c r="FM76" i="6"/>
  <c r="FI150" i="6"/>
  <c r="EX150" i="6"/>
  <c r="ER111" i="6"/>
  <c r="FC111" i="6"/>
  <c r="EX94" i="6"/>
  <c r="FI94" i="6"/>
  <c r="FB62" i="6"/>
  <c r="FM62" i="6"/>
  <c r="EV78" i="6"/>
  <c r="FG78" i="6"/>
  <c r="FA27" i="6"/>
  <c r="FL27" i="6"/>
  <c r="EX67" i="6"/>
  <c r="FI67" i="6"/>
  <c r="EZ49" i="6"/>
  <c r="FK49" i="6"/>
  <c r="ER26" i="6"/>
  <c r="FC26" i="6"/>
  <c r="ET8" i="6"/>
  <c r="FE8" i="6"/>
  <c r="EY49" i="6"/>
  <c r="FJ49" i="6"/>
  <c r="EV17" i="6"/>
  <c r="FG17" i="6"/>
  <c r="EV52" i="6"/>
  <c r="FG52" i="6"/>
  <c r="EX38" i="6"/>
  <c r="FI38" i="6"/>
  <c r="EZ28" i="6"/>
  <c r="FK28" i="6"/>
  <c r="EY21" i="6"/>
  <c r="FJ21" i="6"/>
  <c r="FA47" i="6"/>
  <c r="FL47" i="6"/>
  <c r="ES63" i="6"/>
  <c r="FD63" i="6"/>
  <c r="EU29" i="6"/>
  <c r="FF29" i="6"/>
  <c r="EY41" i="6"/>
  <c r="FJ41" i="6"/>
  <c r="EV25" i="6"/>
  <c r="FG25" i="6"/>
  <c r="FB63" i="6"/>
  <c r="FM63" i="6"/>
  <c r="ER107" i="6"/>
  <c r="FC107" i="6"/>
  <c r="EW139" i="6"/>
  <c r="FH139" i="6"/>
  <c r="EW17" i="6"/>
  <c r="FH17" i="6"/>
  <c r="ES104" i="6"/>
  <c r="FD104" i="6"/>
  <c r="EU77" i="6"/>
  <c r="FF77" i="6"/>
  <c r="ET21" i="6"/>
  <c r="FE21" i="6"/>
  <c r="EZ159" i="6"/>
  <c r="FK159" i="6"/>
  <c r="ES154" i="6"/>
  <c r="FD154" i="6"/>
  <c r="ER103" i="6"/>
  <c r="FC103" i="6"/>
  <c r="ET144" i="6"/>
  <c r="FE144" i="6"/>
  <c r="ES146" i="6"/>
  <c r="FD146" i="6"/>
  <c r="ET140" i="6"/>
  <c r="FE140" i="6"/>
  <c r="EW112" i="6"/>
  <c r="FH112" i="6"/>
  <c r="FB110" i="6"/>
  <c r="FM110" i="6"/>
  <c r="EX82" i="6"/>
  <c r="FI82" i="6"/>
  <c r="EU99" i="6"/>
  <c r="FF99" i="6"/>
  <c r="EU87" i="6"/>
  <c r="FF87" i="6"/>
  <c r="EU75" i="6"/>
  <c r="FF75" i="6"/>
  <c r="ES42" i="6"/>
  <c r="FD42" i="6"/>
  <c r="ES57" i="6"/>
  <c r="FD57" i="6"/>
  <c r="ES62" i="6"/>
  <c r="FD62" i="6"/>
  <c r="EV43" i="6"/>
  <c r="FG43" i="6"/>
  <c r="EY37" i="6"/>
  <c r="FJ37" i="6"/>
  <c r="EY151" i="6"/>
  <c r="FJ151" i="6"/>
  <c r="FB166" i="6"/>
  <c r="FM166" i="6"/>
  <c r="FA157" i="6"/>
  <c r="FL157" i="6"/>
  <c r="EY157" i="6"/>
  <c r="FJ157" i="6"/>
  <c r="ET171" i="6"/>
  <c r="FE171" i="6"/>
  <c r="EX161" i="6"/>
  <c r="FI161" i="6"/>
  <c r="EY167" i="6"/>
  <c r="FJ167" i="6"/>
  <c r="ER149" i="6"/>
  <c r="FC149" i="6"/>
  <c r="FA158" i="6"/>
  <c r="FL158" i="6"/>
  <c r="ES124" i="6"/>
  <c r="FD124" i="6"/>
  <c r="FB70" i="6"/>
  <c r="FM70" i="6"/>
  <c r="EW127" i="6"/>
  <c r="FH127" i="6"/>
  <c r="FB103" i="6"/>
  <c r="FM103" i="6"/>
  <c r="EW136" i="6"/>
  <c r="FH136" i="6"/>
  <c r="ER99" i="6"/>
  <c r="FC99" i="6"/>
  <c r="ER87" i="6"/>
  <c r="FC87" i="6"/>
  <c r="ER75" i="6"/>
  <c r="FC75" i="6"/>
  <c r="EV119" i="6"/>
  <c r="FG119" i="6"/>
  <c r="EV66" i="6"/>
  <c r="FG66" i="6"/>
  <c r="FA141" i="6"/>
  <c r="FL141" i="6"/>
  <c r="EZ135" i="6"/>
  <c r="FK135" i="6"/>
  <c r="FB99" i="6"/>
  <c r="FM99" i="6"/>
  <c r="FB87" i="6"/>
  <c r="FM87" i="6"/>
  <c r="FB75" i="6"/>
  <c r="FM75" i="6"/>
  <c r="FA143" i="6"/>
  <c r="FL143" i="6"/>
  <c r="ER146" i="6"/>
  <c r="FC146" i="6"/>
  <c r="EY109" i="6"/>
  <c r="FJ109" i="6"/>
  <c r="EX93" i="6"/>
  <c r="FI93" i="6"/>
  <c r="EY55" i="6"/>
  <c r="FJ55" i="6"/>
  <c r="ET25" i="6"/>
  <c r="FE25" i="6"/>
  <c r="ES64" i="6"/>
  <c r="FD64" i="6"/>
  <c r="FB46" i="6"/>
  <c r="FM46" i="6"/>
  <c r="EU26" i="6"/>
  <c r="FF26" i="6"/>
  <c r="EU15" i="6"/>
  <c r="FF15" i="6"/>
  <c r="EV48" i="6"/>
  <c r="FG48" i="6"/>
  <c r="EW69" i="6"/>
  <c r="FH69" i="6"/>
  <c r="ES51" i="6"/>
  <c r="FD51" i="6"/>
  <c r="ET20" i="6"/>
  <c r="FE20" i="6"/>
  <c r="EY43" i="6"/>
  <c r="FJ43" i="6"/>
  <c r="EZ26" i="6"/>
  <c r="FK26" i="6"/>
  <c r="ER17" i="6"/>
  <c r="FC17" i="6"/>
  <c r="EV40" i="6"/>
  <c r="FG40" i="6"/>
  <c r="ET24" i="6"/>
  <c r="FE24" i="6"/>
  <c r="EX85" i="6"/>
  <c r="FI85" i="6"/>
  <c r="FA35" i="6"/>
  <c r="FL35" i="6"/>
  <c r="EW37" i="6"/>
  <c r="FH37" i="6"/>
  <c r="EW14" i="6"/>
  <c r="FH14" i="6"/>
  <c r="ER5" i="6"/>
  <c r="FC5" i="6"/>
  <c r="ES141" i="6"/>
  <c r="FD141" i="6"/>
  <c r="ES112" i="6"/>
  <c r="FD112" i="6"/>
  <c r="ET37" i="6"/>
  <c r="FE37" i="6"/>
  <c r="EX153" i="6"/>
  <c r="FI153" i="6"/>
  <c r="ER171" i="6"/>
  <c r="FC171" i="6"/>
  <c r="ES130" i="6"/>
  <c r="FD130" i="6"/>
  <c r="ES143" i="6"/>
  <c r="FD143" i="6"/>
  <c r="ET134" i="6"/>
  <c r="FE134" i="6"/>
  <c r="ES139" i="6"/>
  <c r="FD139" i="6"/>
  <c r="ES108" i="6"/>
  <c r="FD108" i="6"/>
  <c r="EW105" i="6"/>
  <c r="FH105" i="6"/>
  <c r="EX81" i="6"/>
  <c r="FI81" i="6"/>
  <c r="EU98" i="6"/>
  <c r="FF98" i="6"/>
  <c r="EU86" i="6"/>
  <c r="FF86" i="6"/>
  <c r="EU74" i="6"/>
  <c r="FF74" i="6"/>
  <c r="ES36" i="6"/>
  <c r="FD36" i="6"/>
  <c r="FB56" i="6"/>
  <c r="FM56" i="6"/>
  <c r="FB61" i="6"/>
  <c r="FM61" i="6"/>
  <c r="ET42" i="6"/>
  <c r="FE42" i="6"/>
  <c r="FB149" i="6"/>
  <c r="FM149" i="6"/>
  <c r="FA164" i="6"/>
  <c r="FL164" i="6"/>
  <c r="FB155" i="6"/>
  <c r="FM155" i="6"/>
  <c r="ES156" i="6"/>
  <c r="FD156" i="6"/>
  <c r="FB170" i="6"/>
  <c r="FM170" i="6"/>
  <c r="ER160" i="6"/>
  <c r="FC160" i="6"/>
  <c r="ES166" i="6"/>
  <c r="FD166" i="6"/>
  <c r="EX148" i="6"/>
  <c r="FI148" i="6"/>
  <c r="ER154" i="6"/>
  <c r="FC154" i="6"/>
  <c r="EV147" i="6"/>
  <c r="FG147" i="6"/>
  <c r="FB123" i="6"/>
  <c r="FM123" i="6"/>
  <c r="FB66" i="6"/>
  <c r="FM66" i="6"/>
  <c r="ES125" i="6"/>
  <c r="FD125" i="6"/>
  <c r="EU72" i="6"/>
  <c r="FF72" i="6"/>
  <c r="EV131" i="6"/>
  <c r="FG131" i="6"/>
  <c r="ER98" i="6"/>
  <c r="FC98" i="6"/>
  <c r="ER86" i="6"/>
  <c r="FC86" i="6"/>
  <c r="ER74" i="6"/>
  <c r="FC74" i="6"/>
  <c r="ES144" i="6"/>
  <c r="FD144" i="6"/>
  <c r="FB117" i="6"/>
  <c r="FM117" i="6"/>
  <c r="FA64" i="6"/>
  <c r="FL64" i="6"/>
  <c r="EW130" i="6"/>
  <c r="FH130" i="6"/>
  <c r="FB98" i="6"/>
  <c r="FM98" i="6"/>
  <c r="FB86" i="6"/>
  <c r="FM86" i="6"/>
  <c r="FB74" i="6"/>
  <c r="FM74" i="6"/>
  <c r="EV132" i="6"/>
  <c r="FG132" i="6"/>
  <c r="EU145" i="6"/>
  <c r="FF145" i="6"/>
  <c r="EV108" i="6"/>
  <c r="FG108" i="6"/>
  <c r="EX92" i="6"/>
  <c r="FI92" i="6"/>
  <c r="EZ52" i="6"/>
  <c r="FK52" i="6"/>
  <c r="FA59" i="6"/>
  <c r="FL59" i="6"/>
  <c r="EZ42" i="6"/>
  <c r="FK42" i="6"/>
  <c r="ES47" i="6"/>
  <c r="FD47" i="6"/>
  <c r="FA50" i="6"/>
  <c r="FL50" i="6"/>
  <c r="EX20" i="6"/>
  <c r="FI20" i="6"/>
  <c r="EV12" i="6"/>
  <c r="FG12" i="6"/>
  <c r="EY68" i="6"/>
  <c r="FJ68" i="6"/>
  <c r="EZ40" i="6"/>
  <c r="FK40" i="6"/>
  <c r="EX24" i="6"/>
  <c r="FI24" i="6"/>
  <c r="FB38" i="6"/>
  <c r="FM38" i="6"/>
  <c r="ES106" i="6"/>
  <c r="FD106" i="6"/>
  <c r="ER24" i="6"/>
  <c r="FC24" i="6"/>
  <c r="EZ161" i="6"/>
  <c r="FK161" i="6"/>
  <c r="EZ131" i="6"/>
  <c r="FK131" i="6"/>
  <c r="ER78" i="6"/>
  <c r="FC78" i="6"/>
  <c r="ET62" i="6"/>
  <c r="FE62" i="6"/>
  <c r="EW57" i="6"/>
  <c r="FH57" i="6"/>
  <c r="ES66" i="6"/>
  <c r="FD66" i="6"/>
  <c r="ET132" i="6"/>
  <c r="FE132" i="6"/>
  <c r="EU155" i="6"/>
  <c r="FF155" i="6"/>
  <c r="FB105" i="6"/>
  <c r="FM105" i="6"/>
  <c r="FB111" i="6"/>
  <c r="FM111" i="6"/>
  <c r="EU97" i="6"/>
  <c r="FF97" i="6"/>
  <c r="EU85" i="6"/>
  <c r="FF85" i="6"/>
  <c r="EV73" i="6"/>
  <c r="FG73" i="6"/>
  <c r="ER70" i="6"/>
  <c r="FC70" i="6"/>
  <c r="EV54" i="6"/>
  <c r="FG54" i="6"/>
  <c r="ES58" i="6"/>
  <c r="FD58" i="6"/>
  <c r="ET36" i="6"/>
  <c r="FE36" i="6"/>
  <c r="EY170" i="6"/>
  <c r="FJ170" i="6"/>
  <c r="ER145" i="6"/>
  <c r="FC145" i="6"/>
  <c r="FA156" i="6"/>
  <c r="FL156" i="6"/>
  <c r="ES153" i="6"/>
  <c r="FD153" i="6"/>
  <c r="EZ155" i="6"/>
  <c r="FK155" i="6"/>
  <c r="EV169" i="6"/>
  <c r="FG169" i="6"/>
  <c r="EY165" i="6"/>
  <c r="FJ165" i="6"/>
  <c r="ES147" i="6"/>
  <c r="FD147" i="6"/>
  <c r="ES152" i="6"/>
  <c r="FD152" i="6"/>
  <c r="EV121" i="6"/>
  <c r="FG121" i="6"/>
  <c r="ER63" i="6"/>
  <c r="FC63" i="6"/>
  <c r="EW122" i="6"/>
  <c r="FH122" i="6"/>
  <c r="ER71" i="6"/>
  <c r="FC71" i="6"/>
  <c r="EW128" i="6"/>
  <c r="FH128" i="6"/>
  <c r="ER97" i="6"/>
  <c r="FC97" i="6"/>
  <c r="ER85" i="6"/>
  <c r="FC85" i="6"/>
  <c r="EZ70" i="6"/>
  <c r="FK70" i="6"/>
  <c r="FB142" i="6"/>
  <c r="FM142" i="6"/>
  <c r="EV115" i="6"/>
  <c r="FG115" i="6"/>
  <c r="EY60" i="6"/>
  <c r="FJ60" i="6"/>
  <c r="ES128" i="6"/>
  <c r="FD128" i="6"/>
  <c r="FB97" i="6"/>
  <c r="FM97" i="6"/>
  <c r="FB85" i="6"/>
  <c r="FM85" i="6"/>
  <c r="EZ140" i="6"/>
  <c r="FK140" i="6"/>
  <c r="EZ105" i="6"/>
  <c r="FK105" i="6"/>
  <c r="EX91" i="6"/>
  <c r="FI91" i="6"/>
  <c r="EX73" i="6"/>
  <c r="FI73" i="6"/>
  <c r="FA49" i="6"/>
  <c r="FL49" i="6"/>
  <c r="ES40" i="6"/>
  <c r="FD40" i="6"/>
  <c r="FA46" i="6"/>
  <c r="FL46" i="6"/>
  <c r="ET15" i="6"/>
  <c r="FE15" i="6"/>
  <c r="EY46" i="6"/>
  <c r="FJ46" i="6"/>
  <c r="EW65" i="6"/>
  <c r="FH65" i="6"/>
  <c r="ES37" i="6"/>
  <c r="FD37" i="6"/>
  <c r="EY54" i="6"/>
  <c r="FJ54" i="6"/>
  <c r="EV24" i="6"/>
  <c r="FG24" i="6"/>
  <c r="EY58" i="6"/>
  <c r="FJ58" i="6"/>
  <c r="ES70" i="6"/>
  <c r="FD70" i="6"/>
  <c r="ES164" i="6"/>
  <c r="FD164" i="6"/>
  <c r="FB78" i="6"/>
  <c r="FM78" i="6"/>
  <c r="FA65" i="6"/>
  <c r="FL65" i="6"/>
  <c r="EY23" i="6"/>
  <c r="FJ23" i="6"/>
  <c r="EU166" i="6"/>
  <c r="FF166" i="6"/>
  <c r="ET135" i="6"/>
  <c r="FE135" i="6"/>
  <c r="EU151" i="6"/>
  <c r="FF151" i="6"/>
  <c r="EY120" i="6"/>
  <c r="FJ120" i="6"/>
  <c r="EY130" i="6"/>
  <c r="FJ130" i="6"/>
  <c r="EW106" i="6"/>
  <c r="FH106" i="6"/>
  <c r="EX79" i="6"/>
  <c r="FI79" i="6"/>
  <c r="EU96" i="6"/>
  <c r="FF96" i="6"/>
  <c r="EU84" i="6"/>
  <c r="FF84" i="6"/>
  <c r="ER69" i="6"/>
  <c r="FC69" i="6"/>
  <c r="ER66" i="6"/>
  <c r="FC66" i="6"/>
  <c r="ES53" i="6"/>
  <c r="FD53" i="6"/>
  <c r="FB57" i="6"/>
  <c r="FM57" i="6"/>
  <c r="EU31" i="6"/>
  <c r="FF31" i="6"/>
  <c r="EY35" i="6"/>
  <c r="FJ35" i="6"/>
  <c r="FB168" i="6"/>
  <c r="FM168" i="6"/>
  <c r="EY144" i="6"/>
  <c r="FJ144" i="6"/>
  <c r="EY171" i="6"/>
  <c r="FJ171" i="6"/>
  <c r="EY152" i="6"/>
  <c r="FJ152" i="6"/>
  <c r="EW152" i="6"/>
  <c r="FH152" i="6"/>
  <c r="EW169" i="6"/>
  <c r="FH169" i="6"/>
  <c r="ER164" i="6"/>
  <c r="FC164" i="6"/>
  <c r="EZ146" i="6"/>
  <c r="FK146" i="6"/>
  <c r="EZ151" i="6"/>
  <c r="FK151" i="6"/>
  <c r="FB119" i="6"/>
  <c r="FM119" i="6"/>
  <c r="EZ62" i="6"/>
  <c r="FK62" i="6"/>
  <c r="EY129" i="6"/>
  <c r="FJ129" i="6"/>
  <c r="EW171" i="6"/>
  <c r="FH171" i="6"/>
  <c r="EW118" i="6"/>
  <c r="FH118" i="6"/>
  <c r="EY69" i="6"/>
  <c r="FJ69" i="6"/>
  <c r="ES126" i="6"/>
  <c r="FD126" i="6"/>
  <c r="ER96" i="6"/>
  <c r="FC96" i="6"/>
  <c r="ER84" i="6"/>
  <c r="FC84" i="6"/>
  <c r="EU69" i="6"/>
  <c r="FF69" i="6"/>
  <c r="EY125" i="6"/>
  <c r="FJ125" i="6"/>
  <c r="EW141" i="6"/>
  <c r="FH141" i="6"/>
  <c r="FB113" i="6"/>
  <c r="FM113" i="6"/>
  <c r="EV59" i="6"/>
  <c r="FG59" i="6"/>
  <c r="EW124" i="6"/>
  <c r="FH124" i="6"/>
  <c r="FB96" i="6"/>
  <c r="FM96" i="6"/>
  <c r="FB84" i="6"/>
  <c r="FM84" i="6"/>
  <c r="EW137" i="6"/>
  <c r="FH137" i="6"/>
  <c r="EW104" i="6"/>
  <c r="FH104" i="6"/>
  <c r="EX90" i="6"/>
  <c r="FI90" i="6"/>
  <c r="EY45" i="6"/>
  <c r="FJ45" i="6"/>
  <c r="EY38" i="6"/>
  <c r="FJ38" i="6"/>
  <c r="EZ33" i="6"/>
  <c r="FK33" i="6"/>
  <c r="FA43" i="6"/>
  <c r="FL43" i="6"/>
  <c r="EU35" i="6"/>
  <c r="FF35" i="6"/>
  <c r="FA51" i="6"/>
  <c r="FL51" i="6"/>
  <c r="FA55" i="6"/>
  <c r="FL55" i="6"/>
  <c r="FE40" i="6"/>
  <c r="ET40" i="6"/>
  <c r="FB108" i="6"/>
  <c r="FM108" i="6"/>
  <c r="EV123" i="6"/>
  <c r="FG123" i="6"/>
  <c r="EX26" i="6"/>
  <c r="FI26" i="6"/>
  <c r="EX84" i="6"/>
  <c r="FI84" i="6"/>
  <c r="EU163" i="6"/>
  <c r="FF163" i="6"/>
  <c r="EZ133" i="6"/>
  <c r="FK133" i="6"/>
  <c r="EU147" i="6"/>
  <c r="FF147" i="6"/>
  <c r="ES118" i="6"/>
  <c r="FD118" i="6"/>
  <c r="EV135" i="6"/>
  <c r="FG135" i="6"/>
  <c r="EW108" i="6"/>
  <c r="FH108" i="6"/>
  <c r="EX78" i="6"/>
  <c r="FI78" i="6"/>
  <c r="EU95" i="6"/>
  <c r="FF95" i="6"/>
  <c r="EU83" i="6"/>
  <c r="FF83" i="6"/>
  <c r="ER65" i="6"/>
  <c r="FC65" i="6"/>
  <c r="ET41" i="6"/>
  <c r="FE41" i="6"/>
  <c r="FB52" i="6"/>
  <c r="FM52" i="6"/>
  <c r="ES54" i="6"/>
  <c r="FD54" i="6"/>
  <c r="EW24" i="6"/>
  <c r="FH24" i="6"/>
  <c r="EW165" i="6"/>
  <c r="FH165" i="6"/>
  <c r="FA169" i="6"/>
  <c r="FL169" i="6"/>
  <c r="FB150" i="6"/>
  <c r="FM150" i="6"/>
  <c r="ER151" i="6"/>
  <c r="FC151" i="6"/>
  <c r="ES168" i="6"/>
  <c r="FD168" i="6"/>
  <c r="EX155" i="6"/>
  <c r="FI155" i="6"/>
  <c r="EX163" i="6"/>
  <c r="FI163" i="6"/>
  <c r="EW148" i="6"/>
  <c r="FH148" i="6"/>
  <c r="EV117" i="6"/>
  <c r="FG117" i="6"/>
  <c r="EV61" i="6"/>
  <c r="FG61" i="6"/>
  <c r="ET147" i="6"/>
  <c r="FE147" i="6"/>
  <c r="EW114" i="6"/>
  <c r="FH114" i="6"/>
  <c r="ER67" i="6"/>
  <c r="FC67" i="6"/>
  <c r="ER121" i="6"/>
  <c r="FC121" i="6"/>
  <c r="ER95" i="6"/>
  <c r="FC95" i="6"/>
  <c r="ER83" i="6"/>
  <c r="FC83" i="6"/>
  <c r="EZ66" i="6"/>
  <c r="FK66" i="6"/>
  <c r="EZ115" i="6"/>
  <c r="FK115" i="6"/>
  <c r="ER140" i="6"/>
  <c r="FC140" i="6"/>
  <c r="EV111" i="6"/>
  <c r="FG111" i="6"/>
  <c r="EW120" i="6"/>
  <c r="FH120" i="6"/>
  <c r="FB95" i="6"/>
  <c r="FM95" i="6"/>
  <c r="FB83" i="6"/>
  <c r="FM83" i="6"/>
  <c r="FA130" i="6"/>
  <c r="FL130" i="6"/>
  <c r="EX135" i="6"/>
  <c r="FI135" i="6"/>
  <c r="EX101" i="6"/>
  <c r="FI101" i="6"/>
  <c r="EX89" i="6"/>
  <c r="FI89" i="6"/>
  <c r="EV44" i="6"/>
  <c r="FG44" i="6"/>
  <c r="EV58" i="6"/>
  <c r="FG58" i="6"/>
  <c r="EU36" i="6"/>
  <c r="FF36" i="6"/>
  <c r="FA29" i="6"/>
  <c r="FL29" i="6"/>
  <c r="EW42" i="6"/>
  <c r="FH42" i="6"/>
  <c r="EX17" i="6"/>
  <c r="FI17" i="6"/>
  <c r="FB34" i="6"/>
  <c r="FM34" i="6"/>
  <c r="EY47" i="6"/>
  <c r="FJ47" i="6"/>
  <c r="ET34" i="6"/>
  <c r="FE34" i="6"/>
  <c r="EY51" i="6"/>
  <c r="FJ51" i="6"/>
  <c r="FA37" i="6"/>
  <c r="FL37" i="6"/>
  <c r="ET142" i="6"/>
  <c r="FE142" i="6"/>
  <c r="ES45" i="6"/>
  <c r="FD45" i="6"/>
  <c r="EW162" i="6"/>
  <c r="FH162" i="6"/>
  <c r="FB90" i="6"/>
  <c r="FM90" i="6"/>
  <c r="ER119" i="6"/>
  <c r="FC119" i="6"/>
  <c r="FA28" i="6"/>
  <c r="FL28" i="6"/>
  <c r="FB137" i="6"/>
  <c r="FM137" i="6"/>
  <c r="EU160" i="6"/>
  <c r="FF160" i="6"/>
  <c r="EU164" i="6"/>
  <c r="FF164" i="6"/>
  <c r="FB135" i="6"/>
  <c r="FM135" i="6"/>
  <c r="EY116" i="6"/>
  <c r="FJ116" i="6"/>
  <c r="EY122" i="6"/>
  <c r="FJ122" i="6"/>
  <c r="FA72" i="6"/>
  <c r="FL72" i="6"/>
  <c r="EX77" i="6"/>
  <c r="FI77" i="6"/>
  <c r="EU94" i="6"/>
  <c r="FF94" i="6"/>
  <c r="EU82" i="6"/>
  <c r="FF82" i="6"/>
  <c r="ER73" i="6"/>
  <c r="FC73" i="6"/>
  <c r="ET38" i="6"/>
  <c r="FE38" i="6"/>
  <c r="EV50" i="6"/>
  <c r="FG50" i="6"/>
  <c r="FB53" i="6"/>
  <c r="FM53" i="6"/>
  <c r="EV15" i="6"/>
  <c r="FG15" i="6"/>
  <c r="FB164" i="6"/>
  <c r="FM164" i="6"/>
  <c r="EW168" i="6"/>
  <c r="FH168" i="6"/>
  <c r="EW149" i="6"/>
  <c r="FH149" i="6"/>
  <c r="EY169" i="6"/>
  <c r="FJ169" i="6"/>
  <c r="EZ150" i="6"/>
  <c r="FK150" i="6"/>
  <c r="FB151" i="6"/>
  <c r="FM151" i="6"/>
  <c r="ER162" i="6"/>
  <c r="FC162" i="6"/>
  <c r="ER147" i="6"/>
  <c r="FC147" i="6"/>
  <c r="FB115" i="6"/>
  <c r="FM115" i="6"/>
  <c r="ES60" i="6"/>
  <c r="FD60" i="6"/>
  <c r="FB112" i="6"/>
  <c r="FM112" i="6"/>
  <c r="EY65" i="6"/>
  <c r="FJ65" i="6"/>
  <c r="ER117" i="6"/>
  <c r="FC117" i="6"/>
  <c r="ER94" i="6"/>
  <c r="FC94" i="6"/>
  <c r="ER82" i="6"/>
  <c r="FC82" i="6"/>
  <c r="EU65" i="6"/>
  <c r="FF65" i="6"/>
  <c r="EW134" i="6"/>
  <c r="FH134" i="6"/>
  <c r="ES110" i="6"/>
  <c r="FD110" i="6"/>
  <c r="FA134" i="6"/>
  <c r="FL134" i="6"/>
  <c r="EZ107" i="6"/>
  <c r="FK107" i="6"/>
  <c r="EW116" i="6"/>
  <c r="FH116" i="6"/>
  <c r="FB94" i="6"/>
  <c r="FM94" i="6"/>
  <c r="FB82" i="6"/>
  <c r="FM82" i="6"/>
  <c r="FB131" i="6"/>
  <c r="FM131" i="6"/>
  <c r="EX100" i="6"/>
  <c r="FI100" i="6"/>
  <c r="EV71" i="6"/>
  <c r="FG71" i="6"/>
  <c r="ES43" i="6"/>
  <c r="FD43" i="6"/>
  <c r="ER57" i="6"/>
  <c r="FC57" i="6"/>
  <c r="EZ35" i="6"/>
  <c r="FK35" i="6"/>
  <c r="FA22" i="6"/>
  <c r="FL22" i="6"/>
  <c r="ES15" i="6"/>
  <c r="FD15" i="6"/>
  <c r="ES41" i="6"/>
  <c r="FD41" i="6"/>
  <c r="FA60" i="6"/>
  <c r="FL60" i="6"/>
  <c r="EU32" i="6"/>
  <c r="FF32" i="6"/>
  <c r="EU13" i="6"/>
  <c r="FF13" i="6"/>
  <c r="EZ44" i="6"/>
  <c r="FK44" i="6"/>
  <c r="ET121" i="6"/>
  <c r="FE121" i="6"/>
  <c r="ER33" i="6"/>
  <c r="FC33" i="6"/>
  <c r="EU78" i="6"/>
  <c r="FF78" i="6"/>
  <c r="EV107" i="6"/>
  <c r="FG107" i="6"/>
  <c r="EX96" i="6"/>
  <c r="FI96" i="6"/>
  <c r="EZ25" i="6"/>
  <c r="FK25" i="6"/>
  <c r="ER89" i="6"/>
  <c r="FC89" i="6"/>
  <c r="EX80" i="6"/>
  <c r="FI80" i="6"/>
  <c r="EU157" i="6"/>
  <c r="FF157" i="6"/>
  <c r="FF161" i="6"/>
  <c r="EU161" i="6"/>
  <c r="ES134" i="6"/>
  <c r="FD134" i="6"/>
  <c r="ES114" i="6"/>
  <c r="FD114" i="6"/>
  <c r="ES120" i="6"/>
  <c r="FD120" i="6"/>
  <c r="EX88" i="6"/>
  <c r="FI88" i="6"/>
  <c r="EX76" i="6"/>
  <c r="FI76" i="6"/>
  <c r="EU93" i="6"/>
  <c r="FF93" i="6"/>
  <c r="EU81" i="6"/>
  <c r="FF81" i="6"/>
  <c r="ES71" i="6"/>
  <c r="FD71" i="6"/>
  <c r="EW40" i="6"/>
  <c r="FH40" i="6"/>
  <c r="ES49" i="6"/>
  <c r="FD49" i="6"/>
  <c r="EV51" i="6"/>
  <c r="FG51" i="6"/>
  <c r="ES9" i="6"/>
  <c r="FD9" i="6"/>
  <c r="FB162" i="6"/>
  <c r="FM162" i="6"/>
  <c r="EX166" i="6"/>
  <c r="FI166" i="6"/>
  <c r="EX147" i="6"/>
  <c r="FI147" i="6"/>
  <c r="FB167" i="6"/>
  <c r="FM167" i="6"/>
  <c r="ER144" i="6"/>
  <c r="FC144" i="6"/>
  <c r="ES149" i="6"/>
  <c r="FD149" i="6"/>
  <c r="EW161" i="6"/>
  <c r="FH161" i="6"/>
  <c r="EY146" i="6"/>
  <c r="FJ146" i="6"/>
  <c r="EX140" i="6"/>
  <c r="FI140" i="6"/>
  <c r="EV113" i="6"/>
  <c r="FG113" i="6"/>
  <c r="FB59" i="6"/>
  <c r="FM59" i="6"/>
  <c r="ER108" i="6"/>
  <c r="FC108" i="6"/>
  <c r="ER113" i="6"/>
  <c r="FC113" i="6"/>
  <c r="ER93" i="6"/>
  <c r="FC93" i="6"/>
  <c r="ER81" i="6"/>
  <c r="FC81" i="6"/>
  <c r="EZ63" i="6"/>
  <c r="FK63" i="6"/>
  <c r="EZ123" i="6"/>
  <c r="FK123" i="6"/>
  <c r="EX132" i="6"/>
  <c r="FI132" i="6"/>
  <c r="EZ108" i="6"/>
  <c r="FK108" i="6"/>
  <c r="EY126" i="6"/>
  <c r="FJ126" i="6"/>
  <c r="EZ142" i="6"/>
  <c r="FK142" i="6"/>
  <c r="EX112" i="6"/>
  <c r="FI112" i="6"/>
  <c r="FB93" i="6"/>
  <c r="FM93" i="6"/>
  <c r="FB81" i="6"/>
  <c r="FM81" i="6"/>
  <c r="ES129" i="6"/>
  <c r="FD129" i="6"/>
  <c r="EX99" i="6"/>
  <c r="FI99" i="6"/>
  <c r="FA70" i="6"/>
  <c r="FL70" i="6"/>
  <c r="FA42" i="6"/>
  <c r="FL42" i="6"/>
  <c r="FA56" i="6"/>
  <c r="FL56" i="6"/>
  <c r="FA33" i="6"/>
  <c r="FL33" i="6"/>
  <c r="ER62" i="6"/>
  <c r="FC62" i="6"/>
  <c r="EZ38" i="6"/>
  <c r="FK38" i="6"/>
  <c r="EY27" i="6"/>
  <c r="FJ27" i="6"/>
  <c r="FB40" i="6"/>
  <c r="FM40" i="6"/>
  <c r="EW49" i="6"/>
  <c r="FH49" i="6"/>
  <c r="ET28" i="6"/>
  <c r="FE28" i="6"/>
  <c r="EY57" i="6"/>
  <c r="FJ57" i="6"/>
  <c r="EZ30" i="6"/>
  <c r="FK30" i="6"/>
  <c r="ET113" i="6"/>
  <c r="FE113" i="6"/>
  <c r="ER38" i="6"/>
  <c r="FC38" i="6"/>
  <c r="EW50" i="6"/>
  <c r="FH50" i="6"/>
  <c r="FA31" i="6"/>
  <c r="FL31" i="6"/>
  <c r="EU90" i="6"/>
  <c r="FF90" i="6"/>
  <c r="EX170" i="6"/>
  <c r="FI170" i="6"/>
  <c r="ET33" i="6"/>
  <c r="FE33" i="6"/>
  <c r="ET137" i="6"/>
  <c r="FE137" i="6"/>
  <c r="EU153" i="6"/>
  <c r="FF153" i="6"/>
  <c r="EU158" i="6"/>
  <c r="FF158" i="6"/>
  <c r="EZ132" i="6"/>
  <c r="FK132" i="6"/>
  <c r="EY112" i="6"/>
  <c r="FJ112" i="6"/>
  <c r="EY118" i="6"/>
  <c r="FJ118" i="6"/>
  <c r="EX87" i="6"/>
  <c r="FI87" i="6"/>
  <c r="EX75" i="6"/>
  <c r="FI75" i="6"/>
  <c r="EU92" i="6"/>
  <c r="FF92" i="6"/>
  <c r="EU80" i="6"/>
  <c r="FF80" i="6"/>
  <c r="ES67" i="6"/>
  <c r="FD67" i="6"/>
  <c r="FB42" i="6"/>
  <c r="FM42" i="6"/>
  <c r="FB48" i="6"/>
  <c r="FM48" i="6"/>
  <c r="ES50" i="6"/>
  <c r="FD50" i="6"/>
  <c r="ER25" i="6"/>
  <c r="FC25" i="6"/>
  <c r="ER4" i="6"/>
  <c r="FC4" i="6"/>
  <c r="FA160" i="6"/>
  <c r="FL160" i="6"/>
  <c r="ER165" i="6"/>
  <c r="FC165" i="6"/>
  <c r="EZ143" i="6"/>
  <c r="FK143" i="6"/>
  <c r="FB165" i="6"/>
  <c r="FM165" i="6"/>
  <c r="EZ167" i="6"/>
  <c r="FK167" i="6"/>
  <c r="EY148" i="6"/>
  <c r="FJ148" i="6"/>
  <c r="EW159" i="6"/>
  <c r="FH159" i="6"/>
  <c r="EZ144" i="6"/>
  <c r="FK144" i="6"/>
  <c r="EX133" i="6"/>
  <c r="FI133" i="6"/>
  <c r="ER112" i="6"/>
  <c r="FC112" i="6"/>
  <c r="EV140" i="6"/>
  <c r="FG140" i="6"/>
  <c r="FB107" i="6"/>
  <c r="FM107" i="6"/>
  <c r="EZ112" i="6"/>
  <c r="FK112" i="6"/>
  <c r="ER92" i="6"/>
  <c r="FC92" i="6"/>
  <c r="ER80" i="6"/>
  <c r="FC80" i="6"/>
  <c r="EV62" i="6"/>
  <c r="FG62" i="6"/>
  <c r="EZ111" i="6"/>
  <c r="FK111" i="6"/>
  <c r="EW129" i="6"/>
  <c r="FH129" i="6"/>
  <c r="ER105" i="6"/>
  <c r="FC105" i="6"/>
  <c r="FB140" i="6"/>
  <c r="FM140" i="6"/>
  <c r="EV112" i="6"/>
  <c r="FG112" i="6"/>
  <c r="FB92" i="6"/>
  <c r="FM92" i="6"/>
  <c r="FB80" i="6"/>
  <c r="FM80" i="6"/>
  <c r="EW157" i="6"/>
  <c r="FH157" i="6"/>
  <c r="EW125" i="6"/>
  <c r="FH125" i="6"/>
  <c r="EX98" i="6"/>
  <c r="FI98" i="6"/>
  <c r="FA69" i="6"/>
  <c r="FL69" i="6"/>
  <c r="EW41" i="6"/>
  <c r="FH41" i="6"/>
  <c r="EY52" i="6"/>
  <c r="FJ52" i="6"/>
  <c r="EY31" i="6"/>
  <c r="FJ31" i="6"/>
  <c r="EW61" i="6"/>
  <c r="FH61" i="6"/>
  <c r="FA57" i="6"/>
  <c r="FL57" i="6"/>
  <c r="EV56" i="6"/>
  <c r="FG56" i="6"/>
  <c r="EW29" i="6"/>
  <c r="FH29" i="6"/>
  <c r="EZ36" i="6"/>
  <c r="FK36" i="6"/>
  <c r="EU21" i="6"/>
  <c r="FF21" i="6"/>
  <c r="ES29" i="6"/>
  <c r="FD29" i="6"/>
  <c r="EZ48" i="6"/>
  <c r="FK48" i="6"/>
  <c r="CI140" i="2"/>
  <c r="DG140" i="2" s="1"/>
  <c r="AM140" i="2"/>
  <c r="AG157" i="2"/>
  <c r="CC157" i="2"/>
  <c r="DA157" i="2" s="1"/>
  <c r="AI168" i="2"/>
  <c r="CE168" i="2"/>
  <c r="DC168" i="2" s="1"/>
  <c r="CD155" i="2"/>
  <c r="DB155" i="2" s="1"/>
  <c r="AH155" i="2"/>
  <c r="AM170" i="2"/>
  <c r="CI170" i="2"/>
  <c r="DG170" i="2" s="1"/>
  <c r="CG165" i="2"/>
  <c r="DE165" i="2" s="1"/>
  <c r="AK165" i="2"/>
  <c r="CC158" i="2"/>
  <c r="DA158" i="2" s="1"/>
  <c r="AG158" i="2"/>
  <c r="CH166" i="2"/>
  <c r="DF166" i="2" s="1"/>
  <c r="AL166" i="2"/>
  <c r="CK160" i="2"/>
  <c r="DI160" i="2" s="1"/>
  <c r="AO160" i="2"/>
  <c r="CE149" i="2"/>
  <c r="DC149" i="2" s="1"/>
  <c r="AI149" i="2"/>
  <c r="AM144" i="2"/>
  <c r="CI144" i="2"/>
  <c r="DG144" i="2" s="1"/>
  <c r="CI161" i="2"/>
  <c r="DG161" i="2" s="1"/>
  <c r="AM161" i="2"/>
  <c r="CC132" i="2"/>
  <c r="DA132" i="2" s="1"/>
  <c r="AG132" i="2"/>
  <c r="AH147" i="2"/>
  <c r="CD147" i="2"/>
  <c r="DB147" i="2" s="1"/>
  <c r="CC130" i="2"/>
  <c r="DA130" i="2" s="1"/>
  <c r="AG130" i="2"/>
  <c r="AO143" i="2"/>
  <c r="CK143" i="2"/>
  <c r="DI143" i="2" s="1"/>
  <c r="CH133" i="2"/>
  <c r="DF133" i="2" s="1"/>
  <c r="AL133" i="2"/>
  <c r="CC140" i="2"/>
  <c r="DA140" i="2" s="1"/>
  <c r="AG140" i="2"/>
  <c r="CI128" i="2"/>
  <c r="DG128" i="2" s="1"/>
  <c r="AM128" i="2"/>
  <c r="CJ129" i="2"/>
  <c r="DH129" i="2" s="1"/>
  <c r="AN129" i="2"/>
  <c r="CI120" i="2"/>
  <c r="DG120" i="2" s="1"/>
  <c r="AM120" i="2"/>
  <c r="CH124" i="2"/>
  <c r="DF124" i="2" s="1"/>
  <c r="AL124" i="2"/>
  <c r="CI115" i="2"/>
  <c r="DG115" i="2" s="1"/>
  <c r="AM115" i="2"/>
  <c r="AG125" i="2"/>
  <c r="CC125" i="2"/>
  <c r="DA125" i="2" s="1"/>
  <c r="CI142" i="2"/>
  <c r="DG142" i="2" s="1"/>
  <c r="AM142" i="2"/>
  <c r="AM119" i="2"/>
  <c r="CI119" i="2"/>
  <c r="DG119" i="2" s="1"/>
  <c r="CC127" i="2"/>
  <c r="DA127" i="2" s="1"/>
  <c r="AG127" i="2"/>
  <c r="AH129" i="2"/>
  <c r="CD129" i="2"/>
  <c r="DB129" i="2" s="1"/>
  <c r="CJ116" i="2"/>
  <c r="DH116" i="2" s="1"/>
  <c r="AN116" i="2"/>
  <c r="CJ111" i="2"/>
  <c r="DH111" i="2" s="1"/>
  <c r="AN111" i="2"/>
  <c r="AM98" i="2"/>
  <c r="CI98" i="2"/>
  <c r="DG98" i="2" s="1"/>
  <c r="AL95" i="2"/>
  <c r="CH95" i="2"/>
  <c r="DF95" i="2" s="1"/>
  <c r="AJ96" i="2"/>
  <c r="CF96" i="2"/>
  <c r="DD96" i="2" s="1"/>
  <c r="CJ102" i="2"/>
  <c r="DH102" i="2" s="1"/>
  <c r="AN102" i="2"/>
  <c r="CH114" i="2"/>
  <c r="DF114" i="2" s="1"/>
  <c r="AL114" i="2"/>
  <c r="CE98" i="2"/>
  <c r="DC98" i="2" s="1"/>
  <c r="AI98" i="2"/>
  <c r="CC116" i="2"/>
  <c r="DA116" i="2" s="1"/>
  <c r="AG116" i="2"/>
  <c r="AG104" i="2"/>
  <c r="CC104" i="2"/>
  <c r="DA104" i="2" s="1"/>
  <c r="CC96" i="2"/>
  <c r="DA96" i="2" s="1"/>
  <c r="AG96" i="2"/>
  <c r="CG94" i="2"/>
  <c r="DE94" i="2" s="1"/>
  <c r="AK94" i="2"/>
  <c r="CH109" i="2"/>
  <c r="DF109" i="2" s="1"/>
  <c r="AL109" i="2"/>
  <c r="AN100" i="2"/>
  <c r="CJ100" i="2"/>
  <c r="DH100" i="2" s="1"/>
  <c r="CJ84" i="2"/>
  <c r="DH84" i="2" s="1"/>
  <c r="AN84" i="2"/>
  <c r="CD74" i="2"/>
  <c r="DB74" i="2" s="1"/>
  <c r="AH74" i="2"/>
  <c r="AG77" i="2"/>
  <c r="CC77" i="2"/>
  <c r="DA77" i="2" s="1"/>
  <c r="CC71" i="2"/>
  <c r="DA71" i="2" s="1"/>
  <c r="AG71" i="2"/>
  <c r="CK80" i="2"/>
  <c r="DI80" i="2" s="1"/>
  <c r="AO80" i="2"/>
  <c r="AL65" i="2"/>
  <c r="CH65" i="2"/>
  <c r="DF65" i="2" s="1"/>
  <c r="CJ67" i="2"/>
  <c r="DH67" i="2" s="1"/>
  <c r="AN67" i="2"/>
  <c r="CJ77" i="2"/>
  <c r="DH77" i="2" s="1"/>
  <c r="AN77" i="2"/>
  <c r="CE47" i="2"/>
  <c r="DC47" i="2" s="1"/>
  <c r="AI47" i="2"/>
  <c r="AM80" i="2"/>
  <c r="CI80" i="2"/>
  <c r="DG80" i="2" s="1"/>
  <c r="CE43" i="2"/>
  <c r="DC43" i="2" s="1"/>
  <c r="AI43" i="2"/>
  <c r="CC84" i="2"/>
  <c r="DA84" i="2" s="1"/>
  <c r="AG84" i="2"/>
  <c r="CC54" i="2"/>
  <c r="DA54" i="2" s="1"/>
  <c r="AG54" i="2"/>
  <c r="CK44" i="2"/>
  <c r="DI44" i="2" s="1"/>
  <c r="AO44" i="2"/>
  <c r="AN30" i="2"/>
  <c r="CJ30" i="2"/>
  <c r="DH30" i="2" s="1"/>
  <c r="AI58" i="2"/>
  <c r="CE58" i="2"/>
  <c r="DC58" i="2" s="1"/>
  <c r="CJ29" i="2"/>
  <c r="DH29" i="2" s="1"/>
  <c r="AN29" i="2"/>
  <c r="CI44" i="2"/>
  <c r="DG44" i="2" s="1"/>
  <c r="AM44" i="2"/>
  <c r="AG14" i="2"/>
  <c r="CC14" i="2"/>
  <c r="DA14" i="2" s="1"/>
  <c r="AG24" i="2"/>
  <c r="CC24" i="2"/>
  <c r="DA24" i="2" s="1"/>
  <c r="CF25" i="2"/>
  <c r="DD25" i="2" s="1"/>
  <c r="AJ25" i="2"/>
  <c r="CF164" i="2"/>
  <c r="DD164" i="2" s="1"/>
  <c r="AJ164" i="2"/>
  <c r="AK166" i="2"/>
  <c r="CG166" i="2"/>
  <c r="DE166" i="2" s="1"/>
  <c r="AK167" i="2"/>
  <c r="CG167" i="2"/>
  <c r="DE167" i="2" s="1"/>
  <c r="AJ152" i="2"/>
  <c r="CF152" i="2"/>
  <c r="DD152" i="2" s="1"/>
  <c r="CI158" i="2"/>
  <c r="DG158" i="2" s="1"/>
  <c r="AM158" i="2"/>
  <c r="AI167" i="2"/>
  <c r="CE167" i="2"/>
  <c r="DC167" i="2" s="1"/>
  <c r="CI162" i="2"/>
  <c r="DG162" i="2" s="1"/>
  <c r="AM162" i="2"/>
  <c r="CI150" i="2"/>
  <c r="DG150" i="2" s="1"/>
  <c r="AM150" i="2"/>
  <c r="AM145" i="2"/>
  <c r="CI145" i="2"/>
  <c r="DG145" i="2" s="1"/>
  <c r="AJ140" i="2"/>
  <c r="CF140" i="2"/>
  <c r="DD140" i="2" s="1"/>
  <c r="CE134" i="2"/>
  <c r="DC134" i="2" s="1"/>
  <c r="AI134" i="2"/>
  <c r="CG120" i="2"/>
  <c r="DE120" i="2" s="1"/>
  <c r="AK120" i="2"/>
  <c r="AJ114" i="2"/>
  <c r="CF114" i="2"/>
  <c r="DD114" i="2" s="1"/>
  <c r="CF110" i="2"/>
  <c r="DD110" i="2" s="1"/>
  <c r="AJ110" i="2"/>
  <c r="CG103" i="2"/>
  <c r="DE103" i="2" s="1"/>
  <c r="AK103" i="2"/>
  <c r="CH87" i="2"/>
  <c r="DF87" i="2" s="1"/>
  <c r="AL87" i="2"/>
  <c r="CJ108" i="2"/>
  <c r="DH108" i="2" s="1"/>
  <c r="AN108" i="2"/>
  <c r="CG88" i="2"/>
  <c r="DE88" i="2" s="1"/>
  <c r="AK88" i="2"/>
  <c r="AG92" i="2"/>
  <c r="CC92" i="2"/>
  <c r="DA92" i="2" s="1"/>
  <c r="AJ108" i="2"/>
  <c r="CF108" i="2"/>
  <c r="DD108" i="2" s="1"/>
  <c r="CE89" i="2"/>
  <c r="DC89" i="2" s="1"/>
  <c r="AI89" i="2"/>
  <c r="AM92" i="2"/>
  <c r="CI92" i="2"/>
  <c r="DG92" i="2" s="1"/>
  <c r="AO106" i="2"/>
  <c r="CK106" i="2"/>
  <c r="DI106" i="2" s="1"/>
  <c r="AI75" i="2"/>
  <c r="CE75" i="2"/>
  <c r="DC75" i="2" s="1"/>
  <c r="CK77" i="2"/>
  <c r="DI77" i="2" s="1"/>
  <c r="AO77" i="2"/>
  <c r="AL67" i="2"/>
  <c r="CH67" i="2"/>
  <c r="DF67" i="2" s="1"/>
  <c r="AM62" i="2"/>
  <c r="CI62" i="2"/>
  <c r="DG62" i="2" s="1"/>
  <c r="CE52" i="2"/>
  <c r="DC52" i="2" s="1"/>
  <c r="AI52" i="2"/>
  <c r="CG47" i="2"/>
  <c r="DE47" i="2" s="1"/>
  <c r="AK47" i="2"/>
  <c r="AL42" i="2"/>
  <c r="CH42" i="2"/>
  <c r="DF42" i="2" s="1"/>
  <c r="CE46" i="2"/>
  <c r="DC46" i="2" s="1"/>
  <c r="AI46" i="2"/>
  <c r="CC55" i="2"/>
  <c r="DA55" i="2" s="1"/>
  <c r="AG55" i="2"/>
  <c r="AO38" i="2"/>
  <c r="CK38" i="2"/>
  <c r="DI38" i="2" s="1"/>
  <c r="CG58" i="2"/>
  <c r="DE58" i="2" s="1"/>
  <c r="AK58" i="2"/>
  <c r="CH53" i="2"/>
  <c r="DF53" i="2" s="1"/>
  <c r="AL53" i="2"/>
  <c r="CK31" i="2"/>
  <c r="DI31" i="2" s="1"/>
  <c r="AO31" i="2"/>
  <c r="AJ32" i="2"/>
  <c r="CF32" i="2"/>
  <c r="DD32" i="2" s="1"/>
  <c r="AK21" i="2"/>
  <c r="CG21" i="2"/>
  <c r="DE21" i="2" s="1"/>
  <c r="CK25" i="2"/>
  <c r="DI25" i="2" s="1"/>
  <c r="AO25" i="2"/>
  <c r="CH25" i="2"/>
  <c r="DF25" i="2" s="1"/>
  <c r="AL25" i="2"/>
  <c r="AL35" i="2"/>
  <c r="CH35" i="2"/>
  <c r="DF35" i="2" s="1"/>
  <c r="AJ38" i="2"/>
  <c r="CF38" i="2"/>
  <c r="DD38" i="2" s="1"/>
  <c r="CK154" i="2"/>
  <c r="DI154" i="2" s="1"/>
  <c r="AO154" i="2"/>
  <c r="AI166" i="2"/>
  <c r="CE166" i="2"/>
  <c r="DC166" i="2" s="1"/>
  <c r="CI169" i="2"/>
  <c r="DG169" i="2" s="1"/>
  <c r="AM169" i="2"/>
  <c r="AH168" i="2"/>
  <c r="CD168" i="2"/>
  <c r="DB168" i="2" s="1"/>
  <c r="AN153" i="2"/>
  <c r="CJ153" i="2"/>
  <c r="DH153" i="2" s="1"/>
  <c r="AL154" i="2"/>
  <c r="CH154" i="2"/>
  <c r="DF154" i="2" s="1"/>
  <c r="AO165" i="2"/>
  <c r="CK165" i="2"/>
  <c r="DI165" i="2" s="1"/>
  <c r="CG142" i="2"/>
  <c r="DE142" i="2" s="1"/>
  <c r="AK142" i="2"/>
  <c r="CD135" i="2"/>
  <c r="DB135" i="2" s="1"/>
  <c r="AH135" i="2"/>
  <c r="CI134" i="2"/>
  <c r="DG134" i="2" s="1"/>
  <c r="AM134" i="2"/>
  <c r="CI126" i="2"/>
  <c r="DG126" i="2" s="1"/>
  <c r="AM126" i="2"/>
  <c r="CE132" i="2"/>
  <c r="DC132" i="2" s="1"/>
  <c r="AI132" i="2"/>
  <c r="CG122" i="2"/>
  <c r="DE122" i="2" s="1"/>
  <c r="AK122" i="2"/>
  <c r="AH114" i="2"/>
  <c r="CD114" i="2"/>
  <c r="DB114" i="2" s="1"/>
  <c r="CC134" i="2"/>
  <c r="DA134" i="2" s="1"/>
  <c r="AG134" i="2"/>
  <c r="CD126" i="2"/>
  <c r="DB126" i="2" s="1"/>
  <c r="AH126" i="2"/>
  <c r="AN128" i="2"/>
  <c r="CJ128" i="2"/>
  <c r="DH128" i="2" s="1"/>
  <c r="CC112" i="2"/>
  <c r="DA112" i="2" s="1"/>
  <c r="AG112" i="2"/>
  <c r="AJ113" i="2"/>
  <c r="CF113" i="2"/>
  <c r="DD113" i="2" s="1"/>
  <c r="CE120" i="2"/>
  <c r="DC120" i="2" s="1"/>
  <c r="AI120" i="2"/>
  <c r="CE110" i="2"/>
  <c r="DC110" i="2" s="1"/>
  <c r="AI110" i="2"/>
  <c r="AH97" i="2"/>
  <c r="CD97" i="2"/>
  <c r="DB97" i="2" s="1"/>
  <c r="CD88" i="2"/>
  <c r="DB88" i="2" s="1"/>
  <c r="AH88" i="2"/>
  <c r="AJ86" i="2"/>
  <c r="CF86" i="2"/>
  <c r="DD86" i="2" s="1"/>
  <c r="CG91" i="2"/>
  <c r="DE91" i="2" s="1"/>
  <c r="AK91" i="2"/>
  <c r="CH108" i="2"/>
  <c r="DF108" i="2" s="1"/>
  <c r="AL108" i="2"/>
  <c r="CI93" i="2"/>
  <c r="DG93" i="2" s="1"/>
  <c r="AM93" i="2"/>
  <c r="AO83" i="2"/>
  <c r="CK83" i="2"/>
  <c r="DI83" i="2" s="1"/>
  <c r="AJ72" i="2"/>
  <c r="CF72" i="2"/>
  <c r="DD72" i="2" s="1"/>
  <c r="AI82" i="2"/>
  <c r="CE82" i="2"/>
  <c r="DC82" i="2" s="1"/>
  <c r="AM73" i="2"/>
  <c r="CI73" i="2"/>
  <c r="DG73" i="2" s="1"/>
  <c r="CK107" i="2"/>
  <c r="DI107" i="2" s="1"/>
  <c r="AO107" i="2"/>
  <c r="CI81" i="2"/>
  <c r="DG81" i="2" s="1"/>
  <c r="AM81" i="2"/>
  <c r="AI122" i="2"/>
  <c r="CE122" i="2"/>
  <c r="DC122" i="2" s="1"/>
  <c r="AN64" i="2"/>
  <c r="CJ64" i="2"/>
  <c r="DH64" i="2" s="1"/>
  <c r="CH78" i="2"/>
  <c r="DF78" i="2" s="1"/>
  <c r="AL78" i="2"/>
  <c r="AO66" i="2"/>
  <c r="CK66" i="2"/>
  <c r="DI66" i="2" s="1"/>
  <c r="AN76" i="2"/>
  <c r="CJ76" i="2"/>
  <c r="DH76" i="2" s="1"/>
  <c r="AM45" i="2"/>
  <c r="CI45" i="2"/>
  <c r="DG45" i="2" s="1"/>
  <c r="AK46" i="2"/>
  <c r="CG46" i="2"/>
  <c r="DE46" i="2" s="1"/>
  <c r="AO55" i="2"/>
  <c r="CK55" i="2"/>
  <c r="DI55" i="2" s="1"/>
  <c r="AJ47" i="2"/>
  <c r="CF47" i="2"/>
  <c r="DD47" i="2" s="1"/>
  <c r="AG30" i="2"/>
  <c r="CC30" i="2"/>
  <c r="DA30" i="2" s="1"/>
  <c r="CG59" i="2"/>
  <c r="DE59" i="2" s="1"/>
  <c r="AK59" i="2"/>
  <c r="CK37" i="2"/>
  <c r="DI37" i="2" s="1"/>
  <c r="AO37" i="2"/>
  <c r="CJ37" i="2"/>
  <c r="DH37" i="2" s="1"/>
  <c r="AN37" i="2"/>
  <c r="AI21" i="2"/>
  <c r="CE21" i="2"/>
  <c r="DC21" i="2" s="1"/>
  <c r="AI24" i="2"/>
  <c r="CE24" i="2"/>
  <c r="DC24" i="2" s="1"/>
  <c r="CG20" i="2"/>
  <c r="DE20" i="2" s="1"/>
  <c r="AK20" i="2"/>
  <c r="CJ167" i="2"/>
  <c r="DH167" i="2" s="1"/>
  <c r="AN167" i="2"/>
  <c r="AO167" i="2"/>
  <c r="CK167" i="2"/>
  <c r="DI167" i="2" s="1"/>
  <c r="AL164" i="2"/>
  <c r="CH164" i="2"/>
  <c r="DF164" i="2" s="1"/>
  <c r="AN94" i="2"/>
  <c r="CJ94" i="2"/>
  <c r="DH94" i="2" s="1"/>
  <c r="AI109" i="2"/>
  <c r="CE109" i="2"/>
  <c r="DC109" i="2" s="1"/>
  <c r="CJ103" i="2"/>
  <c r="DH103" i="2" s="1"/>
  <c r="AN103" i="2"/>
  <c r="CC82" i="2"/>
  <c r="DA82" i="2" s="1"/>
  <c r="AG82" i="2"/>
  <c r="AO97" i="2"/>
  <c r="CK97" i="2"/>
  <c r="DI97" i="2" s="1"/>
  <c r="CC53" i="2"/>
  <c r="DA53" i="2" s="1"/>
  <c r="AG53" i="2"/>
  <c r="CK163" i="2"/>
  <c r="DI163" i="2" s="1"/>
  <c r="AO163" i="2"/>
  <c r="AG166" i="2"/>
  <c r="CC166" i="2"/>
  <c r="DA166" i="2" s="1"/>
  <c r="CH168" i="2"/>
  <c r="DF168" i="2" s="1"/>
  <c r="AL168" i="2"/>
  <c r="CF160" i="2"/>
  <c r="DD160" i="2" s="1"/>
  <c r="AJ160" i="2"/>
  <c r="AG154" i="2"/>
  <c r="CC154" i="2"/>
  <c r="DA154" i="2" s="1"/>
  <c r="AL165" i="2"/>
  <c r="CH165" i="2"/>
  <c r="DF165" i="2" s="1"/>
  <c r="CH163" i="2"/>
  <c r="DF163" i="2" s="1"/>
  <c r="AL163" i="2"/>
  <c r="CC155" i="2"/>
  <c r="DA155" i="2" s="1"/>
  <c r="AG155" i="2"/>
  <c r="CJ145" i="2"/>
  <c r="DH145" i="2" s="1"/>
  <c r="AN145" i="2"/>
  <c r="CD154" i="2"/>
  <c r="DB154" i="2" s="1"/>
  <c r="AH154" i="2"/>
  <c r="AI146" i="2"/>
  <c r="CE146" i="2"/>
  <c r="DC146" i="2" s="1"/>
  <c r="AK158" i="2"/>
  <c r="CG158" i="2"/>
  <c r="DE158" i="2" s="1"/>
  <c r="CC149" i="2"/>
  <c r="DA149" i="2" s="1"/>
  <c r="AG149" i="2"/>
  <c r="CH150" i="2"/>
  <c r="DF150" i="2" s="1"/>
  <c r="AL150" i="2"/>
  <c r="AJ156" i="2"/>
  <c r="CF156" i="2"/>
  <c r="DD156" i="2" s="1"/>
  <c r="CC131" i="2"/>
  <c r="DA131" i="2" s="1"/>
  <c r="AG131" i="2"/>
  <c r="CI138" i="2"/>
  <c r="DG138" i="2" s="1"/>
  <c r="AM138" i="2"/>
  <c r="CE133" i="2"/>
  <c r="DC133" i="2" s="1"/>
  <c r="AI133" i="2"/>
  <c r="AI140" i="2"/>
  <c r="CE140" i="2"/>
  <c r="DC140" i="2" s="1"/>
  <c r="CG133" i="2"/>
  <c r="DE133" i="2" s="1"/>
  <c r="AK133" i="2"/>
  <c r="CD121" i="2"/>
  <c r="DB121" i="2" s="1"/>
  <c r="AH121" i="2"/>
  <c r="AJ124" i="2"/>
  <c r="CF124" i="2"/>
  <c r="DD124" i="2" s="1"/>
  <c r="AN146" i="2"/>
  <c r="CJ146" i="2"/>
  <c r="DH146" i="2" s="1"/>
  <c r="AN130" i="2"/>
  <c r="CJ130" i="2"/>
  <c r="DH130" i="2" s="1"/>
  <c r="AN121" i="2"/>
  <c r="CJ121" i="2"/>
  <c r="DH121" i="2" s="1"/>
  <c r="AK140" i="2"/>
  <c r="CG140" i="2"/>
  <c r="DE140" i="2" s="1"/>
  <c r="AL123" i="2"/>
  <c r="CH123" i="2"/>
  <c r="DF123" i="2" s="1"/>
  <c r="AG107" i="2"/>
  <c r="CC107" i="2"/>
  <c r="DA107" i="2" s="1"/>
  <c r="CJ112" i="2"/>
  <c r="DH112" i="2" s="1"/>
  <c r="AN112" i="2"/>
  <c r="CD113" i="2"/>
  <c r="DB113" i="2" s="1"/>
  <c r="AH113" i="2"/>
  <c r="AL101" i="2"/>
  <c r="CH101" i="2"/>
  <c r="DF101" i="2" s="1"/>
  <c r="CK92" i="2"/>
  <c r="DI92" i="2" s="1"/>
  <c r="AO92" i="2"/>
  <c r="AH106" i="2"/>
  <c r="CD106" i="2"/>
  <c r="DB106" i="2" s="1"/>
  <c r="AH84" i="2"/>
  <c r="CD84" i="2"/>
  <c r="DB84" i="2" s="1"/>
  <c r="AL89" i="2"/>
  <c r="CH89" i="2"/>
  <c r="DF89" i="2" s="1"/>
  <c r="AH91" i="2"/>
  <c r="CD91" i="2"/>
  <c r="DB91" i="2" s="1"/>
  <c r="CE81" i="2"/>
  <c r="DC81" i="2" s="1"/>
  <c r="AI81" i="2"/>
  <c r="AN106" i="2"/>
  <c r="CJ106" i="2"/>
  <c r="DH106" i="2" s="1"/>
  <c r="CJ83" i="2"/>
  <c r="DH83" i="2" s="1"/>
  <c r="AN83" i="2"/>
  <c r="CG71" i="2"/>
  <c r="DE71" i="2" s="1"/>
  <c r="AK71" i="2"/>
  <c r="CE72" i="2"/>
  <c r="DC72" i="2" s="1"/>
  <c r="AI72" i="2"/>
  <c r="AO79" i="2"/>
  <c r="CK79" i="2"/>
  <c r="DI79" i="2" s="1"/>
  <c r="AO98" i="2"/>
  <c r="CK98" i="2"/>
  <c r="DI98" i="2" s="1"/>
  <c r="AL77" i="2"/>
  <c r="CH77" i="2"/>
  <c r="DF77" i="2" s="1"/>
  <c r="CG79" i="2"/>
  <c r="DE79" i="2" s="1"/>
  <c r="AK79" i="2"/>
  <c r="AH69" i="2"/>
  <c r="CD69" i="2"/>
  <c r="DB69" i="2" s="1"/>
  <c r="AM49" i="2"/>
  <c r="CI49" i="2"/>
  <c r="DG49" i="2" s="1"/>
  <c r="AG52" i="2"/>
  <c r="CC52" i="2"/>
  <c r="DA52" i="2" s="1"/>
  <c r="CG53" i="2"/>
  <c r="DE53" i="2" s="1"/>
  <c r="AK53" i="2"/>
  <c r="AL44" i="2"/>
  <c r="CH44" i="2"/>
  <c r="DF44" i="2" s="1"/>
  <c r="CG51" i="2"/>
  <c r="DE51" i="2" s="1"/>
  <c r="AK51" i="2"/>
  <c r="AN45" i="2"/>
  <c r="CJ45" i="2"/>
  <c r="DH45" i="2" s="1"/>
  <c r="AG36" i="2"/>
  <c r="CC36" i="2"/>
  <c r="DA36" i="2" s="1"/>
  <c r="AI29" i="2"/>
  <c r="CE29" i="2"/>
  <c r="DC29" i="2" s="1"/>
  <c r="CI63" i="2"/>
  <c r="DG63" i="2" s="1"/>
  <c r="AM63" i="2"/>
  <c r="AI70" i="2"/>
  <c r="CE70" i="2"/>
  <c r="DC70" i="2" s="1"/>
  <c r="CI57" i="2"/>
  <c r="DG57" i="2" s="1"/>
  <c r="AM57" i="2"/>
  <c r="AI51" i="2"/>
  <c r="CE51" i="2"/>
  <c r="DC51" i="2" s="1"/>
  <c r="CC29" i="2"/>
  <c r="DA29" i="2" s="1"/>
  <c r="AG29" i="2"/>
  <c r="CF27" i="2"/>
  <c r="DD27" i="2" s="1"/>
  <c r="AJ27" i="2"/>
  <c r="CE17" i="2"/>
  <c r="DC17" i="2" s="1"/>
  <c r="AI17" i="2"/>
  <c r="AN36" i="2"/>
  <c r="CJ36" i="2"/>
  <c r="DH36" i="2" s="1"/>
  <c r="AH23" i="2"/>
  <c r="CD23" i="2"/>
  <c r="DB23" i="2" s="1"/>
  <c r="CC17" i="2"/>
  <c r="DA17" i="2" s="1"/>
  <c r="AG17" i="2"/>
  <c r="AG16" i="2"/>
  <c r="CC16" i="2"/>
  <c r="DA16" i="2" s="1"/>
  <c r="CD149" i="2"/>
  <c r="DB149" i="2" s="1"/>
  <c r="AH149" i="2"/>
  <c r="CF139" i="2"/>
  <c r="DD139" i="2" s="1"/>
  <c r="AJ139" i="2"/>
  <c r="CG141" i="2"/>
  <c r="DE141" i="2" s="1"/>
  <c r="AK141" i="2"/>
  <c r="CG109" i="2"/>
  <c r="DE109" i="2" s="1"/>
  <c r="AK109" i="2"/>
  <c r="AI84" i="2"/>
  <c r="CE84" i="2"/>
  <c r="DC84" i="2" s="1"/>
  <c r="CJ97" i="2"/>
  <c r="DH97" i="2" s="1"/>
  <c r="AN97" i="2"/>
  <c r="AJ90" i="2"/>
  <c r="CF90" i="2"/>
  <c r="DD90" i="2" s="1"/>
  <c r="AO84" i="2"/>
  <c r="CK84" i="2"/>
  <c r="DI84" i="2" s="1"/>
  <c r="CG73" i="2"/>
  <c r="DE73" i="2" s="1"/>
  <c r="AK73" i="2"/>
  <c r="AI121" i="2"/>
  <c r="CE121" i="2"/>
  <c r="DC121" i="2" s="1"/>
  <c r="AK81" i="2"/>
  <c r="CG81" i="2"/>
  <c r="DE81" i="2" s="1"/>
  <c r="CD70" i="2"/>
  <c r="DB70" i="2" s="1"/>
  <c r="AH70" i="2"/>
  <c r="CC47" i="2"/>
  <c r="DA47" i="2" s="1"/>
  <c r="AG47" i="2"/>
  <c r="CG52" i="2"/>
  <c r="DE52" i="2" s="1"/>
  <c r="AK52" i="2"/>
  <c r="CD34" i="2"/>
  <c r="DB34" i="2" s="1"/>
  <c r="AH34" i="2"/>
  <c r="AG59" i="2"/>
  <c r="CC59" i="2"/>
  <c r="DA59" i="2" s="1"/>
  <c r="CF158" i="2"/>
  <c r="DD158" i="2" s="1"/>
  <c r="AJ158" i="2"/>
  <c r="CE157" i="2"/>
  <c r="DC157" i="2" s="1"/>
  <c r="AI157" i="2"/>
  <c r="AH165" i="2"/>
  <c r="CD165" i="2"/>
  <c r="DB165" i="2" s="1"/>
  <c r="CF149" i="2"/>
  <c r="DD149" i="2" s="1"/>
  <c r="AJ149" i="2"/>
  <c r="AN166" i="2"/>
  <c r="CJ166" i="2"/>
  <c r="DH166" i="2" s="1"/>
  <c r="CK148" i="2"/>
  <c r="DI148" i="2" s="1"/>
  <c r="AO148" i="2"/>
  <c r="CD170" i="2"/>
  <c r="DB170" i="2" s="1"/>
  <c r="AH170" i="2"/>
  <c r="AN147" i="2"/>
  <c r="CJ147" i="2"/>
  <c r="DH147" i="2" s="1"/>
  <c r="CK139" i="2"/>
  <c r="DI139" i="2" s="1"/>
  <c r="AO139" i="2"/>
  <c r="AL149" i="2"/>
  <c r="CH149" i="2"/>
  <c r="DF149" i="2" s="1"/>
  <c r="CD148" i="2"/>
  <c r="DB148" i="2" s="1"/>
  <c r="AH148" i="2"/>
  <c r="CE139" i="2"/>
  <c r="DC139" i="2" s="1"/>
  <c r="AI139" i="2"/>
  <c r="CE130" i="2"/>
  <c r="DC130" i="2" s="1"/>
  <c r="AI130" i="2"/>
  <c r="CJ137" i="2"/>
  <c r="DH137" i="2" s="1"/>
  <c r="AN137" i="2"/>
  <c r="CI149" i="2"/>
  <c r="DG149" i="2" s="1"/>
  <c r="AM149" i="2"/>
  <c r="AG168" i="2"/>
  <c r="CC168" i="2"/>
  <c r="DA168" i="2" s="1"/>
  <c r="AN124" i="2"/>
  <c r="CJ124" i="2"/>
  <c r="DH124" i="2" s="1"/>
  <c r="CH118" i="2"/>
  <c r="DF118" i="2" s="1"/>
  <c r="AL118" i="2"/>
  <c r="CK130" i="2"/>
  <c r="DI130" i="2" s="1"/>
  <c r="AO130" i="2"/>
  <c r="CJ123" i="2"/>
  <c r="DH123" i="2" s="1"/>
  <c r="AN123" i="2"/>
  <c r="CJ125" i="2"/>
  <c r="DH125" i="2" s="1"/>
  <c r="AN125" i="2"/>
  <c r="AI106" i="2"/>
  <c r="CE106" i="2"/>
  <c r="DC106" i="2" s="1"/>
  <c r="CH110" i="2"/>
  <c r="DF110" i="2" s="1"/>
  <c r="AL110" i="2"/>
  <c r="CK114" i="2"/>
  <c r="DI114" i="2" s="1"/>
  <c r="AO114" i="2"/>
  <c r="CF87" i="2"/>
  <c r="DD87" i="2" s="1"/>
  <c r="AJ87" i="2"/>
  <c r="AH109" i="2"/>
  <c r="CD109" i="2"/>
  <c r="DB109" i="2" s="1"/>
  <c r="CF92" i="2"/>
  <c r="DD92" i="2" s="1"/>
  <c r="AJ92" i="2"/>
  <c r="AK83" i="2"/>
  <c r="CG83" i="2"/>
  <c r="DE83" i="2" s="1"/>
  <c r="AH105" i="2"/>
  <c r="CD105" i="2"/>
  <c r="DB105" i="2" s="1"/>
  <c r="CH86" i="2"/>
  <c r="DF86" i="2" s="1"/>
  <c r="AL86" i="2"/>
  <c r="AG110" i="2"/>
  <c r="CC110" i="2"/>
  <c r="DA110" i="2" s="1"/>
  <c r="AJ102" i="2"/>
  <c r="CF102" i="2"/>
  <c r="DD102" i="2" s="1"/>
  <c r="CG80" i="2"/>
  <c r="DE80" i="2" s="1"/>
  <c r="AK80" i="2"/>
  <c r="AN96" i="2"/>
  <c r="CJ96" i="2"/>
  <c r="DH96" i="2" s="1"/>
  <c r="CF112" i="2"/>
  <c r="DD112" i="2" s="1"/>
  <c r="AJ112" i="2"/>
  <c r="CD80" i="2"/>
  <c r="DB80" i="2" s="1"/>
  <c r="AH80" i="2"/>
  <c r="CK69" i="2"/>
  <c r="DI69" i="2" s="1"/>
  <c r="AO69" i="2"/>
  <c r="CH72" i="2"/>
  <c r="DF72" i="2" s="1"/>
  <c r="AL72" i="2"/>
  <c r="AK72" i="2"/>
  <c r="CG72" i="2"/>
  <c r="DE72" i="2" s="1"/>
  <c r="AO74" i="2"/>
  <c r="CK74" i="2"/>
  <c r="DI74" i="2" s="1"/>
  <c r="AH73" i="2"/>
  <c r="CD73" i="2"/>
  <c r="DB73" i="2" s="1"/>
  <c r="AO75" i="2"/>
  <c r="CK75" i="2"/>
  <c r="DI75" i="2" s="1"/>
  <c r="CE74" i="2"/>
  <c r="DC74" i="2" s="1"/>
  <c r="AI74" i="2"/>
  <c r="CF67" i="2"/>
  <c r="DD67" i="2" s="1"/>
  <c r="AJ67" i="2"/>
  <c r="CK50" i="2"/>
  <c r="DI50" i="2" s="1"/>
  <c r="AO50" i="2"/>
  <c r="AL43" i="2"/>
  <c r="CH43" i="2"/>
  <c r="DF43" i="2" s="1"/>
  <c r="AO61" i="2"/>
  <c r="CK61" i="2"/>
  <c r="DI61" i="2" s="1"/>
  <c r="AI53" i="2"/>
  <c r="CE53" i="2"/>
  <c r="DC53" i="2" s="1"/>
  <c r="CJ52" i="2"/>
  <c r="DH52" i="2" s="1"/>
  <c r="AN52" i="2"/>
  <c r="CJ46" i="2"/>
  <c r="DH46" i="2" s="1"/>
  <c r="AN46" i="2"/>
  <c r="AG44" i="2"/>
  <c r="CC44" i="2"/>
  <c r="DA44" i="2" s="1"/>
  <c r="AG43" i="2"/>
  <c r="CC43" i="2"/>
  <c r="DA43" i="2" s="1"/>
  <c r="AK28" i="2"/>
  <c r="CG28" i="2"/>
  <c r="DE28" i="2" s="1"/>
  <c r="CI64" i="2"/>
  <c r="DG64" i="2" s="1"/>
  <c r="AM64" i="2"/>
  <c r="CI58" i="2"/>
  <c r="DG58" i="2" s="1"/>
  <c r="AM58" i="2"/>
  <c r="CC41" i="2"/>
  <c r="DA41" i="2" s="1"/>
  <c r="AG41" i="2"/>
  <c r="CH32" i="2"/>
  <c r="DF32" i="2" s="1"/>
  <c r="AL32" i="2"/>
  <c r="CD26" i="2"/>
  <c r="DB26" i="2" s="1"/>
  <c r="AH26" i="2"/>
  <c r="CE22" i="2"/>
  <c r="DC22" i="2" s="1"/>
  <c r="AI22" i="2"/>
  <c r="CF18" i="2"/>
  <c r="DD18" i="2" s="1"/>
  <c r="AJ18" i="2"/>
  <c r="CK56" i="2"/>
  <c r="DI56" i="2" s="1"/>
  <c r="AO56" i="2"/>
  <c r="AH33" i="2"/>
  <c r="CD33" i="2"/>
  <c r="DB33" i="2" s="1"/>
  <c r="AH25" i="2"/>
  <c r="CD25" i="2"/>
  <c r="DB25" i="2" s="1"/>
  <c r="CJ122" i="2"/>
  <c r="DH122" i="2" s="1"/>
  <c r="AN122" i="2"/>
  <c r="AO91" i="2"/>
  <c r="CK91" i="2"/>
  <c r="DI91" i="2" s="1"/>
  <c r="AG85" i="2"/>
  <c r="CC85" i="2"/>
  <c r="DA85" i="2" s="1"/>
  <c r="AH55" i="2"/>
  <c r="CD55" i="2"/>
  <c r="DB55" i="2" s="1"/>
  <c r="CD20" i="2"/>
  <c r="DB20" i="2" s="1"/>
  <c r="AH20" i="2"/>
  <c r="CK168" i="2"/>
  <c r="DI168" i="2" s="1"/>
  <c r="AO168" i="2"/>
  <c r="AG167" i="2"/>
  <c r="CC167" i="2"/>
  <c r="DA167" i="2" s="1"/>
  <c r="CJ165" i="2"/>
  <c r="DH165" i="2" s="1"/>
  <c r="AN165" i="2"/>
  <c r="CK157" i="2"/>
  <c r="DI157" i="2" s="1"/>
  <c r="AO157" i="2"/>
  <c r="AH161" i="2"/>
  <c r="CD161" i="2"/>
  <c r="DB161" i="2" s="1"/>
  <c r="AH151" i="2"/>
  <c r="CD151" i="2"/>
  <c r="DB151" i="2" s="1"/>
  <c r="CH148" i="2"/>
  <c r="DF148" i="2" s="1"/>
  <c r="AL148" i="2"/>
  <c r="AG145" i="2"/>
  <c r="CC145" i="2"/>
  <c r="DA145" i="2" s="1"/>
  <c r="CG150" i="2"/>
  <c r="DE150" i="2" s="1"/>
  <c r="AK150" i="2"/>
  <c r="AJ155" i="2"/>
  <c r="CF155" i="2"/>
  <c r="DD155" i="2" s="1"/>
  <c r="CI146" i="2"/>
  <c r="DG146" i="2" s="1"/>
  <c r="AM146" i="2"/>
  <c r="CK126" i="2"/>
  <c r="DI126" i="2" s="1"/>
  <c r="AO126" i="2"/>
  <c r="AI127" i="2"/>
  <c r="CE127" i="2"/>
  <c r="DC127" i="2" s="1"/>
  <c r="CC124" i="2"/>
  <c r="DA124" i="2" s="1"/>
  <c r="AG124" i="2"/>
  <c r="CK144" i="2"/>
  <c r="DI144" i="2" s="1"/>
  <c r="AO144" i="2"/>
  <c r="CG126" i="2"/>
  <c r="DE126" i="2" s="1"/>
  <c r="AK126" i="2"/>
  <c r="AG128" i="2"/>
  <c r="CC128" i="2"/>
  <c r="DA128" i="2" s="1"/>
  <c r="CI118" i="2"/>
  <c r="DG118" i="2" s="1"/>
  <c r="AM118" i="2"/>
  <c r="AK105" i="2"/>
  <c r="CG105" i="2"/>
  <c r="DE105" i="2" s="1"/>
  <c r="AO115" i="2"/>
  <c r="CK115" i="2"/>
  <c r="DI115" i="2" s="1"/>
  <c r="CE83" i="2"/>
  <c r="DC83" i="2" s="1"/>
  <c r="AI83" i="2"/>
  <c r="CK128" i="2"/>
  <c r="DI128" i="2" s="1"/>
  <c r="AO128" i="2"/>
  <c r="CC99" i="2"/>
  <c r="DA99" i="2" s="1"/>
  <c r="AG99" i="2"/>
  <c r="CJ86" i="2"/>
  <c r="DH86" i="2" s="1"/>
  <c r="AN86" i="2"/>
  <c r="CJ90" i="2"/>
  <c r="DH90" i="2" s="1"/>
  <c r="AN90" i="2"/>
  <c r="CI79" i="2"/>
  <c r="DG79" i="2" s="1"/>
  <c r="AM79" i="2"/>
  <c r="AN88" i="2"/>
  <c r="CJ88" i="2"/>
  <c r="DH88" i="2" s="1"/>
  <c r="CF79" i="2"/>
  <c r="DD79" i="2" s="1"/>
  <c r="AJ79" i="2"/>
  <c r="AO68" i="2"/>
  <c r="CK68" i="2"/>
  <c r="DI68" i="2" s="1"/>
  <c r="AL85" i="2"/>
  <c r="CH85" i="2"/>
  <c r="DF85" i="2" s="1"/>
  <c r="CC72" i="2"/>
  <c r="DA72" i="2" s="1"/>
  <c r="AG72" i="2"/>
  <c r="AH61" i="2"/>
  <c r="CD61" i="2"/>
  <c r="DB61" i="2" s="1"/>
  <c r="CD68" i="2"/>
  <c r="DB68" i="2" s="1"/>
  <c r="AH68" i="2"/>
  <c r="CI50" i="2"/>
  <c r="DG50" i="2" s="1"/>
  <c r="AM50" i="2"/>
  <c r="CG43" i="2"/>
  <c r="DE43" i="2" s="1"/>
  <c r="AK43" i="2"/>
  <c r="CE54" i="2"/>
  <c r="DC54" i="2" s="1"/>
  <c r="AI54" i="2"/>
  <c r="CE65" i="2"/>
  <c r="DC65" i="2" s="1"/>
  <c r="AI65" i="2"/>
  <c r="CG45" i="2"/>
  <c r="DE45" i="2" s="1"/>
  <c r="AK45" i="2"/>
  <c r="CG74" i="2"/>
  <c r="DE74" i="2" s="1"/>
  <c r="AK74" i="2"/>
  <c r="CI51" i="2"/>
  <c r="DG51" i="2" s="1"/>
  <c r="AM51" i="2"/>
  <c r="AH42" i="2"/>
  <c r="CD42" i="2"/>
  <c r="DB42" i="2" s="1"/>
  <c r="AI35" i="2"/>
  <c r="CE35" i="2"/>
  <c r="DC35" i="2" s="1"/>
  <c r="AM27" i="2"/>
  <c r="CI27" i="2"/>
  <c r="DG27" i="2" s="1"/>
  <c r="CC35" i="2"/>
  <c r="DA35" i="2" s="1"/>
  <c r="AG35" i="2"/>
  <c r="CE28" i="2"/>
  <c r="DC28" i="2" s="1"/>
  <c r="AI28" i="2"/>
  <c r="CK62" i="2"/>
  <c r="DI62" i="2" s="1"/>
  <c r="AO62" i="2"/>
  <c r="AJ26" i="2"/>
  <c r="CF26" i="2"/>
  <c r="DD26" i="2" s="1"/>
  <c r="AG15" i="2"/>
  <c r="CC15" i="2"/>
  <c r="DA15" i="2" s="1"/>
  <c r="CJ25" i="2"/>
  <c r="DH25" i="2" s="1"/>
  <c r="AN25" i="2"/>
  <c r="CE20" i="2"/>
  <c r="DC20" i="2" s="1"/>
  <c r="AI20" i="2"/>
  <c r="AN35" i="2"/>
  <c r="CJ35" i="2"/>
  <c r="DH35" i="2" s="1"/>
  <c r="CI22" i="2"/>
  <c r="DG22" i="2" s="1"/>
  <c r="AM22" i="2"/>
  <c r="CK57" i="2"/>
  <c r="DI57" i="2" s="1"/>
  <c r="AO57" i="2"/>
  <c r="AI15" i="2"/>
  <c r="CE15" i="2"/>
  <c r="DC15" i="2" s="1"/>
  <c r="AJ168" i="2"/>
  <c r="CF168" i="2"/>
  <c r="DD168" i="2" s="1"/>
  <c r="AL139" i="2"/>
  <c r="CH139" i="2"/>
  <c r="DF139" i="2" s="1"/>
  <c r="AO109" i="2"/>
  <c r="CK109" i="2"/>
  <c r="DI109" i="2" s="1"/>
  <c r="AM101" i="2"/>
  <c r="CI101" i="2"/>
  <c r="DG101" i="2" s="1"/>
  <c r="AO169" i="2"/>
  <c r="CK169" i="2"/>
  <c r="DI169" i="2" s="1"/>
  <c r="AN162" i="2"/>
  <c r="CJ162" i="2"/>
  <c r="DH162" i="2" s="1"/>
  <c r="AG163" i="2"/>
  <c r="CC163" i="2"/>
  <c r="DA163" i="2" s="1"/>
  <c r="CH144" i="2"/>
  <c r="DF144" i="2" s="1"/>
  <c r="AL144" i="2"/>
  <c r="AL159" i="2"/>
  <c r="CH159" i="2"/>
  <c r="DF159" i="2" s="1"/>
  <c r="AL146" i="2"/>
  <c r="CH146" i="2"/>
  <c r="DF146" i="2" s="1"/>
  <c r="AO145" i="2"/>
  <c r="CK145" i="2"/>
  <c r="DI145" i="2" s="1"/>
  <c r="AK149" i="2"/>
  <c r="CG149" i="2"/>
  <c r="DE149" i="2" s="1"/>
  <c r="CI147" i="2"/>
  <c r="DG147" i="2" s="1"/>
  <c r="AM147" i="2"/>
  <c r="CG123" i="2"/>
  <c r="DE123" i="2" s="1"/>
  <c r="AK123" i="2"/>
  <c r="CC164" i="2"/>
  <c r="DA164" i="2" s="1"/>
  <c r="AG164" i="2"/>
  <c r="AM148" i="2"/>
  <c r="CI148" i="2"/>
  <c r="DG148" i="2" s="1"/>
  <c r="CC142" i="2"/>
  <c r="DA142" i="2" s="1"/>
  <c r="AG142" i="2"/>
  <c r="AK117" i="2"/>
  <c r="CG117" i="2"/>
  <c r="DE117" i="2" s="1"/>
  <c r="AH118" i="2"/>
  <c r="CD118" i="2"/>
  <c r="DB118" i="2" s="1"/>
  <c r="CE126" i="2"/>
  <c r="DC126" i="2" s="1"/>
  <c r="AI126" i="2"/>
  <c r="AM133" i="2"/>
  <c r="CI133" i="2"/>
  <c r="DG133" i="2" s="1"/>
  <c r="AG122" i="2"/>
  <c r="CC122" i="2"/>
  <c r="DA122" i="2" s="1"/>
  <c r="CH121" i="2"/>
  <c r="DF121" i="2" s="1"/>
  <c r="AL121" i="2"/>
  <c r="CJ126" i="2"/>
  <c r="DH126" i="2" s="1"/>
  <c r="AN126" i="2"/>
  <c r="AM104" i="2"/>
  <c r="CI104" i="2"/>
  <c r="DG104" i="2" s="1"/>
  <c r="AM117" i="2"/>
  <c r="CI117" i="2"/>
  <c r="DG117" i="2" s="1"/>
  <c r="AH112" i="2"/>
  <c r="CD112" i="2"/>
  <c r="DB112" i="2" s="1"/>
  <c r="CI114" i="2"/>
  <c r="DG114" i="2" s="1"/>
  <c r="AM114" i="2"/>
  <c r="CE104" i="2"/>
  <c r="DC104" i="2" s="1"/>
  <c r="AI104" i="2"/>
  <c r="AG98" i="2"/>
  <c r="CC98" i="2"/>
  <c r="DA98" i="2" s="1"/>
  <c r="AI94" i="2"/>
  <c r="CE94" i="2"/>
  <c r="DC94" i="2" s="1"/>
  <c r="CK78" i="2"/>
  <c r="DI78" i="2" s="1"/>
  <c r="AO78" i="2"/>
  <c r="CH98" i="2"/>
  <c r="DF98" i="2" s="1"/>
  <c r="AL98" i="2"/>
  <c r="CE80" i="2"/>
  <c r="DC80" i="2" s="1"/>
  <c r="AI80" i="2"/>
  <c r="CE71" i="2"/>
  <c r="DC71" i="2" s="1"/>
  <c r="AI71" i="2"/>
  <c r="AL71" i="2"/>
  <c r="CH71" i="2"/>
  <c r="DF71" i="2" s="1"/>
  <c r="AH89" i="2"/>
  <c r="CD89" i="2"/>
  <c r="DB89" i="2" s="1"/>
  <c r="CK72" i="2"/>
  <c r="DI72" i="2" s="1"/>
  <c r="AO72" i="2"/>
  <c r="CK89" i="2"/>
  <c r="DI89" i="2" s="1"/>
  <c r="AO89" i="2"/>
  <c r="CK73" i="2"/>
  <c r="DI73" i="2" s="1"/>
  <c r="AO73" i="2"/>
  <c r="AG65" i="2"/>
  <c r="CC65" i="2"/>
  <c r="DA65" i="2" s="1"/>
  <c r="CC48" i="2"/>
  <c r="DA48" i="2" s="1"/>
  <c r="AG48" i="2"/>
  <c r="CF42" i="2"/>
  <c r="DD42" i="2" s="1"/>
  <c r="AJ42" i="2"/>
  <c r="AI42" i="2"/>
  <c r="CE42" i="2"/>
  <c r="DC42" i="2" s="1"/>
  <c r="AK34" i="2"/>
  <c r="CG34" i="2"/>
  <c r="DE34" i="2" s="1"/>
  <c r="CK63" i="2"/>
  <c r="DI63" i="2" s="1"/>
  <c r="AO63" i="2"/>
  <c r="CI47" i="2"/>
  <c r="DG47" i="2" s="1"/>
  <c r="AM47" i="2"/>
  <c r="AI25" i="2"/>
  <c r="CE25" i="2"/>
  <c r="DC25" i="2" s="1"/>
  <c r="AL31" i="2"/>
  <c r="CH31" i="2"/>
  <c r="DF31" i="2" s="1"/>
  <c r="CJ24" i="2"/>
  <c r="DH24" i="2" s="1"/>
  <c r="AN24" i="2"/>
  <c r="CF31" i="2"/>
  <c r="DD31" i="2" s="1"/>
  <c r="AJ31" i="2"/>
  <c r="AJ30" i="2"/>
  <c r="CF30" i="2"/>
  <c r="DD30" i="2" s="1"/>
  <c r="CD18" i="2"/>
  <c r="DB18" i="2" s="1"/>
  <c r="AH18" i="2"/>
  <c r="CK49" i="2"/>
  <c r="DI49" i="2" s="1"/>
  <c r="AO49" i="2"/>
  <c r="AN34" i="2"/>
  <c r="CJ34" i="2"/>
  <c r="DH34" i="2" s="1"/>
  <c r="AJ141" i="2"/>
  <c r="CF141" i="2"/>
  <c r="DD141" i="2" s="1"/>
  <c r="AH103" i="2"/>
  <c r="CD103" i="2"/>
  <c r="DB103" i="2" s="1"/>
  <c r="CD162" i="2"/>
  <c r="DB162" i="2" s="1"/>
  <c r="AH162" i="2"/>
  <c r="AH163" i="2"/>
  <c r="CD163" i="2"/>
  <c r="DB163" i="2" s="1"/>
  <c r="CI165" i="2"/>
  <c r="DG165" i="2" s="1"/>
  <c r="AM165" i="2"/>
  <c r="AI165" i="2"/>
  <c r="CE165" i="2"/>
  <c r="DC165" i="2" s="1"/>
  <c r="CG159" i="2"/>
  <c r="DE159" i="2" s="1"/>
  <c r="AK159" i="2"/>
  <c r="CE163" i="2"/>
  <c r="DC163" i="2" s="1"/>
  <c r="AI163" i="2"/>
  <c r="CH158" i="2"/>
  <c r="DF158" i="2" s="1"/>
  <c r="AL158" i="2"/>
  <c r="CH147" i="2"/>
  <c r="DF147" i="2" s="1"/>
  <c r="AL147" i="2"/>
  <c r="AN152" i="2"/>
  <c r="CJ152" i="2"/>
  <c r="DH152" i="2" s="1"/>
  <c r="CJ144" i="2"/>
  <c r="DH144" i="2" s="1"/>
  <c r="AN144" i="2"/>
  <c r="AG148" i="2"/>
  <c r="CC148" i="2"/>
  <c r="DA148" i="2" s="1"/>
  <c r="CH138" i="2"/>
  <c r="DF138" i="2" s="1"/>
  <c r="AL138" i="2"/>
  <c r="AN132" i="2"/>
  <c r="CJ132" i="2"/>
  <c r="DH132" i="2" s="1"/>
  <c r="AI117" i="2"/>
  <c r="CE117" i="2"/>
  <c r="DC117" i="2" s="1"/>
  <c r="CF118" i="2"/>
  <c r="DD118" i="2" s="1"/>
  <c r="AJ118" i="2"/>
  <c r="CI124" i="2"/>
  <c r="DG124" i="2" s="1"/>
  <c r="AM124" i="2"/>
  <c r="CF127" i="2"/>
  <c r="DD127" i="2" s="1"/>
  <c r="AJ127" i="2"/>
  <c r="AO122" i="2"/>
  <c r="CK122" i="2"/>
  <c r="DI122" i="2" s="1"/>
  <c r="AI118" i="2"/>
  <c r="CE118" i="2"/>
  <c r="DC118" i="2" s="1"/>
  <c r="AL119" i="2"/>
  <c r="CH119" i="2"/>
  <c r="DF119" i="2" s="1"/>
  <c r="AO103" i="2"/>
  <c r="CK103" i="2"/>
  <c r="DI103" i="2" s="1"/>
  <c r="AL112" i="2"/>
  <c r="CH112" i="2"/>
  <c r="DF112" i="2" s="1"/>
  <c r="CF99" i="2"/>
  <c r="DD99" i="2" s="1"/>
  <c r="AJ99" i="2"/>
  <c r="AN91" i="2"/>
  <c r="CJ91" i="2"/>
  <c r="DH91" i="2" s="1"/>
  <c r="AI103" i="2"/>
  <c r="CE103" i="2"/>
  <c r="DC103" i="2" s="1"/>
  <c r="CE92" i="2"/>
  <c r="DC92" i="2" s="1"/>
  <c r="AI92" i="2"/>
  <c r="CK127" i="2"/>
  <c r="DI127" i="2" s="1"/>
  <c r="AO127" i="2"/>
  <c r="AM107" i="2"/>
  <c r="CI107" i="2"/>
  <c r="DG107" i="2" s="1"/>
  <c r="AI97" i="2"/>
  <c r="CE97" i="2"/>
  <c r="DC97" i="2" s="1"/>
  <c r="CE95" i="2"/>
  <c r="DC95" i="2" s="1"/>
  <c r="AI95" i="2"/>
  <c r="CH103" i="2"/>
  <c r="DF103" i="2" s="1"/>
  <c r="AL103" i="2"/>
  <c r="AK108" i="2"/>
  <c r="CG108" i="2"/>
  <c r="DE108" i="2" s="1"/>
  <c r="AI66" i="2"/>
  <c r="CE66" i="2"/>
  <c r="DC66" i="2" s="1"/>
  <c r="AH67" i="2"/>
  <c r="CD67" i="2"/>
  <c r="DB67" i="2" s="1"/>
  <c r="CG69" i="2"/>
  <c r="DE69" i="2" s="1"/>
  <c r="AK69" i="2"/>
  <c r="CD86" i="2"/>
  <c r="DB86" i="2" s="1"/>
  <c r="AH86" i="2"/>
  <c r="AJ60" i="2"/>
  <c r="CF60" i="2"/>
  <c r="DD60" i="2" s="1"/>
  <c r="CG64" i="2"/>
  <c r="DE64" i="2" s="1"/>
  <c r="AK64" i="2"/>
  <c r="AM56" i="2"/>
  <c r="CI56" i="2"/>
  <c r="DG56" i="2" s="1"/>
  <c r="CG42" i="2"/>
  <c r="DE42" i="2" s="1"/>
  <c r="AK42" i="2"/>
  <c r="AK50" i="2"/>
  <c r="CG50" i="2"/>
  <c r="DE50" i="2" s="1"/>
  <c r="AK67" i="2"/>
  <c r="CG67" i="2"/>
  <c r="DE67" i="2" s="1"/>
  <c r="CC60" i="2"/>
  <c r="DA60" i="2" s="1"/>
  <c r="AG60" i="2"/>
  <c r="AG42" i="2"/>
  <c r="CC42" i="2"/>
  <c r="DA42" i="2" s="1"/>
  <c r="AI41" i="2"/>
  <c r="CE41" i="2"/>
  <c r="DC41" i="2" s="1"/>
  <c r="AM33" i="2"/>
  <c r="CI33" i="2"/>
  <c r="DG33" i="2" s="1"/>
  <c r="CE40" i="2"/>
  <c r="DC40" i="2" s="1"/>
  <c r="AI40" i="2"/>
  <c r="CE34" i="2"/>
  <c r="DC34" i="2" s="1"/>
  <c r="AI34" i="2"/>
  <c r="CG27" i="2"/>
  <c r="DE27" i="2" s="1"/>
  <c r="AK27" i="2"/>
  <c r="AM24" i="2"/>
  <c r="CI24" i="2"/>
  <c r="DG24" i="2" s="1"/>
  <c r="AN43" i="2"/>
  <c r="CJ43" i="2"/>
  <c r="DH43" i="2" s="1"/>
  <c r="AI14" i="2"/>
  <c r="CE14" i="2"/>
  <c r="DC14" i="2" s="1"/>
  <c r="AH17" i="2"/>
  <c r="CD17" i="2"/>
  <c r="DB17" i="2" s="1"/>
  <c r="CH38" i="2"/>
  <c r="DF38" i="2" s="1"/>
  <c r="AL38" i="2"/>
  <c r="CD28" i="2"/>
  <c r="DB28" i="2" s="1"/>
  <c r="AH28" i="2"/>
  <c r="AG12" i="2"/>
  <c r="CC12" i="2"/>
  <c r="DA12" i="2" s="1"/>
  <c r="CD40" i="2"/>
  <c r="DB40" i="2" s="1"/>
  <c r="AH40" i="2"/>
  <c r="AN169" i="2"/>
  <c r="CJ169" i="2"/>
  <c r="DH169" i="2" s="1"/>
  <c r="CE151" i="2"/>
  <c r="DC151" i="2" s="1"/>
  <c r="AI151" i="2"/>
  <c r="CH145" i="2"/>
  <c r="DF145" i="2" s="1"/>
  <c r="AL145" i="2"/>
  <c r="CC161" i="2"/>
  <c r="DA161" i="2" s="1"/>
  <c r="AG161" i="2"/>
  <c r="CI164" i="2"/>
  <c r="DG164" i="2" s="1"/>
  <c r="AM164" i="2"/>
  <c r="AM154" i="2"/>
  <c r="CI154" i="2"/>
  <c r="DG154" i="2" s="1"/>
  <c r="CC170" i="2"/>
  <c r="DA170" i="2" s="1"/>
  <c r="AG170" i="2"/>
  <c r="CF157" i="2"/>
  <c r="DD157" i="2" s="1"/>
  <c r="AJ157" i="2"/>
  <c r="AH144" i="2"/>
  <c r="CD144" i="2"/>
  <c r="DB144" i="2" s="1"/>
  <c r="CF162" i="2"/>
  <c r="DD162" i="2" s="1"/>
  <c r="AJ162" i="2"/>
  <c r="CJ151" i="2"/>
  <c r="DH151" i="2" s="1"/>
  <c r="AN151" i="2"/>
  <c r="CF134" i="2"/>
  <c r="DD134" i="2" s="1"/>
  <c r="AJ134" i="2"/>
  <c r="CG139" i="2"/>
  <c r="DE139" i="2" s="1"/>
  <c r="AK139" i="2"/>
  <c r="CC165" i="2"/>
  <c r="DA165" i="2" s="1"/>
  <c r="AG165" i="2"/>
  <c r="AN143" i="2"/>
  <c r="CJ143" i="2"/>
  <c r="DH143" i="2" s="1"/>
  <c r="AG141" i="2"/>
  <c r="CC141" i="2"/>
  <c r="DA141" i="2" s="1"/>
  <c r="CF133" i="2"/>
  <c r="DD133" i="2" s="1"/>
  <c r="AJ133" i="2"/>
  <c r="AJ117" i="2"/>
  <c r="CF117" i="2"/>
  <c r="DD117" i="2" s="1"/>
  <c r="CF120" i="2"/>
  <c r="DD120" i="2" s="1"/>
  <c r="AJ120" i="2"/>
  <c r="AN115" i="2"/>
  <c r="CJ115" i="2"/>
  <c r="DH115" i="2" s="1"/>
  <c r="AG120" i="2"/>
  <c r="CC120" i="2"/>
  <c r="DA120" i="2" s="1"/>
  <c r="CG115" i="2"/>
  <c r="DE115" i="2" s="1"/>
  <c r="AK115" i="2"/>
  <c r="AG101" i="2"/>
  <c r="CC101" i="2"/>
  <c r="DA101" i="2" s="1"/>
  <c r="AK111" i="2"/>
  <c r="CG111" i="2"/>
  <c r="DE111" i="2" s="1"/>
  <c r="CF98" i="2"/>
  <c r="DD98" i="2" s="1"/>
  <c r="AJ98" i="2"/>
  <c r="CD90" i="2"/>
  <c r="DB90" i="2" s="1"/>
  <c r="AH90" i="2"/>
  <c r="CF103" i="2"/>
  <c r="DD103" i="2" s="1"/>
  <c r="AJ103" i="2"/>
  <c r="AH100" i="2"/>
  <c r="CD100" i="2"/>
  <c r="DB100" i="2" s="1"/>
  <c r="AL91" i="2"/>
  <c r="CH91" i="2"/>
  <c r="DF91" i="2" s="1"/>
  <c r="AK96" i="2"/>
  <c r="CG96" i="2"/>
  <c r="DE96" i="2" s="1"/>
  <c r="AJ111" i="2"/>
  <c r="CF111" i="2"/>
  <c r="DD111" i="2" s="1"/>
  <c r="AH111" i="2"/>
  <c r="CD111" i="2"/>
  <c r="DB111" i="2" s="1"/>
  <c r="AO94" i="2"/>
  <c r="CK94" i="2"/>
  <c r="DI94" i="2" s="1"/>
  <c r="AI76" i="2"/>
  <c r="CE76" i="2"/>
  <c r="DC76" i="2" s="1"/>
  <c r="AK66" i="2"/>
  <c r="CG66" i="2"/>
  <c r="DE66" i="2" s="1"/>
  <c r="CI78" i="2"/>
  <c r="DG78" i="2" s="1"/>
  <c r="AM78" i="2"/>
  <c r="AJ66" i="2"/>
  <c r="CF66" i="2"/>
  <c r="DD66" i="2" s="1"/>
  <c r="CI69" i="2"/>
  <c r="DG69" i="2" s="1"/>
  <c r="AM69" i="2"/>
  <c r="CC75" i="2"/>
  <c r="DA75" i="2" s="1"/>
  <c r="AG75" i="2"/>
  <c r="AL59" i="2"/>
  <c r="CH59" i="2"/>
  <c r="DF59" i="2" s="1"/>
  <c r="AO88" i="2"/>
  <c r="CK88" i="2"/>
  <c r="DI88" i="2" s="1"/>
  <c r="AI64" i="2"/>
  <c r="CE64" i="2"/>
  <c r="DC64" i="2" s="1"/>
  <c r="CG65" i="2"/>
  <c r="DE65" i="2" s="1"/>
  <c r="AK65" i="2"/>
  <c r="CC61" i="2"/>
  <c r="DA61" i="2" s="1"/>
  <c r="AG61" i="2"/>
  <c r="AI49" i="2"/>
  <c r="CE49" i="2"/>
  <c r="DC49" i="2" s="1"/>
  <c r="AK40" i="2"/>
  <c r="CG40" i="2"/>
  <c r="DE40" i="2" s="1"/>
  <c r="AO26" i="2"/>
  <c r="CK26" i="2"/>
  <c r="DI26" i="2" s="1"/>
  <c r="CI26" i="2"/>
  <c r="DG26" i="2" s="1"/>
  <c r="AM26" i="2"/>
  <c r="AK57" i="2"/>
  <c r="CG57" i="2"/>
  <c r="DE57" i="2" s="1"/>
  <c r="CI23" i="2"/>
  <c r="DG23" i="2" s="1"/>
  <c r="AM23" i="2"/>
  <c r="CG23" i="2"/>
  <c r="DE23" i="2" s="1"/>
  <c r="AK23" i="2"/>
  <c r="CJ44" i="2"/>
  <c r="DH44" i="2" s="1"/>
  <c r="AN44" i="2"/>
  <c r="AI13" i="2"/>
  <c r="CE13" i="2"/>
  <c r="DC13" i="2" s="1"/>
  <c r="AH48" i="2"/>
  <c r="CD48" i="2"/>
  <c r="DB48" i="2" s="1"/>
  <c r="CK71" i="2"/>
  <c r="DI71" i="2" s="1"/>
  <c r="AO71" i="2"/>
  <c r="CD167" i="2"/>
  <c r="DB167" i="2" s="1"/>
  <c r="AH167" i="2"/>
  <c r="AH150" i="2"/>
  <c r="CD150" i="2"/>
  <c r="DB150" i="2" s="1"/>
  <c r="CK125" i="2"/>
  <c r="DI125" i="2" s="1"/>
  <c r="AO125" i="2"/>
  <c r="CF169" i="2"/>
  <c r="DD169" i="2" s="1"/>
  <c r="AJ169" i="2"/>
  <c r="AN157" i="2"/>
  <c r="CJ157" i="2"/>
  <c r="DH157" i="2" s="1"/>
  <c r="AL161" i="2"/>
  <c r="CH161" i="2"/>
  <c r="DF161" i="2" s="1"/>
  <c r="AH159" i="2"/>
  <c r="CD159" i="2"/>
  <c r="DB159" i="2" s="1"/>
  <c r="CC169" i="2"/>
  <c r="DA169" i="2" s="1"/>
  <c r="AG169" i="2"/>
  <c r="AO159" i="2"/>
  <c r="CK159" i="2"/>
  <c r="DI159" i="2" s="1"/>
  <c r="AL151" i="2"/>
  <c r="CH151" i="2"/>
  <c r="DF151" i="2" s="1"/>
  <c r="CF163" i="2"/>
  <c r="DD163" i="2" s="1"/>
  <c r="AJ163" i="2"/>
  <c r="CE142" i="2"/>
  <c r="DC142" i="2" s="1"/>
  <c r="AI142" i="2"/>
  <c r="CE148" i="2"/>
  <c r="DC148" i="2" s="1"/>
  <c r="AI148" i="2"/>
  <c r="CE123" i="2"/>
  <c r="DC123" i="2" s="1"/>
  <c r="AI123" i="2"/>
  <c r="AJ132" i="2"/>
  <c r="CF132" i="2"/>
  <c r="DD132" i="2" s="1"/>
  <c r="AK116" i="2"/>
  <c r="CG116" i="2"/>
  <c r="DE116" i="2" s="1"/>
  <c r="CF125" i="2"/>
  <c r="DD125" i="2" s="1"/>
  <c r="AJ125" i="2"/>
  <c r="CD120" i="2"/>
  <c r="DB120" i="2" s="1"/>
  <c r="AH120" i="2"/>
  <c r="AL129" i="2"/>
  <c r="CH129" i="2"/>
  <c r="DF129" i="2" s="1"/>
  <c r="CK117" i="2"/>
  <c r="DI117" i="2" s="1"/>
  <c r="AO117" i="2"/>
  <c r="AN117" i="2"/>
  <c r="CJ117" i="2"/>
  <c r="DH117" i="2" s="1"/>
  <c r="AO119" i="2"/>
  <c r="CK119" i="2"/>
  <c r="DI119" i="2" s="1"/>
  <c r="CE116" i="2"/>
  <c r="DC116" i="2" s="1"/>
  <c r="AI116" i="2"/>
  <c r="AI100" i="2"/>
  <c r="CE100" i="2"/>
  <c r="DC100" i="2" s="1"/>
  <c r="AI111" i="2"/>
  <c r="CE111" i="2"/>
  <c r="DC111" i="2" s="1"/>
  <c r="CF105" i="2"/>
  <c r="DD105" i="2" s="1"/>
  <c r="AJ105" i="2"/>
  <c r="CF109" i="2"/>
  <c r="DD109" i="2" s="1"/>
  <c r="AJ109" i="2"/>
  <c r="AK87" i="2"/>
  <c r="CG87" i="2"/>
  <c r="DE87" i="2" s="1"/>
  <c r="AL115" i="2"/>
  <c r="CH115" i="2"/>
  <c r="DF115" i="2" s="1"/>
  <c r="AH99" i="2"/>
  <c r="CD99" i="2"/>
  <c r="DB99" i="2" s="1"/>
  <c r="AM95" i="2"/>
  <c r="CI95" i="2"/>
  <c r="DG95" i="2" s="1"/>
  <c r="CJ109" i="2"/>
  <c r="DH109" i="2" s="1"/>
  <c r="AN109" i="2"/>
  <c r="CD94" i="2"/>
  <c r="DB94" i="2" s="1"/>
  <c r="AH94" i="2"/>
  <c r="AO87" i="2"/>
  <c r="CK87" i="2"/>
  <c r="DI87" i="2" s="1"/>
  <c r="CH102" i="2"/>
  <c r="DF102" i="2" s="1"/>
  <c r="AL102" i="2"/>
  <c r="CE112" i="2"/>
  <c r="DC112" i="2" s="1"/>
  <c r="AI112" i="2"/>
  <c r="CH97" i="2"/>
  <c r="DF97" i="2" s="1"/>
  <c r="AL97" i="2"/>
  <c r="AO100" i="2"/>
  <c r="CK100" i="2"/>
  <c r="DI100" i="2" s="1"/>
  <c r="AG66" i="2"/>
  <c r="CC66" i="2"/>
  <c r="DA66" i="2" s="1"/>
  <c r="CI68" i="2"/>
  <c r="DG68" i="2" s="1"/>
  <c r="AM68" i="2"/>
  <c r="AM65" i="2"/>
  <c r="CI65" i="2"/>
  <c r="DG65" i="2" s="1"/>
  <c r="AL69" i="2"/>
  <c r="CH69" i="2"/>
  <c r="DF69" i="2" s="1"/>
  <c r="AM66" i="2"/>
  <c r="CI66" i="2"/>
  <c r="DG66" i="2" s="1"/>
  <c r="CG68" i="2"/>
  <c r="DE68" i="2" s="1"/>
  <c r="AK68" i="2"/>
  <c r="AM39" i="2"/>
  <c r="CI39" i="2"/>
  <c r="DG39" i="2" s="1"/>
  <c r="CE59" i="2"/>
  <c r="DC59" i="2" s="1"/>
  <c r="AI59" i="2"/>
  <c r="CG39" i="2"/>
  <c r="DE39" i="2" s="1"/>
  <c r="AK39" i="2"/>
  <c r="CG33" i="2"/>
  <c r="DE33" i="2" s="1"/>
  <c r="AK33" i="2"/>
  <c r="CJ31" i="2"/>
  <c r="DH31" i="2" s="1"/>
  <c r="AN31" i="2"/>
  <c r="CH30" i="2"/>
  <c r="DF30" i="2" s="1"/>
  <c r="AL30" i="2"/>
  <c r="AH31" i="2"/>
  <c r="CD31" i="2"/>
  <c r="DB31" i="2" s="1"/>
  <c r="CD49" i="2"/>
  <c r="DB49" i="2" s="1"/>
  <c r="AH49" i="2"/>
  <c r="AL37" i="2"/>
  <c r="CH37" i="2"/>
  <c r="DF37" i="2" s="1"/>
  <c r="AL29" i="2"/>
  <c r="CH29" i="2"/>
  <c r="DF29" i="2" s="1"/>
  <c r="AH27" i="2"/>
  <c r="CD27" i="2"/>
  <c r="DB27" i="2" s="1"/>
  <c r="AH39" i="2"/>
  <c r="CD39" i="2"/>
  <c r="DB39" i="2" s="1"/>
  <c r="AG147" i="2"/>
  <c r="CC147" i="2"/>
  <c r="DA147" i="2" s="1"/>
  <c r="AI119" i="2"/>
  <c r="CE119" i="2"/>
  <c r="DC119" i="2" s="1"/>
  <c r="AL157" i="2"/>
  <c r="CH157" i="2"/>
  <c r="DF157" i="2" s="1"/>
  <c r="AN150" i="2"/>
  <c r="CJ150" i="2"/>
  <c r="DH150" i="2" s="1"/>
  <c r="CJ170" i="2"/>
  <c r="DH170" i="2" s="1"/>
  <c r="AN170" i="2"/>
  <c r="AO162" i="2"/>
  <c r="CK162" i="2"/>
  <c r="DI162" i="2" s="1"/>
  <c r="CG168" i="2"/>
  <c r="DE168" i="2" s="1"/>
  <c r="AK168" i="2"/>
  <c r="AL167" i="2"/>
  <c r="CH167" i="2"/>
  <c r="DF167" i="2" s="1"/>
  <c r="AM159" i="2"/>
  <c r="CI159" i="2"/>
  <c r="DG159" i="2" s="1"/>
  <c r="AH153" i="2"/>
  <c r="CD153" i="2"/>
  <c r="DB153" i="2" s="1"/>
  <c r="AI143" i="2"/>
  <c r="CE143" i="2"/>
  <c r="DC143" i="2" s="1"/>
  <c r="CJ138" i="2"/>
  <c r="DH138" i="2" s="1"/>
  <c r="AN138" i="2"/>
  <c r="AG144" i="2"/>
  <c r="CC144" i="2"/>
  <c r="DA144" i="2" s="1"/>
  <c r="CK133" i="2"/>
  <c r="DI133" i="2" s="1"/>
  <c r="AO133" i="2"/>
  <c r="AL122" i="2"/>
  <c r="CH122" i="2"/>
  <c r="DF122" i="2" s="1"/>
  <c r="CH125" i="2"/>
  <c r="DF125" i="2" s="1"/>
  <c r="AL125" i="2"/>
  <c r="CG138" i="2"/>
  <c r="DE138" i="2" s="1"/>
  <c r="AK138" i="2"/>
  <c r="CC118" i="2"/>
  <c r="DA118" i="2" s="1"/>
  <c r="AG118" i="2"/>
  <c r="CI141" i="2"/>
  <c r="DG141" i="2" s="1"/>
  <c r="AM141" i="2"/>
  <c r="CH117" i="2"/>
  <c r="DF117" i="2" s="1"/>
  <c r="AL117" i="2"/>
  <c r="AI131" i="2"/>
  <c r="CE131" i="2"/>
  <c r="DC131" i="2" s="1"/>
  <c r="AO118" i="2"/>
  <c r="CK118" i="2"/>
  <c r="DI118" i="2" s="1"/>
  <c r="AI115" i="2"/>
  <c r="CE115" i="2"/>
  <c r="DC115" i="2" s="1"/>
  <c r="AK99" i="2"/>
  <c r="CG99" i="2"/>
  <c r="DE99" i="2" s="1"/>
  <c r="AL107" i="2"/>
  <c r="CH107" i="2"/>
  <c r="DF107" i="2" s="1"/>
  <c r="CF104" i="2"/>
  <c r="DD104" i="2" s="1"/>
  <c r="AJ104" i="2"/>
  <c r="CD87" i="2"/>
  <c r="DB87" i="2" s="1"/>
  <c r="AH87" i="2"/>
  <c r="CC90" i="2"/>
  <c r="DA90" i="2" s="1"/>
  <c r="AG90" i="2"/>
  <c r="AK114" i="2"/>
  <c r="CG114" i="2"/>
  <c r="DE114" i="2" s="1"/>
  <c r="CC115" i="2"/>
  <c r="DA115" i="2" s="1"/>
  <c r="AG115" i="2"/>
  <c r="CC105" i="2"/>
  <c r="DA105" i="2" s="1"/>
  <c r="AG105" i="2"/>
  <c r="AG95" i="2"/>
  <c r="CC95" i="2"/>
  <c r="DA95" i="2" s="1"/>
  <c r="AK93" i="2"/>
  <c r="CG93" i="2"/>
  <c r="DE93" i="2" s="1"/>
  <c r="AI91" i="2"/>
  <c r="CE91" i="2"/>
  <c r="DC91" i="2" s="1"/>
  <c r="AO85" i="2"/>
  <c r="CK85" i="2"/>
  <c r="DI85" i="2" s="1"/>
  <c r="CD93" i="2"/>
  <c r="DB93" i="2" s="1"/>
  <c r="AH93" i="2"/>
  <c r="AI113" i="2"/>
  <c r="CE113" i="2"/>
  <c r="DC113" i="2" s="1"/>
  <c r="AK75" i="2"/>
  <c r="CG75" i="2"/>
  <c r="DE75" i="2" s="1"/>
  <c r="CK101" i="2"/>
  <c r="DI101" i="2" s="1"/>
  <c r="AO101" i="2"/>
  <c r="CC76" i="2"/>
  <c r="DA76" i="2" s="1"/>
  <c r="AG76" i="2"/>
  <c r="AN58" i="2"/>
  <c r="CJ58" i="2"/>
  <c r="DH58" i="2" s="1"/>
  <c r="CC81" i="2"/>
  <c r="DA81" i="2" s="1"/>
  <c r="AG81" i="2"/>
  <c r="CI72" i="2"/>
  <c r="DG72" i="2" s="1"/>
  <c r="AM72" i="2"/>
  <c r="AG70" i="2"/>
  <c r="CC70" i="2"/>
  <c r="DA70" i="2" s="1"/>
  <c r="AK63" i="2"/>
  <c r="CG63" i="2"/>
  <c r="DE63" i="2" s="1"/>
  <c r="AM43" i="2"/>
  <c r="CI43" i="2"/>
  <c r="DG43" i="2" s="1"/>
  <c r="AJ54" i="2"/>
  <c r="CF54" i="2"/>
  <c r="DD54" i="2" s="1"/>
  <c r="CH47" i="2"/>
  <c r="DF47" i="2" s="1"/>
  <c r="AL47" i="2"/>
  <c r="CC83" i="2"/>
  <c r="DA83" i="2" s="1"/>
  <c r="AG83" i="2"/>
  <c r="AO32" i="2"/>
  <c r="CK32" i="2"/>
  <c r="DI32" i="2" s="1"/>
  <c r="CI21" i="2"/>
  <c r="DG21" i="2" s="1"/>
  <c r="AM21" i="2"/>
  <c r="CE60" i="2"/>
  <c r="DC60" i="2" s="1"/>
  <c r="AI60" i="2"/>
  <c r="CI38" i="2"/>
  <c r="DG38" i="2" s="1"/>
  <c r="AM38" i="2"/>
  <c r="CI32" i="2"/>
  <c r="DG32" i="2" s="1"/>
  <c r="AM32" i="2"/>
  <c r="CE23" i="2"/>
  <c r="DC23" i="2" s="1"/>
  <c r="AI23" i="2"/>
  <c r="CF33" i="2"/>
  <c r="DD33" i="2" s="1"/>
  <c r="AJ33" i="2"/>
  <c r="CG22" i="2"/>
  <c r="DE22" i="2" s="1"/>
  <c r="AK22" i="2"/>
  <c r="CH26" i="2"/>
  <c r="DF26" i="2" s="1"/>
  <c r="AL26" i="2"/>
  <c r="AL36" i="2"/>
  <c r="CH36" i="2"/>
  <c r="DF36" i="2" s="1"/>
  <c r="CF39" i="2"/>
  <c r="DD39" i="2" s="1"/>
  <c r="AJ39" i="2"/>
  <c r="AN28" i="2"/>
  <c r="CJ28" i="2"/>
  <c r="DH28" i="2" s="1"/>
</calcChain>
</file>

<file path=xl/sharedStrings.xml><?xml version="1.0" encoding="utf-8"?>
<sst xmlns="http://schemas.openxmlformats.org/spreadsheetml/2006/main" count="5168" uniqueCount="189">
  <si>
    <t>TimeStamp</t>
  </si>
  <si>
    <t>symbol</t>
  </si>
  <si>
    <t>timeframe</t>
  </si>
  <si>
    <t>close</t>
  </si>
  <si>
    <t>Type</t>
  </si>
  <si>
    <t>CurrentPoint</t>
  </si>
  <si>
    <t>PreviousPoint</t>
  </si>
  <si>
    <t>TwoPreviousPoint</t>
  </si>
  <si>
    <t>ThreePreviousPoint</t>
  </si>
  <si>
    <t>FourPreviousPoint</t>
  </si>
  <si>
    <t>FivePreviousPoint</t>
  </si>
  <si>
    <t>PriceChange</t>
  </si>
  <si>
    <t>PercentChange</t>
  </si>
  <si>
    <t>PercentChangeClassification</t>
  </si>
  <si>
    <t>Bars</t>
  </si>
  <si>
    <t>Category</t>
  </si>
  <si>
    <t>XAUUSD</t>
  </si>
  <si>
    <t>M15</t>
  </si>
  <si>
    <t>Bottom</t>
  </si>
  <si>
    <t>LL</t>
  </si>
  <si>
    <t>Peak</t>
  </si>
  <si>
    <t>LH</t>
  </si>
  <si>
    <t>HL</t>
  </si>
  <si>
    <t>HH</t>
  </si>
  <si>
    <t>2PrevPoint</t>
  </si>
  <si>
    <t>4PrevPoint</t>
  </si>
  <si>
    <t>6PrevPoint</t>
  </si>
  <si>
    <t>8PrevPoint</t>
  </si>
  <si>
    <t>10PrevPoint</t>
  </si>
  <si>
    <t>12PrevPoint</t>
  </si>
  <si>
    <t>14PrevPoint</t>
  </si>
  <si>
    <t>16PrevPoint</t>
  </si>
  <si>
    <t>18PrevPoint</t>
  </si>
  <si>
    <t>20PrevPoint</t>
  </si>
  <si>
    <t>22PrevPoint</t>
  </si>
  <si>
    <t>CurrentPrChg</t>
  </si>
  <si>
    <t>2PrevPrChg</t>
  </si>
  <si>
    <t>4PrevPrChg</t>
  </si>
  <si>
    <t>6PrevPrChg</t>
  </si>
  <si>
    <t>8PrevPrChg</t>
  </si>
  <si>
    <t>10PrevPrChg</t>
  </si>
  <si>
    <t>12PrevPrChg</t>
  </si>
  <si>
    <t>14PrevPrChg</t>
  </si>
  <si>
    <t>16PrevPrChg</t>
  </si>
  <si>
    <t>18PrevPrChg</t>
  </si>
  <si>
    <t>20PrevPrChg</t>
  </si>
  <si>
    <t>22PrevPrChg</t>
  </si>
  <si>
    <t>Current%Chg</t>
  </si>
  <si>
    <t>2Prev%Chg</t>
  </si>
  <si>
    <t>4Prev%Chg</t>
  </si>
  <si>
    <t>6Prev%Chg</t>
  </si>
  <si>
    <t>8Prev%Chg</t>
  </si>
  <si>
    <t>10Prev%Chg</t>
  </si>
  <si>
    <t>12Prev%Chg</t>
  </si>
  <si>
    <t>14Prev%Chg</t>
  </si>
  <si>
    <t>16Prev%Chg</t>
  </si>
  <si>
    <t>18Prev%Chg</t>
  </si>
  <si>
    <t>20Prev%Chg</t>
  </si>
  <si>
    <t>22Prev%Chg</t>
  </si>
  <si>
    <t>Current%ChgClass</t>
  </si>
  <si>
    <t>2Prev%ChgClass</t>
  </si>
  <si>
    <t>4Prev%ChgClass</t>
  </si>
  <si>
    <t>6Prev%ChgClass</t>
  </si>
  <si>
    <t>8Prev%ChgClass</t>
  </si>
  <si>
    <t>10Prev%ChgClass</t>
  </si>
  <si>
    <t>12Prev%ChgClass</t>
  </si>
  <si>
    <t>14Prev%ChgClass</t>
  </si>
  <si>
    <t>16Prev%ChgClass</t>
  </si>
  <si>
    <t>18Prev%ChgClass</t>
  </si>
  <si>
    <t>20Prev%ChgClass</t>
  </si>
  <si>
    <t>22Prev%ChgClass</t>
  </si>
  <si>
    <t>CurrentBars</t>
  </si>
  <si>
    <t>2PrevBars</t>
  </si>
  <si>
    <t>4PrevBars</t>
  </si>
  <si>
    <t>6PrevBars</t>
  </si>
  <si>
    <t>8PrevBars</t>
  </si>
  <si>
    <t>10PrevBars</t>
  </si>
  <si>
    <t>12PrevBars</t>
  </si>
  <si>
    <t>14PrevBars</t>
  </si>
  <si>
    <t>16PrevBars</t>
  </si>
  <si>
    <t>18PrevBars</t>
  </si>
  <si>
    <t>20PrevBars</t>
  </si>
  <si>
    <t>22PrevBars</t>
  </si>
  <si>
    <t>CurrentBarsClass</t>
  </si>
  <si>
    <t>2PrevBarsClass</t>
  </si>
  <si>
    <t>4PrevBarsClass</t>
  </si>
  <si>
    <t>6PrevBarsClass</t>
  </si>
  <si>
    <t>8PrevBarsClass</t>
  </si>
  <si>
    <t>10PrevBarsClass</t>
  </si>
  <si>
    <t>12PrevBarsClass</t>
  </si>
  <si>
    <t>14PrevBarsClass</t>
  </si>
  <si>
    <t>16PrevBarsClass</t>
  </si>
  <si>
    <t>18PrevBarsClass</t>
  </si>
  <si>
    <t>20PrevBarsClass</t>
  </si>
  <si>
    <t>22PrevBarsClass</t>
  </si>
  <si>
    <t>CurrentPrPerBar</t>
  </si>
  <si>
    <t>2PrevPrPerBar</t>
  </si>
  <si>
    <t>4PrevPrPerBar</t>
  </si>
  <si>
    <t>6PrevPrPerBar</t>
  </si>
  <si>
    <t>8PrevPrPerBar</t>
  </si>
  <si>
    <t>10PrevPrPerBar</t>
  </si>
  <si>
    <t>12PrevPrPerBar</t>
  </si>
  <si>
    <t>14PrevPrPerBar</t>
  </si>
  <si>
    <t>16PrevPrPerBar</t>
  </si>
  <si>
    <t>18PrevPrPerBar</t>
  </si>
  <si>
    <t>20PrevPrPerBar</t>
  </si>
  <si>
    <t>22PrevPrPerBar</t>
  </si>
  <si>
    <t>CurrentPrPerBarClass</t>
  </si>
  <si>
    <t>2PrevPrPerBarClass</t>
  </si>
  <si>
    <t>4PrevPrPerBarClass</t>
  </si>
  <si>
    <t>6PrevPrPerBarClass</t>
  </si>
  <si>
    <t>8PrevPrPerBarClass</t>
  </si>
  <si>
    <t>10PrevPrPerBarClass</t>
  </si>
  <si>
    <t>12PrevPrPerBarClass</t>
  </si>
  <si>
    <t>14PrevPrPerBarClass</t>
  </si>
  <si>
    <t>16PrevPrPerBarClass</t>
  </si>
  <si>
    <t>18PrevPrPerBarClass</t>
  </si>
  <si>
    <t>20PrevPrPerBarClass</t>
  </si>
  <si>
    <t>22PrevPrPerBarClass</t>
  </si>
  <si>
    <t>CurrentSlope</t>
  </si>
  <si>
    <t>2PrevSlope</t>
  </si>
  <si>
    <t>4PrevSlope</t>
  </si>
  <si>
    <t>6PrevSlope</t>
  </si>
  <si>
    <t>8PrevSlope</t>
  </si>
  <si>
    <t>10PrevSlope</t>
  </si>
  <si>
    <t>12PrevSlope</t>
  </si>
  <si>
    <t>14PrevSlope</t>
  </si>
  <si>
    <t>16PrevSlope</t>
  </si>
  <si>
    <t>18PrevSlope</t>
  </si>
  <si>
    <t>20PrevSlope</t>
  </si>
  <si>
    <t>22PrevSlope</t>
  </si>
  <si>
    <t>CurrentCategory</t>
  </si>
  <si>
    <t>2PrevCategory</t>
  </si>
  <si>
    <t>4PrevCategory</t>
  </si>
  <si>
    <t>6PrevCategory</t>
  </si>
  <si>
    <t>8PrevCategory</t>
  </si>
  <si>
    <t>10PrevCategory</t>
  </si>
  <si>
    <t>12PrevCategory</t>
  </si>
  <si>
    <t>14PrevCategory</t>
  </si>
  <si>
    <t>16PrevCategory</t>
  </si>
  <si>
    <t>18PrevCategory</t>
  </si>
  <si>
    <t>20PrevCategory</t>
  </si>
  <si>
    <t>22PrevCategory</t>
  </si>
  <si>
    <t>2Prev%Diff</t>
  </si>
  <si>
    <t>4Prev%Diff</t>
  </si>
  <si>
    <t>6Prev%Diff</t>
  </si>
  <si>
    <t>8Prev%Diff</t>
  </si>
  <si>
    <t>10Prev%Diff</t>
  </si>
  <si>
    <t>12Prev%Diff</t>
  </si>
  <si>
    <t>14Prev%Diff</t>
  </si>
  <si>
    <t>16Prev%Diff</t>
  </si>
  <si>
    <t>18Prev%Diff</t>
  </si>
  <si>
    <t>20Prev%Diff</t>
  </si>
  <si>
    <t>22Prev%Diff</t>
  </si>
  <si>
    <t>2PrevEQHL</t>
  </si>
  <si>
    <t>4PrevEQHL</t>
  </si>
  <si>
    <t>6PrevEQHL</t>
  </si>
  <si>
    <t>8PrevEQHL</t>
  </si>
  <si>
    <t>10PrevEQHL</t>
  </si>
  <si>
    <t>12PrevEQHL</t>
  </si>
  <si>
    <t>14PrevEQHL</t>
  </si>
  <si>
    <t>16PrevEQHL</t>
  </si>
  <si>
    <t>18PrevEQHL</t>
  </si>
  <si>
    <t>20PrevEQHL</t>
  </si>
  <si>
    <t>22PrevEQHL</t>
  </si>
  <si>
    <t>2PrevImpEQHL</t>
  </si>
  <si>
    <t>4PrevImpEQHL</t>
  </si>
  <si>
    <t>6PrevImpEQHL</t>
  </si>
  <si>
    <t>8PrevImpEQHL</t>
  </si>
  <si>
    <t>10PrevImpEQHL</t>
  </si>
  <si>
    <t>12PrevImpEQHL</t>
  </si>
  <si>
    <t>14PrevImpEQHL</t>
  </si>
  <si>
    <t>16PrevImpEQHL</t>
  </si>
  <si>
    <t>18PrevImpEQHL</t>
  </si>
  <si>
    <t>20PrevImpEQHL</t>
  </si>
  <si>
    <t>22PrevImpEQHL</t>
  </si>
  <si>
    <t>2PrevS&amp;R</t>
  </si>
  <si>
    <t>4PrevS&amp;R</t>
  </si>
  <si>
    <t>6PrevS&amp;R</t>
  </si>
  <si>
    <t>8PrevS&amp;R</t>
  </si>
  <si>
    <t>10PrevS&amp;R</t>
  </si>
  <si>
    <t>12PrevS&amp;R</t>
  </si>
  <si>
    <t>14PrevS&amp;R</t>
  </si>
  <si>
    <t>16PrevS&amp;R</t>
  </si>
  <si>
    <t>18PrevS&amp;R</t>
  </si>
  <si>
    <t>20PrevS&amp;R</t>
  </si>
  <si>
    <t>22PrevS&amp;R</t>
  </si>
  <si>
    <t>ThumbUpPoint</t>
  </si>
  <si>
    <t>ThumbDownPoint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</si>
</sst>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1" tint="0.49989318521683401"/>
        <bgColor rgb="FF969696"/>
      </patternFill>
    </fill>
    <fill>
      <patternFill patternType="solid">
        <fgColor theme="7" tint="0.59987182226020086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0070C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C0C0C0"/>
      </patternFill>
    </fill>
    <fill>
      <patternFill patternType="solid">
        <fgColor rgb="FFFF0000"/>
        <bgColor rgb="FFC0C0C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4" borderId="0" xfId="0" applyFont="1" applyFill="1"/>
    <xf numFmtId="0" fontId="2" fillId="2" borderId="0" xfId="0" applyFont="1" applyFill="1" applyAlignment="1">
      <alignment wrapText="1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4" fillId="0" borderId="0" xfId="0" applyFont="1"/>
    <xf numFmtId="0" fontId="3" fillId="0" borderId="0" xfId="0" applyFont="1"/>
    <xf numFmtId="164" fontId="0" fillId="0" borderId="0" xfId="0" applyNumberFormat="1"/>
    <xf numFmtId="0" fontId="0" fillId="0" borderId="0" xfId="0" applyAlignment="1">
      <alignment horizontal="center" wrapText="1"/>
    </xf>
    <xf numFmtId="2" fontId="0" fillId="0" borderId="0" xfId="0" applyNumberFormat="1"/>
    <xf numFmtId="0" fontId="5" fillId="0" borderId="0" xfId="1"/>
    <xf numFmtId="0" fontId="5" fillId="4" borderId="0" xfId="1" applyFill="1"/>
    <xf numFmtId="0" fontId="5" fillId="8" borderId="0" xfId="1" applyFill="1"/>
    <xf numFmtId="0" fontId="2" fillId="9" borderId="0" xfId="1" applyFont="1" applyFill="1"/>
    <xf numFmtId="0" fontId="2" fillId="10" borderId="0" xfId="1" applyFont="1" applyFill="1"/>
    <xf numFmtId="0" fontId="2" fillId="11" borderId="0" xfId="1" applyFont="1" applyFill="1"/>
    <xf numFmtId="0" fontId="2" fillId="12" borderId="0" xfId="1" applyFont="1" applyFill="1"/>
    <xf numFmtId="0" fontId="5" fillId="0" borderId="0" xfId="1" applyFill="1"/>
  </cellXfs>
  <cellStyles count="2">
    <cellStyle name="Normal" xfId="0" builtinId="0"/>
    <cellStyle name="Normal 2" xfId="1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"/>
  <sheetViews>
    <sheetView zoomScale="55" zoomScaleNormal="55" workbookViewId="0"/>
  </sheetViews>
  <sheetFormatPr defaultColWidth="8.68359375" defaultRowHeight="14.4" x14ac:dyDescent="0.55000000000000004"/>
  <cols>
    <col min="1" max="1" width="11.68359375" customWidth="1"/>
    <col min="6" max="6" width="11.15625" customWidth="1"/>
    <col min="7" max="7" width="12.83984375" customWidth="1"/>
    <col min="8" max="8" width="16.578125" customWidth="1"/>
    <col min="9" max="9" width="18" customWidth="1"/>
    <col min="10" max="10" width="16.83984375" customWidth="1"/>
    <col min="11" max="11" width="16.41796875" customWidth="1"/>
    <col min="12" max="12" width="10.578125" customWidth="1"/>
    <col min="13" max="13" width="12.894531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>
        <v>1773925204</v>
      </c>
      <c r="B2" t="s">
        <v>16</v>
      </c>
      <c r="C2" t="s">
        <v>17</v>
      </c>
      <c r="D2">
        <v>4540.34</v>
      </c>
      <c r="E2" t="s">
        <v>18</v>
      </c>
      <c r="F2">
        <v>4502.7299999999996</v>
      </c>
      <c r="G2">
        <v>4867.22</v>
      </c>
      <c r="H2">
        <v>4804.4399999999996</v>
      </c>
      <c r="I2">
        <v>4899.28</v>
      </c>
      <c r="J2">
        <v>4834.26</v>
      </c>
      <c r="K2">
        <v>5016.3999999999996</v>
      </c>
      <c r="L2">
        <v>-364.49</v>
      </c>
      <c r="M2">
        <v>-7.49</v>
      </c>
      <c r="N2">
        <v>5</v>
      </c>
      <c r="O2">
        <v>46</v>
      </c>
      <c r="P2" t="s">
        <v>19</v>
      </c>
    </row>
    <row r="3" spans="1:16" x14ac:dyDescent="0.55000000000000004">
      <c r="A3">
        <v>1773976504</v>
      </c>
      <c r="B3" t="s">
        <v>16</v>
      </c>
      <c r="C3" t="s">
        <v>17</v>
      </c>
      <c r="D3">
        <v>4733.68</v>
      </c>
      <c r="E3" t="s">
        <v>20</v>
      </c>
      <c r="F3">
        <v>4736.13</v>
      </c>
      <c r="G3">
        <v>4502.7299999999996</v>
      </c>
      <c r="H3">
        <v>4867.22</v>
      </c>
      <c r="I3">
        <v>4804.4399999999996</v>
      </c>
      <c r="J3">
        <v>4899.28</v>
      </c>
      <c r="K3">
        <v>4834.26</v>
      </c>
      <c r="L3">
        <v>233.4</v>
      </c>
      <c r="M3">
        <v>5.18</v>
      </c>
      <c r="N3">
        <v>2</v>
      </c>
      <c r="O3">
        <v>53</v>
      </c>
      <c r="P3" t="s">
        <v>21</v>
      </c>
    </row>
    <row r="4" spans="1:16" x14ac:dyDescent="0.55000000000000004">
      <c r="A4">
        <v>1773988204</v>
      </c>
      <c r="B4" t="s">
        <v>16</v>
      </c>
      <c r="C4" t="s">
        <v>17</v>
      </c>
      <c r="D4">
        <v>4665.78</v>
      </c>
      <c r="E4" t="s">
        <v>18</v>
      </c>
      <c r="F4">
        <v>4661.42</v>
      </c>
      <c r="G4">
        <v>4736.13</v>
      </c>
      <c r="H4">
        <v>4502.7299999999996</v>
      </c>
      <c r="I4">
        <v>4867.22</v>
      </c>
      <c r="J4">
        <v>4804.4399999999996</v>
      </c>
      <c r="K4">
        <v>4899.28</v>
      </c>
      <c r="L4">
        <v>-74.709999999999994</v>
      </c>
      <c r="M4">
        <v>-1.58</v>
      </c>
      <c r="N4">
        <v>3</v>
      </c>
      <c r="O4">
        <v>13</v>
      </c>
      <c r="P4" t="s">
        <v>22</v>
      </c>
    </row>
    <row r="5" spans="1:16" x14ac:dyDescent="0.55000000000000004">
      <c r="A5">
        <v>1773994504</v>
      </c>
      <c r="B5" t="s">
        <v>16</v>
      </c>
      <c r="C5" t="s">
        <v>17</v>
      </c>
      <c r="D5">
        <v>4722.75</v>
      </c>
      <c r="E5" t="s">
        <v>20</v>
      </c>
      <c r="F5">
        <v>4734.78</v>
      </c>
      <c r="G5">
        <v>4661.42</v>
      </c>
      <c r="H5">
        <v>4736.13</v>
      </c>
      <c r="I5">
        <v>4502.7299999999996</v>
      </c>
      <c r="J5">
        <v>4867.22</v>
      </c>
      <c r="K5">
        <v>4804.4399999999996</v>
      </c>
      <c r="L5">
        <v>73.36</v>
      </c>
      <c r="M5">
        <v>1.57</v>
      </c>
      <c r="N5">
        <v>0</v>
      </c>
      <c r="O5">
        <v>7</v>
      </c>
      <c r="P5" t="s">
        <v>21</v>
      </c>
    </row>
    <row r="6" spans="1:16" x14ac:dyDescent="0.55000000000000004">
      <c r="A6">
        <v>1774250104</v>
      </c>
      <c r="B6" t="s">
        <v>16</v>
      </c>
      <c r="C6" t="s">
        <v>17</v>
      </c>
      <c r="D6">
        <v>4135.63</v>
      </c>
      <c r="E6" t="s">
        <v>18</v>
      </c>
      <c r="F6">
        <v>4098.6899999999996</v>
      </c>
      <c r="G6">
        <v>4734.78</v>
      </c>
      <c r="H6">
        <v>4661.42</v>
      </c>
      <c r="I6">
        <v>4736.13</v>
      </c>
      <c r="J6">
        <v>4502.7299999999996</v>
      </c>
      <c r="K6">
        <v>4867.22</v>
      </c>
      <c r="L6">
        <v>-636.09</v>
      </c>
      <c r="M6">
        <v>-13.43</v>
      </c>
      <c r="N6">
        <v>5</v>
      </c>
      <c r="O6">
        <v>88</v>
      </c>
      <c r="P6" t="s">
        <v>19</v>
      </c>
    </row>
    <row r="7" spans="1:16" x14ac:dyDescent="0.55000000000000004">
      <c r="A7">
        <v>1774275304</v>
      </c>
      <c r="B7" t="s">
        <v>16</v>
      </c>
      <c r="C7" t="s">
        <v>17</v>
      </c>
      <c r="D7">
        <v>4486.9799999999996</v>
      </c>
      <c r="E7" t="s">
        <v>20</v>
      </c>
      <c r="F7">
        <v>4512.91</v>
      </c>
      <c r="G7">
        <v>4098.6899999999996</v>
      </c>
      <c r="H7">
        <v>4734.78</v>
      </c>
      <c r="I7">
        <v>4661.42</v>
      </c>
      <c r="J7">
        <v>4736.13</v>
      </c>
      <c r="K7">
        <v>4502.7299999999996</v>
      </c>
      <c r="L7">
        <v>414.22</v>
      </c>
      <c r="M7">
        <v>10.11</v>
      </c>
      <c r="N7">
        <v>2</v>
      </c>
      <c r="O7">
        <v>28</v>
      </c>
      <c r="P7" t="s">
        <v>21</v>
      </c>
    </row>
    <row r="8" spans="1:16" x14ac:dyDescent="0.55000000000000004">
      <c r="A8">
        <v>1774280704</v>
      </c>
      <c r="B8" t="s">
        <v>16</v>
      </c>
      <c r="C8" t="s">
        <v>17</v>
      </c>
      <c r="D8">
        <v>4364.25</v>
      </c>
      <c r="E8" t="s">
        <v>18</v>
      </c>
      <c r="F8">
        <v>4351.03</v>
      </c>
      <c r="G8">
        <v>4512.91</v>
      </c>
      <c r="H8">
        <v>4098.6899999999996</v>
      </c>
      <c r="I8">
        <v>4734.78</v>
      </c>
      <c r="J8">
        <v>4661.42</v>
      </c>
      <c r="K8">
        <v>4736.13</v>
      </c>
      <c r="L8">
        <v>-161.88</v>
      </c>
      <c r="M8">
        <v>-3.59</v>
      </c>
      <c r="N8">
        <v>3</v>
      </c>
      <c r="O8">
        <v>6</v>
      </c>
      <c r="P8" t="s">
        <v>22</v>
      </c>
    </row>
    <row r="9" spans="1:16" x14ac:dyDescent="0.55000000000000004">
      <c r="A9">
        <v>1774291504</v>
      </c>
      <c r="B9" t="s">
        <v>16</v>
      </c>
      <c r="C9" t="s">
        <v>17</v>
      </c>
      <c r="D9">
        <v>4448.9799999999996</v>
      </c>
      <c r="E9" t="s">
        <v>20</v>
      </c>
      <c r="F9">
        <v>4467.12</v>
      </c>
      <c r="G9">
        <v>4351.03</v>
      </c>
      <c r="H9">
        <v>4512.91</v>
      </c>
      <c r="I9">
        <v>4098.6899999999996</v>
      </c>
      <c r="J9">
        <v>4734.78</v>
      </c>
      <c r="K9">
        <v>4661.42</v>
      </c>
      <c r="L9">
        <v>116.09</v>
      </c>
      <c r="M9">
        <v>2.67</v>
      </c>
      <c r="N9">
        <v>0</v>
      </c>
      <c r="O9">
        <v>12</v>
      </c>
      <c r="P9" t="s">
        <v>21</v>
      </c>
    </row>
    <row r="10" spans="1:16" x14ac:dyDescent="0.55000000000000004">
      <c r="A10">
        <v>1774303204</v>
      </c>
      <c r="B10" t="s">
        <v>16</v>
      </c>
      <c r="C10" t="s">
        <v>17</v>
      </c>
      <c r="D10">
        <v>4398.29</v>
      </c>
      <c r="E10" t="s">
        <v>18</v>
      </c>
      <c r="F10">
        <v>4360.47</v>
      </c>
      <c r="G10">
        <v>4467.12</v>
      </c>
      <c r="H10">
        <v>4351.03</v>
      </c>
      <c r="I10">
        <v>4512.91</v>
      </c>
      <c r="J10">
        <v>4098.6899999999996</v>
      </c>
      <c r="K10">
        <v>4734.78</v>
      </c>
      <c r="L10">
        <v>-106.65</v>
      </c>
      <c r="M10">
        <v>-2.39</v>
      </c>
      <c r="N10">
        <v>3</v>
      </c>
      <c r="O10">
        <v>9</v>
      </c>
      <c r="P10" t="s">
        <v>22</v>
      </c>
    </row>
    <row r="11" spans="1:16" x14ac:dyDescent="0.55000000000000004">
      <c r="A11">
        <v>1774307704</v>
      </c>
      <c r="B11" t="s">
        <v>16</v>
      </c>
      <c r="C11" t="s">
        <v>17</v>
      </c>
      <c r="D11">
        <v>4441.71</v>
      </c>
      <c r="E11" t="s">
        <v>20</v>
      </c>
      <c r="F11">
        <v>4448.04</v>
      </c>
      <c r="G11">
        <v>4360.47</v>
      </c>
      <c r="H11">
        <v>4467.12</v>
      </c>
      <c r="I11">
        <v>4351.03</v>
      </c>
      <c r="J11">
        <v>4512.91</v>
      </c>
      <c r="K11">
        <v>4098.6899999999996</v>
      </c>
      <c r="L11">
        <v>87.57</v>
      </c>
      <c r="M11">
        <v>2.0099999999999998</v>
      </c>
      <c r="N11">
        <v>0</v>
      </c>
      <c r="O11">
        <v>5</v>
      </c>
      <c r="P11" t="s">
        <v>21</v>
      </c>
    </row>
    <row r="12" spans="1:16" x14ac:dyDescent="0.55000000000000004">
      <c r="A12">
        <v>1774317604</v>
      </c>
      <c r="B12" t="s">
        <v>16</v>
      </c>
      <c r="C12" t="s">
        <v>17</v>
      </c>
      <c r="D12">
        <v>4312.34</v>
      </c>
      <c r="E12" t="s">
        <v>18</v>
      </c>
      <c r="F12">
        <v>4306.09</v>
      </c>
      <c r="G12">
        <v>4448.04</v>
      </c>
      <c r="H12">
        <v>4360.47</v>
      </c>
      <c r="I12">
        <v>4467.12</v>
      </c>
      <c r="J12">
        <v>4351.03</v>
      </c>
      <c r="K12">
        <v>4512.91</v>
      </c>
      <c r="L12">
        <v>-141.94999999999999</v>
      </c>
      <c r="M12">
        <v>-3.19</v>
      </c>
      <c r="N12">
        <v>3</v>
      </c>
      <c r="O12">
        <v>11</v>
      </c>
      <c r="P12" t="s">
        <v>19</v>
      </c>
    </row>
    <row r="13" spans="1:16" x14ac:dyDescent="0.55000000000000004">
      <c r="A13">
        <v>1774349104</v>
      </c>
      <c r="B13" t="s">
        <v>16</v>
      </c>
      <c r="C13" t="s">
        <v>17</v>
      </c>
      <c r="D13">
        <v>4438.66</v>
      </c>
      <c r="E13" t="s">
        <v>20</v>
      </c>
      <c r="F13">
        <v>4441.87</v>
      </c>
      <c r="G13">
        <v>4306.09</v>
      </c>
      <c r="H13">
        <v>4448.04</v>
      </c>
      <c r="I13">
        <v>4360.47</v>
      </c>
      <c r="J13">
        <v>4467.12</v>
      </c>
      <c r="K13">
        <v>4351.03</v>
      </c>
      <c r="L13">
        <v>135.78</v>
      </c>
      <c r="M13">
        <v>3.15</v>
      </c>
      <c r="N13">
        <v>0</v>
      </c>
      <c r="O13">
        <v>35</v>
      </c>
      <c r="P13" t="s">
        <v>21</v>
      </c>
    </row>
    <row r="14" spans="1:16" x14ac:dyDescent="0.55000000000000004">
      <c r="A14">
        <v>1774359904</v>
      </c>
      <c r="B14" t="s">
        <v>16</v>
      </c>
      <c r="C14" t="s">
        <v>17</v>
      </c>
      <c r="D14">
        <v>4381.79</v>
      </c>
      <c r="E14" t="s">
        <v>18</v>
      </c>
      <c r="F14">
        <v>4351.7</v>
      </c>
      <c r="G14">
        <v>4441.87</v>
      </c>
      <c r="H14">
        <v>4306.09</v>
      </c>
      <c r="I14">
        <v>4448.04</v>
      </c>
      <c r="J14">
        <v>4360.47</v>
      </c>
      <c r="K14">
        <v>4467.12</v>
      </c>
      <c r="L14">
        <v>-90.17</v>
      </c>
      <c r="M14">
        <v>-2.0299999999999998</v>
      </c>
      <c r="N14">
        <v>3</v>
      </c>
      <c r="O14">
        <v>12</v>
      </c>
      <c r="P14" t="s">
        <v>22</v>
      </c>
    </row>
    <row r="15" spans="1:16" x14ac:dyDescent="0.55000000000000004">
      <c r="A15">
        <v>1774363504</v>
      </c>
      <c r="B15" t="s">
        <v>16</v>
      </c>
      <c r="C15" t="s">
        <v>17</v>
      </c>
      <c r="D15">
        <v>4415.63</v>
      </c>
      <c r="E15" t="s">
        <v>20</v>
      </c>
      <c r="F15">
        <v>4433.51</v>
      </c>
      <c r="G15">
        <v>4351.7</v>
      </c>
      <c r="H15">
        <v>4441.87</v>
      </c>
      <c r="I15">
        <v>4306.09</v>
      </c>
      <c r="J15">
        <v>4448.04</v>
      </c>
      <c r="K15">
        <v>4360.47</v>
      </c>
      <c r="L15">
        <v>81.81</v>
      </c>
      <c r="M15">
        <v>1.88</v>
      </c>
      <c r="N15">
        <v>0</v>
      </c>
      <c r="O15">
        <v>4</v>
      </c>
      <c r="P15" t="s">
        <v>21</v>
      </c>
    </row>
    <row r="16" spans="1:16" x14ac:dyDescent="0.55000000000000004">
      <c r="A16">
        <v>1774374304</v>
      </c>
      <c r="B16" t="s">
        <v>16</v>
      </c>
      <c r="C16" t="s">
        <v>17</v>
      </c>
      <c r="D16">
        <v>4388.6400000000003</v>
      </c>
      <c r="E16" t="s">
        <v>18</v>
      </c>
      <c r="F16">
        <v>4372.58</v>
      </c>
      <c r="G16">
        <v>4433.51</v>
      </c>
      <c r="H16">
        <v>4351.7</v>
      </c>
      <c r="I16">
        <v>4441.87</v>
      </c>
      <c r="J16">
        <v>4306.09</v>
      </c>
      <c r="K16">
        <v>4448.04</v>
      </c>
      <c r="L16">
        <v>-60.93</v>
      </c>
      <c r="M16">
        <v>-1.37</v>
      </c>
      <c r="N16">
        <v>3</v>
      </c>
      <c r="O16">
        <v>12</v>
      </c>
      <c r="P16" t="s">
        <v>22</v>
      </c>
    </row>
    <row r="17" spans="1:16" x14ac:dyDescent="0.55000000000000004">
      <c r="A17">
        <v>1774406704</v>
      </c>
      <c r="B17" t="s">
        <v>16</v>
      </c>
      <c r="C17" t="s">
        <v>17</v>
      </c>
      <c r="D17">
        <v>4583.92</v>
      </c>
      <c r="E17" t="s">
        <v>20</v>
      </c>
      <c r="F17">
        <v>4602.3</v>
      </c>
      <c r="G17">
        <v>4372.58</v>
      </c>
      <c r="H17">
        <v>4433.51</v>
      </c>
      <c r="I17">
        <v>4351.7</v>
      </c>
      <c r="J17">
        <v>4441.87</v>
      </c>
      <c r="K17">
        <v>4306.09</v>
      </c>
      <c r="L17">
        <v>229.72</v>
      </c>
      <c r="M17">
        <v>5.25</v>
      </c>
      <c r="N17">
        <v>0</v>
      </c>
      <c r="O17">
        <v>32</v>
      </c>
      <c r="P17" t="s">
        <v>23</v>
      </c>
    </row>
    <row r="18" spans="1:16" x14ac:dyDescent="0.55000000000000004">
      <c r="A18">
        <v>1774418404</v>
      </c>
      <c r="B18" t="s">
        <v>16</v>
      </c>
      <c r="C18" t="s">
        <v>17</v>
      </c>
      <c r="D18">
        <v>4534.37</v>
      </c>
      <c r="E18" t="s">
        <v>18</v>
      </c>
      <c r="F18">
        <v>4532.82</v>
      </c>
      <c r="G18">
        <v>4602.3</v>
      </c>
      <c r="H18">
        <v>4372.58</v>
      </c>
      <c r="I18">
        <v>4433.51</v>
      </c>
      <c r="J18">
        <v>4351.7</v>
      </c>
      <c r="K18">
        <v>4441.87</v>
      </c>
      <c r="L18">
        <v>-69.48</v>
      </c>
      <c r="M18">
        <v>-1.51</v>
      </c>
      <c r="N18">
        <v>3</v>
      </c>
      <c r="O18">
        <v>13</v>
      </c>
      <c r="P18" t="s">
        <v>22</v>
      </c>
    </row>
    <row r="19" spans="1:16" x14ac:dyDescent="0.55000000000000004">
      <c r="A19">
        <v>1774429204</v>
      </c>
      <c r="B19" t="s">
        <v>16</v>
      </c>
      <c r="C19" t="s">
        <v>17</v>
      </c>
      <c r="D19">
        <v>4562.2299999999996</v>
      </c>
      <c r="E19" t="s">
        <v>20</v>
      </c>
      <c r="F19">
        <v>4567.7299999999996</v>
      </c>
      <c r="G19">
        <v>4532.82</v>
      </c>
      <c r="H19">
        <v>4602.3</v>
      </c>
      <c r="I19">
        <v>4372.58</v>
      </c>
      <c r="J19">
        <v>4433.51</v>
      </c>
      <c r="K19">
        <v>4351.7</v>
      </c>
      <c r="L19">
        <v>34.909999999999997</v>
      </c>
      <c r="M19">
        <v>0.77</v>
      </c>
      <c r="N19">
        <v>0</v>
      </c>
      <c r="O19">
        <v>12</v>
      </c>
      <c r="P19" t="s">
        <v>21</v>
      </c>
    </row>
    <row r="20" spans="1:16" x14ac:dyDescent="0.55000000000000004">
      <c r="A20">
        <v>1774431904</v>
      </c>
      <c r="B20" t="s">
        <v>16</v>
      </c>
      <c r="C20" t="s">
        <v>17</v>
      </c>
      <c r="D20">
        <v>4551.67</v>
      </c>
      <c r="E20" t="s">
        <v>18</v>
      </c>
      <c r="F20">
        <v>4527.99</v>
      </c>
      <c r="G20">
        <v>4567.7299999999996</v>
      </c>
      <c r="H20">
        <v>4532.82</v>
      </c>
      <c r="I20">
        <v>4602.3</v>
      </c>
      <c r="J20">
        <v>4372.58</v>
      </c>
      <c r="K20">
        <v>4433.51</v>
      </c>
      <c r="L20">
        <v>-39.74</v>
      </c>
      <c r="M20">
        <v>-0.87</v>
      </c>
      <c r="N20">
        <v>3</v>
      </c>
      <c r="O20">
        <v>3</v>
      </c>
      <c r="P20" t="s">
        <v>19</v>
      </c>
    </row>
    <row r="21" spans="1:16" x14ac:dyDescent="0.55000000000000004">
      <c r="A21">
        <v>1774438204</v>
      </c>
      <c r="B21" t="s">
        <v>16</v>
      </c>
      <c r="C21" t="s">
        <v>17</v>
      </c>
      <c r="D21">
        <v>4583.78</v>
      </c>
      <c r="E21" t="s">
        <v>20</v>
      </c>
      <c r="F21">
        <v>4585.51</v>
      </c>
      <c r="G21">
        <v>4527.99</v>
      </c>
      <c r="H21">
        <v>4567.7299999999996</v>
      </c>
      <c r="I21">
        <v>4532.82</v>
      </c>
      <c r="J21">
        <v>4602.3</v>
      </c>
      <c r="K21">
        <v>4372.58</v>
      </c>
      <c r="L21">
        <v>57.52</v>
      </c>
      <c r="M21">
        <v>1.27</v>
      </c>
      <c r="N21">
        <v>0</v>
      </c>
      <c r="O21">
        <v>7</v>
      </c>
      <c r="P21" t="s">
        <v>23</v>
      </c>
    </row>
    <row r="22" spans="1:16" x14ac:dyDescent="0.55000000000000004">
      <c r="A22">
        <v>1774441804</v>
      </c>
      <c r="B22" t="s">
        <v>16</v>
      </c>
      <c r="C22" t="s">
        <v>17</v>
      </c>
      <c r="D22">
        <v>4547.41</v>
      </c>
      <c r="E22" t="s">
        <v>18</v>
      </c>
      <c r="F22">
        <v>4522.33</v>
      </c>
      <c r="G22">
        <v>4585.51</v>
      </c>
      <c r="H22">
        <v>4527.99</v>
      </c>
      <c r="I22">
        <v>4567.7299999999996</v>
      </c>
      <c r="J22">
        <v>4532.82</v>
      </c>
      <c r="K22">
        <v>4602.3</v>
      </c>
      <c r="L22">
        <v>-63.18</v>
      </c>
      <c r="M22">
        <v>-1.38</v>
      </c>
      <c r="N22">
        <v>3</v>
      </c>
      <c r="O22">
        <v>4</v>
      </c>
      <c r="P22" t="s">
        <v>19</v>
      </c>
    </row>
    <row r="23" spans="1:16" x14ac:dyDescent="0.55000000000000004">
      <c r="A23">
        <v>1774461604</v>
      </c>
      <c r="B23" t="s">
        <v>16</v>
      </c>
      <c r="C23" t="s">
        <v>17</v>
      </c>
      <c r="D23">
        <v>4551.37</v>
      </c>
      <c r="E23" t="s">
        <v>20</v>
      </c>
      <c r="F23">
        <v>4568.96</v>
      </c>
      <c r="G23">
        <v>4522.33</v>
      </c>
      <c r="H23">
        <v>4585.51</v>
      </c>
      <c r="I23">
        <v>4527.99</v>
      </c>
      <c r="J23">
        <v>4567.7299999999996</v>
      </c>
      <c r="K23">
        <v>4532.82</v>
      </c>
      <c r="L23">
        <v>46.63</v>
      </c>
      <c r="M23">
        <v>1.03</v>
      </c>
      <c r="N23">
        <v>0</v>
      </c>
      <c r="O23">
        <v>22</v>
      </c>
      <c r="P23" t="s">
        <v>21</v>
      </c>
    </row>
    <row r="24" spans="1:16" x14ac:dyDescent="0.55000000000000004">
      <c r="A24">
        <v>1774465204</v>
      </c>
      <c r="B24" t="s">
        <v>16</v>
      </c>
      <c r="C24" t="s">
        <v>17</v>
      </c>
      <c r="D24">
        <v>4509.08</v>
      </c>
      <c r="E24" t="s">
        <v>18</v>
      </c>
      <c r="F24">
        <v>4487.1000000000004</v>
      </c>
      <c r="G24">
        <v>4568.96</v>
      </c>
      <c r="H24">
        <v>4522.33</v>
      </c>
      <c r="I24">
        <v>4585.51</v>
      </c>
      <c r="J24">
        <v>4527.99</v>
      </c>
      <c r="K24">
        <v>4567.7299999999996</v>
      </c>
      <c r="L24">
        <v>-81.86</v>
      </c>
      <c r="M24">
        <v>-1.79</v>
      </c>
      <c r="N24">
        <v>3</v>
      </c>
      <c r="O24">
        <v>4</v>
      </c>
      <c r="P24" t="s">
        <v>19</v>
      </c>
    </row>
    <row r="25" spans="1:16" x14ac:dyDescent="0.55000000000000004">
      <c r="A25">
        <v>1774486804</v>
      </c>
      <c r="B25" t="s">
        <v>16</v>
      </c>
      <c r="C25" t="s">
        <v>17</v>
      </c>
      <c r="D25">
        <v>4538.3999999999996</v>
      </c>
      <c r="E25" t="s">
        <v>20</v>
      </c>
      <c r="F25">
        <v>4544.29</v>
      </c>
      <c r="G25">
        <v>4487.1000000000004</v>
      </c>
      <c r="H25">
        <v>4568.96</v>
      </c>
      <c r="I25">
        <v>4522.33</v>
      </c>
      <c r="J25">
        <v>4585.51</v>
      </c>
      <c r="K25">
        <v>4527.99</v>
      </c>
      <c r="L25">
        <v>57.19</v>
      </c>
      <c r="M25">
        <v>1.27</v>
      </c>
      <c r="N25">
        <v>0</v>
      </c>
      <c r="O25">
        <v>20</v>
      </c>
      <c r="P25" t="s">
        <v>21</v>
      </c>
    </row>
    <row r="26" spans="1:16" x14ac:dyDescent="0.55000000000000004">
      <c r="A26">
        <v>1774513804</v>
      </c>
      <c r="B26" t="s">
        <v>16</v>
      </c>
      <c r="C26" t="s">
        <v>17</v>
      </c>
      <c r="D26">
        <v>4420.09</v>
      </c>
      <c r="E26" t="s">
        <v>18</v>
      </c>
      <c r="F26">
        <v>4413.24</v>
      </c>
      <c r="G26">
        <v>4544.29</v>
      </c>
      <c r="H26">
        <v>4487.1000000000004</v>
      </c>
      <c r="I26">
        <v>4568.96</v>
      </c>
      <c r="J26">
        <v>4522.33</v>
      </c>
      <c r="K26">
        <v>4585.51</v>
      </c>
      <c r="L26">
        <v>-131.05000000000001</v>
      </c>
      <c r="M26">
        <v>-2.88</v>
      </c>
      <c r="N26">
        <v>3</v>
      </c>
      <c r="O26">
        <v>30</v>
      </c>
      <c r="P26" t="s">
        <v>19</v>
      </c>
    </row>
    <row r="27" spans="1:16" x14ac:dyDescent="0.55000000000000004">
      <c r="A27">
        <v>1774535404</v>
      </c>
      <c r="B27" t="s">
        <v>16</v>
      </c>
      <c r="C27" t="s">
        <v>17</v>
      </c>
      <c r="D27">
        <v>4461.2700000000004</v>
      </c>
      <c r="E27" t="s">
        <v>20</v>
      </c>
      <c r="F27">
        <v>4479.1400000000003</v>
      </c>
      <c r="G27">
        <v>4413.24</v>
      </c>
      <c r="H27">
        <v>4544.29</v>
      </c>
      <c r="I27">
        <v>4487.1000000000004</v>
      </c>
      <c r="J27">
        <v>4568.96</v>
      </c>
      <c r="K27">
        <v>4522.33</v>
      </c>
      <c r="L27">
        <v>65.900000000000006</v>
      </c>
      <c r="M27">
        <v>1.49</v>
      </c>
      <c r="N27">
        <v>0</v>
      </c>
      <c r="O27">
        <v>24</v>
      </c>
      <c r="P27" t="s">
        <v>21</v>
      </c>
    </row>
    <row r="28" spans="1:16" x14ac:dyDescent="0.55000000000000004">
      <c r="A28">
        <v>1774554304</v>
      </c>
      <c r="B28" t="s">
        <v>16</v>
      </c>
      <c r="C28" t="s">
        <v>17</v>
      </c>
      <c r="D28">
        <v>4364.33</v>
      </c>
      <c r="E28" t="s">
        <v>18</v>
      </c>
      <c r="F28">
        <v>4359.29</v>
      </c>
      <c r="G28">
        <v>4479.1400000000003</v>
      </c>
      <c r="H28">
        <v>4413.24</v>
      </c>
      <c r="I28">
        <v>4544.29</v>
      </c>
      <c r="J28">
        <v>4487.1000000000004</v>
      </c>
      <c r="K28">
        <v>4568.96</v>
      </c>
      <c r="L28">
        <v>-119.85</v>
      </c>
      <c r="M28">
        <v>-2.68</v>
      </c>
      <c r="N28">
        <v>3</v>
      </c>
      <c r="O28">
        <v>21</v>
      </c>
      <c r="P28" t="s">
        <v>19</v>
      </c>
    </row>
    <row r="29" spans="1:16" x14ac:dyDescent="0.55000000000000004">
      <c r="A29">
        <v>1774557004</v>
      </c>
      <c r="B29" t="s">
        <v>16</v>
      </c>
      <c r="C29" t="s">
        <v>17</v>
      </c>
      <c r="D29">
        <v>4405.78</v>
      </c>
      <c r="E29" t="s">
        <v>20</v>
      </c>
      <c r="F29">
        <v>4420.5600000000004</v>
      </c>
      <c r="G29">
        <v>4359.29</v>
      </c>
      <c r="H29">
        <v>4479.1400000000003</v>
      </c>
      <c r="I29">
        <v>4413.24</v>
      </c>
      <c r="J29">
        <v>4544.29</v>
      </c>
      <c r="K29">
        <v>4487.1000000000004</v>
      </c>
      <c r="L29">
        <v>61.27</v>
      </c>
      <c r="M29">
        <v>1.41</v>
      </c>
      <c r="N29">
        <v>0</v>
      </c>
      <c r="O29">
        <v>3</v>
      </c>
      <c r="P29" t="s">
        <v>21</v>
      </c>
    </row>
    <row r="30" spans="1:16" x14ac:dyDescent="0.55000000000000004">
      <c r="A30">
        <v>1774572304</v>
      </c>
      <c r="B30" t="s">
        <v>16</v>
      </c>
      <c r="C30" t="s">
        <v>17</v>
      </c>
      <c r="D30">
        <v>4378.7299999999996</v>
      </c>
      <c r="E30" t="s">
        <v>18</v>
      </c>
      <c r="F30">
        <v>4375.68</v>
      </c>
      <c r="G30">
        <v>4420.5600000000004</v>
      </c>
      <c r="H30">
        <v>4359.29</v>
      </c>
      <c r="I30">
        <v>4479.1400000000003</v>
      </c>
      <c r="J30">
        <v>4413.24</v>
      </c>
      <c r="K30">
        <v>4544.29</v>
      </c>
      <c r="L30">
        <v>-44.88</v>
      </c>
      <c r="M30">
        <v>-1.02</v>
      </c>
      <c r="N30">
        <v>3</v>
      </c>
      <c r="O30">
        <v>13</v>
      </c>
      <c r="P30" t="s">
        <v>22</v>
      </c>
    </row>
    <row r="31" spans="1:16" x14ac:dyDescent="0.55000000000000004">
      <c r="A31">
        <v>1774589404</v>
      </c>
      <c r="B31" t="s">
        <v>16</v>
      </c>
      <c r="C31" t="s">
        <v>17</v>
      </c>
      <c r="D31">
        <v>4466.08</v>
      </c>
      <c r="E31" t="s">
        <v>20</v>
      </c>
      <c r="F31">
        <v>4475.12</v>
      </c>
      <c r="G31">
        <v>4375.68</v>
      </c>
      <c r="H31">
        <v>4420.5600000000004</v>
      </c>
      <c r="I31">
        <v>4359.29</v>
      </c>
      <c r="J31">
        <v>4479.1400000000003</v>
      </c>
      <c r="K31">
        <v>4413.24</v>
      </c>
      <c r="L31">
        <v>99.44</v>
      </c>
      <c r="M31">
        <v>2.27</v>
      </c>
      <c r="N31">
        <v>0</v>
      </c>
      <c r="O31">
        <v>19</v>
      </c>
      <c r="P31" t="s">
        <v>23</v>
      </c>
    </row>
    <row r="32" spans="1:16" x14ac:dyDescent="0.55000000000000004">
      <c r="A32">
        <v>1774609204</v>
      </c>
      <c r="B32" t="s">
        <v>16</v>
      </c>
      <c r="C32" t="s">
        <v>17</v>
      </c>
      <c r="D32">
        <v>4413.17</v>
      </c>
      <c r="E32" t="s">
        <v>18</v>
      </c>
      <c r="F32">
        <v>4404.32</v>
      </c>
      <c r="G32">
        <v>4475.12</v>
      </c>
      <c r="H32">
        <v>4375.68</v>
      </c>
      <c r="I32">
        <v>4420.5600000000004</v>
      </c>
      <c r="J32">
        <v>4359.29</v>
      </c>
      <c r="K32">
        <v>4479.1400000000003</v>
      </c>
      <c r="L32">
        <v>-70.8</v>
      </c>
      <c r="M32">
        <v>-1.58</v>
      </c>
      <c r="N32">
        <v>3</v>
      </c>
      <c r="O32">
        <v>22</v>
      </c>
      <c r="P32" t="s">
        <v>22</v>
      </c>
    </row>
    <row r="33" spans="1:16" x14ac:dyDescent="0.55000000000000004">
      <c r="A33">
        <v>1774624504</v>
      </c>
      <c r="B33" t="s">
        <v>16</v>
      </c>
      <c r="C33" t="s">
        <v>17</v>
      </c>
      <c r="D33">
        <v>4543.54</v>
      </c>
      <c r="E33" t="s">
        <v>20</v>
      </c>
      <c r="F33">
        <v>4555</v>
      </c>
      <c r="G33">
        <v>4404.32</v>
      </c>
      <c r="H33">
        <v>4475.12</v>
      </c>
      <c r="I33">
        <v>4375.68</v>
      </c>
      <c r="J33">
        <v>4420.5600000000004</v>
      </c>
      <c r="K33">
        <v>4359.29</v>
      </c>
      <c r="L33">
        <v>150.68</v>
      </c>
      <c r="M33">
        <v>3.42</v>
      </c>
      <c r="N33">
        <v>0</v>
      </c>
      <c r="O33">
        <v>17</v>
      </c>
      <c r="P33" t="s">
        <v>23</v>
      </c>
    </row>
    <row r="34" spans="1:16" x14ac:dyDescent="0.55000000000000004">
      <c r="A34">
        <v>1774828804</v>
      </c>
      <c r="B34" t="s">
        <v>16</v>
      </c>
      <c r="C34" t="s">
        <v>17</v>
      </c>
      <c r="D34">
        <v>4426.83</v>
      </c>
      <c r="E34" t="s">
        <v>18</v>
      </c>
      <c r="F34">
        <v>4420.2700000000004</v>
      </c>
      <c r="G34">
        <v>4555</v>
      </c>
      <c r="H34">
        <v>4404.32</v>
      </c>
      <c r="I34">
        <v>4475.12</v>
      </c>
      <c r="J34">
        <v>4375.68</v>
      </c>
      <c r="K34">
        <v>4420.5600000000004</v>
      </c>
      <c r="L34">
        <v>-134.72999999999999</v>
      </c>
      <c r="M34">
        <v>-2.96</v>
      </c>
      <c r="N34">
        <v>3</v>
      </c>
      <c r="O34">
        <v>31</v>
      </c>
      <c r="P34" t="s">
        <v>22</v>
      </c>
    </row>
    <row r="35" spans="1:16" x14ac:dyDescent="0.55000000000000004">
      <c r="A35">
        <v>1774871104</v>
      </c>
      <c r="B35" t="s">
        <v>16</v>
      </c>
      <c r="C35" t="s">
        <v>17</v>
      </c>
      <c r="D35">
        <v>4559.53</v>
      </c>
      <c r="E35" t="s">
        <v>20</v>
      </c>
      <c r="F35">
        <v>4580.59</v>
      </c>
      <c r="G35">
        <v>4420.2700000000004</v>
      </c>
      <c r="H35">
        <v>4555</v>
      </c>
      <c r="I35">
        <v>4404.32</v>
      </c>
      <c r="J35">
        <v>4475.12</v>
      </c>
      <c r="K35">
        <v>4375.68</v>
      </c>
      <c r="L35">
        <v>160.32</v>
      </c>
      <c r="M35">
        <v>3.63</v>
      </c>
      <c r="N35">
        <v>0</v>
      </c>
      <c r="O35">
        <v>47</v>
      </c>
      <c r="P35" t="s">
        <v>23</v>
      </c>
    </row>
    <row r="36" spans="1:16" x14ac:dyDescent="0.55000000000000004">
      <c r="A36">
        <v>1774898104</v>
      </c>
      <c r="B36" t="s">
        <v>16</v>
      </c>
      <c r="C36" t="s">
        <v>17</v>
      </c>
      <c r="D36">
        <v>4501.72</v>
      </c>
      <c r="E36" t="s">
        <v>18</v>
      </c>
      <c r="F36">
        <v>4493.1400000000003</v>
      </c>
      <c r="G36">
        <v>4580.59</v>
      </c>
      <c r="H36">
        <v>4420.2700000000004</v>
      </c>
      <c r="I36">
        <v>4555</v>
      </c>
      <c r="J36">
        <v>4404.32</v>
      </c>
      <c r="K36">
        <v>4475.12</v>
      </c>
      <c r="L36">
        <v>-87.45</v>
      </c>
      <c r="M36">
        <v>-1.91</v>
      </c>
      <c r="N36">
        <v>3</v>
      </c>
      <c r="O36">
        <v>30</v>
      </c>
      <c r="P36" t="s">
        <v>22</v>
      </c>
    </row>
    <row r="37" spans="1:16" x14ac:dyDescent="0.55000000000000004">
      <c r="A37">
        <v>1774908004</v>
      </c>
      <c r="B37" t="s">
        <v>16</v>
      </c>
      <c r="C37" t="s">
        <v>17</v>
      </c>
      <c r="D37">
        <v>4508.24</v>
      </c>
      <c r="E37" t="s">
        <v>20</v>
      </c>
      <c r="F37">
        <v>4523.8500000000004</v>
      </c>
      <c r="G37">
        <v>4493.1400000000003</v>
      </c>
      <c r="H37">
        <v>4580.59</v>
      </c>
      <c r="I37">
        <v>4420.2700000000004</v>
      </c>
      <c r="J37">
        <v>4555</v>
      </c>
      <c r="K37">
        <v>4404.32</v>
      </c>
      <c r="L37">
        <v>30.71</v>
      </c>
      <c r="M37">
        <v>0.68</v>
      </c>
      <c r="N37">
        <v>0</v>
      </c>
      <c r="O37">
        <v>7</v>
      </c>
      <c r="P37" t="s">
        <v>21</v>
      </c>
    </row>
    <row r="38" spans="1:16" x14ac:dyDescent="0.55000000000000004">
      <c r="A38">
        <v>1774911604</v>
      </c>
      <c r="B38" t="s">
        <v>16</v>
      </c>
      <c r="C38" t="s">
        <v>17</v>
      </c>
      <c r="D38">
        <v>4499.13</v>
      </c>
      <c r="E38" t="s">
        <v>18</v>
      </c>
      <c r="F38">
        <v>4492.83</v>
      </c>
      <c r="G38">
        <v>4523.8500000000004</v>
      </c>
      <c r="H38">
        <v>4493.1400000000003</v>
      </c>
      <c r="I38">
        <v>4580.59</v>
      </c>
      <c r="J38">
        <v>4420.2700000000004</v>
      </c>
      <c r="K38">
        <v>4555</v>
      </c>
      <c r="L38">
        <v>-31.02</v>
      </c>
      <c r="M38">
        <v>-0.69</v>
      </c>
      <c r="N38">
        <v>3</v>
      </c>
      <c r="O38">
        <v>4</v>
      </c>
      <c r="P38" t="s">
        <v>19</v>
      </c>
    </row>
    <row r="39" spans="1:16" x14ac:dyDescent="0.55000000000000004">
      <c r="A39">
        <v>1774915204</v>
      </c>
      <c r="B39" t="s">
        <v>16</v>
      </c>
      <c r="C39" t="s">
        <v>17</v>
      </c>
      <c r="D39">
        <v>4516.16</v>
      </c>
      <c r="E39" t="s">
        <v>20</v>
      </c>
      <c r="F39">
        <v>4528.66</v>
      </c>
      <c r="G39">
        <v>4492.83</v>
      </c>
      <c r="H39">
        <v>4523.8500000000004</v>
      </c>
      <c r="I39">
        <v>4493.1400000000003</v>
      </c>
      <c r="J39">
        <v>4580.59</v>
      </c>
      <c r="K39">
        <v>4420.2700000000004</v>
      </c>
      <c r="L39">
        <v>35.83</v>
      </c>
      <c r="M39">
        <v>0.8</v>
      </c>
      <c r="N39">
        <v>0</v>
      </c>
      <c r="O39">
        <v>4</v>
      </c>
      <c r="P39" t="s">
        <v>23</v>
      </c>
    </row>
    <row r="40" spans="1:16" x14ac:dyDescent="0.55000000000000004">
      <c r="A40">
        <v>1774916104</v>
      </c>
      <c r="B40" t="s">
        <v>16</v>
      </c>
      <c r="C40" t="s">
        <v>17</v>
      </c>
      <c r="D40">
        <v>4511.88</v>
      </c>
      <c r="E40" t="s">
        <v>18</v>
      </c>
      <c r="F40">
        <v>4482.6899999999996</v>
      </c>
      <c r="G40">
        <v>4528.66</v>
      </c>
      <c r="H40">
        <v>4492.83</v>
      </c>
      <c r="I40">
        <v>4523.8500000000004</v>
      </c>
      <c r="J40">
        <v>4493.1400000000003</v>
      </c>
      <c r="K40">
        <v>4580.59</v>
      </c>
      <c r="L40">
        <v>-45.97</v>
      </c>
      <c r="M40">
        <v>-1.02</v>
      </c>
      <c r="N40">
        <v>3</v>
      </c>
      <c r="O40">
        <v>1</v>
      </c>
      <c r="P40" t="s">
        <v>19</v>
      </c>
    </row>
    <row r="41" spans="1:16" x14ac:dyDescent="0.55000000000000004">
      <c r="A41">
        <v>1774921504</v>
      </c>
      <c r="B41" t="s">
        <v>16</v>
      </c>
      <c r="C41" t="s">
        <v>17</v>
      </c>
      <c r="D41">
        <v>4605.2700000000004</v>
      </c>
      <c r="E41" t="s">
        <v>20</v>
      </c>
      <c r="F41">
        <v>4619.84</v>
      </c>
      <c r="G41">
        <v>4482.6899999999996</v>
      </c>
      <c r="H41">
        <v>4528.66</v>
      </c>
      <c r="I41">
        <v>4492.83</v>
      </c>
      <c r="J41">
        <v>4523.8500000000004</v>
      </c>
      <c r="K41">
        <v>4493.1400000000003</v>
      </c>
      <c r="L41">
        <v>137.15</v>
      </c>
      <c r="M41">
        <v>3.06</v>
      </c>
      <c r="N41">
        <v>0</v>
      </c>
      <c r="O41">
        <v>6</v>
      </c>
      <c r="P41" t="s">
        <v>23</v>
      </c>
    </row>
    <row r="42" spans="1:16" x14ac:dyDescent="0.55000000000000004">
      <c r="A42">
        <v>1774933204</v>
      </c>
      <c r="B42" t="s">
        <v>16</v>
      </c>
      <c r="C42" t="s">
        <v>17</v>
      </c>
      <c r="D42">
        <v>4550.47</v>
      </c>
      <c r="E42" t="s">
        <v>18</v>
      </c>
      <c r="F42">
        <v>4548.26</v>
      </c>
      <c r="G42">
        <v>4619.84</v>
      </c>
      <c r="H42">
        <v>4482.6899999999996</v>
      </c>
      <c r="I42">
        <v>4528.66</v>
      </c>
      <c r="J42">
        <v>4492.83</v>
      </c>
      <c r="K42">
        <v>4523.8500000000004</v>
      </c>
      <c r="L42">
        <v>-71.58</v>
      </c>
      <c r="M42">
        <v>-1.55</v>
      </c>
      <c r="N42">
        <v>3</v>
      </c>
      <c r="O42">
        <v>13</v>
      </c>
      <c r="P42" t="s">
        <v>22</v>
      </c>
    </row>
    <row r="43" spans="1:16" x14ac:dyDescent="0.55000000000000004">
      <c r="A43">
        <v>1774935904</v>
      </c>
      <c r="B43" t="s">
        <v>16</v>
      </c>
      <c r="C43" t="s">
        <v>17</v>
      </c>
      <c r="D43">
        <v>4568.88</v>
      </c>
      <c r="E43" t="s">
        <v>20</v>
      </c>
      <c r="F43">
        <v>4581.6400000000003</v>
      </c>
      <c r="G43">
        <v>4548.26</v>
      </c>
      <c r="H43">
        <v>4619.84</v>
      </c>
      <c r="I43">
        <v>4482.6899999999996</v>
      </c>
      <c r="J43">
        <v>4528.66</v>
      </c>
      <c r="K43">
        <v>4492.83</v>
      </c>
      <c r="L43">
        <v>33.380000000000003</v>
      </c>
      <c r="M43">
        <v>0.73</v>
      </c>
      <c r="N43">
        <v>0</v>
      </c>
      <c r="O43">
        <v>3</v>
      </c>
      <c r="P43" t="s">
        <v>21</v>
      </c>
    </row>
    <row r="44" spans="1:16" x14ac:dyDescent="0.55000000000000004">
      <c r="A44">
        <v>1774953004</v>
      </c>
      <c r="B44" t="s">
        <v>16</v>
      </c>
      <c r="C44" t="s">
        <v>17</v>
      </c>
      <c r="D44">
        <v>4541.2299999999996</v>
      </c>
      <c r="E44" t="s">
        <v>18</v>
      </c>
      <c r="F44">
        <v>4529.84</v>
      </c>
      <c r="G44">
        <v>4581.6400000000003</v>
      </c>
      <c r="H44">
        <v>4548.26</v>
      </c>
      <c r="I44">
        <v>4619.84</v>
      </c>
      <c r="J44">
        <v>4482.6899999999996</v>
      </c>
      <c r="K44">
        <v>4528.66</v>
      </c>
      <c r="L44">
        <v>-51.8</v>
      </c>
      <c r="M44">
        <v>-1.1299999999999999</v>
      </c>
      <c r="N44">
        <v>3</v>
      </c>
      <c r="O44">
        <v>19</v>
      </c>
      <c r="P44" t="s">
        <v>19</v>
      </c>
    </row>
    <row r="45" spans="1:16" x14ac:dyDescent="0.55000000000000004">
      <c r="A45">
        <v>1775005204</v>
      </c>
      <c r="B45" t="s">
        <v>16</v>
      </c>
      <c r="C45" t="s">
        <v>17</v>
      </c>
      <c r="D45">
        <v>4708.04</v>
      </c>
      <c r="E45" t="s">
        <v>20</v>
      </c>
      <c r="F45">
        <v>4724.3999999999996</v>
      </c>
      <c r="G45">
        <v>4529.84</v>
      </c>
      <c r="H45">
        <v>4581.6400000000003</v>
      </c>
      <c r="I45">
        <v>4548.26</v>
      </c>
      <c r="J45">
        <v>4619.84</v>
      </c>
      <c r="K45">
        <v>4482.6899999999996</v>
      </c>
      <c r="L45">
        <v>194.56</v>
      </c>
      <c r="M45">
        <v>4.3</v>
      </c>
      <c r="N45">
        <v>0</v>
      </c>
      <c r="O45">
        <v>54</v>
      </c>
      <c r="P45" t="s">
        <v>23</v>
      </c>
    </row>
    <row r="46" spans="1:16" x14ac:dyDescent="0.55000000000000004">
      <c r="A46">
        <v>1775016904</v>
      </c>
      <c r="B46" t="s">
        <v>16</v>
      </c>
      <c r="C46" t="s">
        <v>17</v>
      </c>
      <c r="D46">
        <v>4672.5600000000004</v>
      </c>
      <c r="E46" t="s">
        <v>18</v>
      </c>
      <c r="F46">
        <v>4666.96</v>
      </c>
      <c r="G46">
        <v>4724.3999999999996</v>
      </c>
      <c r="H46">
        <v>4529.84</v>
      </c>
      <c r="I46">
        <v>4581.6400000000003</v>
      </c>
      <c r="J46">
        <v>4548.26</v>
      </c>
      <c r="K46">
        <v>4619.84</v>
      </c>
      <c r="L46">
        <v>-57.44</v>
      </c>
      <c r="M46">
        <v>-1.22</v>
      </c>
      <c r="N46">
        <v>3</v>
      </c>
      <c r="O46">
        <v>13</v>
      </c>
      <c r="P46" t="s">
        <v>22</v>
      </c>
    </row>
    <row r="47" spans="1:16" x14ac:dyDescent="0.55000000000000004">
      <c r="A47">
        <v>1775062804</v>
      </c>
      <c r="B47" t="s">
        <v>16</v>
      </c>
      <c r="C47" t="s">
        <v>17</v>
      </c>
      <c r="D47">
        <v>4788.67</v>
      </c>
      <c r="E47" t="s">
        <v>20</v>
      </c>
      <c r="F47">
        <v>4793.1400000000003</v>
      </c>
      <c r="G47">
        <v>4666.96</v>
      </c>
      <c r="H47">
        <v>4724.3999999999996</v>
      </c>
      <c r="I47">
        <v>4529.84</v>
      </c>
      <c r="J47">
        <v>4581.6400000000003</v>
      </c>
      <c r="K47">
        <v>4548.26</v>
      </c>
      <c r="L47">
        <v>126.18</v>
      </c>
      <c r="M47">
        <v>2.7</v>
      </c>
      <c r="N47">
        <v>0</v>
      </c>
      <c r="O47">
        <v>51</v>
      </c>
      <c r="P47" t="s">
        <v>23</v>
      </c>
    </row>
    <row r="48" spans="1:16" x14ac:dyDescent="0.55000000000000004">
      <c r="A48">
        <v>1775068204</v>
      </c>
      <c r="B48" t="s">
        <v>16</v>
      </c>
      <c r="C48" t="s">
        <v>17</v>
      </c>
      <c r="D48">
        <v>4756.49</v>
      </c>
      <c r="E48" t="s">
        <v>18</v>
      </c>
      <c r="F48">
        <v>4742.2</v>
      </c>
      <c r="G48">
        <v>4793.1400000000003</v>
      </c>
      <c r="H48">
        <v>4666.96</v>
      </c>
      <c r="I48">
        <v>4724.3999999999996</v>
      </c>
      <c r="J48">
        <v>4529.84</v>
      </c>
      <c r="K48">
        <v>4581.6400000000003</v>
      </c>
      <c r="L48">
        <v>-50.94</v>
      </c>
      <c r="M48">
        <v>-1.06</v>
      </c>
      <c r="N48">
        <v>3</v>
      </c>
      <c r="O48">
        <v>6</v>
      </c>
      <c r="P48" t="s">
        <v>22</v>
      </c>
    </row>
    <row r="49" spans="1:16" x14ac:dyDescent="0.55000000000000004">
      <c r="A49">
        <v>1775086204</v>
      </c>
      <c r="B49" t="s">
        <v>16</v>
      </c>
      <c r="C49" t="s">
        <v>17</v>
      </c>
      <c r="D49">
        <v>4789.57</v>
      </c>
      <c r="E49" t="s">
        <v>20</v>
      </c>
      <c r="F49">
        <v>4800.45</v>
      </c>
      <c r="G49">
        <v>4742.2</v>
      </c>
      <c r="H49">
        <v>4793.1400000000003</v>
      </c>
      <c r="I49">
        <v>4666.96</v>
      </c>
      <c r="J49">
        <v>4724.3999999999996</v>
      </c>
      <c r="K49">
        <v>4529.84</v>
      </c>
      <c r="L49">
        <v>58.25</v>
      </c>
      <c r="M49">
        <v>1.23</v>
      </c>
      <c r="N49">
        <v>0</v>
      </c>
      <c r="O49">
        <v>16</v>
      </c>
      <c r="P49" t="s">
        <v>23</v>
      </c>
    </row>
    <row r="50" spans="1:16" x14ac:dyDescent="0.55000000000000004">
      <c r="A50">
        <v>1775109604</v>
      </c>
      <c r="B50" t="s">
        <v>16</v>
      </c>
      <c r="C50" t="s">
        <v>17</v>
      </c>
      <c r="D50">
        <v>4581</v>
      </c>
      <c r="E50" t="s">
        <v>18</v>
      </c>
      <c r="F50">
        <v>4553.95</v>
      </c>
      <c r="G50">
        <v>4800.45</v>
      </c>
      <c r="H50">
        <v>4742.2</v>
      </c>
      <c r="I50">
        <v>4793.1400000000003</v>
      </c>
      <c r="J50">
        <v>4666.96</v>
      </c>
      <c r="K50">
        <v>4724.3999999999996</v>
      </c>
      <c r="L50">
        <v>-246.5</v>
      </c>
      <c r="M50">
        <v>-5.13</v>
      </c>
      <c r="N50">
        <v>3</v>
      </c>
      <c r="O50">
        <v>26</v>
      </c>
      <c r="P50" t="s">
        <v>19</v>
      </c>
    </row>
    <row r="51" spans="1:16" x14ac:dyDescent="0.55000000000000004">
      <c r="A51">
        <v>1775140204</v>
      </c>
      <c r="B51" t="s">
        <v>16</v>
      </c>
      <c r="C51" t="s">
        <v>17</v>
      </c>
      <c r="D51">
        <v>4693.91</v>
      </c>
      <c r="E51" t="s">
        <v>20</v>
      </c>
      <c r="F51">
        <v>4699.1499999999996</v>
      </c>
      <c r="G51">
        <v>4553.95</v>
      </c>
      <c r="H51">
        <v>4800.45</v>
      </c>
      <c r="I51">
        <v>4742.2</v>
      </c>
      <c r="J51">
        <v>4793.1400000000003</v>
      </c>
      <c r="K51">
        <v>4666.96</v>
      </c>
      <c r="L51">
        <v>145.19999999999999</v>
      </c>
      <c r="M51">
        <v>3.19</v>
      </c>
      <c r="N51">
        <v>0</v>
      </c>
      <c r="O51">
        <v>34</v>
      </c>
      <c r="P51" t="s">
        <v>21</v>
      </c>
    </row>
    <row r="52" spans="1:16" x14ac:dyDescent="0.55000000000000004">
      <c r="A52">
        <v>1775434504</v>
      </c>
      <c r="B52" t="s">
        <v>16</v>
      </c>
      <c r="C52" t="s">
        <v>17</v>
      </c>
      <c r="D52">
        <v>4603.5200000000004</v>
      </c>
      <c r="E52" t="s">
        <v>18</v>
      </c>
      <c r="F52">
        <v>4601.05</v>
      </c>
      <c r="G52">
        <v>4699.1499999999996</v>
      </c>
      <c r="H52">
        <v>4553.95</v>
      </c>
      <c r="I52">
        <v>4800.45</v>
      </c>
      <c r="J52">
        <v>4742.2</v>
      </c>
      <c r="K52">
        <v>4793.1400000000003</v>
      </c>
      <c r="L52">
        <v>-98.1</v>
      </c>
      <c r="M52">
        <v>-2.09</v>
      </c>
      <c r="N52">
        <v>3</v>
      </c>
      <c r="O52">
        <v>35</v>
      </c>
      <c r="P52" t="s">
        <v>22</v>
      </c>
    </row>
    <row r="53" spans="1:16" x14ac:dyDescent="0.55000000000000004">
      <c r="A53">
        <v>1775467804</v>
      </c>
      <c r="B53" t="s">
        <v>16</v>
      </c>
      <c r="C53" t="s">
        <v>17</v>
      </c>
      <c r="D53">
        <v>4703.45</v>
      </c>
      <c r="E53" t="s">
        <v>20</v>
      </c>
      <c r="F53">
        <v>4706.47</v>
      </c>
      <c r="G53">
        <v>4601.05</v>
      </c>
      <c r="H53">
        <v>4699.1499999999996</v>
      </c>
      <c r="I53">
        <v>4553.95</v>
      </c>
      <c r="J53">
        <v>4800.45</v>
      </c>
      <c r="K53">
        <v>4742.2</v>
      </c>
      <c r="L53">
        <v>105.42</v>
      </c>
      <c r="M53">
        <v>2.29</v>
      </c>
      <c r="N53">
        <v>0</v>
      </c>
      <c r="O53">
        <v>37</v>
      </c>
      <c r="P53" t="s">
        <v>23</v>
      </c>
    </row>
    <row r="54" spans="1:16" x14ac:dyDescent="0.55000000000000004">
      <c r="A54">
        <v>1775477704</v>
      </c>
      <c r="B54" t="s">
        <v>16</v>
      </c>
      <c r="C54" t="s">
        <v>17</v>
      </c>
      <c r="D54">
        <v>4666.07</v>
      </c>
      <c r="E54" t="s">
        <v>18</v>
      </c>
      <c r="F54">
        <v>4659.58</v>
      </c>
      <c r="G54">
        <v>4706.47</v>
      </c>
      <c r="H54">
        <v>4601.05</v>
      </c>
      <c r="I54">
        <v>4699.1499999999996</v>
      </c>
      <c r="J54">
        <v>4553.95</v>
      </c>
      <c r="K54">
        <v>4800.45</v>
      </c>
      <c r="L54">
        <v>-46.89</v>
      </c>
      <c r="M54">
        <v>-1</v>
      </c>
      <c r="N54">
        <v>3</v>
      </c>
      <c r="O54">
        <v>11</v>
      </c>
      <c r="P54" t="s">
        <v>22</v>
      </c>
    </row>
    <row r="55" spans="1:16" x14ac:dyDescent="0.55000000000000004">
      <c r="A55">
        <v>1775485804</v>
      </c>
      <c r="B55" t="s">
        <v>16</v>
      </c>
      <c r="C55" t="s">
        <v>17</v>
      </c>
      <c r="D55">
        <v>4684.6499999999996</v>
      </c>
      <c r="E55" t="s">
        <v>20</v>
      </c>
      <c r="F55">
        <v>4697.83</v>
      </c>
      <c r="G55">
        <v>4659.58</v>
      </c>
      <c r="H55">
        <v>4706.47</v>
      </c>
      <c r="I55">
        <v>4601.05</v>
      </c>
      <c r="J55">
        <v>4699.1499999999996</v>
      </c>
      <c r="K55">
        <v>4553.95</v>
      </c>
      <c r="L55">
        <v>38.25</v>
      </c>
      <c r="M55">
        <v>0.82</v>
      </c>
      <c r="N55">
        <v>0</v>
      </c>
      <c r="O55">
        <v>9</v>
      </c>
      <c r="P55" t="s">
        <v>21</v>
      </c>
    </row>
    <row r="56" spans="1:16" x14ac:dyDescent="0.55000000000000004">
      <c r="A56">
        <v>1775502904</v>
      </c>
      <c r="B56" t="s">
        <v>16</v>
      </c>
      <c r="C56" t="s">
        <v>17</v>
      </c>
      <c r="D56">
        <v>4650.38</v>
      </c>
      <c r="E56" t="s">
        <v>18</v>
      </c>
      <c r="F56">
        <v>4645.75</v>
      </c>
      <c r="G56">
        <v>4697.83</v>
      </c>
      <c r="H56">
        <v>4659.58</v>
      </c>
      <c r="I56">
        <v>4706.47</v>
      </c>
      <c r="J56">
        <v>4601.05</v>
      </c>
      <c r="K56">
        <v>4699.1499999999996</v>
      </c>
      <c r="L56">
        <v>-52.08</v>
      </c>
      <c r="M56">
        <v>-1.1100000000000001</v>
      </c>
      <c r="N56">
        <v>3</v>
      </c>
      <c r="O56">
        <v>19</v>
      </c>
      <c r="P56" t="s">
        <v>19</v>
      </c>
    </row>
    <row r="57" spans="1:16" x14ac:dyDescent="0.55000000000000004">
      <c r="A57">
        <v>1775512804</v>
      </c>
      <c r="B57" t="s">
        <v>16</v>
      </c>
      <c r="C57" t="s">
        <v>17</v>
      </c>
      <c r="D57">
        <v>4663.66</v>
      </c>
      <c r="E57" t="s">
        <v>20</v>
      </c>
      <c r="F57">
        <v>4667.87</v>
      </c>
      <c r="G57">
        <v>4645.75</v>
      </c>
      <c r="H57">
        <v>4697.83</v>
      </c>
      <c r="I57">
        <v>4659.58</v>
      </c>
      <c r="J57">
        <v>4706.47</v>
      </c>
      <c r="K57">
        <v>4601.05</v>
      </c>
      <c r="L57">
        <v>22.12</v>
      </c>
      <c r="M57">
        <v>0.48</v>
      </c>
      <c r="N57">
        <v>0</v>
      </c>
      <c r="O57">
        <v>7</v>
      </c>
      <c r="P57" t="s">
        <v>21</v>
      </c>
    </row>
    <row r="58" spans="1:16" x14ac:dyDescent="0.55000000000000004">
      <c r="A58">
        <v>1775526304</v>
      </c>
      <c r="B58" t="s">
        <v>16</v>
      </c>
      <c r="C58" t="s">
        <v>17</v>
      </c>
      <c r="D58">
        <v>4627.1400000000003</v>
      </c>
      <c r="E58" t="s">
        <v>18</v>
      </c>
      <c r="F58">
        <v>4616.5</v>
      </c>
      <c r="G58">
        <v>4667.87</v>
      </c>
      <c r="H58">
        <v>4645.75</v>
      </c>
      <c r="I58">
        <v>4697.83</v>
      </c>
      <c r="J58">
        <v>4659.58</v>
      </c>
      <c r="K58">
        <v>4706.47</v>
      </c>
      <c r="L58">
        <v>-51.37</v>
      </c>
      <c r="M58">
        <v>-1.1000000000000001</v>
      </c>
      <c r="N58">
        <v>3</v>
      </c>
      <c r="O58">
        <v>15</v>
      </c>
      <c r="P58" t="s">
        <v>19</v>
      </c>
    </row>
    <row r="59" spans="1:16" x14ac:dyDescent="0.55000000000000004">
      <c r="A59">
        <v>1775536204</v>
      </c>
      <c r="B59" t="s">
        <v>16</v>
      </c>
      <c r="C59" t="s">
        <v>17</v>
      </c>
      <c r="D59">
        <v>4661.8100000000004</v>
      </c>
      <c r="E59" t="s">
        <v>20</v>
      </c>
      <c r="F59">
        <v>4663.28</v>
      </c>
      <c r="G59">
        <v>4616.5</v>
      </c>
      <c r="H59">
        <v>4667.87</v>
      </c>
      <c r="I59">
        <v>4645.75</v>
      </c>
      <c r="J59">
        <v>4697.83</v>
      </c>
      <c r="K59">
        <v>4659.58</v>
      </c>
      <c r="L59">
        <v>46.78</v>
      </c>
      <c r="M59">
        <v>1.01</v>
      </c>
      <c r="N59">
        <v>0</v>
      </c>
      <c r="O59">
        <v>11</v>
      </c>
      <c r="P59" t="s">
        <v>21</v>
      </c>
    </row>
    <row r="60" spans="1:16" x14ac:dyDescent="0.55000000000000004">
      <c r="A60">
        <v>1775539804</v>
      </c>
      <c r="B60" t="s">
        <v>16</v>
      </c>
      <c r="C60" t="s">
        <v>17</v>
      </c>
      <c r="D60">
        <v>4631.75</v>
      </c>
      <c r="E60" t="s">
        <v>18</v>
      </c>
      <c r="F60">
        <v>4623.4799999999996</v>
      </c>
      <c r="G60">
        <v>4663.28</v>
      </c>
      <c r="H60">
        <v>4616.5</v>
      </c>
      <c r="I60">
        <v>4667.87</v>
      </c>
      <c r="J60">
        <v>4645.75</v>
      </c>
      <c r="K60">
        <v>4697.83</v>
      </c>
      <c r="L60">
        <v>-39.799999999999997</v>
      </c>
      <c r="M60">
        <v>-0.85</v>
      </c>
      <c r="N60">
        <v>3</v>
      </c>
      <c r="O60">
        <v>4</v>
      </c>
      <c r="P60" t="s">
        <v>22</v>
      </c>
    </row>
    <row r="61" spans="1:16" x14ac:dyDescent="0.55000000000000004">
      <c r="A61">
        <v>1775553304</v>
      </c>
      <c r="B61" t="s">
        <v>16</v>
      </c>
      <c r="C61" t="s">
        <v>17</v>
      </c>
      <c r="D61">
        <v>4686.92</v>
      </c>
      <c r="E61" t="s">
        <v>20</v>
      </c>
      <c r="F61">
        <v>4694.3100000000004</v>
      </c>
      <c r="G61">
        <v>4623.4799999999996</v>
      </c>
      <c r="H61">
        <v>4663.28</v>
      </c>
      <c r="I61">
        <v>4616.5</v>
      </c>
      <c r="J61">
        <v>4667.87</v>
      </c>
      <c r="K61">
        <v>4645.75</v>
      </c>
      <c r="L61">
        <v>70.83</v>
      </c>
      <c r="M61">
        <v>1.53</v>
      </c>
      <c r="N61">
        <v>0</v>
      </c>
      <c r="O61">
        <v>15</v>
      </c>
      <c r="P61" t="s">
        <v>23</v>
      </c>
    </row>
    <row r="62" spans="1:16" x14ac:dyDescent="0.55000000000000004">
      <c r="A62">
        <v>1775570404</v>
      </c>
      <c r="B62" t="s">
        <v>16</v>
      </c>
      <c r="C62" t="s">
        <v>17</v>
      </c>
      <c r="D62">
        <v>4622.28</v>
      </c>
      <c r="E62" t="s">
        <v>18</v>
      </c>
      <c r="F62">
        <v>4607.91</v>
      </c>
      <c r="G62">
        <v>4694.3100000000004</v>
      </c>
      <c r="H62">
        <v>4623.4799999999996</v>
      </c>
      <c r="I62">
        <v>4663.28</v>
      </c>
      <c r="J62">
        <v>4616.5</v>
      </c>
      <c r="K62">
        <v>4667.87</v>
      </c>
      <c r="L62">
        <v>-86.4</v>
      </c>
      <c r="M62">
        <v>-1.84</v>
      </c>
      <c r="N62">
        <v>3</v>
      </c>
      <c r="O62">
        <v>19</v>
      </c>
      <c r="P62" t="s">
        <v>19</v>
      </c>
    </row>
    <row r="63" spans="1:16" x14ac:dyDescent="0.55000000000000004">
      <c r="A63">
        <v>1775606404</v>
      </c>
      <c r="B63" t="s">
        <v>16</v>
      </c>
      <c r="C63" t="s">
        <v>17</v>
      </c>
      <c r="D63">
        <v>4834.2700000000004</v>
      </c>
      <c r="E63" t="s">
        <v>20</v>
      </c>
      <c r="F63">
        <v>4857.37</v>
      </c>
      <c r="G63">
        <v>4607.91</v>
      </c>
      <c r="H63">
        <v>4694.3100000000004</v>
      </c>
      <c r="I63">
        <v>4623.4799999999996</v>
      </c>
      <c r="J63">
        <v>4663.28</v>
      </c>
      <c r="K63">
        <v>4616.5</v>
      </c>
      <c r="L63">
        <v>249.46</v>
      </c>
      <c r="M63">
        <v>5.41</v>
      </c>
      <c r="N63">
        <v>2</v>
      </c>
      <c r="O63">
        <v>36</v>
      </c>
      <c r="P63" t="s">
        <v>23</v>
      </c>
    </row>
    <row r="64" spans="1:16" x14ac:dyDescent="0.55000000000000004">
      <c r="A64">
        <v>1775643304</v>
      </c>
      <c r="B64" t="s">
        <v>16</v>
      </c>
      <c r="C64" t="s">
        <v>17</v>
      </c>
      <c r="D64">
        <v>4782.6099999999997</v>
      </c>
      <c r="E64" t="s">
        <v>18</v>
      </c>
      <c r="F64">
        <v>4771.22</v>
      </c>
      <c r="G64">
        <v>4857.37</v>
      </c>
      <c r="H64">
        <v>4607.91</v>
      </c>
      <c r="I64">
        <v>4694.3100000000004</v>
      </c>
      <c r="J64">
        <v>4623.4799999999996</v>
      </c>
      <c r="K64">
        <v>4663.28</v>
      </c>
      <c r="L64">
        <v>-86.15</v>
      </c>
      <c r="M64">
        <v>-1.77</v>
      </c>
      <c r="N64">
        <v>3</v>
      </c>
      <c r="O64">
        <v>41</v>
      </c>
      <c r="P64" t="s">
        <v>22</v>
      </c>
    </row>
    <row r="65" spans="1:16" x14ac:dyDescent="0.55000000000000004">
      <c r="A65">
        <v>1775649604</v>
      </c>
      <c r="B65" t="s">
        <v>16</v>
      </c>
      <c r="C65" t="s">
        <v>17</v>
      </c>
      <c r="D65">
        <v>4805.3100000000004</v>
      </c>
      <c r="E65" t="s">
        <v>20</v>
      </c>
      <c r="F65">
        <v>4807.34</v>
      </c>
      <c r="G65">
        <v>4771.22</v>
      </c>
      <c r="H65">
        <v>4857.37</v>
      </c>
      <c r="I65">
        <v>4607.91</v>
      </c>
      <c r="J65">
        <v>4694.3100000000004</v>
      </c>
      <c r="K65">
        <v>4623.4799999999996</v>
      </c>
      <c r="L65">
        <v>36.119999999999997</v>
      </c>
      <c r="M65">
        <v>0.76</v>
      </c>
      <c r="N65">
        <v>0</v>
      </c>
      <c r="O65">
        <v>7</v>
      </c>
      <c r="P65" t="s">
        <v>21</v>
      </c>
    </row>
    <row r="66" spans="1:16" x14ac:dyDescent="0.55000000000000004">
      <c r="A66">
        <v>1775692804</v>
      </c>
      <c r="B66" t="s">
        <v>16</v>
      </c>
      <c r="C66" t="s">
        <v>17</v>
      </c>
      <c r="D66">
        <v>4702.29</v>
      </c>
      <c r="E66" t="s">
        <v>18</v>
      </c>
      <c r="F66">
        <v>4698.51</v>
      </c>
      <c r="G66">
        <v>4807.34</v>
      </c>
      <c r="H66">
        <v>4771.22</v>
      </c>
      <c r="I66">
        <v>4857.37</v>
      </c>
      <c r="J66">
        <v>4607.91</v>
      </c>
      <c r="K66">
        <v>4694.3100000000004</v>
      </c>
      <c r="L66">
        <v>-108.83</v>
      </c>
      <c r="M66">
        <v>-2.2599999999999998</v>
      </c>
      <c r="N66">
        <v>3</v>
      </c>
      <c r="O66">
        <v>44</v>
      </c>
      <c r="P66" t="s">
        <v>19</v>
      </c>
    </row>
    <row r="67" spans="1:16" x14ac:dyDescent="0.55000000000000004">
      <c r="A67">
        <v>1775702704</v>
      </c>
      <c r="B67" t="s">
        <v>16</v>
      </c>
      <c r="C67" t="s">
        <v>17</v>
      </c>
      <c r="D67">
        <v>4719.3</v>
      </c>
      <c r="E67" t="s">
        <v>20</v>
      </c>
      <c r="F67">
        <v>4733.0200000000004</v>
      </c>
      <c r="G67">
        <v>4698.51</v>
      </c>
      <c r="H67">
        <v>4807.34</v>
      </c>
      <c r="I67">
        <v>4771.22</v>
      </c>
      <c r="J67">
        <v>4857.37</v>
      </c>
      <c r="K67">
        <v>4607.91</v>
      </c>
      <c r="L67">
        <v>34.51</v>
      </c>
      <c r="M67">
        <v>0.73</v>
      </c>
      <c r="N67">
        <v>0</v>
      </c>
      <c r="O67">
        <v>11</v>
      </c>
      <c r="P67" t="s">
        <v>21</v>
      </c>
    </row>
    <row r="68" spans="1:16" x14ac:dyDescent="0.55000000000000004">
      <c r="A68">
        <v>1775717104</v>
      </c>
      <c r="B68" t="s">
        <v>16</v>
      </c>
      <c r="C68" t="s">
        <v>17</v>
      </c>
      <c r="D68">
        <v>4712.5</v>
      </c>
      <c r="E68" t="s">
        <v>18</v>
      </c>
      <c r="F68">
        <v>4703.46</v>
      </c>
      <c r="G68">
        <v>4733.0200000000004</v>
      </c>
      <c r="H68">
        <v>4698.51</v>
      </c>
      <c r="I68">
        <v>4807.34</v>
      </c>
      <c r="J68">
        <v>4771.22</v>
      </c>
      <c r="K68">
        <v>4857.37</v>
      </c>
      <c r="L68">
        <v>-29.56</v>
      </c>
      <c r="M68">
        <v>-0.62</v>
      </c>
      <c r="N68">
        <v>3</v>
      </c>
      <c r="O68">
        <v>16</v>
      </c>
      <c r="P68" t="s">
        <v>22</v>
      </c>
    </row>
    <row r="69" spans="1:16" x14ac:dyDescent="0.55000000000000004">
      <c r="A69">
        <v>1775755804</v>
      </c>
      <c r="B69" t="s">
        <v>16</v>
      </c>
      <c r="C69" t="s">
        <v>17</v>
      </c>
      <c r="D69">
        <v>4795.37</v>
      </c>
      <c r="E69" t="s">
        <v>20</v>
      </c>
      <c r="F69">
        <v>4800.93</v>
      </c>
      <c r="G69">
        <v>4703.46</v>
      </c>
      <c r="H69">
        <v>4733.0200000000004</v>
      </c>
      <c r="I69">
        <v>4698.51</v>
      </c>
      <c r="J69">
        <v>4807.34</v>
      </c>
      <c r="K69">
        <v>4771.22</v>
      </c>
      <c r="L69">
        <v>97.47</v>
      </c>
      <c r="M69">
        <v>2.0699999999999998</v>
      </c>
      <c r="N69">
        <v>0</v>
      </c>
      <c r="O69">
        <v>43</v>
      </c>
      <c r="P69" t="s">
        <v>23</v>
      </c>
    </row>
    <row r="70" spans="1:16" x14ac:dyDescent="0.55000000000000004">
      <c r="A70">
        <v>1775779204</v>
      </c>
      <c r="B70" t="s">
        <v>16</v>
      </c>
      <c r="C70" t="s">
        <v>17</v>
      </c>
      <c r="D70">
        <v>4754.03</v>
      </c>
      <c r="E70" t="s">
        <v>18</v>
      </c>
      <c r="F70">
        <v>4750.74</v>
      </c>
      <c r="G70">
        <v>4800.93</v>
      </c>
      <c r="H70">
        <v>4703.46</v>
      </c>
      <c r="I70">
        <v>4733.0200000000004</v>
      </c>
      <c r="J70">
        <v>4698.51</v>
      </c>
      <c r="K70">
        <v>4807.34</v>
      </c>
      <c r="L70">
        <v>-50.19</v>
      </c>
      <c r="M70">
        <v>-1.05</v>
      </c>
      <c r="N70">
        <v>3</v>
      </c>
      <c r="O70">
        <v>22</v>
      </c>
      <c r="P70" t="s">
        <v>22</v>
      </c>
    </row>
    <row r="71" spans="1:16" x14ac:dyDescent="0.55000000000000004">
      <c r="A71">
        <v>1775784604</v>
      </c>
      <c r="B71" t="s">
        <v>16</v>
      </c>
      <c r="C71" t="s">
        <v>17</v>
      </c>
      <c r="D71">
        <v>4771.97</v>
      </c>
      <c r="E71" t="s">
        <v>20</v>
      </c>
      <c r="F71">
        <v>4777.3100000000004</v>
      </c>
      <c r="G71">
        <v>4750.74</v>
      </c>
      <c r="H71">
        <v>4800.93</v>
      </c>
      <c r="I71">
        <v>4703.46</v>
      </c>
      <c r="J71">
        <v>4733.0200000000004</v>
      </c>
      <c r="K71">
        <v>4698.51</v>
      </c>
      <c r="L71">
        <v>26.57</v>
      </c>
      <c r="M71">
        <v>0.56000000000000005</v>
      </c>
      <c r="N71">
        <v>0</v>
      </c>
      <c r="O71">
        <v>6</v>
      </c>
      <c r="P71" t="s">
        <v>21</v>
      </c>
    </row>
    <row r="72" spans="1:16" x14ac:dyDescent="0.55000000000000004">
      <c r="A72">
        <v>1775810704</v>
      </c>
      <c r="B72" t="s">
        <v>16</v>
      </c>
      <c r="C72" t="s">
        <v>17</v>
      </c>
      <c r="D72">
        <v>4741.04</v>
      </c>
      <c r="E72" t="s">
        <v>18</v>
      </c>
      <c r="F72">
        <v>4730.8100000000004</v>
      </c>
      <c r="G72">
        <v>4777.3100000000004</v>
      </c>
      <c r="H72">
        <v>4750.74</v>
      </c>
      <c r="I72">
        <v>4800.93</v>
      </c>
      <c r="J72">
        <v>4703.46</v>
      </c>
      <c r="K72">
        <v>4733.0200000000004</v>
      </c>
      <c r="L72">
        <v>-46.5</v>
      </c>
      <c r="M72">
        <v>-0.97</v>
      </c>
      <c r="N72">
        <v>3</v>
      </c>
      <c r="O72">
        <v>29</v>
      </c>
      <c r="P72" t="s">
        <v>19</v>
      </c>
    </row>
    <row r="73" spans="1:16" x14ac:dyDescent="0.55000000000000004">
      <c r="A73">
        <v>1775831404</v>
      </c>
      <c r="B73" t="s">
        <v>16</v>
      </c>
      <c r="C73" t="s">
        <v>17</v>
      </c>
      <c r="D73">
        <v>4780.79</v>
      </c>
      <c r="E73" t="s">
        <v>20</v>
      </c>
      <c r="F73">
        <v>4794.96</v>
      </c>
      <c r="G73">
        <v>4730.8100000000004</v>
      </c>
      <c r="H73">
        <v>4777.3100000000004</v>
      </c>
      <c r="I73">
        <v>4750.74</v>
      </c>
      <c r="J73">
        <v>4800.93</v>
      </c>
      <c r="K73">
        <v>4703.46</v>
      </c>
      <c r="L73">
        <v>64.150000000000006</v>
      </c>
      <c r="M73">
        <v>1.36</v>
      </c>
      <c r="N73">
        <v>0</v>
      </c>
      <c r="O73">
        <v>23</v>
      </c>
      <c r="P73" t="s">
        <v>23</v>
      </c>
    </row>
    <row r="74" spans="1:16" x14ac:dyDescent="0.55000000000000004">
      <c r="A74">
        <v>1775836804</v>
      </c>
      <c r="B74" t="s">
        <v>16</v>
      </c>
      <c r="C74" t="s">
        <v>17</v>
      </c>
      <c r="D74">
        <v>4763.3599999999997</v>
      </c>
      <c r="E74" t="s">
        <v>18</v>
      </c>
      <c r="F74">
        <v>4747.5</v>
      </c>
      <c r="G74">
        <v>4794.96</v>
      </c>
      <c r="H74">
        <v>4730.8100000000004</v>
      </c>
      <c r="I74">
        <v>4777.3100000000004</v>
      </c>
      <c r="J74">
        <v>4750.74</v>
      </c>
      <c r="K74">
        <v>4800.93</v>
      </c>
      <c r="L74">
        <v>-47.46</v>
      </c>
      <c r="M74">
        <v>-0.99</v>
      </c>
      <c r="N74">
        <v>3</v>
      </c>
      <c r="O74">
        <v>6</v>
      </c>
      <c r="P74" t="s">
        <v>22</v>
      </c>
    </row>
    <row r="75" spans="1:16" x14ac:dyDescent="0.55000000000000004">
      <c r="A75">
        <v>1775845804</v>
      </c>
      <c r="B75" t="s">
        <v>16</v>
      </c>
      <c r="C75" t="s">
        <v>17</v>
      </c>
      <c r="D75">
        <v>4768.22</v>
      </c>
      <c r="E75" t="s">
        <v>20</v>
      </c>
      <c r="F75">
        <v>4773.08</v>
      </c>
      <c r="G75">
        <v>4747.5</v>
      </c>
      <c r="H75">
        <v>4794.96</v>
      </c>
      <c r="I75">
        <v>4730.8100000000004</v>
      </c>
      <c r="J75">
        <v>4777.3100000000004</v>
      </c>
      <c r="K75">
        <v>4750.74</v>
      </c>
      <c r="L75">
        <v>25.58</v>
      </c>
      <c r="M75">
        <v>0.54</v>
      </c>
      <c r="N75">
        <v>0</v>
      </c>
      <c r="O75">
        <v>10</v>
      </c>
      <c r="P75" t="s">
        <v>21</v>
      </c>
    </row>
    <row r="76" spans="1:16" x14ac:dyDescent="0.55000000000000004">
      <c r="A76">
        <v>1776031204</v>
      </c>
      <c r="B76" t="s">
        <v>16</v>
      </c>
      <c r="C76" t="s">
        <v>17</v>
      </c>
      <c r="D76">
        <v>4676.5200000000004</v>
      </c>
      <c r="E76" t="s">
        <v>18</v>
      </c>
      <c r="F76">
        <v>4638.7</v>
      </c>
      <c r="G76">
        <v>4773.08</v>
      </c>
      <c r="H76">
        <v>4747.5</v>
      </c>
      <c r="I76">
        <v>4794.96</v>
      </c>
      <c r="J76">
        <v>4730.8100000000004</v>
      </c>
      <c r="K76">
        <v>4777.3100000000004</v>
      </c>
      <c r="L76">
        <v>-134.38</v>
      </c>
      <c r="M76">
        <v>-2.82</v>
      </c>
      <c r="N76">
        <v>3</v>
      </c>
      <c r="O76">
        <v>10</v>
      </c>
      <c r="P76" t="s">
        <v>19</v>
      </c>
    </row>
    <row r="77" spans="1:16" x14ac:dyDescent="0.55000000000000004">
      <c r="A77">
        <v>1776044704</v>
      </c>
      <c r="B77" t="s">
        <v>16</v>
      </c>
      <c r="C77" t="s">
        <v>17</v>
      </c>
      <c r="D77">
        <v>4721.37</v>
      </c>
      <c r="E77" t="s">
        <v>20</v>
      </c>
      <c r="F77">
        <v>4728.3599999999997</v>
      </c>
      <c r="G77">
        <v>4638.7</v>
      </c>
      <c r="H77">
        <v>4773.08</v>
      </c>
      <c r="I77">
        <v>4747.5</v>
      </c>
      <c r="J77">
        <v>4794.96</v>
      </c>
      <c r="K77">
        <v>4730.8100000000004</v>
      </c>
      <c r="L77">
        <v>89.66</v>
      </c>
      <c r="M77">
        <v>1.93</v>
      </c>
      <c r="N77">
        <v>0</v>
      </c>
      <c r="O77">
        <v>15</v>
      </c>
      <c r="P77" t="s">
        <v>21</v>
      </c>
    </row>
    <row r="78" spans="1:16" x14ac:dyDescent="0.55000000000000004">
      <c r="A78">
        <v>1776052804</v>
      </c>
      <c r="B78" t="s">
        <v>16</v>
      </c>
      <c r="C78" t="s">
        <v>17</v>
      </c>
      <c r="D78">
        <v>4714.72</v>
      </c>
      <c r="E78" t="s">
        <v>18</v>
      </c>
      <c r="F78">
        <v>4708.62</v>
      </c>
      <c r="G78">
        <v>4728.3599999999997</v>
      </c>
      <c r="H78">
        <v>4638.7</v>
      </c>
      <c r="I78">
        <v>4773.08</v>
      </c>
      <c r="J78">
        <v>4747.5</v>
      </c>
      <c r="K78">
        <v>4794.96</v>
      </c>
      <c r="L78">
        <v>-19.739999999999998</v>
      </c>
      <c r="M78">
        <v>-0.42</v>
      </c>
      <c r="N78">
        <v>3</v>
      </c>
      <c r="O78">
        <v>9</v>
      </c>
      <c r="P78" t="s">
        <v>22</v>
      </c>
    </row>
    <row r="79" spans="1:16" x14ac:dyDescent="0.55000000000000004">
      <c r="A79">
        <v>1776066304</v>
      </c>
      <c r="B79" t="s">
        <v>16</v>
      </c>
      <c r="C79" t="s">
        <v>17</v>
      </c>
      <c r="D79">
        <v>4733.67</v>
      </c>
      <c r="E79" t="s">
        <v>20</v>
      </c>
      <c r="F79">
        <v>4740.01</v>
      </c>
      <c r="G79">
        <v>4708.62</v>
      </c>
      <c r="H79">
        <v>4728.3599999999997</v>
      </c>
      <c r="I79">
        <v>4638.7</v>
      </c>
      <c r="J79">
        <v>4773.08</v>
      </c>
      <c r="K79">
        <v>4747.5</v>
      </c>
      <c r="L79">
        <v>31.39</v>
      </c>
      <c r="M79">
        <v>0.67</v>
      </c>
      <c r="N79">
        <v>0</v>
      </c>
      <c r="O79">
        <v>15</v>
      </c>
      <c r="P79" t="s">
        <v>23</v>
      </c>
    </row>
    <row r="80" spans="1:16" x14ac:dyDescent="0.55000000000000004">
      <c r="A80">
        <v>1776080704</v>
      </c>
      <c r="B80" t="s">
        <v>16</v>
      </c>
      <c r="C80" t="s">
        <v>17</v>
      </c>
      <c r="D80">
        <v>4706.83</v>
      </c>
      <c r="E80" t="s">
        <v>18</v>
      </c>
      <c r="F80">
        <v>4703.7700000000004</v>
      </c>
      <c r="G80">
        <v>4740.01</v>
      </c>
      <c r="H80">
        <v>4708.62</v>
      </c>
      <c r="I80">
        <v>4728.3599999999997</v>
      </c>
      <c r="J80">
        <v>4638.7</v>
      </c>
      <c r="K80">
        <v>4773.08</v>
      </c>
      <c r="L80">
        <v>-36.24</v>
      </c>
      <c r="M80">
        <v>-0.76</v>
      </c>
      <c r="N80">
        <v>3</v>
      </c>
      <c r="O80">
        <v>16</v>
      </c>
      <c r="P80" t="s">
        <v>19</v>
      </c>
    </row>
    <row r="81" spans="1:16" x14ac:dyDescent="0.55000000000000004">
      <c r="A81">
        <v>1776087904</v>
      </c>
      <c r="B81" t="s">
        <v>16</v>
      </c>
      <c r="C81" t="s">
        <v>17</v>
      </c>
      <c r="D81">
        <v>4730.5600000000004</v>
      </c>
      <c r="E81" t="s">
        <v>20</v>
      </c>
      <c r="F81">
        <v>4744.59</v>
      </c>
      <c r="G81">
        <v>4703.7700000000004</v>
      </c>
      <c r="H81">
        <v>4740.01</v>
      </c>
      <c r="I81">
        <v>4708.62</v>
      </c>
      <c r="J81">
        <v>4728.3599999999997</v>
      </c>
      <c r="K81">
        <v>4638.7</v>
      </c>
      <c r="L81">
        <v>40.82</v>
      </c>
      <c r="M81">
        <v>0.87</v>
      </c>
      <c r="N81">
        <v>0</v>
      </c>
      <c r="O81">
        <v>8</v>
      </c>
      <c r="P81" t="s">
        <v>23</v>
      </c>
    </row>
    <row r="82" spans="1:16" x14ac:dyDescent="0.55000000000000004">
      <c r="A82">
        <v>1776092404</v>
      </c>
      <c r="B82" t="s">
        <v>16</v>
      </c>
      <c r="C82" t="s">
        <v>17</v>
      </c>
      <c r="D82">
        <v>4707.72</v>
      </c>
      <c r="E82" t="s">
        <v>18</v>
      </c>
      <c r="F82">
        <v>4700.51</v>
      </c>
      <c r="G82">
        <v>4744.59</v>
      </c>
      <c r="H82">
        <v>4703.7700000000004</v>
      </c>
      <c r="I82">
        <v>4740.01</v>
      </c>
      <c r="J82">
        <v>4708.62</v>
      </c>
      <c r="K82">
        <v>4728.3599999999997</v>
      </c>
      <c r="L82">
        <v>-44.08</v>
      </c>
      <c r="M82">
        <v>-0.93</v>
      </c>
      <c r="N82">
        <v>3</v>
      </c>
      <c r="O82">
        <v>5</v>
      </c>
      <c r="P82" t="s">
        <v>19</v>
      </c>
    </row>
    <row r="83" spans="1:16" x14ac:dyDescent="0.55000000000000004">
      <c r="A83">
        <v>1776134704</v>
      </c>
      <c r="B83" t="s">
        <v>16</v>
      </c>
      <c r="C83" t="s">
        <v>17</v>
      </c>
      <c r="D83">
        <v>4775.32</v>
      </c>
      <c r="E83" t="s">
        <v>20</v>
      </c>
      <c r="F83">
        <v>4777.24</v>
      </c>
      <c r="G83">
        <v>4700.51</v>
      </c>
      <c r="H83">
        <v>4744.59</v>
      </c>
      <c r="I83">
        <v>4703.7700000000004</v>
      </c>
      <c r="J83">
        <v>4740.01</v>
      </c>
      <c r="K83">
        <v>4708.62</v>
      </c>
      <c r="L83">
        <v>76.73</v>
      </c>
      <c r="M83">
        <v>1.63</v>
      </c>
      <c r="N83">
        <v>0</v>
      </c>
      <c r="O83">
        <v>43</v>
      </c>
      <c r="P83" t="s">
        <v>23</v>
      </c>
    </row>
    <row r="84" spans="1:16" x14ac:dyDescent="0.55000000000000004">
      <c r="A84">
        <v>1776144604</v>
      </c>
      <c r="B84" t="s">
        <v>16</v>
      </c>
      <c r="C84" t="s">
        <v>17</v>
      </c>
      <c r="D84">
        <v>4761.1899999999996</v>
      </c>
      <c r="E84" t="s">
        <v>18</v>
      </c>
      <c r="F84">
        <v>4757.92</v>
      </c>
      <c r="G84">
        <v>4777.24</v>
      </c>
      <c r="H84">
        <v>4700.51</v>
      </c>
      <c r="I84">
        <v>4744.59</v>
      </c>
      <c r="J84">
        <v>4703.7700000000004</v>
      </c>
      <c r="K84">
        <v>4740.01</v>
      </c>
      <c r="L84">
        <v>-19.32</v>
      </c>
      <c r="M84">
        <v>-0.4</v>
      </c>
      <c r="N84">
        <v>3</v>
      </c>
      <c r="O84">
        <v>11</v>
      </c>
      <c r="P84" t="s">
        <v>22</v>
      </c>
    </row>
    <row r="85" spans="1:16" x14ac:dyDescent="0.55000000000000004">
      <c r="A85">
        <v>1776150004</v>
      </c>
      <c r="B85" t="s">
        <v>16</v>
      </c>
      <c r="C85" t="s">
        <v>17</v>
      </c>
      <c r="D85">
        <v>4790.2</v>
      </c>
      <c r="E85" t="s">
        <v>20</v>
      </c>
      <c r="F85">
        <v>4796.16</v>
      </c>
      <c r="G85">
        <v>4757.92</v>
      </c>
      <c r="H85">
        <v>4777.24</v>
      </c>
      <c r="I85">
        <v>4700.51</v>
      </c>
      <c r="J85">
        <v>4744.59</v>
      </c>
      <c r="K85">
        <v>4703.7700000000004</v>
      </c>
      <c r="L85">
        <v>38.24</v>
      </c>
      <c r="M85">
        <v>0.8</v>
      </c>
      <c r="N85">
        <v>0</v>
      </c>
      <c r="O85">
        <v>6</v>
      </c>
      <c r="P85" t="s">
        <v>23</v>
      </c>
    </row>
    <row r="86" spans="1:16" x14ac:dyDescent="0.55000000000000004">
      <c r="A86">
        <v>1776162604</v>
      </c>
      <c r="B86" t="s">
        <v>16</v>
      </c>
      <c r="C86" t="s">
        <v>17</v>
      </c>
      <c r="D86">
        <v>4767.71</v>
      </c>
      <c r="E86" t="s">
        <v>18</v>
      </c>
      <c r="F86">
        <v>4752.6000000000004</v>
      </c>
      <c r="G86">
        <v>4796.16</v>
      </c>
      <c r="H86">
        <v>4757.92</v>
      </c>
      <c r="I86">
        <v>4777.24</v>
      </c>
      <c r="J86">
        <v>4700.51</v>
      </c>
      <c r="K86">
        <v>4744.59</v>
      </c>
      <c r="L86">
        <v>-43.56</v>
      </c>
      <c r="M86">
        <v>-0.91</v>
      </c>
      <c r="N86">
        <v>3</v>
      </c>
      <c r="O86">
        <v>14</v>
      </c>
      <c r="P86" t="s">
        <v>19</v>
      </c>
    </row>
    <row r="87" spans="1:16" x14ac:dyDescent="0.55000000000000004">
      <c r="A87">
        <v>1776204004</v>
      </c>
      <c r="B87" t="s">
        <v>16</v>
      </c>
      <c r="C87" t="s">
        <v>17</v>
      </c>
      <c r="D87">
        <v>4844.74</v>
      </c>
      <c r="E87" t="s">
        <v>20</v>
      </c>
      <c r="F87">
        <v>4850.7700000000004</v>
      </c>
      <c r="G87">
        <v>4752.6000000000004</v>
      </c>
      <c r="H87">
        <v>4796.16</v>
      </c>
      <c r="I87">
        <v>4757.92</v>
      </c>
      <c r="J87">
        <v>4777.24</v>
      </c>
      <c r="K87">
        <v>4700.51</v>
      </c>
      <c r="L87">
        <v>98.17</v>
      </c>
      <c r="M87">
        <v>2.0699999999999998</v>
      </c>
      <c r="N87">
        <v>0</v>
      </c>
      <c r="O87">
        <v>42</v>
      </c>
      <c r="P87" t="s">
        <v>23</v>
      </c>
    </row>
    <row r="88" spans="1:16" x14ac:dyDescent="0.55000000000000004">
      <c r="A88">
        <v>1776213004</v>
      </c>
      <c r="B88" t="s">
        <v>16</v>
      </c>
      <c r="C88" t="s">
        <v>17</v>
      </c>
      <c r="D88">
        <v>4830.1099999999997</v>
      </c>
      <c r="E88" t="s">
        <v>18</v>
      </c>
      <c r="F88">
        <v>4827.08</v>
      </c>
      <c r="G88">
        <v>4850.7700000000004</v>
      </c>
      <c r="H88">
        <v>4752.6000000000004</v>
      </c>
      <c r="I88">
        <v>4796.16</v>
      </c>
      <c r="J88">
        <v>4757.92</v>
      </c>
      <c r="K88">
        <v>4777.24</v>
      </c>
      <c r="L88">
        <v>-23.69</v>
      </c>
      <c r="M88">
        <v>-0.49</v>
      </c>
      <c r="N88">
        <v>3</v>
      </c>
      <c r="O88">
        <v>10</v>
      </c>
      <c r="P88" t="s">
        <v>22</v>
      </c>
    </row>
    <row r="89" spans="1:16" x14ac:dyDescent="0.55000000000000004">
      <c r="A89">
        <v>1776215704</v>
      </c>
      <c r="B89" t="s">
        <v>16</v>
      </c>
      <c r="C89" t="s">
        <v>17</v>
      </c>
      <c r="D89">
        <v>4850.79</v>
      </c>
      <c r="E89" t="s">
        <v>20</v>
      </c>
      <c r="F89">
        <v>4871.22</v>
      </c>
      <c r="G89">
        <v>4827.08</v>
      </c>
      <c r="H89">
        <v>4850.7700000000004</v>
      </c>
      <c r="I89">
        <v>4752.6000000000004</v>
      </c>
      <c r="J89">
        <v>4796.16</v>
      </c>
      <c r="K89">
        <v>4757.92</v>
      </c>
      <c r="L89">
        <v>44.14</v>
      </c>
      <c r="M89">
        <v>0.91</v>
      </c>
      <c r="N89">
        <v>0</v>
      </c>
      <c r="O89">
        <v>3</v>
      </c>
      <c r="P89" t="s">
        <v>23</v>
      </c>
    </row>
    <row r="90" spans="1:16" x14ac:dyDescent="0.55000000000000004">
      <c r="A90">
        <v>1776246304</v>
      </c>
      <c r="B90" t="s">
        <v>16</v>
      </c>
      <c r="C90" t="s">
        <v>17</v>
      </c>
      <c r="D90">
        <v>4798.21</v>
      </c>
      <c r="E90" t="s">
        <v>18</v>
      </c>
      <c r="F90">
        <v>4786.2299999999996</v>
      </c>
      <c r="G90">
        <v>4871.22</v>
      </c>
      <c r="H90">
        <v>4827.08</v>
      </c>
      <c r="I90">
        <v>4850.7700000000004</v>
      </c>
      <c r="J90">
        <v>4752.6000000000004</v>
      </c>
      <c r="K90">
        <v>4796.16</v>
      </c>
      <c r="L90">
        <v>-84.99</v>
      </c>
      <c r="M90">
        <v>-1.74</v>
      </c>
      <c r="N90">
        <v>3</v>
      </c>
      <c r="O90">
        <v>34</v>
      </c>
      <c r="P90" t="s">
        <v>19</v>
      </c>
    </row>
    <row r="91" spans="1:16" x14ac:dyDescent="0.55000000000000004">
      <c r="A91">
        <v>1776262504</v>
      </c>
      <c r="B91" t="s">
        <v>16</v>
      </c>
      <c r="C91" t="s">
        <v>17</v>
      </c>
      <c r="D91">
        <v>4825.22</v>
      </c>
      <c r="E91" t="s">
        <v>20</v>
      </c>
      <c r="F91">
        <v>4830.3900000000003</v>
      </c>
      <c r="G91">
        <v>4786.2299999999996</v>
      </c>
      <c r="H91">
        <v>4871.22</v>
      </c>
      <c r="I91">
        <v>4827.08</v>
      </c>
      <c r="J91">
        <v>4850.7700000000004</v>
      </c>
      <c r="K91">
        <v>4752.6000000000004</v>
      </c>
      <c r="L91">
        <v>44.16</v>
      </c>
      <c r="M91">
        <v>0.92</v>
      </c>
      <c r="N91">
        <v>0</v>
      </c>
      <c r="O91">
        <v>18</v>
      </c>
      <c r="P91" t="s">
        <v>21</v>
      </c>
    </row>
    <row r="92" spans="1:16" x14ac:dyDescent="0.55000000000000004">
      <c r="A92">
        <v>1776267004</v>
      </c>
      <c r="B92" t="s">
        <v>16</v>
      </c>
      <c r="C92" t="s">
        <v>17</v>
      </c>
      <c r="D92">
        <v>4803.6400000000003</v>
      </c>
      <c r="E92" t="s">
        <v>18</v>
      </c>
      <c r="F92">
        <v>4787.17</v>
      </c>
      <c r="G92">
        <v>4830.3900000000003</v>
      </c>
      <c r="H92">
        <v>4786.2299999999996</v>
      </c>
      <c r="I92">
        <v>4871.22</v>
      </c>
      <c r="J92">
        <v>4827.08</v>
      </c>
      <c r="K92">
        <v>4850.7700000000004</v>
      </c>
      <c r="L92">
        <v>-43.22</v>
      </c>
      <c r="M92">
        <v>-0.89</v>
      </c>
      <c r="N92">
        <v>3</v>
      </c>
      <c r="O92">
        <v>5</v>
      </c>
      <c r="P92" t="s">
        <v>22</v>
      </c>
    </row>
    <row r="93" spans="1:16" x14ac:dyDescent="0.55000000000000004">
      <c r="A93">
        <v>1776315604</v>
      </c>
      <c r="B93" t="s">
        <v>16</v>
      </c>
      <c r="C93" t="s">
        <v>17</v>
      </c>
      <c r="D93">
        <v>4834.26</v>
      </c>
      <c r="E93" t="s">
        <v>20</v>
      </c>
      <c r="F93">
        <v>4838.38</v>
      </c>
      <c r="G93">
        <v>4787.17</v>
      </c>
      <c r="H93">
        <v>4830.3900000000003</v>
      </c>
      <c r="I93">
        <v>4786.2299999999996</v>
      </c>
      <c r="J93">
        <v>4871.22</v>
      </c>
      <c r="K93">
        <v>4827.08</v>
      </c>
      <c r="L93">
        <v>51.21</v>
      </c>
      <c r="M93">
        <v>1.07</v>
      </c>
      <c r="N93">
        <v>0</v>
      </c>
      <c r="O93">
        <v>50</v>
      </c>
      <c r="P93" t="s">
        <v>23</v>
      </c>
    </row>
    <row r="94" spans="1:16" x14ac:dyDescent="0.55000000000000004">
      <c r="A94">
        <v>1776335404</v>
      </c>
      <c r="B94" t="s">
        <v>16</v>
      </c>
      <c r="C94" t="s">
        <v>17</v>
      </c>
      <c r="D94">
        <v>4808.3999999999996</v>
      </c>
      <c r="E94" t="s">
        <v>18</v>
      </c>
      <c r="F94">
        <v>4805.21</v>
      </c>
      <c r="G94">
        <v>4838.38</v>
      </c>
      <c r="H94">
        <v>4787.17</v>
      </c>
      <c r="I94">
        <v>4830.3900000000003</v>
      </c>
      <c r="J94">
        <v>4786.2299999999996</v>
      </c>
      <c r="K94">
        <v>4871.22</v>
      </c>
      <c r="L94">
        <v>-33.17</v>
      </c>
      <c r="M94">
        <v>-0.69</v>
      </c>
      <c r="N94">
        <v>3</v>
      </c>
      <c r="O94">
        <v>22</v>
      </c>
      <c r="P94" t="s">
        <v>22</v>
      </c>
    </row>
    <row r="95" spans="1:16" x14ac:dyDescent="0.55000000000000004">
      <c r="A95">
        <v>1776346204</v>
      </c>
      <c r="B95" t="s">
        <v>16</v>
      </c>
      <c r="C95" t="s">
        <v>17</v>
      </c>
      <c r="D95">
        <v>4816.26</v>
      </c>
      <c r="E95" t="s">
        <v>20</v>
      </c>
      <c r="F95">
        <v>4823.8100000000004</v>
      </c>
      <c r="G95">
        <v>4805.21</v>
      </c>
      <c r="H95">
        <v>4838.38</v>
      </c>
      <c r="I95">
        <v>4787.17</v>
      </c>
      <c r="J95">
        <v>4830.3900000000003</v>
      </c>
      <c r="K95">
        <v>4786.2299999999996</v>
      </c>
      <c r="L95">
        <v>18.600000000000001</v>
      </c>
      <c r="M95">
        <v>0.39</v>
      </c>
      <c r="N95">
        <v>0</v>
      </c>
      <c r="O95">
        <v>12</v>
      </c>
      <c r="P95" t="s">
        <v>21</v>
      </c>
    </row>
    <row r="96" spans="1:16" x14ac:dyDescent="0.55000000000000004">
      <c r="A96">
        <v>1776349804</v>
      </c>
      <c r="B96" t="s">
        <v>16</v>
      </c>
      <c r="C96" t="s">
        <v>17</v>
      </c>
      <c r="D96">
        <v>4787.7299999999996</v>
      </c>
      <c r="E96" t="s">
        <v>18</v>
      </c>
      <c r="F96">
        <v>4772.67</v>
      </c>
      <c r="G96">
        <v>4823.8100000000004</v>
      </c>
      <c r="H96">
        <v>4805.21</v>
      </c>
      <c r="I96">
        <v>4838.38</v>
      </c>
      <c r="J96">
        <v>4787.17</v>
      </c>
      <c r="K96">
        <v>4830.3900000000003</v>
      </c>
      <c r="L96">
        <v>-51.14</v>
      </c>
      <c r="M96">
        <v>-1.06</v>
      </c>
      <c r="N96">
        <v>3</v>
      </c>
      <c r="O96">
        <v>4</v>
      </c>
      <c r="P96" t="s">
        <v>19</v>
      </c>
    </row>
    <row r="97" spans="1:16" x14ac:dyDescent="0.55000000000000004">
      <c r="A97">
        <v>1776368704</v>
      </c>
      <c r="B97" t="s">
        <v>16</v>
      </c>
      <c r="C97" t="s">
        <v>17</v>
      </c>
      <c r="D97">
        <v>4793.5200000000004</v>
      </c>
      <c r="E97" t="s">
        <v>20</v>
      </c>
      <c r="F97">
        <v>4798.58</v>
      </c>
      <c r="G97">
        <v>4772.67</v>
      </c>
      <c r="H97">
        <v>4823.8100000000004</v>
      </c>
      <c r="I97">
        <v>4805.21</v>
      </c>
      <c r="J97">
        <v>4838.38</v>
      </c>
      <c r="K97">
        <v>4787.17</v>
      </c>
      <c r="L97">
        <v>25.91</v>
      </c>
      <c r="M97">
        <v>0.54</v>
      </c>
      <c r="N97">
        <v>0</v>
      </c>
      <c r="O97">
        <v>21</v>
      </c>
      <c r="P97" t="s">
        <v>21</v>
      </c>
    </row>
    <row r="98" spans="1:16" x14ac:dyDescent="0.55000000000000004">
      <c r="A98">
        <v>1776384004</v>
      </c>
      <c r="B98" t="s">
        <v>16</v>
      </c>
      <c r="C98" t="s">
        <v>17</v>
      </c>
      <c r="D98">
        <v>4790.3999999999996</v>
      </c>
      <c r="E98" t="s">
        <v>18</v>
      </c>
      <c r="F98">
        <v>4786.1000000000004</v>
      </c>
      <c r="G98">
        <v>4798.58</v>
      </c>
      <c r="H98">
        <v>4772.67</v>
      </c>
      <c r="I98">
        <v>4823.8100000000004</v>
      </c>
      <c r="J98">
        <v>4805.21</v>
      </c>
      <c r="K98">
        <v>4838.38</v>
      </c>
      <c r="L98">
        <v>-12.48</v>
      </c>
      <c r="M98">
        <v>-0.26</v>
      </c>
      <c r="N98">
        <v>3</v>
      </c>
      <c r="O98">
        <v>13</v>
      </c>
      <c r="P98" t="s">
        <v>22</v>
      </c>
    </row>
    <row r="99" spans="1:16" x14ac:dyDescent="0.55000000000000004">
      <c r="A99">
        <v>1776386704</v>
      </c>
      <c r="B99" t="s">
        <v>16</v>
      </c>
      <c r="C99" t="s">
        <v>17</v>
      </c>
      <c r="D99">
        <v>4794.8999999999996</v>
      </c>
      <c r="E99" t="s">
        <v>20</v>
      </c>
      <c r="F99">
        <v>4801.12</v>
      </c>
      <c r="G99">
        <v>4786.1000000000004</v>
      </c>
      <c r="H99">
        <v>4798.58</v>
      </c>
      <c r="I99">
        <v>4772.67</v>
      </c>
      <c r="J99">
        <v>4823.8100000000004</v>
      </c>
      <c r="K99">
        <v>4805.21</v>
      </c>
      <c r="L99">
        <v>15.02</v>
      </c>
      <c r="M99">
        <v>0.31</v>
      </c>
      <c r="N99">
        <v>0</v>
      </c>
      <c r="O99">
        <v>3</v>
      </c>
      <c r="P99" t="s">
        <v>23</v>
      </c>
    </row>
    <row r="100" spans="1:16" x14ac:dyDescent="0.55000000000000004">
      <c r="A100">
        <v>1776389404</v>
      </c>
      <c r="B100" t="s">
        <v>16</v>
      </c>
      <c r="C100" t="s">
        <v>17</v>
      </c>
      <c r="D100">
        <v>4777.87</v>
      </c>
      <c r="E100" t="s">
        <v>18</v>
      </c>
      <c r="F100">
        <v>4768.07</v>
      </c>
      <c r="G100">
        <v>4801.12</v>
      </c>
      <c r="H100">
        <v>4786.1000000000004</v>
      </c>
      <c r="I100">
        <v>4798.58</v>
      </c>
      <c r="J100">
        <v>4772.67</v>
      </c>
      <c r="K100">
        <v>4823.8100000000004</v>
      </c>
      <c r="L100">
        <v>-33.049999999999997</v>
      </c>
      <c r="M100">
        <v>-0.69</v>
      </c>
      <c r="N100">
        <v>3</v>
      </c>
      <c r="O100">
        <v>3</v>
      </c>
      <c r="P100" t="s">
        <v>19</v>
      </c>
    </row>
    <row r="101" spans="1:16" x14ac:dyDescent="0.55000000000000004">
      <c r="A101">
        <v>1776402004</v>
      </c>
      <c r="B101" t="s">
        <v>16</v>
      </c>
      <c r="C101" t="s">
        <v>17</v>
      </c>
      <c r="D101">
        <v>4804.78</v>
      </c>
      <c r="E101" t="s">
        <v>20</v>
      </c>
      <c r="F101">
        <v>4805.97</v>
      </c>
      <c r="G101">
        <v>4768.07</v>
      </c>
      <c r="H101">
        <v>4801.12</v>
      </c>
      <c r="I101">
        <v>4786.1000000000004</v>
      </c>
      <c r="J101">
        <v>4798.58</v>
      </c>
      <c r="K101">
        <v>4772.67</v>
      </c>
      <c r="L101">
        <v>37.9</v>
      </c>
      <c r="M101">
        <v>0.79</v>
      </c>
      <c r="N101">
        <v>0</v>
      </c>
      <c r="O101">
        <v>14</v>
      </c>
      <c r="P101" t="s">
        <v>23</v>
      </c>
    </row>
    <row r="102" spans="1:16" x14ac:dyDescent="0.55000000000000004">
      <c r="A102">
        <v>1776411904</v>
      </c>
      <c r="B102" t="s">
        <v>16</v>
      </c>
      <c r="C102" t="s">
        <v>17</v>
      </c>
      <c r="D102">
        <v>4784.38</v>
      </c>
      <c r="E102" t="s">
        <v>18</v>
      </c>
      <c r="F102">
        <v>4778.83</v>
      </c>
      <c r="G102">
        <v>4805.97</v>
      </c>
      <c r="H102">
        <v>4768.07</v>
      </c>
      <c r="I102">
        <v>4801.12</v>
      </c>
      <c r="J102">
        <v>4786.1000000000004</v>
      </c>
      <c r="K102">
        <v>4798.58</v>
      </c>
      <c r="L102">
        <v>-27.14</v>
      </c>
      <c r="M102">
        <v>-0.56000000000000005</v>
      </c>
      <c r="N102">
        <v>3</v>
      </c>
      <c r="O102">
        <v>11</v>
      </c>
      <c r="P102" t="s">
        <v>22</v>
      </c>
    </row>
    <row r="103" spans="1:16" x14ac:dyDescent="0.55000000000000004">
      <c r="A103">
        <v>1776430804</v>
      </c>
      <c r="B103" t="s">
        <v>16</v>
      </c>
      <c r="C103" t="s">
        <v>17</v>
      </c>
      <c r="D103">
        <v>4883.6000000000004</v>
      </c>
      <c r="E103" t="s">
        <v>20</v>
      </c>
      <c r="F103">
        <v>4889.21</v>
      </c>
      <c r="G103">
        <v>4778.83</v>
      </c>
      <c r="H103">
        <v>4805.97</v>
      </c>
      <c r="I103">
        <v>4768.07</v>
      </c>
      <c r="J103">
        <v>4801.12</v>
      </c>
      <c r="K103">
        <v>4786.1000000000004</v>
      </c>
      <c r="L103">
        <v>110.38</v>
      </c>
      <c r="M103">
        <v>2.31</v>
      </c>
      <c r="N103">
        <v>0</v>
      </c>
      <c r="O103">
        <v>21</v>
      </c>
      <c r="P103" t="s">
        <v>23</v>
      </c>
    </row>
    <row r="104" spans="1:16" x14ac:dyDescent="0.55000000000000004">
      <c r="A104">
        <v>1776642304</v>
      </c>
      <c r="B104" t="s">
        <v>16</v>
      </c>
      <c r="C104" t="s">
        <v>17</v>
      </c>
      <c r="D104">
        <v>4755.07</v>
      </c>
      <c r="E104" t="s">
        <v>18</v>
      </c>
      <c r="F104">
        <v>4736.96</v>
      </c>
      <c r="G104">
        <v>4889.21</v>
      </c>
      <c r="H104">
        <v>4778.83</v>
      </c>
      <c r="I104">
        <v>4805.97</v>
      </c>
      <c r="J104">
        <v>4768.07</v>
      </c>
      <c r="K104">
        <v>4801.12</v>
      </c>
      <c r="L104">
        <v>-152.25</v>
      </c>
      <c r="M104">
        <v>-3.11</v>
      </c>
      <c r="N104">
        <v>5</v>
      </c>
      <c r="O104">
        <v>39</v>
      </c>
      <c r="P104" t="s">
        <v>19</v>
      </c>
    </row>
    <row r="105" spans="1:16" x14ac:dyDescent="0.55000000000000004">
      <c r="A105">
        <v>1776649504</v>
      </c>
      <c r="B105" t="s">
        <v>16</v>
      </c>
      <c r="C105" t="s">
        <v>17</v>
      </c>
      <c r="D105">
        <v>4807.6000000000004</v>
      </c>
      <c r="E105" t="s">
        <v>20</v>
      </c>
      <c r="F105">
        <v>4814.28</v>
      </c>
      <c r="G105">
        <v>4736.96</v>
      </c>
      <c r="H105">
        <v>4889.21</v>
      </c>
      <c r="I105">
        <v>4778.83</v>
      </c>
      <c r="J105">
        <v>4805.97</v>
      </c>
      <c r="K105">
        <v>4768.07</v>
      </c>
      <c r="L105">
        <v>77.319999999999993</v>
      </c>
      <c r="M105">
        <v>1.63</v>
      </c>
      <c r="N105">
        <v>0</v>
      </c>
      <c r="O105">
        <v>8</v>
      </c>
      <c r="P105" t="s">
        <v>21</v>
      </c>
    </row>
    <row r="106" spans="1:16" x14ac:dyDescent="0.55000000000000004">
      <c r="A106">
        <v>1776663004</v>
      </c>
      <c r="B106" t="s">
        <v>16</v>
      </c>
      <c r="C106" t="s">
        <v>17</v>
      </c>
      <c r="D106">
        <v>4780.97</v>
      </c>
      <c r="E106" t="s">
        <v>18</v>
      </c>
      <c r="F106">
        <v>4779.8</v>
      </c>
      <c r="G106">
        <v>4814.28</v>
      </c>
      <c r="H106">
        <v>4736.96</v>
      </c>
      <c r="I106">
        <v>4889.21</v>
      </c>
      <c r="J106">
        <v>4778.83</v>
      </c>
      <c r="K106">
        <v>4805.97</v>
      </c>
      <c r="L106">
        <v>-34.479999999999997</v>
      </c>
      <c r="M106">
        <v>-0.72</v>
      </c>
      <c r="N106">
        <v>3</v>
      </c>
      <c r="O106">
        <v>15</v>
      </c>
      <c r="P106" t="s">
        <v>22</v>
      </c>
    </row>
    <row r="107" spans="1:16" x14ac:dyDescent="0.55000000000000004">
      <c r="A107">
        <v>1776669304</v>
      </c>
      <c r="B107" t="s">
        <v>16</v>
      </c>
      <c r="C107" t="s">
        <v>17</v>
      </c>
      <c r="D107">
        <v>4797.92</v>
      </c>
      <c r="E107" t="s">
        <v>20</v>
      </c>
      <c r="F107">
        <v>4805.79</v>
      </c>
      <c r="G107">
        <v>4779.8</v>
      </c>
      <c r="H107">
        <v>4814.28</v>
      </c>
      <c r="I107">
        <v>4736.96</v>
      </c>
      <c r="J107">
        <v>4889.21</v>
      </c>
      <c r="K107">
        <v>4778.83</v>
      </c>
      <c r="L107">
        <v>25.99</v>
      </c>
      <c r="M107">
        <v>0.54</v>
      </c>
      <c r="N107">
        <v>0</v>
      </c>
      <c r="O107">
        <v>7</v>
      </c>
      <c r="P107" t="s">
        <v>21</v>
      </c>
    </row>
    <row r="108" spans="1:16" x14ac:dyDescent="0.55000000000000004">
      <c r="A108">
        <v>1776677404</v>
      </c>
      <c r="B108" t="s">
        <v>16</v>
      </c>
      <c r="C108" t="s">
        <v>17</v>
      </c>
      <c r="D108">
        <v>4791.96</v>
      </c>
      <c r="E108" t="s">
        <v>18</v>
      </c>
      <c r="F108">
        <v>4783.51</v>
      </c>
      <c r="G108">
        <v>4805.79</v>
      </c>
      <c r="H108">
        <v>4779.8</v>
      </c>
      <c r="I108">
        <v>4814.28</v>
      </c>
      <c r="J108">
        <v>4736.96</v>
      </c>
      <c r="K108">
        <v>4889.21</v>
      </c>
      <c r="L108">
        <v>-22.28</v>
      </c>
      <c r="M108">
        <v>-0.46</v>
      </c>
      <c r="N108">
        <v>3</v>
      </c>
      <c r="O108">
        <v>9</v>
      </c>
      <c r="P108" t="s">
        <v>22</v>
      </c>
    </row>
    <row r="109" spans="1:16" x14ac:dyDescent="0.55000000000000004">
      <c r="A109">
        <v>1776695404</v>
      </c>
      <c r="B109" t="s">
        <v>16</v>
      </c>
      <c r="C109" t="s">
        <v>17</v>
      </c>
      <c r="D109">
        <v>4814.18</v>
      </c>
      <c r="E109" t="s">
        <v>20</v>
      </c>
      <c r="F109">
        <v>4827.74</v>
      </c>
      <c r="G109">
        <v>4783.51</v>
      </c>
      <c r="H109">
        <v>4805.79</v>
      </c>
      <c r="I109">
        <v>4779.8</v>
      </c>
      <c r="J109">
        <v>4814.28</v>
      </c>
      <c r="K109">
        <v>4736.96</v>
      </c>
      <c r="L109">
        <v>44.23</v>
      </c>
      <c r="M109">
        <v>0.92</v>
      </c>
      <c r="N109">
        <v>0</v>
      </c>
      <c r="O109">
        <v>20</v>
      </c>
      <c r="P109" t="s">
        <v>23</v>
      </c>
    </row>
    <row r="110" spans="1:16" x14ac:dyDescent="0.55000000000000004">
      <c r="A110">
        <v>1776696304</v>
      </c>
      <c r="B110" t="s">
        <v>16</v>
      </c>
      <c r="C110" t="s">
        <v>17</v>
      </c>
      <c r="D110">
        <v>4805.3100000000004</v>
      </c>
      <c r="E110" t="s">
        <v>18</v>
      </c>
      <c r="F110">
        <v>4792.42</v>
      </c>
      <c r="G110">
        <v>4827.74</v>
      </c>
      <c r="H110">
        <v>4783.51</v>
      </c>
      <c r="I110">
        <v>4805.79</v>
      </c>
      <c r="J110">
        <v>4779.8</v>
      </c>
      <c r="K110">
        <v>4814.28</v>
      </c>
      <c r="L110">
        <v>-35.32</v>
      </c>
      <c r="M110">
        <v>-0.73</v>
      </c>
      <c r="N110">
        <v>3</v>
      </c>
      <c r="O110">
        <v>1</v>
      </c>
      <c r="P110" t="s">
        <v>22</v>
      </c>
    </row>
    <row r="111" spans="1:16" x14ac:dyDescent="0.55000000000000004">
      <c r="A111">
        <v>1776723304</v>
      </c>
      <c r="B111" t="s">
        <v>16</v>
      </c>
      <c r="C111" t="s">
        <v>17</v>
      </c>
      <c r="D111">
        <v>4828.53</v>
      </c>
      <c r="E111" t="s">
        <v>20</v>
      </c>
      <c r="F111">
        <v>4833.25</v>
      </c>
      <c r="G111">
        <v>4792.42</v>
      </c>
      <c r="H111">
        <v>4827.74</v>
      </c>
      <c r="I111">
        <v>4783.51</v>
      </c>
      <c r="J111">
        <v>4805.79</v>
      </c>
      <c r="K111">
        <v>4779.8</v>
      </c>
      <c r="L111">
        <v>40.83</v>
      </c>
      <c r="M111">
        <v>0.85</v>
      </c>
      <c r="N111">
        <v>0</v>
      </c>
      <c r="O111">
        <v>26</v>
      </c>
      <c r="P111" t="s">
        <v>23</v>
      </c>
    </row>
    <row r="112" spans="1:16" x14ac:dyDescent="0.55000000000000004">
      <c r="A112">
        <v>1776754804</v>
      </c>
      <c r="B112" t="s">
        <v>16</v>
      </c>
      <c r="C112" t="s">
        <v>17</v>
      </c>
      <c r="D112">
        <v>4782.82</v>
      </c>
      <c r="E112" t="s">
        <v>18</v>
      </c>
      <c r="F112">
        <v>4772.78</v>
      </c>
      <c r="G112">
        <v>4833.25</v>
      </c>
      <c r="H112">
        <v>4792.42</v>
      </c>
      <c r="I112">
        <v>4827.74</v>
      </c>
      <c r="J112">
        <v>4783.51</v>
      </c>
      <c r="K112">
        <v>4805.79</v>
      </c>
      <c r="L112">
        <v>-60.47</v>
      </c>
      <c r="M112">
        <v>-1.25</v>
      </c>
      <c r="N112">
        <v>3</v>
      </c>
      <c r="O112">
        <v>35</v>
      </c>
      <c r="P112" t="s">
        <v>19</v>
      </c>
    </row>
    <row r="113" spans="1:16" x14ac:dyDescent="0.55000000000000004">
      <c r="A113">
        <v>1776771904</v>
      </c>
      <c r="B113" t="s">
        <v>16</v>
      </c>
      <c r="C113" t="s">
        <v>17</v>
      </c>
      <c r="D113">
        <v>4794.6099999999997</v>
      </c>
      <c r="E113" t="s">
        <v>20</v>
      </c>
      <c r="F113">
        <v>4797.91</v>
      </c>
      <c r="G113">
        <v>4772.78</v>
      </c>
      <c r="H113">
        <v>4833.25</v>
      </c>
      <c r="I113">
        <v>4792.42</v>
      </c>
      <c r="J113">
        <v>4827.74</v>
      </c>
      <c r="K113">
        <v>4783.51</v>
      </c>
      <c r="L113">
        <v>25.13</v>
      </c>
      <c r="M113">
        <v>0.53</v>
      </c>
      <c r="N113">
        <v>0</v>
      </c>
      <c r="O113">
        <v>19</v>
      </c>
      <c r="P113" t="s">
        <v>21</v>
      </c>
    </row>
    <row r="114" spans="1:16" x14ac:dyDescent="0.55000000000000004">
      <c r="A114">
        <v>1776799804</v>
      </c>
      <c r="B114" t="s">
        <v>16</v>
      </c>
      <c r="C114" t="s">
        <v>17</v>
      </c>
      <c r="D114">
        <v>4671.47</v>
      </c>
      <c r="E114" t="s">
        <v>18</v>
      </c>
      <c r="F114">
        <v>4668.6099999999997</v>
      </c>
      <c r="G114">
        <v>4797.91</v>
      </c>
      <c r="H114">
        <v>4772.78</v>
      </c>
      <c r="I114">
        <v>4833.25</v>
      </c>
      <c r="J114">
        <v>4792.42</v>
      </c>
      <c r="K114">
        <v>4827.74</v>
      </c>
      <c r="L114">
        <v>-129.30000000000001</v>
      </c>
      <c r="M114">
        <v>-2.69</v>
      </c>
      <c r="N114">
        <v>5</v>
      </c>
      <c r="O114">
        <v>31</v>
      </c>
      <c r="P114" t="s">
        <v>19</v>
      </c>
    </row>
    <row r="115" spans="1:16" x14ac:dyDescent="0.55000000000000004">
      <c r="A115">
        <v>1776841204</v>
      </c>
      <c r="B115" t="s">
        <v>16</v>
      </c>
      <c r="C115" t="s">
        <v>17</v>
      </c>
      <c r="D115">
        <v>4765.67</v>
      </c>
      <c r="E115" t="s">
        <v>20</v>
      </c>
      <c r="F115">
        <v>4772.1499999999996</v>
      </c>
      <c r="G115">
        <v>4668.6099999999997</v>
      </c>
      <c r="H115">
        <v>4797.91</v>
      </c>
      <c r="I115">
        <v>4772.78</v>
      </c>
      <c r="J115">
        <v>4833.25</v>
      </c>
      <c r="K115">
        <v>4792.42</v>
      </c>
      <c r="L115">
        <v>103.54</v>
      </c>
      <c r="M115">
        <v>2.2200000000000002</v>
      </c>
      <c r="N115">
        <v>0</v>
      </c>
      <c r="O115">
        <v>42</v>
      </c>
      <c r="P115" t="s">
        <v>21</v>
      </c>
    </row>
    <row r="116" spans="1:16" x14ac:dyDescent="0.55000000000000004">
      <c r="A116">
        <v>1776875404</v>
      </c>
      <c r="B116" t="s">
        <v>16</v>
      </c>
      <c r="C116" t="s">
        <v>17</v>
      </c>
      <c r="D116">
        <v>4728.3</v>
      </c>
      <c r="E116" t="s">
        <v>18</v>
      </c>
      <c r="F116">
        <v>4724.03</v>
      </c>
      <c r="G116">
        <v>4772.1499999999996</v>
      </c>
      <c r="H116">
        <v>4668.6099999999997</v>
      </c>
      <c r="I116">
        <v>4797.91</v>
      </c>
      <c r="J116">
        <v>4772.78</v>
      </c>
      <c r="K116">
        <v>4833.25</v>
      </c>
      <c r="L116">
        <v>-48.12</v>
      </c>
      <c r="M116">
        <v>-1.01</v>
      </c>
      <c r="N116">
        <v>3</v>
      </c>
      <c r="O116">
        <v>38</v>
      </c>
      <c r="P116" t="s">
        <v>22</v>
      </c>
    </row>
    <row r="117" spans="1:16" x14ac:dyDescent="0.55000000000000004">
      <c r="A117">
        <v>1776883504</v>
      </c>
      <c r="B117" t="s">
        <v>16</v>
      </c>
      <c r="C117" t="s">
        <v>17</v>
      </c>
      <c r="D117">
        <v>4741.6899999999996</v>
      </c>
      <c r="E117" t="s">
        <v>20</v>
      </c>
      <c r="F117">
        <v>4749.34</v>
      </c>
      <c r="G117">
        <v>4724.03</v>
      </c>
      <c r="H117">
        <v>4772.1499999999996</v>
      </c>
      <c r="I117">
        <v>4668.6099999999997</v>
      </c>
      <c r="J117">
        <v>4797.91</v>
      </c>
      <c r="K117">
        <v>4772.78</v>
      </c>
      <c r="L117">
        <v>25.31</v>
      </c>
      <c r="M117">
        <v>0.54</v>
      </c>
      <c r="N117">
        <v>0</v>
      </c>
      <c r="O117">
        <v>9</v>
      </c>
      <c r="P117" t="s">
        <v>21</v>
      </c>
    </row>
    <row r="118" spans="1:16" x14ac:dyDescent="0.55000000000000004">
      <c r="A118">
        <v>1776903304</v>
      </c>
      <c r="B118" t="s">
        <v>16</v>
      </c>
      <c r="C118" t="s">
        <v>17</v>
      </c>
      <c r="D118">
        <v>4741.59</v>
      </c>
      <c r="E118" t="s">
        <v>18</v>
      </c>
      <c r="F118">
        <v>4694.34</v>
      </c>
      <c r="G118">
        <v>4749.34</v>
      </c>
      <c r="H118">
        <v>4724.03</v>
      </c>
      <c r="I118">
        <v>4772.1499999999996</v>
      </c>
      <c r="J118">
        <v>4668.6099999999997</v>
      </c>
      <c r="K118">
        <v>4797.91</v>
      </c>
      <c r="L118">
        <v>-55</v>
      </c>
      <c r="M118">
        <v>-1.1599999999999999</v>
      </c>
      <c r="N118">
        <v>3</v>
      </c>
      <c r="O118">
        <v>18</v>
      </c>
      <c r="P118" t="s">
        <v>19</v>
      </c>
    </row>
    <row r="119" spans="1:16" x14ac:dyDescent="0.55000000000000004">
      <c r="A119">
        <v>1776905104</v>
      </c>
      <c r="B119" t="s">
        <v>16</v>
      </c>
      <c r="C119" t="s">
        <v>17</v>
      </c>
      <c r="D119">
        <v>4748.05</v>
      </c>
      <c r="E119" t="s">
        <v>20</v>
      </c>
      <c r="F119">
        <v>4753.33</v>
      </c>
      <c r="G119">
        <v>4694.34</v>
      </c>
      <c r="H119">
        <v>4749.34</v>
      </c>
      <c r="I119">
        <v>4724.03</v>
      </c>
      <c r="J119">
        <v>4772.1499999999996</v>
      </c>
      <c r="K119">
        <v>4668.6099999999997</v>
      </c>
      <c r="L119">
        <v>58.99</v>
      </c>
      <c r="M119">
        <v>1.26</v>
      </c>
      <c r="N119">
        <v>0</v>
      </c>
      <c r="O119">
        <v>2</v>
      </c>
      <c r="P119" t="s">
        <v>23</v>
      </c>
    </row>
    <row r="120" spans="1:16" x14ac:dyDescent="0.55000000000000004">
      <c r="A120">
        <v>1776922204</v>
      </c>
      <c r="B120" t="s">
        <v>16</v>
      </c>
      <c r="C120" t="s">
        <v>17</v>
      </c>
      <c r="D120">
        <v>4701.58</v>
      </c>
      <c r="E120" t="s">
        <v>18</v>
      </c>
      <c r="F120">
        <v>4693.0600000000004</v>
      </c>
      <c r="G120">
        <v>4753.33</v>
      </c>
      <c r="H120">
        <v>4694.34</v>
      </c>
      <c r="I120">
        <v>4749.34</v>
      </c>
      <c r="J120">
        <v>4724.03</v>
      </c>
      <c r="K120">
        <v>4772.1499999999996</v>
      </c>
      <c r="L120">
        <v>-60.27</v>
      </c>
      <c r="M120">
        <v>-1.27</v>
      </c>
      <c r="N120">
        <v>3</v>
      </c>
      <c r="O120">
        <v>19</v>
      </c>
      <c r="P120" t="s">
        <v>19</v>
      </c>
    </row>
    <row r="121" spans="1:16" x14ac:dyDescent="0.55000000000000004">
      <c r="A121">
        <v>1776931204</v>
      </c>
      <c r="B121" t="s">
        <v>16</v>
      </c>
      <c r="C121" t="s">
        <v>17</v>
      </c>
      <c r="D121">
        <v>4718.21</v>
      </c>
      <c r="E121" t="s">
        <v>20</v>
      </c>
      <c r="F121">
        <v>4724.8900000000003</v>
      </c>
      <c r="G121">
        <v>4693.0600000000004</v>
      </c>
      <c r="H121">
        <v>4753.33</v>
      </c>
      <c r="I121">
        <v>4694.34</v>
      </c>
      <c r="J121">
        <v>4749.34</v>
      </c>
      <c r="K121">
        <v>4724.03</v>
      </c>
      <c r="L121">
        <v>31.83</v>
      </c>
      <c r="M121">
        <v>0.68</v>
      </c>
      <c r="N121">
        <v>0</v>
      </c>
      <c r="O121">
        <v>10</v>
      </c>
      <c r="P121" t="s">
        <v>21</v>
      </c>
    </row>
    <row r="122" spans="1:16" x14ac:dyDescent="0.55000000000000004">
      <c r="A122">
        <v>1776940204</v>
      </c>
      <c r="B122" t="s">
        <v>16</v>
      </c>
      <c r="C122" t="s">
        <v>17</v>
      </c>
      <c r="D122">
        <v>4690.7700000000004</v>
      </c>
      <c r="E122" t="s">
        <v>18</v>
      </c>
      <c r="F122">
        <v>4684.26</v>
      </c>
      <c r="G122">
        <v>4724.8900000000003</v>
      </c>
      <c r="H122">
        <v>4693.0600000000004</v>
      </c>
      <c r="I122">
        <v>4753.33</v>
      </c>
      <c r="J122">
        <v>4694.34</v>
      </c>
      <c r="K122">
        <v>4749.34</v>
      </c>
      <c r="L122">
        <v>-40.630000000000003</v>
      </c>
      <c r="M122">
        <v>-0.86</v>
      </c>
      <c r="N122">
        <v>3</v>
      </c>
      <c r="O122">
        <v>10</v>
      </c>
      <c r="P122" t="s">
        <v>19</v>
      </c>
    </row>
    <row r="123" spans="1:16" x14ac:dyDescent="0.55000000000000004">
      <c r="A123">
        <v>1776948304</v>
      </c>
      <c r="B123" t="s">
        <v>16</v>
      </c>
      <c r="C123" t="s">
        <v>17</v>
      </c>
      <c r="D123">
        <v>4740.04</v>
      </c>
      <c r="E123" t="s">
        <v>20</v>
      </c>
      <c r="F123">
        <v>4743.22</v>
      </c>
      <c r="G123">
        <v>4684.26</v>
      </c>
      <c r="H123">
        <v>4724.8900000000003</v>
      </c>
      <c r="I123">
        <v>4693.0600000000004</v>
      </c>
      <c r="J123">
        <v>4753.33</v>
      </c>
      <c r="K123">
        <v>4694.34</v>
      </c>
      <c r="L123">
        <v>58.96</v>
      </c>
      <c r="M123">
        <v>1.26</v>
      </c>
      <c r="N123">
        <v>0</v>
      </c>
      <c r="O123">
        <v>9</v>
      </c>
      <c r="P123" t="s">
        <v>23</v>
      </c>
    </row>
    <row r="124" spans="1:16" x14ac:dyDescent="0.55000000000000004">
      <c r="A124">
        <v>1776966304</v>
      </c>
      <c r="B124" t="s">
        <v>16</v>
      </c>
      <c r="C124" t="s">
        <v>17</v>
      </c>
      <c r="D124">
        <v>4709.41</v>
      </c>
      <c r="E124" t="s">
        <v>18</v>
      </c>
      <c r="F124">
        <v>4664.3</v>
      </c>
      <c r="G124">
        <v>4743.22</v>
      </c>
      <c r="H124">
        <v>4684.26</v>
      </c>
      <c r="I124">
        <v>4724.8900000000003</v>
      </c>
      <c r="J124">
        <v>4693.0600000000004</v>
      </c>
      <c r="K124">
        <v>4753.33</v>
      </c>
      <c r="L124">
        <v>-78.92</v>
      </c>
      <c r="M124">
        <v>-1.66</v>
      </c>
      <c r="N124">
        <v>3</v>
      </c>
      <c r="O124">
        <v>20</v>
      </c>
      <c r="P124" t="s">
        <v>19</v>
      </c>
    </row>
    <row r="125" spans="1:16" x14ac:dyDescent="0.55000000000000004">
      <c r="A125">
        <v>1776993304</v>
      </c>
      <c r="B125" t="s">
        <v>16</v>
      </c>
      <c r="C125" t="s">
        <v>17</v>
      </c>
      <c r="D125">
        <v>4698.41</v>
      </c>
      <c r="E125" t="s">
        <v>20</v>
      </c>
      <c r="F125">
        <v>4711.2299999999996</v>
      </c>
      <c r="G125">
        <v>4664.3</v>
      </c>
      <c r="H125">
        <v>4743.22</v>
      </c>
      <c r="I125">
        <v>4684.26</v>
      </c>
      <c r="J125">
        <v>4724.8900000000003</v>
      </c>
      <c r="K125">
        <v>4693.0600000000004</v>
      </c>
      <c r="L125">
        <v>46.93</v>
      </c>
      <c r="M125">
        <v>1.01</v>
      </c>
      <c r="N125">
        <v>0</v>
      </c>
      <c r="O125">
        <v>26</v>
      </c>
      <c r="P125" t="s">
        <v>21</v>
      </c>
    </row>
    <row r="126" spans="1:16" x14ac:dyDescent="0.55000000000000004">
      <c r="A126">
        <v>1777005004</v>
      </c>
      <c r="B126" t="s">
        <v>16</v>
      </c>
      <c r="C126" t="s">
        <v>17</v>
      </c>
      <c r="D126">
        <v>4668.58</v>
      </c>
      <c r="E126" t="s">
        <v>18</v>
      </c>
      <c r="F126">
        <v>4658.17</v>
      </c>
      <c r="G126">
        <v>4711.2299999999996</v>
      </c>
      <c r="H126">
        <v>4664.3</v>
      </c>
      <c r="I126">
        <v>4743.22</v>
      </c>
      <c r="J126">
        <v>4684.26</v>
      </c>
      <c r="K126">
        <v>4724.8900000000003</v>
      </c>
      <c r="L126">
        <v>-53.06</v>
      </c>
      <c r="M126">
        <v>-1.1299999999999999</v>
      </c>
      <c r="N126">
        <v>3</v>
      </c>
      <c r="O126">
        <v>13</v>
      </c>
      <c r="P126" t="s">
        <v>19</v>
      </c>
    </row>
    <row r="127" spans="1:16" x14ac:dyDescent="0.55000000000000004">
      <c r="A127">
        <v>1777018504</v>
      </c>
      <c r="B127" t="s">
        <v>16</v>
      </c>
      <c r="C127" t="s">
        <v>17</v>
      </c>
      <c r="D127">
        <v>4687.83</v>
      </c>
      <c r="E127" t="s">
        <v>20</v>
      </c>
      <c r="F127">
        <v>4697.42</v>
      </c>
      <c r="G127">
        <v>4658.17</v>
      </c>
      <c r="H127">
        <v>4711.2299999999996</v>
      </c>
      <c r="I127">
        <v>4664.3</v>
      </c>
      <c r="J127">
        <v>4743.22</v>
      </c>
      <c r="K127">
        <v>4684.26</v>
      </c>
      <c r="L127">
        <v>39.25</v>
      </c>
      <c r="M127">
        <v>0.84</v>
      </c>
      <c r="N127">
        <v>0</v>
      </c>
      <c r="O127">
        <v>15</v>
      </c>
      <c r="P127" t="s">
        <v>21</v>
      </c>
    </row>
    <row r="128" spans="1:16" x14ac:dyDescent="0.55000000000000004">
      <c r="A128">
        <v>1777026604</v>
      </c>
      <c r="B128" t="s">
        <v>16</v>
      </c>
      <c r="C128" t="s">
        <v>17</v>
      </c>
      <c r="D128">
        <v>4679.01</v>
      </c>
      <c r="E128" t="s">
        <v>18</v>
      </c>
      <c r="F128">
        <v>4674.72</v>
      </c>
      <c r="G128">
        <v>4697.42</v>
      </c>
      <c r="H128">
        <v>4658.17</v>
      </c>
      <c r="I128">
        <v>4711.2299999999996</v>
      </c>
      <c r="J128">
        <v>4664.3</v>
      </c>
      <c r="K128">
        <v>4743.22</v>
      </c>
      <c r="L128">
        <v>-22.7</v>
      </c>
      <c r="M128">
        <v>-0.48</v>
      </c>
      <c r="N128">
        <v>3</v>
      </c>
      <c r="O128">
        <v>9</v>
      </c>
      <c r="P128" t="s">
        <v>22</v>
      </c>
    </row>
    <row r="129" spans="1:16" x14ac:dyDescent="0.55000000000000004">
      <c r="A129">
        <v>1777039204</v>
      </c>
      <c r="B129" t="s">
        <v>16</v>
      </c>
      <c r="C129" t="s">
        <v>17</v>
      </c>
      <c r="D129">
        <v>4731.95</v>
      </c>
      <c r="E129" t="s">
        <v>20</v>
      </c>
      <c r="F129">
        <v>4740.49</v>
      </c>
      <c r="G129">
        <v>4674.72</v>
      </c>
      <c r="H129">
        <v>4697.42</v>
      </c>
      <c r="I129">
        <v>4658.17</v>
      </c>
      <c r="J129">
        <v>4711.2299999999996</v>
      </c>
      <c r="K129">
        <v>4664.3</v>
      </c>
      <c r="L129">
        <v>65.77</v>
      </c>
      <c r="M129">
        <v>1.41</v>
      </c>
      <c r="N129">
        <v>0</v>
      </c>
      <c r="O129">
        <v>14</v>
      </c>
      <c r="P129" t="s">
        <v>23</v>
      </c>
    </row>
    <row r="130" spans="1:16" x14ac:dyDescent="0.55000000000000004">
      <c r="A130">
        <v>1777248004</v>
      </c>
      <c r="B130" t="s">
        <v>16</v>
      </c>
      <c r="C130" t="s">
        <v>17</v>
      </c>
      <c r="D130">
        <v>4679.8599999999997</v>
      </c>
      <c r="E130" t="s">
        <v>18</v>
      </c>
      <c r="F130">
        <v>4672.3500000000004</v>
      </c>
      <c r="G130">
        <v>4740.49</v>
      </c>
      <c r="H130">
        <v>4674.72</v>
      </c>
      <c r="I130">
        <v>4697.42</v>
      </c>
      <c r="J130">
        <v>4658.17</v>
      </c>
      <c r="K130">
        <v>4711.2299999999996</v>
      </c>
      <c r="L130">
        <v>-68.14</v>
      </c>
      <c r="M130">
        <v>-1.44</v>
      </c>
      <c r="N130">
        <v>3</v>
      </c>
      <c r="O130">
        <v>36</v>
      </c>
      <c r="P130" t="s">
        <v>19</v>
      </c>
    </row>
    <row r="131" spans="1:16" x14ac:dyDescent="0.55000000000000004">
      <c r="A131">
        <v>1777264204</v>
      </c>
      <c r="B131" t="s">
        <v>16</v>
      </c>
      <c r="C131" t="s">
        <v>17</v>
      </c>
      <c r="D131">
        <v>4726.18</v>
      </c>
      <c r="E131" t="s">
        <v>20</v>
      </c>
      <c r="F131">
        <v>4729.92</v>
      </c>
      <c r="G131">
        <v>4672.3500000000004</v>
      </c>
      <c r="H131">
        <v>4740.49</v>
      </c>
      <c r="I131">
        <v>4674.72</v>
      </c>
      <c r="J131">
        <v>4697.42</v>
      </c>
      <c r="K131">
        <v>4658.17</v>
      </c>
      <c r="L131">
        <v>57.57</v>
      </c>
      <c r="M131">
        <v>1.23</v>
      </c>
      <c r="N131">
        <v>0</v>
      </c>
      <c r="O131">
        <v>18</v>
      </c>
      <c r="P131" t="s">
        <v>21</v>
      </c>
    </row>
    <row r="132" spans="1:16" x14ac:dyDescent="0.55000000000000004">
      <c r="A132">
        <v>1777282204</v>
      </c>
      <c r="B132" t="s">
        <v>16</v>
      </c>
      <c r="C132" t="s">
        <v>17</v>
      </c>
      <c r="D132">
        <v>4704.6400000000003</v>
      </c>
      <c r="E132" t="s">
        <v>18</v>
      </c>
      <c r="F132">
        <v>4699.29</v>
      </c>
      <c r="G132">
        <v>4729.92</v>
      </c>
      <c r="H132">
        <v>4672.3500000000004</v>
      </c>
      <c r="I132">
        <v>4740.49</v>
      </c>
      <c r="J132">
        <v>4674.72</v>
      </c>
      <c r="K132">
        <v>4697.42</v>
      </c>
      <c r="L132">
        <v>-30.63</v>
      </c>
      <c r="M132">
        <v>-0.65</v>
      </c>
      <c r="N132">
        <v>3</v>
      </c>
      <c r="O132">
        <v>20</v>
      </c>
      <c r="P132" t="s">
        <v>22</v>
      </c>
    </row>
    <row r="133" spans="1:16" x14ac:dyDescent="0.55000000000000004">
      <c r="A133">
        <v>1777292104</v>
      </c>
      <c r="B133" t="s">
        <v>16</v>
      </c>
      <c r="C133" t="s">
        <v>17</v>
      </c>
      <c r="D133">
        <v>4707.09</v>
      </c>
      <c r="E133" t="s">
        <v>20</v>
      </c>
      <c r="F133">
        <v>4712.59</v>
      </c>
      <c r="G133">
        <v>4699.29</v>
      </c>
      <c r="H133">
        <v>4729.92</v>
      </c>
      <c r="I133">
        <v>4672.3500000000004</v>
      </c>
      <c r="J133">
        <v>4740.49</v>
      </c>
      <c r="K133">
        <v>4674.72</v>
      </c>
      <c r="L133">
        <v>13.3</v>
      </c>
      <c r="M133">
        <v>0.28000000000000003</v>
      </c>
      <c r="N133">
        <v>0</v>
      </c>
      <c r="O133">
        <v>11</v>
      </c>
      <c r="P133" t="s">
        <v>21</v>
      </c>
    </row>
    <row r="134" spans="1:16" x14ac:dyDescent="0.55000000000000004">
      <c r="A134">
        <v>1777302004</v>
      </c>
      <c r="B134" t="s">
        <v>16</v>
      </c>
      <c r="C134" t="s">
        <v>17</v>
      </c>
      <c r="D134">
        <v>4674.6499999999996</v>
      </c>
      <c r="E134" t="s">
        <v>18</v>
      </c>
      <c r="F134">
        <v>4667.32</v>
      </c>
      <c r="G134">
        <v>4712.59</v>
      </c>
      <c r="H134">
        <v>4699.29</v>
      </c>
      <c r="I134">
        <v>4729.92</v>
      </c>
      <c r="J134">
        <v>4672.3500000000004</v>
      </c>
      <c r="K134">
        <v>4740.49</v>
      </c>
      <c r="L134">
        <v>-45.27</v>
      </c>
      <c r="M134">
        <v>-0.96</v>
      </c>
      <c r="N134">
        <v>3</v>
      </c>
      <c r="O134">
        <v>11</v>
      </c>
      <c r="P134" t="s">
        <v>19</v>
      </c>
    </row>
    <row r="135" spans="1:16" x14ac:dyDescent="0.55000000000000004">
      <c r="A135">
        <v>1777334404</v>
      </c>
      <c r="B135" t="s">
        <v>16</v>
      </c>
      <c r="C135" t="s">
        <v>17</v>
      </c>
      <c r="D135">
        <v>4697.91</v>
      </c>
      <c r="E135" t="s">
        <v>20</v>
      </c>
      <c r="F135">
        <v>4701.1400000000003</v>
      </c>
      <c r="G135">
        <v>4667.32</v>
      </c>
      <c r="H135">
        <v>4712.59</v>
      </c>
      <c r="I135">
        <v>4699.29</v>
      </c>
      <c r="J135">
        <v>4729.92</v>
      </c>
      <c r="K135">
        <v>4672.3500000000004</v>
      </c>
      <c r="L135">
        <v>33.82</v>
      </c>
      <c r="M135">
        <v>0.72</v>
      </c>
      <c r="N135">
        <v>0</v>
      </c>
      <c r="O135">
        <v>32</v>
      </c>
      <c r="P135" t="s">
        <v>21</v>
      </c>
    </row>
    <row r="136" spans="1:16" x14ac:dyDescent="0.55000000000000004">
      <c r="A136">
        <v>1777377604</v>
      </c>
      <c r="B136" t="s">
        <v>16</v>
      </c>
      <c r="C136" t="s">
        <v>17</v>
      </c>
      <c r="D136">
        <v>4581.7299999999996</v>
      </c>
      <c r="E136" t="s">
        <v>18</v>
      </c>
      <c r="F136">
        <v>4555.12</v>
      </c>
      <c r="G136">
        <v>4701.1400000000003</v>
      </c>
      <c r="H136">
        <v>4667.32</v>
      </c>
      <c r="I136">
        <v>4712.59</v>
      </c>
      <c r="J136">
        <v>4699.29</v>
      </c>
      <c r="K136">
        <v>4729.92</v>
      </c>
      <c r="L136">
        <v>-146.02000000000001</v>
      </c>
      <c r="M136">
        <v>-3.11</v>
      </c>
      <c r="N136">
        <v>5</v>
      </c>
      <c r="O136">
        <v>48</v>
      </c>
      <c r="P136" t="s">
        <v>19</v>
      </c>
    </row>
    <row r="137" spans="1:16" x14ac:dyDescent="0.55000000000000004">
      <c r="A137">
        <v>1777397404</v>
      </c>
      <c r="B137" t="s">
        <v>16</v>
      </c>
      <c r="C137" t="s">
        <v>17</v>
      </c>
      <c r="D137">
        <v>4599.0200000000004</v>
      </c>
      <c r="E137" t="s">
        <v>20</v>
      </c>
      <c r="F137">
        <v>4601.49</v>
      </c>
      <c r="G137">
        <v>4555.12</v>
      </c>
      <c r="H137">
        <v>4701.1400000000003</v>
      </c>
      <c r="I137">
        <v>4667.32</v>
      </c>
      <c r="J137">
        <v>4712.59</v>
      </c>
      <c r="K137">
        <v>4699.29</v>
      </c>
      <c r="L137">
        <v>46.37</v>
      </c>
      <c r="M137">
        <v>1.02</v>
      </c>
      <c r="N137">
        <v>0</v>
      </c>
      <c r="O137">
        <v>22</v>
      </c>
      <c r="P137" t="s">
        <v>21</v>
      </c>
    </row>
    <row r="138" spans="1:16" x14ac:dyDescent="0.55000000000000004">
      <c r="A138">
        <v>1777419004</v>
      </c>
      <c r="B138" t="s">
        <v>16</v>
      </c>
      <c r="C138" t="s">
        <v>17</v>
      </c>
      <c r="D138">
        <v>4589.91</v>
      </c>
      <c r="E138" t="s">
        <v>18</v>
      </c>
      <c r="F138">
        <v>4587.93</v>
      </c>
      <c r="G138">
        <v>4601.49</v>
      </c>
      <c r="H138">
        <v>4555.12</v>
      </c>
      <c r="I138">
        <v>4701.1400000000003</v>
      </c>
      <c r="J138">
        <v>4667.32</v>
      </c>
      <c r="K138">
        <v>4712.59</v>
      </c>
      <c r="L138">
        <v>-13.56</v>
      </c>
      <c r="M138">
        <v>-0.28999999999999998</v>
      </c>
      <c r="N138">
        <v>3</v>
      </c>
      <c r="O138">
        <v>20</v>
      </c>
      <c r="P138" t="s">
        <v>22</v>
      </c>
    </row>
    <row r="139" spans="1:16" x14ac:dyDescent="0.55000000000000004">
      <c r="A139">
        <v>1777420804</v>
      </c>
      <c r="B139" t="s">
        <v>16</v>
      </c>
      <c r="C139" t="s">
        <v>17</v>
      </c>
      <c r="D139">
        <v>4607.37</v>
      </c>
      <c r="E139" t="s">
        <v>20</v>
      </c>
      <c r="F139">
        <v>4610.1499999999996</v>
      </c>
      <c r="G139">
        <v>4587.93</v>
      </c>
      <c r="H139">
        <v>4601.49</v>
      </c>
      <c r="I139">
        <v>4555.12</v>
      </c>
      <c r="J139">
        <v>4701.1400000000003</v>
      </c>
      <c r="K139">
        <v>4667.32</v>
      </c>
      <c r="L139">
        <v>22.22</v>
      </c>
      <c r="M139">
        <v>0.48</v>
      </c>
      <c r="N139">
        <v>0</v>
      </c>
      <c r="O139">
        <v>2</v>
      </c>
      <c r="P139" t="s">
        <v>23</v>
      </c>
    </row>
    <row r="140" spans="1:16" x14ac:dyDescent="0.55000000000000004">
      <c r="A140">
        <v>1777424404</v>
      </c>
      <c r="B140" t="s">
        <v>16</v>
      </c>
      <c r="C140" t="s">
        <v>17</v>
      </c>
      <c r="D140">
        <v>4582.6499999999996</v>
      </c>
      <c r="E140" t="s">
        <v>18</v>
      </c>
      <c r="F140">
        <v>4575.84</v>
      </c>
      <c r="G140">
        <v>4610.1499999999996</v>
      </c>
      <c r="H140">
        <v>4587.93</v>
      </c>
      <c r="I140">
        <v>4601.49</v>
      </c>
      <c r="J140">
        <v>4555.12</v>
      </c>
      <c r="K140">
        <v>4701.1400000000003</v>
      </c>
      <c r="L140">
        <v>-34.31</v>
      </c>
      <c r="M140">
        <v>-0.74</v>
      </c>
      <c r="N140">
        <v>3</v>
      </c>
      <c r="O140">
        <v>4</v>
      </c>
      <c r="P140" t="s">
        <v>19</v>
      </c>
    </row>
    <row r="141" spans="1:16" x14ac:dyDescent="0.55000000000000004">
      <c r="A141">
        <v>1777438804</v>
      </c>
      <c r="B141" t="s">
        <v>16</v>
      </c>
      <c r="C141" t="s">
        <v>17</v>
      </c>
      <c r="D141">
        <v>4601.1499999999996</v>
      </c>
      <c r="E141" t="s">
        <v>20</v>
      </c>
      <c r="F141">
        <v>4607.7700000000004</v>
      </c>
      <c r="G141">
        <v>4575.84</v>
      </c>
      <c r="H141">
        <v>4610.1499999999996</v>
      </c>
      <c r="I141">
        <v>4587.93</v>
      </c>
      <c r="J141">
        <v>4601.49</v>
      </c>
      <c r="K141">
        <v>4555.12</v>
      </c>
      <c r="L141">
        <v>31.93</v>
      </c>
      <c r="M141">
        <v>0.7</v>
      </c>
      <c r="N141">
        <v>0</v>
      </c>
      <c r="O141">
        <v>16</v>
      </c>
      <c r="P141" t="s">
        <v>21</v>
      </c>
    </row>
    <row r="142" spans="1:16" x14ac:dyDescent="0.55000000000000004">
      <c r="A142">
        <v>1777470304</v>
      </c>
      <c r="B142" t="s">
        <v>16</v>
      </c>
      <c r="C142" t="s">
        <v>17</v>
      </c>
      <c r="D142">
        <v>4521.71</v>
      </c>
      <c r="E142" t="s">
        <v>18</v>
      </c>
      <c r="F142">
        <v>4510.28</v>
      </c>
      <c r="G142">
        <v>4607.7700000000004</v>
      </c>
      <c r="H142">
        <v>4575.84</v>
      </c>
      <c r="I142">
        <v>4610.1499999999996</v>
      </c>
      <c r="J142">
        <v>4587.93</v>
      </c>
      <c r="K142">
        <v>4601.49</v>
      </c>
      <c r="L142">
        <v>-97.49</v>
      </c>
      <c r="M142">
        <v>-2.12</v>
      </c>
      <c r="N142">
        <v>3</v>
      </c>
      <c r="O142">
        <v>35</v>
      </c>
      <c r="P142" t="s">
        <v>19</v>
      </c>
    </row>
    <row r="143" spans="1:16" x14ac:dyDescent="0.55000000000000004">
      <c r="A143">
        <v>1777478404</v>
      </c>
      <c r="B143" t="s">
        <v>16</v>
      </c>
      <c r="C143" t="s">
        <v>17</v>
      </c>
      <c r="D143">
        <v>4559.1000000000004</v>
      </c>
      <c r="E143" t="s">
        <v>20</v>
      </c>
      <c r="F143">
        <v>4564.75</v>
      </c>
      <c r="G143">
        <v>4510.28</v>
      </c>
      <c r="H143">
        <v>4607.7700000000004</v>
      </c>
      <c r="I143">
        <v>4575.84</v>
      </c>
      <c r="J143">
        <v>4610.1499999999996</v>
      </c>
      <c r="K143">
        <v>4587.93</v>
      </c>
      <c r="L143">
        <v>54.47</v>
      </c>
      <c r="M143">
        <v>1.21</v>
      </c>
      <c r="N143">
        <v>0</v>
      </c>
      <c r="O143">
        <v>9</v>
      </c>
      <c r="P143" t="s">
        <v>21</v>
      </c>
    </row>
    <row r="144" spans="1:16" x14ac:dyDescent="0.55000000000000004">
      <c r="A144">
        <v>1777488304</v>
      </c>
      <c r="B144" t="s">
        <v>16</v>
      </c>
      <c r="C144" t="s">
        <v>17</v>
      </c>
      <c r="D144">
        <v>4538.1899999999996</v>
      </c>
      <c r="E144" t="s">
        <v>18</v>
      </c>
      <c r="F144">
        <v>4518.41</v>
      </c>
      <c r="G144">
        <v>4564.75</v>
      </c>
      <c r="H144">
        <v>4510.28</v>
      </c>
      <c r="I144">
        <v>4607.7700000000004</v>
      </c>
      <c r="J144">
        <v>4575.84</v>
      </c>
      <c r="K144">
        <v>4610.1499999999996</v>
      </c>
      <c r="L144">
        <v>-46.34</v>
      </c>
      <c r="M144">
        <v>-1.02</v>
      </c>
      <c r="N144">
        <v>3</v>
      </c>
      <c r="O144">
        <v>11</v>
      </c>
      <c r="P144" t="s">
        <v>22</v>
      </c>
    </row>
    <row r="145" spans="1:16" x14ac:dyDescent="0.55000000000000004">
      <c r="A145">
        <v>1777513504</v>
      </c>
      <c r="B145" t="s">
        <v>16</v>
      </c>
      <c r="C145" t="s">
        <v>17</v>
      </c>
      <c r="D145">
        <v>4579.13</v>
      </c>
      <c r="E145" t="s">
        <v>20</v>
      </c>
      <c r="F145">
        <v>4582.32</v>
      </c>
      <c r="G145">
        <v>4518.41</v>
      </c>
      <c r="H145">
        <v>4564.75</v>
      </c>
      <c r="I145">
        <v>4510.28</v>
      </c>
      <c r="J145">
        <v>4607.7700000000004</v>
      </c>
      <c r="K145">
        <v>4575.84</v>
      </c>
      <c r="L145">
        <v>63.91</v>
      </c>
      <c r="M145">
        <v>1.41</v>
      </c>
      <c r="N145">
        <v>0</v>
      </c>
      <c r="O145">
        <v>24</v>
      </c>
      <c r="P145" t="s">
        <v>23</v>
      </c>
    </row>
    <row r="146" spans="1:16" x14ac:dyDescent="0.55000000000000004">
      <c r="A146">
        <v>1777523404</v>
      </c>
      <c r="B146" t="s">
        <v>16</v>
      </c>
      <c r="C146" t="s">
        <v>17</v>
      </c>
      <c r="D146">
        <v>4544.74</v>
      </c>
      <c r="E146" t="s">
        <v>18</v>
      </c>
      <c r="F146">
        <v>4540.82</v>
      </c>
      <c r="G146">
        <v>4582.32</v>
      </c>
      <c r="H146">
        <v>4518.41</v>
      </c>
      <c r="I146">
        <v>4564.75</v>
      </c>
      <c r="J146">
        <v>4510.28</v>
      </c>
      <c r="K146">
        <v>4607.7700000000004</v>
      </c>
      <c r="L146">
        <v>-41.5</v>
      </c>
      <c r="M146">
        <v>-0.91</v>
      </c>
      <c r="N146">
        <v>3</v>
      </c>
      <c r="O146">
        <v>11</v>
      </c>
      <c r="P146" t="s">
        <v>22</v>
      </c>
    </row>
    <row r="147" spans="1:16" x14ac:dyDescent="0.55000000000000004">
      <c r="A147">
        <v>1777545004</v>
      </c>
      <c r="B147" t="s">
        <v>16</v>
      </c>
      <c r="C147" t="s">
        <v>17</v>
      </c>
      <c r="D147">
        <v>4636.62</v>
      </c>
      <c r="E147" t="s">
        <v>20</v>
      </c>
      <c r="F147">
        <v>4647.1000000000004</v>
      </c>
      <c r="G147">
        <v>4540.82</v>
      </c>
      <c r="H147">
        <v>4582.32</v>
      </c>
      <c r="I147">
        <v>4518.41</v>
      </c>
      <c r="J147">
        <v>4564.75</v>
      </c>
      <c r="K147">
        <v>4510.28</v>
      </c>
      <c r="L147">
        <v>106.28</v>
      </c>
      <c r="M147">
        <v>2.34</v>
      </c>
      <c r="N147">
        <v>0</v>
      </c>
      <c r="O147">
        <v>24</v>
      </c>
      <c r="P147" t="s">
        <v>23</v>
      </c>
    </row>
    <row r="148" spans="1:16" x14ac:dyDescent="0.55000000000000004">
      <c r="A148">
        <v>1777567504</v>
      </c>
      <c r="B148" t="s">
        <v>16</v>
      </c>
      <c r="C148" t="s">
        <v>17</v>
      </c>
      <c r="D148">
        <v>4607.62</v>
      </c>
      <c r="E148" t="s">
        <v>18</v>
      </c>
      <c r="F148">
        <v>4605.5600000000004</v>
      </c>
      <c r="G148">
        <v>4647.1000000000004</v>
      </c>
      <c r="H148">
        <v>4540.82</v>
      </c>
      <c r="I148">
        <v>4582.32</v>
      </c>
      <c r="J148">
        <v>4518.41</v>
      </c>
      <c r="K148">
        <v>4564.75</v>
      </c>
      <c r="L148">
        <v>-41.54</v>
      </c>
      <c r="M148">
        <v>-0.89</v>
      </c>
      <c r="N148">
        <v>3</v>
      </c>
      <c r="O148">
        <v>25</v>
      </c>
      <c r="P148" t="s">
        <v>22</v>
      </c>
    </row>
    <row r="149" spans="1:16" x14ac:dyDescent="0.55000000000000004">
      <c r="A149">
        <v>1777591804</v>
      </c>
      <c r="B149" t="s">
        <v>16</v>
      </c>
      <c r="C149" t="s">
        <v>17</v>
      </c>
      <c r="D149">
        <v>4631.3100000000004</v>
      </c>
      <c r="E149" t="s">
        <v>20</v>
      </c>
      <c r="F149">
        <v>4634.1400000000003</v>
      </c>
      <c r="G149">
        <v>4605.5600000000004</v>
      </c>
      <c r="H149">
        <v>4647.1000000000004</v>
      </c>
      <c r="I149">
        <v>4540.82</v>
      </c>
      <c r="J149">
        <v>4582.32</v>
      </c>
      <c r="K149">
        <v>4518.41</v>
      </c>
      <c r="L149">
        <v>28.58</v>
      </c>
      <c r="M149">
        <v>0.62</v>
      </c>
      <c r="N149">
        <v>0</v>
      </c>
      <c r="O149">
        <v>23</v>
      </c>
      <c r="P149" t="s">
        <v>21</v>
      </c>
    </row>
    <row r="150" spans="1:16" x14ac:dyDescent="0.55000000000000004">
      <c r="A150">
        <v>1777598104</v>
      </c>
      <c r="B150" t="s">
        <v>16</v>
      </c>
      <c r="C150" t="s">
        <v>17</v>
      </c>
      <c r="D150">
        <v>4616.68</v>
      </c>
      <c r="E150" t="s">
        <v>18</v>
      </c>
      <c r="F150">
        <v>4614.2700000000004</v>
      </c>
      <c r="G150">
        <v>4634.1400000000003</v>
      </c>
      <c r="H150">
        <v>4605.5600000000004</v>
      </c>
      <c r="I150">
        <v>4647.1000000000004</v>
      </c>
      <c r="J150">
        <v>4540.82</v>
      </c>
      <c r="K150">
        <v>4582.32</v>
      </c>
      <c r="L150">
        <v>-19.87</v>
      </c>
      <c r="M150">
        <v>-0.43</v>
      </c>
      <c r="N150">
        <v>3</v>
      </c>
      <c r="O150">
        <v>7</v>
      </c>
      <c r="P150" t="s">
        <v>22</v>
      </c>
    </row>
    <row r="151" spans="1:16" x14ac:dyDescent="0.55000000000000004">
      <c r="A151">
        <v>1777601704</v>
      </c>
      <c r="B151" t="s">
        <v>16</v>
      </c>
      <c r="C151" t="s">
        <v>17</v>
      </c>
      <c r="D151">
        <v>4629.3900000000003</v>
      </c>
      <c r="E151" t="s">
        <v>20</v>
      </c>
      <c r="F151">
        <v>4635.83</v>
      </c>
      <c r="G151">
        <v>4614.2700000000004</v>
      </c>
      <c r="H151">
        <v>4634.1400000000003</v>
      </c>
      <c r="I151">
        <v>4605.5600000000004</v>
      </c>
      <c r="J151">
        <v>4647.1000000000004</v>
      </c>
      <c r="K151">
        <v>4540.82</v>
      </c>
      <c r="L151">
        <v>21.56</v>
      </c>
      <c r="M151">
        <v>0.47</v>
      </c>
      <c r="N151">
        <v>0</v>
      </c>
      <c r="O151">
        <v>4</v>
      </c>
      <c r="P151" t="s">
        <v>23</v>
      </c>
    </row>
    <row r="152" spans="1:16" x14ac:dyDescent="0.55000000000000004">
      <c r="A152">
        <v>1777628704</v>
      </c>
      <c r="B152" t="s">
        <v>16</v>
      </c>
      <c r="C152" t="s">
        <v>17</v>
      </c>
      <c r="D152">
        <v>4563.12</v>
      </c>
      <c r="E152" t="s">
        <v>18</v>
      </c>
      <c r="F152">
        <v>4560.4399999999996</v>
      </c>
      <c r="G152">
        <v>4635.83</v>
      </c>
      <c r="H152">
        <v>4614.2700000000004</v>
      </c>
      <c r="I152">
        <v>4634.1400000000003</v>
      </c>
      <c r="J152">
        <v>4605.5600000000004</v>
      </c>
      <c r="K152">
        <v>4647.1000000000004</v>
      </c>
      <c r="L152">
        <v>-75.39</v>
      </c>
      <c r="M152">
        <v>-1.63</v>
      </c>
      <c r="N152">
        <v>3</v>
      </c>
      <c r="O152">
        <v>30</v>
      </c>
      <c r="P152" t="s">
        <v>19</v>
      </c>
    </row>
    <row r="153" spans="1:16" x14ac:dyDescent="0.55000000000000004">
      <c r="A153">
        <v>1777644904</v>
      </c>
      <c r="B153" t="s">
        <v>16</v>
      </c>
      <c r="C153" t="s">
        <v>17</v>
      </c>
      <c r="D153">
        <v>4644.67</v>
      </c>
      <c r="E153" t="s">
        <v>20</v>
      </c>
      <c r="F153">
        <v>4660.32</v>
      </c>
      <c r="G153">
        <v>4560.4399999999996</v>
      </c>
      <c r="H153">
        <v>4635.83</v>
      </c>
      <c r="I153">
        <v>4614.2700000000004</v>
      </c>
      <c r="J153">
        <v>4634.1400000000003</v>
      </c>
      <c r="K153">
        <v>4605.5600000000004</v>
      </c>
      <c r="L153">
        <v>99.88</v>
      </c>
      <c r="M153">
        <v>2.19</v>
      </c>
      <c r="N153">
        <v>0</v>
      </c>
      <c r="O153">
        <v>18</v>
      </c>
      <c r="P153" t="s">
        <v>23</v>
      </c>
    </row>
    <row r="154" spans="1:16" x14ac:dyDescent="0.55000000000000004">
      <c r="A154">
        <v>1777665604</v>
      </c>
      <c r="B154" t="s">
        <v>16</v>
      </c>
      <c r="C154" t="s">
        <v>17</v>
      </c>
      <c r="D154">
        <v>4611.41</v>
      </c>
      <c r="E154" t="s">
        <v>18</v>
      </c>
      <c r="F154">
        <v>4607.09</v>
      </c>
      <c r="G154">
        <v>4660.32</v>
      </c>
      <c r="H154">
        <v>4560.4399999999996</v>
      </c>
      <c r="I154">
        <v>4635.83</v>
      </c>
      <c r="J154">
        <v>4614.2700000000004</v>
      </c>
      <c r="K154">
        <v>4634.1400000000003</v>
      </c>
      <c r="L154">
        <v>-53.23</v>
      </c>
      <c r="M154">
        <v>-1.1399999999999999</v>
      </c>
      <c r="N154">
        <v>3</v>
      </c>
      <c r="O154">
        <v>23</v>
      </c>
      <c r="P154" t="s">
        <v>22</v>
      </c>
    </row>
    <row r="155" spans="1:16" x14ac:dyDescent="0.55000000000000004">
      <c r="A155">
        <v>1777845604</v>
      </c>
      <c r="B155" t="s">
        <v>16</v>
      </c>
      <c r="C155" t="s">
        <v>17</v>
      </c>
      <c r="D155">
        <v>4623.1099999999997</v>
      </c>
      <c r="E155" t="s">
        <v>20</v>
      </c>
      <c r="F155">
        <v>4632.1099999999997</v>
      </c>
      <c r="G155">
        <v>4607.09</v>
      </c>
      <c r="H155">
        <v>4660.32</v>
      </c>
      <c r="I155">
        <v>4560.4399999999996</v>
      </c>
      <c r="J155">
        <v>4635.83</v>
      </c>
      <c r="K155">
        <v>4614.2700000000004</v>
      </c>
      <c r="L155">
        <v>25.02</v>
      </c>
      <c r="M155">
        <v>0.54</v>
      </c>
      <c r="N155">
        <v>0</v>
      </c>
      <c r="O155">
        <v>4</v>
      </c>
      <c r="P155" t="s">
        <v>21</v>
      </c>
    </row>
    <row r="156" spans="1:16" x14ac:dyDescent="0.55000000000000004">
      <c r="A156">
        <v>1777858204</v>
      </c>
      <c r="B156" t="s">
        <v>16</v>
      </c>
      <c r="C156" t="s">
        <v>17</v>
      </c>
      <c r="D156">
        <v>4601.59</v>
      </c>
      <c r="E156" t="s">
        <v>18</v>
      </c>
      <c r="F156">
        <v>4592.93</v>
      </c>
      <c r="G156">
        <v>4632.1099999999997</v>
      </c>
      <c r="H156">
        <v>4607.09</v>
      </c>
      <c r="I156">
        <v>4660.32</v>
      </c>
      <c r="J156">
        <v>4560.4399999999996</v>
      </c>
      <c r="K156">
        <v>4635.83</v>
      </c>
      <c r="L156">
        <v>-39.18</v>
      </c>
      <c r="M156">
        <v>-0.85</v>
      </c>
      <c r="N156">
        <v>3</v>
      </c>
      <c r="O156">
        <v>14</v>
      </c>
      <c r="P156" t="s">
        <v>19</v>
      </c>
    </row>
    <row r="157" spans="1:16" x14ac:dyDescent="0.55000000000000004">
      <c r="A157">
        <v>1777860004</v>
      </c>
      <c r="B157" t="s">
        <v>16</v>
      </c>
      <c r="C157" t="s">
        <v>17</v>
      </c>
      <c r="D157">
        <v>4608.34</v>
      </c>
      <c r="E157" t="s">
        <v>20</v>
      </c>
      <c r="F157">
        <v>4618.59</v>
      </c>
      <c r="G157">
        <v>4592.93</v>
      </c>
      <c r="H157">
        <v>4632.1099999999997</v>
      </c>
      <c r="I157">
        <v>4607.09</v>
      </c>
      <c r="J157">
        <v>4660.32</v>
      </c>
      <c r="K157">
        <v>4560.4399999999996</v>
      </c>
      <c r="L157">
        <v>25.66</v>
      </c>
      <c r="M157">
        <v>0.56000000000000005</v>
      </c>
      <c r="N157">
        <v>0</v>
      </c>
      <c r="O157">
        <v>2</v>
      </c>
      <c r="P157" t="s">
        <v>21</v>
      </c>
    </row>
    <row r="158" spans="1:16" x14ac:dyDescent="0.55000000000000004">
      <c r="A158">
        <v>1777889704</v>
      </c>
      <c r="B158" t="s">
        <v>16</v>
      </c>
      <c r="C158" t="s">
        <v>17</v>
      </c>
      <c r="D158">
        <v>4545</v>
      </c>
      <c r="E158" t="s">
        <v>18</v>
      </c>
      <c r="F158">
        <v>4526.3999999999996</v>
      </c>
      <c r="G158">
        <v>4618.59</v>
      </c>
      <c r="H158">
        <v>4592.93</v>
      </c>
      <c r="I158">
        <v>4632.1099999999997</v>
      </c>
      <c r="J158">
        <v>4607.09</v>
      </c>
      <c r="K158">
        <v>4660.32</v>
      </c>
      <c r="L158">
        <v>-92.19</v>
      </c>
      <c r="M158">
        <v>-2</v>
      </c>
      <c r="N158">
        <v>3</v>
      </c>
      <c r="O158">
        <v>33</v>
      </c>
      <c r="P158" t="s">
        <v>19</v>
      </c>
    </row>
    <row r="159" spans="1:16" x14ac:dyDescent="0.55000000000000004">
      <c r="A159">
        <v>1777905004</v>
      </c>
      <c r="B159" t="s">
        <v>16</v>
      </c>
      <c r="C159" t="s">
        <v>17</v>
      </c>
      <c r="D159">
        <v>4574.38</v>
      </c>
      <c r="E159" t="s">
        <v>20</v>
      </c>
      <c r="F159">
        <v>4583.16</v>
      </c>
      <c r="G159">
        <v>4526.3999999999996</v>
      </c>
      <c r="H159">
        <v>4618.59</v>
      </c>
      <c r="I159">
        <v>4592.93</v>
      </c>
      <c r="J159">
        <v>4632.1099999999997</v>
      </c>
      <c r="K159">
        <v>4607.09</v>
      </c>
      <c r="L159">
        <v>56.76</v>
      </c>
      <c r="M159">
        <v>1.25</v>
      </c>
      <c r="N159">
        <v>0</v>
      </c>
      <c r="O159">
        <v>17</v>
      </c>
      <c r="P159" t="s">
        <v>21</v>
      </c>
    </row>
    <row r="160" spans="1:16" x14ac:dyDescent="0.55000000000000004">
      <c r="A160">
        <v>1777910404</v>
      </c>
      <c r="B160" t="s">
        <v>16</v>
      </c>
      <c r="C160" t="s">
        <v>17</v>
      </c>
      <c r="D160">
        <v>4509.88</v>
      </c>
      <c r="E160" t="s">
        <v>18</v>
      </c>
      <c r="F160">
        <v>4500.8599999999997</v>
      </c>
      <c r="G160">
        <v>4583.16</v>
      </c>
      <c r="H160">
        <v>4526.3999999999996</v>
      </c>
      <c r="I160">
        <v>4618.59</v>
      </c>
      <c r="J160">
        <v>4592.93</v>
      </c>
      <c r="K160">
        <v>4632.1099999999997</v>
      </c>
      <c r="L160">
        <v>-82.3</v>
      </c>
      <c r="M160">
        <v>-1.8</v>
      </c>
      <c r="N160">
        <v>3</v>
      </c>
      <c r="O160">
        <v>6</v>
      </c>
      <c r="P160" t="s">
        <v>19</v>
      </c>
    </row>
    <row r="161" spans="1:16" x14ac:dyDescent="0.55000000000000004">
      <c r="A161">
        <v>1777939204</v>
      </c>
      <c r="B161" t="s">
        <v>16</v>
      </c>
      <c r="C161" t="s">
        <v>17</v>
      </c>
      <c r="D161">
        <v>4527.7700000000004</v>
      </c>
      <c r="E161" t="s">
        <v>20</v>
      </c>
      <c r="F161">
        <v>4528.57</v>
      </c>
      <c r="G161">
        <v>4500.8599999999997</v>
      </c>
      <c r="H161">
        <v>4583.16</v>
      </c>
      <c r="I161">
        <v>4526.3999999999996</v>
      </c>
      <c r="J161">
        <v>4618.59</v>
      </c>
      <c r="K161">
        <v>4592.93</v>
      </c>
      <c r="L161">
        <v>27.71</v>
      </c>
      <c r="M161">
        <v>0.62</v>
      </c>
      <c r="N161">
        <v>0</v>
      </c>
      <c r="O161">
        <v>28</v>
      </c>
      <c r="P161" t="s">
        <v>21</v>
      </c>
    </row>
    <row r="162" spans="1:16" x14ac:dyDescent="0.55000000000000004">
      <c r="A162" s="1">
        <v>1777940104</v>
      </c>
      <c r="B162" s="1" t="s">
        <v>16</v>
      </c>
      <c r="C162" s="1" t="s">
        <v>17</v>
      </c>
      <c r="D162" s="1">
        <v>4517.12</v>
      </c>
      <c r="E162" s="1" t="s">
        <v>18</v>
      </c>
      <c r="F162" s="1">
        <v>4513.5600000000004</v>
      </c>
      <c r="G162" s="1">
        <v>4528.57</v>
      </c>
      <c r="H162" s="1">
        <v>4500.8599999999997</v>
      </c>
      <c r="I162" s="1">
        <v>4583.16</v>
      </c>
      <c r="J162" s="1">
        <v>4526.3999999999996</v>
      </c>
      <c r="K162" s="1">
        <v>4618.59</v>
      </c>
      <c r="L162" s="1">
        <v>-15.01</v>
      </c>
      <c r="M162" s="1">
        <v>-0.33</v>
      </c>
      <c r="N162" s="1">
        <v>3</v>
      </c>
      <c r="O162" s="1">
        <v>1</v>
      </c>
      <c r="P162" s="1" t="s">
        <v>22</v>
      </c>
    </row>
    <row r="163" spans="1:16" x14ac:dyDescent="0.55000000000000004">
      <c r="A163" s="1">
        <v>1777949104</v>
      </c>
      <c r="B163" s="1" t="s">
        <v>16</v>
      </c>
      <c r="C163" s="1" t="s">
        <v>17</v>
      </c>
      <c r="D163" s="1">
        <v>4539.17</v>
      </c>
      <c r="E163" s="1" t="s">
        <v>20</v>
      </c>
      <c r="F163" s="1">
        <v>4546.78</v>
      </c>
      <c r="G163" s="1">
        <v>4513.5600000000004</v>
      </c>
      <c r="H163" s="1">
        <v>4528.57</v>
      </c>
      <c r="I163" s="1">
        <v>4500.8599999999997</v>
      </c>
      <c r="J163" s="1">
        <v>4583.16</v>
      </c>
      <c r="K163" s="1">
        <v>4526.3999999999996</v>
      </c>
      <c r="L163" s="1">
        <v>33.22</v>
      </c>
      <c r="M163" s="1">
        <v>0.74</v>
      </c>
      <c r="N163" s="1">
        <v>0</v>
      </c>
      <c r="O163" s="1">
        <v>10</v>
      </c>
      <c r="P163" s="1" t="s">
        <v>23</v>
      </c>
    </row>
    <row r="164" spans="1:16" x14ac:dyDescent="0.55000000000000004">
      <c r="A164">
        <v>1777955404</v>
      </c>
      <c r="B164" t="s">
        <v>16</v>
      </c>
      <c r="C164" t="s">
        <v>17</v>
      </c>
      <c r="D164">
        <v>4531.71</v>
      </c>
      <c r="E164" t="s">
        <v>18</v>
      </c>
      <c r="F164">
        <v>4527.8900000000003</v>
      </c>
      <c r="G164">
        <v>4546.78</v>
      </c>
      <c r="H164">
        <v>4513.5600000000004</v>
      </c>
      <c r="I164">
        <v>4528.57</v>
      </c>
      <c r="J164">
        <v>4500.8599999999997</v>
      </c>
      <c r="K164">
        <v>4583.16</v>
      </c>
      <c r="L164">
        <v>-18.89</v>
      </c>
      <c r="M164">
        <v>-0.42</v>
      </c>
      <c r="N164">
        <v>3</v>
      </c>
      <c r="O164">
        <v>7</v>
      </c>
      <c r="P164" t="s">
        <v>22</v>
      </c>
    </row>
    <row r="165" spans="1:16" x14ac:dyDescent="0.55000000000000004">
      <c r="A165">
        <v>1777971604</v>
      </c>
      <c r="B165" t="s">
        <v>16</v>
      </c>
      <c r="C165" t="s">
        <v>17</v>
      </c>
      <c r="D165">
        <v>4557.6099999999997</v>
      </c>
      <c r="E165" t="s">
        <v>20</v>
      </c>
      <c r="F165">
        <v>4560.53</v>
      </c>
      <c r="G165">
        <v>4527.8900000000003</v>
      </c>
      <c r="H165">
        <v>4546.78</v>
      </c>
      <c r="I165">
        <v>4513.5600000000004</v>
      </c>
      <c r="J165">
        <v>4528.57</v>
      </c>
      <c r="K165">
        <v>4500.8599999999997</v>
      </c>
      <c r="L165">
        <v>32.64</v>
      </c>
      <c r="M165">
        <v>0.72</v>
      </c>
      <c r="N165">
        <v>0</v>
      </c>
      <c r="O165">
        <v>18</v>
      </c>
      <c r="P165" t="s">
        <v>23</v>
      </c>
    </row>
    <row r="166" spans="1:16" x14ac:dyDescent="0.55000000000000004">
      <c r="A166">
        <v>1777978804</v>
      </c>
      <c r="B166" t="s">
        <v>16</v>
      </c>
      <c r="C166" t="s">
        <v>17</v>
      </c>
      <c r="D166">
        <v>4552.62</v>
      </c>
      <c r="E166" t="s">
        <v>18</v>
      </c>
      <c r="F166">
        <v>4540</v>
      </c>
      <c r="G166">
        <v>4560.53</v>
      </c>
      <c r="H166">
        <v>4527.8900000000003</v>
      </c>
      <c r="I166">
        <v>4546.78</v>
      </c>
      <c r="J166">
        <v>4513.5600000000004</v>
      </c>
      <c r="K166">
        <v>4528.57</v>
      </c>
      <c r="L166">
        <v>-20.53</v>
      </c>
      <c r="M166">
        <v>-0.45</v>
      </c>
      <c r="N166">
        <v>3</v>
      </c>
      <c r="O166">
        <v>8</v>
      </c>
      <c r="P166" t="s">
        <v>22</v>
      </c>
    </row>
    <row r="167" spans="1:16" x14ac:dyDescent="0.55000000000000004">
      <c r="A167">
        <v>1777990504</v>
      </c>
      <c r="B167" t="s">
        <v>16</v>
      </c>
      <c r="C167" t="s">
        <v>17</v>
      </c>
      <c r="D167">
        <v>4584.37</v>
      </c>
      <c r="E167" t="s">
        <v>20</v>
      </c>
      <c r="F167">
        <v>4586.5600000000004</v>
      </c>
      <c r="G167">
        <v>4540</v>
      </c>
      <c r="H167">
        <v>4560.53</v>
      </c>
      <c r="I167">
        <v>4527.8900000000003</v>
      </c>
      <c r="J167">
        <v>4546.78</v>
      </c>
      <c r="K167">
        <v>4513.5600000000004</v>
      </c>
      <c r="L167">
        <v>46.56</v>
      </c>
      <c r="M167">
        <v>1.03</v>
      </c>
      <c r="N167">
        <v>0</v>
      </c>
      <c r="O167">
        <v>13</v>
      </c>
      <c r="P167" t="s">
        <v>23</v>
      </c>
    </row>
    <row r="168" spans="1:16" x14ac:dyDescent="0.55000000000000004">
      <c r="A168">
        <v>1778020204</v>
      </c>
      <c r="B168" t="s">
        <v>16</v>
      </c>
      <c r="C168" t="s">
        <v>17</v>
      </c>
      <c r="D168">
        <v>4548.82</v>
      </c>
      <c r="E168" t="s">
        <v>18</v>
      </c>
      <c r="F168">
        <v>4546.3100000000004</v>
      </c>
      <c r="G168">
        <v>4586.5600000000004</v>
      </c>
      <c r="H168">
        <v>4540</v>
      </c>
      <c r="I168">
        <v>4560.53</v>
      </c>
      <c r="J168">
        <v>4527.8900000000003</v>
      </c>
      <c r="K168">
        <v>4546.78</v>
      </c>
      <c r="L168">
        <v>-40.25</v>
      </c>
      <c r="M168">
        <v>-0.88</v>
      </c>
      <c r="N168">
        <v>3</v>
      </c>
      <c r="O168">
        <v>29</v>
      </c>
      <c r="P168" t="s">
        <v>22</v>
      </c>
    </row>
    <row r="169" spans="1:16" x14ac:dyDescent="0.55000000000000004">
      <c r="A169">
        <v>1778031004</v>
      </c>
      <c r="B169" t="s">
        <v>16</v>
      </c>
      <c r="C169" t="s">
        <v>17</v>
      </c>
      <c r="D169">
        <v>4623.3</v>
      </c>
      <c r="E169" t="s">
        <v>20</v>
      </c>
      <c r="F169">
        <v>4626.22</v>
      </c>
      <c r="G169">
        <v>4546.3100000000004</v>
      </c>
      <c r="H169">
        <v>4586.5600000000004</v>
      </c>
      <c r="I169">
        <v>4540</v>
      </c>
      <c r="J169">
        <v>4560.53</v>
      </c>
      <c r="K169">
        <v>4527.8900000000003</v>
      </c>
      <c r="L169">
        <v>79.91</v>
      </c>
      <c r="M169">
        <v>1.76</v>
      </c>
      <c r="N169">
        <v>0</v>
      </c>
      <c r="O169">
        <v>12</v>
      </c>
      <c r="P169" t="s">
        <v>23</v>
      </c>
    </row>
    <row r="170" spans="1:16" x14ac:dyDescent="0.55000000000000004">
      <c r="A170">
        <v>1778031783</v>
      </c>
      <c r="B170" t="s">
        <v>16</v>
      </c>
      <c r="C170" t="s">
        <v>17</v>
      </c>
      <c r="D170">
        <v>4623.3</v>
      </c>
      <c r="E170" t="s">
        <v>18</v>
      </c>
      <c r="F170">
        <v>4620.43</v>
      </c>
      <c r="G170">
        <v>4626.22</v>
      </c>
      <c r="H170">
        <v>4546.3100000000004</v>
      </c>
      <c r="I170">
        <v>4586.5600000000004</v>
      </c>
      <c r="J170">
        <v>4540</v>
      </c>
      <c r="K170">
        <v>4560.53</v>
      </c>
      <c r="L170">
        <v>-5.79</v>
      </c>
      <c r="M170">
        <v>-0.13</v>
      </c>
      <c r="N170">
        <v>3</v>
      </c>
      <c r="O170">
        <v>0</v>
      </c>
      <c r="P170" t="s">
        <v>22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170"/>
  <sheetViews>
    <sheetView topLeftCell="DP1" zoomScale="60" zoomScaleNormal="60" workbookViewId="0">
      <selection activeCell="DW19" sqref="DW19"/>
    </sheetView>
  </sheetViews>
  <sheetFormatPr defaultColWidth="8.68359375" defaultRowHeight="15" customHeight="1" x14ac:dyDescent="0.55000000000000004"/>
  <cols>
    <col min="1" max="1" width="11.68359375" customWidth="1"/>
    <col min="6" max="6" width="12.15625" customWidth="1"/>
    <col min="7" max="8" width="9.578125" customWidth="1"/>
    <col min="9" max="10" width="10.41796875" customWidth="1"/>
    <col min="11" max="17" width="11.41796875" customWidth="1"/>
    <col min="18" max="18" width="13.578125" customWidth="1"/>
    <col min="19" max="29" width="11.68359375" customWidth="1"/>
    <col min="30" max="41" width="13" customWidth="1"/>
    <col min="42" max="42" width="16.68359375" customWidth="1"/>
    <col min="43" max="43" width="15" customWidth="1"/>
    <col min="44" max="44" width="14.578125" customWidth="1"/>
    <col min="45" max="45" width="15" customWidth="1"/>
    <col min="46" max="46" width="14.83984375" customWidth="1"/>
    <col min="47" max="47" width="16.15625" customWidth="1"/>
    <col min="48" max="48" width="15.578125" customWidth="1"/>
    <col min="49" max="49" width="16" customWidth="1"/>
    <col min="50" max="51" width="16.41796875" customWidth="1"/>
    <col min="52" max="52" width="16.26171875" customWidth="1"/>
    <col min="53" max="53" width="16.68359375" customWidth="1"/>
    <col min="54" max="54" width="11.26171875" customWidth="1"/>
    <col min="55" max="58" width="9.578125" customWidth="1"/>
    <col min="59" max="65" width="10.68359375" customWidth="1"/>
    <col min="66" max="66" width="16.68359375" customWidth="1"/>
    <col min="67" max="67" width="14.41796875" customWidth="1"/>
    <col min="68" max="68" width="14.68359375" customWidth="1"/>
    <col min="69" max="69" width="14.26171875" customWidth="1"/>
    <col min="70" max="70" width="14.15625" customWidth="1"/>
    <col min="71" max="71" width="15.26171875" customWidth="1"/>
    <col min="72" max="72" width="15.578125" customWidth="1"/>
    <col min="73" max="73" width="15.15625" customWidth="1"/>
    <col min="74" max="74" width="15.578125" customWidth="1"/>
    <col min="75" max="75" width="15" customWidth="1"/>
    <col min="76" max="76" width="15.15625" customWidth="1"/>
    <col min="77" max="89" width="15.578125" customWidth="1"/>
    <col min="90" max="90" width="18.1015625" customWidth="1"/>
    <col min="91" max="113" width="15.578125" customWidth="1"/>
    <col min="114" max="114" width="15.26171875" customWidth="1"/>
    <col min="115" max="118" width="12.41796875" customWidth="1"/>
    <col min="119" max="125" width="13.3671875" customWidth="1"/>
    <col min="126" max="126" width="10.41796875" customWidth="1"/>
    <col min="127" max="127" width="12.26171875" customWidth="1"/>
    <col min="128" max="129" width="10.41796875" customWidth="1"/>
    <col min="130" max="136" width="11.578125" customWidth="1"/>
    <col min="137" max="148" width="9.68359375" customWidth="1"/>
  </cols>
  <sheetData>
    <row r="1" spans="1:148" ht="17.25" customHeight="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4" t="s">
        <v>40</v>
      </c>
      <c r="X1" s="4" t="s">
        <v>41</v>
      </c>
      <c r="Y1" s="4" t="s">
        <v>42</v>
      </c>
      <c r="Z1" s="4" t="s">
        <v>43</v>
      </c>
      <c r="AA1" s="4" t="s">
        <v>44</v>
      </c>
      <c r="AB1" s="4" t="s">
        <v>45</v>
      </c>
      <c r="AC1" s="4" t="s">
        <v>46</v>
      </c>
      <c r="AD1" s="5" t="s">
        <v>47</v>
      </c>
      <c r="AE1" s="5" t="s">
        <v>48</v>
      </c>
      <c r="AF1" s="5" t="s">
        <v>49</v>
      </c>
      <c r="AG1" s="5" t="s">
        <v>50</v>
      </c>
      <c r="AH1" s="5" t="s">
        <v>51</v>
      </c>
      <c r="AI1" s="5" t="s">
        <v>52</v>
      </c>
      <c r="AJ1" s="5" t="s">
        <v>53</v>
      </c>
      <c r="AK1" s="5" t="s">
        <v>54</v>
      </c>
      <c r="AL1" s="5" t="s">
        <v>55</v>
      </c>
      <c r="AM1" s="5" t="s">
        <v>56</v>
      </c>
      <c r="AN1" s="5" t="s">
        <v>57</v>
      </c>
      <c r="AO1" s="5" t="s">
        <v>58</v>
      </c>
      <c r="AP1" s="2" t="s">
        <v>59</v>
      </c>
      <c r="AQ1" s="6" t="s">
        <v>60</v>
      </c>
      <c r="AR1" s="6" t="s">
        <v>61</v>
      </c>
      <c r="AS1" s="6" t="s">
        <v>62</v>
      </c>
      <c r="AT1" s="6" t="s">
        <v>63</v>
      </c>
      <c r="AU1" s="6" t="s">
        <v>64</v>
      </c>
      <c r="AV1" s="6" t="s">
        <v>65</v>
      </c>
      <c r="AW1" s="6" t="s">
        <v>66</v>
      </c>
      <c r="AX1" s="6" t="s">
        <v>67</v>
      </c>
      <c r="AY1" s="6" t="s">
        <v>68</v>
      </c>
      <c r="AZ1" s="6" t="s">
        <v>69</v>
      </c>
      <c r="BA1" s="6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  <c r="BH1" s="2" t="s">
        <v>77</v>
      </c>
      <c r="BI1" s="2" t="s">
        <v>78</v>
      </c>
      <c r="BJ1" s="2" t="s">
        <v>79</v>
      </c>
      <c r="BK1" s="2" t="s">
        <v>80</v>
      </c>
      <c r="BL1" s="2" t="s">
        <v>81</v>
      </c>
      <c r="BM1" s="2" t="s">
        <v>82</v>
      </c>
      <c r="BN1" s="7" t="s">
        <v>83</v>
      </c>
      <c r="BO1" s="7" t="s">
        <v>84</v>
      </c>
      <c r="BP1" s="7" t="s">
        <v>85</v>
      </c>
      <c r="BQ1" s="7" t="s">
        <v>86</v>
      </c>
      <c r="BR1" s="7" t="s">
        <v>87</v>
      </c>
      <c r="BS1" s="7" t="s">
        <v>88</v>
      </c>
      <c r="BT1" s="7" t="s">
        <v>89</v>
      </c>
      <c r="BU1" s="7" t="s">
        <v>90</v>
      </c>
      <c r="BV1" s="7" t="s">
        <v>91</v>
      </c>
      <c r="BW1" s="7" t="s">
        <v>92</v>
      </c>
      <c r="BX1" s="7" t="s">
        <v>93</v>
      </c>
      <c r="BY1" s="7" t="s">
        <v>94</v>
      </c>
      <c r="BZ1" s="8" t="s">
        <v>95</v>
      </c>
      <c r="CA1" s="8" t="s">
        <v>96</v>
      </c>
      <c r="CB1" s="8" t="s">
        <v>97</v>
      </c>
      <c r="CC1" s="8" t="s">
        <v>98</v>
      </c>
      <c r="CD1" s="8" t="s">
        <v>99</v>
      </c>
      <c r="CE1" s="8" t="s">
        <v>100</v>
      </c>
      <c r="CF1" s="8" t="s">
        <v>101</v>
      </c>
      <c r="CG1" s="8" t="s">
        <v>102</v>
      </c>
      <c r="CH1" s="8" t="s">
        <v>103</v>
      </c>
      <c r="CI1" s="8" t="s">
        <v>104</v>
      </c>
      <c r="CJ1" s="8" t="s">
        <v>105</v>
      </c>
      <c r="CK1" s="8" t="s">
        <v>106</v>
      </c>
      <c r="CL1" s="9" t="s">
        <v>107</v>
      </c>
      <c r="CM1" s="9" t="s">
        <v>108</v>
      </c>
      <c r="CN1" s="9" t="s">
        <v>109</v>
      </c>
      <c r="CO1" s="9" t="s">
        <v>110</v>
      </c>
      <c r="CP1" s="9" t="s">
        <v>111</v>
      </c>
      <c r="CQ1" s="9" t="s">
        <v>112</v>
      </c>
      <c r="CR1" s="9" t="s">
        <v>113</v>
      </c>
      <c r="CS1" s="9" t="s">
        <v>114</v>
      </c>
      <c r="CT1" s="9" t="s">
        <v>115</v>
      </c>
      <c r="CU1" s="9" t="s">
        <v>116</v>
      </c>
      <c r="CV1" s="9" t="s">
        <v>117</v>
      </c>
      <c r="CW1" s="9" t="s">
        <v>118</v>
      </c>
      <c r="CX1" s="10" t="s">
        <v>119</v>
      </c>
      <c r="CY1" s="10" t="s">
        <v>120</v>
      </c>
      <c r="CZ1" s="10" t="s">
        <v>121</v>
      </c>
      <c r="DA1" s="10" t="s">
        <v>122</v>
      </c>
      <c r="DB1" s="10" t="s">
        <v>123</v>
      </c>
      <c r="DC1" s="10" t="s">
        <v>124</v>
      </c>
      <c r="DD1" s="10" t="s">
        <v>125</v>
      </c>
      <c r="DE1" s="10" t="s">
        <v>126</v>
      </c>
      <c r="DF1" s="10" t="s">
        <v>127</v>
      </c>
      <c r="DG1" s="10" t="s">
        <v>128</v>
      </c>
      <c r="DH1" s="10" t="s">
        <v>129</v>
      </c>
      <c r="DI1" s="10" t="s">
        <v>130</v>
      </c>
      <c r="DJ1" s="5" t="s">
        <v>131</v>
      </c>
      <c r="DK1" s="5" t="s">
        <v>132</v>
      </c>
      <c r="DL1" s="5" t="s">
        <v>133</v>
      </c>
      <c r="DM1" s="5" t="s">
        <v>134</v>
      </c>
      <c r="DN1" s="5" t="s">
        <v>135</v>
      </c>
      <c r="DO1" s="5" t="s">
        <v>136</v>
      </c>
      <c r="DP1" s="5" t="s">
        <v>137</v>
      </c>
      <c r="DQ1" s="5" t="s">
        <v>138</v>
      </c>
      <c r="DR1" s="5" t="s">
        <v>139</v>
      </c>
      <c r="DS1" s="5" t="s">
        <v>140</v>
      </c>
      <c r="DT1" s="5" t="s">
        <v>141</v>
      </c>
      <c r="DU1" s="5" t="s">
        <v>142</v>
      </c>
      <c r="DV1" s="10" t="s">
        <v>143</v>
      </c>
      <c r="DW1" s="10" t="s">
        <v>144</v>
      </c>
      <c r="DX1" s="10" t="s">
        <v>145</v>
      </c>
      <c r="DY1" s="10" t="s">
        <v>146</v>
      </c>
      <c r="DZ1" s="10" t="s">
        <v>147</v>
      </c>
      <c r="EA1" s="10" t="s">
        <v>148</v>
      </c>
      <c r="EB1" s="10" t="s">
        <v>149</v>
      </c>
      <c r="EC1" s="10" t="s">
        <v>150</v>
      </c>
      <c r="ED1" s="10" t="s">
        <v>151</v>
      </c>
      <c r="EE1" s="10" t="s">
        <v>152</v>
      </c>
      <c r="EF1" s="10" t="s">
        <v>153</v>
      </c>
      <c r="EG1" s="11" t="s">
        <v>154</v>
      </c>
      <c r="EH1" s="11" t="s">
        <v>155</v>
      </c>
      <c r="EI1" s="11" t="s">
        <v>156</v>
      </c>
      <c r="EJ1" s="11" t="s">
        <v>157</v>
      </c>
      <c r="EK1" s="11" t="s">
        <v>158</v>
      </c>
      <c r="EL1" s="11" t="s">
        <v>159</v>
      </c>
      <c r="EM1" s="11" t="s">
        <v>160</v>
      </c>
      <c r="EN1" s="11" t="s">
        <v>161</v>
      </c>
      <c r="EO1" s="11" t="s">
        <v>162</v>
      </c>
      <c r="EP1" s="11" t="s">
        <v>163</v>
      </c>
      <c r="EQ1" s="11" t="s">
        <v>164</v>
      </c>
      <c r="ER1" s="11"/>
    </row>
    <row r="2" spans="1:148" ht="14.25" customHeight="1" x14ac:dyDescent="0.55000000000000004">
      <c r="A2">
        <v>1773925204</v>
      </c>
      <c r="B2" t="s">
        <v>16</v>
      </c>
      <c r="C2" t="s">
        <v>17</v>
      </c>
      <c r="D2">
        <v>4540.34</v>
      </c>
      <c r="E2" t="s">
        <v>18</v>
      </c>
      <c r="F2" s="10">
        <v>4502.7299999999996</v>
      </c>
      <c r="G2">
        <v>4804.4399999999996</v>
      </c>
      <c r="H2">
        <v>4834.26</v>
      </c>
      <c r="R2">
        <v>-364.49</v>
      </c>
      <c r="AD2">
        <v>-7.49</v>
      </c>
      <c r="AP2">
        <v>5</v>
      </c>
      <c r="BB2">
        <v>46</v>
      </c>
      <c r="BZ2" s="12">
        <f t="shared" ref="BZ2:BZ33" si="0">IFERROR(R2/BB2,0)</f>
        <v>-7.9236956521739135</v>
      </c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>
        <f t="shared" ref="CX2:CX33" si="1">IF(BZ2="","",DEGREES(ATAN(BZ2)))</f>
        <v>-82.807085770010744</v>
      </c>
      <c r="CY2" s="12" t="str">
        <f t="shared" ref="CY2:CY33" si="2">IF(CA2="","",DEGREES(ATAN(CA2)))</f>
        <v/>
      </c>
      <c r="CZ2" s="12" t="str">
        <f t="shared" ref="CZ2:CZ33" si="3">IF(CB2="","",DEGREES(ATAN(CB2)))</f>
        <v/>
      </c>
      <c r="DA2" s="12" t="str">
        <f t="shared" ref="DA2:DA33" si="4">IF(CC2="","",DEGREES(ATAN(CC2)))</f>
        <v/>
      </c>
      <c r="DB2" s="12" t="str">
        <f t="shared" ref="DB2:DB33" si="5">IF(CD2="","",DEGREES(ATAN(CD2)))</f>
        <v/>
      </c>
      <c r="DC2" s="12" t="str">
        <f t="shared" ref="DC2:DC33" si="6">IF(CE2="","",DEGREES(ATAN(CE2)))</f>
        <v/>
      </c>
      <c r="DD2" s="12" t="str">
        <f t="shared" ref="DD2:DD33" si="7">IF(CF2="","",DEGREES(ATAN(CF2)))</f>
        <v/>
      </c>
      <c r="DE2" s="12" t="str">
        <f t="shared" ref="DE2:DE33" si="8">IF(CG2="","",DEGREES(ATAN(CG2)))</f>
        <v/>
      </c>
      <c r="DF2" s="12" t="str">
        <f t="shared" ref="DF2:DF33" si="9">IF(CH2="","",DEGREES(ATAN(CH2)))</f>
        <v/>
      </c>
      <c r="DG2" s="12" t="str">
        <f t="shared" ref="DG2:DG33" si="10">IF(CI2="","",DEGREES(ATAN(CI2)))</f>
        <v/>
      </c>
      <c r="DH2" s="12" t="str">
        <f t="shared" ref="DH2:DH33" si="11">IF(CJ2="","",DEGREES(ATAN(CJ2)))</f>
        <v/>
      </c>
      <c r="DI2" s="12" t="str">
        <f t="shared" ref="DI2:DI33" si="12">IF(CK2="","",DEGREES(ATAN(CK2)))</f>
        <v/>
      </c>
      <c r="DJ2" t="s">
        <v>19</v>
      </c>
      <c r="DV2">
        <f t="shared" ref="DV2:DV33" si="13">IFERROR(((G2-$F2)/$F2)*100,0)</f>
        <v>6.7006016350080966</v>
      </c>
      <c r="DW2">
        <f t="shared" ref="DW2:DW33" si="14">IFERROR(((H2-$F2)/$F2)*100,0)</f>
        <v>7.3628665276399134</v>
      </c>
      <c r="EG2" s="13" t="str">
        <f t="shared" ref="EG2:EG33" si="15">IF(DV2="","",IF(AND(ABS(DV2)&lt;=0.25,$E2="Bottom",DJ2="LL"),"EQL",IF(AND(ABS(DV2)&lt;=0.25,$E2="Peak",DJ2="HH"),"EQH","")))</f>
        <v/>
      </c>
      <c r="EH2" s="13" t="str">
        <f t="shared" ref="EH2:EH33" si="16">IF(DW2="","",IF(AND(ABS(DW2)&lt;=0.25,$E2="Bottom",DK2="LL"),"EQL",IF(AND(ABS(DW2)&lt;=0.25,$E2="Peak",DK2="HH"),"EQH","")))</f>
        <v/>
      </c>
      <c r="EI2" s="13" t="str">
        <f t="shared" ref="EI2:EI33" si="17">IF(DX2="","",IF(AND(ABS(DX2)&lt;=0.25,$E2="Bottom",DL2="LL"),"EQL",IF(AND(ABS(DX2)&lt;=0.25,$E2="Peak",DL2="HH"),"EQH","")))</f>
        <v/>
      </c>
      <c r="EJ2" s="13" t="str">
        <f t="shared" ref="EJ2:EJ33" si="18">IF(DY2="","",IF(AND(ABS(DY2)&lt;=0.25,$E2="Bottom",DM2="LL"),"EQL",IF(AND(ABS(DY2)&lt;=0.25,$E2="Peak",DM2="HH"),"EQH","")))</f>
        <v/>
      </c>
      <c r="EK2" s="13" t="str">
        <f t="shared" ref="EK2:EK33" si="19">IF(DZ2="","",IF(AND(ABS(DZ2)&lt;=0.25,$E2="Bottom",DN2="LL"),"EQL",IF(AND(ABS(DZ2)&lt;=0.25,$E2="Peak",DN2="HH"),"EQH","")))</f>
        <v/>
      </c>
      <c r="EL2" s="13" t="str">
        <f t="shared" ref="EL2:EL33" si="20">IF(EA2="","",IF(AND(ABS(EA2)&lt;=0.25,$E2="Bottom",DO2="LL"),"EQL",IF(AND(ABS(EA2)&lt;=0.25,$E2="Peak",DO2="HH"),"EQH","")))</f>
        <v/>
      </c>
      <c r="EM2" s="13" t="str">
        <f t="shared" ref="EM2:EM33" si="21">IF(EB2="","",IF(AND(ABS(EB2)&lt;=0.25,$E2="Bottom",DP2="LL"),"EQL",IF(AND(ABS(EB2)&lt;=0.25,$E2="Peak",DP2="HH"),"EQH","")))</f>
        <v/>
      </c>
      <c r="EN2" s="13" t="str">
        <f t="shared" ref="EN2:EN33" si="22">IF(EC2="","",IF(AND(ABS(EC2)&lt;=0.25,$E2="Bottom",DQ2="LL"),"EQL",IF(AND(ABS(EC2)&lt;=0.25,$E2="Peak",DQ2="HH"),"EQH","")))</f>
        <v/>
      </c>
      <c r="EO2" s="13" t="str">
        <f t="shared" ref="EO2:EO33" si="23">IF(ED2="","",IF(AND(ABS(ED2)&lt;=0.25,$E2="Bottom",DR2="LL"),"EQL",IF(AND(ABS(ED2)&lt;=0.25,$E2="Peak",DR2="HH"),"EQH","")))</f>
        <v/>
      </c>
      <c r="EP2" s="13" t="str">
        <f t="shared" ref="EP2:EP33" si="24">IF(EE2="","",IF(AND(ABS(EE2)&lt;=0.25,$E2="Bottom",DS2="LL"),"EQL",IF(AND(ABS(EE2)&lt;=0.25,$E2="Peak",DS2="HH"),"EQH","")))</f>
        <v/>
      </c>
      <c r="EQ2" s="13" t="str">
        <f t="shared" ref="EQ2:EQ33" si="25">IF(EF2="","",IF(AND(ABS(EF2)&lt;=0.25,$E2="Bottom",DT2="LL"),"EQL",IF(AND(ABS(EF2)&lt;=0.25,$E2="Peak",DT2="HH"),"EQH","")))</f>
        <v/>
      </c>
    </row>
    <row r="3" spans="1:148" ht="14.25" customHeight="1" x14ac:dyDescent="0.55000000000000004">
      <c r="A3">
        <v>1773976504</v>
      </c>
      <c r="B3" t="s">
        <v>16</v>
      </c>
      <c r="C3" t="s">
        <v>17</v>
      </c>
      <c r="D3">
        <v>4733.68</v>
      </c>
      <c r="E3" t="s">
        <v>20</v>
      </c>
      <c r="F3">
        <v>4736.13</v>
      </c>
      <c r="G3">
        <v>4867.22</v>
      </c>
      <c r="H3">
        <v>4899.28</v>
      </c>
      <c r="R3">
        <v>233.4</v>
      </c>
      <c r="S3">
        <f t="shared" ref="S3:S34" si="26">G3-G2</f>
        <v>62.780000000000655</v>
      </c>
      <c r="T3">
        <f t="shared" ref="T3:T34" si="27">H3-H2</f>
        <v>65.019999999999527</v>
      </c>
      <c r="AD3">
        <v>5.18</v>
      </c>
      <c r="AE3" s="14">
        <f t="shared" ref="AE3:AE34" si="28">(S3/G2)*100</f>
        <v>1.3067079618020137</v>
      </c>
      <c r="AF3" s="14">
        <f t="shared" ref="AF3:AF34" si="29">(T3/H2)*100</f>
        <v>1.3449835135056767</v>
      </c>
      <c r="AG3" s="14"/>
      <c r="AH3" s="14"/>
      <c r="AI3" s="14"/>
      <c r="AJ3" s="14"/>
      <c r="AK3" s="14"/>
      <c r="AL3" s="14"/>
      <c r="AM3" s="14"/>
      <c r="AN3" s="14"/>
      <c r="AO3" s="14"/>
      <c r="AP3">
        <v>2</v>
      </c>
      <c r="BB3">
        <v>53</v>
      </c>
      <c r="BZ3" s="12">
        <f t="shared" si="0"/>
        <v>4.4037735849056601</v>
      </c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>
        <f t="shared" si="1"/>
        <v>77.206344657121136</v>
      </c>
      <c r="CY3" s="12" t="str">
        <f t="shared" si="2"/>
        <v/>
      </c>
      <c r="CZ3" s="12" t="str">
        <f t="shared" si="3"/>
        <v/>
      </c>
      <c r="DA3" s="12" t="str">
        <f t="shared" si="4"/>
        <v/>
      </c>
      <c r="DB3" s="12" t="str">
        <f t="shared" si="5"/>
        <v/>
      </c>
      <c r="DC3" s="12" t="str">
        <f t="shared" si="6"/>
        <v/>
      </c>
      <c r="DD3" s="12" t="str">
        <f t="shared" si="7"/>
        <v/>
      </c>
      <c r="DE3" s="12" t="str">
        <f t="shared" si="8"/>
        <v/>
      </c>
      <c r="DF3" s="12" t="str">
        <f t="shared" si="9"/>
        <v/>
      </c>
      <c r="DG3" s="12" t="str">
        <f t="shared" si="10"/>
        <v/>
      </c>
      <c r="DH3" s="12" t="str">
        <f t="shared" si="11"/>
        <v/>
      </c>
      <c r="DI3" s="12" t="str">
        <f t="shared" si="12"/>
        <v/>
      </c>
      <c r="DJ3" t="s">
        <v>21</v>
      </c>
      <c r="DV3">
        <f t="shared" si="13"/>
        <v>2.7678716589282839</v>
      </c>
      <c r="DW3">
        <f t="shared" si="14"/>
        <v>3.4447956453897937</v>
      </c>
      <c r="EG3" s="13" t="str">
        <f t="shared" si="15"/>
        <v/>
      </c>
      <c r="EH3" s="13" t="str">
        <f t="shared" si="16"/>
        <v/>
      </c>
      <c r="EI3" s="13" t="str">
        <f t="shared" si="17"/>
        <v/>
      </c>
      <c r="EJ3" s="13" t="str">
        <f t="shared" si="18"/>
        <v/>
      </c>
      <c r="EK3" s="13" t="str">
        <f t="shared" si="19"/>
        <v/>
      </c>
      <c r="EL3" s="13" t="str">
        <f t="shared" si="20"/>
        <v/>
      </c>
      <c r="EM3" s="13" t="str">
        <f t="shared" si="21"/>
        <v/>
      </c>
      <c r="EN3" s="13" t="str">
        <f t="shared" si="22"/>
        <v/>
      </c>
      <c r="EO3" s="13" t="str">
        <f t="shared" si="23"/>
        <v/>
      </c>
      <c r="EP3" s="13" t="str">
        <f t="shared" si="24"/>
        <v/>
      </c>
      <c r="EQ3" s="13" t="str">
        <f t="shared" si="25"/>
        <v/>
      </c>
    </row>
    <row r="4" spans="1:148" ht="14.25" customHeight="1" x14ac:dyDescent="0.55000000000000004">
      <c r="A4">
        <v>1773988204</v>
      </c>
      <c r="B4" t="s">
        <v>16</v>
      </c>
      <c r="C4" t="s">
        <v>17</v>
      </c>
      <c r="D4">
        <v>4665.78</v>
      </c>
      <c r="E4" t="s">
        <v>18</v>
      </c>
      <c r="F4">
        <v>4661.42</v>
      </c>
      <c r="G4" s="10">
        <v>4502.7299999999996</v>
      </c>
      <c r="H4">
        <v>4804.4399999999996</v>
      </c>
      <c r="R4">
        <v>-74.709999999999994</v>
      </c>
      <c r="S4">
        <f t="shared" si="26"/>
        <v>-364.49000000000069</v>
      </c>
      <c r="T4">
        <f t="shared" si="27"/>
        <v>-94.840000000000146</v>
      </c>
      <c r="AD4">
        <v>-1.58</v>
      </c>
      <c r="AE4" s="14">
        <f t="shared" si="28"/>
        <v>-7.4886690965273948</v>
      </c>
      <c r="AF4" s="14">
        <f t="shared" si="29"/>
        <v>-1.9357946473767607</v>
      </c>
      <c r="AG4" s="14"/>
      <c r="AH4" s="14"/>
      <c r="AI4" s="14"/>
      <c r="AJ4" s="14"/>
      <c r="AK4" s="14"/>
      <c r="AL4" s="14"/>
      <c r="AM4" s="14"/>
      <c r="AN4" s="14"/>
      <c r="AO4" s="14"/>
      <c r="AP4">
        <v>3</v>
      </c>
      <c r="AQ4">
        <f t="shared" ref="AQ4:AQ35" si="30">AP2</f>
        <v>5</v>
      </c>
      <c r="BB4">
        <v>13</v>
      </c>
      <c r="BC4">
        <f t="shared" ref="BC4:BC35" si="31">BB2</f>
        <v>46</v>
      </c>
      <c r="BZ4" s="12">
        <f t="shared" si="0"/>
        <v>-5.7469230769230766</v>
      </c>
      <c r="CA4" s="12">
        <f t="shared" ref="CA4:CA35" si="32">IFERROR(S4/BC4,0)</f>
        <v>-7.9236956521739277</v>
      </c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>
        <f t="shared" si="1"/>
        <v>-80.129014742874119</v>
      </c>
      <c r="CY4" s="12">
        <f t="shared" si="2"/>
        <v>-82.807085770010744</v>
      </c>
      <c r="CZ4" s="12" t="str">
        <f t="shared" si="3"/>
        <v/>
      </c>
      <c r="DA4" s="12" t="str">
        <f t="shared" si="4"/>
        <v/>
      </c>
      <c r="DB4" s="12" t="str">
        <f t="shared" si="5"/>
        <v/>
      </c>
      <c r="DC4" s="12" t="str">
        <f t="shared" si="6"/>
        <v/>
      </c>
      <c r="DD4" s="12" t="str">
        <f t="shared" si="7"/>
        <v/>
      </c>
      <c r="DE4" s="12" t="str">
        <f t="shared" si="8"/>
        <v/>
      </c>
      <c r="DF4" s="12" t="str">
        <f t="shared" si="9"/>
        <v/>
      </c>
      <c r="DG4" s="12" t="str">
        <f t="shared" si="10"/>
        <v/>
      </c>
      <c r="DH4" s="12" t="str">
        <f t="shared" si="11"/>
        <v/>
      </c>
      <c r="DI4" s="12" t="str">
        <f t="shared" si="12"/>
        <v/>
      </c>
      <c r="DJ4" t="s">
        <v>22</v>
      </c>
      <c r="DK4" t="str">
        <f t="shared" ref="DK4:DK35" si="33">DJ2</f>
        <v>LL</v>
      </c>
      <c r="DV4">
        <f t="shared" si="13"/>
        <v>-3.4043274367038481</v>
      </c>
      <c r="DW4">
        <f t="shared" si="14"/>
        <v>3.0681637784194415</v>
      </c>
      <c r="EG4" s="13" t="str">
        <f t="shared" si="15"/>
        <v/>
      </c>
      <c r="EH4" s="13" t="str">
        <f t="shared" si="16"/>
        <v/>
      </c>
      <c r="EI4" s="13" t="str">
        <f t="shared" si="17"/>
        <v/>
      </c>
      <c r="EJ4" s="13" t="str">
        <f t="shared" si="18"/>
        <v/>
      </c>
      <c r="EK4" s="13" t="str">
        <f t="shared" si="19"/>
        <v/>
      </c>
      <c r="EL4" s="13" t="str">
        <f t="shared" si="20"/>
        <v/>
      </c>
      <c r="EM4" s="13" t="str">
        <f t="shared" si="21"/>
        <v/>
      </c>
      <c r="EN4" s="13" t="str">
        <f t="shared" si="22"/>
        <v/>
      </c>
      <c r="EO4" s="13" t="str">
        <f t="shared" si="23"/>
        <v/>
      </c>
      <c r="EP4" s="13" t="str">
        <f t="shared" si="24"/>
        <v/>
      </c>
      <c r="EQ4" s="13" t="str">
        <f t="shared" si="25"/>
        <v/>
      </c>
    </row>
    <row r="5" spans="1:148" ht="14.25" customHeight="1" x14ac:dyDescent="0.55000000000000004">
      <c r="A5">
        <v>1773994504</v>
      </c>
      <c r="B5" t="s">
        <v>16</v>
      </c>
      <c r="C5" t="s">
        <v>17</v>
      </c>
      <c r="D5">
        <v>4722.75</v>
      </c>
      <c r="E5" t="s">
        <v>20</v>
      </c>
      <c r="F5">
        <v>4734.78</v>
      </c>
      <c r="G5">
        <v>4736.13</v>
      </c>
      <c r="H5">
        <v>4867.22</v>
      </c>
      <c r="R5">
        <v>73.36</v>
      </c>
      <c r="S5">
        <f t="shared" si="26"/>
        <v>233.40000000000055</v>
      </c>
      <c r="T5">
        <f t="shared" si="27"/>
        <v>62.780000000000655</v>
      </c>
      <c r="AD5">
        <v>1.57</v>
      </c>
      <c r="AE5" s="14">
        <f t="shared" si="28"/>
        <v>5.1835219966553749</v>
      </c>
      <c r="AF5" s="14">
        <f t="shared" si="29"/>
        <v>1.3067079618020137</v>
      </c>
      <c r="AG5" s="14"/>
      <c r="AH5" s="14"/>
      <c r="AI5" s="14"/>
      <c r="AJ5" s="14"/>
      <c r="AK5" s="14"/>
      <c r="AL5" s="14"/>
      <c r="AM5" s="14"/>
      <c r="AN5" s="14"/>
      <c r="AO5" s="14"/>
      <c r="AP5">
        <v>0</v>
      </c>
      <c r="AQ5">
        <f t="shared" si="30"/>
        <v>2</v>
      </c>
      <c r="BB5">
        <v>7</v>
      </c>
      <c r="BC5">
        <f t="shared" si="31"/>
        <v>53</v>
      </c>
      <c r="BZ5" s="12">
        <f t="shared" si="0"/>
        <v>10.48</v>
      </c>
      <c r="CA5" s="12">
        <f t="shared" si="32"/>
        <v>4.4037735849056707</v>
      </c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>
        <f t="shared" si="1"/>
        <v>84.54934812409293</v>
      </c>
      <c r="CY5" s="12">
        <f t="shared" si="2"/>
        <v>77.206344657121164</v>
      </c>
      <c r="CZ5" s="12" t="str">
        <f t="shared" si="3"/>
        <v/>
      </c>
      <c r="DA5" s="12" t="str">
        <f t="shared" si="4"/>
        <v/>
      </c>
      <c r="DB5" s="12" t="str">
        <f t="shared" si="5"/>
        <v/>
      </c>
      <c r="DC5" s="12" t="str">
        <f t="shared" si="6"/>
        <v/>
      </c>
      <c r="DD5" s="12" t="str">
        <f t="shared" si="7"/>
        <v/>
      </c>
      <c r="DE5" s="12" t="str">
        <f t="shared" si="8"/>
        <v/>
      </c>
      <c r="DF5" s="12" t="str">
        <f t="shared" si="9"/>
        <v/>
      </c>
      <c r="DG5" s="12" t="str">
        <f t="shared" si="10"/>
        <v/>
      </c>
      <c r="DH5" s="12" t="str">
        <f t="shared" si="11"/>
        <v/>
      </c>
      <c r="DI5" s="12" t="str">
        <f t="shared" si="12"/>
        <v/>
      </c>
      <c r="DJ5" t="s">
        <v>21</v>
      </c>
      <c r="DK5" t="str">
        <f t="shared" si="33"/>
        <v>LH</v>
      </c>
      <c r="DV5">
        <f t="shared" si="13"/>
        <v>2.8512412403540688E-2</v>
      </c>
      <c r="DW5">
        <f t="shared" si="14"/>
        <v>2.797173258314019</v>
      </c>
      <c r="EG5" s="13" t="str">
        <f t="shared" si="15"/>
        <v/>
      </c>
      <c r="EH5" s="13" t="str">
        <f t="shared" si="16"/>
        <v/>
      </c>
      <c r="EI5" s="13" t="str">
        <f t="shared" si="17"/>
        <v/>
      </c>
      <c r="EJ5" s="13" t="str">
        <f t="shared" si="18"/>
        <v/>
      </c>
      <c r="EK5" s="13" t="str">
        <f t="shared" si="19"/>
        <v/>
      </c>
      <c r="EL5" s="13" t="str">
        <f t="shared" si="20"/>
        <v/>
      </c>
      <c r="EM5" s="13" t="str">
        <f t="shared" si="21"/>
        <v/>
      </c>
      <c r="EN5" s="13" t="str">
        <f t="shared" si="22"/>
        <v/>
      </c>
      <c r="EO5" s="13" t="str">
        <f t="shared" si="23"/>
        <v/>
      </c>
      <c r="EP5" s="13" t="str">
        <f t="shared" si="24"/>
        <v/>
      </c>
      <c r="EQ5" s="13" t="str">
        <f t="shared" si="25"/>
        <v/>
      </c>
    </row>
    <row r="6" spans="1:148" ht="14.25" customHeight="1" x14ac:dyDescent="0.55000000000000004">
      <c r="A6">
        <v>1774250104</v>
      </c>
      <c r="B6" t="s">
        <v>16</v>
      </c>
      <c r="C6" t="s">
        <v>17</v>
      </c>
      <c r="D6">
        <v>4135.63</v>
      </c>
      <c r="E6" t="s">
        <v>18</v>
      </c>
      <c r="F6">
        <v>4098.6899999999996</v>
      </c>
      <c r="G6">
        <v>4661.42</v>
      </c>
      <c r="H6" s="10">
        <v>4502.7299999999996</v>
      </c>
      <c r="R6">
        <v>-636.09</v>
      </c>
      <c r="S6">
        <f t="shared" si="26"/>
        <v>-74.710000000000036</v>
      </c>
      <c r="T6">
        <f t="shared" si="27"/>
        <v>-364.49000000000069</v>
      </c>
      <c r="AD6">
        <v>-13.43</v>
      </c>
      <c r="AE6" s="14">
        <f t="shared" si="28"/>
        <v>-1.5774482541653214</v>
      </c>
      <c r="AF6" s="14">
        <f t="shared" si="29"/>
        <v>-7.4886690965273948</v>
      </c>
      <c r="AG6" s="14"/>
      <c r="AH6" s="14"/>
      <c r="AI6" s="14"/>
      <c r="AJ6" s="14"/>
      <c r="AK6" s="14"/>
      <c r="AL6" s="14"/>
      <c r="AM6" s="14"/>
      <c r="AN6" s="14"/>
      <c r="AO6" s="14"/>
      <c r="AP6">
        <v>5</v>
      </c>
      <c r="AQ6">
        <f t="shared" si="30"/>
        <v>3</v>
      </c>
      <c r="AR6">
        <f t="shared" ref="AR6:AR37" si="34">AP2</f>
        <v>5</v>
      </c>
      <c r="BB6">
        <v>88</v>
      </c>
      <c r="BC6">
        <f t="shared" si="31"/>
        <v>13</v>
      </c>
      <c r="BD6">
        <f t="shared" ref="BD6:BD37" si="35">BB2</f>
        <v>46</v>
      </c>
      <c r="BZ6" s="12">
        <f t="shared" si="0"/>
        <v>-7.2282954545454547</v>
      </c>
      <c r="CA6" s="12">
        <f t="shared" si="32"/>
        <v>-5.7469230769230801</v>
      </c>
      <c r="CB6" s="12">
        <f t="shared" ref="CB6:CB37" si="36">IFERROR(T6/BD6,0)</f>
        <v>-7.9236956521739277</v>
      </c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>
        <f t="shared" si="1"/>
        <v>-82.123400948097753</v>
      </c>
      <c r="CY6" s="12">
        <f t="shared" si="2"/>
        <v>-80.129014742874119</v>
      </c>
      <c r="CZ6" s="12">
        <f t="shared" si="3"/>
        <v>-82.807085770010744</v>
      </c>
      <c r="DA6" s="12" t="str">
        <f t="shared" si="4"/>
        <v/>
      </c>
      <c r="DB6" s="12" t="str">
        <f t="shared" si="5"/>
        <v/>
      </c>
      <c r="DC6" s="12" t="str">
        <f t="shared" si="6"/>
        <v/>
      </c>
      <c r="DD6" s="12" t="str">
        <f t="shared" si="7"/>
        <v/>
      </c>
      <c r="DE6" s="12" t="str">
        <f t="shared" si="8"/>
        <v/>
      </c>
      <c r="DF6" s="12" t="str">
        <f t="shared" si="9"/>
        <v/>
      </c>
      <c r="DG6" s="12" t="str">
        <f t="shared" si="10"/>
        <v/>
      </c>
      <c r="DH6" s="12" t="str">
        <f t="shared" si="11"/>
        <v/>
      </c>
      <c r="DI6" s="12" t="str">
        <f t="shared" si="12"/>
        <v/>
      </c>
      <c r="DJ6" t="s">
        <v>19</v>
      </c>
      <c r="DK6" t="str">
        <f t="shared" si="33"/>
        <v>HL</v>
      </c>
      <c r="DL6" t="str">
        <f t="shared" ref="DL6:DL37" si="37">DJ2</f>
        <v>LL</v>
      </c>
      <c r="DV6">
        <f t="shared" si="13"/>
        <v>13.729508696681147</v>
      </c>
      <c r="DW6">
        <f t="shared" si="14"/>
        <v>9.8577838284915433</v>
      </c>
      <c r="EG6" s="13" t="str">
        <f t="shared" si="15"/>
        <v/>
      </c>
      <c r="EH6" s="13" t="str">
        <f t="shared" si="16"/>
        <v/>
      </c>
      <c r="EI6" s="13" t="str">
        <f t="shared" si="17"/>
        <v/>
      </c>
      <c r="EJ6" s="13" t="str">
        <f t="shared" si="18"/>
        <v/>
      </c>
      <c r="EK6" s="13" t="str">
        <f t="shared" si="19"/>
        <v/>
      </c>
      <c r="EL6" s="13" t="str">
        <f t="shared" si="20"/>
        <v/>
      </c>
      <c r="EM6" s="13" t="str">
        <f t="shared" si="21"/>
        <v/>
      </c>
      <c r="EN6" s="13" t="str">
        <f t="shared" si="22"/>
        <v/>
      </c>
      <c r="EO6" s="13" t="str">
        <f t="shared" si="23"/>
        <v/>
      </c>
      <c r="EP6" s="13" t="str">
        <f t="shared" si="24"/>
        <v/>
      </c>
      <c r="EQ6" s="13" t="str">
        <f t="shared" si="25"/>
        <v/>
      </c>
    </row>
    <row r="7" spans="1:148" ht="14.25" customHeight="1" x14ac:dyDescent="0.55000000000000004">
      <c r="A7">
        <v>1774275304</v>
      </c>
      <c r="B7" t="s">
        <v>16</v>
      </c>
      <c r="C7" t="s">
        <v>17</v>
      </c>
      <c r="D7">
        <v>4486.9799999999996</v>
      </c>
      <c r="E7" t="s">
        <v>20</v>
      </c>
      <c r="F7">
        <v>4512.91</v>
      </c>
      <c r="G7">
        <v>4734.78</v>
      </c>
      <c r="H7">
        <v>4736.13</v>
      </c>
      <c r="R7">
        <v>414.22</v>
      </c>
      <c r="S7">
        <f t="shared" si="26"/>
        <v>73.359999999999673</v>
      </c>
      <c r="T7">
        <f t="shared" si="27"/>
        <v>233.40000000000055</v>
      </c>
      <c r="AD7">
        <v>10.11</v>
      </c>
      <c r="AE7" s="14">
        <f t="shared" si="28"/>
        <v>1.5737693664162351</v>
      </c>
      <c r="AF7" s="14">
        <f t="shared" si="29"/>
        <v>5.1835219966553749</v>
      </c>
      <c r="AG7" s="14"/>
      <c r="AH7" s="14"/>
      <c r="AI7" s="14"/>
      <c r="AJ7" s="14"/>
      <c r="AK7" s="14"/>
      <c r="AL7" s="14"/>
      <c r="AM7" s="14"/>
      <c r="AN7" s="14"/>
      <c r="AO7" s="14"/>
      <c r="AP7">
        <v>2</v>
      </c>
      <c r="AQ7">
        <f t="shared" si="30"/>
        <v>0</v>
      </c>
      <c r="AR7">
        <f t="shared" si="34"/>
        <v>2</v>
      </c>
      <c r="BB7">
        <v>28</v>
      </c>
      <c r="BC7">
        <f t="shared" si="31"/>
        <v>7</v>
      </c>
      <c r="BD7">
        <f t="shared" si="35"/>
        <v>53</v>
      </c>
      <c r="BZ7" s="12">
        <f t="shared" si="0"/>
        <v>14.793571428571429</v>
      </c>
      <c r="CA7" s="12">
        <f t="shared" si="32"/>
        <v>10.479999999999952</v>
      </c>
      <c r="CB7" s="12">
        <f t="shared" si="36"/>
        <v>4.4037735849056707</v>
      </c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>
        <f t="shared" si="1"/>
        <v>86.132864183076094</v>
      </c>
      <c r="CY7" s="12">
        <f t="shared" si="2"/>
        <v>84.549348124092901</v>
      </c>
      <c r="CZ7" s="12">
        <f t="shared" si="3"/>
        <v>77.206344657121164</v>
      </c>
      <c r="DA7" s="12" t="str">
        <f t="shared" si="4"/>
        <v/>
      </c>
      <c r="DB7" s="12" t="str">
        <f t="shared" si="5"/>
        <v/>
      </c>
      <c r="DC7" s="12" t="str">
        <f t="shared" si="6"/>
        <v/>
      </c>
      <c r="DD7" s="12" t="str">
        <f t="shared" si="7"/>
        <v/>
      </c>
      <c r="DE7" s="12" t="str">
        <f t="shared" si="8"/>
        <v/>
      </c>
      <c r="DF7" s="12" t="str">
        <f t="shared" si="9"/>
        <v/>
      </c>
      <c r="DG7" s="12" t="str">
        <f t="shared" si="10"/>
        <v/>
      </c>
      <c r="DH7" s="12" t="str">
        <f t="shared" si="11"/>
        <v/>
      </c>
      <c r="DI7" s="12" t="str">
        <f t="shared" si="12"/>
        <v/>
      </c>
      <c r="DJ7" t="s">
        <v>21</v>
      </c>
      <c r="DK7" t="str">
        <f t="shared" si="33"/>
        <v>LH</v>
      </c>
      <c r="DL7" t="str">
        <f t="shared" si="37"/>
        <v>LH</v>
      </c>
      <c r="DV7">
        <f t="shared" si="13"/>
        <v>4.9163400112122755</v>
      </c>
      <c r="DW7">
        <f t="shared" si="14"/>
        <v>4.9462541907549733</v>
      </c>
      <c r="EG7" s="13" t="str">
        <f t="shared" si="15"/>
        <v/>
      </c>
      <c r="EH7" s="13" t="str">
        <f t="shared" si="16"/>
        <v/>
      </c>
      <c r="EI7" s="13" t="str">
        <f t="shared" si="17"/>
        <v/>
      </c>
      <c r="EJ7" s="13" t="str">
        <f t="shared" si="18"/>
        <v/>
      </c>
      <c r="EK7" s="13" t="str">
        <f t="shared" si="19"/>
        <v/>
      </c>
      <c r="EL7" s="13" t="str">
        <f t="shared" si="20"/>
        <v/>
      </c>
      <c r="EM7" s="13" t="str">
        <f t="shared" si="21"/>
        <v/>
      </c>
      <c r="EN7" s="13" t="str">
        <f t="shared" si="22"/>
        <v/>
      </c>
      <c r="EO7" s="13" t="str">
        <f t="shared" si="23"/>
        <v/>
      </c>
      <c r="EP7" s="13" t="str">
        <f t="shared" si="24"/>
        <v/>
      </c>
      <c r="EQ7" s="13" t="str">
        <f t="shared" si="25"/>
        <v/>
      </c>
    </row>
    <row r="8" spans="1:148" ht="14.25" customHeight="1" x14ac:dyDescent="0.55000000000000004">
      <c r="A8">
        <v>1774280704</v>
      </c>
      <c r="B8" t="s">
        <v>16</v>
      </c>
      <c r="C8" t="s">
        <v>17</v>
      </c>
      <c r="D8">
        <v>4364.25</v>
      </c>
      <c r="E8" t="s">
        <v>18</v>
      </c>
      <c r="F8">
        <v>4351.03</v>
      </c>
      <c r="G8">
        <v>4098.6899999999996</v>
      </c>
      <c r="H8">
        <v>4661.42</v>
      </c>
      <c r="I8">
        <f t="shared" ref="I8:I39" si="38">F2</f>
        <v>4502.7299999999996</v>
      </c>
      <c r="R8">
        <v>-161.88</v>
      </c>
      <c r="S8">
        <f t="shared" si="26"/>
        <v>-636.09000000000015</v>
      </c>
      <c r="T8">
        <f t="shared" si="27"/>
        <v>-74.710000000000036</v>
      </c>
      <c r="AD8">
        <v>-3.59</v>
      </c>
      <c r="AE8" s="14">
        <f t="shared" si="28"/>
        <v>-13.434415115380233</v>
      </c>
      <c r="AF8" s="14">
        <f t="shared" si="29"/>
        <v>-1.5774482541653214</v>
      </c>
      <c r="AG8" s="14"/>
      <c r="AH8" s="14"/>
      <c r="AI8" s="14"/>
      <c r="AJ8" s="14"/>
      <c r="AK8" s="14"/>
      <c r="AL8" s="14"/>
      <c r="AM8" s="14"/>
      <c r="AN8" s="14"/>
      <c r="AO8" s="14"/>
      <c r="AP8">
        <v>3</v>
      </c>
      <c r="AQ8">
        <f t="shared" si="30"/>
        <v>5</v>
      </c>
      <c r="AR8">
        <f t="shared" si="34"/>
        <v>3</v>
      </c>
      <c r="AS8">
        <f t="shared" ref="AS8:AS39" si="39">AP2</f>
        <v>5</v>
      </c>
      <c r="BB8">
        <v>6</v>
      </c>
      <c r="BC8">
        <f t="shared" si="31"/>
        <v>88</v>
      </c>
      <c r="BD8">
        <f t="shared" si="35"/>
        <v>13</v>
      </c>
      <c r="BE8">
        <f t="shared" ref="BE8:BE39" si="40">BB2</f>
        <v>46</v>
      </c>
      <c r="BZ8" s="12">
        <f t="shared" si="0"/>
        <v>-26.98</v>
      </c>
      <c r="CA8" s="12">
        <f t="shared" si="32"/>
        <v>-7.2282954545454565</v>
      </c>
      <c r="CB8" s="12">
        <f t="shared" si="36"/>
        <v>-5.7469230769230801</v>
      </c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>
        <f t="shared" si="1"/>
        <v>-87.877332693912436</v>
      </c>
      <c r="CY8" s="12">
        <f t="shared" si="2"/>
        <v>-82.123400948097768</v>
      </c>
      <c r="CZ8" s="12">
        <f t="shared" si="3"/>
        <v>-80.129014742874119</v>
      </c>
      <c r="DA8" s="12" t="str">
        <f t="shared" si="4"/>
        <v/>
      </c>
      <c r="DB8" s="12" t="str">
        <f t="shared" si="5"/>
        <v/>
      </c>
      <c r="DC8" s="12" t="str">
        <f t="shared" si="6"/>
        <v/>
      </c>
      <c r="DD8" s="12" t="str">
        <f t="shared" si="7"/>
        <v/>
      </c>
      <c r="DE8" s="12" t="str">
        <f t="shared" si="8"/>
        <v/>
      </c>
      <c r="DF8" s="12" t="str">
        <f t="shared" si="9"/>
        <v/>
      </c>
      <c r="DG8" s="12" t="str">
        <f t="shared" si="10"/>
        <v/>
      </c>
      <c r="DH8" s="12" t="str">
        <f t="shared" si="11"/>
        <v/>
      </c>
      <c r="DI8" s="12" t="str">
        <f t="shared" si="12"/>
        <v/>
      </c>
      <c r="DJ8" t="s">
        <v>22</v>
      </c>
      <c r="DK8" t="str">
        <f t="shared" si="33"/>
        <v>LL</v>
      </c>
      <c r="DL8" t="str">
        <f t="shared" si="37"/>
        <v>HL</v>
      </c>
      <c r="DM8" t="str">
        <f t="shared" ref="DM8:DM39" si="41">DJ2</f>
        <v>LL</v>
      </c>
      <c r="DV8">
        <f t="shared" si="13"/>
        <v>-5.7995463143209802</v>
      </c>
      <c r="DW8">
        <f t="shared" si="14"/>
        <v>7.1337131667674161</v>
      </c>
      <c r="DX8">
        <f t="shared" ref="DX8:DX39" si="42">IFERROR(((I8-$F8)/$F8)*100,0)</f>
        <v>3.4865307754715511</v>
      </c>
      <c r="EG8" s="13" t="str">
        <f t="shared" si="15"/>
        <v/>
      </c>
      <c r="EH8" s="13" t="str">
        <f t="shared" si="16"/>
        <v/>
      </c>
      <c r="EI8" s="13" t="str">
        <f t="shared" si="17"/>
        <v/>
      </c>
      <c r="EJ8" s="13" t="str">
        <f t="shared" si="18"/>
        <v/>
      </c>
      <c r="EK8" s="13" t="str">
        <f t="shared" si="19"/>
        <v/>
      </c>
      <c r="EL8" s="13" t="str">
        <f t="shared" si="20"/>
        <v/>
      </c>
      <c r="EM8" s="13" t="str">
        <f t="shared" si="21"/>
        <v/>
      </c>
      <c r="EN8" s="13" t="str">
        <f t="shared" si="22"/>
        <v/>
      </c>
      <c r="EO8" s="13" t="str">
        <f t="shared" si="23"/>
        <v/>
      </c>
      <c r="EP8" s="13" t="str">
        <f t="shared" si="24"/>
        <v/>
      </c>
      <c r="EQ8" s="13" t="str">
        <f t="shared" si="25"/>
        <v/>
      </c>
    </row>
    <row r="9" spans="1:148" ht="14.25" customHeight="1" x14ac:dyDescent="0.55000000000000004">
      <c r="A9">
        <v>1774291504</v>
      </c>
      <c r="B9" t="s">
        <v>16</v>
      </c>
      <c r="C9" t="s">
        <v>17</v>
      </c>
      <c r="D9">
        <v>4448.9799999999996</v>
      </c>
      <c r="E9" t="s">
        <v>20</v>
      </c>
      <c r="F9">
        <v>4467.12</v>
      </c>
      <c r="G9">
        <v>4512.91</v>
      </c>
      <c r="H9">
        <v>4734.78</v>
      </c>
      <c r="I9">
        <f t="shared" si="38"/>
        <v>4736.13</v>
      </c>
      <c r="R9">
        <v>116.09</v>
      </c>
      <c r="S9">
        <f t="shared" si="26"/>
        <v>414.22000000000025</v>
      </c>
      <c r="T9">
        <f t="shared" si="27"/>
        <v>73.359999999999673</v>
      </c>
      <c r="U9">
        <f t="shared" ref="U9:U40" si="43">I9-I8</f>
        <v>233.40000000000055</v>
      </c>
      <c r="AD9">
        <v>2.67</v>
      </c>
      <c r="AE9" s="14">
        <f t="shared" si="28"/>
        <v>10.10615586931435</v>
      </c>
      <c r="AF9" s="14">
        <f t="shared" si="29"/>
        <v>1.5737693664162351</v>
      </c>
      <c r="AG9" s="14">
        <f t="shared" ref="AG9:AG40" si="44">(U9/I8)*100</f>
        <v>5.1835219966553749</v>
      </c>
      <c r="AH9" s="14"/>
      <c r="AI9" s="14"/>
      <c r="AJ9" s="14"/>
      <c r="AK9" s="14"/>
      <c r="AL9" s="14"/>
      <c r="AM9" s="14"/>
      <c r="AN9" s="14"/>
      <c r="AO9" s="14"/>
      <c r="AP9">
        <v>0</v>
      </c>
      <c r="AQ9">
        <f t="shared" si="30"/>
        <v>2</v>
      </c>
      <c r="AR9">
        <f t="shared" si="34"/>
        <v>0</v>
      </c>
      <c r="AS9">
        <f t="shared" si="39"/>
        <v>2</v>
      </c>
      <c r="BB9">
        <v>12</v>
      </c>
      <c r="BC9">
        <f t="shared" si="31"/>
        <v>28</v>
      </c>
      <c r="BD9">
        <f t="shared" si="35"/>
        <v>7</v>
      </c>
      <c r="BE9">
        <f t="shared" si="40"/>
        <v>53</v>
      </c>
      <c r="BZ9" s="12">
        <f t="shared" si="0"/>
        <v>9.6741666666666664</v>
      </c>
      <c r="CA9" s="12">
        <f t="shared" si="32"/>
        <v>14.793571428571438</v>
      </c>
      <c r="CB9" s="12">
        <f t="shared" si="36"/>
        <v>10.479999999999952</v>
      </c>
      <c r="CC9" s="12">
        <f t="shared" ref="CC9:CC40" si="45">IFERROR(U9/BE9,0)</f>
        <v>4.4037735849056707</v>
      </c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>
        <f t="shared" si="1"/>
        <v>84.098405355097839</v>
      </c>
      <c r="CY9" s="12">
        <f t="shared" si="2"/>
        <v>86.132864183076094</v>
      </c>
      <c r="CZ9" s="12">
        <f t="shared" si="3"/>
        <v>84.549348124092901</v>
      </c>
      <c r="DA9" s="12">
        <f t="shared" si="4"/>
        <v>77.206344657121164</v>
      </c>
      <c r="DB9" s="12" t="str">
        <f t="shared" si="5"/>
        <v/>
      </c>
      <c r="DC9" s="12" t="str">
        <f t="shared" si="6"/>
        <v/>
      </c>
      <c r="DD9" s="12" t="str">
        <f t="shared" si="7"/>
        <v/>
      </c>
      <c r="DE9" s="12" t="str">
        <f t="shared" si="8"/>
        <v/>
      </c>
      <c r="DF9" s="12" t="str">
        <f t="shared" si="9"/>
        <v/>
      </c>
      <c r="DG9" s="12" t="str">
        <f t="shared" si="10"/>
        <v/>
      </c>
      <c r="DH9" s="12" t="str">
        <f t="shared" si="11"/>
        <v/>
      </c>
      <c r="DI9" s="12" t="str">
        <f t="shared" si="12"/>
        <v/>
      </c>
      <c r="DJ9" t="s">
        <v>21</v>
      </c>
      <c r="DK9" t="str">
        <f t="shared" si="33"/>
        <v>LH</v>
      </c>
      <c r="DL9" t="str">
        <f t="shared" si="37"/>
        <v>LH</v>
      </c>
      <c r="DM9" t="str">
        <f t="shared" si="41"/>
        <v>LH</v>
      </c>
      <c r="DV9">
        <f t="shared" si="13"/>
        <v>1.0250452192911756</v>
      </c>
      <c r="DW9">
        <f t="shared" si="14"/>
        <v>5.9917799387524822</v>
      </c>
      <c r="DX9">
        <f t="shared" si="42"/>
        <v>6.0220007521624721</v>
      </c>
      <c r="EG9" s="13" t="str">
        <f t="shared" si="15"/>
        <v/>
      </c>
      <c r="EH9" s="13" t="str">
        <f t="shared" si="16"/>
        <v/>
      </c>
      <c r="EI9" s="13" t="str">
        <f t="shared" si="17"/>
        <v/>
      </c>
      <c r="EJ9" s="13" t="str">
        <f t="shared" si="18"/>
        <v/>
      </c>
      <c r="EK9" s="13" t="str">
        <f t="shared" si="19"/>
        <v/>
      </c>
      <c r="EL9" s="13" t="str">
        <f t="shared" si="20"/>
        <v/>
      </c>
      <c r="EM9" s="13" t="str">
        <f t="shared" si="21"/>
        <v/>
      </c>
      <c r="EN9" s="13" t="str">
        <f t="shared" si="22"/>
        <v/>
      </c>
      <c r="EO9" s="13" t="str">
        <f t="shared" si="23"/>
        <v/>
      </c>
      <c r="EP9" s="13" t="str">
        <f t="shared" si="24"/>
        <v/>
      </c>
      <c r="EQ9" s="13" t="str">
        <f t="shared" si="25"/>
        <v/>
      </c>
    </row>
    <row r="10" spans="1:148" ht="14.25" customHeight="1" x14ac:dyDescent="0.55000000000000004">
      <c r="A10">
        <v>1774303204</v>
      </c>
      <c r="B10" t="s">
        <v>16</v>
      </c>
      <c r="C10" t="s">
        <v>17</v>
      </c>
      <c r="D10">
        <v>4398.29</v>
      </c>
      <c r="E10" t="s">
        <v>18</v>
      </c>
      <c r="F10">
        <v>4360.47</v>
      </c>
      <c r="G10">
        <v>4351.03</v>
      </c>
      <c r="H10">
        <v>4098.6899999999996</v>
      </c>
      <c r="I10">
        <f t="shared" si="38"/>
        <v>4661.42</v>
      </c>
      <c r="J10">
        <f t="shared" ref="J10:J41" si="46">F2</f>
        <v>4502.7299999999996</v>
      </c>
      <c r="R10">
        <v>-106.65</v>
      </c>
      <c r="S10">
        <f t="shared" si="26"/>
        <v>-161.88000000000011</v>
      </c>
      <c r="T10">
        <f t="shared" si="27"/>
        <v>-636.09000000000015</v>
      </c>
      <c r="U10">
        <f t="shared" si="43"/>
        <v>-74.710000000000036</v>
      </c>
      <c r="AD10">
        <v>-2.39</v>
      </c>
      <c r="AE10" s="14">
        <f t="shared" si="28"/>
        <v>-3.5870425069412</v>
      </c>
      <c r="AF10" s="14">
        <f t="shared" si="29"/>
        <v>-13.434415115380233</v>
      </c>
      <c r="AG10" s="14">
        <f t="shared" si="44"/>
        <v>-1.5774482541653214</v>
      </c>
      <c r="AH10" s="14"/>
      <c r="AI10" s="14"/>
      <c r="AJ10" s="14"/>
      <c r="AK10" s="14"/>
      <c r="AL10" s="14"/>
      <c r="AM10" s="14"/>
      <c r="AN10" s="14"/>
      <c r="AO10" s="14"/>
      <c r="AP10">
        <v>3</v>
      </c>
      <c r="AQ10">
        <f t="shared" si="30"/>
        <v>3</v>
      </c>
      <c r="AR10">
        <f t="shared" si="34"/>
        <v>5</v>
      </c>
      <c r="AS10">
        <f t="shared" si="39"/>
        <v>3</v>
      </c>
      <c r="AT10">
        <f t="shared" ref="AT10:AT41" si="47">AP2</f>
        <v>5</v>
      </c>
      <c r="BB10">
        <v>9</v>
      </c>
      <c r="BC10">
        <f t="shared" si="31"/>
        <v>6</v>
      </c>
      <c r="BD10">
        <f t="shared" si="35"/>
        <v>88</v>
      </c>
      <c r="BE10">
        <f t="shared" si="40"/>
        <v>13</v>
      </c>
      <c r="BF10">
        <f t="shared" ref="BF10:BF41" si="48">BB2</f>
        <v>46</v>
      </c>
      <c r="BZ10" s="12">
        <f t="shared" si="0"/>
        <v>-11.850000000000001</v>
      </c>
      <c r="CA10" s="12">
        <f t="shared" si="32"/>
        <v>-26.980000000000018</v>
      </c>
      <c r="CB10" s="12">
        <f t="shared" si="36"/>
        <v>-7.2282954545454565</v>
      </c>
      <c r="CC10" s="12">
        <f t="shared" si="45"/>
        <v>-5.7469230769230801</v>
      </c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>
        <f t="shared" si="1"/>
        <v>-85.176341802404835</v>
      </c>
      <c r="CY10" s="12">
        <f t="shared" si="2"/>
        <v>-87.877332693912436</v>
      </c>
      <c r="CZ10" s="12">
        <f t="shared" si="3"/>
        <v>-82.123400948097768</v>
      </c>
      <c r="DA10" s="12">
        <f t="shared" si="4"/>
        <v>-80.129014742874119</v>
      </c>
      <c r="DB10" s="12" t="str">
        <f t="shared" si="5"/>
        <v/>
      </c>
      <c r="DC10" s="12" t="str">
        <f t="shared" si="6"/>
        <v/>
      </c>
      <c r="DD10" s="12" t="str">
        <f t="shared" si="7"/>
        <v/>
      </c>
      <c r="DE10" s="12" t="str">
        <f t="shared" si="8"/>
        <v/>
      </c>
      <c r="DF10" s="12" t="str">
        <f t="shared" si="9"/>
        <v/>
      </c>
      <c r="DG10" s="12" t="str">
        <f t="shared" si="10"/>
        <v/>
      </c>
      <c r="DH10" s="12" t="str">
        <f t="shared" si="11"/>
        <v/>
      </c>
      <c r="DI10" s="12" t="str">
        <f t="shared" si="12"/>
        <v/>
      </c>
      <c r="DJ10" t="s">
        <v>22</v>
      </c>
      <c r="DK10" t="str">
        <f t="shared" si="33"/>
        <v>HL</v>
      </c>
      <c r="DL10" t="str">
        <f t="shared" si="37"/>
        <v>LL</v>
      </c>
      <c r="DM10" t="str">
        <f t="shared" si="41"/>
        <v>HL</v>
      </c>
      <c r="DN10" t="str">
        <f t="shared" ref="DN10:DN41" si="49">DJ2</f>
        <v>LL</v>
      </c>
      <c r="DV10">
        <f t="shared" si="13"/>
        <v>-0.21649042419740325</v>
      </c>
      <c r="DW10">
        <f t="shared" si="14"/>
        <v>-6.0034812761009855</v>
      </c>
      <c r="DX10">
        <f t="shared" si="42"/>
        <v>6.9017789366742539</v>
      </c>
      <c r="DY10">
        <f t="shared" ref="DY10:DY41" si="50">IFERROR(((J10-$F10)/$F10)*100,0)</f>
        <v>3.2624923460085569</v>
      </c>
      <c r="EG10" s="13" t="str">
        <f t="shared" si="15"/>
        <v/>
      </c>
      <c r="EH10" s="13" t="str">
        <f t="shared" si="16"/>
        <v/>
      </c>
      <c r="EI10" s="13" t="str">
        <f t="shared" si="17"/>
        <v/>
      </c>
      <c r="EJ10" s="13" t="str">
        <f t="shared" si="18"/>
        <v/>
      </c>
      <c r="EK10" s="13" t="str">
        <f t="shared" si="19"/>
        <v/>
      </c>
      <c r="EL10" s="13" t="str">
        <f t="shared" si="20"/>
        <v/>
      </c>
      <c r="EM10" s="13" t="str">
        <f t="shared" si="21"/>
        <v/>
      </c>
      <c r="EN10" s="13" t="str">
        <f t="shared" si="22"/>
        <v/>
      </c>
      <c r="EO10" s="13" t="str">
        <f t="shared" si="23"/>
        <v/>
      </c>
      <c r="EP10" s="13" t="str">
        <f t="shared" si="24"/>
        <v/>
      </c>
      <c r="EQ10" s="13" t="str">
        <f t="shared" si="25"/>
        <v/>
      </c>
    </row>
    <row r="11" spans="1:148" ht="14.25" customHeight="1" x14ac:dyDescent="0.55000000000000004">
      <c r="A11">
        <v>1774307704</v>
      </c>
      <c r="B11" t="s">
        <v>16</v>
      </c>
      <c r="C11" t="s">
        <v>17</v>
      </c>
      <c r="D11">
        <v>4441.71</v>
      </c>
      <c r="E11" t="s">
        <v>20</v>
      </c>
      <c r="F11">
        <v>4448.04</v>
      </c>
      <c r="G11">
        <v>4467.12</v>
      </c>
      <c r="H11">
        <v>4512.91</v>
      </c>
      <c r="I11">
        <f t="shared" si="38"/>
        <v>4734.78</v>
      </c>
      <c r="J11">
        <f t="shared" si="46"/>
        <v>4736.13</v>
      </c>
      <c r="R11">
        <v>87.57</v>
      </c>
      <c r="S11">
        <f t="shared" si="26"/>
        <v>116.09000000000015</v>
      </c>
      <c r="T11">
        <f t="shared" si="27"/>
        <v>414.22000000000025</v>
      </c>
      <c r="U11">
        <f t="shared" si="43"/>
        <v>73.359999999999673</v>
      </c>
      <c r="V11">
        <f t="shared" ref="V11:V42" si="51">J11-J10</f>
        <v>233.40000000000055</v>
      </c>
      <c r="AD11">
        <v>2.0099999999999998</v>
      </c>
      <c r="AE11" s="14">
        <f t="shared" si="28"/>
        <v>2.6681038742550651</v>
      </c>
      <c r="AF11" s="14">
        <f t="shared" si="29"/>
        <v>10.10615586931435</v>
      </c>
      <c r="AG11" s="14">
        <f t="shared" si="44"/>
        <v>1.5737693664162351</v>
      </c>
      <c r="AH11" s="14">
        <f t="shared" ref="AH11:AH42" si="52">(V11/J10)*100</f>
        <v>5.1835219966553749</v>
      </c>
      <c r="AI11" s="14"/>
      <c r="AJ11" s="14"/>
      <c r="AK11" s="14"/>
      <c r="AL11" s="14"/>
      <c r="AM11" s="14"/>
      <c r="AN11" s="14"/>
      <c r="AO11" s="14"/>
      <c r="AP11">
        <v>0</v>
      </c>
      <c r="AQ11">
        <f t="shared" si="30"/>
        <v>0</v>
      </c>
      <c r="AR11">
        <f t="shared" si="34"/>
        <v>2</v>
      </c>
      <c r="AS11">
        <f t="shared" si="39"/>
        <v>0</v>
      </c>
      <c r="AT11">
        <f t="shared" si="47"/>
        <v>2</v>
      </c>
      <c r="BB11">
        <v>5</v>
      </c>
      <c r="BC11">
        <f t="shared" si="31"/>
        <v>12</v>
      </c>
      <c r="BD11">
        <f t="shared" si="35"/>
        <v>28</v>
      </c>
      <c r="BE11">
        <f t="shared" si="40"/>
        <v>7</v>
      </c>
      <c r="BF11">
        <f t="shared" si="48"/>
        <v>53</v>
      </c>
      <c r="BZ11" s="12">
        <f t="shared" si="0"/>
        <v>17.513999999999999</v>
      </c>
      <c r="CA11" s="12">
        <f t="shared" si="32"/>
        <v>9.6741666666666788</v>
      </c>
      <c r="CB11" s="12">
        <f t="shared" si="36"/>
        <v>14.793571428571438</v>
      </c>
      <c r="CC11" s="12">
        <f t="shared" si="45"/>
        <v>10.479999999999952</v>
      </c>
      <c r="CD11" s="12">
        <f t="shared" ref="CD11:CD42" si="53">IFERROR(V11/BF11,0)</f>
        <v>4.4037735849056707</v>
      </c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>
        <f t="shared" si="1"/>
        <v>86.732120707566949</v>
      </c>
      <c r="CY11" s="12">
        <f t="shared" si="2"/>
        <v>84.098405355097839</v>
      </c>
      <c r="CZ11" s="12">
        <f t="shared" si="3"/>
        <v>86.132864183076094</v>
      </c>
      <c r="DA11" s="12">
        <f t="shared" si="4"/>
        <v>84.549348124092901</v>
      </c>
      <c r="DB11" s="12">
        <f t="shared" si="5"/>
        <v>77.206344657121164</v>
      </c>
      <c r="DC11" s="12" t="str">
        <f t="shared" si="6"/>
        <v/>
      </c>
      <c r="DD11" s="12" t="str">
        <f t="shared" si="7"/>
        <v/>
      </c>
      <c r="DE11" s="12" t="str">
        <f t="shared" si="8"/>
        <v/>
      </c>
      <c r="DF11" s="12" t="str">
        <f t="shared" si="9"/>
        <v/>
      </c>
      <c r="DG11" s="12" t="str">
        <f t="shared" si="10"/>
        <v/>
      </c>
      <c r="DH11" s="12" t="str">
        <f t="shared" si="11"/>
        <v/>
      </c>
      <c r="DI11" s="12" t="str">
        <f t="shared" si="12"/>
        <v/>
      </c>
      <c r="DJ11" t="s">
        <v>21</v>
      </c>
      <c r="DK11" t="str">
        <f t="shared" si="33"/>
        <v>LH</v>
      </c>
      <c r="DL11" t="str">
        <f t="shared" si="37"/>
        <v>LH</v>
      </c>
      <c r="DM11" t="str">
        <f t="shared" si="41"/>
        <v>LH</v>
      </c>
      <c r="DN11" t="str">
        <f t="shared" si="49"/>
        <v>LH</v>
      </c>
      <c r="DV11">
        <f t="shared" si="13"/>
        <v>0.42895297704157176</v>
      </c>
      <c r="DW11">
        <f t="shared" si="14"/>
        <v>1.458395158316919</v>
      </c>
      <c r="DX11">
        <f t="shared" si="42"/>
        <v>6.4464348342191116</v>
      </c>
      <c r="DY11">
        <f t="shared" si="50"/>
        <v>6.4767852807079116</v>
      </c>
      <c r="EG11" s="13" t="str">
        <f t="shared" si="15"/>
        <v/>
      </c>
      <c r="EH11" s="13" t="str">
        <f t="shared" si="16"/>
        <v/>
      </c>
      <c r="EI11" s="13" t="str">
        <f t="shared" si="17"/>
        <v/>
      </c>
      <c r="EJ11" s="13" t="str">
        <f t="shared" si="18"/>
        <v/>
      </c>
      <c r="EK11" s="13" t="str">
        <f t="shared" si="19"/>
        <v/>
      </c>
      <c r="EL11" s="13" t="str">
        <f t="shared" si="20"/>
        <v/>
      </c>
      <c r="EM11" s="13" t="str">
        <f t="shared" si="21"/>
        <v/>
      </c>
      <c r="EN11" s="13" t="str">
        <f t="shared" si="22"/>
        <v/>
      </c>
      <c r="EO11" s="13" t="str">
        <f t="shared" si="23"/>
        <v/>
      </c>
      <c r="EP11" s="13" t="str">
        <f t="shared" si="24"/>
        <v/>
      </c>
      <c r="EQ11" s="13" t="str">
        <f t="shared" si="25"/>
        <v/>
      </c>
    </row>
    <row r="12" spans="1:148" ht="14.25" customHeight="1" x14ac:dyDescent="0.55000000000000004">
      <c r="A12">
        <v>1774317604</v>
      </c>
      <c r="B12" t="s">
        <v>16</v>
      </c>
      <c r="C12" t="s">
        <v>17</v>
      </c>
      <c r="D12">
        <v>4312.34</v>
      </c>
      <c r="E12" t="s">
        <v>18</v>
      </c>
      <c r="F12">
        <v>4306.09</v>
      </c>
      <c r="G12">
        <v>4360.47</v>
      </c>
      <c r="H12">
        <v>4351.03</v>
      </c>
      <c r="I12">
        <f t="shared" si="38"/>
        <v>4098.6899999999996</v>
      </c>
      <c r="J12">
        <f t="shared" si="46"/>
        <v>4661.42</v>
      </c>
      <c r="K12">
        <f t="shared" ref="K12:K43" si="54">F2</f>
        <v>4502.7299999999996</v>
      </c>
      <c r="R12">
        <v>-141.94999999999999</v>
      </c>
      <c r="S12">
        <f t="shared" si="26"/>
        <v>-106.64999999999964</v>
      </c>
      <c r="T12">
        <f t="shared" si="27"/>
        <v>-161.88000000000011</v>
      </c>
      <c r="U12">
        <f t="shared" si="43"/>
        <v>-636.09000000000015</v>
      </c>
      <c r="V12">
        <f t="shared" si="51"/>
        <v>-74.710000000000036</v>
      </c>
      <c r="AD12">
        <v>-3.19</v>
      </c>
      <c r="AE12" s="14">
        <f t="shared" si="28"/>
        <v>-2.3874442593885914</v>
      </c>
      <c r="AF12" s="14">
        <f t="shared" si="29"/>
        <v>-3.5870425069412</v>
      </c>
      <c r="AG12" s="14">
        <f t="shared" si="44"/>
        <v>-13.434415115380233</v>
      </c>
      <c r="AH12" s="14">
        <f t="shared" si="52"/>
        <v>-1.5774482541653214</v>
      </c>
      <c r="AI12" s="14"/>
      <c r="AJ12" s="14"/>
      <c r="AK12" s="14"/>
      <c r="AL12" s="14"/>
      <c r="AM12" s="14"/>
      <c r="AN12" s="14"/>
      <c r="AO12" s="14"/>
      <c r="AP12">
        <v>3</v>
      </c>
      <c r="AQ12">
        <f t="shared" si="30"/>
        <v>3</v>
      </c>
      <c r="AR12">
        <f t="shared" si="34"/>
        <v>3</v>
      </c>
      <c r="AS12">
        <f t="shared" si="39"/>
        <v>5</v>
      </c>
      <c r="AT12">
        <f t="shared" si="47"/>
        <v>3</v>
      </c>
      <c r="AU12">
        <f t="shared" ref="AU12:AU43" si="55">AP2</f>
        <v>5</v>
      </c>
      <c r="BB12">
        <v>11</v>
      </c>
      <c r="BC12">
        <f t="shared" si="31"/>
        <v>9</v>
      </c>
      <c r="BD12">
        <f t="shared" si="35"/>
        <v>6</v>
      </c>
      <c r="BE12">
        <f t="shared" si="40"/>
        <v>88</v>
      </c>
      <c r="BF12">
        <f t="shared" si="48"/>
        <v>13</v>
      </c>
      <c r="BG12">
        <f t="shared" ref="BG12:BG43" si="56">BB2</f>
        <v>46</v>
      </c>
      <c r="BZ12" s="12">
        <f t="shared" si="0"/>
        <v>-12.904545454545454</v>
      </c>
      <c r="CA12" s="12">
        <f t="shared" si="32"/>
        <v>-11.849999999999959</v>
      </c>
      <c r="CB12" s="12">
        <f t="shared" si="36"/>
        <v>-26.980000000000018</v>
      </c>
      <c r="CC12" s="12">
        <f t="shared" si="45"/>
        <v>-7.2282954545454565</v>
      </c>
      <c r="CD12" s="12">
        <f t="shared" si="53"/>
        <v>-5.7469230769230801</v>
      </c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>
        <f t="shared" si="1"/>
        <v>-85.568886660479492</v>
      </c>
      <c r="CY12" s="12">
        <f t="shared" si="2"/>
        <v>-85.176341802404806</v>
      </c>
      <c r="CZ12" s="12">
        <f t="shared" si="3"/>
        <v>-87.877332693912436</v>
      </c>
      <c r="DA12" s="12">
        <f t="shared" si="4"/>
        <v>-82.123400948097768</v>
      </c>
      <c r="DB12" s="12">
        <f t="shared" si="5"/>
        <v>-80.129014742874119</v>
      </c>
      <c r="DC12" s="12" t="str">
        <f t="shared" si="6"/>
        <v/>
      </c>
      <c r="DD12" s="12" t="str">
        <f t="shared" si="7"/>
        <v/>
      </c>
      <c r="DE12" s="12" t="str">
        <f t="shared" si="8"/>
        <v/>
      </c>
      <c r="DF12" s="12" t="str">
        <f t="shared" si="9"/>
        <v/>
      </c>
      <c r="DG12" s="12" t="str">
        <f t="shared" si="10"/>
        <v/>
      </c>
      <c r="DH12" s="12" t="str">
        <f t="shared" si="11"/>
        <v/>
      </c>
      <c r="DI12" s="12" t="str">
        <f t="shared" si="12"/>
        <v/>
      </c>
      <c r="DJ12" t="s">
        <v>19</v>
      </c>
      <c r="DK12" t="str">
        <f t="shared" si="33"/>
        <v>HL</v>
      </c>
      <c r="DL12" t="str">
        <f t="shared" si="37"/>
        <v>HL</v>
      </c>
      <c r="DM12" t="str">
        <f t="shared" si="41"/>
        <v>LL</v>
      </c>
      <c r="DN12" t="str">
        <f t="shared" si="49"/>
        <v>HL</v>
      </c>
      <c r="DO12" t="str">
        <f t="shared" ref="DO12:DO43" si="57">DJ2</f>
        <v>LL</v>
      </c>
      <c r="DV12">
        <f t="shared" si="13"/>
        <v>1.2628625969266809</v>
      </c>
      <c r="DW12">
        <f t="shared" si="14"/>
        <v>1.0436381961361607</v>
      </c>
      <c r="DX12">
        <f t="shared" si="42"/>
        <v>-4.8164343987236808</v>
      </c>
      <c r="DY12">
        <f t="shared" si="50"/>
        <v>8.2518015183147568</v>
      </c>
      <c r="DZ12">
        <f t="shared" ref="DZ12:DZ43" si="58">IFERROR(((K12-$F12)/$F12)*100,0)</f>
        <v>4.5665557385005755</v>
      </c>
      <c r="EG12" s="13" t="str">
        <f t="shared" si="15"/>
        <v/>
      </c>
      <c r="EH12" s="13" t="str">
        <f t="shared" si="16"/>
        <v/>
      </c>
      <c r="EI12" s="13" t="str">
        <f t="shared" si="17"/>
        <v/>
      </c>
      <c r="EJ12" s="13" t="str">
        <f t="shared" si="18"/>
        <v/>
      </c>
      <c r="EK12" s="13" t="str">
        <f t="shared" si="19"/>
        <v/>
      </c>
      <c r="EL12" s="13" t="str">
        <f t="shared" si="20"/>
        <v/>
      </c>
      <c r="EM12" s="13" t="str">
        <f t="shared" si="21"/>
        <v/>
      </c>
      <c r="EN12" s="13" t="str">
        <f t="shared" si="22"/>
        <v/>
      </c>
      <c r="EO12" s="13" t="str">
        <f t="shared" si="23"/>
        <v/>
      </c>
      <c r="EP12" s="13" t="str">
        <f t="shared" si="24"/>
        <v/>
      </c>
      <c r="EQ12" s="13" t="str">
        <f t="shared" si="25"/>
        <v/>
      </c>
    </row>
    <row r="13" spans="1:148" ht="14.25" customHeight="1" x14ac:dyDescent="0.55000000000000004">
      <c r="A13">
        <v>1774349104</v>
      </c>
      <c r="B13" t="s">
        <v>16</v>
      </c>
      <c r="C13" t="s">
        <v>17</v>
      </c>
      <c r="D13">
        <v>4438.66</v>
      </c>
      <c r="E13" t="s">
        <v>20</v>
      </c>
      <c r="F13">
        <v>4441.87</v>
      </c>
      <c r="G13">
        <v>4448.04</v>
      </c>
      <c r="H13">
        <v>4467.12</v>
      </c>
      <c r="I13">
        <f t="shared" si="38"/>
        <v>4512.91</v>
      </c>
      <c r="J13">
        <f t="shared" si="46"/>
        <v>4734.78</v>
      </c>
      <c r="K13">
        <f t="shared" si="54"/>
        <v>4736.13</v>
      </c>
      <c r="R13">
        <v>135.78</v>
      </c>
      <c r="S13">
        <f t="shared" si="26"/>
        <v>87.569999999999709</v>
      </c>
      <c r="T13">
        <f t="shared" si="27"/>
        <v>116.09000000000015</v>
      </c>
      <c r="U13">
        <f t="shared" si="43"/>
        <v>414.22000000000025</v>
      </c>
      <c r="V13">
        <f t="shared" si="51"/>
        <v>73.359999999999673</v>
      </c>
      <c r="W13">
        <f t="shared" ref="W13:W44" si="59">K13-K12</f>
        <v>233.40000000000055</v>
      </c>
      <c r="AD13">
        <v>3.15</v>
      </c>
      <c r="AE13" s="14">
        <f t="shared" si="28"/>
        <v>2.0082697507378722</v>
      </c>
      <c r="AF13" s="14">
        <f t="shared" si="29"/>
        <v>2.6681038742550651</v>
      </c>
      <c r="AG13" s="14">
        <f t="shared" si="44"/>
        <v>10.10615586931435</v>
      </c>
      <c r="AH13" s="14">
        <f t="shared" si="52"/>
        <v>1.5737693664162351</v>
      </c>
      <c r="AI13" s="14">
        <f t="shared" ref="AI13:AI44" si="60">(W13/K12)*100</f>
        <v>5.1835219966553749</v>
      </c>
      <c r="AJ13" s="14"/>
      <c r="AK13" s="14"/>
      <c r="AL13" s="14"/>
      <c r="AM13" s="14"/>
      <c r="AN13" s="14"/>
      <c r="AO13" s="14"/>
      <c r="AP13">
        <v>0</v>
      </c>
      <c r="AQ13">
        <f t="shared" si="30"/>
        <v>0</v>
      </c>
      <c r="AR13">
        <f t="shared" si="34"/>
        <v>0</v>
      </c>
      <c r="AS13">
        <f t="shared" si="39"/>
        <v>2</v>
      </c>
      <c r="AT13">
        <f t="shared" si="47"/>
        <v>0</v>
      </c>
      <c r="AU13">
        <f t="shared" si="55"/>
        <v>2</v>
      </c>
      <c r="BB13">
        <v>35</v>
      </c>
      <c r="BC13">
        <f t="shared" si="31"/>
        <v>5</v>
      </c>
      <c r="BD13">
        <f t="shared" si="35"/>
        <v>12</v>
      </c>
      <c r="BE13">
        <f t="shared" si="40"/>
        <v>28</v>
      </c>
      <c r="BF13">
        <f t="shared" si="48"/>
        <v>7</v>
      </c>
      <c r="BG13">
        <f t="shared" si="56"/>
        <v>53</v>
      </c>
      <c r="BZ13" s="12">
        <f t="shared" si="0"/>
        <v>3.8794285714285714</v>
      </c>
      <c r="CA13" s="12">
        <f t="shared" si="32"/>
        <v>17.513999999999943</v>
      </c>
      <c r="CB13" s="12">
        <f t="shared" si="36"/>
        <v>9.6741666666666788</v>
      </c>
      <c r="CC13" s="12">
        <f t="shared" si="45"/>
        <v>14.793571428571438</v>
      </c>
      <c r="CD13" s="12">
        <f t="shared" si="53"/>
        <v>10.479999999999952</v>
      </c>
      <c r="CE13" s="12">
        <f t="shared" ref="CE13:CE44" si="61">IFERROR(W13/BG13,0)</f>
        <v>4.4037735849056707</v>
      </c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>
        <f t="shared" si="1"/>
        <v>75.54553212316182</v>
      </c>
      <c r="CY13" s="12">
        <f t="shared" si="2"/>
        <v>86.732120707566949</v>
      </c>
      <c r="CZ13" s="12">
        <f t="shared" si="3"/>
        <v>84.098405355097839</v>
      </c>
      <c r="DA13" s="12">
        <f t="shared" si="4"/>
        <v>86.132864183076094</v>
      </c>
      <c r="DB13" s="12">
        <f t="shared" si="5"/>
        <v>84.549348124092901</v>
      </c>
      <c r="DC13" s="12">
        <f t="shared" si="6"/>
        <v>77.206344657121164</v>
      </c>
      <c r="DD13" s="12" t="str">
        <f t="shared" si="7"/>
        <v/>
      </c>
      <c r="DE13" s="12" t="str">
        <f t="shared" si="8"/>
        <v/>
      </c>
      <c r="DF13" s="12" t="str">
        <f t="shared" si="9"/>
        <v/>
      </c>
      <c r="DG13" s="12" t="str">
        <f t="shared" si="10"/>
        <v/>
      </c>
      <c r="DH13" s="12" t="str">
        <f t="shared" si="11"/>
        <v/>
      </c>
      <c r="DI13" s="12" t="str">
        <f t="shared" si="12"/>
        <v/>
      </c>
      <c r="DJ13" t="s">
        <v>21</v>
      </c>
      <c r="DK13" t="str">
        <f t="shared" si="33"/>
        <v>LH</v>
      </c>
      <c r="DL13" t="str">
        <f t="shared" si="37"/>
        <v>LH</v>
      </c>
      <c r="DM13" t="str">
        <f t="shared" si="41"/>
        <v>LH</v>
      </c>
      <c r="DN13" t="str">
        <f t="shared" si="49"/>
        <v>LH</v>
      </c>
      <c r="DO13" t="str">
        <f t="shared" si="57"/>
        <v>LH</v>
      </c>
      <c r="DV13">
        <f t="shared" si="13"/>
        <v>0.13890546098827911</v>
      </c>
      <c r="DW13">
        <f t="shared" si="14"/>
        <v>0.56845427714003338</v>
      </c>
      <c r="DX13">
        <f t="shared" si="42"/>
        <v>1.599326409822889</v>
      </c>
      <c r="DY13">
        <f t="shared" si="50"/>
        <v>6.5942947452311715</v>
      </c>
      <c r="DZ13">
        <f t="shared" si="58"/>
        <v>6.6246873501475774</v>
      </c>
      <c r="EG13" s="13" t="str">
        <f t="shared" si="15"/>
        <v/>
      </c>
      <c r="EH13" s="13" t="str">
        <f t="shared" si="16"/>
        <v/>
      </c>
      <c r="EI13" s="13" t="str">
        <f t="shared" si="17"/>
        <v/>
      </c>
      <c r="EJ13" s="13" t="str">
        <f t="shared" si="18"/>
        <v/>
      </c>
      <c r="EK13" s="13" t="str">
        <f t="shared" si="19"/>
        <v/>
      </c>
      <c r="EL13" s="13" t="str">
        <f t="shared" si="20"/>
        <v/>
      </c>
      <c r="EM13" s="13" t="str">
        <f t="shared" si="21"/>
        <v/>
      </c>
      <c r="EN13" s="13" t="str">
        <f t="shared" si="22"/>
        <v/>
      </c>
      <c r="EO13" s="13" t="str">
        <f t="shared" si="23"/>
        <v/>
      </c>
      <c r="EP13" s="13" t="str">
        <f t="shared" si="24"/>
        <v/>
      </c>
      <c r="EQ13" s="13" t="str">
        <f t="shared" si="25"/>
        <v/>
      </c>
    </row>
    <row r="14" spans="1:148" ht="14.25" customHeight="1" x14ac:dyDescent="0.55000000000000004">
      <c r="A14">
        <v>1774359904</v>
      </c>
      <c r="B14" t="s">
        <v>16</v>
      </c>
      <c r="C14" t="s">
        <v>17</v>
      </c>
      <c r="D14">
        <v>4381.79</v>
      </c>
      <c r="E14" t="s">
        <v>18</v>
      </c>
      <c r="F14">
        <v>4351.7</v>
      </c>
      <c r="G14">
        <v>4306.09</v>
      </c>
      <c r="H14">
        <v>4360.47</v>
      </c>
      <c r="I14">
        <f t="shared" si="38"/>
        <v>4351.03</v>
      </c>
      <c r="J14">
        <f t="shared" si="46"/>
        <v>4098.6899999999996</v>
      </c>
      <c r="K14">
        <f t="shared" si="54"/>
        <v>4661.42</v>
      </c>
      <c r="L14">
        <f t="shared" ref="L14:L45" si="62">F2</f>
        <v>4502.7299999999996</v>
      </c>
      <c r="R14">
        <v>-90.17</v>
      </c>
      <c r="S14">
        <f t="shared" si="26"/>
        <v>-141.94999999999982</v>
      </c>
      <c r="T14">
        <f t="shared" si="27"/>
        <v>-106.64999999999964</v>
      </c>
      <c r="U14">
        <f t="shared" si="43"/>
        <v>-161.88000000000011</v>
      </c>
      <c r="V14">
        <f t="shared" si="51"/>
        <v>-636.09000000000015</v>
      </c>
      <c r="W14">
        <f t="shared" si="59"/>
        <v>-74.710000000000036</v>
      </c>
      <c r="AD14">
        <v>-2.0299999999999998</v>
      </c>
      <c r="AE14" s="14">
        <f t="shared" si="28"/>
        <v>-3.1912932437657893</v>
      </c>
      <c r="AF14" s="14">
        <f t="shared" si="29"/>
        <v>-2.3874442593885914</v>
      </c>
      <c r="AG14" s="14">
        <f t="shared" si="44"/>
        <v>-3.5870425069412</v>
      </c>
      <c r="AH14" s="14">
        <f t="shared" si="52"/>
        <v>-13.434415115380233</v>
      </c>
      <c r="AI14" s="14">
        <f t="shared" si="60"/>
        <v>-1.5774482541653214</v>
      </c>
      <c r="AJ14" s="14"/>
      <c r="AK14" s="14"/>
      <c r="AL14" s="14"/>
      <c r="AM14" s="14"/>
      <c r="AN14" s="14"/>
      <c r="AO14" s="14"/>
      <c r="AP14">
        <v>3</v>
      </c>
      <c r="AQ14">
        <f t="shared" si="30"/>
        <v>3</v>
      </c>
      <c r="AR14">
        <f t="shared" si="34"/>
        <v>3</v>
      </c>
      <c r="AS14">
        <f t="shared" si="39"/>
        <v>3</v>
      </c>
      <c r="AT14">
        <f t="shared" si="47"/>
        <v>5</v>
      </c>
      <c r="AU14">
        <f t="shared" si="55"/>
        <v>3</v>
      </c>
      <c r="AV14">
        <f t="shared" ref="AV14:AV45" si="63">AP2</f>
        <v>5</v>
      </c>
      <c r="BB14">
        <v>12</v>
      </c>
      <c r="BC14">
        <f t="shared" si="31"/>
        <v>11</v>
      </c>
      <c r="BD14">
        <f t="shared" si="35"/>
        <v>9</v>
      </c>
      <c r="BE14">
        <f t="shared" si="40"/>
        <v>6</v>
      </c>
      <c r="BF14">
        <f t="shared" si="48"/>
        <v>88</v>
      </c>
      <c r="BG14">
        <f t="shared" si="56"/>
        <v>13</v>
      </c>
      <c r="BH14">
        <f t="shared" ref="BH14:BH45" si="64">BB2</f>
        <v>46</v>
      </c>
      <c r="BZ14" s="12">
        <f t="shared" si="0"/>
        <v>-7.5141666666666671</v>
      </c>
      <c r="CA14" s="12">
        <f t="shared" si="32"/>
        <v>-12.904545454545438</v>
      </c>
      <c r="CB14" s="12">
        <f t="shared" si="36"/>
        <v>-11.849999999999959</v>
      </c>
      <c r="CC14" s="12">
        <f t="shared" si="45"/>
        <v>-26.980000000000018</v>
      </c>
      <c r="CD14" s="12">
        <f t="shared" si="53"/>
        <v>-7.2282954545454565</v>
      </c>
      <c r="CE14" s="12">
        <f t="shared" si="61"/>
        <v>-5.7469230769230801</v>
      </c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>
        <f t="shared" si="1"/>
        <v>-82.419508361922027</v>
      </c>
      <c r="CY14" s="12">
        <f t="shared" si="2"/>
        <v>-85.568886660479492</v>
      </c>
      <c r="CZ14" s="12">
        <f t="shared" si="3"/>
        <v>-85.176341802404806</v>
      </c>
      <c r="DA14" s="12">
        <f t="shared" si="4"/>
        <v>-87.877332693912436</v>
      </c>
      <c r="DB14" s="12">
        <f t="shared" si="5"/>
        <v>-82.123400948097768</v>
      </c>
      <c r="DC14" s="12">
        <f t="shared" si="6"/>
        <v>-80.129014742874119</v>
      </c>
      <c r="DD14" s="12" t="str">
        <f t="shared" si="7"/>
        <v/>
      </c>
      <c r="DE14" s="12" t="str">
        <f t="shared" si="8"/>
        <v/>
      </c>
      <c r="DF14" s="12" t="str">
        <f t="shared" si="9"/>
        <v/>
      </c>
      <c r="DG14" s="12" t="str">
        <f t="shared" si="10"/>
        <v/>
      </c>
      <c r="DH14" s="12" t="str">
        <f t="shared" si="11"/>
        <v/>
      </c>
      <c r="DI14" s="12" t="str">
        <f t="shared" si="12"/>
        <v/>
      </c>
      <c r="DJ14" t="s">
        <v>22</v>
      </c>
      <c r="DK14" t="str">
        <f t="shared" si="33"/>
        <v>LL</v>
      </c>
      <c r="DL14" t="str">
        <f t="shared" si="37"/>
        <v>HL</v>
      </c>
      <c r="DM14" t="str">
        <f t="shared" si="41"/>
        <v>HL</v>
      </c>
      <c r="DN14" t="str">
        <f t="shared" si="49"/>
        <v>LL</v>
      </c>
      <c r="DO14" t="str">
        <f t="shared" si="57"/>
        <v>HL</v>
      </c>
      <c r="DP14" t="str">
        <f t="shared" ref="DP14:DP45" si="65">DJ2</f>
        <v>LL</v>
      </c>
      <c r="DV14">
        <f t="shared" si="13"/>
        <v>-1.0480961463336091</v>
      </c>
      <c r="DW14">
        <f t="shared" si="14"/>
        <v>0.20153043638119439</v>
      </c>
      <c r="DX14">
        <f t="shared" si="42"/>
        <v>-1.5396281912817354E-2</v>
      </c>
      <c r="DY14">
        <f t="shared" si="50"/>
        <v>-5.8140496817335805</v>
      </c>
      <c r="DZ14">
        <f t="shared" si="58"/>
        <v>7.117218558264593</v>
      </c>
      <c r="EA14">
        <f t="shared" ref="EA14:EA45" si="66">IFERROR(((L14-$F14)/$F14)*100,0)</f>
        <v>3.4705976974515647</v>
      </c>
      <c r="EG14" s="13" t="str">
        <f t="shared" si="15"/>
        <v/>
      </c>
      <c r="EH14" s="13" t="str">
        <f t="shared" si="16"/>
        <v>EQL</v>
      </c>
      <c r="EI14" s="13" t="str">
        <f t="shared" si="17"/>
        <v/>
      </c>
      <c r="EJ14" s="13" t="str">
        <f t="shared" si="18"/>
        <v/>
      </c>
      <c r="EK14" s="13" t="str">
        <f t="shared" si="19"/>
        <v/>
      </c>
      <c r="EL14" s="13" t="str">
        <f t="shared" si="20"/>
        <v/>
      </c>
      <c r="EM14" s="13" t="str">
        <f t="shared" si="21"/>
        <v/>
      </c>
      <c r="EN14" s="13" t="str">
        <f t="shared" si="22"/>
        <v/>
      </c>
      <c r="EO14" s="13" t="str">
        <f t="shared" si="23"/>
        <v/>
      </c>
      <c r="EP14" s="13" t="str">
        <f t="shared" si="24"/>
        <v/>
      </c>
      <c r="EQ14" s="13" t="str">
        <f t="shared" si="25"/>
        <v/>
      </c>
    </row>
    <row r="15" spans="1:148" ht="14.25" customHeight="1" x14ac:dyDescent="0.55000000000000004">
      <c r="A15">
        <v>1774363504</v>
      </c>
      <c r="B15" t="s">
        <v>16</v>
      </c>
      <c r="C15" t="s">
        <v>17</v>
      </c>
      <c r="D15">
        <v>4415.63</v>
      </c>
      <c r="E15" t="s">
        <v>20</v>
      </c>
      <c r="F15">
        <v>4433.51</v>
      </c>
      <c r="G15">
        <v>4441.87</v>
      </c>
      <c r="H15">
        <v>4448.04</v>
      </c>
      <c r="I15">
        <f t="shared" si="38"/>
        <v>4467.12</v>
      </c>
      <c r="J15">
        <f t="shared" si="46"/>
        <v>4512.91</v>
      </c>
      <c r="K15">
        <f t="shared" si="54"/>
        <v>4734.78</v>
      </c>
      <c r="L15">
        <f t="shared" si="62"/>
        <v>4736.13</v>
      </c>
      <c r="R15">
        <v>81.81</v>
      </c>
      <c r="S15">
        <f t="shared" si="26"/>
        <v>135.77999999999975</v>
      </c>
      <c r="T15">
        <f t="shared" si="27"/>
        <v>87.569999999999709</v>
      </c>
      <c r="U15">
        <f t="shared" si="43"/>
        <v>116.09000000000015</v>
      </c>
      <c r="V15">
        <f t="shared" si="51"/>
        <v>414.22000000000025</v>
      </c>
      <c r="W15">
        <f t="shared" si="59"/>
        <v>73.359999999999673</v>
      </c>
      <c r="X15">
        <f t="shared" ref="X15:X46" si="67">L15-L14</f>
        <v>233.40000000000055</v>
      </c>
      <c r="AD15">
        <v>1.88</v>
      </c>
      <c r="AE15" s="14">
        <f t="shared" si="28"/>
        <v>3.1532085952685556</v>
      </c>
      <c r="AF15" s="14">
        <f t="shared" si="29"/>
        <v>2.0082697507378722</v>
      </c>
      <c r="AG15" s="14">
        <f t="shared" si="44"/>
        <v>2.6681038742550651</v>
      </c>
      <c r="AH15" s="14">
        <f t="shared" si="52"/>
        <v>10.10615586931435</v>
      </c>
      <c r="AI15" s="14">
        <f t="shared" si="60"/>
        <v>1.5737693664162351</v>
      </c>
      <c r="AJ15" s="14">
        <f t="shared" ref="AJ15:AJ46" si="68">(X15/L14)*100</f>
        <v>5.1835219966553749</v>
      </c>
      <c r="AK15" s="14"/>
      <c r="AL15" s="14"/>
      <c r="AM15" s="14"/>
      <c r="AN15" s="14"/>
      <c r="AO15" s="14"/>
      <c r="AP15">
        <v>0</v>
      </c>
      <c r="AQ15">
        <f t="shared" si="30"/>
        <v>0</v>
      </c>
      <c r="AR15">
        <f t="shared" si="34"/>
        <v>0</v>
      </c>
      <c r="AS15">
        <f t="shared" si="39"/>
        <v>0</v>
      </c>
      <c r="AT15">
        <f t="shared" si="47"/>
        <v>2</v>
      </c>
      <c r="AU15">
        <f t="shared" si="55"/>
        <v>0</v>
      </c>
      <c r="AV15">
        <f t="shared" si="63"/>
        <v>2</v>
      </c>
      <c r="BB15">
        <v>4</v>
      </c>
      <c r="BC15">
        <f t="shared" si="31"/>
        <v>35</v>
      </c>
      <c r="BD15">
        <f t="shared" si="35"/>
        <v>5</v>
      </c>
      <c r="BE15">
        <f t="shared" si="40"/>
        <v>12</v>
      </c>
      <c r="BF15">
        <f t="shared" si="48"/>
        <v>28</v>
      </c>
      <c r="BG15">
        <f t="shared" si="56"/>
        <v>7</v>
      </c>
      <c r="BH15">
        <f t="shared" si="64"/>
        <v>53</v>
      </c>
      <c r="BZ15" s="12">
        <f t="shared" si="0"/>
        <v>20.452500000000001</v>
      </c>
      <c r="CA15" s="12">
        <f t="shared" si="32"/>
        <v>3.8794285714285643</v>
      </c>
      <c r="CB15" s="12">
        <f t="shared" si="36"/>
        <v>17.513999999999943</v>
      </c>
      <c r="CC15" s="12">
        <f t="shared" si="45"/>
        <v>9.6741666666666788</v>
      </c>
      <c r="CD15" s="12">
        <f t="shared" si="53"/>
        <v>14.793571428571438</v>
      </c>
      <c r="CE15" s="12">
        <f t="shared" si="61"/>
        <v>10.479999999999952</v>
      </c>
      <c r="CF15" s="12">
        <f t="shared" ref="CF15:CF46" si="69">IFERROR(X15/BH15,0)</f>
        <v>4.4037735849056707</v>
      </c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>
        <f t="shared" si="1"/>
        <v>87.200822013750752</v>
      </c>
      <c r="CY15" s="12">
        <f t="shared" si="2"/>
        <v>75.545532123161792</v>
      </c>
      <c r="CZ15" s="12">
        <f t="shared" si="3"/>
        <v>86.732120707566949</v>
      </c>
      <c r="DA15" s="12">
        <f t="shared" si="4"/>
        <v>84.098405355097839</v>
      </c>
      <c r="DB15" s="12">
        <f t="shared" si="5"/>
        <v>86.132864183076094</v>
      </c>
      <c r="DC15" s="12">
        <f t="shared" si="6"/>
        <v>84.549348124092901</v>
      </c>
      <c r="DD15" s="12">
        <f t="shared" si="7"/>
        <v>77.206344657121164</v>
      </c>
      <c r="DE15" s="12" t="str">
        <f t="shared" si="8"/>
        <v/>
      </c>
      <c r="DF15" s="12" t="str">
        <f t="shared" si="9"/>
        <v/>
      </c>
      <c r="DG15" s="12" t="str">
        <f t="shared" si="10"/>
        <v/>
      </c>
      <c r="DH15" s="12" t="str">
        <f t="shared" si="11"/>
        <v/>
      </c>
      <c r="DI15" s="12" t="str">
        <f t="shared" si="12"/>
        <v/>
      </c>
      <c r="DJ15" t="s">
        <v>21</v>
      </c>
      <c r="DK15" t="str">
        <f t="shared" si="33"/>
        <v>LH</v>
      </c>
      <c r="DL15" t="str">
        <f t="shared" si="37"/>
        <v>LH</v>
      </c>
      <c r="DM15" t="str">
        <f t="shared" si="41"/>
        <v>LH</v>
      </c>
      <c r="DN15" t="str">
        <f t="shared" si="49"/>
        <v>LH</v>
      </c>
      <c r="DO15" t="str">
        <f t="shared" si="57"/>
        <v>LH</v>
      </c>
      <c r="DP15" t="str">
        <f t="shared" si="65"/>
        <v>LH</v>
      </c>
      <c r="DV15">
        <f t="shared" si="13"/>
        <v>0.18856391437032219</v>
      </c>
      <c r="DW15">
        <f t="shared" si="14"/>
        <v>0.32773130093311498</v>
      </c>
      <c r="DX15">
        <f t="shared" si="42"/>
        <v>0.75809009114673631</v>
      </c>
      <c r="DY15">
        <f t="shared" si="50"/>
        <v>1.7909060766751317</v>
      </c>
      <c r="DZ15">
        <f t="shared" si="58"/>
        <v>6.7952931198982185</v>
      </c>
      <c r="EA15">
        <f t="shared" si="66"/>
        <v>6.8257430343001344</v>
      </c>
      <c r="EG15" s="13" t="str">
        <f t="shared" si="15"/>
        <v/>
      </c>
      <c r="EH15" s="13" t="str">
        <f t="shared" si="16"/>
        <v/>
      </c>
      <c r="EI15" s="13" t="str">
        <f t="shared" si="17"/>
        <v/>
      </c>
      <c r="EJ15" s="13" t="str">
        <f t="shared" si="18"/>
        <v/>
      </c>
      <c r="EK15" s="13" t="str">
        <f t="shared" si="19"/>
        <v/>
      </c>
      <c r="EL15" s="13" t="str">
        <f t="shared" si="20"/>
        <v/>
      </c>
      <c r="EM15" s="13" t="str">
        <f t="shared" si="21"/>
        <v/>
      </c>
      <c r="EN15" s="13" t="str">
        <f t="shared" si="22"/>
        <v/>
      </c>
      <c r="EO15" s="13" t="str">
        <f t="shared" si="23"/>
        <v/>
      </c>
      <c r="EP15" s="13" t="str">
        <f t="shared" si="24"/>
        <v/>
      </c>
      <c r="EQ15" s="13" t="str">
        <f t="shared" si="25"/>
        <v/>
      </c>
    </row>
    <row r="16" spans="1:148" ht="14.25" customHeight="1" x14ac:dyDescent="0.55000000000000004">
      <c r="A16">
        <v>1774374304</v>
      </c>
      <c r="B16" t="s">
        <v>16</v>
      </c>
      <c r="C16" t="s">
        <v>17</v>
      </c>
      <c r="D16">
        <v>4388.6400000000003</v>
      </c>
      <c r="E16" t="s">
        <v>18</v>
      </c>
      <c r="F16">
        <v>4372.58</v>
      </c>
      <c r="G16">
        <v>4351.7</v>
      </c>
      <c r="H16">
        <v>4306.09</v>
      </c>
      <c r="I16">
        <f t="shared" si="38"/>
        <v>4360.47</v>
      </c>
      <c r="J16">
        <f t="shared" si="46"/>
        <v>4351.03</v>
      </c>
      <c r="K16">
        <f t="shared" si="54"/>
        <v>4098.6899999999996</v>
      </c>
      <c r="L16">
        <f t="shared" si="62"/>
        <v>4661.42</v>
      </c>
      <c r="M16">
        <f t="shared" ref="M16:M47" si="70">F2</f>
        <v>4502.7299999999996</v>
      </c>
      <c r="R16">
        <v>-60.93</v>
      </c>
      <c r="S16">
        <f t="shared" si="26"/>
        <v>-90.170000000000073</v>
      </c>
      <c r="T16">
        <f t="shared" si="27"/>
        <v>-141.94999999999982</v>
      </c>
      <c r="U16">
        <f t="shared" si="43"/>
        <v>-106.64999999999964</v>
      </c>
      <c r="V16">
        <f t="shared" si="51"/>
        <v>-161.88000000000011</v>
      </c>
      <c r="W16">
        <f t="shared" si="59"/>
        <v>-636.09000000000015</v>
      </c>
      <c r="X16">
        <f t="shared" si="67"/>
        <v>-74.710000000000036</v>
      </c>
      <c r="AD16">
        <v>-1.37</v>
      </c>
      <c r="AE16" s="14">
        <f t="shared" si="28"/>
        <v>-2.0300008780085883</v>
      </c>
      <c r="AF16" s="14">
        <f t="shared" si="29"/>
        <v>-3.1912932437657893</v>
      </c>
      <c r="AG16" s="14">
        <f t="shared" si="44"/>
        <v>-2.3874442593885914</v>
      </c>
      <c r="AH16" s="14">
        <f t="shared" si="52"/>
        <v>-3.5870425069412</v>
      </c>
      <c r="AI16" s="14">
        <f t="shared" si="60"/>
        <v>-13.434415115380233</v>
      </c>
      <c r="AJ16" s="14">
        <f t="shared" si="68"/>
        <v>-1.5774482541653214</v>
      </c>
      <c r="AK16" s="14"/>
      <c r="AL16" s="14"/>
      <c r="AM16" s="14"/>
      <c r="AN16" s="14"/>
      <c r="AO16" s="14"/>
      <c r="AP16">
        <v>3</v>
      </c>
      <c r="AQ16">
        <f t="shared" si="30"/>
        <v>3</v>
      </c>
      <c r="AR16">
        <f t="shared" si="34"/>
        <v>3</v>
      </c>
      <c r="AS16">
        <f t="shared" si="39"/>
        <v>3</v>
      </c>
      <c r="AT16">
        <f t="shared" si="47"/>
        <v>3</v>
      </c>
      <c r="AU16">
        <f t="shared" si="55"/>
        <v>5</v>
      </c>
      <c r="AV16">
        <f t="shared" si="63"/>
        <v>3</v>
      </c>
      <c r="AW16">
        <f t="shared" ref="AW16:AW47" si="71">AP2</f>
        <v>5</v>
      </c>
      <c r="BB16">
        <v>12</v>
      </c>
      <c r="BC16">
        <f t="shared" si="31"/>
        <v>12</v>
      </c>
      <c r="BD16">
        <f t="shared" si="35"/>
        <v>11</v>
      </c>
      <c r="BE16">
        <f t="shared" si="40"/>
        <v>9</v>
      </c>
      <c r="BF16">
        <f t="shared" si="48"/>
        <v>6</v>
      </c>
      <c r="BG16">
        <f t="shared" si="56"/>
        <v>88</v>
      </c>
      <c r="BH16">
        <f t="shared" si="64"/>
        <v>13</v>
      </c>
      <c r="BI16">
        <f t="shared" ref="BI16:BI47" si="72">BB2</f>
        <v>46</v>
      </c>
      <c r="BZ16" s="12">
        <f t="shared" si="0"/>
        <v>-5.0774999999999997</v>
      </c>
      <c r="CA16" s="12">
        <f t="shared" si="32"/>
        <v>-7.5141666666666724</v>
      </c>
      <c r="CB16" s="12">
        <f t="shared" si="36"/>
        <v>-12.904545454545438</v>
      </c>
      <c r="CC16" s="12">
        <f t="shared" si="45"/>
        <v>-11.849999999999959</v>
      </c>
      <c r="CD16" s="12">
        <f t="shared" si="53"/>
        <v>-26.980000000000018</v>
      </c>
      <c r="CE16" s="12">
        <f t="shared" si="61"/>
        <v>-7.2282954545454565</v>
      </c>
      <c r="CF16" s="12">
        <f t="shared" si="69"/>
        <v>-5.7469230769230801</v>
      </c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>
        <f t="shared" si="1"/>
        <v>-78.858344556570358</v>
      </c>
      <c r="CY16" s="12">
        <f t="shared" si="2"/>
        <v>-82.419508361922027</v>
      </c>
      <c r="CZ16" s="12">
        <f t="shared" si="3"/>
        <v>-85.568886660479492</v>
      </c>
      <c r="DA16" s="12">
        <f t="shared" si="4"/>
        <v>-85.176341802404806</v>
      </c>
      <c r="DB16" s="12">
        <f t="shared" si="5"/>
        <v>-87.877332693912436</v>
      </c>
      <c r="DC16" s="12">
        <f t="shared" si="6"/>
        <v>-82.123400948097768</v>
      </c>
      <c r="DD16" s="12">
        <f t="shared" si="7"/>
        <v>-80.129014742874119</v>
      </c>
      <c r="DE16" s="12" t="str">
        <f t="shared" si="8"/>
        <v/>
      </c>
      <c r="DF16" s="12" t="str">
        <f t="shared" si="9"/>
        <v/>
      </c>
      <c r="DG16" s="12" t="str">
        <f t="shared" si="10"/>
        <v/>
      </c>
      <c r="DH16" s="12" t="str">
        <f t="shared" si="11"/>
        <v/>
      </c>
      <c r="DI16" s="12" t="str">
        <f t="shared" si="12"/>
        <v/>
      </c>
      <c r="DJ16" t="s">
        <v>22</v>
      </c>
      <c r="DK16" t="str">
        <f t="shared" si="33"/>
        <v>HL</v>
      </c>
      <c r="DL16" t="str">
        <f t="shared" si="37"/>
        <v>LL</v>
      </c>
      <c r="DM16" t="str">
        <f t="shared" si="41"/>
        <v>HL</v>
      </c>
      <c r="DN16" t="str">
        <f t="shared" si="49"/>
        <v>HL</v>
      </c>
      <c r="DO16" t="str">
        <f t="shared" si="57"/>
        <v>LL</v>
      </c>
      <c r="DP16" t="str">
        <f t="shared" si="65"/>
        <v>HL</v>
      </c>
      <c r="DQ16" t="str">
        <f t="shared" ref="DQ16:DQ47" si="73">DJ2</f>
        <v>LL</v>
      </c>
      <c r="DV16">
        <f t="shared" si="13"/>
        <v>-0.47752128034250052</v>
      </c>
      <c r="DW16">
        <f t="shared" si="14"/>
        <v>-1.5206125445389171</v>
      </c>
      <c r="DX16">
        <f t="shared" si="42"/>
        <v>-0.2769531946813934</v>
      </c>
      <c r="DY16">
        <f t="shared" si="50"/>
        <v>-0.49284404173280266</v>
      </c>
      <c r="DZ16">
        <f t="shared" si="58"/>
        <v>-6.263807637596118</v>
      </c>
      <c r="EA16">
        <f t="shared" si="66"/>
        <v>6.6057110447378928</v>
      </c>
      <c r="EB16">
        <f t="shared" ref="EB16:EB47" si="74">IFERROR(((M16-$F16)/$F16)*100,0)</f>
        <v>2.9765035745486563</v>
      </c>
      <c r="EG16" s="13" t="str">
        <f t="shared" si="15"/>
        <v/>
      </c>
      <c r="EH16" s="13" t="str">
        <f t="shared" si="16"/>
        <v/>
      </c>
      <c r="EI16" s="13" t="str">
        <f t="shared" si="17"/>
        <v/>
      </c>
      <c r="EJ16" s="13" t="str">
        <f t="shared" si="18"/>
        <v/>
      </c>
      <c r="EK16" s="13" t="str">
        <f t="shared" si="19"/>
        <v/>
      </c>
      <c r="EL16" s="13" t="str">
        <f t="shared" si="20"/>
        <v/>
      </c>
      <c r="EM16" s="13" t="str">
        <f t="shared" si="21"/>
        <v/>
      </c>
      <c r="EN16" s="13" t="str">
        <f t="shared" si="22"/>
        <v/>
      </c>
      <c r="EO16" s="13" t="str">
        <f t="shared" si="23"/>
        <v/>
      </c>
      <c r="EP16" s="13" t="str">
        <f t="shared" si="24"/>
        <v/>
      </c>
      <c r="EQ16" s="13" t="str">
        <f t="shared" si="25"/>
        <v/>
      </c>
    </row>
    <row r="17" spans="1:147" ht="14.25" customHeight="1" x14ac:dyDescent="0.55000000000000004">
      <c r="A17">
        <v>1774406704</v>
      </c>
      <c r="B17" t="s">
        <v>16</v>
      </c>
      <c r="C17" t="s">
        <v>17</v>
      </c>
      <c r="D17">
        <v>4583.92</v>
      </c>
      <c r="E17" t="s">
        <v>20</v>
      </c>
      <c r="F17">
        <v>4602.3</v>
      </c>
      <c r="G17">
        <v>4433.51</v>
      </c>
      <c r="H17">
        <v>4441.87</v>
      </c>
      <c r="I17">
        <f t="shared" si="38"/>
        <v>4448.04</v>
      </c>
      <c r="J17">
        <f t="shared" si="46"/>
        <v>4467.12</v>
      </c>
      <c r="K17">
        <f t="shared" si="54"/>
        <v>4512.91</v>
      </c>
      <c r="L17">
        <f t="shared" si="62"/>
        <v>4734.78</v>
      </c>
      <c r="M17">
        <f t="shared" si="70"/>
        <v>4736.13</v>
      </c>
      <c r="R17">
        <v>229.72</v>
      </c>
      <c r="S17">
        <f t="shared" si="26"/>
        <v>81.8100000000004</v>
      </c>
      <c r="T17">
        <f t="shared" si="27"/>
        <v>135.77999999999975</v>
      </c>
      <c r="U17">
        <f t="shared" si="43"/>
        <v>87.569999999999709</v>
      </c>
      <c r="V17">
        <f t="shared" si="51"/>
        <v>116.09000000000015</v>
      </c>
      <c r="W17">
        <f t="shared" si="59"/>
        <v>414.22000000000025</v>
      </c>
      <c r="X17">
        <f t="shared" si="67"/>
        <v>73.359999999999673</v>
      </c>
      <c r="Y17">
        <f t="shared" ref="Y17:Y48" si="75">M17-M16</f>
        <v>233.40000000000055</v>
      </c>
      <c r="AD17">
        <v>5.25</v>
      </c>
      <c r="AE17" s="14">
        <f t="shared" si="28"/>
        <v>1.879954960130533</v>
      </c>
      <c r="AF17" s="14">
        <f t="shared" si="29"/>
        <v>3.1532085952685556</v>
      </c>
      <c r="AG17" s="14">
        <f t="shared" si="44"/>
        <v>2.0082697507378722</v>
      </c>
      <c r="AH17" s="14">
        <f t="shared" si="52"/>
        <v>2.6681038742550651</v>
      </c>
      <c r="AI17" s="14">
        <f t="shared" si="60"/>
        <v>10.10615586931435</v>
      </c>
      <c r="AJ17" s="14">
        <f t="shared" si="68"/>
        <v>1.5737693664162351</v>
      </c>
      <c r="AK17" s="14">
        <f t="shared" ref="AK17:AK48" si="76">(Y17/M16)*100</f>
        <v>5.1835219966553749</v>
      </c>
      <c r="AL17" s="14"/>
      <c r="AM17" s="14"/>
      <c r="AN17" s="14"/>
      <c r="AO17" s="14"/>
      <c r="AP17">
        <v>0</v>
      </c>
      <c r="AQ17">
        <f t="shared" si="30"/>
        <v>0</v>
      </c>
      <c r="AR17">
        <f t="shared" si="34"/>
        <v>0</v>
      </c>
      <c r="AS17">
        <f t="shared" si="39"/>
        <v>0</v>
      </c>
      <c r="AT17">
        <f t="shared" si="47"/>
        <v>0</v>
      </c>
      <c r="AU17">
        <f t="shared" si="55"/>
        <v>2</v>
      </c>
      <c r="AV17">
        <f t="shared" si="63"/>
        <v>0</v>
      </c>
      <c r="AW17">
        <f t="shared" si="71"/>
        <v>2</v>
      </c>
      <c r="BB17">
        <v>32</v>
      </c>
      <c r="BC17">
        <f t="shared" si="31"/>
        <v>4</v>
      </c>
      <c r="BD17">
        <f t="shared" si="35"/>
        <v>35</v>
      </c>
      <c r="BE17">
        <f t="shared" si="40"/>
        <v>5</v>
      </c>
      <c r="BF17">
        <f t="shared" si="48"/>
        <v>12</v>
      </c>
      <c r="BG17">
        <f t="shared" si="56"/>
        <v>28</v>
      </c>
      <c r="BH17">
        <f t="shared" si="64"/>
        <v>7</v>
      </c>
      <c r="BI17">
        <f t="shared" si="72"/>
        <v>53</v>
      </c>
      <c r="BZ17" s="12">
        <f t="shared" si="0"/>
        <v>7.17875</v>
      </c>
      <c r="CA17" s="12">
        <f t="shared" si="32"/>
        <v>20.4525000000001</v>
      </c>
      <c r="CB17" s="12">
        <f t="shared" si="36"/>
        <v>3.8794285714285643</v>
      </c>
      <c r="CC17" s="12">
        <f t="shared" si="45"/>
        <v>17.513999999999943</v>
      </c>
      <c r="CD17" s="12">
        <f t="shared" si="53"/>
        <v>9.6741666666666788</v>
      </c>
      <c r="CE17" s="12">
        <f t="shared" si="61"/>
        <v>14.793571428571438</v>
      </c>
      <c r="CF17" s="12">
        <f t="shared" si="69"/>
        <v>10.479999999999952</v>
      </c>
      <c r="CG17" s="12">
        <f t="shared" ref="CG17:CG48" si="77">IFERROR(Y17/BI17,0)</f>
        <v>4.4037735849056707</v>
      </c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>
        <f t="shared" si="1"/>
        <v>82.069728460921937</v>
      </c>
      <c r="CY17" s="12">
        <f t="shared" si="2"/>
        <v>87.200822013750766</v>
      </c>
      <c r="CZ17" s="12">
        <f t="shared" si="3"/>
        <v>75.545532123161792</v>
      </c>
      <c r="DA17" s="12">
        <f t="shared" si="4"/>
        <v>86.732120707566949</v>
      </c>
      <c r="DB17" s="12">
        <f t="shared" si="5"/>
        <v>84.098405355097839</v>
      </c>
      <c r="DC17" s="12">
        <f t="shared" si="6"/>
        <v>86.132864183076094</v>
      </c>
      <c r="DD17" s="12">
        <f t="shared" si="7"/>
        <v>84.549348124092901</v>
      </c>
      <c r="DE17" s="12">
        <f t="shared" si="8"/>
        <v>77.206344657121164</v>
      </c>
      <c r="DF17" s="12" t="str">
        <f t="shared" si="9"/>
        <v/>
      </c>
      <c r="DG17" s="12" t="str">
        <f t="shared" si="10"/>
        <v/>
      </c>
      <c r="DH17" s="12" t="str">
        <f t="shared" si="11"/>
        <v/>
      </c>
      <c r="DI17" s="12" t="str">
        <f t="shared" si="12"/>
        <v/>
      </c>
      <c r="DJ17" t="s">
        <v>23</v>
      </c>
      <c r="DK17" t="str">
        <f t="shared" si="33"/>
        <v>LH</v>
      </c>
      <c r="DL17" t="str">
        <f t="shared" si="37"/>
        <v>LH</v>
      </c>
      <c r="DM17" t="str">
        <f t="shared" si="41"/>
        <v>LH</v>
      </c>
      <c r="DN17" t="str">
        <f t="shared" si="49"/>
        <v>LH</v>
      </c>
      <c r="DO17" t="str">
        <f t="shared" si="57"/>
        <v>LH</v>
      </c>
      <c r="DP17" t="str">
        <f t="shared" si="65"/>
        <v>LH</v>
      </c>
      <c r="DQ17" t="str">
        <f t="shared" si="73"/>
        <v>LH</v>
      </c>
      <c r="DV17">
        <f t="shared" si="13"/>
        <v>-3.6675140690524293</v>
      </c>
      <c r="DW17">
        <f t="shared" si="14"/>
        <v>-3.485865762770795</v>
      </c>
      <c r="DX17">
        <f t="shared" si="42"/>
        <v>-3.3518023596897248</v>
      </c>
      <c r="DY17">
        <f t="shared" si="50"/>
        <v>-2.937227038654592</v>
      </c>
      <c r="DZ17">
        <f t="shared" si="58"/>
        <v>-1.942289724702873</v>
      </c>
      <c r="EA17">
        <f t="shared" si="66"/>
        <v>2.8785607196401704</v>
      </c>
      <c r="EB17">
        <f t="shared" si="74"/>
        <v>2.9078938791473812</v>
      </c>
      <c r="EG17" s="13" t="str">
        <f t="shared" si="15"/>
        <v/>
      </c>
      <c r="EH17" s="13" t="str">
        <f t="shared" si="16"/>
        <v/>
      </c>
      <c r="EI17" s="13" t="str">
        <f t="shared" si="17"/>
        <v/>
      </c>
      <c r="EJ17" s="13" t="str">
        <f t="shared" si="18"/>
        <v/>
      </c>
      <c r="EK17" s="13" t="str">
        <f t="shared" si="19"/>
        <v/>
      </c>
      <c r="EL17" s="13" t="str">
        <f t="shared" si="20"/>
        <v/>
      </c>
      <c r="EM17" s="13" t="str">
        <f t="shared" si="21"/>
        <v/>
      </c>
      <c r="EN17" s="13" t="str">
        <f t="shared" si="22"/>
        <v/>
      </c>
      <c r="EO17" s="13" t="str">
        <f t="shared" si="23"/>
        <v/>
      </c>
      <c r="EP17" s="13" t="str">
        <f t="shared" si="24"/>
        <v/>
      </c>
      <c r="EQ17" s="13" t="str">
        <f t="shared" si="25"/>
        <v/>
      </c>
    </row>
    <row r="18" spans="1:147" ht="14.25" customHeight="1" x14ac:dyDescent="0.55000000000000004">
      <c r="A18">
        <v>1774418404</v>
      </c>
      <c r="B18" t="s">
        <v>16</v>
      </c>
      <c r="C18" t="s">
        <v>17</v>
      </c>
      <c r="D18">
        <v>4534.37</v>
      </c>
      <c r="E18" t="s">
        <v>18</v>
      </c>
      <c r="F18">
        <v>4532.82</v>
      </c>
      <c r="G18">
        <v>4372.58</v>
      </c>
      <c r="H18">
        <v>4351.7</v>
      </c>
      <c r="I18">
        <f t="shared" si="38"/>
        <v>4306.09</v>
      </c>
      <c r="J18">
        <f t="shared" si="46"/>
        <v>4360.47</v>
      </c>
      <c r="K18">
        <f t="shared" si="54"/>
        <v>4351.03</v>
      </c>
      <c r="L18">
        <f t="shared" si="62"/>
        <v>4098.6899999999996</v>
      </c>
      <c r="M18">
        <f t="shared" si="70"/>
        <v>4661.42</v>
      </c>
      <c r="N18">
        <f t="shared" ref="N18:N49" si="78">F2</f>
        <v>4502.7299999999996</v>
      </c>
      <c r="R18">
        <v>-69.48</v>
      </c>
      <c r="S18">
        <f t="shared" si="26"/>
        <v>-60.930000000000291</v>
      </c>
      <c r="T18">
        <f t="shared" si="27"/>
        <v>-90.170000000000073</v>
      </c>
      <c r="U18">
        <f t="shared" si="43"/>
        <v>-141.94999999999982</v>
      </c>
      <c r="V18">
        <f t="shared" si="51"/>
        <v>-106.64999999999964</v>
      </c>
      <c r="W18">
        <f t="shared" si="59"/>
        <v>-161.88000000000011</v>
      </c>
      <c r="X18">
        <f t="shared" si="67"/>
        <v>-636.09000000000015</v>
      </c>
      <c r="Y18">
        <f t="shared" si="75"/>
        <v>-74.710000000000036</v>
      </c>
      <c r="AD18">
        <v>-1.51</v>
      </c>
      <c r="AE18" s="14">
        <f t="shared" si="28"/>
        <v>-1.3743061366727556</v>
      </c>
      <c r="AF18" s="14">
        <f t="shared" si="29"/>
        <v>-2.0300008780085883</v>
      </c>
      <c r="AG18" s="14">
        <f t="shared" si="44"/>
        <v>-3.1912932437657893</v>
      </c>
      <c r="AH18" s="14">
        <f t="shared" si="52"/>
        <v>-2.3874442593885914</v>
      </c>
      <c r="AI18" s="14">
        <f t="shared" si="60"/>
        <v>-3.5870425069412</v>
      </c>
      <c r="AJ18" s="14">
        <f t="shared" si="68"/>
        <v>-13.434415115380233</v>
      </c>
      <c r="AK18" s="14">
        <f t="shared" si="76"/>
        <v>-1.5774482541653214</v>
      </c>
      <c r="AL18" s="14"/>
      <c r="AM18" s="14"/>
      <c r="AN18" s="14"/>
      <c r="AO18" s="14"/>
      <c r="AP18">
        <v>3</v>
      </c>
      <c r="AQ18">
        <f t="shared" si="30"/>
        <v>3</v>
      </c>
      <c r="AR18">
        <f t="shared" si="34"/>
        <v>3</v>
      </c>
      <c r="AS18">
        <f t="shared" si="39"/>
        <v>3</v>
      </c>
      <c r="AT18">
        <f t="shared" si="47"/>
        <v>3</v>
      </c>
      <c r="AU18">
        <f t="shared" si="55"/>
        <v>3</v>
      </c>
      <c r="AV18">
        <f t="shared" si="63"/>
        <v>5</v>
      </c>
      <c r="AW18">
        <f t="shared" si="71"/>
        <v>3</v>
      </c>
      <c r="AX18">
        <f t="shared" ref="AX18:AX49" si="79">AP2</f>
        <v>5</v>
      </c>
      <c r="BB18">
        <v>13</v>
      </c>
      <c r="BC18">
        <f t="shared" si="31"/>
        <v>12</v>
      </c>
      <c r="BD18">
        <f t="shared" si="35"/>
        <v>12</v>
      </c>
      <c r="BE18">
        <f t="shared" si="40"/>
        <v>11</v>
      </c>
      <c r="BF18">
        <f t="shared" si="48"/>
        <v>9</v>
      </c>
      <c r="BG18">
        <f t="shared" si="56"/>
        <v>6</v>
      </c>
      <c r="BH18">
        <f t="shared" si="64"/>
        <v>88</v>
      </c>
      <c r="BI18">
        <f t="shared" si="72"/>
        <v>13</v>
      </c>
      <c r="BJ18">
        <f t="shared" ref="BJ18:BJ49" si="80">BB2</f>
        <v>46</v>
      </c>
      <c r="BZ18" s="12">
        <f t="shared" si="0"/>
        <v>-5.344615384615385</v>
      </c>
      <c r="CA18" s="12">
        <f t="shared" si="32"/>
        <v>-5.0775000000000245</v>
      </c>
      <c r="CB18" s="12">
        <f t="shared" si="36"/>
        <v>-7.5141666666666724</v>
      </c>
      <c r="CC18" s="12">
        <f t="shared" si="45"/>
        <v>-12.904545454545438</v>
      </c>
      <c r="CD18" s="12">
        <f t="shared" si="53"/>
        <v>-11.849999999999959</v>
      </c>
      <c r="CE18" s="12">
        <f t="shared" si="61"/>
        <v>-26.980000000000018</v>
      </c>
      <c r="CF18" s="12">
        <f t="shared" si="69"/>
        <v>-7.2282954545454565</v>
      </c>
      <c r="CG18" s="12">
        <f t="shared" si="77"/>
        <v>-5.7469230769230801</v>
      </c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>
        <f t="shared" si="1"/>
        <v>-79.402253631410005</v>
      </c>
      <c r="CY18" s="12">
        <f t="shared" si="2"/>
        <v>-78.858344556570415</v>
      </c>
      <c r="CZ18" s="12">
        <f t="shared" si="3"/>
        <v>-82.419508361922027</v>
      </c>
      <c r="DA18" s="12">
        <f t="shared" si="4"/>
        <v>-85.568886660479492</v>
      </c>
      <c r="DB18" s="12">
        <f t="shared" si="5"/>
        <v>-85.176341802404806</v>
      </c>
      <c r="DC18" s="12">
        <f t="shared" si="6"/>
        <v>-87.877332693912436</v>
      </c>
      <c r="DD18" s="12">
        <f t="shared" si="7"/>
        <v>-82.123400948097768</v>
      </c>
      <c r="DE18" s="12">
        <f t="shared" si="8"/>
        <v>-80.129014742874119</v>
      </c>
      <c r="DF18" s="12" t="str">
        <f t="shared" si="9"/>
        <v/>
      </c>
      <c r="DG18" s="12" t="str">
        <f t="shared" si="10"/>
        <v/>
      </c>
      <c r="DH18" s="12" t="str">
        <f t="shared" si="11"/>
        <v/>
      </c>
      <c r="DI18" s="12" t="str">
        <f t="shared" si="12"/>
        <v/>
      </c>
      <c r="DJ18" t="s">
        <v>22</v>
      </c>
      <c r="DK18" t="str">
        <f t="shared" si="33"/>
        <v>HL</v>
      </c>
      <c r="DL18" t="str">
        <f t="shared" si="37"/>
        <v>HL</v>
      </c>
      <c r="DM18" t="str">
        <f t="shared" si="41"/>
        <v>LL</v>
      </c>
      <c r="DN18" t="str">
        <f t="shared" si="49"/>
        <v>HL</v>
      </c>
      <c r="DO18" t="str">
        <f t="shared" si="57"/>
        <v>HL</v>
      </c>
      <c r="DP18" t="str">
        <f t="shared" si="65"/>
        <v>LL</v>
      </c>
      <c r="DQ18" t="str">
        <f t="shared" si="73"/>
        <v>HL</v>
      </c>
      <c r="DR18" t="str">
        <f t="shared" ref="DR18:DR49" si="81">DJ2</f>
        <v>LL</v>
      </c>
      <c r="DV18">
        <f t="shared" si="13"/>
        <v>-3.5351061811410958</v>
      </c>
      <c r="DW18">
        <f t="shared" si="14"/>
        <v>-3.9957465771859444</v>
      </c>
      <c r="DX18">
        <f t="shared" si="42"/>
        <v>-5.0019634576268102</v>
      </c>
      <c r="DY18">
        <f t="shared" si="50"/>
        <v>-3.802268786318439</v>
      </c>
      <c r="DZ18">
        <f t="shared" si="58"/>
        <v>-4.0105276626912154</v>
      </c>
      <c r="EA18">
        <f t="shared" si="66"/>
        <v>-9.5774815677657656</v>
      </c>
      <c r="EB18">
        <f t="shared" si="74"/>
        <v>2.837085964145948</v>
      </c>
      <c r="EC18">
        <f t="shared" ref="EC18:EC49" si="82">IFERROR(((N18-$F18)/$F18)*100,0)</f>
        <v>-0.66382516843819406</v>
      </c>
      <c r="EG18" s="13" t="str">
        <f t="shared" si="15"/>
        <v/>
      </c>
      <c r="EH18" s="13" t="str">
        <f t="shared" si="16"/>
        <v/>
      </c>
      <c r="EI18" s="13" t="str">
        <f t="shared" si="17"/>
        <v/>
      </c>
      <c r="EJ18" s="13" t="str">
        <f t="shared" si="18"/>
        <v/>
      </c>
      <c r="EK18" s="13" t="str">
        <f t="shared" si="19"/>
        <v/>
      </c>
      <c r="EL18" s="13" t="str">
        <f t="shared" si="20"/>
        <v/>
      </c>
      <c r="EM18" s="13" t="str">
        <f t="shared" si="21"/>
        <v/>
      </c>
      <c r="EN18" s="13" t="str">
        <f t="shared" si="22"/>
        <v/>
      </c>
      <c r="EO18" s="13" t="str">
        <f t="shared" si="23"/>
        <v/>
      </c>
      <c r="EP18" s="13" t="str">
        <f t="shared" si="24"/>
        <v/>
      </c>
      <c r="EQ18" s="13" t="str">
        <f t="shared" si="25"/>
        <v/>
      </c>
    </row>
    <row r="19" spans="1:147" ht="14.25" customHeight="1" x14ac:dyDescent="0.55000000000000004">
      <c r="A19">
        <v>1774429204</v>
      </c>
      <c r="B19" t="s">
        <v>16</v>
      </c>
      <c r="C19" t="s">
        <v>17</v>
      </c>
      <c r="D19">
        <v>4562.2299999999996</v>
      </c>
      <c r="E19" t="s">
        <v>20</v>
      </c>
      <c r="F19">
        <v>4567.7299999999996</v>
      </c>
      <c r="G19">
        <v>4602.3</v>
      </c>
      <c r="H19">
        <v>4433.51</v>
      </c>
      <c r="I19">
        <f t="shared" si="38"/>
        <v>4441.87</v>
      </c>
      <c r="J19">
        <f t="shared" si="46"/>
        <v>4448.04</v>
      </c>
      <c r="K19">
        <f t="shared" si="54"/>
        <v>4467.12</v>
      </c>
      <c r="L19">
        <f t="shared" si="62"/>
        <v>4512.91</v>
      </c>
      <c r="M19">
        <f t="shared" si="70"/>
        <v>4734.78</v>
      </c>
      <c r="N19">
        <f t="shared" si="78"/>
        <v>4736.13</v>
      </c>
      <c r="R19">
        <v>34.909999999999997</v>
      </c>
      <c r="S19">
        <f t="shared" si="26"/>
        <v>229.72000000000025</v>
      </c>
      <c r="T19">
        <f t="shared" si="27"/>
        <v>81.8100000000004</v>
      </c>
      <c r="U19">
        <f t="shared" si="43"/>
        <v>135.77999999999975</v>
      </c>
      <c r="V19">
        <f t="shared" si="51"/>
        <v>87.569999999999709</v>
      </c>
      <c r="W19">
        <f t="shared" si="59"/>
        <v>116.09000000000015</v>
      </c>
      <c r="X19">
        <f t="shared" si="67"/>
        <v>414.22000000000025</v>
      </c>
      <c r="Y19">
        <f t="shared" si="75"/>
        <v>73.359999999999673</v>
      </c>
      <c r="Z19">
        <f t="shared" ref="Z19:Z50" si="83">N19-N18</f>
        <v>233.40000000000055</v>
      </c>
      <c r="AD19">
        <v>0.77</v>
      </c>
      <c r="AE19" s="14">
        <f t="shared" si="28"/>
        <v>5.2536488754922779</v>
      </c>
      <c r="AF19" s="14">
        <f t="shared" si="29"/>
        <v>1.879954960130533</v>
      </c>
      <c r="AG19" s="14">
        <f t="shared" si="44"/>
        <v>3.1532085952685556</v>
      </c>
      <c r="AH19" s="14">
        <f t="shared" si="52"/>
        <v>2.0082697507378722</v>
      </c>
      <c r="AI19" s="14">
        <f t="shared" si="60"/>
        <v>2.6681038742550651</v>
      </c>
      <c r="AJ19" s="14">
        <f t="shared" si="68"/>
        <v>10.10615586931435</v>
      </c>
      <c r="AK19" s="14">
        <f t="shared" si="76"/>
        <v>1.5737693664162351</v>
      </c>
      <c r="AL19" s="14">
        <f t="shared" ref="AL19:AL50" si="84">(Z19/N18)*100</f>
        <v>5.1835219966553749</v>
      </c>
      <c r="AM19" s="14"/>
      <c r="AN19" s="14"/>
      <c r="AO19" s="14"/>
      <c r="AP19">
        <v>0</v>
      </c>
      <c r="AQ19">
        <f t="shared" si="30"/>
        <v>0</v>
      </c>
      <c r="AR19">
        <f t="shared" si="34"/>
        <v>0</v>
      </c>
      <c r="AS19">
        <f t="shared" si="39"/>
        <v>0</v>
      </c>
      <c r="AT19">
        <f t="shared" si="47"/>
        <v>0</v>
      </c>
      <c r="AU19">
        <f t="shared" si="55"/>
        <v>0</v>
      </c>
      <c r="AV19">
        <f t="shared" si="63"/>
        <v>2</v>
      </c>
      <c r="AW19">
        <f t="shared" si="71"/>
        <v>0</v>
      </c>
      <c r="AX19">
        <f t="shared" si="79"/>
        <v>2</v>
      </c>
      <c r="BB19">
        <v>12</v>
      </c>
      <c r="BC19">
        <f t="shared" si="31"/>
        <v>32</v>
      </c>
      <c r="BD19">
        <f t="shared" si="35"/>
        <v>4</v>
      </c>
      <c r="BE19">
        <f t="shared" si="40"/>
        <v>35</v>
      </c>
      <c r="BF19">
        <f t="shared" si="48"/>
        <v>5</v>
      </c>
      <c r="BG19">
        <f t="shared" si="56"/>
        <v>12</v>
      </c>
      <c r="BH19">
        <f t="shared" si="64"/>
        <v>28</v>
      </c>
      <c r="BI19">
        <f t="shared" si="72"/>
        <v>7</v>
      </c>
      <c r="BJ19">
        <f t="shared" si="80"/>
        <v>53</v>
      </c>
      <c r="BZ19" s="12">
        <f t="shared" si="0"/>
        <v>2.9091666666666662</v>
      </c>
      <c r="CA19" s="12">
        <f t="shared" si="32"/>
        <v>7.178750000000008</v>
      </c>
      <c r="CB19" s="12">
        <f t="shared" si="36"/>
        <v>20.4525000000001</v>
      </c>
      <c r="CC19" s="12">
        <f t="shared" si="45"/>
        <v>3.8794285714285643</v>
      </c>
      <c r="CD19" s="12">
        <f t="shared" si="53"/>
        <v>17.513999999999943</v>
      </c>
      <c r="CE19" s="12">
        <f t="shared" si="61"/>
        <v>9.6741666666666788</v>
      </c>
      <c r="CF19" s="12">
        <f t="shared" si="69"/>
        <v>14.793571428571438</v>
      </c>
      <c r="CG19" s="12">
        <f t="shared" si="77"/>
        <v>10.479999999999952</v>
      </c>
      <c r="CH19" s="12">
        <f t="shared" ref="CH19:CH50" si="85">IFERROR(Z19/BJ19,0)</f>
        <v>4.4037735849056707</v>
      </c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>
        <f t="shared" si="1"/>
        <v>71.030050880666721</v>
      </c>
      <c r="CY19" s="12">
        <f t="shared" si="2"/>
        <v>82.069728460921951</v>
      </c>
      <c r="CZ19" s="12">
        <f t="shared" si="3"/>
        <v>87.200822013750766</v>
      </c>
      <c r="DA19" s="12">
        <f t="shared" si="4"/>
        <v>75.545532123161792</v>
      </c>
      <c r="DB19" s="12">
        <f t="shared" si="5"/>
        <v>86.732120707566949</v>
      </c>
      <c r="DC19" s="12">
        <f t="shared" si="6"/>
        <v>84.098405355097839</v>
      </c>
      <c r="DD19" s="12">
        <f t="shared" si="7"/>
        <v>86.132864183076094</v>
      </c>
      <c r="DE19" s="12">
        <f t="shared" si="8"/>
        <v>84.549348124092901</v>
      </c>
      <c r="DF19" s="12">
        <f t="shared" si="9"/>
        <v>77.206344657121164</v>
      </c>
      <c r="DG19" s="12" t="str">
        <f t="shared" si="10"/>
        <v/>
      </c>
      <c r="DH19" s="12" t="str">
        <f t="shared" si="11"/>
        <v/>
      </c>
      <c r="DI19" s="12" t="str">
        <f t="shared" si="12"/>
        <v/>
      </c>
      <c r="DJ19" t="s">
        <v>21</v>
      </c>
      <c r="DK19" t="str">
        <f t="shared" si="33"/>
        <v>HH</v>
      </c>
      <c r="DL19" t="str">
        <f t="shared" si="37"/>
        <v>LH</v>
      </c>
      <c r="DM19" t="str">
        <f t="shared" si="41"/>
        <v>LH</v>
      </c>
      <c r="DN19" t="str">
        <f t="shared" si="49"/>
        <v>LH</v>
      </c>
      <c r="DO19" t="str">
        <f t="shared" si="57"/>
        <v>LH</v>
      </c>
      <c r="DP19" t="str">
        <f t="shared" si="65"/>
        <v>LH</v>
      </c>
      <c r="DQ19" t="str">
        <f t="shared" si="73"/>
        <v>LH</v>
      </c>
      <c r="DR19" t="str">
        <f t="shared" si="81"/>
        <v>LH</v>
      </c>
      <c r="DV19">
        <f t="shared" si="13"/>
        <v>0.75683107364053093</v>
      </c>
      <c r="DW19">
        <f t="shared" si="14"/>
        <v>-2.9384398815166257</v>
      </c>
      <c r="DX19">
        <f t="shared" si="42"/>
        <v>-2.75541680440831</v>
      </c>
      <c r="DY19">
        <f t="shared" si="50"/>
        <v>-2.6203387678343426</v>
      </c>
      <c r="DZ19">
        <f t="shared" si="58"/>
        <v>-2.2026258119459707</v>
      </c>
      <c r="EA19">
        <f t="shared" si="66"/>
        <v>-1.2001585032390205</v>
      </c>
      <c r="EB19">
        <f t="shared" si="74"/>
        <v>3.6571776352805485</v>
      </c>
      <c r="EC19">
        <f t="shared" si="82"/>
        <v>3.6867327972537902</v>
      </c>
      <c r="EG19" s="13" t="str">
        <f t="shared" si="15"/>
        <v/>
      </c>
      <c r="EH19" s="13" t="str">
        <f t="shared" si="16"/>
        <v/>
      </c>
      <c r="EI19" s="13" t="str">
        <f t="shared" si="17"/>
        <v/>
      </c>
      <c r="EJ19" s="13" t="str">
        <f t="shared" si="18"/>
        <v/>
      </c>
      <c r="EK19" s="13" t="str">
        <f t="shared" si="19"/>
        <v/>
      </c>
      <c r="EL19" s="13" t="str">
        <f t="shared" si="20"/>
        <v/>
      </c>
      <c r="EM19" s="13" t="str">
        <f t="shared" si="21"/>
        <v/>
      </c>
      <c r="EN19" s="13" t="str">
        <f t="shared" si="22"/>
        <v/>
      </c>
      <c r="EO19" s="13" t="str">
        <f t="shared" si="23"/>
        <v/>
      </c>
      <c r="EP19" s="13" t="str">
        <f t="shared" si="24"/>
        <v/>
      </c>
      <c r="EQ19" s="13" t="str">
        <f t="shared" si="25"/>
        <v/>
      </c>
    </row>
    <row r="20" spans="1:147" ht="14.25" customHeight="1" x14ac:dyDescent="0.55000000000000004">
      <c r="A20">
        <v>1774431904</v>
      </c>
      <c r="B20" t="s">
        <v>16</v>
      </c>
      <c r="C20" t="s">
        <v>17</v>
      </c>
      <c r="D20">
        <v>4551.67</v>
      </c>
      <c r="E20" t="s">
        <v>18</v>
      </c>
      <c r="F20">
        <v>4527.99</v>
      </c>
      <c r="G20">
        <v>4532.82</v>
      </c>
      <c r="H20">
        <v>4372.58</v>
      </c>
      <c r="I20">
        <f t="shared" si="38"/>
        <v>4351.7</v>
      </c>
      <c r="J20">
        <f t="shared" si="46"/>
        <v>4306.09</v>
      </c>
      <c r="K20">
        <f t="shared" si="54"/>
        <v>4360.47</v>
      </c>
      <c r="L20">
        <f t="shared" si="62"/>
        <v>4351.03</v>
      </c>
      <c r="M20">
        <f t="shared" si="70"/>
        <v>4098.6899999999996</v>
      </c>
      <c r="N20">
        <f t="shared" si="78"/>
        <v>4661.42</v>
      </c>
      <c r="O20">
        <f t="shared" ref="O20:O51" si="86">F2</f>
        <v>4502.7299999999996</v>
      </c>
      <c r="R20">
        <v>-39.74</v>
      </c>
      <c r="S20">
        <f t="shared" si="26"/>
        <v>-69.480000000000473</v>
      </c>
      <c r="T20">
        <f t="shared" si="27"/>
        <v>-60.930000000000291</v>
      </c>
      <c r="U20">
        <f t="shared" si="43"/>
        <v>-90.170000000000073</v>
      </c>
      <c r="V20">
        <f t="shared" si="51"/>
        <v>-141.94999999999982</v>
      </c>
      <c r="W20">
        <f t="shared" si="59"/>
        <v>-106.64999999999964</v>
      </c>
      <c r="X20">
        <f t="shared" si="67"/>
        <v>-161.88000000000011</v>
      </c>
      <c r="Y20">
        <f t="shared" si="75"/>
        <v>-636.09000000000015</v>
      </c>
      <c r="Z20">
        <f t="shared" si="83"/>
        <v>-74.710000000000036</v>
      </c>
      <c r="AD20">
        <v>-0.87</v>
      </c>
      <c r="AE20" s="14">
        <f t="shared" si="28"/>
        <v>-1.509679942637387</v>
      </c>
      <c r="AF20" s="14">
        <f t="shared" si="29"/>
        <v>-1.3743061366727556</v>
      </c>
      <c r="AG20" s="14">
        <f t="shared" si="44"/>
        <v>-2.0300008780085883</v>
      </c>
      <c r="AH20" s="14">
        <f t="shared" si="52"/>
        <v>-3.1912932437657893</v>
      </c>
      <c r="AI20" s="14">
        <f t="shared" si="60"/>
        <v>-2.3874442593885914</v>
      </c>
      <c r="AJ20" s="14">
        <f t="shared" si="68"/>
        <v>-3.5870425069412</v>
      </c>
      <c r="AK20" s="14">
        <f t="shared" si="76"/>
        <v>-13.434415115380233</v>
      </c>
      <c r="AL20" s="14">
        <f t="shared" si="84"/>
        <v>-1.5774482541653214</v>
      </c>
      <c r="AM20" s="14"/>
      <c r="AN20" s="14"/>
      <c r="AO20" s="14"/>
      <c r="AP20">
        <v>3</v>
      </c>
      <c r="AQ20">
        <f t="shared" si="30"/>
        <v>3</v>
      </c>
      <c r="AR20">
        <f t="shared" si="34"/>
        <v>3</v>
      </c>
      <c r="AS20">
        <f t="shared" si="39"/>
        <v>3</v>
      </c>
      <c r="AT20">
        <f t="shared" si="47"/>
        <v>3</v>
      </c>
      <c r="AU20">
        <f t="shared" si="55"/>
        <v>3</v>
      </c>
      <c r="AV20">
        <f t="shared" si="63"/>
        <v>3</v>
      </c>
      <c r="AW20">
        <f t="shared" si="71"/>
        <v>5</v>
      </c>
      <c r="AX20">
        <f t="shared" si="79"/>
        <v>3</v>
      </c>
      <c r="AY20">
        <f t="shared" ref="AY20:AY51" si="87">AP2</f>
        <v>5</v>
      </c>
      <c r="BB20">
        <v>3</v>
      </c>
      <c r="BC20">
        <f t="shared" si="31"/>
        <v>13</v>
      </c>
      <c r="BD20">
        <f t="shared" si="35"/>
        <v>12</v>
      </c>
      <c r="BE20">
        <f t="shared" si="40"/>
        <v>12</v>
      </c>
      <c r="BF20">
        <f t="shared" si="48"/>
        <v>11</v>
      </c>
      <c r="BG20">
        <f t="shared" si="56"/>
        <v>9</v>
      </c>
      <c r="BH20">
        <f t="shared" si="64"/>
        <v>6</v>
      </c>
      <c r="BI20">
        <f t="shared" si="72"/>
        <v>88</v>
      </c>
      <c r="BJ20">
        <f t="shared" si="80"/>
        <v>13</v>
      </c>
      <c r="BK20">
        <f t="shared" ref="BK20:BK51" si="88">BB2</f>
        <v>46</v>
      </c>
      <c r="BZ20" s="12">
        <f t="shared" si="0"/>
        <v>-13.246666666666668</v>
      </c>
      <c r="CA20" s="12">
        <f t="shared" si="32"/>
        <v>-5.3446153846154214</v>
      </c>
      <c r="CB20" s="12">
        <f t="shared" si="36"/>
        <v>-5.0775000000000245</v>
      </c>
      <c r="CC20" s="12">
        <f t="shared" si="45"/>
        <v>-7.5141666666666724</v>
      </c>
      <c r="CD20" s="12">
        <f t="shared" si="53"/>
        <v>-12.904545454545438</v>
      </c>
      <c r="CE20" s="12">
        <f t="shared" si="61"/>
        <v>-11.849999999999959</v>
      </c>
      <c r="CF20" s="12">
        <f t="shared" si="69"/>
        <v>-26.980000000000018</v>
      </c>
      <c r="CG20" s="12">
        <f t="shared" si="77"/>
        <v>-7.2282954545454565</v>
      </c>
      <c r="CH20" s="12">
        <f t="shared" si="85"/>
        <v>-5.7469230769230801</v>
      </c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>
        <f t="shared" si="1"/>
        <v>-85.682890519251998</v>
      </c>
      <c r="CY20" s="12">
        <f t="shared" si="2"/>
        <v>-79.402253631410062</v>
      </c>
      <c r="CZ20" s="12">
        <f t="shared" si="3"/>
        <v>-78.858344556570415</v>
      </c>
      <c r="DA20" s="12">
        <f t="shared" si="4"/>
        <v>-82.419508361922027</v>
      </c>
      <c r="DB20" s="12">
        <f t="shared" si="5"/>
        <v>-85.568886660479492</v>
      </c>
      <c r="DC20" s="12">
        <f t="shared" si="6"/>
        <v>-85.176341802404806</v>
      </c>
      <c r="DD20" s="12">
        <f t="shared" si="7"/>
        <v>-87.877332693912436</v>
      </c>
      <c r="DE20" s="12">
        <f t="shared" si="8"/>
        <v>-82.123400948097768</v>
      </c>
      <c r="DF20" s="12">
        <f t="shared" si="9"/>
        <v>-80.129014742874119</v>
      </c>
      <c r="DG20" s="12" t="str">
        <f t="shared" si="10"/>
        <v/>
      </c>
      <c r="DH20" s="12" t="str">
        <f t="shared" si="11"/>
        <v/>
      </c>
      <c r="DI20" s="12" t="str">
        <f t="shared" si="12"/>
        <v/>
      </c>
      <c r="DJ20" t="s">
        <v>19</v>
      </c>
      <c r="DK20" t="str">
        <f t="shared" si="33"/>
        <v>HL</v>
      </c>
      <c r="DL20" t="str">
        <f t="shared" si="37"/>
        <v>HL</v>
      </c>
      <c r="DM20" t="str">
        <f t="shared" si="41"/>
        <v>HL</v>
      </c>
      <c r="DN20" t="str">
        <f t="shared" si="49"/>
        <v>LL</v>
      </c>
      <c r="DO20" t="str">
        <f t="shared" si="57"/>
        <v>HL</v>
      </c>
      <c r="DP20" t="str">
        <f t="shared" si="65"/>
        <v>HL</v>
      </c>
      <c r="DQ20" t="str">
        <f t="shared" si="73"/>
        <v>LL</v>
      </c>
      <c r="DR20" t="str">
        <f t="shared" si="81"/>
        <v>HL</v>
      </c>
      <c r="DS20" t="str">
        <f t="shared" ref="DS20:DS51" si="89">DJ2</f>
        <v>LL</v>
      </c>
      <c r="DV20">
        <f t="shared" si="13"/>
        <v>0.10666984688570266</v>
      </c>
      <c r="DW20">
        <f t="shared" si="14"/>
        <v>-3.4322072266060628</v>
      </c>
      <c r="DX20">
        <f t="shared" si="42"/>
        <v>-3.8933389870560662</v>
      </c>
      <c r="DY20">
        <f t="shared" si="50"/>
        <v>-4.9006291975026368</v>
      </c>
      <c r="DZ20">
        <f t="shared" si="58"/>
        <v>-3.6996548137252852</v>
      </c>
      <c r="EA20">
        <f t="shared" si="66"/>
        <v>-3.9081358395226147</v>
      </c>
      <c r="EB20">
        <f t="shared" si="74"/>
        <v>-9.4810280058039034</v>
      </c>
      <c r="EC20">
        <f t="shared" si="82"/>
        <v>2.9467821262856209</v>
      </c>
      <c r="ED20">
        <f t="shared" ref="ED20:ED51" si="90">IFERROR(((O20-$F20)/$F20)*100,0)</f>
        <v>-0.55786342284325319</v>
      </c>
      <c r="EG20" s="13" t="str">
        <f t="shared" si="15"/>
        <v>EQL</v>
      </c>
      <c r="EH20" s="13" t="str">
        <f t="shared" si="16"/>
        <v/>
      </c>
      <c r="EI20" s="13" t="str">
        <f t="shared" si="17"/>
        <v/>
      </c>
      <c r="EJ20" s="13" t="str">
        <f t="shared" si="18"/>
        <v/>
      </c>
      <c r="EK20" s="13" t="str">
        <f t="shared" si="19"/>
        <v/>
      </c>
      <c r="EL20" s="13" t="str">
        <f t="shared" si="20"/>
        <v/>
      </c>
      <c r="EM20" s="13" t="str">
        <f t="shared" si="21"/>
        <v/>
      </c>
      <c r="EN20" s="13" t="str">
        <f t="shared" si="22"/>
        <v/>
      </c>
      <c r="EO20" s="13" t="str">
        <f t="shared" si="23"/>
        <v/>
      </c>
      <c r="EP20" s="13" t="str">
        <f t="shared" si="24"/>
        <v/>
      </c>
      <c r="EQ20" s="13" t="str">
        <f t="shared" si="25"/>
        <v/>
      </c>
    </row>
    <row r="21" spans="1:147" ht="14.25" customHeight="1" x14ac:dyDescent="0.55000000000000004">
      <c r="A21">
        <v>1774438204</v>
      </c>
      <c r="B21" t="s">
        <v>16</v>
      </c>
      <c r="C21" t="s">
        <v>17</v>
      </c>
      <c r="D21">
        <v>4583.78</v>
      </c>
      <c r="E21" t="s">
        <v>20</v>
      </c>
      <c r="F21">
        <v>4585.51</v>
      </c>
      <c r="G21">
        <v>4567.7299999999996</v>
      </c>
      <c r="H21">
        <v>4602.3</v>
      </c>
      <c r="I21">
        <f t="shared" si="38"/>
        <v>4433.51</v>
      </c>
      <c r="J21">
        <f t="shared" si="46"/>
        <v>4441.87</v>
      </c>
      <c r="K21">
        <f t="shared" si="54"/>
        <v>4448.04</v>
      </c>
      <c r="L21">
        <f t="shared" si="62"/>
        <v>4467.12</v>
      </c>
      <c r="M21">
        <f t="shared" si="70"/>
        <v>4512.91</v>
      </c>
      <c r="N21">
        <f t="shared" si="78"/>
        <v>4734.78</v>
      </c>
      <c r="O21">
        <f t="shared" si="86"/>
        <v>4736.13</v>
      </c>
      <c r="R21">
        <v>57.52</v>
      </c>
      <c r="S21">
        <f t="shared" si="26"/>
        <v>34.909999999999854</v>
      </c>
      <c r="T21">
        <f t="shared" si="27"/>
        <v>229.72000000000025</v>
      </c>
      <c r="U21">
        <f t="shared" si="43"/>
        <v>81.8100000000004</v>
      </c>
      <c r="V21">
        <f t="shared" si="51"/>
        <v>135.77999999999975</v>
      </c>
      <c r="W21">
        <f t="shared" si="59"/>
        <v>87.569999999999709</v>
      </c>
      <c r="X21">
        <f t="shared" si="67"/>
        <v>116.09000000000015</v>
      </c>
      <c r="Y21">
        <f t="shared" si="75"/>
        <v>414.22000000000025</v>
      </c>
      <c r="Z21">
        <f t="shared" si="83"/>
        <v>73.359999999999673</v>
      </c>
      <c r="AA21">
        <f t="shared" ref="AA21:AA52" si="91">O21-O20</f>
        <v>233.40000000000055</v>
      </c>
      <c r="AD21">
        <v>1.27</v>
      </c>
      <c r="AE21" s="14">
        <f t="shared" si="28"/>
        <v>0.77016073878953628</v>
      </c>
      <c r="AF21" s="14">
        <f t="shared" si="29"/>
        <v>5.2536488754922779</v>
      </c>
      <c r="AG21" s="14">
        <f t="shared" si="44"/>
        <v>1.879954960130533</v>
      </c>
      <c r="AH21" s="14">
        <f t="shared" si="52"/>
        <v>3.1532085952685556</v>
      </c>
      <c r="AI21" s="14">
        <f t="shared" si="60"/>
        <v>2.0082697507378722</v>
      </c>
      <c r="AJ21" s="14">
        <f t="shared" si="68"/>
        <v>2.6681038742550651</v>
      </c>
      <c r="AK21" s="14">
        <f t="shared" si="76"/>
        <v>10.10615586931435</v>
      </c>
      <c r="AL21" s="14">
        <f t="shared" si="84"/>
        <v>1.5737693664162351</v>
      </c>
      <c r="AM21" s="14">
        <f t="shared" ref="AM21:AM52" si="92">(AA21/O20)*100</f>
        <v>5.1835219966553749</v>
      </c>
      <c r="AN21" s="14"/>
      <c r="AO21" s="14"/>
      <c r="AP21">
        <v>0</v>
      </c>
      <c r="AQ21">
        <f t="shared" si="30"/>
        <v>0</v>
      </c>
      <c r="AR21">
        <f t="shared" si="34"/>
        <v>0</v>
      </c>
      <c r="AS21">
        <f t="shared" si="39"/>
        <v>0</v>
      </c>
      <c r="AT21">
        <f t="shared" si="47"/>
        <v>0</v>
      </c>
      <c r="AU21">
        <f t="shared" si="55"/>
        <v>0</v>
      </c>
      <c r="AV21">
        <f t="shared" si="63"/>
        <v>0</v>
      </c>
      <c r="AW21">
        <f t="shared" si="71"/>
        <v>2</v>
      </c>
      <c r="AX21">
        <f t="shared" si="79"/>
        <v>0</v>
      </c>
      <c r="AY21">
        <f t="shared" si="87"/>
        <v>2</v>
      </c>
      <c r="BB21">
        <v>7</v>
      </c>
      <c r="BC21">
        <f t="shared" si="31"/>
        <v>12</v>
      </c>
      <c r="BD21">
        <f t="shared" si="35"/>
        <v>32</v>
      </c>
      <c r="BE21">
        <f t="shared" si="40"/>
        <v>4</v>
      </c>
      <c r="BF21">
        <f t="shared" si="48"/>
        <v>35</v>
      </c>
      <c r="BG21">
        <f t="shared" si="56"/>
        <v>5</v>
      </c>
      <c r="BH21">
        <f t="shared" si="64"/>
        <v>12</v>
      </c>
      <c r="BI21">
        <f t="shared" si="72"/>
        <v>28</v>
      </c>
      <c r="BJ21">
        <f t="shared" si="80"/>
        <v>7</v>
      </c>
      <c r="BK21">
        <f t="shared" si="88"/>
        <v>53</v>
      </c>
      <c r="BZ21" s="12">
        <f t="shared" si="0"/>
        <v>8.2171428571428571</v>
      </c>
      <c r="CA21" s="12">
        <f t="shared" si="32"/>
        <v>2.9091666666666547</v>
      </c>
      <c r="CB21" s="12">
        <f t="shared" si="36"/>
        <v>7.178750000000008</v>
      </c>
      <c r="CC21" s="12">
        <f t="shared" si="45"/>
        <v>20.4525000000001</v>
      </c>
      <c r="CD21" s="12">
        <f t="shared" si="53"/>
        <v>3.8794285714285643</v>
      </c>
      <c r="CE21" s="12">
        <f t="shared" si="61"/>
        <v>17.513999999999943</v>
      </c>
      <c r="CF21" s="12">
        <f t="shared" si="69"/>
        <v>9.6741666666666788</v>
      </c>
      <c r="CG21" s="12">
        <f t="shared" si="77"/>
        <v>14.793571428571438</v>
      </c>
      <c r="CH21" s="12">
        <f t="shared" si="85"/>
        <v>10.479999999999952</v>
      </c>
      <c r="CI21" s="12">
        <f t="shared" ref="CI21:CI52" si="93">IFERROR(AA21/BK21,0)</f>
        <v>4.4037735849056707</v>
      </c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>
        <f t="shared" si="1"/>
        <v>83.061406455993207</v>
      </c>
      <c r="CY21" s="12">
        <f t="shared" si="2"/>
        <v>71.030050880666636</v>
      </c>
      <c r="CZ21" s="12">
        <f t="shared" si="3"/>
        <v>82.069728460921951</v>
      </c>
      <c r="DA21" s="12">
        <f t="shared" si="4"/>
        <v>87.200822013750766</v>
      </c>
      <c r="DB21" s="12">
        <f t="shared" si="5"/>
        <v>75.545532123161792</v>
      </c>
      <c r="DC21" s="12">
        <f t="shared" si="6"/>
        <v>86.732120707566949</v>
      </c>
      <c r="DD21" s="12">
        <f t="shared" si="7"/>
        <v>84.098405355097839</v>
      </c>
      <c r="DE21" s="12">
        <f t="shared" si="8"/>
        <v>86.132864183076094</v>
      </c>
      <c r="DF21" s="12">
        <f t="shared" si="9"/>
        <v>84.549348124092901</v>
      </c>
      <c r="DG21" s="12">
        <f t="shared" si="10"/>
        <v>77.206344657121164</v>
      </c>
      <c r="DH21" s="12" t="str">
        <f t="shared" si="11"/>
        <v/>
      </c>
      <c r="DI21" s="12" t="str">
        <f t="shared" si="12"/>
        <v/>
      </c>
      <c r="DJ21" t="s">
        <v>23</v>
      </c>
      <c r="DK21" t="str">
        <f t="shared" si="33"/>
        <v>LH</v>
      </c>
      <c r="DL21" t="str">
        <f t="shared" si="37"/>
        <v>HH</v>
      </c>
      <c r="DM21" t="str">
        <f t="shared" si="41"/>
        <v>LH</v>
      </c>
      <c r="DN21" t="str">
        <f t="shared" si="49"/>
        <v>LH</v>
      </c>
      <c r="DO21" t="str">
        <f t="shared" si="57"/>
        <v>LH</v>
      </c>
      <c r="DP21" t="str">
        <f t="shared" si="65"/>
        <v>LH</v>
      </c>
      <c r="DQ21" t="str">
        <f t="shared" si="73"/>
        <v>LH</v>
      </c>
      <c r="DR21" t="str">
        <f t="shared" si="81"/>
        <v>LH</v>
      </c>
      <c r="DS21" t="str">
        <f t="shared" si="89"/>
        <v>LH</v>
      </c>
      <c r="DV21">
        <f t="shared" si="13"/>
        <v>-0.38774312998991728</v>
      </c>
      <c r="DW21">
        <f t="shared" si="14"/>
        <v>0.36615338315694357</v>
      </c>
      <c r="DX21">
        <f t="shared" si="42"/>
        <v>-3.3147894127370785</v>
      </c>
      <c r="DY21">
        <f t="shared" si="50"/>
        <v>-3.1324759950365459</v>
      </c>
      <c r="DZ21">
        <f t="shared" si="58"/>
        <v>-2.9979217142695194</v>
      </c>
      <c r="EA21">
        <f t="shared" si="66"/>
        <v>-2.5818284116706827</v>
      </c>
      <c r="EB21">
        <f t="shared" si="74"/>
        <v>-1.5832481010836386</v>
      </c>
      <c r="EC21">
        <f t="shared" si="82"/>
        <v>3.2552540502583036</v>
      </c>
      <c r="ED21">
        <f t="shared" si="90"/>
        <v>3.2846946141214368</v>
      </c>
      <c r="EG21" s="13" t="str">
        <f t="shared" si="15"/>
        <v/>
      </c>
      <c r="EH21" s="13" t="str">
        <f t="shared" si="16"/>
        <v/>
      </c>
      <c r="EI21" s="13" t="str">
        <f t="shared" si="17"/>
        <v/>
      </c>
      <c r="EJ21" s="13" t="str">
        <f t="shared" si="18"/>
        <v/>
      </c>
      <c r="EK21" s="13" t="str">
        <f t="shared" si="19"/>
        <v/>
      </c>
      <c r="EL21" s="13" t="str">
        <f t="shared" si="20"/>
        <v/>
      </c>
      <c r="EM21" s="13" t="str">
        <f t="shared" si="21"/>
        <v/>
      </c>
      <c r="EN21" s="13" t="str">
        <f t="shared" si="22"/>
        <v/>
      </c>
      <c r="EO21" s="13" t="str">
        <f t="shared" si="23"/>
        <v/>
      </c>
      <c r="EP21" s="13" t="str">
        <f t="shared" si="24"/>
        <v/>
      </c>
      <c r="EQ21" s="13" t="str">
        <f t="shared" si="25"/>
        <v/>
      </c>
    </row>
    <row r="22" spans="1:147" ht="14.25" customHeight="1" x14ac:dyDescent="0.55000000000000004">
      <c r="A22">
        <v>1774441804</v>
      </c>
      <c r="B22" t="s">
        <v>16</v>
      </c>
      <c r="C22" t="s">
        <v>17</v>
      </c>
      <c r="D22">
        <v>4547.41</v>
      </c>
      <c r="E22" t="s">
        <v>18</v>
      </c>
      <c r="F22">
        <v>4522.33</v>
      </c>
      <c r="G22">
        <v>4527.99</v>
      </c>
      <c r="H22">
        <v>4532.82</v>
      </c>
      <c r="I22">
        <f t="shared" si="38"/>
        <v>4372.58</v>
      </c>
      <c r="J22">
        <f t="shared" si="46"/>
        <v>4351.7</v>
      </c>
      <c r="K22">
        <f t="shared" si="54"/>
        <v>4306.09</v>
      </c>
      <c r="L22">
        <f t="shared" si="62"/>
        <v>4360.47</v>
      </c>
      <c r="M22">
        <f t="shared" si="70"/>
        <v>4351.03</v>
      </c>
      <c r="N22">
        <f t="shared" si="78"/>
        <v>4098.6899999999996</v>
      </c>
      <c r="O22">
        <f t="shared" si="86"/>
        <v>4661.42</v>
      </c>
      <c r="P22">
        <f t="shared" ref="P22:P53" si="94">F2</f>
        <v>4502.7299999999996</v>
      </c>
      <c r="R22">
        <v>-63.18</v>
      </c>
      <c r="S22">
        <f t="shared" si="26"/>
        <v>-39.739999999999782</v>
      </c>
      <c r="T22">
        <f t="shared" si="27"/>
        <v>-69.480000000000473</v>
      </c>
      <c r="U22">
        <f t="shared" si="43"/>
        <v>-60.930000000000291</v>
      </c>
      <c r="V22">
        <f t="shared" si="51"/>
        <v>-90.170000000000073</v>
      </c>
      <c r="W22">
        <f t="shared" si="59"/>
        <v>-141.94999999999982</v>
      </c>
      <c r="X22">
        <f t="shared" si="67"/>
        <v>-106.64999999999964</v>
      </c>
      <c r="Y22">
        <f t="shared" si="75"/>
        <v>-161.88000000000011</v>
      </c>
      <c r="Z22">
        <f t="shared" si="83"/>
        <v>-636.09000000000015</v>
      </c>
      <c r="AA22">
        <f t="shared" si="91"/>
        <v>-74.710000000000036</v>
      </c>
      <c r="AD22">
        <v>-1.38</v>
      </c>
      <c r="AE22" s="14">
        <f t="shared" si="28"/>
        <v>-0.87001639764171224</v>
      </c>
      <c r="AF22" s="14">
        <f t="shared" si="29"/>
        <v>-1.509679942637387</v>
      </c>
      <c r="AG22" s="14">
        <f t="shared" si="44"/>
        <v>-1.3743061366727556</v>
      </c>
      <c r="AH22" s="14">
        <f t="shared" si="52"/>
        <v>-2.0300008780085883</v>
      </c>
      <c r="AI22" s="14">
        <f t="shared" si="60"/>
        <v>-3.1912932437657893</v>
      </c>
      <c r="AJ22" s="14">
        <f t="shared" si="68"/>
        <v>-2.3874442593885914</v>
      </c>
      <c r="AK22" s="14">
        <f t="shared" si="76"/>
        <v>-3.5870425069412</v>
      </c>
      <c r="AL22" s="14">
        <f t="shared" si="84"/>
        <v>-13.434415115380233</v>
      </c>
      <c r="AM22" s="14">
        <f t="shared" si="92"/>
        <v>-1.5774482541653214</v>
      </c>
      <c r="AN22" s="14"/>
      <c r="AO22" s="14"/>
      <c r="AP22">
        <v>3</v>
      </c>
      <c r="AQ22">
        <f t="shared" si="30"/>
        <v>3</v>
      </c>
      <c r="AR22">
        <f t="shared" si="34"/>
        <v>3</v>
      </c>
      <c r="AS22">
        <f t="shared" si="39"/>
        <v>3</v>
      </c>
      <c r="AT22">
        <f t="shared" si="47"/>
        <v>3</v>
      </c>
      <c r="AU22">
        <f t="shared" si="55"/>
        <v>3</v>
      </c>
      <c r="AV22">
        <f t="shared" si="63"/>
        <v>3</v>
      </c>
      <c r="AW22">
        <f t="shared" si="71"/>
        <v>3</v>
      </c>
      <c r="AX22">
        <f t="shared" si="79"/>
        <v>5</v>
      </c>
      <c r="AY22">
        <f t="shared" si="87"/>
        <v>3</v>
      </c>
      <c r="AZ22">
        <f t="shared" ref="AZ22:AZ53" si="95">AP2</f>
        <v>5</v>
      </c>
      <c r="BB22">
        <v>4</v>
      </c>
      <c r="BC22">
        <f t="shared" si="31"/>
        <v>3</v>
      </c>
      <c r="BD22">
        <f t="shared" si="35"/>
        <v>13</v>
      </c>
      <c r="BE22">
        <f t="shared" si="40"/>
        <v>12</v>
      </c>
      <c r="BF22">
        <f t="shared" si="48"/>
        <v>12</v>
      </c>
      <c r="BG22">
        <f t="shared" si="56"/>
        <v>11</v>
      </c>
      <c r="BH22">
        <f t="shared" si="64"/>
        <v>9</v>
      </c>
      <c r="BI22">
        <f t="shared" si="72"/>
        <v>6</v>
      </c>
      <c r="BJ22">
        <f t="shared" si="80"/>
        <v>88</v>
      </c>
      <c r="BK22">
        <f t="shared" si="88"/>
        <v>13</v>
      </c>
      <c r="BL22">
        <f t="shared" ref="BL22:BL53" si="96">BB2</f>
        <v>46</v>
      </c>
      <c r="BZ22" s="12">
        <f t="shared" si="0"/>
        <v>-15.795</v>
      </c>
      <c r="CA22" s="12">
        <f t="shared" si="32"/>
        <v>-13.246666666666593</v>
      </c>
      <c r="CB22" s="12">
        <f t="shared" si="36"/>
        <v>-5.3446153846154214</v>
      </c>
      <c r="CC22" s="12">
        <f t="shared" si="45"/>
        <v>-5.0775000000000245</v>
      </c>
      <c r="CD22" s="12">
        <f t="shared" si="53"/>
        <v>-7.5141666666666724</v>
      </c>
      <c r="CE22" s="12">
        <f t="shared" si="61"/>
        <v>-12.904545454545438</v>
      </c>
      <c r="CF22" s="12">
        <f t="shared" si="69"/>
        <v>-11.849999999999959</v>
      </c>
      <c r="CG22" s="12">
        <f t="shared" si="77"/>
        <v>-26.980000000000018</v>
      </c>
      <c r="CH22" s="12">
        <f t="shared" si="85"/>
        <v>-7.2282954545454565</v>
      </c>
      <c r="CI22" s="12">
        <f t="shared" si="93"/>
        <v>-5.7469230769230801</v>
      </c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>
        <f t="shared" si="1"/>
        <v>-86.377371945969756</v>
      </c>
      <c r="CY22" s="12">
        <f t="shared" si="2"/>
        <v>-85.682890519251998</v>
      </c>
      <c r="CZ22" s="12">
        <f t="shared" si="3"/>
        <v>-79.402253631410062</v>
      </c>
      <c r="DA22" s="12">
        <f t="shared" si="4"/>
        <v>-78.858344556570415</v>
      </c>
      <c r="DB22" s="12">
        <f t="shared" si="5"/>
        <v>-82.419508361922027</v>
      </c>
      <c r="DC22" s="12">
        <f t="shared" si="6"/>
        <v>-85.568886660479492</v>
      </c>
      <c r="DD22" s="12">
        <f t="shared" si="7"/>
        <v>-85.176341802404806</v>
      </c>
      <c r="DE22" s="12">
        <f t="shared" si="8"/>
        <v>-87.877332693912436</v>
      </c>
      <c r="DF22" s="12">
        <f t="shared" si="9"/>
        <v>-82.123400948097768</v>
      </c>
      <c r="DG22" s="12">
        <f t="shared" si="10"/>
        <v>-80.129014742874119</v>
      </c>
      <c r="DH22" s="12" t="str">
        <f t="shared" si="11"/>
        <v/>
      </c>
      <c r="DI22" s="12" t="str">
        <f t="shared" si="12"/>
        <v/>
      </c>
      <c r="DJ22" t="s">
        <v>19</v>
      </c>
      <c r="DK22" t="str">
        <f t="shared" si="33"/>
        <v>LL</v>
      </c>
      <c r="DL22" t="str">
        <f t="shared" si="37"/>
        <v>HL</v>
      </c>
      <c r="DM22" t="str">
        <f t="shared" si="41"/>
        <v>HL</v>
      </c>
      <c r="DN22" t="str">
        <f t="shared" si="49"/>
        <v>HL</v>
      </c>
      <c r="DO22" t="str">
        <f t="shared" si="57"/>
        <v>LL</v>
      </c>
      <c r="DP22" t="str">
        <f t="shared" si="65"/>
        <v>HL</v>
      </c>
      <c r="DQ22" t="str">
        <f t="shared" si="73"/>
        <v>HL</v>
      </c>
      <c r="DR22" t="str">
        <f t="shared" si="81"/>
        <v>LL</v>
      </c>
      <c r="DS22" t="str">
        <f t="shared" si="89"/>
        <v>HL</v>
      </c>
      <c r="DT22" t="str">
        <f t="shared" ref="DT22:DT53" si="97">DJ2</f>
        <v>LL</v>
      </c>
      <c r="DV22">
        <f t="shared" si="13"/>
        <v>0.12515672230907199</v>
      </c>
      <c r="DW22">
        <f t="shared" si="14"/>
        <v>0.23196007367882887</v>
      </c>
      <c r="DX22">
        <f t="shared" si="42"/>
        <v>-3.3113461423646662</v>
      </c>
      <c r="DY22">
        <f t="shared" si="50"/>
        <v>-3.7730550402115743</v>
      </c>
      <c r="DZ22">
        <f t="shared" si="58"/>
        <v>-4.7816059420696808</v>
      </c>
      <c r="EA22">
        <f t="shared" si="66"/>
        <v>-3.5791284581178218</v>
      </c>
      <c r="EB22">
        <f t="shared" si="74"/>
        <v>-3.7878704119336755</v>
      </c>
      <c r="EC22">
        <f t="shared" si="82"/>
        <v>-9.3677374273881</v>
      </c>
      <c r="ED22">
        <f t="shared" si="90"/>
        <v>3.0756269445175417</v>
      </c>
      <c r="EE22">
        <f t="shared" ref="EE22:EE53" si="98">IFERROR(((P22-$F22)/$F22)*100,0)</f>
        <v>-0.43340490410917304</v>
      </c>
      <c r="EG22" s="13" t="str">
        <f t="shared" si="15"/>
        <v>EQL</v>
      </c>
      <c r="EH22" s="13" t="str">
        <f t="shared" si="16"/>
        <v>EQL</v>
      </c>
      <c r="EI22" s="13" t="str">
        <f t="shared" si="17"/>
        <v/>
      </c>
      <c r="EJ22" s="13" t="str">
        <f t="shared" si="18"/>
        <v/>
      </c>
      <c r="EK22" s="13" t="str">
        <f t="shared" si="19"/>
        <v/>
      </c>
      <c r="EL22" s="13" t="str">
        <f t="shared" si="20"/>
        <v/>
      </c>
      <c r="EM22" s="13" t="str">
        <f t="shared" si="21"/>
        <v/>
      </c>
      <c r="EN22" s="13" t="str">
        <f t="shared" si="22"/>
        <v/>
      </c>
      <c r="EO22" s="13" t="str">
        <f t="shared" si="23"/>
        <v/>
      </c>
      <c r="EP22" s="13" t="str">
        <f t="shared" si="24"/>
        <v/>
      </c>
      <c r="EQ22" s="13" t="str">
        <f t="shared" si="25"/>
        <v/>
      </c>
    </row>
    <row r="23" spans="1:147" ht="14.25" customHeight="1" x14ac:dyDescent="0.55000000000000004">
      <c r="A23">
        <v>1774461604</v>
      </c>
      <c r="B23" t="s">
        <v>16</v>
      </c>
      <c r="C23" t="s">
        <v>17</v>
      </c>
      <c r="D23">
        <v>4551.37</v>
      </c>
      <c r="E23" t="s">
        <v>20</v>
      </c>
      <c r="F23">
        <v>4568.96</v>
      </c>
      <c r="G23">
        <v>4585.51</v>
      </c>
      <c r="H23">
        <v>4567.7299999999996</v>
      </c>
      <c r="I23">
        <f t="shared" si="38"/>
        <v>4602.3</v>
      </c>
      <c r="J23">
        <f t="shared" si="46"/>
        <v>4433.51</v>
      </c>
      <c r="K23">
        <f t="shared" si="54"/>
        <v>4441.87</v>
      </c>
      <c r="L23">
        <f t="shared" si="62"/>
        <v>4448.04</v>
      </c>
      <c r="M23">
        <f t="shared" si="70"/>
        <v>4467.12</v>
      </c>
      <c r="N23">
        <f t="shared" si="78"/>
        <v>4512.91</v>
      </c>
      <c r="O23">
        <f t="shared" si="86"/>
        <v>4734.78</v>
      </c>
      <c r="P23">
        <f t="shared" si="94"/>
        <v>4736.13</v>
      </c>
      <c r="R23">
        <v>46.63</v>
      </c>
      <c r="S23">
        <f t="shared" si="26"/>
        <v>57.520000000000437</v>
      </c>
      <c r="T23">
        <f t="shared" si="27"/>
        <v>34.909999999999854</v>
      </c>
      <c r="U23">
        <f t="shared" si="43"/>
        <v>229.72000000000025</v>
      </c>
      <c r="V23">
        <f t="shared" si="51"/>
        <v>81.8100000000004</v>
      </c>
      <c r="W23">
        <f t="shared" si="59"/>
        <v>135.77999999999975</v>
      </c>
      <c r="X23">
        <f t="shared" si="67"/>
        <v>87.569999999999709</v>
      </c>
      <c r="Y23">
        <f t="shared" si="75"/>
        <v>116.09000000000015</v>
      </c>
      <c r="Z23">
        <f t="shared" si="83"/>
        <v>414.22000000000025</v>
      </c>
      <c r="AA23">
        <f t="shared" si="91"/>
        <v>73.359999999999673</v>
      </c>
      <c r="AB23">
        <f t="shared" ref="AB23:AB54" si="99">P23-P22</f>
        <v>233.40000000000055</v>
      </c>
      <c r="AD23">
        <v>1.03</v>
      </c>
      <c r="AE23" s="14">
        <f t="shared" si="28"/>
        <v>1.2703208266802806</v>
      </c>
      <c r="AF23" s="14">
        <f t="shared" si="29"/>
        <v>0.77016073878953628</v>
      </c>
      <c r="AG23" s="14">
        <f t="shared" si="44"/>
        <v>5.2536488754922779</v>
      </c>
      <c r="AH23" s="14">
        <f t="shared" si="52"/>
        <v>1.879954960130533</v>
      </c>
      <c r="AI23" s="14">
        <f t="shared" si="60"/>
        <v>3.1532085952685556</v>
      </c>
      <c r="AJ23" s="14">
        <f t="shared" si="68"/>
        <v>2.0082697507378722</v>
      </c>
      <c r="AK23" s="14">
        <f t="shared" si="76"/>
        <v>2.6681038742550651</v>
      </c>
      <c r="AL23" s="14">
        <f t="shared" si="84"/>
        <v>10.10615586931435</v>
      </c>
      <c r="AM23" s="14">
        <f t="shared" si="92"/>
        <v>1.5737693664162351</v>
      </c>
      <c r="AN23" s="14">
        <f t="shared" ref="AN23:AN54" si="100">(AB23/P22)*100</f>
        <v>5.1835219966553749</v>
      </c>
      <c r="AO23" s="14"/>
      <c r="AP23">
        <v>0</v>
      </c>
      <c r="AQ23">
        <f t="shared" si="30"/>
        <v>0</v>
      </c>
      <c r="AR23">
        <f t="shared" si="34"/>
        <v>0</v>
      </c>
      <c r="AS23">
        <f t="shared" si="39"/>
        <v>0</v>
      </c>
      <c r="AT23">
        <f t="shared" si="47"/>
        <v>0</v>
      </c>
      <c r="AU23">
        <f t="shared" si="55"/>
        <v>0</v>
      </c>
      <c r="AV23">
        <f t="shared" si="63"/>
        <v>0</v>
      </c>
      <c r="AW23">
        <f t="shared" si="71"/>
        <v>0</v>
      </c>
      <c r="AX23">
        <f t="shared" si="79"/>
        <v>2</v>
      </c>
      <c r="AY23">
        <f t="shared" si="87"/>
        <v>0</v>
      </c>
      <c r="AZ23">
        <f t="shared" si="95"/>
        <v>2</v>
      </c>
      <c r="BB23">
        <v>22</v>
      </c>
      <c r="BC23">
        <f t="shared" si="31"/>
        <v>7</v>
      </c>
      <c r="BD23">
        <f t="shared" si="35"/>
        <v>12</v>
      </c>
      <c r="BE23">
        <f t="shared" si="40"/>
        <v>32</v>
      </c>
      <c r="BF23">
        <f t="shared" si="48"/>
        <v>4</v>
      </c>
      <c r="BG23">
        <f t="shared" si="56"/>
        <v>35</v>
      </c>
      <c r="BH23">
        <f t="shared" si="64"/>
        <v>5</v>
      </c>
      <c r="BI23">
        <f t="shared" si="72"/>
        <v>12</v>
      </c>
      <c r="BJ23">
        <f t="shared" si="80"/>
        <v>28</v>
      </c>
      <c r="BK23">
        <f t="shared" si="88"/>
        <v>7</v>
      </c>
      <c r="BL23">
        <f t="shared" si="96"/>
        <v>53</v>
      </c>
      <c r="BZ23" s="12">
        <f t="shared" si="0"/>
        <v>2.1195454545454546</v>
      </c>
      <c r="CA23" s="12">
        <f t="shared" si="32"/>
        <v>8.2171428571429193</v>
      </c>
      <c r="CB23" s="12">
        <f t="shared" si="36"/>
        <v>2.9091666666666547</v>
      </c>
      <c r="CC23" s="12">
        <f t="shared" si="45"/>
        <v>7.178750000000008</v>
      </c>
      <c r="CD23" s="12">
        <f t="shared" si="53"/>
        <v>20.4525000000001</v>
      </c>
      <c r="CE23" s="12">
        <f t="shared" si="61"/>
        <v>3.8794285714285643</v>
      </c>
      <c r="CF23" s="12">
        <f t="shared" si="69"/>
        <v>17.513999999999943</v>
      </c>
      <c r="CG23" s="12">
        <f t="shared" si="77"/>
        <v>9.6741666666666788</v>
      </c>
      <c r="CH23" s="12">
        <f t="shared" si="85"/>
        <v>14.793571428571438</v>
      </c>
      <c r="CI23" s="12">
        <f t="shared" si="93"/>
        <v>10.479999999999952</v>
      </c>
      <c r="CJ23" s="12">
        <f t="shared" ref="CJ23:CJ54" si="101">IFERROR(AB23/BL23,0)</f>
        <v>4.4037735849056707</v>
      </c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>
        <f t="shared" si="1"/>
        <v>64.742095759376596</v>
      </c>
      <c r="CY23" s="12">
        <f t="shared" si="2"/>
        <v>83.061406455993264</v>
      </c>
      <c r="CZ23" s="12">
        <f t="shared" si="3"/>
        <v>71.030050880666636</v>
      </c>
      <c r="DA23" s="12">
        <f t="shared" si="4"/>
        <v>82.069728460921951</v>
      </c>
      <c r="DB23" s="12">
        <f t="shared" si="5"/>
        <v>87.200822013750766</v>
      </c>
      <c r="DC23" s="12">
        <f t="shared" si="6"/>
        <v>75.545532123161792</v>
      </c>
      <c r="DD23" s="12">
        <f t="shared" si="7"/>
        <v>86.732120707566949</v>
      </c>
      <c r="DE23" s="12">
        <f t="shared" si="8"/>
        <v>84.098405355097839</v>
      </c>
      <c r="DF23" s="12">
        <f t="shared" si="9"/>
        <v>86.132864183076094</v>
      </c>
      <c r="DG23" s="12">
        <f t="shared" si="10"/>
        <v>84.549348124092901</v>
      </c>
      <c r="DH23" s="12">
        <f t="shared" si="11"/>
        <v>77.206344657121164</v>
      </c>
      <c r="DI23" s="12" t="str">
        <f t="shared" si="12"/>
        <v/>
      </c>
      <c r="DJ23" t="s">
        <v>21</v>
      </c>
      <c r="DK23" t="str">
        <f t="shared" si="33"/>
        <v>HH</v>
      </c>
      <c r="DL23" t="str">
        <f t="shared" si="37"/>
        <v>LH</v>
      </c>
      <c r="DM23" t="str">
        <f t="shared" si="41"/>
        <v>HH</v>
      </c>
      <c r="DN23" t="str">
        <f t="shared" si="49"/>
        <v>LH</v>
      </c>
      <c r="DO23" t="str">
        <f t="shared" si="57"/>
        <v>LH</v>
      </c>
      <c r="DP23" t="str">
        <f t="shared" si="65"/>
        <v>LH</v>
      </c>
      <c r="DQ23" t="str">
        <f t="shared" si="73"/>
        <v>LH</v>
      </c>
      <c r="DR23" t="str">
        <f t="shared" si="81"/>
        <v>LH</v>
      </c>
      <c r="DS23" t="str">
        <f t="shared" si="89"/>
        <v>LH</v>
      </c>
      <c r="DT23" t="str">
        <f t="shared" si="97"/>
        <v>LH</v>
      </c>
      <c r="DV23">
        <f t="shared" si="13"/>
        <v>0.36222685250035414</v>
      </c>
      <c r="DW23">
        <f t="shared" si="14"/>
        <v>-2.692078722511191E-2</v>
      </c>
      <c r="DX23">
        <f t="shared" si="42"/>
        <v>0.72970654153243075</v>
      </c>
      <c r="DY23">
        <f t="shared" si="50"/>
        <v>-2.9645696175934964</v>
      </c>
      <c r="DZ23">
        <f t="shared" si="58"/>
        <v>-2.7815958117383417</v>
      </c>
      <c r="EA23">
        <f t="shared" si="66"/>
        <v>-2.6465541392351888</v>
      </c>
      <c r="EB23">
        <f t="shared" si="74"/>
        <v>-2.2289536349628833</v>
      </c>
      <c r="EC23">
        <f t="shared" si="82"/>
        <v>-1.2267561983471114</v>
      </c>
      <c r="ED23">
        <f t="shared" si="90"/>
        <v>3.6292723070457984</v>
      </c>
      <c r="EE23">
        <f t="shared" si="98"/>
        <v>3.6588195125367715</v>
      </c>
      <c r="EG23" s="13" t="str">
        <f t="shared" si="15"/>
        <v/>
      </c>
      <c r="EH23" s="13" t="str">
        <f t="shared" si="16"/>
        <v>EQH</v>
      </c>
      <c r="EI23" s="13" t="str">
        <f t="shared" si="17"/>
        <v/>
      </c>
      <c r="EJ23" s="13" t="str">
        <f t="shared" si="18"/>
        <v/>
      </c>
      <c r="EK23" s="13" t="str">
        <f t="shared" si="19"/>
        <v/>
      </c>
      <c r="EL23" s="13" t="str">
        <f t="shared" si="20"/>
        <v/>
      </c>
      <c r="EM23" s="13" t="str">
        <f t="shared" si="21"/>
        <v/>
      </c>
      <c r="EN23" s="13" t="str">
        <f t="shared" si="22"/>
        <v/>
      </c>
      <c r="EO23" s="13" t="str">
        <f t="shared" si="23"/>
        <v/>
      </c>
      <c r="EP23" s="13" t="str">
        <f t="shared" si="24"/>
        <v/>
      </c>
      <c r="EQ23" s="13" t="str">
        <f t="shared" si="25"/>
        <v/>
      </c>
    </row>
    <row r="24" spans="1:147" ht="14.25" customHeight="1" x14ac:dyDescent="0.55000000000000004">
      <c r="A24">
        <v>1774465204</v>
      </c>
      <c r="B24" t="s">
        <v>16</v>
      </c>
      <c r="C24" t="s">
        <v>17</v>
      </c>
      <c r="D24">
        <v>4509.08</v>
      </c>
      <c r="E24" t="s">
        <v>18</v>
      </c>
      <c r="F24">
        <v>4487.1000000000004</v>
      </c>
      <c r="G24">
        <v>4522.33</v>
      </c>
      <c r="H24">
        <v>4527.99</v>
      </c>
      <c r="I24">
        <f t="shared" si="38"/>
        <v>4532.82</v>
      </c>
      <c r="J24">
        <f t="shared" si="46"/>
        <v>4372.58</v>
      </c>
      <c r="K24">
        <f t="shared" si="54"/>
        <v>4351.7</v>
      </c>
      <c r="L24">
        <f t="shared" si="62"/>
        <v>4306.09</v>
      </c>
      <c r="M24">
        <f t="shared" si="70"/>
        <v>4360.47</v>
      </c>
      <c r="N24">
        <f t="shared" si="78"/>
        <v>4351.03</v>
      </c>
      <c r="O24">
        <f t="shared" si="86"/>
        <v>4098.6899999999996</v>
      </c>
      <c r="P24">
        <f t="shared" si="94"/>
        <v>4661.42</v>
      </c>
      <c r="Q24">
        <f t="shared" ref="Q24:Q55" si="102">F2</f>
        <v>4502.7299999999996</v>
      </c>
      <c r="R24">
        <v>-81.86</v>
      </c>
      <c r="S24">
        <f t="shared" si="26"/>
        <v>-63.180000000000291</v>
      </c>
      <c r="T24">
        <f t="shared" si="27"/>
        <v>-39.739999999999782</v>
      </c>
      <c r="U24">
        <f t="shared" si="43"/>
        <v>-69.480000000000473</v>
      </c>
      <c r="V24">
        <f t="shared" si="51"/>
        <v>-60.930000000000291</v>
      </c>
      <c r="W24">
        <f t="shared" si="59"/>
        <v>-90.170000000000073</v>
      </c>
      <c r="X24">
        <f t="shared" si="67"/>
        <v>-141.94999999999982</v>
      </c>
      <c r="Y24">
        <f t="shared" si="75"/>
        <v>-106.64999999999964</v>
      </c>
      <c r="Z24">
        <f t="shared" si="83"/>
        <v>-161.88000000000011</v>
      </c>
      <c r="AA24">
        <f t="shared" si="91"/>
        <v>-636.09000000000015</v>
      </c>
      <c r="AB24">
        <f t="shared" si="99"/>
        <v>-74.710000000000036</v>
      </c>
      <c r="AD24">
        <v>-1.79</v>
      </c>
      <c r="AE24" s="14">
        <f t="shared" si="28"/>
        <v>-1.3778183887942734</v>
      </c>
      <c r="AF24" s="14">
        <f t="shared" si="29"/>
        <v>-0.87001639764171224</v>
      </c>
      <c r="AG24" s="14">
        <f t="shared" si="44"/>
        <v>-1.509679942637387</v>
      </c>
      <c r="AH24" s="14">
        <f t="shared" si="52"/>
        <v>-1.3743061366727556</v>
      </c>
      <c r="AI24" s="14">
        <f t="shared" si="60"/>
        <v>-2.0300008780085883</v>
      </c>
      <c r="AJ24" s="14">
        <f t="shared" si="68"/>
        <v>-3.1912932437657893</v>
      </c>
      <c r="AK24" s="14">
        <f t="shared" si="76"/>
        <v>-2.3874442593885914</v>
      </c>
      <c r="AL24" s="14">
        <f t="shared" si="84"/>
        <v>-3.5870425069412</v>
      </c>
      <c r="AM24" s="14">
        <f t="shared" si="92"/>
        <v>-13.434415115380233</v>
      </c>
      <c r="AN24" s="14">
        <f t="shared" si="100"/>
        <v>-1.5774482541653214</v>
      </c>
      <c r="AO24" s="14"/>
      <c r="AP24">
        <v>3</v>
      </c>
      <c r="AQ24">
        <f t="shared" si="30"/>
        <v>3</v>
      </c>
      <c r="AR24">
        <f t="shared" si="34"/>
        <v>3</v>
      </c>
      <c r="AS24">
        <f t="shared" si="39"/>
        <v>3</v>
      </c>
      <c r="AT24">
        <f t="shared" si="47"/>
        <v>3</v>
      </c>
      <c r="AU24">
        <f t="shared" si="55"/>
        <v>3</v>
      </c>
      <c r="AV24">
        <f t="shared" si="63"/>
        <v>3</v>
      </c>
      <c r="AW24">
        <f t="shared" si="71"/>
        <v>3</v>
      </c>
      <c r="AX24">
        <f t="shared" si="79"/>
        <v>3</v>
      </c>
      <c r="AY24">
        <f t="shared" si="87"/>
        <v>5</v>
      </c>
      <c r="AZ24">
        <f t="shared" si="95"/>
        <v>3</v>
      </c>
      <c r="BA24">
        <f t="shared" ref="BA24:BA55" si="103">AP2</f>
        <v>5</v>
      </c>
      <c r="BB24">
        <v>4</v>
      </c>
      <c r="BC24">
        <f t="shared" si="31"/>
        <v>4</v>
      </c>
      <c r="BD24">
        <f t="shared" si="35"/>
        <v>3</v>
      </c>
      <c r="BE24">
        <f t="shared" si="40"/>
        <v>13</v>
      </c>
      <c r="BF24">
        <f t="shared" si="48"/>
        <v>12</v>
      </c>
      <c r="BG24">
        <f t="shared" si="56"/>
        <v>12</v>
      </c>
      <c r="BH24">
        <f t="shared" si="64"/>
        <v>11</v>
      </c>
      <c r="BI24">
        <f t="shared" si="72"/>
        <v>9</v>
      </c>
      <c r="BJ24">
        <f t="shared" si="80"/>
        <v>6</v>
      </c>
      <c r="BK24">
        <f t="shared" si="88"/>
        <v>88</v>
      </c>
      <c r="BL24">
        <f t="shared" si="96"/>
        <v>13</v>
      </c>
      <c r="BM24">
        <f t="shared" ref="BM24:BM55" si="104">BB2</f>
        <v>46</v>
      </c>
      <c r="BZ24" s="12">
        <f t="shared" si="0"/>
        <v>-20.465</v>
      </c>
      <c r="CA24" s="12">
        <f t="shared" si="32"/>
        <v>-15.795000000000073</v>
      </c>
      <c r="CB24" s="12">
        <f t="shared" si="36"/>
        <v>-13.246666666666593</v>
      </c>
      <c r="CC24" s="12">
        <f t="shared" si="45"/>
        <v>-5.3446153846154214</v>
      </c>
      <c r="CD24" s="12">
        <f t="shared" si="53"/>
        <v>-5.0775000000000245</v>
      </c>
      <c r="CE24" s="12">
        <f t="shared" si="61"/>
        <v>-7.5141666666666724</v>
      </c>
      <c r="CF24" s="12">
        <f t="shared" si="69"/>
        <v>-12.904545454545438</v>
      </c>
      <c r="CG24" s="12">
        <f t="shared" si="77"/>
        <v>-11.849999999999959</v>
      </c>
      <c r="CH24" s="12">
        <f t="shared" si="85"/>
        <v>-26.980000000000018</v>
      </c>
      <c r="CI24" s="12">
        <f t="shared" si="93"/>
        <v>-7.2282954545454565</v>
      </c>
      <c r="CJ24" s="12">
        <f t="shared" si="101"/>
        <v>-5.7469230769230801</v>
      </c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>
        <f t="shared" si="1"/>
        <v>-87.202529031911567</v>
      </c>
      <c r="CY24" s="12">
        <f t="shared" si="2"/>
        <v>-86.377371945969784</v>
      </c>
      <c r="CZ24" s="12">
        <f t="shared" si="3"/>
        <v>-85.682890519251998</v>
      </c>
      <c r="DA24" s="12">
        <f t="shared" si="4"/>
        <v>-79.402253631410062</v>
      </c>
      <c r="DB24" s="12">
        <f t="shared" si="5"/>
        <v>-78.858344556570415</v>
      </c>
      <c r="DC24" s="12">
        <f t="shared" si="6"/>
        <v>-82.419508361922027</v>
      </c>
      <c r="DD24" s="12">
        <f t="shared" si="7"/>
        <v>-85.568886660479492</v>
      </c>
      <c r="DE24" s="12">
        <f t="shared" si="8"/>
        <v>-85.176341802404806</v>
      </c>
      <c r="DF24" s="12">
        <f t="shared" si="9"/>
        <v>-87.877332693912436</v>
      </c>
      <c r="DG24" s="12">
        <f t="shared" si="10"/>
        <v>-82.123400948097768</v>
      </c>
      <c r="DH24" s="12">
        <f t="shared" si="11"/>
        <v>-80.129014742874119</v>
      </c>
      <c r="DI24" s="12" t="str">
        <f t="shared" si="12"/>
        <v/>
      </c>
      <c r="DJ24" t="s">
        <v>19</v>
      </c>
      <c r="DK24" t="str">
        <f t="shared" si="33"/>
        <v>LL</v>
      </c>
      <c r="DL24" t="str">
        <f t="shared" si="37"/>
        <v>LL</v>
      </c>
      <c r="DM24" t="str">
        <f t="shared" si="41"/>
        <v>HL</v>
      </c>
      <c r="DN24" t="str">
        <f t="shared" si="49"/>
        <v>HL</v>
      </c>
      <c r="DO24" t="str">
        <f t="shared" si="57"/>
        <v>HL</v>
      </c>
      <c r="DP24" t="str">
        <f t="shared" si="65"/>
        <v>LL</v>
      </c>
      <c r="DQ24" t="str">
        <f t="shared" si="73"/>
        <v>HL</v>
      </c>
      <c r="DR24" t="str">
        <f t="shared" si="81"/>
        <v>HL</v>
      </c>
      <c r="DS24" t="str">
        <f t="shared" si="89"/>
        <v>LL</v>
      </c>
      <c r="DT24" t="str">
        <f t="shared" si="97"/>
        <v>HL</v>
      </c>
      <c r="DU24" t="str">
        <f t="shared" ref="DU24:DU55" si="105">DJ2</f>
        <v>LL</v>
      </c>
      <c r="DV24">
        <f t="shared" si="13"/>
        <v>0.7851396224733026</v>
      </c>
      <c r="DW24">
        <f t="shared" si="14"/>
        <v>0.91127899979941196</v>
      </c>
      <c r="DX24">
        <f t="shared" si="42"/>
        <v>1.0189209065989022</v>
      </c>
      <c r="DY24">
        <f t="shared" si="50"/>
        <v>-2.5522052104923096</v>
      </c>
      <c r="DZ24">
        <f t="shared" si="58"/>
        <v>-3.0175391678366994</v>
      </c>
      <c r="EA24">
        <f t="shared" si="66"/>
        <v>-4.0340086024381048</v>
      </c>
      <c r="EB24">
        <f t="shared" si="74"/>
        <v>-2.8220899913084194</v>
      </c>
      <c r="EC24">
        <f t="shared" si="82"/>
        <v>-3.0324708609124071</v>
      </c>
      <c r="ED24">
        <f t="shared" si="90"/>
        <v>-8.6561476231864845</v>
      </c>
      <c r="EE24">
        <f t="shared" si="98"/>
        <v>3.8849145327717167</v>
      </c>
      <c r="EF24">
        <f t="shared" ref="EF24:EF55" si="106">IFERROR(((Q24-$F24)/$F24)*100,0)</f>
        <v>0.34833188473622601</v>
      </c>
      <c r="EG24" s="13" t="str">
        <f t="shared" si="15"/>
        <v/>
      </c>
      <c r="EH24" s="13" t="str">
        <f t="shared" si="16"/>
        <v/>
      </c>
      <c r="EI24" s="13" t="str">
        <f t="shared" si="17"/>
        <v/>
      </c>
      <c r="EJ24" s="13" t="str">
        <f t="shared" si="18"/>
        <v/>
      </c>
      <c r="EK24" s="13" t="str">
        <f t="shared" si="19"/>
        <v/>
      </c>
      <c r="EL24" s="13" t="str">
        <f t="shared" si="20"/>
        <v/>
      </c>
      <c r="EM24" s="13" t="str">
        <f t="shared" si="21"/>
        <v/>
      </c>
      <c r="EN24" s="13" t="str">
        <f t="shared" si="22"/>
        <v/>
      </c>
      <c r="EO24" s="13" t="str">
        <f t="shared" si="23"/>
        <v/>
      </c>
      <c r="EP24" s="13" t="str">
        <f t="shared" si="24"/>
        <v/>
      </c>
      <c r="EQ24" s="13" t="str">
        <f t="shared" si="25"/>
        <v/>
      </c>
    </row>
    <row r="25" spans="1:147" ht="14.25" customHeight="1" x14ac:dyDescent="0.55000000000000004">
      <c r="A25">
        <v>1774486804</v>
      </c>
      <c r="B25" t="s">
        <v>16</v>
      </c>
      <c r="C25" t="s">
        <v>17</v>
      </c>
      <c r="D25">
        <v>4538.3999999999996</v>
      </c>
      <c r="E25" t="s">
        <v>20</v>
      </c>
      <c r="F25">
        <v>4544.29</v>
      </c>
      <c r="G25">
        <v>4568.96</v>
      </c>
      <c r="H25">
        <v>4585.51</v>
      </c>
      <c r="I25">
        <f t="shared" si="38"/>
        <v>4567.7299999999996</v>
      </c>
      <c r="J25">
        <f t="shared" si="46"/>
        <v>4602.3</v>
      </c>
      <c r="K25">
        <f t="shared" si="54"/>
        <v>4433.51</v>
      </c>
      <c r="L25">
        <f t="shared" si="62"/>
        <v>4441.87</v>
      </c>
      <c r="M25">
        <f t="shared" si="70"/>
        <v>4448.04</v>
      </c>
      <c r="N25">
        <f t="shared" si="78"/>
        <v>4467.12</v>
      </c>
      <c r="O25">
        <f t="shared" si="86"/>
        <v>4512.91</v>
      </c>
      <c r="P25">
        <f t="shared" si="94"/>
        <v>4734.78</v>
      </c>
      <c r="Q25">
        <f t="shared" si="102"/>
        <v>4736.13</v>
      </c>
      <c r="R25">
        <v>57.19</v>
      </c>
      <c r="S25">
        <f t="shared" si="26"/>
        <v>46.630000000000109</v>
      </c>
      <c r="T25">
        <f t="shared" si="27"/>
        <v>57.520000000000437</v>
      </c>
      <c r="U25">
        <f t="shared" si="43"/>
        <v>34.909999999999854</v>
      </c>
      <c r="V25">
        <f t="shared" si="51"/>
        <v>229.72000000000025</v>
      </c>
      <c r="W25">
        <f t="shared" si="59"/>
        <v>81.8100000000004</v>
      </c>
      <c r="X25">
        <f t="shared" si="67"/>
        <v>135.77999999999975</v>
      </c>
      <c r="Y25">
        <f t="shared" si="75"/>
        <v>87.569999999999709</v>
      </c>
      <c r="Z25">
        <f t="shared" si="83"/>
        <v>116.09000000000015</v>
      </c>
      <c r="AA25">
        <f t="shared" si="91"/>
        <v>414.22000000000025</v>
      </c>
      <c r="AB25">
        <f t="shared" si="99"/>
        <v>73.359999999999673</v>
      </c>
      <c r="AC25">
        <f t="shared" ref="AC25:AC56" si="107">Q25-Q24</f>
        <v>233.40000000000055</v>
      </c>
      <c r="AD25">
        <v>1.27</v>
      </c>
      <c r="AE25" s="14">
        <f t="shared" si="28"/>
        <v>1.0311056468678781</v>
      </c>
      <c r="AF25" s="14">
        <f t="shared" si="29"/>
        <v>1.2703208266802806</v>
      </c>
      <c r="AG25" s="14">
        <f t="shared" si="44"/>
        <v>0.77016073878953628</v>
      </c>
      <c r="AH25" s="14">
        <f t="shared" si="52"/>
        <v>5.2536488754922779</v>
      </c>
      <c r="AI25" s="14">
        <f t="shared" si="60"/>
        <v>1.879954960130533</v>
      </c>
      <c r="AJ25" s="14">
        <f t="shared" si="68"/>
        <v>3.1532085952685556</v>
      </c>
      <c r="AK25" s="14">
        <f t="shared" si="76"/>
        <v>2.0082697507378722</v>
      </c>
      <c r="AL25" s="14">
        <f t="shared" si="84"/>
        <v>2.6681038742550651</v>
      </c>
      <c r="AM25" s="14">
        <f t="shared" si="92"/>
        <v>10.10615586931435</v>
      </c>
      <c r="AN25" s="14">
        <f t="shared" si="100"/>
        <v>1.5737693664162351</v>
      </c>
      <c r="AO25" s="14">
        <f t="shared" ref="AO25:AO56" si="108">(AC25/Q24)*100</f>
        <v>5.1835219966553749</v>
      </c>
      <c r="AP25">
        <v>0</v>
      </c>
      <c r="AQ25">
        <f t="shared" si="30"/>
        <v>0</v>
      </c>
      <c r="AR25">
        <f t="shared" si="34"/>
        <v>0</v>
      </c>
      <c r="AS25">
        <f t="shared" si="39"/>
        <v>0</v>
      </c>
      <c r="AT25">
        <f t="shared" si="47"/>
        <v>0</v>
      </c>
      <c r="AU25">
        <f t="shared" si="55"/>
        <v>0</v>
      </c>
      <c r="AV25">
        <f t="shared" si="63"/>
        <v>0</v>
      </c>
      <c r="AW25">
        <f t="shared" si="71"/>
        <v>0</v>
      </c>
      <c r="AX25">
        <f t="shared" si="79"/>
        <v>0</v>
      </c>
      <c r="AY25">
        <f t="shared" si="87"/>
        <v>2</v>
      </c>
      <c r="AZ25">
        <f t="shared" si="95"/>
        <v>0</v>
      </c>
      <c r="BA25">
        <f t="shared" si="103"/>
        <v>2</v>
      </c>
      <c r="BB25">
        <v>20</v>
      </c>
      <c r="BC25">
        <f t="shared" si="31"/>
        <v>22</v>
      </c>
      <c r="BD25">
        <f t="shared" si="35"/>
        <v>7</v>
      </c>
      <c r="BE25">
        <f t="shared" si="40"/>
        <v>12</v>
      </c>
      <c r="BF25">
        <f t="shared" si="48"/>
        <v>32</v>
      </c>
      <c r="BG25">
        <f t="shared" si="56"/>
        <v>4</v>
      </c>
      <c r="BH25">
        <f t="shared" si="64"/>
        <v>35</v>
      </c>
      <c r="BI25">
        <f t="shared" si="72"/>
        <v>5</v>
      </c>
      <c r="BJ25">
        <f t="shared" si="80"/>
        <v>12</v>
      </c>
      <c r="BK25">
        <f t="shared" si="88"/>
        <v>28</v>
      </c>
      <c r="BL25">
        <f t="shared" si="96"/>
        <v>7</v>
      </c>
      <c r="BM25">
        <f t="shared" si="104"/>
        <v>53</v>
      </c>
      <c r="BZ25" s="12">
        <f t="shared" si="0"/>
        <v>2.8594999999999997</v>
      </c>
      <c r="CA25" s="12">
        <f t="shared" si="32"/>
        <v>2.1195454545454595</v>
      </c>
      <c r="CB25" s="12">
        <f t="shared" si="36"/>
        <v>8.2171428571429193</v>
      </c>
      <c r="CC25" s="12">
        <f t="shared" si="45"/>
        <v>2.9091666666666547</v>
      </c>
      <c r="CD25" s="12">
        <f t="shared" si="53"/>
        <v>7.178750000000008</v>
      </c>
      <c r="CE25" s="12">
        <f t="shared" si="61"/>
        <v>20.4525000000001</v>
      </c>
      <c r="CF25" s="12">
        <f t="shared" si="69"/>
        <v>3.8794285714285643</v>
      </c>
      <c r="CG25" s="12">
        <f t="shared" si="77"/>
        <v>17.513999999999943</v>
      </c>
      <c r="CH25" s="12">
        <f t="shared" si="85"/>
        <v>9.6741666666666788</v>
      </c>
      <c r="CI25" s="12">
        <f t="shared" si="93"/>
        <v>14.793571428571438</v>
      </c>
      <c r="CJ25" s="12">
        <f t="shared" si="101"/>
        <v>10.479999999999952</v>
      </c>
      <c r="CK25" s="12">
        <f t="shared" ref="CK25:CK56" si="109">IFERROR(AC25/BM25,0)</f>
        <v>4.4037735849056707</v>
      </c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>
        <f t="shared" si="1"/>
        <v>70.724681625353156</v>
      </c>
      <c r="CY25" s="12">
        <f t="shared" si="2"/>
        <v>64.742095759376653</v>
      </c>
      <c r="CZ25" s="12">
        <f t="shared" si="3"/>
        <v>83.061406455993264</v>
      </c>
      <c r="DA25" s="12">
        <f t="shared" si="4"/>
        <v>71.030050880666636</v>
      </c>
      <c r="DB25" s="12">
        <f t="shared" si="5"/>
        <v>82.069728460921951</v>
      </c>
      <c r="DC25" s="12">
        <f t="shared" si="6"/>
        <v>87.200822013750766</v>
      </c>
      <c r="DD25" s="12">
        <f t="shared" si="7"/>
        <v>75.545532123161792</v>
      </c>
      <c r="DE25" s="12">
        <f t="shared" si="8"/>
        <v>86.732120707566949</v>
      </c>
      <c r="DF25" s="12">
        <f t="shared" si="9"/>
        <v>84.098405355097839</v>
      </c>
      <c r="DG25" s="12">
        <f t="shared" si="10"/>
        <v>86.132864183076094</v>
      </c>
      <c r="DH25" s="12">
        <f t="shared" si="11"/>
        <v>84.549348124092901</v>
      </c>
      <c r="DI25" s="12">
        <f t="shared" si="12"/>
        <v>77.206344657121164</v>
      </c>
      <c r="DJ25" t="s">
        <v>21</v>
      </c>
      <c r="DK25" t="str">
        <f t="shared" si="33"/>
        <v>LH</v>
      </c>
      <c r="DL25" t="str">
        <f t="shared" si="37"/>
        <v>HH</v>
      </c>
      <c r="DM25" t="str">
        <f t="shared" si="41"/>
        <v>LH</v>
      </c>
      <c r="DN25" t="str">
        <f t="shared" si="49"/>
        <v>HH</v>
      </c>
      <c r="DO25" t="str">
        <f t="shared" si="57"/>
        <v>LH</v>
      </c>
      <c r="DP25" t="str">
        <f t="shared" si="65"/>
        <v>LH</v>
      </c>
      <c r="DQ25" t="str">
        <f t="shared" si="73"/>
        <v>LH</v>
      </c>
      <c r="DR25" t="str">
        <f t="shared" si="81"/>
        <v>LH</v>
      </c>
      <c r="DS25" t="str">
        <f t="shared" si="89"/>
        <v>LH</v>
      </c>
      <c r="DT25" t="str">
        <f t="shared" si="97"/>
        <v>LH</v>
      </c>
      <c r="DU25" t="str">
        <f t="shared" si="105"/>
        <v>LH</v>
      </c>
      <c r="DV25">
        <f t="shared" si="13"/>
        <v>0.54287908562173792</v>
      </c>
      <c r="DW25">
        <f t="shared" si="14"/>
        <v>0.90707239194682232</v>
      </c>
      <c r="DX25">
        <f t="shared" si="42"/>
        <v>0.51581215107309608</v>
      </c>
      <c r="DY25">
        <f t="shared" si="50"/>
        <v>1.2765470513545618</v>
      </c>
      <c r="DZ25">
        <f t="shared" si="58"/>
        <v>-2.4377845604043697</v>
      </c>
      <c r="EA25">
        <f t="shared" si="66"/>
        <v>-2.2538174280250614</v>
      </c>
      <c r="EB25">
        <f t="shared" si="74"/>
        <v>-2.118042642525015</v>
      </c>
      <c r="EC25">
        <f t="shared" si="82"/>
        <v>-1.6981750724535645</v>
      </c>
      <c r="ED25">
        <f t="shared" si="90"/>
        <v>-0.6905369155577683</v>
      </c>
      <c r="EE25">
        <f t="shared" si="98"/>
        <v>4.1918539529827488</v>
      </c>
      <c r="EF25">
        <f t="shared" si="106"/>
        <v>4.2215615640727187</v>
      </c>
      <c r="EG25" s="13" t="str">
        <f t="shared" si="15"/>
        <v/>
      </c>
      <c r="EH25" s="13" t="str">
        <f t="shared" si="16"/>
        <v/>
      </c>
      <c r="EI25" s="13" t="str">
        <f t="shared" si="17"/>
        <v/>
      </c>
      <c r="EJ25" s="13" t="str">
        <f t="shared" si="18"/>
        <v/>
      </c>
      <c r="EK25" s="13" t="str">
        <f t="shared" si="19"/>
        <v/>
      </c>
      <c r="EL25" s="13" t="str">
        <f t="shared" si="20"/>
        <v/>
      </c>
      <c r="EM25" s="13" t="str">
        <f t="shared" si="21"/>
        <v/>
      </c>
      <c r="EN25" s="13" t="str">
        <f t="shared" si="22"/>
        <v/>
      </c>
      <c r="EO25" s="13" t="str">
        <f t="shared" si="23"/>
        <v/>
      </c>
      <c r="EP25" s="13" t="str">
        <f t="shared" si="24"/>
        <v/>
      </c>
      <c r="EQ25" s="13" t="str">
        <f t="shared" si="25"/>
        <v/>
      </c>
    </row>
    <row r="26" spans="1:147" ht="14.25" customHeight="1" x14ac:dyDescent="0.55000000000000004">
      <c r="A26">
        <v>1774513804</v>
      </c>
      <c r="B26" t="s">
        <v>16</v>
      </c>
      <c r="C26" t="s">
        <v>17</v>
      </c>
      <c r="D26">
        <v>4420.09</v>
      </c>
      <c r="E26" t="s">
        <v>18</v>
      </c>
      <c r="F26">
        <v>4413.24</v>
      </c>
      <c r="G26">
        <v>4487.1000000000004</v>
      </c>
      <c r="H26">
        <v>4522.33</v>
      </c>
      <c r="I26">
        <f t="shared" si="38"/>
        <v>4527.99</v>
      </c>
      <c r="J26">
        <f t="shared" si="46"/>
        <v>4532.82</v>
      </c>
      <c r="K26">
        <f t="shared" si="54"/>
        <v>4372.58</v>
      </c>
      <c r="L26">
        <f t="shared" si="62"/>
        <v>4351.7</v>
      </c>
      <c r="M26">
        <f t="shared" si="70"/>
        <v>4306.09</v>
      </c>
      <c r="N26">
        <f t="shared" si="78"/>
        <v>4360.47</v>
      </c>
      <c r="O26">
        <f t="shared" si="86"/>
        <v>4351.03</v>
      </c>
      <c r="P26">
        <f t="shared" si="94"/>
        <v>4098.6899999999996</v>
      </c>
      <c r="Q26">
        <f t="shared" si="102"/>
        <v>4661.42</v>
      </c>
      <c r="R26">
        <v>-131.05000000000001</v>
      </c>
      <c r="S26">
        <f t="shared" si="26"/>
        <v>-81.859999999999673</v>
      </c>
      <c r="T26">
        <f t="shared" si="27"/>
        <v>-63.180000000000291</v>
      </c>
      <c r="U26">
        <f t="shared" si="43"/>
        <v>-39.739999999999782</v>
      </c>
      <c r="V26">
        <f t="shared" si="51"/>
        <v>-69.480000000000473</v>
      </c>
      <c r="W26">
        <f t="shared" si="59"/>
        <v>-60.930000000000291</v>
      </c>
      <c r="X26">
        <f t="shared" si="67"/>
        <v>-90.170000000000073</v>
      </c>
      <c r="Y26">
        <f t="shared" si="75"/>
        <v>-141.94999999999982</v>
      </c>
      <c r="Z26">
        <f t="shared" si="83"/>
        <v>-106.64999999999964</v>
      </c>
      <c r="AA26">
        <f t="shared" si="91"/>
        <v>-161.88000000000011</v>
      </c>
      <c r="AB26">
        <f t="shared" si="99"/>
        <v>-636.09000000000015</v>
      </c>
      <c r="AC26">
        <f t="shared" si="107"/>
        <v>-74.710000000000036</v>
      </c>
      <c r="AD26">
        <v>-2.88</v>
      </c>
      <c r="AE26" s="14">
        <f t="shared" si="28"/>
        <v>-1.7916549936965891</v>
      </c>
      <c r="AF26" s="14">
        <f t="shared" si="29"/>
        <v>-1.3778183887942734</v>
      </c>
      <c r="AG26" s="14">
        <f t="shared" si="44"/>
        <v>-0.87001639764171224</v>
      </c>
      <c r="AH26" s="14">
        <f t="shared" si="52"/>
        <v>-1.509679942637387</v>
      </c>
      <c r="AI26" s="14">
        <f t="shared" si="60"/>
        <v>-1.3743061366727556</v>
      </c>
      <c r="AJ26" s="14">
        <f t="shared" si="68"/>
        <v>-2.0300008780085883</v>
      </c>
      <c r="AK26" s="14">
        <f t="shared" si="76"/>
        <v>-3.1912932437657893</v>
      </c>
      <c r="AL26" s="14">
        <f t="shared" si="84"/>
        <v>-2.3874442593885914</v>
      </c>
      <c r="AM26" s="14">
        <f t="shared" si="92"/>
        <v>-3.5870425069412</v>
      </c>
      <c r="AN26" s="14">
        <f t="shared" si="100"/>
        <v>-13.434415115380233</v>
      </c>
      <c r="AO26" s="14">
        <f t="shared" si="108"/>
        <v>-1.5774482541653214</v>
      </c>
      <c r="AP26">
        <v>3</v>
      </c>
      <c r="AQ26">
        <f t="shared" si="30"/>
        <v>3</v>
      </c>
      <c r="AR26">
        <f t="shared" si="34"/>
        <v>3</v>
      </c>
      <c r="AS26">
        <f t="shared" si="39"/>
        <v>3</v>
      </c>
      <c r="AT26">
        <f t="shared" si="47"/>
        <v>3</v>
      </c>
      <c r="AU26">
        <f t="shared" si="55"/>
        <v>3</v>
      </c>
      <c r="AV26">
        <f t="shared" si="63"/>
        <v>3</v>
      </c>
      <c r="AW26">
        <f t="shared" si="71"/>
        <v>3</v>
      </c>
      <c r="AX26">
        <f t="shared" si="79"/>
        <v>3</v>
      </c>
      <c r="AY26">
        <f t="shared" si="87"/>
        <v>3</v>
      </c>
      <c r="AZ26">
        <f t="shared" si="95"/>
        <v>5</v>
      </c>
      <c r="BA26">
        <f t="shared" si="103"/>
        <v>3</v>
      </c>
      <c r="BB26">
        <v>30</v>
      </c>
      <c r="BC26">
        <f t="shared" si="31"/>
        <v>4</v>
      </c>
      <c r="BD26">
        <f t="shared" si="35"/>
        <v>4</v>
      </c>
      <c r="BE26">
        <f t="shared" si="40"/>
        <v>3</v>
      </c>
      <c r="BF26">
        <f t="shared" si="48"/>
        <v>13</v>
      </c>
      <c r="BG26">
        <f t="shared" si="56"/>
        <v>12</v>
      </c>
      <c r="BH26">
        <f t="shared" si="64"/>
        <v>12</v>
      </c>
      <c r="BI26">
        <f t="shared" si="72"/>
        <v>11</v>
      </c>
      <c r="BJ26">
        <f t="shared" si="80"/>
        <v>9</v>
      </c>
      <c r="BK26">
        <f t="shared" si="88"/>
        <v>6</v>
      </c>
      <c r="BL26">
        <f t="shared" si="96"/>
        <v>88</v>
      </c>
      <c r="BM26">
        <f t="shared" si="104"/>
        <v>13</v>
      </c>
      <c r="BZ26" s="12">
        <f t="shared" si="0"/>
        <v>-4.3683333333333341</v>
      </c>
      <c r="CA26" s="12">
        <f t="shared" si="32"/>
        <v>-20.464999999999918</v>
      </c>
      <c r="CB26" s="12">
        <f t="shared" si="36"/>
        <v>-15.795000000000073</v>
      </c>
      <c r="CC26" s="12">
        <f t="shared" si="45"/>
        <v>-13.246666666666593</v>
      </c>
      <c r="CD26" s="12">
        <f t="shared" si="53"/>
        <v>-5.3446153846154214</v>
      </c>
      <c r="CE26" s="12">
        <f t="shared" si="61"/>
        <v>-5.0775000000000245</v>
      </c>
      <c r="CF26" s="12">
        <f t="shared" si="69"/>
        <v>-7.5141666666666724</v>
      </c>
      <c r="CG26" s="12">
        <f t="shared" si="77"/>
        <v>-12.904545454545438</v>
      </c>
      <c r="CH26" s="12">
        <f t="shared" si="85"/>
        <v>-11.849999999999959</v>
      </c>
      <c r="CI26" s="12">
        <f t="shared" si="93"/>
        <v>-26.980000000000018</v>
      </c>
      <c r="CJ26" s="12">
        <f t="shared" si="101"/>
        <v>-7.2282954545454565</v>
      </c>
      <c r="CK26" s="12">
        <f t="shared" si="109"/>
        <v>-5.7469230769230801</v>
      </c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>
        <f t="shared" si="1"/>
        <v>-77.106005692914977</v>
      </c>
      <c r="CY26" s="12">
        <f t="shared" si="2"/>
        <v>-87.202529031911553</v>
      </c>
      <c r="CZ26" s="12">
        <f t="shared" si="3"/>
        <v>-86.377371945969784</v>
      </c>
      <c r="DA26" s="12">
        <f t="shared" si="4"/>
        <v>-85.682890519251998</v>
      </c>
      <c r="DB26" s="12">
        <f t="shared" si="5"/>
        <v>-79.402253631410062</v>
      </c>
      <c r="DC26" s="12">
        <f t="shared" si="6"/>
        <v>-78.858344556570415</v>
      </c>
      <c r="DD26" s="12">
        <f t="shared" si="7"/>
        <v>-82.419508361922027</v>
      </c>
      <c r="DE26" s="12">
        <f t="shared" si="8"/>
        <v>-85.568886660479492</v>
      </c>
      <c r="DF26" s="12">
        <f t="shared" si="9"/>
        <v>-85.176341802404806</v>
      </c>
      <c r="DG26" s="12">
        <f t="shared" si="10"/>
        <v>-87.877332693912436</v>
      </c>
      <c r="DH26" s="12">
        <f t="shared" si="11"/>
        <v>-82.123400948097768</v>
      </c>
      <c r="DI26" s="12">
        <f t="shared" si="12"/>
        <v>-80.129014742874119</v>
      </c>
      <c r="DJ26" t="s">
        <v>19</v>
      </c>
      <c r="DK26" t="str">
        <f t="shared" si="33"/>
        <v>LL</v>
      </c>
      <c r="DL26" t="str">
        <f t="shared" si="37"/>
        <v>LL</v>
      </c>
      <c r="DM26" t="str">
        <f t="shared" si="41"/>
        <v>LL</v>
      </c>
      <c r="DN26" t="str">
        <f t="shared" si="49"/>
        <v>HL</v>
      </c>
      <c r="DO26" t="str">
        <f t="shared" si="57"/>
        <v>HL</v>
      </c>
      <c r="DP26" t="str">
        <f t="shared" si="65"/>
        <v>HL</v>
      </c>
      <c r="DQ26" t="str">
        <f t="shared" si="73"/>
        <v>LL</v>
      </c>
      <c r="DR26" t="str">
        <f t="shared" si="81"/>
        <v>HL</v>
      </c>
      <c r="DS26" t="str">
        <f t="shared" si="89"/>
        <v>HL</v>
      </c>
      <c r="DT26" t="str">
        <f t="shared" si="97"/>
        <v>LL</v>
      </c>
      <c r="DU26" t="str">
        <f t="shared" si="105"/>
        <v>HL</v>
      </c>
      <c r="DV26">
        <f t="shared" si="13"/>
        <v>1.6736003480436272</v>
      </c>
      <c r="DW26">
        <f t="shared" si="14"/>
        <v>2.471880069971272</v>
      </c>
      <c r="DX26">
        <f t="shared" si="42"/>
        <v>2.600130516355331</v>
      </c>
      <c r="DY26">
        <f t="shared" si="50"/>
        <v>2.7095739184816581</v>
      </c>
      <c r="DZ26">
        <f t="shared" si="58"/>
        <v>-0.92131857773426906</v>
      </c>
      <c r="EA26">
        <f t="shared" si="66"/>
        <v>-1.3944403658083395</v>
      </c>
      <c r="EB26">
        <f t="shared" si="74"/>
        <v>-2.4279214364049913</v>
      </c>
      <c r="EC26">
        <f t="shared" si="82"/>
        <v>-1.1957201511814344</v>
      </c>
      <c r="ED26">
        <f t="shared" si="90"/>
        <v>-1.409621955751331</v>
      </c>
      <c r="EE26">
        <f t="shared" si="98"/>
        <v>-7.1274165918916763</v>
      </c>
      <c r="EF26">
        <f t="shared" si="106"/>
        <v>5.6235328239570084</v>
      </c>
      <c r="EG26" s="13" t="str">
        <f t="shared" si="15"/>
        <v/>
      </c>
      <c r="EH26" s="13" t="str">
        <f t="shared" si="16"/>
        <v/>
      </c>
      <c r="EI26" s="13" t="str">
        <f t="shared" si="17"/>
        <v/>
      </c>
      <c r="EJ26" s="13" t="str">
        <f t="shared" si="18"/>
        <v/>
      </c>
      <c r="EK26" s="13" t="str">
        <f t="shared" si="19"/>
        <v/>
      </c>
      <c r="EL26" s="13" t="str">
        <f t="shared" si="20"/>
        <v/>
      </c>
      <c r="EM26" s="13" t="str">
        <f t="shared" si="21"/>
        <v/>
      </c>
      <c r="EN26" s="13" t="str">
        <f t="shared" si="22"/>
        <v/>
      </c>
      <c r="EO26" s="13" t="str">
        <f t="shared" si="23"/>
        <v/>
      </c>
      <c r="EP26" s="13" t="str">
        <f t="shared" si="24"/>
        <v/>
      </c>
      <c r="EQ26" s="13" t="str">
        <f t="shared" si="25"/>
        <v/>
      </c>
    </row>
    <row r="27" spans="1:147" ht="14.25" customHeight="1" x14ac:dyDescent="0.55000000000000004">
      <c r="A27">
        <v>1774535404</v>
      </c>
      <c r="B27" t="s">
        <v>16</v>
      </c>
      <c r="C27" t="s">
        <v>17</v>
      </c>
      <c r="D27">
        <v>4461.2700000000004</v>
      </c>
      <c r="E27" t="s">
        <v>20</v>
      </c>
      <c r="F27">
        <v>4479.1400000000003</v>
      </c>
      <c r="G27">
        <v>4544.29</v>
      </c>
      <c r="H27">
        <v>4568.96</v>
      </c>
      <c r="I27">
        <f t="shared" si="38"/>
        <v>4585.51</v>
      </c>
      <c r="J27">
        <f t="shared" si="46"/>
        <v>4567.7299999999996</v>
      </c>
      <c r="K27">
        <f t="shared" si="54"/>
        <v>4602.3</v>
      </c>
      <c r="L27">
        <f t="shared" si="62"/>
        <v>4433.51</v>
      </c>
      <c r="M27">
        <f t="shared" si="70"/>
        <v>4441.87</v>
      </c>
      <c r="N27">
        <f t="shared" si="78"/>
        <v>4448.04</v>
      </c>
      <c r="O27">
        <f t="shared" si="86"/>
        <v>4467.12</v>
      </c>
      <c r="P27">
        <f t="shared" si="94"/>
        <v>4512.91</v>
      </c>
      <c r="Q27">
        <f t="shared" si="102"/>
        <v>4734.78</v>
      </c>
      <c r="R27">
        <v>65.900000000000006</v>
      </c>
      <c r="S27">
        <f t="shared" si="26"/>
        <v>57.1899999999996</v>
      </c>
      <c r="T27">
        <f t="shared" si="27"/>
        <v>46.630000000000109</v>
      </c>
      <c r="U27">
        <f t="shared" si="43"/>
        <v>57.520000000000437</v>
      </c>
      <c r="V27">
        <f t="shared" si="51"/>
        <v>34.909999999999854</v>
      </c>
      <c r="W27">
        <f t="shared" si="59"/>
        <v>229.72000000000025</v>
      </c>
      <c r="X27">
        <f t="shared" si="67"/>
        <v>81.8100000000004</v>
      </c>
      <c r="Y27">
        <f t="shared" si="75"/>
        <v>135.77999999999975</v>
      </c>
      <c r="Z27">
        <f t="shared" si="83"/>
        <v>87.569999999999709</v>
      </c>
      <c r="AA27">
        <f t="shared" si="91"/>
        <v>116.09000000000015</v>
      </c>
      <c r="AB27">
        <f t="shared" si="99"/>
        <v>414.22000000000025</v>
      </c>
      <c r="AC27">
        <f t="shared" si="107"/>
        <v>73.359999999999673</v>
      </c>
      <c r="AD27">
        <v>1.49</v>
      </c>
      <c r="AE27" s="14">
        <f t="shared" si="28"/>
        <v>1.2745425776113659</v>
      </c>
      <c r="AF27" s="14">
        <f t="shared" si="29"/>
        <v>1.0311056468678781</v>
      </c>
      <c r="AG27" s="14">
        <f t="shared" si="44"/>
        <v>1.2703208266802806</v>
      </c>
      <c r="AH27" s="14">
        <f t="shared" si="52"/>
        <v>0.77016073878953628</v>
      </c>
      <c r="AI27" s="14">
        <f t="shared" si="60"/>
        <v>5.2536488754922779</v>
      </c>
      <c r="AJ27" s="14">
        <f t="shared" si="68"/>
        <v>1.879954960130533</v>
      </c>
      <c r="AK27" s="14">
        <f t="shared" si="76"/>
        <v>3.1532085952685556</v>
      </c>
      <c r="AL27" s="14">
        <f t="shared" si="84"/>
        <v>2.0082697507378722</v>
      </c>
      <c r="AM27" s="14">
        <f t="shared" si="92"/>
        <v>2.6681038742550651</v>
      </c>
      <c r="AN27" s="14">
        <f t="shared" si="100"/>
        <v>10.10615586931435</v>
      </c>
      <c r="AO27" s="14">
        <f t="shared" si="108"/>
        <v>1.5737693664162351</v>
      </c>
      <c r="AP27">
        <v>0</v>
      </c>
      <c r="AQ27">
        <f t="shared" si="30"/>
        <v>0</v>
      </c>
      <c r="AR27">
        <f t="shared" si="34"/>
        <v>0</v>
      </c>
      <c r="AS27">
        <f t="shared" si="39"/>
        <v>0</v>
      </c>
      <c r="AT27">
        <f t="shared" si="47"/>
        <v>0</v>
      </c>
      <c r="AU27">
        <f t="shared" si="55"/>
        <v>0</v>
      </c>
      <c r="AV27">
        <f t="shared" si="63"/>
        <v>0</v>
      </c>
      <c r="AW27">
        <f t="shared" si="71"/>
        <v>0</v>
      </c>
      <c r="AX27">
        <f t="shared" si="79"/>
        <v>0</v>
      </c>
      <c r="AY27">
        <f t="shared" si="87"/>
        <v>0</v>
      </c>
      <c r="AZ27">
        <f t="shared" si="95"/>
        <v>2</v>
      </c>
      <c r="BA27">
        <f t="shared" si="103"/>
        <v>0</v>
      </c>
      <c r="BB27">
        <v>24</v>
      </c>
      <c r="BC27">
        <f t="shared" si="31"/>
        <v>20</v>
      </c>
      <c r="BD27">
        <f t="shared" si="35"/>
        <v>22</v>
      </c>
      <c r="BE27">
        <f t="shared" si="40"/>
        <v>7</v>
      </c>
      <c r="BF27">
        <f t="shared" si="48"/>
        <v>12</v>
      </c>
      <c r="BG27">
        <f t="shared" si="56"/>
        <v>32</v>
      </c>
      <c r="BH27">
        <f t="shared" si="64"/>
        <v>4</v>
      </c>
      <c r="BI27">
        <f t="shared" si="72"/>
        <v>35</v>
      </c>
      <c r="BJ27">
        <f t="shared" si="80"/>
        <v>5</v>
      </c>
      <c r="BK27">
        <f t="shared" si="88"/>
        <v>12</v>
      </c>
      <c r="BL27">
        <f t="shared" si="96"/>
        <v>28</v>
      </c>
      <c r="BM27">
        <f t="shared" si="104"/>
        <v>7</v>
      </c>
      <c r="BZ27" s="12">
        <f t="shared" si="0"/>
        <v>2.7458333333333336</v>
      </c>
      <c r="CA27" s="12">
        <f t="shared" si="32"/>
        <v>2.8594999999999802</v>
      </c>
      <c r="CB27" s="12">
        <f t="shared" si="36"/>
        <v>2.1195454545454595</v>
      </c>
      <c r="CC27" s="12">
        <f t="shared" si="45"/>
        <v>8.2171428571429193</v>
      </c>
      <c r="CD27" s="12">
        <f t="shared" si="53"/>
        <v>2.9091666666666547</v>
      </c>
      <c r="CE27" s="12">
        <f t="shared" si="61"/>
        <v>7.178750000000008</v>
      </c>
      <c r="CF27" s="12">
        <f t="shared" si="69"/>
        <v>20.4525000000001</v>
      </c>
      <c r="CG27" s="12">
        <f t="shared" si="77"/>
        <v>3.8794285714285643</v>
      </c>
      <c r="CH27" s="12">
        <f t="shared" si="85"/>
        <v>17.513999999999943</v>
      </c>
      <c r="CI27" s="12">
        <f t="shared" si="93"/>
        <v>9.6741666666666788</v>
      </c>
      <c r="CJ27" s="12">
        <f t="shared" si="101"/>
        <v>14.793571428571438</v>
      </c>
      <c r="CK27" s="12">
        <f t="shared" si="109"/>
        <v>10.479999999999952</v>
      </c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>
        <f t="shared" si="1"/>
        <v>69.988974961847873</v>
      </c>
      <c r="CY27" s="12">
        <f t="shared" si="2"/>
        <v>70.724681625353043</v>
      </c>
      <c r="CZ27" s="12">
        <f t="shared" si="3"/>
        <v>64.742095759376653</v>
      </c>
      <c r="DA27" s="12">
        <f t="shared" si="4"/>
        <v>83.061406455993264</v>
      </c>
      <c r="DB27" s="12">
        <f t="shared" si="5"/>
        <v>71.030050880666636</v>
      </c>
      <c r="DC27" s="12">
        <f t="shared" si="6"/>
        <v>82.069728460921951</v>
      </c>
      <c r="DD27" s="12">
        <f t="shared" si="7"/>
        <v>87.200822013750766</v>
      </c>
      <c r="DE27" s="12">
        <f t="shared" si="8"/>
        <v>75.545532123161792</v>
      </c>
      <c r="DF27" s="12">
        <f t="shared" si="9"/>
        <v>86.732120707566949</v>
      </c>
      <c r="DG27" s="12">
        <f t="shared" si="10"/>
        <v>84.098405355097839</v>
      </c>
      <c r="DH27" s="12">
        <f t="shared" si="11"/>
        <v>86.132864183076094</v>
      </c>
      <c r="DI27" s="12">
        <f t="shared" si="12"/>
        <v>84.549348124092901</v>
      </c>
      <c r="DJ27" t="s">
        <v>21</v>
      </c>
      <c r="DK27" t="str">
        <f t="shared" si="33"/>
        <v>LH</v>
      </c>
      <c r="DL27" t="str">
        <f t="shared" si="37"/>
        <v>LH</v>
      </c>
      <c r="DM27" t="str">
        <f t="shared" si="41"/>
        <v>HH</v>
      </c>
      <c r="DN27" t="str">
        <f t="shared" si="49"/>
        <v>LH</v>
      </c>
      <c r="DO27" t="str">
        <f t="shared" si="57"/>
        <v>HH</v>
      </c>
      <c r="DP27" t="str">
        <f t="shared" si="65"/>
        <v>LH</v>
      </c>
      <c r="DQ27" t="str">
        <f t="shared" si="73"/>
        <v>LH</v>
      </c>
      <c r="DR27" t="str">
        <f t="shared" si="81"/>
        <v>LH</v>
      </c>
      <c r="DS27" t="str">
        <f t="shared" si="89"/>
        <v>LH</v>
      </c>
      <c r="DT27" t="str">
        <f t="shared" si="97"/>
        <v>LH</v>
      </c>
      <c r="DU27" t="str">
        <f t="shared" si="105"/>
        <v>LH</v>
      </c>
      <c r="DV27">
        <f t="shared" si="13"/>
        <v>1.4545202873765863</v>
      </c>
      <c r="DW27">
        <f t="shared" si="14"/>
        <v>2.005295659434617</v>
      </c>
      <c r="DX27">
        <f t="shared" si="42"/>
        <v>2.3747862312854675</v>
      </c>
      <c r="DY27">
        <f t="shared" si="50"/>
        <v>1.9778350308317945</v>
      </c>
      <c r="DZ27">
        <f t="shared" si="58"/>
        <v>2.7496349745710083</v>
      </c>
      <c r="EA27">
        <f t="shared" si="66"/>
        <v>-1.0187223440213993</v>
      </c>
      <c r="EB27">
        <f t="shared" si="74"/>
        <v>-0.83207937237952889</v>
      </c>
      <c r="EC27">
        <f t="shared" si="82"/>
        <v>-0.69432971507924202</v>
      </c>
      <c r="ED27">
        <f t="shared" si="90"/>
        <v>-0.26835508602098695</v>
      </c>
      <c r="EE27">
        <f t="shared" si="98"/>
        <v>0.7539393722902058</v>
      </c>
      <c r="EF27">
        <f t="shared" si="106"/>
        <v>5.7073456065226669</v>
      </c>
      <c r="EG27" s="13" t="str">
        <f t="shared" si="15"/>
        <v/>
      </c>
      <c r="EH27" s="13" t="str">
        <f t="shared" si="16"/>
        <v/>
      </c>
      <c r="EI27" s="13" t="str">
        <f t="shared" si="17"/>
        <v/>
      </c>
      <c r="EJ27" s="13" t="str">
        <f t="shared" si="18"/>
        <v/>
      </c>
      <c r="EK27" s="13" t="str">
        <f t="shared" si="19"/>
        <v/>
      </c>
      <c r="EL27" s="13" t="str">
        <f t="shared" si="20"/>
        <v/>
      </c>
      <c r="EM27" s="13" t="str">
        <f t="shared" si="21"/>
        <v/>
      </c>
      <c r="EN27" s="13" t="str">
        <f t="shared" si="22"/>
        <v/>
      </c>
      <c r="EO27" s="13" t="str">
        <f t="shared" si="23"/>
        <v/>
      </c>
      <c r="EP27" s="13" t="str">
        <f t="shared" si="24"/>
        <v/>
      </c>
      <c r="EQ27" s="13" t="str">
        <f t="shared" si="25"/>
        <v/>
      </c>
    </row>
    <row r="28" spans="1:147" ht="14.25" customHeight="1" x14ac:dyDescent="0.55000000000000004">
      <c r="A28">
        <v>1774554304</v>
      </c>
      <c r="B28" t="s">
        <v>16</v>
      </c>
      <c r="C28" t="s">
        <v>17</v>
      </c>
      <c r="D28">
        <v>4364.33</v>
      </c>
      <c r="E28" t="s">
        <v>18</v>
      </c>
      <c r="F28">
        <v>4359.29</v>
      </c>
      <c r="G28">
        <v>4413.24</v>
      </c>
      <c r="H28">
        <v>4487.1000000000004</v>
      </c>
      <c r="I28">
        <f t="shared" si="38"/>
        <v>4522.33</v>
      </c>
      <c r="J28">
        <f t="shared" si="46"/>
        <v>4527.99</v>
      </c>
      <c r="K28">
        <f t="shared" si="54"/>
        <v>4532.82</v>
      </c>
      <c r="L28">
        <f t="shared" si="62"/>
        <v>4372.58</v>
      </c>
      <c r="M28">
        <f t="shared" si="70"/>
        <v>4351.7</v>
      </c>
      <c r="N28">
        <f t="shared" si="78"/>
        <v>4306.09</v>
      </c>
      <c r="O28">
        <f t="shared" si="86"/>
        <v>4360.47</v>
      </c>
      <c r="P28">
        <f t="shared" si="94"/>
        <v>4351.03</v>
      </c>
      <c r="Q28">
        <f t="shared" si="102"/>
        <v>4098.6899999999996</v>
      </c>
      <c r="R28">
        <v>-119.85</v>
      </c>
      <c r="S28">
        <f t="shared" si="26"/>
        <v>-131.05000000000018</v>
      </c>
      <c r="T28">
        <f t="shared" si="27"/>
        <v>-81.859999999999673</v>
      </c>
      <c r="U28">
        <f t="shared" si="43"/>
        <v>-63.180000000000291</v>
      </c>
      <c r="V28">
        <f t="shared" si="51"/>
        <v>-39.739999999999782</v>
      </c>
      <c r="W28">
        <f t="shared" si="59"/>
        <v>-69.480000000000473</v>
      </c>
      <c r="X28">
        <f t="shared" si="67"/>
        <v>-60.930000000000291</v>
      </c>
      <c r="Y28">
        <f t="shared" si="75"/>
        <v>-90.170000000000073</v>
      </c>
      <c r="Z28">
        <f t="shared" si="83"/>
        <v>-141.94999999999982</v>
      </c>
      <c r="AA28">
        <f t="shared" si="91"/>
        <v>-106.64999999999964</v>
      </c>
      <c r="AB28">
        <f t="shared" si="99"/>
        <v>-161.88000000000011</v>
      </c>
      <c r="AC28">
        <f t="shared" si="107"/>
        <v>-636.09000000000015</v>
      </c>
      <c r="AD28">
        <v>-2.68</v>
      </c>
      <c r="AE28" s="14">
        <f t="shared" si="28"/>
        <v>-2.8838388395106866</v>
      </c>
      <c r="AF28" s="14">
        <f t="shared" si="29"/>
        <v>-1.7916549936965891</v>
      </c>
      <c r="AG28" s="14">
        <f t="shared" si="44"/>
        <v>-1.3778183887942734</v>
      </c>
      <c r="AH28" s="14">
        <f t="shared" si="52"/>
        <v>-0.87001639764171224</v>
      </c>
      <c r="AI28" s="14">
        <f t="shared" si="60"/>
        <v>-1.509679942637387</v>
      </c>
      <c r="AJ28" s="14">
        <f t="shared" si="68"/>
        <v>-1.3743061366727556</v>
      </c>
      <c r="AK28" s="14">
        <f t="shared" si="76"/>
        <v>-2.0300008780085883</v>
      </c>
      <c r="AL28" s="14">
        <f t="shared" si="84"/>
        <v>-3.1912932437657893</v>
      </c>
      <c r="AM28" s="14">
        <f t="shared" si="92"/>
        <v>-2.3874442593885914</v>
      </c>
      <c r="AN28" s="14">
        <f t="shared" si="100"/>
        <v>-3.5870425069412</v>
      </c>
      <c r="AO28" s="14">
        <f t="shared" si="108"/>
        <v>-13.434415115380233</v>
      </c>
      <c r="AP28">
        <v>3</v>
      </c>
      <c r="AQ28">
        <f t="shared" si="30"/>
        <v>3</v>
      </c>
      <c r="AR28">
        <f t="shared" si="34"/>
        <v>3</v>
      </c>
      <c r="AS28">
        <f t="shared" si="39"/>
        <v>3</v>
      </c>
      <c r="AT28">
        <f t="shared" si="47"/>
        <v>3</v>
      </c>
      <c r="AU28">
        <f t="shared" si="55"/>
        <v>3</v>
      </c>
      <c r="AV28">
        <f t="shared" si="63"/>
        <v>3</v>
      </c>
      <c r="AW28">
        <f t="shared" si="71"/>
        <v>3</v>
      </c>
      <c r="AX28">
        <f t="shared" si="79"/>
        <v>3</v>
      </c>
      <c r="AY28">
        <f t="shared" si="87"/>
        <v>3</v>
      </c>
      <c r="AZ28">
        <f t="shared" si="95"/>
        <v>3</v>
      </c>
      <c r="BA28">
        <f t="shared" si="103"/>
        <v>5</v>
      </c>
      <c r="BB28">
        <v>21</v>
      </c>
      <c r="BC28">
        <f t="shared" si="31"/>
        <v>30</v>
      </c>
      <c r="BD28">
        <f t="shared" si="35"/>
        <v>4</v>
      </c>
      <c r="BE28">
        <f t="shared" si="40"/>
        <v>4</v>
      </c>
      <c r="BF28">
        <f t="shared" si="48"/>
        <v>3</v>
      </c>
      <c r="BG28">
        <f t="shared" si="56"/>
        <v>13</v>
      </c>
      <c r="BH28">
        <f t="shared" si="64"/>
        <v>12</v>
      </c>
      <c r="BI28">
        <f t="shared" si="72"/>
        <v>12</v>
      </c>
      <c r="BJ28">
        <f t="shared" si="80"/>
        <v>11</v>
      </c>
      <c r="BK28">
        <f t="shared" si="88"/>
        <v>9</v>
      </c>
      <c r="BL28">
        <f t="shared" si="96"/>
        <v>6</v>
      </c>
      <c r="BM28">
        <f t="shared" si="104"/>
        <v>88</v>
      </c>
      <c r="BZ28" s="12">
        <f t="shared" si="0"/>
        <v>-5.7071428571428573</v>
      </c>
      <c r="CA28" s="12">
        <f t="shared" si="32"/>
        <v>-4.3683333333333394</v>
      </c>
      <c r="CB28" s="12">
        <f t="shared" si="36"/>
        <v>-20.464999999999918</v>
      </c>
      <c r="CC28" s="12">
        <f t="shared" si="45"/>
        <v>-15.795000000000073</v>
      </c>
      <c r="CD28" s="12">
        <f t="shared" si="53"/>
        <v>-13.246666666666593</v>
      </c>
      <c r="CE28" s="12">
        <f t="shared" si="61"/>
        <v>-5.3446153846154214</v>
      </c>
      <c r="CF28" s="12">
        <f t="shared" si="69"/>
        <v>-5.0775000000000245</v>
      </c>
      <c r="CG28" s="12">
        <f t="shared" si="77"/>
        <v>-7.5141666666666724</v>
      </c>
      <c r="CH28" s="12">
        <f t="shared" si="85"/>
        <v>-12.904545454545438</v>
      </c>
      <c r="CI28" s="12">
        <f t="shared" si="93"/>
        <v>-11.849999999999959</v>
      </c>
      <c r="CJ28" s="12">
        <f t="shared" si="101"/>
        <v>-26.980000000000018</v>
      </c>
      <c r="CK28" s="12">
        <f t="shared" si="109"/>
        <v>-7.2282954545454565</v>
      </c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>
        <f t="shared" si="1"/>
        <v>-80.061578705535482</v>
      </c>
      <c r="CY28" s="12">
        <f t="shared" si="2"/>
        <v>-77.106005692914991</v>
      </c>
      <c r="CZ28" s="12">
        <f t="shared" si="3"/>
        <v>-87.202529031911553</v>
      </c>
      <c r="DA28" s="12">
        <f t="shared" si="4"/>
        <v>-86.377371945969784</v>
      </c>
      <c r="DB28" s="12">
        <f t="shared" si="5"/>
        <v>-85.682890519251998</v>
      </c>
      <c r="DC28" s="12">
        <f t="shared" si="6"/>
        <v>-79.402253631410062</v>
      </c>
      <c r="DD28" s="12">
        <f t="shared" si="7"/>
        <v>-78.858344556570415</v>
      </c>
      <c r="DE28" s="12">
        <f t="shared" si="8"/>
        <v>-82.419508361922027</v>
      </c>
      <c r="DF28" s="12">
        <f t="shared" si="9"/>
        <v>-85.568886660479492</v>
      </c>
      <c r="DG28" s="12">
        <f t="shared" si="10"/>
        <v>-85.176341802404806</v>
      </c>
      <c r="DH28" s="12">
        <f t="shared" si="11"/>
        <v>-87.877332693912436</v>
      </c>
      <c r="DI28" s="12">
        <f t="shared" si="12"/>
        <v>-82.123400948097768</v>
      </c>
      <c r="DJ28" t="s">
        <v>19</v>
      </c>
      <c r="DK28" t="str">
        <f t="shared" si="33"/>
        <v>LL</v>
      </c>
      <c r="DL28" t="str">
        <f t="shared" si="37"/>
        <v>LL</v>
      </c>
      <c r="DM28" t="str">
        <f t="shared" si="41"/>
        <v>LL</v>
      </c>
      <c r="DN28" t="str">
        <f t="shared" si="49"/>
        <v>LL</v>
      </c>
      <c r="DO28" t="str">
        <f t="shared" si="57"/>
        <v>HL</v>
      </c>
      <c r="DP28" t="str">
        <f t="shared" si="65"/>
        <v>HL</v>
      </c>
      <c r="DQ28" t="str">
        <f t="shared" si="73"/>
        <v>HL</v>
      </c>
      <c r="DR28" t="str">
        <f t="shared" si="81"/>
        <v>LL</v>
      </c>
      <c r="DS28" t="str">
        <f t="shared" si="89"/>
        <v>HL</v>
      </c>
      <c r="DT28" t="str">
        <f t="shared" si="97"/>
        <v>HL</v>
      </c>
      <c r="DU28" t="str">
        <f t="shared" si="105"/>
        <v>LL</v>
      </c>
      <c r="DV28">
        <f t="shared" si="13"/>
        <v>1.2375868547401025</v>
      </c>
      <c r="DW28">
        <f t="shared" si="14"/>
        <v>2.9318994606920024</v>
      </c>
      <c r="DX28">
        <f t="shared" si="42"/>
        <v>3.7400585875222792</v>
      </c>
      <c r="DY28">
        <f t="shared" si="50"/>
        <v>3.8698962445719332</v>
      </c>
      <c r="DZ28">
        <f t="shared" si="58"/>
        <v>3.9806941038563561</v>
      </c>
      <c r="EA28">
        <f t="shared" si="66"/>
        <v>0.30486615939751577</v>
      </c>
      <c r="EB28">
        <f t="shared" si="74"/>
        <v>-0.17411092173267081</v>
      </c>
      <c r="EC28">
        <f t="shared" si="82"/>
        <v>-1.2203822182052542</v>
      </c>
      <c r="ED28">
        <f t="shared" si="90"/>
        <v>2.7068628148168416E-2</v>
      </c>
      <c r="EE28">
        <f t="shared" si="98"/>
        <v>-0.1894803970371372</v>
      </c>
      <c r="EF28">
        <f t="shared" si="106"/>
        <v>-5.9780377079753899</v>
      </c>
      <c r="EG28" s="13" t="str">
        <f t="shared" si="15"/>
        <v/>
      </c>
      <c r="EH28" s="13" t="str">
        <f t="shared" si="16"/>
        <v/>
      </c>
      <c r="EI28" s="13" t="str">
        <f t="shared" si="17"/>
        <v/>
      </c>
      <c r="EJ28" s="13" t="str">
        <f t="shared" si="18"/>
        <v/>
      </c>
      <c r="EK28" s="13" t="str">
        <f t="shared" si="19"/>
        <v/>
      </c>
      <c r="EL28" s="13" t="str">
        <f t="shared" si="20"/>
        <v/>
      </c>
      <c r="EM28" s="13" t="str">
        <f t="shared" si="21"/>
        <v/>
      </c>
      <c r="EN28" s="13" t="str">
        <f t="shared" si="22"/>
        <v/>
      </c>
      <c r="EO28" s="13" t="str">
        <f t="shared" si="23"/>
        <v>EQL</v>
      </c>
      <c r="EP28" s="13" t="str">
        <f t="shared" si="24"/>
        <v/>
      </c>
      <c r="EQ28" s="13" t="str">
        <f t="shared" si="25"/>
        <v/>
      </c>
    </row>
    <row r="29" spans="1:147" ht="14.25" customHeight="1" x14ac:dyDescent="0.55000000000000004">
      <c r="A29">
        <v>1774557004</v>
      </c>
      <c r="B29" t="s">
        <v>16</v>
      </c>
      <c r="C29" t="s">
        <v>17</v>
      </c>
      <c r="D29">
        <v>4405.78</v>
      </c>
      <c r="E29" t="s">
        <v>20</v>
      </c>
      <c r="F29">
        <v>4420.5600000000004</v>
      </c>
      <c r="G29">
        <v>4479.1400000000003</v>
      </c>
      <c r="H29">
        <v>4544.29</v>
      </c>
      <c r="I29">
        <f t="shared" si="38"/>
        <v>4568.96</v>
      </c>
      <c r="J29">
        <f t="shared" si="46"/>
        <v>4585.51</v>
      </c>
      <c r="K29">
        <f t="shared" si="54"/>
        <v>4567.7299999999996</v>
      </c>
      <c r="L29">
        <f t="shared" si="62"/>
        <v>4602.3</v>
      </c>
      <c r="M29">
        <f t="shared" si="70"/>
        <v>4433.51</v>
      </c>
      <c r="N29">
        <f t="shared" si="78"/>
        <v>4441.87</v>
      </c>
      <c r="O29">
        <f t="shared" si="86"/>
        <v>4448.04</v>
      </c>
      <c r="P29">
        <f t="shared" si="94"/>
        <v>4467.12</v>
      </c>
      <c r="Q29">
        <f t="shared" si="102"/>
        <v>4512.91</v>
      </c>
      <c r="R29">
        <v>61.27</v>
      </c>
      <c r="S29">
        <f t="shared" si="26"/>
        <v>65.900000000000546</v>
      </c>
      <c r="T29">
        <f t="shared" si="27"/>
        <v>57.1899999999996</v>
      </c>
      <c r="U29">
        <f t="shared" si="43"/>
        <v>46.630000000000109</v>
      </c>
      <c r="V29">
        <f t="shared" si="51"/>
        <v>57.520000000000437</v>
      </c>
      <c r="W29">
        <f t="shared" si="59"/>
        <v>34.909999999999854</v>
      </c>
      <c r="X29">
        <f t="shared" si="67"/>
        <v>229.72000000000025</v>
      </c>
      <c r="Y29">
        <f t="shared" si="75"/>
        <v>81.8100000000004</v>
      </c>
      <c r="Z29">
        <f t="shared" si="83"/>
        <v>135.77999999999975</v>
      </c>
      <c r="AA29">
        <f t="shared" si="91"/>
        <v>87.569999999999709</v>
      </c>
      <c r="AB29">
        <f t="shared" si="99"/>
        <v>116.09000000000015</v>
      </c>
      <c r="AC29">
        <f t="shared" si="107"/>
        <v>414.22000000000025</v>
      </c>
      <c r="AD29">
        <v>1.41</v>
      </c>
      <c r="AE29" s="14">
        <f t="shared" si="28"/>
        <v>1.4932339958851217</v>
      </c>
      <c r="AF29" s="14">
        <f t="shared" si="29"/>
        <v>1.2745425776113659</v>
      </c>
      <c r="AG29" s="14">
        <f t="shared" si="44"/>
        <v>1.0311056468678781</v>
      </c>
      <c r="AH29" s="14">
        <f t="shared" si="52"/>
        <v>1.2703208266802806</v>
      </c>
      <c r="AI29" s="14">
        <f t="shared" si="60"/>
        <v>0.77016073878953628</v>
      </c>
      <c r="AJ29" s="14">
        <f t="shared" si="68"/>
        <v>5.2536488754922779</v>
      </c>
      <c r="AK29" s="14">
        <f t="shared" si="76"/>
        <v>1.879954960130533</v>
      </c>
      <c r="AL29" s="14">
        <f t="shared" si="84"/>
        <v>3.1532085952685556</v>
      </c>
      <c r="AM29" s="14">
        <f t="shared" si="92"/>
        <v>2.0082697507378722</v>
      </c>
      <c r="AN29" s="14">
        <f t="shared" si="100"/>
        <v>2.6681038742550651</v>
      </c>
      <c r="AO29" s="14">
        <f t="shared" si="108"/>
        <v>10.10615586931435</v>
      </c>
      <c r="AP29">
        <v>0</v>
      </c>
      <c r="AQ29">
        <f t="shared" si="30"/>
        <v>0</v>
      </c>
      <c r="AR29">
        <f t="shared" si="34"/>
        <v>0</v>
      </c>
      <c r="AS29">
        <f t="shared" si="39"/>
        <v>0</v>
      </c>
      <c r="AT29">
        <f t="shared" si="47"/>
        <v>0</v>
      </c>
      <c r="AU29">
        <f t="shared" si="55"/>
        <v>0</v>
      </c>
      <c r="AV29">
        <f t="shared" si="63"/>
        <v>0</v>
      </c>
      <c r="AW29">
        <f t="shared" si="71"/>
        <v>0</v>
      </c>
      <c r="AX29">
        <f t="shared" si="79"/>
        <v>0</v>
      </c>
      <c r="AY29">
        <f t="shared" si="87"/>
        <v>0</v>
      </c>
      <c r="AZ29">
        <f t="shared" si="95"/>
        <v>0</v>
      </c>
      <c r="BA29">
        <f t="shared" si="103"/>
        <v>2</v>
      </c>
      <c r="BB29">
        <v>3</v>
      </c>
      <c r="BC29">
        <f t="shared" si="31"/>
        <v>24</v>
      </c>
      <c r="BD29">
        <f t="shared" si="35"/>
        <v>20</v>
      </c>
      <c r="BE29">
        <f t="shared" si="40"/>
        <v>22</v>
      </c>
      <c r="BF29">
        <f t="shared" si="48"/>
        <v>7</v>
      </c>
      <c r="BG29">
        <f t="shared" si="56"/>
        <v>12</v>
      </c>
      <c r="BH29">
        <f t="shared" si="64"/>
        <v>32</v>
      </c>
      <c r="BI29">
        <f t="shared" si="72"/>
        <v>4</v>
      </c>
      <c r="BJ29">
        <f t="shared" si="80"/>
        <v>35</v>
      </c>
      <c r="BK29">
        <f t="shared" si="88"/>
        <v>5</v>
      </c>
      <c r="BL29">
        <f t="shared" si="96"/>
        <v>12</v>
      </c>
      <c r="BM29">
        <f t="shared" si="104"/>
        <v>28</v>
      </c>
      <c r="BZ29" s="12">
        <f t="shared" si="0"/>
        <v>20.423333333333336</v>
      </c>
      <c r="CA29" s="12">
        <f t="shared" si="32"/>
        <v>2.7458333333333562</v>
      </c>
      <c r="CB29" s="12">
        <f t="shared" si="36"/>
        <v>2.8594999999999802</v>
      </c>
      <c r="CC29" s="12">
        <f t="shared" si="45"/>
        <v>2.1195454545454595</v>
      </c>
      <c r="CD29" s="12">
        <f t="shared" si="53"/>
        <v>8.2171428571429193</v>
      </c>
      <c r="CE29" s="12">
        <f t="shared" si="61"/>
        <v>2.9091666666666547</v>
      </c>
      <c r="CF29" s="12">
        <f t="shared" si="69"/>
        <v>7.178750000000008</v>
      </c>
      <c r="CG29" s="12">
        <f t="shared" si="77"/>
        <v>20.4525000000001</v>
      </c>
      <c r="CH29" s="12">
        <f t="shared" si="85"/>
        <v>3.8794285714285643</v>
      </c>
      <c r="CI29" s="12">
        <f t="shared" si="93"/>
        <v>17.513999999999943</v>
      </c>
      <c r="CJ29" s="12">
        <f t="shared" si="101"/>
        <v>9.6741666666666788</v>
      </c>
      <c r="CK29" s="12">
        <f t="shared" si="109"/>
        <v>14.793571428571438</v>
      </c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>
        <f t="shared" si="1"/>
        <v>87.19683086478355</v>
      </c>
      <c r="CY29" s="12">
        <f t="shared" si="2"/>
        <v>69.988974961848029</v>
      </c>
      <c r="CZ29" s="12">
        <f t="shared" si="3"/>
        <v>70.724681625353043</v>
      </c>
      <c r="DA29" s="12">
        <f t="shared" si="4"/>
        <v>64.742095759376653</v>
      </c>
      <c r="DB29" s="12">
        <f t="shared" si="5"/>
        <v>83.061406455993264</v>
      </c>
      <c r="DC29" s="12">
        <f t="shared" si="6"/>
        <v>71.030050880666636</v>
      </c>
      <c r="DD29" s="12">
        <f t="shared" si="7"/>
        <v>82.069728460921951</v>
      </c>
      <c r="DE29" s="12">
        <f t="shared" si="8"/>
        <v>87.200822013750766</v>
      </c>
      <c r="DF29" s="12">
        <f t="shared" si="9"/>
        <v>75.545532123161792</v>
      </c>
      <c r="DG29" s="12">
        <f t="shared" si="10"/>
        <v>86.732120707566949</v>
      </c>
      <c r="DH29" s="12">
        <f t="shared" si="11"/>
        <v>84.098405355097839</v>
      </c>
      <c r="DI29" s="12">
        <f t="shared" si="12"/>
        <v>86.132864183076094</v>
      </c>
      <c r="DJ29" t="s">
        <v>21</v>
      </c>
      <c r="DK29" t="str">
        <f t="shared" si="33"/>
        <v>LH</v>
      </c>
      <c r="DL29" t="str">
        <f t="shared" si="37"/>
        <v>LH</v>
      </c>
      <c r="DM29" t="str">
        <f t="shared" si="41"/>
        <v>LH</v>
      </c>
      <c r="DN29" t="str">
        <f t="shared" si="49"/>
        <v>HH</v>
      </c>
      <c r="DO29" t="str">
        <f t="shared" si="57"/>
        <v>LH</v>
      </c>
      <c r="DP29" t="str">
        <f t="shared" si="65"/>
        <v>HH</v>
      </c>
      <c r="DQ29" t="str">
        <f t="shared" si="73"/>
        <v>LH</v>
      </c>
      <c r="DR29" t="str">
        <f t="shared" si="81"/>
        <v>LH</v>
      </c>
      <c r="DS29" t="str">
        <f t="shared" si="89"/>
        <v>LH</v>
      </c>
      <c r="DT29" t="str">
        <f t="shared" si="97"/>
        <v>LH</v>
      </c>
      <c r="DU29" t="str">
        <f t="shared" si="105"/>
        <v>LH</v>
      </c>
      <c r="DV29">
        <f t="shared" si="13"/>
        <v>1.3251714714877734</v>
      </c>
      <c r="DW29">
        <f t="shared" si="14"/>
        <v>2.7989666467596761</v>
      </c>
      <c r="DX29">
        <f t="shared" si="42"/>
        <v>3.3570407369202004</v>
      </c>
      <c r="DY29">
        <f t="shared" si="50"/>
        <v>3.7314276924190559</v>
      </c>
      <c r="DZ29">
        <f t="shared" si="58"/>
        <v>3.3292162079012422</v>
      </c>
      <c r="EA29">
        <f t="shared" si="66"/>
        <v>4.1112438243118463</v>
      </c>
      <c r="EB29">
        <f t="shared" si="74"/>
        <v>0.29294930958973109</v>
      </c>
      <c r="EC29">
        <f t="shared" si="82"/>
        <v>0.48206562064533653</v>
      </c>
      <c r="ED29">
        <f t="shared" si="90"/>
        <v>0.62164069710623915</v>
      </c>
      <c r="EE29">
        <f t="shared" si="98"/>
        <v>1.05326022042455</v>
      </c>
      <c r="EF29">
        <f t="shared" si="106"/>
        <v>2.0891018332518834</v>
      </c>
      <c r="EG29" s="13" t="str">
        <f t="shared" si="15"/>
        <v/>
      </c>
      <c r="EH29" s="13" t="str">
        <f t="shared" si="16"/>
        <v/>
      </c>
      <c r="EI29" s="13" t="str">
        <f t="shared" si="17"/>
        <v/>
      </c>
      <c r="EJ29" s="13" t="str">
        <f t="shared" si="18"/>
        <v/>
      </c>
      <c r="EK29" s="13" t="str">
        <f t="shared" si="19"/>
        <v/>
      </c>
      <c r="EL29" s="13" t="str">
        <f t="shared" si="20"/>
        <v/>
      </c>
      <c r="EM29" s="13" t="str">
        <f t="shared" si="21"/>
        <v/>
      </c>
      <c r="EN29" s="13" t="str">
        <f t="shared" si="22"/>
        <v/>
      </c>
      <c r="EO29" s="13" t="str">
        <f t="shared" si="23"/>
        <v/>
      </c>
      <c r="EP29" s="13" t="str">
        <f t="shared" si="24"/>
        <v/>
      </c>
      <c r="EQ29" s="13" t="str">
        <f t="shared" si="25"/>
        <v/>
      </c>
    </row>
    <row r="30" spans="1:147" ht="14.25" customHeight="1" x14ac:dyDescent="0.55000000000000004">
      <c r="A30">
        <v>1774572304</v>
      </c>
      <c r="B30" t="s">
        <v>16</v>
      </c>
      <c r="C30" t="s">
        <v>17</v>
      </c>
      <c r="D30">
        <v>4378.7299999999996</v>
      </c>
      <c r="E30" t="s">
        <v>18</v>
      </c>
      <c r="F30">
        <v>4375.68</v>
      </c>
      <c r="G30">
        <v>4359.29</v>
      </c>
      <c r="H30">
        <v>4413.24</v>
      </c>
      <c r="I30">
        <f t="shared" si="38"/>
        <v>4487.1000000000004</v>
      </c>
      <c r="J30">
        <f t="shared" si="46"/>
        <v>4522.33</v>
      </c>
      <c r="K30">
        <f t="shared" si="54"/>
        <v>4527.99</v>
      </c>
      <c r="L30">
        <f t="shared" si="62"/>
        <v>4532.82</v>
      </c>
      <c r="M30">
        <f t="shared" si="70"/>
        <v>4372.58</v>
      </c>
      <c r="N30">
        <f t="shared" si="78"/>
        <v>4351.7</v>
      </c>
      <c r="O30">
        <f t="shared" si="86"/>
        <v>4306.09</v>
      </c>
      <c r="P30">
        <f t="shared" si="94"/>
        <v>4360.47</v>
      </c>
      <c r="Q30">
        <f t="shared" si="102"/>
        <v>4351.03</v>
      </c>
      <c r="R30">
        <v>-44.88</v>
      </c>
      <c r="S30">
        <f t="shared" si="26"/>
        <v>-119.85000000000036</v>
      </c>
      <c r="T30">
        <f t="shared" si="27"/>
        <v>-131.05000000000018</v>
      </c>
      <c r="U30">
        <f t="shared" si="43"/>
        <v>-81.859999999999673</v>
      </c>
      <c r="V30">
        <f t="shared" si="51"/>
        <v>-63.180000000000291</v>
      </c>
      <c r="W30">
        <f t="shared" si="59"/>
        <v>-39.739999999999782</v>
      </c>
      <c r="X30">
        <f t="shared" si="67"/>
        <v>-69.480000000000473</v>
      </c>
      <c r="Y30">
        <f t="shared" si="75"/>
        <v>-60.930000000000291</v>
      </c>
      <c r="Z30">
        <f t="shared" si="83"/>
        <v>-90.170000000000073</v>
      </c>
      <c r="AA30">
        <f t="shared" si="91"/>
        <v>-141.94999999999982</v>
      </c>
      <c r="AB30">
        <f t="shared" si="99"/>
        <v>-106.64999999999964</v>
      </c>
      <c r="AC30">
        <f t="shared" si="107"/>
        <v>-161.88000000000011</v>
      </c>
      <c r="AD30">
        <v>-1.02</v>
      </c>
      <c r="AE30" s="14">
        <f t="shared" si="28"/>
        <v>-2.6757368602008502</v>
      </c>
      <c r="AF30" s="14">
        <f t="shared" si="29"/>
        <v>-2.8838388395106866</v>
      </c>
      <c r="AG30" s="14">
        <f t="shared" si="44"/>
        <v>-1.7916549936965891</v>
      </c>
      <c r="AH30" s="14">
        <f t="shared" si="52"/>
        <v>-1.3778183887942734</v>
      </c>
      <c r="AI30" s="14">
        <f t="shared" si="60"/>
        <v>-0.87001639764171224</v>
      </c>
      <c r="AJ30" s="14">
        <f t="shared" si="68"/>
        <v>-1.509679942637387</v>
      </c>
      <c r="AK30" s="14">
        <f t="shared" si="76"/>
        <v>-1.3743061366727556</v>
      </c>
      <c r="AL30" s="14">
        <f t="shared" si="84"/>
        <v>-2.0300008780085883</v>
      </c>
      <c r="AM30" s="14">
        <f t="shared" si="92"/>
        <v>-3.1912932437657893</v>
      </c>
      <c r="AN30" s="14">
        <f t="shared" si="100"/>
        <v>-2.3874442593885914</v>
      </c>
      <c r="AO30" s="14">
        <f t="shared" si="108"/>
        <v>-3.5870425069412</v>
      </c>
      <c r="AP30">
        <v>3</v>
      </c>
      <c r="AQ30">
        <f t="shared" si="30"/>
        <v>3</v>
      </c>
      <c r="AR30">
        <f t="shared" si="34"/>
        <v>3</v>
      </c>
      <c r="AS30">
        <f t="shared" si="39"/>
        <v>3</v>
      </c>
      <c r="AT30">
        <f t="shared" si="47"/>
        <v>3</v>
      </c>
      <c r="AU30">
        <f t="shared" si="55"/>
        <v>3</v>
      </c>
      <c r="AV30">
        <f t="shared" si="63"/>
        <v>3</v>
      </c>
      <c r="AW30">
        <f t="shared" si="71"/>
        <v>3</v>
      </c>
      <c r="AX30">
        <f t="shared" si="79"/>
        <v>3</v>
      </c>
      <c r="AY30">
        <f t="shared" si="87"/>
        <v>3</v>
      </c>
      <c r="AZ30">
        <f t="shared" si="95"/>
        <v>3</v>
      </c>
      <c r="BA30">
        <f t="shared" si="103"/>
        <v>3</v>
      </c>
      <c r="BB30">
        <v>13</v>
      </c>
      <c r="BC30">
        <f t="shared" si="31"/>
        <v>21</v>
      </c>
      <c r="BD30">
        <f t="shared" si="35"/>
        <v>30</v>
      </c>
      <c r="BE30">
        <f t="shared" si="40"/>
        <v>4</v>
      </c>
      <c r="BF30">
        <f t="shared" si="48"/>
        <v>4</v>
      </c>
      <c r="BG30">
        <f t="shared" si="56"/>
        <v>3</v>
      </c>
      <c r="BH30">
        <f t="shared" si="64"/>
        <v>13</v>
      </c>
      <c r="BI30">
        <f t="shared" si="72"/>
        <v>12</v>
      </c>
      <c r="BJ30">
        <f t="shared" si="80"/>
        <v>12</v>
      </c>
      <c r="BK30">
        <f t="shared" si="88"/>
        <v>11</v>
      </c>
      <c r="BL30">
        <f t="shared" si="96"/>
        <v>9</v>
      </c>
      <c r="BM30">
        <f t="shared" si="104"/>
        <v>6</v>
      </c>
      <c r="BZ30" s="12">
        <f t="shared" si="0"/>
        <v>-3.4523076923076923</v>
      </c>
      <c r="CA30" s="12">
        <f t="shared" si="32"/>
        <v>-5.7071428571428742</v>
      </c>
      <c r="CB30" s="12">
        <f t="shared" si="36"/>
        <v>-4.3683333333333394</v>
      </c>
      <c r="CC30" s="12">
        <f t="shared" si="45"/>
        <v>-20.464999999999918</v>
      </c>
      <c r="CD30" s="12">
        <f t="shared" si="53"/>
        <v>-15.795000000000073</v>
      </c>
      <c r="CE30" s="12">
        <f t="shared" si="61"/>
        <v>-13.246666666666593</v>
      </c>
      <c r="CF30" s="12">
        <f t="shared" si="69"/>
        <v>-5.3446153846154214</v>
      </c>
      <c r="CG30" s="12">
        <f t="shared" si="77"/>
        <v>-5.0775000000000245</v>
      </c>
      <c r="CH30" s="12">
        <f t="shared" si="85"/>
        <v>-7.5141666666666724</v>
      </c>
      <c r="CI30" s="12">
        <f t="shared" si="93"/>
        <v>-12.904545454545438</v>
      </c>
      <c r="CJ30" s="12">
        <f t="shared" si="101"/>
        <v>-11.849999999999959</v>
      </c>
      <c r="CK30" s="12">
        <f t="shared" si="109"/>
        <v>-26.980000000000018</v>
      </c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>
        <f t="shared" si="1"/>
        <v>-73.845742234376971</v>
      </c>
      <c r="CY30" s="12">
        <f t="shared" si="2"/>
        <v>-80.06157870553551</v>
      </c>
      <c r="CZ30" s="12">
        <f t="shared" si="3"/>
        <v>-77.106005692914991</v>
      </c>
      <c r="DA30" s="12">
        <f t="shared" si="4"/>
        <v>-87.202529031911553</v>
      </c>
      <c r="DB30" s="12">
        <f t="shared" si="5"/>
        <v>-86.377371945969784</v>
      </c>
      <c r="DC30" s="12">
        <f t="shared" si="6"/>
        <v>-85.682890519251998</v>
      </c>
      <c r="DD30" s="12">
        <f t="shared" si="7"/>
        <v>-79.402253631410062</v>
      </c>
      <c r="DE30" s="12">
        <f t="shared" si="8"/>
        <v>-78.858344556570415</v>
      </c>
      <c r="DF30" s="12">
        <f t="shared" si="9"/>
        <v>-82.419508361922027</v>
      </c>
      <c r="DG30" s="12">
        <f t="shared" si="10"/>
        <v>-85.568886660479492</v>
      </c>
      <c r="DH30" s="12">
        <f t="shared" si="11"/>
        <v>-85.176341802404806</v>
      </c>
      <c r="DI30" s="12">
        <f t="shared" si="12"/>
        <v>-87.877332693912436</v>
      </c>
      <c r="DJ30" t="s">
        <v>22</v>
      </c>
      <c r="DK30" t="str">
        <f t="shared" si="33"/>
        <v>LL</v>
      </c>
      <c r="DL30" t="str">
        <f t="shared" si="37"/>
        <v>LL</v>
      </c>
      <c r="DM30" t="str">
        <f t="shared" si="41"/>
        <v>LL</v>
      </c>
      <c r="DN30" t="str">
        <f t="shared" si="49"/>
        <v>LL</v>
      </c>
      <c r="DO30" t="str">
        <f t="shared" si="57"/>
        <v>LL</v>
      </c>
      <c r="DP30" t="str">
        <f t="shared" si="65"/>
        <v>HL</v>
      </c>
      <c r="DQ30" t="str">
        <f t="shared" si="73"/>
        <v>HL</v>
      </c>
      <c r="DR30" t="str">
        <f t="shared" si="81"/>
        <v>HL</v>
      </c>
      <c r="DS30" t="str">
        <f t="shared" si="89"/>
        <v>LL</v>
      </c>
      <c r="DT30" t="str">
        <f t="shared" si="97"/>
        <v>HL</v>
      </c>
      <c r="DU30" t="str">
        <f t="shared" si="105"/>
        <v>HL</v>
      </c>
      <c r="DV30">
        <f t="shared" si="13"/>
        <v>-0.37457035249379128</v>
      </c>
      <c r="DW30">
        <f t="shared" si="14"/>
        <v>0.85838086880209441</v>
      </c>
      <c r="DX30">
        <f t="shared" si="42"/>
        <v>2.5463470820535337</v>
      </c>
      <c r="DY30">
        <f t="shared" si="50"/>
        <v>3.351479084393731</v>
      </c>
      <c r="DZ30">
        <f t="shared" si="58"/>
        <v>3.4808304080737047</v>
      </c>
      <c r="EA30">
        <f t="shared" si="66"/>
        <v>3.5912132514260509</v>
      </c>
      <c r="EB30">
        <f t="shared" si="74"/>
        <v>-7.0846131344165106E-2</v>
      </c>
      <c r="EC30">
        <f t="shared" si="82"/>
        <v>-0.5480291063331979</v>
      </c>
      <c r="ED30">
        <f t="shared" si="90"/>
        <v>-1.5903813807225424</v>
      </c>
      <c r="EE30">
        <f t="shared" si="98"/>
        <v>-0.34760311540149269</v>
      </c>
      <c r="EF30">
        <f t="shared" si="106"/>
        <v>-0.56334101213983989</v>
      </c>
      <c r="EG30" s="13" t="str">
        <f t="shared" si="15"/>
        <v/>
      </c>
      <c r="EH30" s="13" t="str">
        <f t="shared" si="16"/>
        <v/>
      </c>
      <c r="EI30" s="13" t="str">
        <f t="shared" si="17"/>
        <v/>
      </c>
      <c r="EJ30" s="13" t="str">
        <f t="shared" si="18"/>
        <v/>
      </c>
      <c r="EK30" s="13" t="str">
        <f t="shared" si="19"/>
        <v/>
      </c>
      <c r="EL30" s="13" t="str">
        <f t="shared" si="20"/>
        <v/>
      </c>
      <c r="EM30" s="13" t="str">
        <f t="shared" si="21"/>
        <v/>
      </c>
      <c r="EN30" s="13" t="str">
        <f t="shared" si="22"/>
        <v/>
      </c>
      <c r="EO30" s="13" t="str">
        <f t="shared" si="23"/>
        <v/>
      </c>
      <c r="EP30" s="13" t="str">
        <f t="shared" si="24"/>
        <v/>
      </c>
      <c r="EQ30" s="13" t="str">
        <f t="shared" si="25"/>
        <v/>
      </c>
    </row>
    <row r="31" spans="1:147" ht="14.25" customHeight="1" x14ac:dyDescent="0.55000000000000004">
      <c r="A31">
        <v>1774589404</v>
      </c>
      <c r="B31" t="s">
        <v>16</v>
      </c>
      <c r="C31" t="s">
        <v>17</v>
      </c>
      <c r="D31">
        <v>4466.08</v>
      </c>
      <c r="E31" t="s">
        <v>20</v>
      </c>
      <c r="F31">
        <v>4475.12</v>
      </c>
      <c r="G31">
        <v>4420.5600000000004</v>
      </c>
      <c r="H31">
        <v>4479.1400000000003</v>
      </c>
      <c r="I31">
        <f t="shared" si="38"/>
        <v>4544.29</v>
      </c>
      <c r="J31">
        <f t="shared" si="46"/>
        <v>4568.96</v>
      </c>
      <c r="K31">
        <f t="shared" si="54"/>
        <v>4585.51</v>
      </c>
      <c r="L31">
        <f t="shared" si="62"/>
        <v>4567.7299999999996</v>
      </c>
      <c r="M31">
        <f t="shared" si="70"/>
        <v>4602.3</v>
      </c>
      <c r="N31">
        <f t="shared" si="78"/>
        <v>4433.51</v>
      </c>
      <c r="O31">
        <f t="shared" si="86"/>
        <v>4441.87</v>
      </c>
      <c r="P31">
        <f t="shared" si="94"/>
        <v>4448.04</v>
      </c>
      <c r="Q31">
        <f t="shared" si="102"/>
        <v>4467.12</v>
      </c>
      <c r="R31">
        <v>99.44</v>
      </c>
      <c r="S31">
        <f t="shared" si="26"/>
        <v>61.270000000000437</v>
      </c>
      <c r="T31">
        <f t="shared" si="27"/>
        <v>65.900000000000546</v>
      </c>
      <c r="U31">
        <f t="shared" si="43"/>
        <v>57.1899999999996</v>
      </c>
      <c r="V31">
        <f t="shared" si="51"/>
        <v>46.630000000000109</v>
      </c>
      <c r="W31">
        <f t="shared" si="59"/>
        <v>57.520000000000437</v>
      </c>
      <c r="X31">
        <f t="shared" si="67"/>
        <v>34.909999999999854</v>
      </c>
      <c r="Y31">
        <f t="shared" si="75"/>
        <v>229.72000000000025</v>
      </c>
      <c r="Z31">
        <f t="shared" si="83"/>
        <v>81.8100000000004</v>
      </c>
      <c r="AA31">
        <f t="shared" si="91"/>
        <v>135.77999999999975</v>
      </c>
      <c r="AB31">
        <f t="shared" si="99"/>
        <v>87.569999999999709</v>
      </c>
      <c r="AC31">
        <f t="shared" si="107"/>
        <v>116.09000000000015</v>
      </c>
      <c r="AD31">
        <v>2.27</v>
      </c>
      <c r="AE31" s="14">
        <f t="shared" si="28"/>
        <v>1.4055041073202388</v>
      </c>
      <c r="AF31" s="14">
        <f t="shared" si="29"/>
        <v>1.4932339958851217</v>
      </c>
      <c r="AG31" s="14">
        <f t="shared" si="44"/>
        <v>1.2745425776113659</v>
      </c>
      <c r="AH31" s="14">
        <f t="shared" si="52"/>
        <v>1.0311056468678781</v>
      </c>
      <c r="AI31" s="14">
        <f t="shared" si="60"/>
        <v>1.2703208266802806</v>
      </c>
      <c r="AJ31" s="14">
        <f t="shared" si="68"/>
        <v>0.77016073878953628</v>
      </c>
      <c r="AK31" s="14">
        <f t="shared" si="76"/>
        <v>5.2536488754922779</v>
      </c>
      <c r="AL31" s="14">
        <f t="shared" si="84"/>
        <v>1.879954960130533</v>
      </c>
      <c r="AM31" s="14">
        <f t="shared" si="92"/>
        <v>3.1532085952685556</v>
      </c>
      <c r="AN31" s="14">
        <f t="shared" si="100"/>
        <v>2.0082697507378722</v>
      </c>
      <c r="AO31" s="14">
        <f t="shared" si="108"/>
        <v>2.6681038742550651</v>
      </c>
      <c r="AP31">
        <v>0</v>
      </c>
      <c r="AQ31">
        <f t="shared" si="30"/>
        <v>0</v>
      </c>
      <c r="AR31">
        <f t="shared" si="34"/>
        <v>0</v>
      </c>
      <c r="AS31">
        <f t="shared" si="39"/>
        <v>0</v>
      </c>
      <c r="AT31">
        <f t="shared" si="47"/>
        <v>0</v>
      </c>
      <c r="AU31">
        <f t="shared" si="55"/>
        <v>0</v>
      </c>
      <c r="AV31">
        <f t="shared" si="63"/>
        <v>0</v>
      </c>
      <c r="AW31">
        <f t="shared" si="71"/>
        <v>0</v>
      </c>
      <c r="AX31">
        <f t="shared" si="79"/>
        <v>0</v>
      </c>
      <c r="AY31">
        <f t="shared" si="87"/>
        <v>0</v>
      </c>
      <c r="AZ31">
        <f t="shared" si="95"/>
        <v>0</v>
      </c>
      <c r="BA31">
        <f t="shared" si="103"/>
        <v>0</v>
      </c>
      <c r="BB31">
        <v>19</v>
      </c>
      <c r="BC31">
        <f t="shared" si="31"/>
        <v>3</v>
      </c>
      <c r="BD31">
        <f t="shared" si="35"/>
        <v>24</v>
      </c>
      <c r="BE31">
        <f t="shared" si="40"/>
        <v>20</v>
      </c>
      <c r="BF31">
        <f t="shared" si="48"/>
        <v>22</v>
      </c>
      <c r="BG31">
        <f t="shared" si="56"/>
        <v>7</v>
      </c>
      <c r="BH31">
        <f t="shared" si="64"/>
        <v>12</v>
      </c>
      <c r="BI31">
        <f t="shared" si="72"/>
        <v>32</v>
      </c>
      <c r="BJ31">
        <f t="shared" si="80"/>
        <v>4</v>
      </c>
      <c r="BK31">
        <f t="shared" si="88"/>
        <v>35</v>
      </c>
      <c r="BL31">
        <f t="shared" si="96"/>
        <v>5</v>
      </c>
      <c r="BM31">
        <f t="shared" si="104"/>
        <v>12</v>
      </c>
      <c r="BZ31" s="12">
        <f t="shared" si="0"/>
        <v>5.2336842105263157</v>
      </c>
      <c r="CA31" s="12">
        <f t="shared" si="32"/>
        <v>20.423333333333478</v>
      </c>
      <c r="CB31" s="12">
        <f t="shared" si="36"/>
        <v>2.7458333333333562</v>
      </c>
      <c r="CC31" s="12">
        <f t="shared" si="45"/>
        <v>2.8594999999999802</v>
      </c>
      <c r="CD31" s="12">
        <f t="shared" si="53"/>
        <v>2.1195454545454595</v>
      </c>
      <c r="CE31" s="12">
        <f t="shared" si="61"/>
        <v>8.2171428571429193</v>
      </c>
      <c r="CF31" s="12">
        <f t="shared" si="69"/>
        <v>2.9091666666666547</v>
      </c>
      <c r="CG31" s="12">
        <f t="shared" si="77"/>
        <v>7.178750000000008</v>
      </c>
      <c r="CH31" s="12">
        <f t="shared" si="85"/>
        <v>20.4525000000001</v>
      </c>
      <c r="CI31" s="12">
        <f t="shared" si="93"/>
        <v>3.8794285714285643</v>
      </c>
      <c r="CJ31" s="12">
        <f t="shared" si="101"/>
        <v>17.513999999999943</v>
      </c>
      <c r="CK31" s="12">
        <f t="shared" si="109"/>
        <v>9.6741666666666788</v>
      </c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>
        <f t="shared" si="1"/>
        <v>79.182874553785297</v>
      </c>
      <c r="CY31" s="12">
        <f t="shared" si="2"/>
        <v>87.196830864783578</v>
      </c>
      <c r="CZ31" s="12">
        <f t="shared" si="3"/>
        <v>69.988974961848029</v>
      </c>
      <c r="DA31" s="12">
        <f t="shared" si="4"/>
        <v>70.724681625353043</v>
      </c>
      <c r="DB31" s="12">
        <f t="shared" si="5"/>
        <v>64.742095759376653</v>
      </c>
      <c r="DC31" s="12">
        <f t="shared" si="6"/>
        <v>83.061406455993264</v>
      </c>
      <c r="DD31" s="12">
        <f t="shared" si="7"/>
        <v>71.030050880666636</v>
      </c>
      <c r="DE31" s="12">
        <f t="shared" si="8"/>
        <v>82.069728460921951</v>
      </c>
      <c r="DF31" s="12">
        <f t="shared" si="9"/>
        <v>87.200822013750766</v>
      </c>
      <c r="DG31" s="12">
        <f t="shared" si="10"/>
        <v>75.545532123161792</v>
      </c>
      <c r="DH31" s="12">
        <f t="shared" si="11"/>
        <v>86.732120707566949</v>
      </c>
      <c r="DI31" s="12">
        <f t="shared" si="12"/>
        <v>84.098405355097839</v>
      </c>
      <c r="DJ31" t="s">
        <v>23</v>
      </c>
      <c r="DK31" t="str">
        <f t="shared" si="33"/>
        <v>LH</v>
      </c>
      <c r="DL31" t="str">
        <f t="shared" si="37"/>
        <v>LH</v>
      </c>
      <c r="DM31" t="str">
        <f t="shared" si="41"/>
        <v>LH</v>
      </c>
      <c r="DN31" t="str">
        <f t="shared" si="49"/>
        <v>LH</v>
      </c>
      <c r="DO31" t="str">
        <f t="shared" si="57"/>
        <v>HH</v>
      </c>
      <c r="DP31" t="str">
        <f t="shared" si="65"/>
        <v>LH</v>
      </c>
      <c r="DQ31" t="str">
        <f t="shared" si="73"/>
        <v>HH</v>
      </c>
      <c r="DR31" t="str">
        <f t="shared" si="81"/>
        <v>LH</v>
      </c>
      <c r="DS31" t="str">
        <f t="shared" si="89"/>
        <v>LH</v>
      </c>
      <c r="DT31" t="str">
        <f t="shared" si="97"/>
        <v>LH</v>
      </c>
      <c r="DU31" t="str">
        <f t="shared" si="105"/>
        <v>LH</v>
      </c>
      <c r="DV31">
        <f t="shared" si="13"/>
        <v>-1.2191851838609802</v>
      </c>
      <c r="DW31">
        <f t="shared" si="14"/>
        <v>8.9829993385661985E-2</v>
      </c>
      <c r="DX31">
        <f t="shared" si="42"/>
        <v>1.5456568762401919</v>
      </c>
      <c r="DY31">
        <f t="shared" si="50"/>
        <v>2.0969270097785122</v>
      </c>
      <c r="DZ31">
        <f t="shared" si="58"/>
        <v>2.4667494949856166</v>
      </c>
      <c r="EA31">
        <f t="shared" si="66"/>
        <v>2.069441713294832</v>
      </c>
      <c r="EB31">
        <f t="shared" si="74"/>
        <v>2.8419349648724572</v>
      </c>
      <c r="EC31">
        <f t="shared" si="82"/>
        <v>-0.9298074688499901</v>
      </c>
      <c r="ED31">
        <f t="shared" si="90"/>
        <v>-0.74299683583903897</v>
      </c>
      <c r="EE31">
        <f t="shared" si="98"/>
        <v>-0.60512343803071045</v>
      </c>
      <c r="EF31">
        <f t="shared" si="106"/>
        <v>-0.17876615599134771</v>
      </c>
      <c r="EG31" s="13" t="str">
        <f t="shared" si="15"/>
        <v/>
      </c>
      <c r="EH31" s="13" t="str">
        <f t="shared" si="16"/>
        <v/>
      </c>
      <c r="EI31" s="13" t="str">
        <f t="shared" si="17"/>
        <v/>
      </c>
      <c r="EJ31" s="13" t="str">
        <f t="shared" si="18"/>
        <v/>
      </c>
      <c r="EK31" s="13" t="str">
        <f t="shared" si="19"/>
        <v/>
      </c>
      <c r="EL31" s="13" t="str">
        <f t="shared" si="20"/>
        <v/>
      </c>
      <c r="EM31" s="13" t="str">
        <f t="shared" si="21"/>
        <v/>
      </c>
      <c r="EN31" s="13" t="str">
        <f t="shared" si="22"/>
        <v/>
      </c>
      <c r="EO31" s="13" t="str">
        <f t="shared" si="23"/>
        <v/>
      </c>
      <c r="EP31" s="13" t="str">
        <f t="shared" si="24"/>
        <v/>
      </c>
      <c r="EQ31" s="13" t="str">
        <f t="shared" si="25"/>
        <v/>
      </c>
    </row>
    <row r="32" spans="1:147" ht="14.25" customHeight="1" x14ac:dyDescent="0.55000000000000004">
      <c r="A32">
        <v>1774609204</v>
      </c>
      <c r="B32" t="s">
        <v>16</v>
      </c>
      <c r="C32" t="s">
        <v>17</v>
      </c>
      <c r="D32">
        <v>4413.17</v>
      </c>
      <c r="E32" t="s">
        <v>18</v>
      </c>
      <c r="F32">
        <v>4404.32</v>
      </c>
      <c r="G32">
        <v>4375.68</v>
      </c>
      <c r="H32">
        <v>4359.29</v>
      </c>
      <c r="I32">
        <f t="shared" si="38"/>
        <v>4413.24</v>
      </c>
      <c r="J32">
        <f t="shared" si="46"/>
        <v>4487.1000000000004</v>
      </c>
      <c r="K32">
        <f t="shared" si="54"/>
        <v>4522.33</v>
      </c>
      <c r="L32">
        <f t="shared" si="62"/>
        <v>4527.99</v>
      </c>
      <c r="M32">
        <f t="shared" si="70"/>
        <v>4532.82</v>
      </c>
      <c r="N32">
        <f t="shared" si="78"/>
        <v>4372.58</v>
      </c>
      <c r="O32">
        <f t="shared" si="86"/>
        <v>4351.7</v>
      </c>
      <c r="P32">
        <f t="shared" si="94"/>
        <v>4306.09</v>
      </c>
      <c r="Q32">
        <f t="shared" si="102"/>
        <v>4360.47</v>
      </c>
      <c r="R32">
        <v>-70.8</v>
      </c>
      <c r="S32">
        <f t="shared" si="26"/>
        <v>-44.880000000000109</v>
      </c>
      <c r="T32">
        <f t="shared" si="27"/>
        <v>-119.85000000000036</v>
      </c>
      <c r="U32">
        <f t="shared" si="43"/>
        <v>-131.05000000000018</v>
      </c>
      <c r="V32">
        <f t="shared" si="51"/>
        <v>-81.859999999999673</v>
      </c>
      <c r="W32">
        <f t="shared" si="59"/>
        <v>-63.180000000000291</v>
      </c>
      <c r="X32">
        <f t="shared" si="67"/>
        <v>-39.739999999999782</v>
      </c>
      <c r="Y32">
        <f t="shared" si="75"/>
        <v>-69.480000000000473</v>
      </c>
      <c r="Z32">
        <f t="shared" si="83"/>
        <v>-60.930000000000291</v>
      </c>
      <c r="AA32">
        <f t="shared" si="91"/>
        <v>-90.170000000000073</v>
      </c>
      <c r="AB32">
        <f t="shared" si="99"/>
        <v>-141.94999999999982</v>
      </c>
      <c r="AC32">
        <f t="shared" si="107"/>
        <v>-106.64999999999964</v>
      </c>
      <c r="AD32">
        <v>-1.58</v>
      </c>
      <c r="AE32" s="14">
        <f t="shared" si="28"/>
        <v>-1.0152559856669767</v>
      </c>
      <c r="AF32" s="14">
        <f t="shared" si="29"/>
        <v>-2.6757368602008502</v>
      </c>
      <c r="AG32" s="14">
        <f t="shared" si="44"/>
        <v>-2.8838388395106866</v>
      </c>
      <c r="AH32" s="14">
        <f t="shared" si="52"/>
        <v>-1.7916549936965891</v>
      </c>
      <c r="AI32" s="14">
        <f t="shared" si="60"/>
        <v>-1.3778183887942734</v>
      </c>
      <c r="AJ32" s="14">
        <f t="shared" si="68"/>
        <v>-0.87001639764171224</v>
      </c>
      <c r="AK32" s="14">
        <f t="shared" si="76"/>
        <v>-1.509679942637387</v>
      </c>
      <c r="AL32" s="14">
        <f t="shared" si="84"/>
        <v>-1.3743061366727556</v>
      </c>
      <c r="AM32" s="14">
        <f t="shared" si="92"/>
        <v>-2.0300008780085883</v>
      </c>
      <c r="AN32" s="14">
        <f t="shared" si="100"/>
        <v>-3.1912932437657893</v>
      </c>
      <c r="AO32" s="14">
        <f t="shared" si="108"/>
        <v>-2.3874442593885914</v>
      </c>
      <c r="AP32">
        <v>3</v>
      </c>
      <c r="AQ32">
        <f t="shared" si="30"/>
        <v>3</v>
      </c>
      <c r="AR32">
        <f t="shared" si="34"/>
        <v>3</v>
      </c>
      <c r="AS32">
        <f t="shared" si="39"/>
        <v>3</v>
      </c>
      <c r="AT32">
        <f t="shared" si="47"/>
        <v>3</v>
      </c>
      <c r="AU32">
        <f t="shared" si="55"/>
        <v>3</v>
      </c>
      <c r="AV32">
        <f t="shared" si="63"/>
        <v>3</v>
      </c>
      <c r="AW32">
        <f t="shared" si="71"/>
        <v>3</v>
      </c>
      <c r="AX32">
        <f t="shared" si="79"/>
        <v>3</v>
      </c>
      <c r="AY32">
        <f t="shared" si="87"/>
        <v>3</v>
      </c>
      <c r="AZ32">
        <f t="shared" si="95"/>
        <v>3</v>
      </c>
      <c r="BA32">
        <f t="shared" si="103"/>
        <v>3</v>
      </c>
      <c r="BB32">
        <v>22</v>
      </c>
      <c r="BC32">
        <f t="shared" si="31"/>
        <v>13</v>
      </c>
      <c r="BD32">
        <f t="shared" si="35"/>
        <v>21</v>
      </c>
      <c r="BE32">
        <f t="shared" si="40"/>
        <v>30</v>
      </c>
      <c r="BF32">
        <f t="shared" si="48"/>
        <v>4</v>
      </c>
      <c r="BG32">
        <f t="shared" si="56"/>
        <v>4</v>
      </c>
      <c r="BH32">
        <f t="shared" si="64"/>
        <v>3</v>
      </c>
      <c r="BI32">
        <f t="shared" si="72"/>
        <v>13</v>
      </c>
      <c r="BJ32">
        <f t="shared" si="80"/>
        <v>12</v>
      </c>
      <c r="BK32">
        <f t="shared" si="88"/>
        <v>12</v>
      </c>
      <c r="BL32">
        <f t="shared" si="96"/>
        <v>11</v>
      </c>
      <c r="BM32">
        <f t="shared" si="104"/>
        <v>9</v>
      </c>
      <c r="BZ32" s="12">
        <f t="shared" si="0"/>
        <v>-3.2181818181818183</v>
      </c>
      <c r="CA32" s="12">
        <f t="shared" si="32"/>
        <v>-3.4523076923077007</v>
      </c>
      <c r="CB32" s="12">
        <f t="shared" si="36"/>
        <v>-5.7071428571428742</v>
      </c>
      <c r="CC32" s="12">
        <f t="shared" si="45"/>
        <v>-4.3683333333333394</v>
      </c>
      <c r="CD32" s="12">
        <f t="shared" si="53"/>
        <v>-20.464999999999918</v>
      </c>
      <c r="CE32" s="12">
        <f t="shared" si="61"/>
        <v>-15.795000000000073</v>
      </c>
      <c r="CF32" s="12">
        <f t="shared" si="69"/>
        <v>-13.246666666666593</v>
      </c>
      <c r="CG32" s="12">
        <f t="shared" si="77"/>
        <v>-5.3446153846154214</v>
      </c>
      <c r="CH32" s="12">
        <f t="shared" si="85"/>
        <v>-5.0775000000000245</v>
      </c>
      <c r="CI32" s="12">
        <f t="shared" si="93"/>
        <v>-7.5141666666666724</v>
      </c>
      <c r="CJ32" s="12">
        <f t="shared" si="101"/>
        <v>-12.904545454545438</v>
      </c>
      <c r="CK32" s="12">
        <f t="shared" si="109"/>
        <v>-11.849999999999959</v>
      </c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>
        <f t="shared" si="1"/>
        <v>-72.738179628387243</v>
      </c>
      <c r="CY32" s="12">
        <f t="shared" si="2"/>
        <v>-73.845742234377013</v>
      </c>
      <c r="CZ32" s="12">
        <f t="shared" si="3"/>
        <v>-80.06157870553551</v>
      </c>
      <c r="DA32" s="12">
        <f t="shared" si="4"/>
        <v>-77.106005692914991</v>
      </c>
      <c r="DB32" s="12">
        <f t="shared" si="5"/>
        <v>-87.202529031911553</v>
      </c>
      <c r="DC32" s="12">
        <f t="shared" si="6"/>
        <v>-86.377371945969784</v>
      </c>
      <c r="DD32" s="12">
        <f t="shared" si="7"/>
        <v>-85.682890519251998</v>
      </c>
      <c r="DE32" s="12">
        <f t="shared" si="8"/>
        <v>-79.402253631410062</v>
      </c>
      <c r="DF32" s="12">
        <f t="shared" si="9"/>
        <v>-78.858344556570415</v>
      </c>
      <c r="DG32" s="12">
        <f t="shared" si="10"/>
        <v>-82.419508361922027</v>
      </c>
      <c r="DH32" s="12">
        <f t="shared" si="11"/>
        <v>-85.568886660479492</v>
      </c>
      <c r="DI32" s="12">
        <f t="shared" si="12"/>
        <v>-85.176341802404806</v>
      </c>
      <c r="DJ32" t="s">
        <v>22</v>
      </c>
      <c r="DK32" t="str">
        <f t="shared" si="33"/>
        <v>HL</v>
      </c>
      <c r="DL32" t="str">
        <f t="shared" si="37"/>
        <v>LL</v>
      </c>
      <c r="DM32" t="str">
        <f t="shared" si="41"/>
        <v>LL</v>
      </c>
      <c r="DN32" t="str">
        <f t="shared" si="49"/>
        <v>LL</v>
      </c>
      <c r="DO32" t="str">
        <f t="shared" si="57"/>
        <v>LL</v>
      </c>
      <c r="DP32" t="str">
        <f t="shared" si="65"/>
        <v>LL</v>
      </c>
      <c r="DQ32" t="str">
        <f t="shared" si="73"/>
        <v>HL</v>
      </c>
      <c r="DR32" t="str">
        <f t="shared" si="81"/>
        <v>HL</v>
      </c>
      <c r="DS32" t="str">
        <f t="shared" si="89"/>
        <v>HL</v>
      </c>
      <c r="DT32" t="str">
        <f t="shared" si="97"/>
        <v>LL</v>
      </c>
      <c r="DU32" t="str">
        <f t="shared" si="105"/>
        <v>HL</v>
      </c>
      <c r="DV32">
        <f t="shared" si="13"/>
        <v>-0.65027064336831608</v>
      </c>
      <c r="DW32">
        <f t="shared" si="14"/>
        <v>-1.022405274821079</v>
      </c>
      <c r="DX32">
        <f t="shared" si="42"/>
        <v>0.20252842663566845</v>
      </c>
      <c r="DY32">
        <f t="shared" si="50"/>
        <v>1.8795182911323576</v>
      </c>
      <c r="DZ32">
        <f t="shared" si="58"/>
        <v>2.6794147564209734</v>
      </c>
      <c r="EA32">
        <f t="shared" si="66"/>
        <v>2.8079249464162475</v>
      </c>
      <c r="EB32">
        <f t="shared" si="74"/>
        <v>2.917590002542958</v>
      </c>
      <c r="EC32">
        <f t="shared" si="82"/>
        <v>-0.72065608311838791</v>
      </c>
      <c r="ED32">
        <f t="shared" si="90"/>
        <v>-1.1947360773059155</v>
      </c>
      <c r="EE32">
        <f t="shared" si="98"/>
        <v>-2.2303102408544242</v>
      </c>
      <c r="EF32">
        <f t="shared" si="106"/>
        <v>-0.99561339775491919</v>
      </c>
      <c r="EG32" s="13" t="str">
        <f t="shared" si="15"/>
        <v/>
      </c>
      <c r="EH32" s="13" t="str">
        <f t="shared" si="16"/>
        <v/>
      </c>
      <c r="EI32" s="13" t="str">
        <f t="shared" si="17"/>
        <v>EQL</v>
      </c>
      <c r="EJ32" s="13" t="str">
        <f t="shared" si="18"/>
        <v/>
      </c>
      <c r="EK32" s="13" t="str">
        <f t="shared" si="19"/>
        <v/>
      </c>
      <c r="EL32" s="13" t="str">
        <f t="shared" si="20"/>
        <v/>
      </c>
      <c r="EM32" s="13" t="str">
        <f t="shared" si="21"/>
        <v/>
      </c>
      <c r="EN32" s="13" t="str">
        <f t="shared" si="22"/>
        <v/>
      </c>
      <c r="EO32" s="13" t="str">
        <f t="shared" si="23"/>
        <v/>
      </c>
      <c r="EP32" s="13" t="str">
        <f t="shared" si="24"/>
        <v/>
      </c>
      <c r="EQ32" s="13" t="str">
        <f t="shared" si="25"/>
        <v/>
      </c>
    </row>
    <row r="33" spans="1:147" ht="14.25" customHeight="1" x14ac:dyDescent="0.55000000000000004">
      <c r="A33">
        <v>1774624504</v>
      </c>
      <c r="B33" t="s">
        <v>16</v>
      </c>
      <c r="C33" t="s">
        <v>17</v>
      </c>
      <c r="D33">
        <v>4543.54</v>
      </c>
      <c r="E33" t="s">
        <v>20</v>
      </c>
      <c r="F33">
        <v>4555</v>
      </c>
      <c r="G33">
        <v>4475.12</v>
      </c>
      <c r="H33">
        <v>4420.5600000000004</v>
      </c>
      <c r="I33">
        <f t="shared" si="38"/>
        <v>4479.1400000000003</v>
      </c>
      <c r="J33">
        <f t="shared" si="46"/>
        <v>4544.29</v>
      </c>
      <c r="K33">
        <f t="shared" si="54"/>
        <v>4568.96</v>
      </c>
      <c r="L33">
        <f t="shared" si="62"/>
        <v>4585.51</v>
      </c>
      <c r="M33">
        <f t="shared" si="70"/>
        <v>4567.7299999999996</v>
      </c>
      <c r="N33">
        <f t="shared" si="78"/>
        <v>4602.3</v>
      </c>
      <c r="O33">
        <f t="shared" si="86"/>
        <v>4433.51</v>
      </c>
      <c r="P33">
        <f t="shared" si="94"/>
        <v>4441.87</v>
      </c>
      <c r="Q33">
        <f t="shared" si="102"/>
        <v>4448.04</v>
      </c>
      <c r="R33">
        <v>150.68</v>
      </c>
      <c r="S33">
        <f t="shared" si="26"/>
        <v>99.4399999999996</v>
      </c>
      <c r="T33">
        <f t="shared" si="27"/>
        <v>61.270000000000437</v>
      </c>
      <c r="U33">
        <f t="shared" si="43"/>
        <v>65.900000000000546</v>
      </c>
      <c r="V33">
        <f t="shared" si="51"/>
        <v>57.1899999999996</v>
      </c>
      <c r="W33">
        <f t="shared" si="59"/>
        <v>46.630000000000109</v>
      </c>
      <c r="X33">
        <f t="shared" si="67"/>
        <v>57.520000000000437</v>
      </c>
      <c r="Y33">
        <f t="shared" si="75"/>
        <v>34.909999999999854</v>
      </c>
      <c r="Z33">
        <f t="shared" si="83"/>
        <v>229.72000000000025</v>
      </c>
      <c r="AA33">
        <f t="shared" si="91"/>
        <v>81.8100000000004</v>
      </c>
      <c r="AB33">
        <f t="shared" si="99"/>
        <v>135.77999999999975</v>
      </c>
      <c r="AC33">
        <f t="shared" si="107"/>
        <v>87.569999999999709</v>
      </c>
      <c r="AD33">
        <v>3.42</v>
      </c>
      <c r="AE33" s="14">
        <f t="shared" si="28"/>
        <v>2.2725610647944912</v>
      </c>
      <c r="AF33" s="14">
        <f t="shared" si="29"/>
        <v>1.4055041073202388</v>
      </c>
      <c r="AG33" s="14">
        <f t="shared" si="44"/>
        <v>1.4932339958851217</v>
      </c>
      <c r="AH33" s="14">
        <f t="shared" si="52"/>
        <v>1.2745425776113659</v>
      </c>
      <c r="AI33" s="14">
        <f t="shared" si="60"/>
        <v>1.0311056468678781</v>
      </c>
      <c r="AJ33" s="14">
        <f t="shared" si="68"/>
        <v>1.2703208266802806</v>
      </c>
      <c r="AK33" s="14">
        <f t="shared" si="76"/>
        <v>0.77016073878953628</v>
      </c>
      <c r="AL33" s="14">
        <f t="shared" si="84"/>
        <v>5.2536488754922779</v>
      </c>
      <c r="AM33" s="14">
        <f t="shared" si="92"/>
        <v>1.879954960130533</v>
      </c>
      <c r="AN33" s="14">
        <f t="shared" si="100"/>
        <v>3.1532085952685556</v>
      </c>
      <c r="AO33" s="14">
        <f t="shared" si="108"/>
        <v>2.0082697507378722</v>
      </c>
      <c r="AP33">
        <v>0</v>
      </c>
      <c r="AQ33">
        <f t="shared" si="30"/>
        <v>0</v>
      </c>
      <c r="AR33">
        <f t="shared" si="34"/>
        <v>0</v>
      </c>
      <c r="AS33">
        <f t="shared" si="39"/>
        <v>0</v>
      </c>
      <c r="AT33">
        <f t="shared" si="47"/>
        <v>0</v>
      </c>
      <c r="AU33">
        <f t="shared" si="55"/>
        <v>0</v>
      </c>
      <c r="AV33">
        <f t="shared" si="63"/>
        <v>0</v>
      </c>
      <c r="AW33">
        <f t="shared" si="71"/>
        <v>0</v>
      </c>
      <c r="AX33">
        <f t="shared" si="79"/>
        <v>0</v>
      </c>
      <c r="AY33">
        <f t="shared" si="87"/>
        <v>0</v>
      </c>
      <c r="AZ33">
        <f t="shared" si="95"/>
        <v>0</v>
      </c>
      <c r="BA33">
        <f t="shared" si="103"/>
        <v>0</v>
      </c>
      <c r="BB33">
        <v>17</v>
      </c>
      <c r="BC33">
        <f t="shared" si="31"/>
        <v>19</v>
      </c>
      <c r="BD33">
        <f t="shared" si="35"/>
        <v>3</v>
      </c>
      <c r="BE33">
        <f t="shared" si="40"/>
        <v>24</v>
      </c>
      <c r="BF33">
        <f t="shared" si="48"/>
        <v>20</v>
      </c>
      <c r="BG33">
        <f t="shared" si="56"/>
        <v>22</v>
      </c>
      <c r="BH33">
        <f t="shared" si="64"/>
        <v>7</v>
      </c>
      <c r="BI33">
        <f t="shared" si="72"/>
        <v>12</v>
      </c>
      <c r="BJ33">
        <f t="shared" si="80"/>
        <v>32</v>
      </c>
      <c r="BK33">
        <f t="shared" si="88"/>
        <v>4</v>
      </c>
      <c r="BL33">
        <f t="shared" si="96"/>
        <v>35</v>
      </c>
      <c r="BM33">
        <f t="shared" si="104"/>
        <v>5</v>
      </c>
      <c r="BZ33" s="12">
        <f t="shared" si="0"/>
        <v>8.8635294117647057</v>
      </c>
      <c r="CA33" s="12">
        <f t="shared" si="32"/>
        <v>5.2336842105262944</v>
      </c>
      <c r="CB33" s="12">
        <f t="shared" si="36"/>
        <v>20.423333333333478</v>
      </c>
      <c r="CC33" s="12">
        <f t="shared" si="45"/>
        <v>2.7458333333333562</v>
      </c>
      <c r="CD33" s="12">
        <f t="shared" si="53"/>
        <v>2.8594999999999802</v>
      </c>
      <c r="CE33" s="12">
        <f t="shared" si="61"/>
        <v>2.1195454545454595</v>
      </c>
      <c r="CF33" s="12">
        <f t="shared" si="69"/>
        <v>8.2171428571429193</v>
      </c>
      <c r="CG33" s="12">
        <f t="shared" si="77"/>
        <v>2.9091666666666547</v>
      </c>
      <c r="CH33" s="12">
        <f t="shared" si="85"/>
        <v>7.178750000000008</v>
      </c>
      <c r="CI33" s="12">
        <f t="shared" si="93"/>
        <v>20.4525000000001</v>
      </c>
      <c r="CJ33" s="12">
        <f t="shared" si="101"/>
        <v>3.8794285714285643</v>
      </c>
      <c r="CK33" s="12">
        <f t="shared" si="109"/>
        <v>17.513999999999943</v>
      </c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>
        <f t="shared" si="1"/>
        <v>83.563002379889113</v>
      </c>
      <c r="CY33" s="12">
        <f t="shared" si="2"/>
        <v>79.182874553785254</v>
      </c>
      <c r="CZ33" s="12">
        <f t="shared" si="3"/>
        <v>87.196830864783578</v>
      </c>
      <c r="DA33" s="12">
        <f t="shared" si="4"/>
        <v>69.988974961848029</v>
      </c>
      <c r="DB33" s="12">
        <f t="shared" si="5"/>
        <v>70.724681625353043</v>
      </c>
      <c r="DC33" s="12">
        <f t="shared" si="6"/>
        <v>64.742095759376653</v>
      </c>
      <c r="DD33" s="12">
        <f t="shared" si="7"/>
        <v>83.061406455993264</v>
      </c>
      <c r="DE33" s="12">
        <f t="shared" si="8"/>
        <v>71.030050880666636</v>
      </c>
      <c r="DF33" s="12">
        <f t="shared" si="9"/>
        <v>82.069728460921951</v>
      </c>
      <c r="DG33" s="12">
        <f t="shared" si="10"/>
        <v>87.200822013750766</v>
      </c>
      <c r="DH33" s="12">
        <f t="shared" si="11"/>
        <v>75.545532123161792</v>
      </c>
      <c r="DI33" s="12">
        <f t="shared" si="12"/>
        <v>86.732120707566949</v>
      </c>
      <c r="DJ33" t="s">
        <v>23</v>
      </c>
      <c r="DK33" t="str">
        <f t="shared" si="33"/>
        <v>HH</v>
      </c>
      <c r="DL33" t="str">
        <f t="shared" si="37"/>
        <v>LH</v>
      </c>
      <c r="DM33" t="str">
        <f t="shared" si="41"/>
        <v>LH</v>
      </c>
      <c r="DN33" t="str">
        <f t="shared" si="49"/>
        <v>LH</v>
      </c>
      <c r="DO33" t="str">
        <f t="shared" si="57"/>
        <v>LH</v>
      </c>
      <c r="DP33" t="str">
        <f t="shared" si="65"/>
        <v>HH</v>
      </c>
      <c r="DQ33" t="str">
        <f t="shared" si="73"/>
        <v>LH</v>
      </c>
      <c r="DR33" t="str">
        <f t="shared" si="81"/>
        <v>HH</v>
      </c>
      <c r="DS33" t="str">
        <f t="shared" si="89"/>
        <v>LH</v>
      </c>
      <c r="DT33" t="str">
        <f t="shared" si="97"/>
        <v>LH</v>
      </c>
      <c r="DU33" t="str">
        <f t="shared" si="105"/>
        <v>LH</v>
      </c>
      <c r="DV33">
        <f t="shared" si="13"/>
        <v>-1.753677277716797</v>
      </c>
      <c r="DW33">
        <f t="shared" si="14"/>
        <v>-2.9514818880351177</v>
      </c>
      <c r="DX33">
        <f t="shared" si="42"/>
        <v>-1.6654226125137142</v>
      </c>
      <c r="DY33">
        <f t="shared" si="50"/>
        <v>-0.23512623490669673</v>
      </c>
      <c r="DZ33">
        <f t="shared" si="58"/>
        <v>0.30647639956092287</v>
      </c>
      <c r="EA33">
        <f t="shared" si="66"/>
        <v>0.66981339187706301</v>
      </c>
      <c r="EB33">
        <f t="shared" si="74"/>
        <v>0.27947310647639001</v>
      </c>
      <c r="EC33">
        <f t="shared" si="82"/>
        <v>1.0384193194292026</v>
      </c>
      <c r="ED33">
        <f t="shared" si="90"/>
        <v>-2.6671789242590513</v>
      </c>
      <c r="EE33">
        <f t="shared" si="98"/>
        <v>-2.4836443468715723</v>
      </c>
      <c r="EF33">
        <f t="shared" si="106"/>
        <v>-2.3481888035126239</v>
      </c>
      <c r="EG33" s="13" t="str">
        <f t="shared" si="15"/>
        <v/>
      </c>
      <c r="EH33" s="13" t="str">
        <f t="shared" si="16"/>
        <v/>
      </c>
      <c r="EI33" s="13" t="str">
        <f t="shared" si="17"/>
        <v/>
      </c>
      <c r="EJ33" s="13" t="str">
        <f t="shared" si="18"/>
        <v/>
      </c>
      <c r="EK33" s="13" t="str">
        <f t="shared" si="19"/>
        <v/>
      </c>
      <c r="EL33" s="13" t="str">
        <f t="shared" si="20"/>
        <v/>
      </c>
      <c r="EM33" s="13" t="str">
        <f t="shared" si="21"/>
        <v/>
      </c>
      <c r="EN33" s="13" t="str">
        <f t="shared" si="22"/>
        <v/>
      </c>
      <c r="EO33" s="13" t="str">
        <f t="shared" si="23"/>
        <v/>
      </c>
      <c r="EP33" s="13" t="str">
        <f t="shared" si="24"/>
        <v/>
      </c>
      <c r="EQ33" s="13" t="str">
        <f t="shared" si="25"/>
        <v/>
      </c>
    </row>
    <row r="34" spans="1:147" ht="14.25" customHeight="1" x14ac:dyDescent="0.55000000000000004">
      <c r="A34">
        <v>1774828804</v>
      </c>
      <c r="B34" t="s">
        <v>16</v>
      </c>
      <c r="C34" t="s">
        <v>17</v>
      </c>
      <c r="D34">
        <v>4426.83</v>
      </c>
      <c r="E34" t="s">
        <v>18</v>
      </c>
      <c r="F34">
        <v>4420.2700000000004</v>
      </c>
      <c r="G34">
        <v>4404.32</v>
      </c>
      <c r="H34">
        <v>4375.68</v>
      </c>
      <c r="I34">
        <f t="shared" si="38"/>
        <v>4359.29</v>
      </c>
      <c r="J34">
        <f t="shared" si="46"/>
        <v>4413.24</v>
      </c>
      <c r="K34">
        <f t="shared" si="54"/>
        <v>4487.1000000000004</v>
      </c>
      <c r="L34">
        <f t="shared" si="62"/>
        <v>4522.33</v>
      </c>
      <c r="M34">
        <f t="shared" si="70"/>
        <v>4527.99</v>
      </c>
      <c r="N34">
        <f t="shared" si="78"/>
        <v>4532.82</v>
      </c>
      <c r="O34">
        <f t="shared" si="86"/>
        <v>4372.58</v>
      </c>
      <c r="P34">
        <f t="shared" si="94"/>
        <v>4351.7</v>
      </c>
      <c r="Q34">
        <f t="shared" si="102"/>
        <v>4306.09</v>
      </c>
      <c r="R34">
        <v>-134.72999999999999</v>
      </c>
      <c r="S34">
        <f t="shared" si="26"/>
        <v>-70.800000000000182</v>
      </c>
      <c r="T34">
        <f t="shared" si="27"/>
        <v>-44.880000000000109</v>
      </c>
      <c r="U34">
        <f t="shared" si="43"/>
        <v>-119.85000000000036</v>
      </c>
      <c r="V34">
        <f t="shared" si="51"/>
        <v>-131.05000000000018</v>
      </c>
      <c r="W34">
        <f t="shared" si="59"/>
        <v>-81.859999999999673</v>
      </c>
      <c r="X34">
        <f t="shared" si="67"/>
        <v>-63.180000000000291</v>
      </c>
      <c r="Y34">
        <f t="shared" si="75"/>
        <v>-39.739999999999782</v>
      </c>
      <c r="Z34">
        <f t="shared" si="83"/>
        <v>-69.480000000000473</v>
      </c>
      <c r="AA34">
        <f t="shared" si="91"/>
        <v>-60.930000000000291</v>
      </c>
      <c r="AB34">
        <f t="shared" si="99"/>
        <v>-90.170000000000073</v>
      </c>
      <c r="AC34">
        <f t="shared" si="107"/>
        <v>-141.94999999999982</v>
      </c>
      <c r="AD34">
        <v>-2.96</v>
      </c>
      <c r="AE34" s="14">
        <f t="shared" si="28"/>
        <v>-1.5820804805234314</v>
      </c>
      <c r="AF34" s="14">
        <f t="shared" si="29"/>
        <v>-1.0152559856669767</v>
      </c>
      <c r="AG34" s="14">
        <f t="shared" si="44"/>
        <v>-2.6757368602008502</v>
      </c>
      <c r="AH34" s="14">
        <f t="shared" si="52"/>
        <v>-2.8838388395106866</v>
      </c>
      <c r="AI34" s="14">
        <f t="shared" si="60"/>
        <v>-1.7916549936965891</v>
      </c>
      <c r="AJ34" s="14">
        <f t="shared" si="68"/>
        <v>-1.3778183887942734</v>
      </c>
      <c r="AK34" s="14">
        <f t="shared" si="76"/>
        <v>-0.87001639764171224</v>
      </c>
      <c r="AL34" s="14">
        <f t="shared" si="84"/>
        <v>-1.509679942637387</v>
      </c>
      <c r="AM34" s="14">
        <f t="shared" si="92"/>
        <v>-1.3743061366727556</v>
      </c>
      <c r="AN34" s="14">
        <f t="shared" si="100"/>
        <v>-2.0300008780085883</v>
      </c>
      <c r="AO34" s="14">
        <f t="shared" si="108"/>
        <v>-3.1912932437657893</v>
      </c>
      <c r="AP34">
        <v>3</v>
      </c>
      <c r="AQ34">
        <f t="shared" si="30"/>
        <v>3</v>
      </c>
      <c r="AR34">
        <f t="shared" si="34"/>
        <v>3</v>
      </c>
      <c r="AS34">
        <f t="shared" si="39"/>
        <v>3</v>
      </c>
      <c r="AT34">
        <f t="shared" si="47"/>
        <v>3</v>
      </c>
      <c r="AU34">
        <f t="shared" si="55"/>
        <v>3</v>
      </c>
      <c r="AV34">
        <f t="shared" si="63"/>
        <v>3</v>
      </c>
      <c r="AW34">
        <f t="shared" si="71"/>
        <v>3</v>
      </c>
      <c r="AX34">
        <f t="shared" si="79"/>
        <v>3</v>
      </c>
      <c r="AY34">
        <f t="shared" si="87"/>
        <v>3</v>
      </c>
      <c r="AZ34">
        <f t="shared" si="95"/>
        <v>3</v>
      </c>
      <c r="BA34">
        <f t="shared" si="103"/>
        <v>3</v>
      </c>
      <c r="BB34">
        <v>31</v>
      </c>
      <c r="BC34">
        <f t="shared" si="31"/>
        <v>22</v>
      </c>
      <c r="BD34">
        <f t="shared" si="35"/>
        <v>13</v>
      </c>
      <c r="BE34">
        <f t="shared" si="40"/>
        <v>21</v>
      </c>
      <c r="BF34">
        <f t="shared" si="48"/>
        <v>30</v>
      </c>
      <c r="BG34">
        <f t="shared" si="56"/>
        <v>4</v>
      </c>
      <c r="BH34">
        <f t="shared" si="64"/>
        <v>4</v>
      </c>
      <c r="BI34">
        <f t="shared" si="72"/>
        <v>3</v>
      </c>
      <c r="BJ34">
        <f t="shared" si="80"/>
        <v>13</v>
      </c>
      <c r="BK34">
        <f t="shared" si="88"/>
        <v>12</v>
      </c>
      <c r="BL34">
        <f t="shared" si="96"/>
        <v>12</v>
      </c>
      <c r="BM34">
        <f t="shared" si="104"/>
        <v>11</v>
      </c>
      <c r="BZ34" s="12">
        <f t="shared" ref="BZ34:BZ65" si="110">IFERROR(R34/BB34,0)</f>
        <v>-4.3461290322580641</v>
      </c>
      <c r="CA34" s="12">
        <f t="shared" si="32"/>
        <v>-3.2181818181818262</v>
      </c>
      <c r="CB34" s="12">
        <f t="shared" si="36"/>
        <v>-3.4523076923077007</v>
      </c>
      <c r="CC34" s="12">
        <f t="shared" si="45"/>
        <v>-5.7071428571428742</v>
      </c>
      <c r="CD34" s="12">
        <f t="shared" si="53"/>
        <v>-4.3683333333333394</v>
      </c>
      <c r="CE34" s="12">
        <f t="shared" si="61"/>
        <v>-20.464999999999918</v>
      </c>
      <c r="CF34" s="12">
        <f t="shared" si="69"/>
        <v>-15.795000000000073</v>
      </c>
      <c r="CG34" s="12">
        <f t="shared" si="77"/>
        <v>-13.246666666666593</v>
      </c>
      <c r="CH34" s="12">
        <f t="shared" si="85"/>
        <v>-5.3446153846154214</v>
      </c>
      <c r="CI34" s="12">
        <f t="shared" si="93"/>
        <v>-5.0775000000000245</v>
      </c>
      <c r="CJ34" s="12">
        <f t="shared" si="101"/>
        <v>-7.5141666666666724</v>
      </c>
      <c r="CK34" s="12">
        <f t="shared" si="109"/>
        <v>-12.904545454545438</v>
      </c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>
        <f t="shared" ref="CX34:CX65" si="111">IF(BZ34="","",DEGREES(ATAN(BZ34)))</f>
        <v>-77.042348422403236</v>
      </c>
      <c r="CY34" s="12">
        <f t="shared" ref="CY34:CY65" si="112">IF(CA34="","",DEGREES(ATAN(CA34)))</f>
        <v>-72.738179628387286</v>
      </c>
      <c r="CZ34" s="12">
        <f t="shared" ref="CZ34:CZ65" si="113">IF(CB34="","",DEGREES(ATAN(CB34)))</f>
        <v>-73.845742234377013</v>
      </c>
      <c r="DA34" s="12">
        <f t="shared" ref="DA34:DA65" si="114">IF(CC34="","",DEGREES(ATAN(CC34)))</f>
        <v>-80.06157870553551</v>
      </c>
      <c r="DB34" s="12">
        <f t="shared" ref="DB34:DB65" si="115">IF(CD34="","",DEGREES(ATAN(CD34)))</f>
        <v>-77.106005692914991</v>
      </c>
      <c r="DC34" s="12">
        <f t="shared" ref="DC34:DC65" si="116">IF(CE34="","",DEGREES(ATAN(CE34)))</f>
        <v>-87.202529031911553</v>
      </c>
      <c r="DD34" s="12">
        <f t="shared" ref="DD34:DD65" si="117">IF(CF34="","",DEGREES(ATAN(CF34)))</f>
        <v>-86.377371945969784</v>
      </c>
      <c r="DE34" s="12">
        <f t="shared" ref="DE34:DE65" si="118">IF(CG34="","",DEGREES(ATAN(CG34)))</f>
        <v>-85.682890519251998</v>
      </c>
      <c r="DF34" s="12">
        <f t="shared" ref="DF34:DF65" si="119">IF(CH34="","",DEGREES(ATAN(CH34)))</f>
        <v>-79.402253631410062</v>
      </c>
      <c r="DG34" s="12">
        <f t="shared" ref="DG34:DG65" si="120">IF(CI34="","",DEGREES(ATAN(CI34)))</f>
        <v>-78.858344556570415</v>
      </c>
      <c r="DH34" s="12">
        <f t="shared" ref="DH34:DH65" si="121">IF(CJ34="","",DEGREES(ATAN(CJ34)))</f>
        <v>-82.419508361922027</v>
      </c>
      <c r="DI34" s="12">
        <f t="shared" ref="DI34:DI65" si="122">IF(CK34="","",DEGREES(ATAN(CK34)))</f>
        <v>-85.568886660479492</v>
      </c>
      <c r="DJ34" t="s">
        <v>22</v>
      </c>
      <c r="DK34" t="str">
        <f t="shared" si="33"/>
        <v>HL</v>
      </c>
      <c r="DL34" t="str">
        <f t="shared" si="37"/>
        <v>HL</v>
      </c>
      <c r="DM34" t="str">
        <f t="shared" si="41"/>
        <v>LL</v>
      </c>
      <c r="DN34" t="str">
        <f t="shared" si="49"/>
        <v>LL</v>
      </c>
      <c r="DO34" t="str">
        <f t="shared" si="57"/>
        <v>LL</v>
      </c>
      <c r="DP34" t="str">
        <f t="shared" si="65"/>
        <v>LL</v>
      </c>
      <c r="DQ34" t="str">
        <f t="shared" si="73"/>
        <v>LL</v>
      </c>
      <c r="DR34" t="str">
        <f t="shared" si="81"/>
        <v>HL</v>
      </c>
      <c r="DS34" t="str">
        <f t="shared" si="89"/>
        <v>HL</v>
      </c>
      <c r="DT34" t="str">
        <f t="shared" si="97"/>
        <v>HL</v>
      </c>
      <c r="DU34" t="str">
        <f t="shared" si="105"/>
        <v>LL</v>
      </c>
      <c r="DV34">
        <f t="shared" ref="DV34:DV65" si="123">IFERROR(((G34-$F34)/$F34)*100,0)</f>
        <v>-0.36083768638568969</v>
      </c>
      <c r="DW34">
        <f t="shared" ref="DW34:DW65" si="124">IFERROR(((H34-$F34)/$F34)*100,0)</f>
        <v>-1.0087619082092303</v>
      </c>
      <c r="DX34">
        <f t="shared" si="42"/>
        <v>-1.379553737667619</v>
      </c>
      <c r="DY34">
        <f t="shared" si="50"/>
        <v>-0.15904005863896672</v>
      </c>
      <c r="DZ34">
        <f t="shared" si="58"/>
        <v>1.5118985944297503</v>
      </c>
      <c r="EA34">
        <f t="shared" si="66"/>
        <v>2.3089087318195376</v>
      </c>
      <c r="EB34">
        <f t="shared" si="74"/>
        <v>2.4369552086184632</v>
      </c>
      <c r="EC34">
        <f t="shared" si="82"/>
        <v>2.546224551893872</v>
      </c>
      <c r="ED34">
        <f t="shared" si="90"/>
        <v>-1.0788933707669555</v>
      </c>
      <c r="EE34">
        <f t="shared" si="98"/>
        <v>-1.5512627056718393</v>
      </c>
      <c r="EF34">
        <f t="shared" si="106"/>
        <v>-2.5831001273677918</v>
      </c>
      <c r="EG34" s="13" t="str">
        <f t="shared" ref="EG34:EG65" si="125">IF(DV34="","",IF(AND(ABS(DV34)&lt;=0.25,$E34="Bottom",DJ34="LL"),"EQL",IF(AND(ABS(DV34)&lt;=0.25,$E34="Peak",DJ34="HH"),"EQH","")))</f>
        <v/>
      </c>
      <c r="EH34" s="13" t="str">
        <f t="shared" ref="EH34:EH65" si="126">IF(DW34="","",IF(AND(ABS(DW34)&lt;=0.25,$E34="Bottom",DK34="LL"),"EQL",IF(AND(ABS(DW34)&lt;=0.25,$E34="Peak",DK34="HH"),"EQH","")))</f>
        <v/>
      </c>
      <c r="EI34" s="13" t="str">
        <f t="shared" ref="EI34:EI65" si="127">IF(DX34="","",IF(AND(ABS(DX34)&lt;=0.25,$E34="Bottom",DL34="LL"),"EQL",IF(AND(ABS(DX34)&lt;=0.25,$E34="Peak",DL34="HH"),"EQH","")))</f>
        <v/>
      </c>
      <c r="EJ34" s="13" t="str">
        <f t="shared" ref="EJ34:EJ65" si="128">IF(DY34="","",IF(AND(ABS(DY34)&lt;=0.25,$E34="Bottom",DM34="LL"),"EQL",IF(AND(ABS(DY34)&lt;=0.25,$E34="Peak",DM34="HH"),"EQH","")))</f>
        <v>EQL</v>
      </c>
      <c r="EK34" s="13" t="str">
        <f t="shared" ref="EK34:EK65" si="129">IF(DZ34="","",IF(AND(ABS(DZ34)&lt;=0.25,$E34="Bottom",DN34="LL"),"EQL",IF(AND(ABS(DZ34)&lt;=0.25,$E34="Peak",DN34="HH"),"EQH","")))</f>
        <v/>
      </c>
      <c r="EL34" s="13" t="str">
        <f t="shared" ref="EL34:EL65" si="130">IF(EA34="","",IF(AND(ABS(EA34)&lt;=0.25,$E34="Bottom",DO34="LL"),"EQL",IF(AND(ABS(EA34)&lt;=0.25,$E34="Peak",DO34="HH"),"EQH","")))</f>
        <v/>
      </c>
      <c r="EM34" s="13" t="str">
        <f t="shared" ref="EM34:EM65" si="131">IF(EB34="","",IF(AND(ABS(EB34)&lt;=0.25,$E34="Bottom",DP34="LL"),"EQL",IF(AND(ABS(EB34)&lt;=0.25,$E34="Peak",DP34="HH"),"EQH","")))</f>
        <v/>
      </c>
      <c r="EN34" s="13" t="str">
        <f t="shared" ref="EN34:EN65" si="132">IF(EC34="","",IF(AND(ABS(EC34)&lt;=0.25,$E34="Bottom",DQ34="LL"),"EQL",IF(AND(ABS(EC34)&lt;=0.25,$E34="Peak",DQ34="HH"),"EQH","")))</f>
        <v/>
      </c>
      <c r="EO34" s="13" t="str">
        <f t="shared" ref="EO34:EO65" si="133">IF(ED34="","",IF(AND(ABS(ED34)&lt;=0.25,$E34="Bottom",DR34="LL"),"EQL",IF(AND(ABS(ED34)&lt;=0.25,$E34="Peak",DR34="HH"),"EQH","")))</f>
        <v/>
      </c>
      <c r="EP34" s="13" t="str">
        <f t="shared" ref="EP34:EP65" si="134">IF(EE34="","",IF(AND(ABS(EE34)&lt;=0.25,$E34="Bottom",DS34="LL"),"EQL",IF(AND(ABS(EE34)&lt;=0.25,$E34="Peak",DS34="HH"),"EQH","")))</f>
        <v/>
      </c>
      <c r="EQ34" s="13" t="str">
        <f t="shared" ref="EQ34:EQ65" si="135">IF(EF34="","",IF(AND(ABS(EF34)&lt;=0.25,$E34="Bottom",DT34="LL"),"EQL",IF(AND(ABS(EF34)&lt;=0.25,$E34="Peak",DT34="HH"),"EQH","")))</f>
        <v/>
      </c>
    </row>
    <row r="35" spans="1:147" ht="14.25" customHeight="1" x14ac:dyDescent="0.55000000000000004">
      <c r="A35">
        <v>1774871104</v>
      </c>
      <c r="B35" t="s">
        <v>16</v>
      </c>
      <c r="C35" t="s">
        <v>17</v>
      </c>
      <c r="D35">
        <v>4559.53</v>
      </c>
      <c r="E35" t="s">
        <v>20</v>
      </c>
      <c r="F35">
        <v>4580.59</v>
      </c>
      <c r="G35">
        <v>4555</v>
      </c>
      <c r="H35">
        <v>4475.12</v>
      </c>
      <c r="I35">
        <f t="shared" si="38"/>
        <v>4420.5600000000004</v>
      </c>
      <c r="J35">
        <f t="shared" si="46"/>
        <v>4479.1400000000003</v>
      </c>
      <c r="K35">
        <f t="shared" si="54"/>
        <v>4544.29</v>
      </c>
      <c r="L35">
        <f t="shared" si="62"/>
        <v>4568.96</v>
      </c>
      <c r="M35">
        <f t="shared" si="70"/>
        <v>4585.51</v>
      </c>
      <c r="N35">
        <f t="shared" si="78"/>
        <v>4567.7299999999996</v>
      </c>
      <c r="O35">
        <f t="shared" si="86"/>
        <v>4602.3</v>
      </c>
      <c r="P35">
        <f t="shared" si="94"/>
        <v>4433.51</v>
      </c>
      <c r="Q35">
        <f t="shared" si="102"/>
        <v>4441.87</v>
      </c>
      <c r="R35">
        <v>160.32</v>
      </c>
      <c r="S35">
        <f t="shared" ref="S35:S66" si="136">G35-G34</f>
        <v>150.68000000000029</v>
      </c>
      <c r="T35">
        <f t="shared" ref="T35:T66" si="137">H35-H34</f>
        <v>99.4399999999996</v>
      </c>
      <c r="U35">
        <f t="shared" si="43"/>
        <v>61.270000000000437</v>
      </c>
      <c r="V35">
        <f t="shared" si="51"/>
        <v>65.900000000000546</v>
      </c>
      <c r="W35">
        <f t="shared" si="59"/>
        <v>57.1899999999996</v>
      </c>
      <c r="X35">
        <f t="shared" si="67"/>
        <v>46.630000000000109</v>
      </c>
      <c r="Y35">
        <f t="shared" si="75"/>
        <v>57.520000000000437</v>
      </c>
      <c r="Z35">
        <f t="shared" si="83"/>
        <v>34.909999999999854</v>
      </c>
      <c r="AA35">
        <f t="shared" si="91"/>
        <v>229.72000000000025</v>
      </c>
      <c r="AB35">
        <f t="shared" si="99"/>
        <v>81.8100000000004</v>
      </c>
      <c r="AC35">
        <f t="shared" si="107"/>
        <v>135.77999999999975</v>
      </c>
      <c r="AD35">
        <v>3.63</v>
      </c>
      <c r="AE35" s="14">
        <f t="shared" ref="AE35:AE66" si="138">(S35/G34)*100</f>
        <v>3.4211864714643871</v>
      </c>
      <c r="AF35" s="14">
        <f t="shared" ref="AF35:AF66" si="139">(T35/H34)*100</f>
        <v>2.2725610647944912</v>
      </c>
      <c r="AG35" s="14">
        <f t="shared" si="44"/>
        <v>1.4055041073202388</v>
      </c>
      <c r="AH35" s="14">
        <f t="shared" si="52"/>
        <v>1.4932339958851217</v>
      </c>
      <c r="AI35" s="14">
        <f t="shared" si="60"/>
        <v>1.2745425776113659</v>
      </c>
      <c r="AJ35" s="14">
        <f t="shared" si="68"/>
        <v>1.0311056468678781</v>
      </c>
      <c r="AK35" s="14">
        <f t="shared" si="76"/>
        <v>1.2703208266802806</v>
      </c>
      <c r="AL35" s="14">
        <f t="shared" si="84"/>
        <v>0.77016073878953628</v>
      </c>
      <c r="AM35" s="14">
        <f t="shared" si="92"/>
        <v>5.2536488754922779</v>
      </c>
      <c r="AN35" s="14">
        <f t="shared" si="100"/>
        <v>1.879954960130533</v>
      </c>
      <c r="AO35" s="14">
        <f t="shared" si="108"/>
        <v>3.1532085952685556</v>
      </c>
      <c r="AP35">
        <v>0</v>
      </c>
      <c r="AQ35">
        <f t="shared" si="30"/>
        <v>0</v>
      </c>
      <c r="AR35">
        <f t="shared" si="34"/>
        <v>0</v>
      </c>
      <c r="AS35">
        <f t="shared" si="39"/>
        <v>0</v>
      </c>
      <c r="AT35">
        <f t="shared" si="47"/>
        <v>0</v>
      </c>
      <c r="AU35">
        <f t="shared" si="55"/>
        <v>0</v>
      </c>
      <c r="AV35">
        <f t="shared" si="63"/>
        <v>0</v>
      </c>
      <c r="AW35">
        <f t="shared" si="71"/>
        <v>0</v>
      </c>
      <c r="AX35">
        <f t="shared" si="79"/>
        <v>0</v>
      </c>
      <c r="AY35">
        <f t="shared" si="87"/>
        <v>0</v>
      </c>
      <c r="AZ35">
        <f t="shared" si="95"/>
        <v>0</v>
      </c>
      <c r="BA35">
        <f t="shared" si="103"/>
        <v>0</v>
      </c>
      <c r="BB35">
        <v>47</v>
      </c>
      <c r="BC35">
        <f t="shared" si="31"/>
        <v>17</v>
      </c>
      <c r="BD35">
        <f t="shared" si="35"/>
        <v>19</v>
      </c>
      <c r="BE35">
        <f t="shared" si="40"/>
        <v>3</v>
      </c>
      <c r="BF35">
        <f t="shared" si="48"/>
        <v>24</v>
      </c>
      <c r="BG35">
        <f t="shared" si="56"/>
        <v>20</v>
      </c>
      <c r="BH35">
        <f t="shared" si="64"/>
        <v>22</v>
      </c>
      <c r="BI35">
        <f t="shared" si="72"/>
        <v>7</v>
      </c>
      <c r="BJ35">
        <f t="shared" si="80"/>
        <v>12</v>
      </c>
      <c r="BK35">
        <f t="shared" si="88"/>
        <v>32</v>
      </c>
      <c r="BL35">
        <f t="shared" si="96"/>
        <v>4</v>
      </c>
      <c r="BM35">
        <f t="shared" si="104"/>
        <v>35</v>
      </c>
      <c r="BZ35" s="12">
        <f t="shared" si="110"/>
        <v>3.411063829787234</v>
      </c>
      <c r="CA35" s="12">
        <f t="shared" si="32"/>
        <v>8.8635294117647234</v>
      </c>
      <c r="CB35" s="12">
        <f t="shared" si="36"/>
        <v>5.2336842105262944</v>
      </c>
      <c r="CC35" s="12">
        <f t="shared" si="45"/>
        <v>20.423333333333478</v>
      </c>
      <c r="CD35" s="12">
        <f t="shared" si="53"/>
        <v>2.7458333333333562</v>
      </c>
      <c r="CE35" s="12">
        <f t="shared" si="61"/>
        <v>2.8594999999999802</v>
      </c>
      <c r="CF35" s="12">
        <f t="shared" si="69"/>
        <v>2.1195454545454595</v>
      </c>
      <c r="CG35" s="12">
        <f t="shared" si="77"/>
        <v>8.2171428571429193</v>
      </c>
      <c r="CH35" s="12">
        <f t="shared" si="85"/>
        <v>2.9091666666666547</v>
      </c>
      <c r="CI35" s="12">
        <f t="shared" si="93"/>
        <v>7.178750000000008</v>
      </c>
      <c r="CJ35" s="12">
        <f t="shared" si="101"/>
        <v>20.4525000000001</v>
      </c>
      <c r="CK35" s="12">
        <f t="shared" si="109"/>
        <v>3.8794285714285643</v>
      </c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>
        <f t="shared" si="111"/>
        <v>73.660779546940049</v>
      </c>
      <c r="CY35" s="12">
        <f t="shared" si="112"/>
        <v>83.563002379889127</v>
      </c>
      <c r="CZ35" s="12">
        <f t="shared" si="113"/>
        <v>79.182874553785254</v>
      </c>
      <c r="DA35" s="12">
        <f t="shared" si="114"/>
        <v>87.196830864783578</v>
      </c>
      <c r="DB35" s="12">
        <f t="shared" si="115"/>
        <v>69.988974961848029</v>
      </c>
      <c r="DC35" s="12">
        <f t="shared" si="116"/>
        <v>70.724681625353043</v>
      </c>
      <c r="DD35" s="12">
        <f t="shared" si="117"/>
        <v>64.742095759376653</v>
      </c>
      <c r="DE35" s="12">
        <f t="shared" si="118"/>
        <v>83.061406455993264</v>
      </c>
      <c r="DF35" s="12">
        <f t="shared" si="119"/>
        <v>71.030050880666636</v>
      </c>
      <c r="DG35" s="12">
        <f t="shared" si="120"/>
        <v>82.069728460921951</v>
      </c>
      <c r="DH35" s="12">
        <f t="shared" si="121"/>
        <v>87.200822013750766</v>
      </c>
      <c r="DI35" s="12">
        <f t="shared" si="122"/>
        <v>75.545532123161792</v>
      </c>
      <c r="DJ35" t="s">
        <v>23</v>
      </c>
      <c r="DK35" t="str">
        <f t="shared" si="33"/>
        <v>HH</v>
      </c>
      <c r="DL35" t="str">
        <f t="shared" si="37"/>
        <v>HH</v>
      </c>
      <c r="DM35" t="str">
        <f t="shared" si="41"/>
        <v>LH</v>
      </c>
      <c r="DN35" t="str">
        <f t="shared" si="49"/>
        <v>LH</v>
      </c>
      <c r="DO35" t="str">
        <f t="shared" si="57"/>
        <v>LH</v>
      </c>
      <c r="DP35" t="str">
        <f t="shared" si="65"/>
        <v>LH</v>
      </c>
      <c r="DQ35" t="str">
        <f t="shared" si="73"/>
        <v>HH</v>
      </c>
      <c r="DR35" t="str">
        <f t="shared" si="81"/>
        <v>LH</v>
      </c>
      <c r="DS35" t="str">
        <f t="shared" si="89"/>
        <v>HH</v>
      </c>
      <c r="DT35" t="str">
        <f t="shared" si="97"/>
        <v>LH</v>
      </c>
      <c r="DU35" t="str">
        <f t="shared" si="105"/>
        <v>LH</v>
      </c>
      <c r="DV35">
        <f t="shared" si="123"/>
        <v>-0.55866165712277549</v>
      </c>
      <c r="DW35">
        <f t="shared" si="124"/>
        <v>-2.3025418122992947</v>
      </c>
      <c r="DX35">
        <f t="shared" si="42"/>
        <v>-3.4936547475325175</v>
      </c>
      <c r="DY35">
        <f t="shared" si="50"/>
        <v>-2.214780192071323</v>
      </c>
      <c r="DZ35">
        <f t="shared" si="58"/>
        <v>-0.79247433190921224</v>
      </c>
      <c r="EA35">
        <f t="shared" si="66"/>
        <v>-0.25389742369432994</v>
      </c>
      <c r="EB35">
        <f t="shared" si="74"/>
        <v>0.10740974415959674</v>
      </c>
      <c r="EC35">
        <f t="shared" si="82"/>
        <v>-0.28074985973423905</v>
      </c>
      <c r="ED35">
        <f t="shared" si="90"/>
        <v>0.47395641172862091</v>
      </c>
      <c r="EE35">
        <f t="shared" si="98"/>
        <v>-3.2109400754051318</v>
      </c>
      <c r="EF35">
        <f t="shared" si="106"/>
        <v>-3.028430835329079</v>
      </c>
      <c r="EG35" s="13" t="str">
        <f t="shared" si="125"/>
        <v/>
      </c>
      <c r="EH35" s="13" t="str">
        <f t="shared" si="126"/>
        <v/>
      </c>
      <c r="EI35" s="13" t="str">
        <f t="shared" si="127"/>
        <v/>
      </c>
      <c r="EJ35" s="13" t="str">
        <f t="shared" si="128"/>
        <v/>
      </c>
      <c r="EK35" s="13" t="str">
        <f t="shared" si="129"/>
        <v/>
      </c>
      <c r="EL35" s="13" t="str">
        <f t="shared" si="130"/>
        <v/>
      </c>
      <c r="EM35" s="13" t="str">
        <f t="shared" si="131"/>
        <v/>
      </c>
      <c r="EN35" s="13" t="str">
        <f t="shared" si="132"/>
        <v/>
      </c>
      <c r="EO35" s="13" t="str">
        <f t="shared" si="133"/>
        <v/>
      </c>
      <c r="EP35" s="13" t="str">
        <f t="shared" si="134"/>
        <v/>
      </c>
      <c r="EQ35" s="13" t="str">
        <f t="shared" si="135"/>
        <v/>
      </c>
    </row>
    <row r="36" spans="1:147" ht="14.25" customHeight="1" x14ac:dyDescent="0.55000000000000004">
      <c r="A36">
        <v>1774898104</v>
      </c>
      <c r="B36" t="s">
        <v>16</v>
      </c>
      <c r="C36" t="s">
        <v>17</v>
      </c>
      <c r="D36">
        <v>4501.72</v>
      </c>
      <c r="E36" t="s">
        <v>18</v>
      </c>
      <c r="F36">
        <v>4493.1400000000003</v>
      </c>
      <c r="G36">
        <v>4420.2700000000004</v>
      </c>
      <c r="H36">
        <v>4404.32</v>
      </c>
      <c r="I36">
        <f t="shared" si="38"/>
        <v>4375.68</v>
      </c>
      <c r="J36">
        <f t="shared" si="46"/>
        <v>4359.29</v>
      </c>
      <c r="K36">
        <f t="shared" si="54"/>
        <v>4413.24</v>
      </c>
      <c r="L36">
        <f t="shared" si="62"/>
        <v>4487.1000000000004</v>
      </c>
      <c r="M36">
        <f t="shared" si="70"/>
        <v>4522.33</v>
      </c>
      <c r="N36">
        <f t="shared" si="78"/>
        <v>4527.99</v>
      </c>
      <c r="O36">
        <f t="shared" si="86"/>
        <v>4532.82</v>
      </c>
      <c r="P36">
        <f t="shared" si="94"/>
        <v>4372.58</v>
      </c>
      <c r="Q36">
        <f t="shared" si="102"/>
        <v>4351.7</v>
      </c>
      <c r="R36">
        <v>-87.45</v>
      </c>
      <c r="S36">
        <f t="shared" si="136"/>
        <v>-134.72999999999956</v>
      </c>
      <c r="T36">
        <f t="shared" si="137"/>
        <v>-70.800000000000182</v>
      </c>
      <c r="U36">
        <f t="shared" si="43"/>
        <v>-44.880000000000109</v>
      </c>
      <c r="V36">
        <f t="shared" si="51"/>
        <v>-119.85000000000036</v>
      </c>
      <c r="W36">
        <f t="shared" si="59"/>
        <v>-131.05000000000018</v>
      </c>
      <c r="X36">
        <f t="shared" si="67"/>
        <v>-81.859999999999673</v>
      </c>
      <c r="Y36">
        <f t="shared" si="75"/>
        <v>-63.180000000000291</v>
      </c>
      <c r="Z36">
        <f t="shared" si="83"/>
        <v>-39.739999999999782</v>
      </c>
      <c r="AA36">
        <f t="shared" si="91"/>
        <v>-69.480000000000473</v>
      </c>
      <c r="AB36">
        <f t="shared" si="99"/>
        <v>-60.930000000000291</v>
      </c>
      <c r="AC36">
        <f t="shared" si="107"/>
        <v>-90.170000000000073</v>
      </c>
      <c r="AD36">
        <v>-1.91</v>
      </c>
      <c r="AE36" s="14">
        <f t="shared" si="138"/>
        <v>-2.9578485181119554</v>
      </c>
      <c r="AF36" s="14">
        <f t="shared" si="139"/>
        <v>-1.5820804805234314</v>
      </c>
      <c r="AG36" s="14">
        <f t="shared" si="44"/>
        <v>-1.0152559856669767</v>
      </c>
      <c r="AH36" s="14">
        <f t="shared" si="52"/>
        <v>-2.6757368602008502</v>
      </c>
      <c r="AI36" s="14">
        <f t="shared" si="60"/>
        <v>-2.8838388395106866</v>
      </c>
      <c r="AJ36" s="14">
        <f t="shared" si="68"/>
        <v>-1.7916549936965891</v>
      </c>
      <c r="AK36" s="14">
        <f t="shared" si="76"/>
        <v>-1.3778183887942734</v>
      </c>
      <c r="AL36" s="14">
        <f t="shared" si="84"/>
        <v>-0.87001639764171224</v>
      </c>
      <c r="AM36" s="14">
        <f t="shared" si="92"/>
        <v>-1.509679942637387</v>
      </c>
      <c r="AN36" s="14">
        <f t="shared" si="100"/>
        <v>-1.3743061366727556</v>
      </c>
      <c r="AO36" s="14">
        <f t="shared" si="108"/>
        <v>-2.0300008780085883</v>
      </c>
      <c r="AP36">
        <v>3</v>
      </c>
      <c r="AQ36">
        <f t="shared" ref="AQ36:AQ67" si="140">AP34</f>
        <v>3</v>
      </c>
      <c r="AR36">
        <f t="shared" si="34"/>
        <v>3</v>
      </c>
      <c r="AS36">
        <f t="shared" si="39"/>
        <v>3</v>
      </c>
      <c r="AT36">
        <f t="shared" si="47"/>
        <v>3</v>
      </c>
      <c r="AU36">
        <f t="shared" si="55"/>
        <v>3</v>
      </c>
      <c r="AV36">
        <f t="shared" si="63"/>
        <v>3</v>
      </c>
      <c r="AW36">
        <f t="shared" si="71"/>
        <v>3</v>
      </c>
      <c r="AX36">
        <f t="shared" si="79"/>
        <v>3</v>
      </c>
      <c r="AY36">
        <f t="shared" si="87"/>
        <v>3</v>
      </c>
      <c r="AZ36">
        <f t="shared" si="95"/>
        <v>3</v>
      </c>
      <c r="BA36">
        <f t="shared" si="103"/>
        <v>3</v>
      </c>
      <c r="BB36">
        <v>30</v>
      </c>
      <c r="BC36">
        <f t="shared" ref="BC36:BC67" si="141">BB34</f>
        <v>31</v>
      </c>
      <c r="BD36">
        <f t="shared" si="35"/>
        <v>22</v>
      </c>
      <c r="BE36">
        <f t="shared" si="40"/>
        <v>13</v>
      </c>
      <c r="BF36">
        <f t="shared" si="48"/>
        <v>21</v>
      </c>
      <c r="BG36">
        <f t="shared" si="56"/>
        <v>30</v>
      </c>
      <c r="BH36">
        <f t="shared" si="64"/>
        <v>4</v>
      </c>
      <c r="BI36">
        <f t="shared" si="72"/>
        <v>4</v>
      </c>
      <c r="BJ36">
        <f t="shared" si="80"/>
        <v>3</v>
      </c>
      <c r="BK36">
        <f t="shared" si="88"/>
        <v>13</v>
      </c>
      <c r="BL36">
        <f t="shared" si="96"/>
        <v>12</v>
      </c>
      <c r="BM36">
        <f t="shared" si="104"/>
        <v>12</v>
      </c>
      <c r="BZ36" s="12">
        <f t="shared" si="110"/>
        <v>-2.915</v>
      </c>
      <c r="CA36" s="12">
        <f t="shared" ref="CA36:CA67" si="142">IFERROR(S36/BC36,0)</f>
        <v>-4.3461290322580508</v>
      </c>
      <c r="CB36" s="12">
        <f t="shared" si="36"/>
        <v>-3.2181818181818262</v>
      </c>
      <c r="CC36" s="12">
        <f t="shared" si="45"/>
        <v>-3.4523076923077007</v>
      </c>
      <c r="CD36" s="12">
        <f t="shared" si="53"/>
        <v>-5.7071428571428742</v>
      </c>
      <c r="CE36" s="12">
        <f t="shared" si="61"/>
        <v>-4.3683333333333394</v>
      </c>
      <c r="CF36" s="12">
        <f t="shared" si="69"/>
        <v>-20.464999999999918</v>
      </c>
      <c r="CG36" s="12">
        <f t="shared" si="77"/>
        <v>-15.795000000000073</v>
      </c>
      <c r="CH36" s="12">
        <f t="shared" si="85"/>
        <v>-13.246666666666593</v>
      </c>
      <c r="CI36" s="12">
        <f t="shared" si="93"/>
        <v>-5.3446153846154214</v>
      </c>
      <c r="CJ36" s="12">
        <f t="shared" si="101"/>
        <v>-5.0775000000000245</v>
      </c>
      <c r="CK36" s="12">
        <f t="shared" si="109"/>
        <v>-7.5141666666666724</v>
      </c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>
        <f t="shared" si="111"/>
        <v>-71.065305896787962</v>
      </c>
      <c r="CY36" s="12">
        <f t="shared" si="112"/>
        <v>-77.042348422403194</v>
      </c>
      <c r="CZ36" s="12">
        <f t="shared" si="113"/>
        <v>-72.738179628387286</v>
      </c>
      <c r="DA36" s="12">
        <f t="shared" si="114"/>
        <v>-73.845742234377013</v>
      </c>
      <c r="DB36" s="12">
        <f t="shared" si="115"/>
        <v>-80.06157870553551</v>
      </c>
      <c r="DC36" s="12">
        <f t="shared" si="116"/>
        <v>-77.106005692914991</v>
      </c>
      <c r="DD36" s="12">
        <f t="shared" si="117"/>
        <v>-87.202529031911553</v>
      </c>
      <c r="DE36" s="12">
        <f t="shared" si="118"/>
        <v>-86.377371945969784</v>
      </c>
      <c r="DF36" s="12">
        <f t="shared" si="119"/>
        <v>-85.682890519251998</v>
      </c>
      <c r="DG36" s="12">
        <f t="shared" si="120"/>
        <v>-79.402253631410062</v>
      </c>
      <c r="DH36" s="12">
        <f t="shared" si="121"/>
        <v>-78.858344556570415</v>
      </c>
      <c r="DI36" s="12">
        <f t="shared" si="122"/>
        <v>-82.419508361922027</v>
      </c>
      <c r="DJ36" t="s">
        <v>22</v>
      </c>
      <c r="DK36" t="str">
        <f t="shared" ref="DK36:DK67" si="143">DJ34</f>
        <v>HL</v>
      </c>
      <c r="DL36" t="str">
        <f t="shared" si="37"/>
        <v>HL</v>
      </c>
      <c r="DM36" t="str">
        <f t="shared" si="41"/>
        <v>HL</v>
      </c>
      <c r="DN36" t="str">
        <f t="shared" si="49"/>
        <v>LL</v>
      </c>
      <c r="DO36" t="str">
        <f t="shared" si="57"/>
        <v>LL</v>
      </c>
      <c r="DP36" t="str">
        <f t="shared" si="65"/>
        <v>LL</v>
      </c>
      <c r="DQ36" t="str">
        <f t="shared" si="73"/>
        <v>LL</v>
      </c>
      <c r="DR36" t="str">
        <f t="shared" si="81"/>
        <v>LL</v>
      </c>
      <c r="DS36" t="str">
        <f t="shared" si="89"/>
        <v>HL</v>
      </c>
      <c r="DT36" t="str">
        <f t="shared" si="97"/>
        <v>HL</v>
      </c>
      <c r="DU36" t="str">
        <f t="shared" si="105"/>
        <v>HL</v>
      </c>
      <c r="DV36">
        <f t="shared" si="123"/>
        <v>-1.6218056860013239</v>
      </c>
      <c r="DW36">
        <f t="shared" si="124"/>
        <v>-1.9767912862719748</v>
      </c>
      <c r="DX36">
        <f t="shared" si="42"/>
        <v>-2.6142074362250014</v>
      </c>
      <c r="DY36">
        <f t="shared" si="50"/>
        <v>-2.9789857427100057</v>
      </c>
      <c r="DZ36">
        <f t="shared" si="58"/>
        <v>-1.7782664239262642</v>
      </c>
      <c r="EA36">
        <f t="shared" si="66"/>
        <v>-0.13442714894260946</v>
      </c>
      <c r="EB36">
        <f t="shared" si="74"/>
        <v>0.64965703272098352</v>
      </c>
      <c r="EC36">
        <f t="shared" si="82"/>
        <v>0.77562684447845942</v>
      </c>
      <c r="ED36">
        <f t="shared" si="90"/>
        <v>0.88312405133157168</v>
      </c>
      <c r="EE36">
        <f t="shared" si="98"/>
        <v>-2.6832015027352893</v>
      </c>
      <c r="EF36">
        <f t="shared" si="106"/>
        <v>-3.1479099249077596</v>
      </c>
      <c r="EG36" s="13" t="str">
        <f t="shared" si="125"/>
        <v/>
      </c>
      <c r="EH36" s="13" t="str">
        <f t="shared" si="126"/>
        <v/>
      </c>
      <c r="EI36" s="13" t="str">
        <f t="shared" si="127"/>
        <v/>
      </c>
      <c r="EJ36" s="13" t="str">
        <f t="shared" si="128"/>
        <v/>
      </c>
      <c r="EK36" s="13" t="str">
        <f t="shared" si="129"/>
        <v/>
      </c>
      <c r="EL36" s="13" t="str">
        <f t="shared" si="130"/>
        <v>EQL</v>
      </c>
      <c r="EM36" s="13" t="str">
        <f t="shared" si="131"/>
        <v/>
      </c>
      <c r="EN36" s="13" t="str">
        <f t="shared" si="132"/>
        <v/>
      </c>
      <c r="EO36" s="13" t="str">
        <f t="shared" si="133"/>
        <v/>
      </c>
      <c r="EP36" s="13" t="str">
        <f t="shared" si="134"/>
        <v/>
      </c>
      <c r="EQ36" s="13" t="str">
        <f t="shared" si="135"/>
        <v/>
      </c>
    </row>
    <row r="37" spans="1:147" ht="14.25" customHeight="1" x14ac:dyDescent="0.55000000000000004">
      <c r="A37">
        <v>1774908004</v>
      </c>
      <c r="B37" t="s">
        <v>16</v>
      </c>
      <c r="C37" t="s">
        <v>17</v>
      </c>
      <c r="D37">
        <v>4508.24</v>
      </c>
      <c r="E37" t="s">
        <v>20</v>
      </c>
      <c r="F37">
        <v>4523.8500000000004</v>
      </c>
      <c r="G37">
        <v>4580.59</v>
      </c>
      <c r="H37">
        <v>4555</v>
      </c>
      <c r="I37">
        <f t="shared" si="38"/>
        <v>4475.12</v>
      </c>
      <c r="J37">
        <f t="shared" si="46"/>
        <v>4420.5600000000004</v>
      </c>
      <c r="K37">
        <f t="shared" si="54"/>
        <v>4479.1400000000003</v>
      </c>
      <c r="L37">
        <f t="shared" si="62"/>
        <v>4544.29</v>
      </c>
      <c r="M37">
        <f t="shared" si="70"/>
        <v>4568.96</v>
      </c>
      <c r="N37">
        <f t="shared" si="78"/>
        <v>4585.51</v>
      </c>
      <c r="O37">
        <f t="shared" si="86"/>
        <v>4567.7299999999996</v>
      </c>
      <c r="P37">
        <f t="shared" si="94"/>
        <v>4602.3</v>
      </c>
      <c r="Q37">
        <f t="shared" si="102"/>
        <v>4433.51</v>
      </c>
      <c r="R37">
        <v>30.71</v>
      </c>
      <c r="S37">
        <f t="shared" si="136"/>
        <v>160.31999999999971</v>
      </c>
      <c r="T37">
        <f t="shared" si="137"/>
        <v>150.68000000000029</v>
      </c>
      <c r="U37">
        <f t="shared" si="43"/>
        <v>99.4399999999996</v>
      </c>
      <c r="V37">
        <f t="shared" si="51"/>
        <v>61.270000000000437</v>
      </c>
      <c r="W37">
        <f t="shared" si="59"/>
        <v>65.900000000000546</v>
      </c>
      <c r="X37">
        <f t="shared" si="67"/>
        <v>57.1899999999996</v>
      </c>
      <c r="Y37">
        <f t="shared" si="75"/>
        <v>46.630000000000109</v>
      </c>
      <c r="Z37">
        <f t="shared" si="83"/>
        <v>57.520000000000437</v>
      </c>
      <c r="AA37">
        <f t="shared" si="91"/>
        <v>34.909999999999854</v>
      </c>
      <c r="AB37">
        <f t="shared" si="99"/>
        <v>229.72000000000025</v>
      </c>
      <c r="AC37">
        <f t="shared" si="107"/>
        <v>81.8100000000004</v>
      </c>
      <c r="AD37">
        <v>0.68</v>
      </c>
      <c r="AE37" s="14">
        <f t="shared" si="138"/>
        <v>3.6269277668558644</v>
      </c>
      <c r="AF37" s="14">
        <f t="shared" si="139"/>
        <v>3.4211864714643871</v>
      </c>
      <c r="AG37" s="14">
        <f t="shared" si="44"/>
        <v>2.2725610647944912</v>
      </c>
      <c r="AH37" s="14">
        <f t="shared" si="52"/>
        <v>1.4055041073202388</v>
      </c>
      <c r="AI37" s="14">
        <f t="shared" si="60"/>
        <v>1.4932339958851217</v>
      </c>
      <c r="AJ37" s="14">
        <f t="shared" si="68"/>
        <v>1.2745425776113659</v>
      </c>
      <c r="AK37" s="14">
        <f t="shared" si="76"/>
        <v>1.0311056468678781</v>
      </c>
      <c r="AL37" s="14">
        <f t="shared" si="84"/>
        <v>1.2703208266802806</v>
      </c>
      <c r="AM37" s="14">
        <f t="shared" si="92"/>
        <v>0.77016073878953628</v>
      </c>
      <c r="AN37" s="14">
        <f t="shared" si="100"/>
        <v>5.2536488754922779</v>
      </c>
      <c r="AO37" s="14">
        <f t="shared" si="108"/>
        <v>1.879954960130533</v>
      </c>
      <c r="AP37">
        <v>0</v>
      </c>
      <c r="AQ37">
        <f t="shared" si="140"/>
        <v>0</v>
      </c>
      <c r="AR37">
        <f t="shared" si="34"/>
        <v>0</v>
      </c>
      <c r="AS37">
        <f t="shared" si="39"/>
        <v>0</v>
      </c>
      <c r="AT37">
        <f t="shared" si="47"/>
        <v>0</v>
      </c>
      <c r="AU37">
        <f t="shared" si="55"/>
        <v>0</v>
      </c>
      <c r="AV37">
        <f t="shared" si="63"/>
        <v>0</v>
      </c>
      <c r="AW37">
        <f t="shared" si="71"/>
        <v>0</v>
      </c>
      <c r="AX37">
        <f t="shared" si="79"/>
        <v>0</v>
      </c>
      <c r="AY37">
        <f t="shared" si="87"/>
        <v>0</v>
      </c>
      <c r="AZ37">
        <f t="shared" si="95"/>
        <v>0</v>
      </c>
      <c r="BA37">
        <f t="shared" si="103"/>
        <v>0</v>
      </c>
      <c r="BB37">
        <v>7</v>
      </c>
      <c r="BC37">
        <f t="shared" si="141"/>
        <v>47</v>
      </c>
      <c r="BD37">
        <f t="shared" si="35"/>
        <v>17</v>
      </c>
      <c r="BE37">
        <f t="shared" si="40"/>
        <v>19</v>
      </c>
      <c r="BF37">
        <f t="shared" si="48"/>
        <v>3</v>
      </c>
      <c r="BG37">
        <f t="shared" si="56"/>
        <v>24</v>
      </c>
      <c r="BH37">
        <f t="shared" si="64"/>
        <v>20</v>
      </c>
      <c r="BI37">
        <f t="shared" si="72"/>
        <v>22</v>
      </c>
      <c r="BJ37">
        <f t="shared" si="80"/>
        <v>7</v>
      </c>
      <c r="BK37">
        <f t="shared" si="88"/>
        <v>12</v>
      </c>
      <c r="BL37">
        <f t="shared" si="96"/>
        <v>32</v>
      </c>
      <c r="BM37">
        <f t="shared" si="104"/>
        <v>4</v>
      </c>
      <c r="BZ37" s="12">
        <f t="shared" si="110"/>
        <v>4.387142857142857</v>
      </c>
      <c r="CA37" s="12">
        <f t="shared" si="142"/>
        <v>3.4110638297872278</v>
      </c>
      <c r="CB37" s="12">
        <f t="shared" si="36"/>
        <v>8.8635294117647234</v>
      </c>
      <c r="CC37" s="12">
        <f t="shared" si="45"/>
        <v>5.2336842105262944</v>
      </c>
      <c r="CD37" s="12">
        <f t="shared" si="53"/>
        <v>20.423333333333478</v>
      </c>
      <c r="CE37" s="12">
        <f t="shared" si="61"/>
        <v>2.7458333333333562</v>
      </c>
      <c r="CF37" s="12">
        <f t="shared" si="69"/>
        <v>2.8594999999999802</v>
      </c>
      <c r="CG37" s="12">
        <f t="shared" si="77"/>
        <v>2.1195454545454595</v>
      </c>
      <c r="CH37" s="12">
        <f t="shared" si="85"/>
        <v>8.2171428571429193</v>
      </c>
      <c r="CI37" s="12">
        <f t="shared" si="93"/>
        <v>2.9091666666666547</v>
      </c>
      <c r="CJ37" s="12">
        <f t="shared" si="101"/>
        <v>7.178750000000008</v>
      </c>
      <c r="CK37" s="12">
        <f t="shared" si="109"/>
        <v>20.4525000000001</v>
      </c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>
        <f t="shared" si="111"/>
        <v>77.159451396458621</v>
      </c>
      <c r="CY37" s="12">
        <f t="shared" si="112"/>
        <v>73.66077954694002</v>
      </c>
      <c r="CZ37" s="12">
        <f t="shared" si="113"/>
        <v>83.563002379889127</v>
      </c>
      <c r="DA37" s="12">
        <f t="shared" si="114"/>
        <v>79.182874553785254</v>
      </c>
      <c r="DB37" s="12">
        <f t="shared" si="115"/>
        <v>87.196830864783578</v>
      </c>
      <c r="DC37" s="12">
        <f t="shared" si="116"/>
        <v>69.988974961848029</v>
      </c>
      <c r="DD37" s="12">
        <f t="shared" si="117"/>
        <v>70.724681625353043</v>
      </c>
      <c r="DE37" s="12">
        <f t="shared" si="118"/>
        <v>64.742095759376653</v>
      </c>
      <c r="DF37" s="12">
        <f t="shared" si="119"/>
        <v>83.061406455993264</v>
      </c>
      <c r="DG37" s="12">
        <f t="shared" si="120"/>
        <v>71.030050880666636</v>
      </c>
      <c r="DH37" s="12">
        <f t="shared" si="121"/>
        <v>82.069728460921951</v>
      </c>
      <c r="DI37" s="12">
        <f t="shared" si="122"/>
        <v>87.200822013750766</v>
      </c>
      <c r="DJ37" t="s">
        <v>21</v>
      </c>
      <c r="DK37" t="str">
        <f t="shared" si="143"/>
        <v>HH</v>
      </c>
      <c r="DL37" t="str">
        <f t="shared" si="37"/>
        <v>HH</v>
      </c>
      <c r="DM37" t="str">
        <f t="shared" si="41"/>
        <v>HH</v>
      </c>
      <c r="DN37" t="str">
        <f t="shared" si="49"/>
        <v>LH</v>
      </c>
      <c r="DO37" t="str">
        <f t="shared" si="57"/>
        <v>LH</v>
      </c>
      <c r="DP37" t="str">
        <f t="shared" si="65"/>
        <v>LH</v>
      </c>
      <c r="DQ37" t="str">
        <f t="shared" si="73"/>
        <v>LH</v>
      </c>
      <c r="DR37" t="str">
        <f t="shared" si="81"/>
        <v>HH</v>
      </c>
      <c r="DS37" t="str">
        <f t="shared" si="89"/>
        <v>LH</v>
      </c>
      <c r="DT37" t="str">
        <f t="shared" si="97"/>
        <v>HH</v>
      </c>
      <c r="DU37" t="str">
        <f t="shared" si="105"/>
        <v>LH</v>
      </c>
      <c r="DV37">
        <f t="shared" si="123"/>
        <v>1.2542414094189633</v>
      </c>
      <c r="DW37">
        <f t="shared" si="124"/>
        <v>0.68857278645400788</v>
      </c>
      <c r="DX37">
        <f t="shared" si="42"/>
        <v>-1.0771798357593747</v>
      </c>
      <c r="DY37">
        <f t="shared" si="50"/>
        <v>-2.2832322026592382</v>
      </c>
      <c r="DZ37">
        <f t="shared" si="58"/>
        <v>-0.98831747294892691</v>
      </c>
      <c r="EA37">
        <f t="shared" si="66"/>
        <v>0.45182753627992961</v>
      </c>
      <c r="EB37">
        <f t="shared" si="74"/>
        <v>0.99715949909921131</v>
      </c>
      <c r="EC37">
        <f t="shared" si="82"/>
        <v>1.3629983310675609</v>
      </c>
      <c r="ED37">
        <f t="shared" si="90"/>
        <v>0.96997026868705183</v>
      </c>
      <c r="EE37">
        <f t="shared" si="98"/>
        <v>1.734142378726081</v>
      </c>
      <c r="EF37">
        <f t="shared" si="106"/>
        <v>-1.9969716060435281</v>
      </c>
      <c r="EG37" s="13" t="str">
        <f t="shared" si="125"/>
        <v/>
      </c>
      <c r="EH37" s="13" t="str">
        <f t="shared" si="126"/>
        <v/>
      </c>
      <c r="EI37" s="13" t="str">
        <f t="shared" si="127"/>
        <v/>
      </c>
      <c r="EJ37" s="13" t="str">
        <f t="shared" si="128"/>
        <v/>
      </c>
      <c r="EK37" s="13" t="str">
        <f t="shared" si="129"/>
        <v/>
      </c>
      <c r="EL37" s="13" t="str">
        <f t="shared" si="130"/>
        <v/>
      </c>
      <c r="EM37" s="13" t="str">
        <f t="shared" si="131"/>
        <v/>
      </c>
      <c r="EN37" s="13" t="str">
        <f t="shared" si="132"/>
        <v/>
      </c>
      <c r="EO37" s="13" t="str">
        <f t="shared" si="133"/>
        <v/>
      </c>
      <c r="EP37" s="13" t="str">
        <f t="shared" si="134"/>
        <v/>
      </c>
      <c r="EQ37" s="13" t="str">
        <f t="shared" si="135"/>
        <v/>
      </c>
    </row>
    <row r="38" spans="1:147" ht="14.25" customHeight="1" x14ac:dyDescent="0.55000000000000004">
      <c r="A38">
        <v>1774911604</v>
      </c>
      <c r="B38" t="s">
        <v>16</v>
      </c>
      <c r="C38" t="s">
        <v>17</v>
      </c>
      <c r="D38">
        <v>4499.13</v>
      </c>
      <c r="E38" t="s">
        <v>18</v>
      </c>
      <c r="F38">
        <v>4492.83</v>
      </c>
      <c r="G38">
        <v>4493.1400000000003</v>
      </c>
      <c r="H38">
        <v>4420.2700000000004</v>
      </c>
      <c r="I38">
        <f t="shared" si="38"/>
        <v>4404.32</v>
      </c>
      <c r="J38">
        <f t="shared" si="46"/>
        <v>4375.68</v>
      </c>
      <c r="K38">
        <f t="shared" si="54"/>
        <v>4359.29</v>
      </c>
      <c r="L38">
        <f t="shared" si="62"/>
        <v>4413.24</v>
      </c>
      <c r="M38">
        <f t="shared" si="70"/>
        <v>4487.1000000000004</v>
      </c>
      <c r="N38">
        <f t="shared" si="78"/>
        <v>4522.33</v>
      </c>
      <c r="O38">
        <f t="shared" si="86"/>
        <v>4527.99</v>
      </c>
      <c r="P38">
        <f t="shared" si="94"/>
        <v>4532.82</v>
      </c>
      <c r="Q38">
        <f t="shared" si="102"/>
        <v>4372.58</v>
      </c>
      <c r="R38">
        <v>-31.02</v>
      </c>
      <c r="S38">
        <f t="shared" si="136"/>
        <v>-87.449999999999818</v>
      </c>
      <c r="T38">
        <f t="shared" si="137"/>
        <v>-134.72999999999956</v>
      </c>
      <c r="U38">
        <f t="shared" si="43"/>
        <v>-70.800000000000182</v>
      </c>
      <c r="V38">
        <f t="shared" si="51"/>
        <v>-44.880000000000109</v>
      </c>
      <c r="W38">
        <f t="shared" si="59"/>
        <v>-119.85000000000036</v>
      </c>
      <c r="X38">
        <f t="shared" si="67"/>
        <v>-131.05000000000018</v>
      </c>
      <c r="Y38">
        <f t="shared" si="75"/>
        <v>-81.859999999999673</v>
      </c>
      <c r="Z38">
        <f t="shared" si="83"/>
        <v>-63.180000000000291</v>
      </c>
      <c r="AA38">
        <f t="shared" si="91"/>
        <v>-39.739999999999782</v>
      </c>
      <c r="AB38">
        <f t="shared" si="99"/>
        <v>-69.480000000000473</v>
      </c>
      <c r="AC38">
        <f t="shared" si="107"/>
        <v>-60.930000000000291</v>
      </c>
      <c r="AD38">
        <v>-0.69</v>
      </c>
      <c r="AE38" s="14">
        <f t="shared" si="138"/>
        <v>-1.909142708690361</v>
      </c>
      <c r="AF38" s="14">
        <f t="shared" si="139"/>
        <v>-2.9578485181119554</v>
      </c>
      <c r="AG38" s="14">
        <f t="shared" si="44"/>
        <v>-1.5820804805234314</v>
      </c>
      <c r="AH38" s="14">
        <f t="shared" si="52"/>
        <v>-1.0152559856669767</v>
      </c>
      <c r="AI38" s="14">
        <f t="shared" si="60"/>
        <v>-2.6757368602008502</v>
      </c>
      <c r="AJ38" s="14">
        <f t="shared" si="68"/>
        <v>-2.8838388395106866</v>
      </c>
      <c r="AK38" s="14">
        <f t="shared" si="76"/>
        <v>-1.7916549936965891</v>
      </c>
      <c r="AL38" s="14">
        <f t="shared" si="84"/>
        <v>-1.3778183887942734</v>
      </c>
      <c r="AM38" s="14">
        <f t="shared" si="92"/>
        <v>-0.87001639764171224</v>
      </c>
      <c r="AN38" s="14">
        <f t="shared" si="100"/>
        <v>-1.509679942637387</v>
      </c>
      <c r="AO38" s="14">
        <f t="shared" si="108"/>
        <v>-1.3743061366727556</v>
      </c>
      <c r="AP38">
        <v>3</v>
      </c>
      <c r="AQ38">
        <f t="shared" si="140"/>
        <v>3</v>
      </c>
      <c r="AR38">
        <f t="shared" ref="AR38:AR69" si="144">AP34</f>
        <v>3</v>
      </c>
      <c r="AS38">
        <f t="shared" si="39"/>
        <v>3</v>
      </c>
      <c r="AT38">
        <f t="shared" si="47"/>
        <v>3</v>
      </c>
      <c r="AU38">
        <f t="shared" si="55"/>
        <v>3</v>
      </c>
      <c r="AV38">
        <f t="shared" si="63"/>
        <v>3</v>
      </c>
      <c r="AW38">
        <f t="shared" si="71"/>
        <v>3</v>
      </c>
      <c r="AX38">
        <f t="shared" si="79"/>
        <v>3</v>
      </c>
      <c r="AY38">
        <f t="shared" si="87"/>
        <v>3</v>
      </c>
      <c r="AZ38">
        <f t="shared" si="95"/>
        <v>3</v>
      </c>
      <c r="BA38">
        <f t="shared" si="103"/>
        <v>3</v>
      </c>
      <c r="BB38">
        <v>4</v>
      </c>
      <c r="BC38">
        <f t="shared" si="141"/>
        <v>30</v>
      </c>
      <c r="BD38">
        <f t="shared" ref="BD38:BD69" si="145">BB34</f>
        <v>31</v>
      </c>
      <c r="BE38">
        <f t="shared" si="40"/>
        <v>22</v>
      </c>
      <c r="BF38">
        <f t="shared" si="48"/>
        <v>13</v>
      </c>
      <c r="BG38">
        <f t="shared" si="56"/>
        <v>21</v>
      </c>
      <c r="BH38">
        <f t="shared" si="64"/>
        <v>30</v>
      </c>
      <c r="BI38">
        <f t="shared" si="72"/>
        <v>4</v>
      </c>
      <c r="BJ38">
        <f t="shared" si="80"/>
        <v>4</v>
      </c>
      <c r="BK38">
        <f t="shared" si="88"/>
        <v>3</v>
      </c>
      <c r="BL38">
        <f t="shared" si="96"/>
        <v>13</v>
      </c>
      <c r="BM38">
        <f t="shared" si="104"/>
        <v>12</v>
      </c>
      <c r="BZ38" s="12">
        <f t="shared" si="110"/>
        <v>-7.7549999999999999</v>
      </c>
      <c r="CA38" s="12">
        <f t="shared" si="142"/>
        <v>-2.9149999999999938</v>
      </c>
      <c r="CB38" s="12">
        <f t="shared" ref="CB38:CB69" si="146">IFERROR(T38/BD38,0)</f>
        <v>-4.3461290322580508</v>
      </c>
      <c r="CC38" s="12">
        <f t="shared" si="45"/>
        <v>-3.2181818181818262</v>
      </c>
      <c r="CD38" s="12">
        <f t="shared" si="53"/>
        <v>-3.4523076923077007</v>
      </c>
      <c r="CE38" s="12">
        <f t="shared" si="61"/>
        <v>-5.7071428571428742</v>
      </c>
      <c r="CF38" s="12">
        <f t="shared" si="69"/>
        <v>-4.3683333333333394</v>
      </c>
      <c r="CG38" s="12">
        <f t="shared" si="77"/>
        <v>-20.464999999999918</v>
      </c>
      <c r="CH38" s="12">
        <f t="shared" si="85"/>
        <v>-15.795000000000073</v>
      </c>
      <c r="CI38" s="12">
        <f t="shared" si="93"/>
        <v>-13.246666666666593</v>
      </c>
      <c r="CJ38" s="12">
        <f t="shared" si="101"/>
        <v>-5.3446153846154214</v>
      </c>
      <c r="CK38" s="12">
        <f t="shared" si="109"/>
        <v>-5.0775000000000245</v>
      </c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>
        <f t="shared" si="111"/>
        <v>-82.652309233171209</v>
      </c>
      <c r="CY38" s="12">
        <f t="shared" si="112"/>
        <v>-71.065305896787933</v>
      </c>
      <c r="CZ38" s="12">
        <f t="shared" si="113"/>
        <v>-77.042348422403194</v>
      </c>
      <c r="DA38" s="12">
        <f t="shared" si="114"/>
        <v>-72.738179628387286</v>
      </c>
      <c r="DB38" s="12">
        <f t="shared" si="115"/>
        <v>-73.845742234377013</v>
      </c>
      <c r="DC38" s="12">
        <f t="shared" si="116"/>
        <v>-80.06157870553551</v>
      </c>
      <c r="DD38" s="12">
        <f t="shared" si="117"/>
        <v>-77.106005692914991</v>
      </c>
      <c r="DE38" s="12">
        <f t="shared" si="118"/>
        <v>-87.202529031911553</v>
      </c>
      <c r="DF38" s="12">
        <f t="shared" si="119"/>
        <v>-86.377371945969784</v>
      </c>
      <c r="DG38" s="12">
        <f t="shared" si="120"/>
        <v>-85.682890519251998</v>
      </c>
      <c r="DH38" s="12">
        <f t="shared" si="121"/>
        <v>-79.402253631410062</v>
      </c>
      <c r="DI38" s="12">
        <f t="shared" si="122"/>
        <v>-78.858344556570415</v>
      </c>
      <c r="DJ38" t="s">
        <v>19</v>
      </c>
      <c r="DK38" t="str">
        <f t="shared" si="143"/>
        <v>HL</v>
      </c>
      <c r="DL38" t="str">
        <f t="shared" ref="DL38:DL69" si="147">DJ34</f>
        <v>HL</v>
      </c>
      <c r="DM38" t="str">
        <f t="shared" si="41"/>
        <v>HL</v>
      </c>
      <c r="DN38" t="str">
        <f t="shared" si="49"/>
        <v>HL</v>
      </c>
      <c r="DO38" t="str">
        <f t="shared" si="57"/>
        <v>LL</v>
      </c>
      <c r="DP38" t="str">
        <f t="shared" si="65"/>
        <v>LL</v>
      </c>
      <c r="DQ38" t="str">
        <f t="shared" si="73"/>
        <v>LL</v>
      </c>
      <c r="DR38" t="str">
        <f t="shared" si="81"/>
        <v>LL</v>
      </c>
      <c r="DS38" t="str">
        <f t="shared" si="89"/>
        <v>LL</v>
      </c>
      <c r="DT38" t="str">
        <f t="shared" si="97"/>
        <v>HL</v>
      </c>
      <c r="DU38" t="str">
        <f t="shared" si="105"/>
        <v>HL</v>
      </c>
      <c r="DV38">
        <f t="shared" si="123"/>
        <v>6.8998827020029735E-3</v>
      </c>
      <c r="DW38">
        <f t="shared" si="124"/>
        <v>-1.6150177059893096</v>
      </c>
      <c r="DX38">
        <f t="shared" si="42"/>
        <v>-1.9700277998499882</v>
      </c>
      <c r="DY38">
        <f t="shared" si="50"/>
        <v>-2.6074879307696848</v>
      </c>
      <c r="DZ38">
        <f t="shared" si="58"/>
        <v>-2.9722914065299593</v>
      </c>
      <c r="EA38">
        <f t="shared" si="66"/>
        <v>-1.7714892395216411</v>
      </c>
      <c r="EB38">
        <f t="shared" si="74"/>
        <v>-0.1275365415562032</v>
      </c>
      <c r="EC38">
        <f t="shared" si="82"/>
        <v>0.65660174099620949</v>
      </c>
      <c r="ED38">
        <f t="shared" si="90"/>
        <v>0.78258024452293673</v>
      </c>
      <c r="EE38">
        <f t="shared" si="98"/>
        <v>0.89008486855722957</v>
      </c>
      <c r="EF38">
        <f t="shared" si="106"/>
        <v>-2.6764867577896334</v>
      </c>
      <c r="EG38" s="13" t="str">
        <f t="shared" si="125"/>
        <v>EQL</v>
      </c>
      <c r="EH38" s="13" t="str">
        <f t="shared" si="126"/>
        <v/>
      </c>
      <c r="EI38" s="13" t="str">
        <f t="shared" si="127"/>
        <v/>
      </c>
      <c r="EJ38" s="13" t="str">
        <f t="shared" si="128"/>
        <v/>
      </c>
      <c r="EK38" s="13" t="str">
        <f t="shared" si="129"/>
        <v/>
      </c>
      <c r="EL38" s="13" t="str">
        <f t="shared" si="130"/>
        <v/>
      </c>
      <c r="EM38" s="13" t="str">
        <f t="shared" si="131"/>
        <v>EQL</v>
      </c>
      <c r="EN38" s="13" t="str">
        <f t="shared" si="132"/>
        <v/>
      </c>
      <c r="EO38" s="13" t="str">
        <f t="shared" si="133"/>
        <v/>
      </c>
      <c r="EP38" s="13" t="str">
        <f t="shared" si="134"/>
        <v/>
      </c>
      <c r="EQ38" s="13" t="str">
        <f t="shared" si="135"/>
        <v/>
      </c>
    </row>
    <row r="39" spans="1:147" ht="14.25" customHeight="1" x14ac:dyDescent="0.55000000000000004">
      <c r="A39">
        <v>1774915204</v>
      </c>
      <c r="B39" t="s">
        <v>16</v>
      </c>
      <c r="C39" t="s">
        <v>17</v>
      </c>
      <c r="D39">
        <v>4516.16</v>
      </c>
      <c r="E39" t="s">
        <v>20</v>
      </c>
      <c r="F39">
        <v>4528.66</v>
      </c>
      <c r="G39">
        <v>4523.8500000000004</v>
      </c>
      <c r="H39">
        <v>4580.59</v>
      </c>
      <c r="I39">
        <f t="shared" si="38"/>
        <v>4555</v>
      </c>
      <c r="J39">
        <f t="shared" si="46"/>
        <v>4475.12</v>
      </c>
      <c r="K39">
        <f t="shared" si="54"/>
        <v>4420.5600000000004</v>
      </c>
      <c r="L39">
        <f t="shared" si="62"/>
        <v>4479.1400000000003</v>
      </c>
      <c r="M39">
        <f t="shared" si="70"/>
        <v>4544.29</v>
      </c>
      <c r="N39">
        <f t="shared" si="78"/>
        <v>4568.96</v>
      </c>
      <c r="O39">
        <f t="shared" si="86"/>
        <v>4585.51</v>
      </c>
      <c r="P39">
        <f t="shared" si="94"/>
        <v>4567.7299999999996</v>
      </c>
      <c r="Q39">
        <f t="shared" si="102"/>
        <v>4602.3</v>
      </c>
      <c r="R39">
        <v>35.83</v>
      </c>
      <c r="S39">
        <f t="shared" si="136"/>
        <v>30.710000000000036</v>
      </c>
      <c r="T39">
        <f t="shared" si="137"/>
        <v>160.31999999999971</v>
      </c>
      <c r="U39">
        <f t="shared" si="43"/>
        <v>150.68000000000029</v>
      </c>
      <c r="V39">
        <f t="shared" si="51"/>
        <v>99.4399999999996</v>
      </c>
      <c r="W39">
        <f t="shared" si="59"/>
        <v>61.270000000000437</v>
      </c>
      <c r="X39">
        <f t="shared" si="67"/>
        <v>65.900000000000546</v>
      </c>
      <c r="Y39">
        <f t="shared" si="75"/>
        <v>57.1899999999996</v>
      </c>
      <c r="Z39">
        <f t="shared" si="83"/>
        <v>46.630000000000109</v>
      </c>
      <c r="AA39">
        <f t="shared" si="91"/>
        <v>57.520000000000437</v>
      </c>
      <c r="AB39">
        <f t="shared" si="99"/>
        <v>34.909999999999854</v>
      </c>
      <c r="AC39">
        <f t="shared" si="107"/>
        <v>229.72000000000025</v>
      </c>
      <c r="AD39">
        <v>0.8</v>
      </c>
      <c r="AE39" s="14">
        <f t="shared" si="138"/>
        <v>0.68348638146151763</v>
      </c>
      <c r="AF39" s="14">
        <f t="shared" si="139"/>
        <v>3.6269277668558644</v>
      </c>
      <c r="AG39" s="14">
        <f t="shared" si="44"/>
        <v>3.4211864714643871</v>
      </c>
      <c r="AH39" s="14">
        <f t="shared" si="52"/>
        <v>2.2725610647944912</v>
      </c>
      <c r="AI39" s="14">
        <f t="shared" si="60"/>
        <v>1.4055041073202388</v>
      </c>
      <c r="AJ39" s="14">
        <f t="shared" si="68"/>
        <v>1.4932339958851217</v>
      </c>
      <c r="AK39" s="14">
        <f t="shared" si="76"/>
        <v>1.2745425776113659</v>
      </c>
      <c r="AL39" s="14">
        <f t="shared" si="84"/>
        <v>1.0311056468678781</v>
      </c>
      <c r="AM39" s="14">
        <f t="shared" si="92"/>
        <v>1.2703208266802806</v>
      </c>
      <c r="AN39" s="14">
        <f t="shared" si="100"/>
        <v>0.77016073878953628</v>
      </c>
      <c r="AO39" s="14">
        <f t="shared" si="108"/>
        <v>5.2536488754922779</v>
      </c>
      <c r="AP39">
        <v>0</v>
      </c>
      <c r="AQ39">
        <f t="shared" si="140"/>
        <v>0</v>
      </c>
      <c r="AR39">
        <f t="shared" si="144"/>
        <v>0</v>
      </c>
      <c r="AS39">
        <f t="shared" si="39"/>
        <v>0</v>
      </c>
      <c r="AT39">
        <f t="shared" si="47"/>
        <v>0</v>
      </c>
      <c r="AU39">
        <f t="shared" si="55"/>
        <v>0</v>
      </c>
      <c r="AV39">
        <f t="shared" si="63"/>
        <v>0</v>
      </c>
      <c r="AW39">
        <f t="shared" si="71"/>
        <v>0</v>
      </c>
      <c r="AX39">
        <f t="shared" si="79"/>
        <v>0</v>
      </c>
      <c r="AY39">
        <f t="shared" si="87"/>
        <v>0</v>
      </c>
      <c r="AZ39">
        <f t="shared" si="95"/>
        <v>0</v>
      </c>
      <c r="BA39">
        <f t="shared" si="103"/>
        <v>0</v>
      </c>
      <c r="BB39">
        <v>4</v>
      </c>
      <c r="BC39">
        <f t="shared" si="141"/>
        <v>7</v>
      </c>
      <c r="BD39">
        <f t="shared" si="145"/>
        <v>47</v>
      </c>
      <c r="BE39">
        <f t="shared" si="40"/>
        <v>17</v>
      </c>
      <c r="BF39">
        <f t="shared" si="48"/>
        <v>19</v>
      </c>
      <c r="BG39">
        <f t="shared" si="56"/>
        <v>3</v>
      </c>
      <c r="BH39">
        <f t="shared" si="64"/>
        <v>24</v>
      </c>
      <c r="BI39">
        <f t="shared" si="72"/>
        <v>20</v>
      </c>
      <c r="BJ39">
        <f t="shared" si="80"/>
        <v>22</v>
      </c>
      <c r="BK39">
        <f t="shared" si="88"/>
        <v>7</v>
      </c>
      <c r="BL39">
        <f t="shared" si="96"/>
        <v>12</v>
      </c>
      <c r="BM39">
        <f t="shared" si="104"/>
        <v>32</v>
      </c>
      <c r="BZ39" s="12">
        <f t="shared" si="110"/>
        <v>8.9574999999999996</v>
      </c>
      <c r="CA39" s="12">
        <f t="shared" si="142"/>
        <v>4.3871428571428623</v>
      </c>
      <c r="CB39" s="12">
        <f t="shared" si="146"/>
        <v>3.4110638297872278</v>
      </c>
      <c r="CC39" s="12">
        <f t="shared" si="45"/>
        <v>8.8635294117647234</v>
      </c>
      <c r="CD39" s="12">
        <f t="shared" si="53"/>
        <v>5.2336842105262944</v>
      </c>
      <c r="CE39" s="12">
        <f t="shared" si="61"/>
        <v>20.423333333333478</v>
      </c>
      <c r="CF39" s="12">
        <f t="shared" si="69"/>
        <v>2.7458333333333562</v>
      </c>
      <c r="CG39" s="12">
        <f t="shared" si="77"/>
        <v>2.8594999999999802</v>
      </c>
      <c r="CH39" s="12">
        <f t="shared" si="85"/>
        <v>2.1195454545454595</v>
      </c>
      <c r="CI39" s="12">
        <f t="shared" si="93"/>
        <v>8.2171428571429193</v>
      </c>
      <c r="CJ39" s="12">
        <f t="shared" si="101"/>
        <v>2.9091666666666547</v>
      </c>
      <c r="CK39" s="12">
        <f t="shared" si="109"/>
        <v>7.178750000000008</v>
      </c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>
        <f t="shared" si="111"/>
        <v>83.629973103427361</v>
      </c>
      <c r="CY39" s="12">
        <f t="shared" si="112"/>
        <v>77.15945139645865</v>
      </c>
      <c r="CZ39" s="12">
        <f t="shared" si="113"/>
        <v>73.66077954694002</v>
      </c>
      <c r="DA39" s="12">
        <f t="shared" si="114"/>
        <v>83.563002379889127</v>
      </c>
      <c r="DB39" s="12">
        <f t="shared" si="115"/>
        <v>79.182874553785254</v>
      </c>
      <c r="DC39" s="12">
        <f t="shared" si="116"/>
        <v>87.196830864783578</v>
      </c>
      <c r="DD39" s="12">
        <f t="shared" si="117"/>
        <v>69.988974961848029</v>
      </c>
      <c r="DE39" s="12">
        <f t="shared" si="118"/>
        <v>70.724681625353043</v>
      </c>
      <c r="DF39" s="12">
        <f t="shared" si="119"/>
        <v>64.742095759376653</v>
      </c>
      <c r="DG39" s="12">
        <f t="shared" si="120"/>
        <v>83.061406455993264</v>
      </c>
      <c r="DH39" s="12">
        <f t="shared" si="121"/>
        <v>71.030050880666636</v>
      </c>
      <c r="DI39" s="12">
        <f t="shared" si="122"/>
        <v>82.069728460921951</v>
      </c>
      <c r="DJ39" t="s">
        <v>23</v>
      </c>
      <c r="DK39" t="str">
        <f t="shared" si="143"/>
        <v>LH</v>
      </c>
      <c r="DL39" t="str">
        <f t="shared" si="147"/>
        <v>HH</v>
      </c>
      <c r="DM39" t="str">
        <f t="shared" si="41"/>
        <v>HH</v>
      </c>
      <c r="DN39" t="str">
        <f t="shared" si="49"/>
        <v>HH</v>
      </c>
      <c r="DO39" t="str">
        <f t="shared" si="57"/>
        <v>LH</v>
      </c>
      <c r="DP39" t="str">
        <f t="shared" si="65"/>
        <v>LH</v>
      </c>
      <c r="DQ39" t="str">
        <f t="shared" si="73"/>
        <v>LH</v>
      </c>
      <c r="DR39" t="str">
        <f t="shared" si="81"/>
        <v>LH</v>
      </c>
      <c r="DS39" t="str">
        <f t="shared" si="89"/>
        <v>HH</v>
      </c>
      <c r="DT39" t="str">
        <f t="shared" si="97"/>
        <v>LH</v>
      </c>
      <c r="DU39" t="str">
        <f t="shared" si="105"/>
        <v>HH</v>
      </c>
      <c r="DV39">
        <f t="shared" si="123"/>
        <v>-0.10621243370002366</v>
      </c>
      <c r="DW39">
        <f t="shared" si="124"/>
        <v>1.1466968153935224</v>
      </c>
      <c r="DX39">
        <f t="shared" si="42"/>
        <v>0.58162900283969532</v>
      </c>
      <c r="DY39">
        <f t="shared" si="50"/>
        <v>-1.1822481705405123</v>
      </c>
      <c r="DZ39">
        <f t="shared" si="58"/>
        <v>-2.387019559869795</v>
      </c>
      <c r="EA39">
        <f t="shared" si="66"/>
        <v>-1.093480190608249</v>
      </c>
      <c r="EB39">
        <f t="shared" si="74"/>
        <v>0.34513520555749627</v>
      </c>
      <c r="EC39">
        <f t="shared" si="82"/>
        <v>0.88988795802732346</v>
      </c>
      <c r="ED39">
        <f t="shared" si="90"/>
        <v>1.2553382236688195</v>
      </c>
      <c r="EE39">
        <f t="shared" si="98"/>
        <v>0.86272760595848907</v>
      </c>
      <c r="EF39">
        <f t="shared" si="106"/>
        <v>1.6260880702017886</v>
      </c>
      <c r="EG39" s="13" t="str">
        <f t="shared" si="125"/>
        <v>EQH</v>
      </c>
      <c r="EH39" s="13" t="str">
        <f t="shared" si="126"/>
        <v/>
      </c>
      <c r="EI39" s="13" t="str">
        <f t="shared" si="127"/>
        <v/>
      </c>
      <c r="EJ39" s="13" t="str">
        <f t="shared" si="128"/>
        <v/>
      </c>
      <c r="EK39" s="13" t="str">
        <f t="shared" si="129"/>
        <v/>
      </c>
      <c r="EL39" s="13" t="str">
        <f t="shared" si="130"/>
        <v/>
      </c>
      <c r="EM39" s="13" t="str">
        <f t="shared" si="131"/>
        <v/>
      </c>
      <c r="EN39" s="13" t="str">
        <f t="shared" si="132"/>
        <v/>
      </c>
      <c r="EO39" s="13" t="str">
        <f t="shared" si="133"/>
        <v/>
      </c>
      <c r="EP39" s="13" t="str">
        <f t="shared" si="134"/>
        <v/>
      </c>
      <c r="EQ39" s="13" t="str">
        <f t="shared" si="135"/>
        <v/>
      </c>
    </row>
    <row r="40" spans="1:147" ht="14.25" customHeight="1" x14ac:dyDescent="0.55000000000000004">
      <c r="A40">
        <v>1774916104</v>
      </c>
      <c r="B40" t="s">
        <v>16</v>
      </c>
      <c r="C40" t="s">
        <v>17</v>
      </c>
      <c r="D40">
        <v>4511.88</v>
      </c>
      <c r="E40" t="s">
        <v>18</v>
      </c>
      <c r="F40">
        <v>4482.6899999999996</v>
      </c>
      <c r="G40">
        <v>4492.83</v>
      </c>
      <c r="H40">
        <v>4493.1400000000003</v>
      </c>
      <c r="I40">
        <f t="shared" ref="I40:I71" si="148">F34</f>
        <v>4420.2700000000004</v>
      </c>
      <c r="J40">
        <f t="shared" si="46"/>
        <v>4404.32</v>
      </c>
      <c r="K40">
        <f t="shared" si="54"/>
        <v>4375.68</v>
      </c>
      <c r="L40">
        <f t="shared" si="62"/>
        <v>4359.29</v>
      </c>
      <c r="M40">
        <f t="shared" si="70"/>
        <v>4413.24</v>
      </c>
      <c r="N40">
        <f t="shared" si="78"/>
        <v>4487.1000000000004</v>
      </c>
      <c r="O40">
        <f t="shared" si="86"/>
        <v>4522.33</v>
      </c>
      <c r="P40">
        <f t="shared" si="94"/>
        <v>4527.99</v>
      </c>
      <c r="Q40">
        <f t="shared" si="102"/>
        <v>4532.82</v>
      </c>
      <c r="R40">
        <v>-45.97</v>
      </c>
      <c r="S40">
        <f t="shared" si="136"/>
        <v>-31.020000000000437</v>
      </c>
      <c r="T40">
        <f t="shared" si="137"/>
        <v>-87.449999999999818</v>
      </c>
      <c r="U40">
        <f t="shared" si="43"/>
        <v>-134.72999999999956</v>
      </c>
      <c r="V40">
        <f t="shared" si="51"/>
        <v>-70.800000000000182</v>
      </c>
      <c r="W40">
        <f t="shared" si="59"/>
        <v>-44.880000000000109</v>
      </c>
      <c r="X40">
        <f t="shared" si="67"/>
        <v>-119.85000000000036</v>
      </c>
      <c r="Y40">
        <f t="shared" si="75"/>
        <v>-131.05000000000018</v>
      </c>
      <c r="Z40">
        <f t="shared" si="83"/>
        <v>-81.859999999999673</v>
      </c>
      <c r="AA40">
        <f t="shared" si="91"/>
        <v>-63.180000000000291</v>
      </c>
      <c r="AB40">
        <f t="shared" si="99"/>
        <v>-39.739999999999782</v>
      </c>
      <c r="AC40">
        <f t="shared" si="107"/>
        <v>-69.480000000000473</v>
      </c>
      <c r="AD40">
        <v>-1.02</v>
      </c>
      <c r="AE40" s="14">
        <f t="shared" si="138"/>
        <v>-0.68569912795518051</v>
      </c>
      <c r="AF40" s="14">
        <f t="shared" si="139"/>
        <v>-1.909142708690361</v>
      </c>
      <c r="AG40" s="14">
        <f t="shared" si="44"/>
        <v>-2.9578485181119554</v>
      </c>
      <c r="AH40" s="14">
        <f t="shared" si="52"/>
        <v>-1.5820804805234314</v>
      </c>
      <c r="AI40" s="14">
        <f t="shared" si="60"/>
        <v>-1.0152559856669767</v>
      </c>
      <c r="AJ40" s="14">
        <f t="shared" si="68"/>
        <v>-2.6757368602008502</v>
      </c>
      <c r="AK40" s="14">
        <f t="shared" si="76"/>
        <v>-2.8838388395106866</v>
      </c>
      <c r="AL40" s="14">
        <f t="shared" si="84"/>
        <v>-1.7916549936965891</v>
      </c>
      <c r="AM40" s="14">
        <f t="shared" si="92"/>
        <v>-1.3778183887942734</v>
      </c>
      <c r="AN40" s="14">
        <f t="shared" si="100"/>
        <v>-0.87001639764171224</v>
      </c>
      <c r="AO40" s="14">
        <f t="shared" si="108"/>
        <v>-1.509679942637387</v>
      </c>
      <c r="AP40">
        <v>3</v>
      </c>
      <c r="AQ40">
        <f t="shared" si="140"/>
        <v>3</v>
      </c>
      <c r="AR40">
        <f t="shared" si="144"/>
        <v>3</v>
      </c>
      <c r="AS40">
        <f t="shared" ref="AS40:AS71" si="149">AP34</f>
        <v>3</v>
      </c>
      <c r="AT40">
        <f t="shared" si="47"/>
        <v>3</v>
      </c>
      <c r="AU40">
        <f t="shared" si="55"/>
        <v>3</v>
      </c>
      <c r="AV40">
        <f t="shared" si="63"/>
        <v>3</v>
      </c>
      <c r="AW40">
        <f t="shared" si="71"/>
        <v>3</v>
      </c>
      <c r="AX40">
        <f t="shared" si="79"/>
        <v>3</v>
      </c>
      <c r="AY40">
        <f t="shared" si="87"/>
        <v>3</v>
      </c>
      <c r="AZ40">
        <f t="shared" si="95"/>
        <v>3</v>
      </c>
      <c r="BA40">
        <f t="shared" si="103"/>
        <v>3</v>
      </c>
      <c r="BB40">
        <v>1</v>
      </c>
      <c r="BC40">
        <f t="shared" si="141"/>
        <v>4</v>
      </c>
      <c r="BD40">
        <f t="shared" si="145"/>
        <v>30</v>
      </c>
      <c r="BE40">
        <f t="shared" ref="BE40:BE71" si="150">BB34</f>
        <v>31</v>
      </c>
      <c r="BF40">
        <f t="shared" si="48"/>
        <v>22</v>
      </c>
      <c r="BG40">
        <f t="shared" si="56"/>
        <v>13</v>
      </c>
      <c r="BH40">
        <f t="shared" si="64"/>
        <v>21</v>
      </c>
      <c r="BI40">
        <f t="shared" si="72"/>
        <v>30</v>
      </c>
      <c r="BJ40">
        <f t="shared" si="80"/>
        <v>4</v>
      </c>
      <c r="BK40">
        <f t="shared" si="88"/>
        <v>4</v>
      </c>
      <c r="BL40">
        <f t="shared" si="96"/>
        <v>3</v>
      </c>
      <c r="BM40">
        <f t="shared" si="104"/>
        <v>13</v>
      </c>
      <c r="BZ40" s="12">
        <f t="shared" si="110"/>
        <v>-45.97</v>
      </c>
      <c r="CA40" s="12">
        <f t="shared" si="142"/>
        <v>-7.7550000000001091</v>
      </c>
      <c r="CB40" s="12">
        <f t="shared" si="146"/>
        <v>-2.9149999999999938</v>
      </c>
      <c r="CC40" s="12">
        <f t="shared" si="45"/>
        <v>-4.3461290322580508</v>
      </c>
      <c r="CD40" s="12">
        <f t="shared" si="53"/>
        <v>-3.2181818181818262</v>
      </c>
      <c r="CE40" s="12">
        <f t="shared" si="61"/>
        <v>-3.4523076923077007</v>
      </c>
      <c r="CF40" s="12">
        <f t="shared" si="69"/>
        <v>-5.7071428571428742</v>
      </c>
      <c r="CG40" s="12">
        <f t="shared" si="77"/>
        <v>-4.3683333333333394</v>
      </c>
      <c r="CH40" s="12">
        <f t="shared" si="85"/>
        <v>-20.464999999999918</v>
      </c>
      <c r="CI40" s="12">
        <f t="shared" si="93"/>
        <v>-15.795000000000073</v>
      </c>
      <c r="CJ40" s="12">
        <f t="shared" si="101"/>
        <v>-13.246666666666593</v>
      </c>
      <c r="CK40" s="12">
        <f t="shared" si="109"/>
        <v>-5.3446153846154214</v>
      </c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>
        <f t="shared" si="111"/>
        <v>-88.753823265309592</v>
      </c>
      <c r="CY40" s="12">
        <f t="shared" si="112"/>
        <v>-82.652309233171323</v>
      </c>
      <c r="CZ40" s="12">
        <f t="shared" si="113"/>
        <v>-71.065305896787933</v>
      </c>
      <c r="DA40" s="12">
        <f t="shared" si="114"/>
        <v>-77.042348422403194</v>
      </c>
      <c r="DB40" s="12">
        <f t="shared" si="115"/>
        <v>-72.738179628387286</v>
      </c>
      <c r="DC40" s="12">
        <f t="shared" si="116"/>
        <v>-73.845742234377013</v>
      </c>
      <c r="DD40" s="12">
        <f t="shared" si="117"/>
        <v>-80.06157870553551</v>
      </c>
      <c r="DE40" s="12">
        <f t="shared" si="118"/>
        <v>-77.106005692914991</v>
      </c>
      <c r="DF40" s="12">
        <f t="shared" si="119"/>
        <v>-87.202529031911553</v>
      </c>
      <c r="DG40" s="12">
        <f t="shared" si="120"/>
        <v>-86.377371945969784</v>
      </c>
      <c r="DH40" s="12">
        <f t="shared" si="121"/>
        <v>-85.682890519251998</v>
      </c>
      <c r="DI40" s="12">
        <f t="shared" si="122"/>
        <v>-79.402253631410062</v>
      </c>
      <c r="DJ40" t="s">
        <v>19</v>
      </c>
      <c r="DK40" t="str">
        <f t="shared" si="143"/>
        <v>LL</v>
      </c>
      <c r="DL40" t="str">
        <f t="shared" si="147"/>
        <v>HL</v>
      </c>
      <c r="DM40" t="str">
        <f t="shared" ref="DM40:DM71" si="151">DJ34</f>
        <v>HL</v>
      </c>
      <c r="DN40" t="str">
        <f t="shared" si="49"/>
        <v>HL</v>
      </c>
      <c r="DO40" t="str">
        <f t="shared" si="57"/>
        <v>HL</v>
      </c>
      <c r="DP40" t="str">
        <f t="shared" si="65"/>
        <v>LL</v>
      </c>
      <c r="DQ40" t="str">
        <f t="shared" si="73"/>
        <v>LL</v>
      </c>
      <c r="DR40" t="str">
        <f t="shared" si="81"/>
        <v>LL</v>
      </c>
      <c r="DS40" t="str">
        <f t="shared" si="89"/>
        <v>LL</v>
      </c>
      <c r="DT40" t="str">
        <f t="shared" si="97"/>
        <v>LL</v>
      </c>
      <c r="DU40" t="str">
        <f t="shared" si="105"/>
        <v>HL</v>
      </c>
      <c r="DV40">
        <f t="shared" si="123"/>
        <v>0.22620346265301255</v>
      </c>
      <c r="DW40">
        <f t="shared" si="124"/>
        <v>0.23311895312860648</v>
      </c>
      <c r="DX40">
        <f t="shared" ref="DX40:DX71" si="152">IFERROR(((I40-$F40)/$F40)*100,0)</f>
        <v>-1.3924674693097039</v>
      </c>
      <c r="DY40">
        <f t="shared" si="50"/>
        <v>-1.7482806082954632</v>
      </c>
      <c r="DZ40">
        <f t="shared" si="58"/>
        <v>-2.3871826961043325</v>
      </c>
      <c r="EA40">
        <f t="shared" si="66"/>
        <v>-2.7528113699586552</v>
      </c>
      <c r="EB40">
        <f t="shared" si="74"/>
        <v>-1.549292946868952</v>
      </c>
      <c r="EC40">
        <f t="shared" si="82"/>
        <v>9.8378429023661326E-2</v>
      </c>
      <c r="ED40">
        <f t="shared" si="90"/>
        <v>0.8842904595231954</v>
      </c>
      <c r="EE40">
        <f t="shared" si="98"/>
        <v>1.0105539307870985</v>
      </c>
      <c r="EF40">
        <f t="shared" si="106"/>
        <v>1.1183017340034691</v>
      </c>
      <c r="EG40" s="13" t="str">
        <f t="shared" si="125"/>
        <v>EQL</v>
      </c>
      <c r="EH40" s="13" t="str">
        <f t="shared" si="126"/>
        <v>EQL</v>
      </c>
      <c r="EI40" s="13" t="str">
        <f t="shared" si="127"/>
        <v/>
      </c>
      <c r="EJ40" s="13" t="str">
        <f t="shared" si="128"/>
        <v/>
      </c>
      <c r="EK40" s="13" t="str">
        <f t="shared" si="129"/>
        <v/>
      </c>
      <c r="EL40" s="13" t="str">
        <f t="shared" si="130"/>
        <v/>
      </c>
      <c r="EM40" s="13" t="str">
        <f t="shared" si="131"/>
        <v/>
      </c>
      <c r="EN40" s="13" t="str">
        <f t="shared" si="132"/>
        <v>EQL</v>
      </c>
      <c r="EO40" s="13" t="str">
        <f t="shared" si="133"/>
        <v/>
      </c>
      <c r="EP40" s="13" t="str">
        <f t="shared" si="134"/>
        <v/>
      </c>
      <c r="EQ40" s="13" t="str">
        <f t="shared" si="135"/>
        <v/>
      </c>
    </row>
    <row r="41" spans="1:147" ht="14.25" customHeight="1" x14ac:dyDescent="0.55000000000000004">
      <c r="A41">
        <v>1774921504</v>
      </c>
      <c r="B41" t="s">
        <v>16</v>
      </c>
      <c r="C41" t="s">
        <v>17</v>
      </c>
      <c r="D41">
        <v>4605.2700000000004</v>
      </c>
      <c r="E41" t="s">
        <v>20</v>
      </c>
      <c r="F41">
        <v>4619.84</v>
      </c>
      <c r="G41">
        <v>4528.66</v>
      </c>
      <c r="H41">
        <v>4523.8500000000004</v>
      </c>
      <c r="I41">
        <f t="shared" si="148"/>
        <v>4580.59</v>
      </c>
      <c r="J41">
        <f t="shared" si="46"/>
        <v>4555</v>
      </c>
      <c r="K41">
        <f t="shared" si="54"/>
        <v>4475.12</v>
      </c>
      <c r="L41">
        <f t="shared" si="62"/>
        <v>4420.5600000000004</v>
      </c>
      <c r="M41">
        <f t="shared" si="70"/>
        <v>4479.1400000000003</v>
      </c>
      <c r="N41">
        <f t="shared" si="78"/>
        <v>4544.29</v>
      </c>
      <c r="O41">
        <f t="shared" si="86"/>
        <v>4568.96</v>
      </c>
      <c r="P41">
        <f t="shared" si="94"/>
        <v>4585.51</v>
      </c>
      <c r="Q41">
        <f t="shared" si="102"/>
        <v>4567.7299999999996</v>
      </c>
      <c r="R41">
        <v>137.15</v>
      </c>
      <c r="S41">
        <f t="shared" si="136"/>
        <v>35.829999999999927</v>
      </c>
      <c r="T41">
        <f t="shared" si="137"/>
        <v>30.710000000000036</v>
      </c>
      <c r="U41">
        <f t="shared" ref="U41:U72" si="153">I41-I40</f>
        <v>160.31999999999971</v>
      </c>
      <c r="V41">
        <f t="shared" si="51"/>
        <v>150.68000000000029</v>
      </c>
      <c r="W41">
        <f t="shared" si="59"/>
        <v>99.4399999999996</v>
      </c>
      <c r="X41">
        <f t="shared" si="67"/>
        <v>61.270000000000437</v>
      </c>
      <c r="Y41">
        <f t="shared" si="75"/>
        <v>65.900000000000546</v>
      </c>
      <c r="Z41">
        <f t="shared" si="83"/>
        <v>57.1899999999996</v>
      </c>
      <c r="AA41">
        <f t="shared" si="91"/>
        <v>46.630000000000109</v>
      </c>
      <c r="AB41">
        <f t="shared" si="99"/>
        <v>57.520000000000437</v>
      </c>
      <c r="AC41">
        <f t="shared" si="107"/>
        <v>34.909999999999854</v>
      </c>
      <c r="AD41">
        <v>3.06</v>
      </c>
      <c r="AE41" s="14">
        <f t="shared" si="138"/>
        <v>0.79749289423369962</v>
      </c>
      <c r="AF41" s="14">
        <f t="shared" si="139"/>
        <v>0.68348638146151763</v>
      </c>
      <c r="AG41" s="14">
        <f t="shared" ref="AG41:AG72" si="154">(U41/I40)*100</f>
        <v>3.6269277668558644</v>
      </c>
      <c r="AH41" s="14">
        <f t="shared" si="52"/>
        <v>3.4211864714643871</v>
      </c>
      <c r="AI41" s="14">
        <f t="shared" si="60"/>
        <v>2.2725610647944912</v>
      </c>
      <c r="AJ41" s="14">
        <f t="shared" si="68"/>
        <v>1.4055041073202388</v>
      </c>
      <c r="AK41" s="14">
        <f t="shared" si="76"/>
        <v>1.4932339958851217</v>
      </c>
      <c r="AL41" s="14">
        <f t="shared" si="84"/>
        <v>1.2745425776113659</v>
      </c>
      <c r="AM41" s="14">
        <f t="shared" si="92"/>
        <v>1.0311056468678781</v>
      </c>
      <c r="AN41" s="14">
        <f t="shared" si="100"/>
        <v>1.2703208266802806</v>
      </c>
      <c r="AO41" s="14">
        <f t="shared" si="108"/>
        <v>0.77016073878953628</v>
      </c>
      <c r="AP41">
        <v>0</v>
      </c>
      <c r="AQ41">
        <f t="shared" si="140"/>
        <v>0</v>
      </c>
      <c r="AR41">
        <f t="shared" si="144"/>
        <v>0</v>
      </c>
      <c r="AS41">
        <f t="shared" si="149"/>
        <v>0</v>
      </c>
      <c r="AT41">
        <f t="shared" si="47"/>
        <v>0</v>
      </c>
      <c r="AU41">
        <f t="shared" si="55"/>
        <v>0</v>
      </c>
      <c r="AV41">
        <f t="shared" si="63"/>
        <v>0</v>
      </c>
      <c r="AW41">
        <f t="shared" si="71"/>
        <v>0</v>
      </c>
      <c r="AX41">
        <f t="shared" si="79"/>
        <v>0</v>
      </c>
      <c r="AY41">
        <f t="shared" si="87"/>
        <v>0</v>
      </c>
      <c r="AZ41">
        <f t="shared" si="95"/>
        <v>0</v>
      </c>
      <c r="BA41">
        <f t="shared" si="103"/>
        <v>0</v>
      </c>
      <c r="BB41">
        <v>6</v>
      </c>
      <c r="BC41">
        <f t="shared" si="141"/>
        <v>4</v>
      </c>
      <c r="BD41">
        <f t="shared" si="145"/>
        <v>7</v>
      </c>
      <c r="BE41">
        <f t="shared" si="150"/>
        <v>47</v>
      </c>
      <c r="BF41">
        <f t="shared" si="48"/>
        <v>17</v>
      </c>
      <c r="BG41">
        <f t="shared" si="56"/>
        <v>19</v>
      </c>
      <c r="BH41">
        <f t="shared" si="64"/>
        <v>3</v>
      </c>
      <c r="BI41">
        <f t="shared" si="72"/>
        <v>24</v>
      </c>
      <c r="BJ41">
        <f t="shared" si="80"/>
        <v>20</v>
      </c>
      <c r="BK41">
        <f t="shared" si="88"/>
        <v>22</v>
      </c>
      <c r="BL41">
        <f t="shared" si="96"/>
        <v>7</v>
      </c>
      <c r="BM41">
        <f t="shared" si="104"/>
        <v>12</v>
      </c>
      <c r="BZ41" s="12">
        <f t="shared" si="110"/>
        <v>22.858333333333334</v>
      </c>
      <c r="CA41" s="12">
        <f t="shared" si="142"/>
        <v>8.9574999999999818</v>
      </c>
      <c r="CB41" s="12">
        <f t="shared" si="146"/>
        <v>4.3871428571428623</v>
      </c>
      <c r="CC41" s="12">
        <f t="shared" ref="CC41:CC72" si="155">IFERROR(U41/BE41,0)</f>
        <v>3.4110638297872278</v>
      </c>
      <c r="CD41" s="12">
        <f t="shared" si="53"/>
        <v>8.8635294117647234</v>
      </c>
      <c r="CE41" s="12">
        <f t="shared" si="61"/>
        <v>5.2336842105262944</v>
      </c>
      <c r="CF41" s="12">
        <f t="shared" si="69"/>
        <v>20.423333333333478</v>
      </c>
      <c r="CG41" s="12">
        <f t="shared" si="77"/>
        <v>2.7458333333333562</v>
      </c>
      <c r="CH41" s="12">
        <f t="shared" si="85"/>
        <v>2.8594999999999802</v>
      </c>
      <c r="CI41" s="12">
        <f t="shared" si="93"/>
        <v>2.1195454545454595</v>
      </c>
      <c r="CJ41" s="12">
        <f t="shared" si="101"/>
        <v>8.2171428571429193</v>
      </c>
      <c r="CK41" s="12">
        <f t="shared" si="109"/>
        <v>2.9091666666666547</v>
      </c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>
        <f t="shared" si="111"/>
        <v>87.495037433357879</v>
      </c>
      <c r="CY41" s="12">
        <f t="shared" si="112"/>
        <v>83.629973103427346</v>
      </c>
      <c r="CZ41" s="12">
        <f t="shared" si="113"/>
        <v>77.15945139645865</v>
      </c>
      <c r="DA41" s="12">
        <f t="shared" si="114"/>
        <v>73.66077954694002</v>
      </c>
      <c r="DB41" s="12">
        <f t="shared" si="115"/>
        <v>83.563002379889127</v>
      </c>
      <c r="DC41" s="12">
        <f t="shared" si="116"/>
        <v>79.182874553785254</v>
      </c>
      <c r="DD41" s="12">
        <f t="shared" si="117"/>
        <v>87.196830864783578</v>
      </c>
      <c r="DE41" s="12">
        <f t="shared" si="118"/>
        <v>69.988974961848029</v>
      </c>
      <c r="DF41" s="12">
        <f t="shared" si="119"/>
        <v>70.724681625353043</v>
      </c>
      <c r="DG41" s="12">
        <f t="shared" si="120"/>
        <v>64.742095759376653</v>
      </c>
      <c r="DH41" s="12">
        <f t="shared" si="121"/>
        <v>83.061406455993264</v>
      </c>
      <c r="DI41" s="12">
        <f t="shared" si="122"/>
        <v>71.030050880666636</v>
      </c>
      <c r="DJ41" t="s">
        <v>23</v>
      </c>
      <c r="DK41" t="str">
        <f t="shared" si="143"/>
        <v>HH</v>
      </c>
      <c r="DL41" t="str">
        <f t="shared" si="147"/>
        <v>LH</v>
      </c>
      <c r="DM41" t="str">
        <f t="shared" si="151"/>
        <v>HH</v>
      </c>
      <c r="DN41" t="str">
        <f t="shared" si="49"/>
        <v>HH</v>
      </c>
      <c r="DO41" t="str">
        <f t="shared" si="57"/>
        <v>HH</v>
      </c>
      <c r="DP41" t="str">
        <f t="shared" si="65"/>
        <v>LH</v>
      </c>
      <c r="DQ41" t="str">
        <f t="shared" si="73"/>
        <v>LH</v>
      </c>
      <c r="DR41" t="str">
        <f t="shared" si="81"/>
        <v>LH</v>
      </c>
      <c r="DS41" t="str">
        <f t="shared" si="89"/>
        <v>LH</v>
      </c>
      <c r="DT41" t="str">
        <f t="shared" si="97"/>
        <v>HH</v>
      </c>
      <c r="DU41" t="str">
        <f t="shared" si="105"/>
        <v>LH</v>
      </c>
      <c r="DV41">
        <f t="shared" si="123"/>
        <v>-1.9736614255039198</v>
      </c>
      <c r="DW41">
        <f t="shared" si="124"/>
        <v>-2.0777775853709173</v>
      </c>
      <c r="DX41">
        <f t="shared" si="152"/>
        <v>-0.84959652282330123</v>
      </c>
      <c r="DY41">
        <f t="shared" si="50"/>
        <v>-1.4035118099328145</v>
      </c>
      <c r="DZ41">
        <f t="shared" si="58"/>
        <v>-3.1325760199487482</v>
      </c>
      <c r="EA41">
        <f t="shared" si="66"/>
        <v>-4.3135693011013307</v>
      </c>
      <c r="EB41">
        <f t="shared" si="74"/>
        <v>-3.0455600193946069</v>
      </c>
      <c r="EC41">
        <f t="shared" si="82"/>
        <v>-1.6353380203643453</v>
      </c>
      <c r="ED41">
        <f t="shared" si="90"/>
        <v>-1.1013368428343862</v>
      </c>
      <c r="EE41">
        <f t="shared" si="98"/>
        <v>-0.74309932811525781</v>
      </c>
      <c r="EF41">
        <f t="shared" si="106"/>
        <v>-1.1279611415114068</v>
      </c>
      <c r="EG41" s="13" t="str">
        <f t="shared" si="125"/>
        <v/>
      </c>
      <c r="EH41" s="13" t="str">
        <f t="shared" si="126"/>
        <v/>
      </c>
      <c r="EI41" s="13" t="str">
        <f t="shared" si="127"/>
        <v/>
      </c>
      <c r="EJ41" s="13" t="str">
        <f t="shared" si="128"/>
        <v/>
      </c>
      <c r="EK41" s="13" t="str">
        <f t="shared" si="129"/>
        <v/>
      </c>
      <c r="EL41" s="13" t="str">
        <f t="shared" si="130"/>
        <v/>
      </c>
      <c r="EM41" s="13" t="str">
        <f t="shared" si="131"/>
        <v/>
      </c>
      <c r="EN41" s="13" t="str">
        <f t="shared" si="132"/>
        <v/>
      </c>
      <c r="EO41" s="13" t="str">
        <f t="shared" si="133"/>
        <v/>
      </c>
      <c r="EP41" s="13" t="str">
        <f t="shared" si="134"/>
        <v/>
      </c>
      <c r="EQ41" s="13" t="str">
        <f t="shared" si="135"/>
        <v/>
      </c>
    </row>
    <row r="42" spans="1:147" ht="14.25" customHeight="1" x14ac:dyDescent="0.55000000000000004">
      <c r="A42">
        <v>1774933204</v>
      </c>
      <c r="B42" t="s">
        <v>16</v>
      </c>
      <c r="C42" t="s">
        <v>17</v>
      </c>
      <c r="D42">
        <v>4550.47</v>
      </c>
      <c r="E42" t="s">
        <v>18</v>
      </c>
      <c r="F42">
        <v>4548.26</v>
      </c>
      <c r="G42">
        <v>4482.6899999999996</v>
      </c>
      <c r="H42">
        <v>4492.83</v>
      </c>
      <c r="I42">
        <f t="shared" si="148"/>
        <v>4493.1400000000003</v>
      </c>
      <c r="J42">
        <f t="shared" ref="J42:J73" si="156">F34</f>
        <v>4420.2700000000004</v>
      </c>
      <c r="K42">
        <f t="shared" si="54"/>
        <v>4404.32</v>
      </c>
      <c r="L42">
        <f t="shared" si="62"/>
        <v>4375.68</v>
      </c>
      <c r="M42">
        <f t="shared" si="70"/>
        <v>4359.29</v>
      </c>
      <c r="N42">
        <f t="shared" si="78"/>
        <v>4413.24</v>
      </c>
      <c r="O42">
        <f t="shared" si="86"/>
        <v>4487.1000000000004</v>
      </c>
      <c r="P42">
        <f t="shared" si="94"/>
        <v>4522.33</v>
      </c>
      <c r="Q42">
        <f t="shared" si="102"/>
        <v>4527.99</v>
      </c>
      <c r="R42">
        <v>-71.58</v>
      </c>
      <c r="S42">
        <f t="shared" si="136"/>
        <v>-45.970000000000255</v>
      </c>
      <c r="T42">
        <f t="shared" si="137"/>
        <v>-31.020000000000437</v>
      </c>
      <c r="U42">
        <f t="shared" si="153"/>
        <v>-87.449999999999818</v>
      </c>
      <c r="V42">
        <f t="shared" si="51"/>
        <v>-134.72999999999956</v>
      </c>
      <c r="W42">
        <f t="shared" si="59"/>
        <v>-70.800000000000182</v>
      </c>
      <c r="X42">
        <f t="shared" si="67"/>
        <v>-44.880000000000109</v>
      </c>
      <c r="Y42">
        <f t="shared" si="75"/>
        <v>-119.85000000000036</v>
      </c>
      <c r="Z42">
        <f t="shared" si="83"/>
        <v>-131.05000000000018</v>
      </c>
      <c r="AA42">
        <f t="shared" si="91"/>
        <v>-81.859999999999673</v>
      </c>
      <c r="AB42">
        <f t="shared" si="99"/>
        <v>-63.180000000000291</v>
      </c>
      <c r="AC42">
        <f t="shared" si="107"/>
        <v>-39.739999999999782</v>
      </c>
      <c r="AD42">
        <v>-1.55</v>
      </c>
      <c r="AE42" s="14">
        <f t="shared" si="138"/>
        <v>-1.0150905565884887</v>
      </c>
      <c r="AF42" s="14">
        <f t="shared" si="139"/>
        <v>-0.68569912795518051</v>
      </c>
      <c r="AG42" s="14">
        <f t="shared" si="154"/>
        <v>-1.909142708690361</v>
      </c>
      <c r="AH42" s="14">
        <f t="shared" si="52"/>
        <v>-2.9578485181119554</v>
      </c>
      <c r="AI42" s="14">
        <f t="shared" si="60"/>
        <v>-1.5820804805234314</v>
      </c>
      <c r="AJ42" s="14">
        <f t="shared" si="68"/>
        <v>-1.0152559856669767</v>
      </c>
      <c r="AK42" s="14">
        <f t="shared" si="76"/>
        <v>-2.6757368602008502</v>
      </c>
      <c r="AL42" s="14">
        <f t="shared" si="84"/>
        <v>-2.8838388395106866</v>
      </c>
      <c r="AM42" s="14">
        <f t="shared" si="92"/>
        <v>-1.7916549936965891</v>
      </c>
      <c r="AN42" s="14">
        <f t="shared" si="100"/>
        <v>-1.3778183887942734</v>
      </c>
      <c r="AO42" s="14">
        <f t="shared" si="108"/>
        <v>-0.87001639764171224</v>
      </c>
      <c r="AP42">
        <v>3</v>
      </c>
      <c r="AQ42">
        <f t="shared" si="140"/>
        <v>3</v>
      </c>
      <c r="AR42">
        <f t="shared" si="144"/>
        <v>3</v>
      </c>
      <c r="AS42">
        <f t="shared" si="149"/>
        <v>3</v>
      </c>
      <c r="AT42">
        <f t="shared" ref="AT42:AT73" si="157">AP34</f>
        <v>3</v>
      </c>
      <c r="AU42">
        <f t="shared" si="55"/>
        <v>3</v>
      </c>
      <c r="AV42">
        <f t="shared" si="63"/>
        <v>3</v>
      </c>
      <c r="AW42">
        <f t="shared" si="71"/>
        <v>3</v>
      </c>
      <c r="AX42">
        <f t="shared" si="79"/>
        <v>3</v>
      </c>
      <c r="AY42">
        <f t="shared" si="87"/>
        <v>3</v>
      </c>
      <c r="AZ42">
        <f t="shared" si="95"/>
        <v>3</v>
      </c>
      <c r="BA42">
        <f t="shared" si="103"/>
        <v>3</v>
      </c>
      <c r="BB42">
        <v>13</v>
      </c>
      <c r="BC42">
        <f t="shared" si="141"/>
        <v>1</v>
      </c>
      <c r="BD42">
        <f t="shared" si="145"/>
        <v>4</v>
      </c>
      <c r="BE42">
        <f t="shared" si="150"/>
        <v>30</v>
      </c>
      <c r="BF42">
        <f t="shared" ref="BF42:BF73" si="158">BB34</f>
        <v>31</v>
      </c>
      <c r="BG42">
        <f t="shared" si="56"/>
        <v>22</v>
      </c>
      <c r="BH42">
        <f t="shared" si="64"/>
        <v>13</v>
      </c>
      <c r="BI42">
        <f t="shared" si="72"/>
        <v>21</v>
      </c>
      <c r="BJ42">
        <f t="shared" si="80"/>
        <v>30</v>
      </c>
      <c r="BK42">
        <f t="shared" si="88"/>
        <v>4</v>
      </c>
      <c r="BL42">
        <f t="shared" si="96"/>
        <v>4</v>
      </c>
      <c r="BM42">
        <f t="shared" si="104"/>
        <v>3</v>
      </c>
      <c r="BZ42" s="12">
        <f t="shared" si="110"/>
        <v>-5.506153846153846</v>
      </c>
      <c r="CA42" s="12">
        <f t="shared" si="142"/>
        <v>-45.970000000000255</v>
      </c>
      <c r="CB42" s="12">
        <f t="shared" si="146"/>
        <v>-7.7550000000001091</v>
      </c>
      <c r="CC42" s="12">
        <f t="shared" si="155"/>
        <v>-2.9149999999999938</v>
      </c>
      <c r="CD42" s="12">
        <f t="shared" si="53"/>
        <v>-4.3461290322580508</v>
      </c>
      <c r="CE42" s="12">
        <f t="shared" si="61"/>
        <v>-3.2181818181818262</v>
      </c>
      <c r="CF42" s="12">
        <f t="shared" si="69"/>
        <v>-3.4523076923077007</v>
      </c>
      <c r="CG42" s="12">
        <f t="shared" si="77"/>
        <v>-5.7071428571428742</v>
      </c>
      <c r="CH42" s="12">
        <f t="shared" si="85"/>
        <v>-4.3683333333333394</v>
      </c>
      <c r="CI42" s="12">
        <f t="shared" si="93"/>
        <v>-20.464999999999918</v>
      </c>
      <c r="CJ42" s="12">
        <f t="shared" si="101"/>
        <v>-15.795000000000073</v>
      </c>
      <c r="CK42" s="12">
        <f t="shared" si="109"/>
        <v>-13.246666666666593</v>
      </c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>
        <f t="shared" si="111"/>
        <v>-79.706424185299539</v>
      </c>
      <c r="CY42" s="12">
        <f t="shared" si="112"/>
        <v>-88.753823265309592</v>
      </c>
      <c r="CZ42" s="12">
        <f t="shared" si="113"/>
        <v>-82.652309233171323</v>
      </c>
      <c r="DA42" s="12">
        <f t="shared" si="114"/>
        <v>-71.065305896787933</v>
      </c>
      <c r="DB42" s="12">
        <f t="shared" si="115"/>
        <v>-77.042348422403194</v>
      </c>
      <c r="DC42" s="12">
        <f t="shared" si="116"/>
        <v>-72.738179628387286</v>
      </c>
      <c r="DD42" s="12">
        <f t="shared" si="117"/>
        <v>-73.845742234377013</v>
      </c>
      <c r="DE42" s="12">
        <f t="shared" si="118"/>
        <v>-80.06157870553551</v>
      </c>
      <c r="DF42" s="12">
        <f t="shared" si="119"/>
        <v>-77.106005692914991</v>
      </c>
      <c r="DG42" s="12">
        <f t="shared" si="120"/>
        <v>-87.202529031911553</v>
      </c>
      <c r="DH42" s="12">
        <f t="shared" si="121"/>
        <v>-86.377371945969784</v>
      </c>
      <c r="DI42" s="12">
        <f t="shared" si="122"/>
        <v>-85.682890519251998</v>
      </c>
      <c r="DJ42" t="s">
        <v>22</v>
      </c>
      <c r="DK42" t="str">
        <f t="shared" si="143"/>
        <v>LL</v>
      </c>
      <c r="DL42" t="str">
        <f t="shared" si="147"/>
        <v>LL</v>
      </c>
      <c r="DM42" t="str">
        <f t="shared" si="151"/>
        <v>HL</v>
      </c>
      <c r="DN42" t="str">
        <f t="shared" ref="DN42:DN73" si="159">DJ34</f>
        <v>HL</v>
      </c>
      <c r="DO42" t="str">
        <f t="shared" si="57"/>
        <v>HL</v>
      </c>
      <c r="DP42" t="str">
        <f t="shared" si="65"/>
        <v>HL</v>
      </c>
      <c r="DQ42" t="str">
        <f t="shared" si="73"/>
        <v>LL</v>
      </c>
      <c r="DR42" t="str">
        <f t="shared" si="81"/>
        <v>LL</v>
      </c>
      <c r="DS42" t="str">
        <f t="shared" si="89"/>
        <v>LL</v>
      </c>
      <c r="DT42" t="str">
        <f t="shared" si="97"/>
        <v>LL</v>
      </c>
      <c r="DU42" t="str">
        <f t="shared" si="105"/>
        <v>LL</v>
      </c>
      <c r="DV42">
        <f t="shared" si="123"/>
        <v>-1.4416502134882487</v>
      </c>
      <c r="DW42">
        <f t="shared" si="124"/>
        <v>-1.2187078135374909</v>
      </c>
      <c r="DX42">
        <f t="shared" si="152"/>
        <v>-1.2118920202451022</v>
      </c>
      <c r="DY42">
        <f t="shared" ref="DY42:DY73" si="160">IFERROR(((J42-$F42)/$F42)*100,0)</f>
        <v>-2.814043172553895</v>
      </c>
      <c r="DZ42">
        <f t="shared" si="58"/>
        <v>-3.1647267306618465</v>
      </c>
      <c r="EA42">
        <f t="shared" si="66"/>
        <v>-3.7944180851578384</v>
      </c>
      <c r="EB42">
        <f t="shared" si="74"/>
        <v>-4.1547756724549663</v>
      </c>
      <c r="EC42">
        <f t="shared" si="82"/>
        <v>-2.968607775281106</v>
      </c>
      <c r="ED42">
        <f t="shared" si="90"/>
        <v>-1.3446900572966332</v>
      </c>
      <c r="EE42">
        <f t="shared" si="98"/>
        <v>-0.57010812926262555</v>
      </c>
      <c r="EF42">
        <f t="shared" si="106"/>
        <v>-0.44566493560175618</v>
      </c>
      <c r="EG42" s="13" t="str">
        <f t="shared" si="125"/>
        <v/>
      </c>
      <c r="EH42" s="13" t="str">
        <f t="shared" si="126"/>
        <v/>
      </c>
      <c r="EI42" s="13" t="str">
        <f t="shared" si="127"/>
        <v/>
      </c>
      <c r="EJ42" s="13" t="str">
        <f t="shared" si="128"/>
        <v/>
      </c>
      <c r="EK42" s="13" t="str">
        <f t="shared" si="129"/>
        <v/>
      </c>
      <c r="EL42" s="13" t="str">
        <f t="shared" si="130"/>
        <v/>
      </c>
      <c r="EM42" s="13" t="str">
        <f t="shared" si="131"/>
        <v/>
      </c>
      <c r="EN42" s="13" t="str">
        <f t="shared" si="132"/>
        <v/>
      </c>
      <c r="EO42" s="13" t="str">
        <f t="shared" si="133"/>
        <v/>
      </c>
      <c r="EP42" s="13" t="str">
        <f t="shared" si="134"/>
        <v/>
      </c>
      <c r="EQ42" s="13" t="str">
        <f t="shared" si="135"/>
        <v/>
      </c>
    </row>
    <row r="43" spans="1:147" ht="14.25" customHeight="1" x14ac:dyDescent="0.55000000000000004">
      <c r="A43">
        <v>1774935904</v>
      </c>
      <c r="B43" t="s">
        <v>16</v>
      </c>
      <c r="C43" t="s">
        <v>17</v>
      </c>
      <c r="D43">
        <v>4568.88</v>
      </c>
      <c r="E43" t="s">
        <v>20</v>
      </c>
      <c r="F43">
        <v>4581.6400000000003</v>
      </c>
      <c r="G43">
        <v>4619.84</v>
      </c>
      <c r="H43">
        <v>4528.66</v>
      </c>
      <c r="I43">
        <f t="shared" si="148"/>
        <v>4523.8500000000004</v>
      </c>
      <c r="J43">
        <f t="shared" si="156"/>
        <v>4580.59</v>
      </c>
      <c r="K43">
        <f t="shared" si="54"/>
        <v>4555</v>
      </c>
      <c r="L43">
        <f t="shared" si="62"/>
        <v>4475.12</v>
      </c>
      <c r="M43">
        <f t="shared" si="70"/>
        <v>4420.5600000000004</v>
      </c>
      <c r="N43">
        <f t="shared" si="78"/>
        <v>4479.1400000000003</v>
      </c>
      <c r="O43">
        <f t="shared" si="86"/>
        <v>4544.29</v>
      </c>
      <c r="P43">
        <f t="shared" si="94"/>
        <v>4568.96</v>
      </c>
      <c r="Q43">
        <f t="shared" si="102"/>
        <v>4585.51</v>
      </c>
      <c r="R43">
        <v>33.380000000000003</v>
      </c>
      <c r="S43">
        <f t="shared" si="136"/>
        <v>137.15000000000055</v>
      </c>
      <c r="T43">
        <f t="shared" si="137"/>
        <v>35.829999999999927</v>
      </c>
      <c r="U43">
        <f t="shared" si="153"/>
        <v>30.710000000000036</v>
      </c>
      <c r="V43">
        <f t="shared" ref="V43:V74" si="161">J43-J42</f>
        <v>160.31999999999971</v>
      </c>
      <c r="W43">
        <f t="shared" si="59"/>
        <v>150.68000000000029</v>
      </c>
      <c r="X43">
        <f t="shared" si="67"/>
        <v>99.4399999999996</v>
      </c>
      <c r="Y43">
        <f t="shared" si="75"/>
        <v>61.270000000000437</v>
      </c>
      <c r="Z43">
        <f t="shared" si="83"/>
        <v>65.900000000000546</v>
      </c>
      <c r="AA43">
        <f t="shared" si="91"/>
        <v>57.1899999999996</v>
      </c>
      <c r="AB43">
        <f t="shared" si="99"/>
        <v>46.630000000000109</v>
      </c>
      <c r="AC43">
        <f t="shared" si="107"/>
        <v>57.520000000000437</v>
      </c>
      <c r="AD43">
        <v>0.73</v>
      </c>
      <c r="AE43" s="14">
        <f t="shared" si="138"/>
        <v>3.0595468346015573</v>
      </c>
      <c r="AF43" s="14">
        <f t="shared" si="139"/>
        <v>0.79749289423369962</v>
      </c>
      <c r="AG43" s="14">
        <f t="shared" si="154"/>
        <v>0.68348638146151763</v>
      </c>
      <c r="AH43" s="14">
        <f t="shared" ref="AH43:AH74" si="162">(V43/J42)*100</f>
        <v>3.6269277668558644</v>
      </c>
      <c r="AI43" s="14">
        <f t="shared" si="60"/>
        <v>3.4211864714643871</v>
      </c>
      <c r="AJ43" s="14">
        <f t="shared" si="68"/>
        <v>2.2725610647944912</v>
      </c>
      <c r="AK43" s="14">
        <f t="shared" si="76"/>
        <v>1.4055041073202388</v>
      </c>
      <c r="AL43" s="14">
        <f t="shared" si="84"/>
        <v>1.4932339958851217</v>
      </c>
      <c r="AM43" s="14">
        <f t="shared" si="92"/>
        <v>1.2745425776113659</v>
      </c>
      <c r="AN43" s="14">
        <f t="shared" si="100"/>
        <v>1.0311056468678781</v>
      </c>
      <c r="AO43" s="14">
        <f t="shared" si="108"/>
        <v>1.2703208266802806</v>
      </c>
      <c r="AP43">
        <v>0</v>
      </c>
      <c r="AQ43">
        <f t="shared" si="140"/>
        <v>0</v>
      </c>
      <c r="AR43">
        <f t="shared" si="144"/>
        <v>0</v>
      </c>
      <c r="AS43">
        <f t="shared" si="149"/>
        <v>0</v>
      </c>
      <c r="AT43">
        <f t="shared" si="157"/>
        <v>0</v>
      </c>
      <c r="AU43">
        <f t="shared" si="55"/>
        <v>0</v>
      </c>
      <c r="AV43">
        <f t="shared" si="63"/>
        <v>0</v>
      </c>
      <c r="AW43">
        <f t="shared" si="71"/>
        <v>0</v>
      </c>
      <c r="AX43">
        <f t="shared" si="79"/>
        <v>0</v>
      </c>
      <c r="AY43">
        <f t="shared" si="87"/>
        <v>0</v>
      </c>
      <c r="AZ43">
        <f t="shared" si="95"/>
        <v>0</v>
      </c>
      <c r="BA43">
        <f t="shared" si="103"/>
        <v>0</v>
      </c>
      <c r="BB43">
        <v>3</v>
      </c>
      <c r="BC43">
        <f t="shared" si="141"/>
        <v>6</v>
      </c>
      <c r="BD43">
        <f t="shared" si="145"/>
        <v>4</v>
      </c>
      <c r="BE43">
        <f t="shared" si="150"/>
        <v>7</v>
      </c>
      <c r="BF43">
        <f t="shared" si="158"/>
        <v>47</v>
      </c>
      <c r="BG43">
        <f t="shared" si="56"/>
        <v>17</v>
      </c>
      <c r="BH43">
        <f t="shared" si="64"/>
        <v>19</v>
      </c>
      <c r="BI43">
        <f t="shared" si="72"/>
        <v>3</v>
      </c>
      <c r="BJ43">
        <f t="shared" si="80"/>
        <v>24</v>
      </c>
      <c r="BK43">
        <f t="shared" si="88"/>
        <v>20</v>
      </c>
      <c r="BL43">
        <f t="shared" si="96"/>
        <v>22</v>
      </c>
      <c r="BM43">
        <f t="shared" si="104"/>
        <v>7</v>
      </c>
      <c r="BZ43" s="12">
        <f t="shared" si="110"/>
        <v>11.126666666666667</v>
      </c>
      <c r="CA43" s="12">
        <f t="shared" si="142"/>
        <v>22.858333333333423</v>
      </c>
      <c r="CB43" s="12">
        <f t="shared" si="146"/>
        <v>8.9574999999999818</v>
      </c>
      <c r="CC43" s="12">
        <f t="shared" si="155"/>
        <v>4.3871428571428623</v>
      </c>
      <c r="CD43" s="12">
        <f t="shared" ref="CD43:CD74" si="163">IFERROR(V43/BF43,0)</f>
        <v>3.4110638297872278</v>
      </c>
      <c r="CE43" s="12">
        <f t="shared" si="61"/>
        <v>8.8635294117647234</v>
      </c>
      <c r="CF43" s="12">
        <f t="shared" si="69"/>
        <v>5.2336842105262944</v>
      </c>
      <c r="CG43" s="12">
        <f t="shared" si="77"/>
        <v>20.423333333333478</v>
      </c>
      <c r="CH43" s="12">
        <f t="shared" si="85"/>
        <v>2.7458333333333562</v>
      </c>
      <c r="CI43" s="12">
        <f t="shared" si="93"/>
        <v>2.8594999999999802</v>
      </c>
      <c r="CJ43" s="12">
        <f t="shared" si="101"/>
        <v>2.1195454545454595</v>
      </c>
      <c r="CK43" s="12">
        <f t="shared" si="109"/>
        <v>8.2171428571429193</v>
      </c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>
        <f t="shared" si="111"/>
        <v>84.864386772656786</v>
      </c>
      <c r="CY43" s="12">
        <f t="shared" si="112"/>
        <v>87.495037433357894</v>
      </c>
      <c r="CZ43" s="12">
        <f t="shared" si="113"/>
        <v>83.629973103427346</v>
      </c>
      <c r="DA43" s="12">
        <f t="shared" si="114"/>
        <v>77.15945139645865</v>
      </c>
      <c r="DB43" s="12">
        <f t="shared" si="115"/>
        <v>73.66077954694002</v>
      </c>
      <c r="DC43" s="12">
        <f t="shared" si="116"/>
        <v>83.563002379889127</v>
      </c>
      <c r="DD43" s="12">
        <f t="shared" si="117"/>
        <v>79.182874553785254</v>
      </c>
      <c r="DE43" s="12">
        <f t="shared" si="118"/>
        <v>87.196830864783578</v>
      </c>
      <c r="DF43" s="12">
        <f t="shared" si="119"/>
        <v>69.988974961848029</v>
      </c>
      <c r="DG43" s="12">
        <f t="shared" si="120"/>
        <v>70.724681625353043</v>
      </c>
      <c r="DH43" s="12">
        <f t="shared" si="121"/>
        <v>64.742095759376653</v>
      </c>
      <c r="DI43" s="12">
        <f t="shared" si="122"/>
        <v>83.061406455993264</v>
      </c>
      <c r="DJ43" t="s">
        <v>21</v>
      </c>
      <c r="DK43" t="str">
        <f t="shared" si="143"/>
        <v>HH</v>
      </c>
      <c r="DL43" t="str">
        <f t="shared" si="147"/>
        <v>HH</v>
      </c>
      <c r="DM43" t="str">
        <f t="shared" si="151"/>
        <v>LH</v>
      </c>
      <c r="DN43" t="str">
        <f t="shared" si="159"/>
        <v>HH</v>
      </c>
      <c r="DO43" t="str">
        <f t="shared" si="57"/>
        <v>HH</v>
      </c>
      <c r="DP43" t="str">
        <f t="shared" si="65"/>
        <v>HH</v>
      </c>
      <c r="DQ43" t="str">
        <f t="shared" si="73"/>
        <v>LH</v>
      </c>
      <c r="DR43" t="str">
        <f t="shared" si="81"/>
        <v>LH</v>
      </c>
      <c r="DS43" t="str">
        <f t="shared" si="89"/>
        <v>LH</v>
      </c>
      <c r="DT43" t="str">
        <f t="shared" si="97"/>
        <v>LH</v>
      </c>
      <c r="DU43" t="str">
        <f t="shared" si="105"/>
        <v>HH</v>
      </c>
      <c r="DV43">
        <f t="shared" si="123"/>
        <v>0.83376258283059812</v>
      </c>
      <c r="DW43">
        <f t="shared" si="124"/>
        <v>-1.1563544931509344</v>
      </c>
      <c r="DX43">
        <f t="shared" si="152"/>
        <v>-1.261338734601583</v>
      </c>
      <c r="DY43">
        <f t="shared" si="160"/>
        <v>-2.2917557905033609E-2</v>
      </c>
      <c r="DZ43">
        <f t="shared" si="58"/>
        <v>-0.58145118341904478</v>
      </c>
      <c r="EA43">
        <f t="shared" si="66"/>
        <v>-2.3249316838512066</v>
      </c>
      <c r="EB43">
        <f t="shared" si="74"/>
        <v>-3.5157716450877832</v>
      </c>
      <c r="EC43">
        <f t="shared" si="82"/>
        <v>-2.2371901764433693</v>
      </c>
      <c r="ED43">
        <f t="shared" si="90"/>
        <v>-0.81521027405034796</v>
      </c>
      <c r="EE43">
        <f t="shared" si="98"/>
        <v>-0.27675679451026902</v>
      </c>
      <c r="EF43">
        <f t="shared" si="106"/>
        <v>8.4467570564249722E-2</v>
      </c>
      <c r="EG43" s="13" t="str">
        <f t="shared" si="125"/>
        <v/>
      </c>
      <c r="EH43" s="13" t="str">
        <f t="shared" si="126"/>
        <v/>
      </c>
      <c r="EI43" s="13" t="str">
        <f t="shared" si="127"/>
        <v/>
      </c>
      <c r="EJ43" s="13" t="str">
        <f t="shared" si="128"/>
        <v/>
      </c>
      <c r="EK43" s="13" t="str">
        <f t="shared" si="129"/>
        <v/>
      </c>
      <c r="EL43" s="13" t="str">
        <f t="shared" si="130"/>
        <v/>
      </c>
      <c r="EM43" s="13" t="str">
        <f t="shared" si="131"/>
        <v/>
      </c>
      <c r="EN43" s="13" t="str">
        <f t="shared" si="132"/>
        <v/>
      </c>
      <c r="EO43" s="13" t="str">
        <f t="shared" si="133"/>
        <v/>
      </c>
      <c r="EP43" s="13" t="str">
        <f t="shared" si="134"/>
        <v/>
      </c>
      <c r="EQ43" s="13" t="str">
        <f t="shared" si="135"/>
        <v/>
      </c>
    </row>
    <row r="44" spans="1:147" ht="14.25" customHeight="1" x14ac:dyDescent="0.55000000000000004">
      <c r="A44">
        <v>1774953004</v>
      </c>
      <c r="B44" t="s">
        <v>16</v>
      </c>
      <c r="C44" t="s">
        <v>17</v>
      </c>
      <c r="D44">
        <v>4541.2299999999996</v>
      </c>
      <c r="E44" t="s">
        <v>18</v>
      </c>
      <c r="F44">
        <v>4529.84</v>
      </c>
      <c r="G44">
        <v>4548.26</v>
      </c>
      <c r="H44">
        <v>4482.6899999999996</v>
      </c>
      <c r="I44">
        <f t="shared" si="148"/>
        <v>4492.83</v>
      </c>
      <c r="J44">
        <f t="shared" si="156"/>
        <v>4493.1400000000003</v>
      </c>
      <c r="K44">
        <f t="shared" ref="K44:K75" si="164">F34</f>
        <v>4420.2700000000004</v>
      </c>
      <c r="L44">
        <f t="shared" si="62"/>
        <v>4404.32</v>
      </c>
      <c r="M44">
        <f t="shared" si="70"/>
        <v>4375.68</v>
      </c>
      <c r="N44">
        <f t="shared" si="78"/>
        <v>4359.29</v>
      </c>
      <c r="O44">
        <f t="shared" si="86"/>
        <v>4413.24</v>
      </c>
      <c r="P44">
        <f t="shared" si="94"/>
        <v>4487.1000000000004</v>
      </c>
      <c r="Q44">
        <f t="shared" si="102"/>
        <v>4522.33</v>
      </c>
      <c r="R44">
        <v>-51.8</v>
      </c>
      <c r="S44">
        <f t="shared" si="136"/>
        <v>-71.579999999999927</v>
      </c>
      <c r="T44">
        <f t="shared" si="137"/>
        <v>-45.970000000000255</v>
      </c>
      <c r="U44">
        <f t="shared" si="153"/>
        <v>-31.020000000000437</v>
      </c>
      <c r="V44">
        <f t="shared" si="161"/>
        <v>-87.449999999999818</v>
      </c>
      <c r="W44">
        <f t="shared" si="59"/>
        <v>-134.72999999999956</v>
      </c>
      <c r="X44">
        <f t="shared" si="67"/>
        <v>-70.800000000000182</v>
      </c>
      <c r="Y44">
        <f t="shared" si="75"/>
        <v>-44.880000000000109</v>
      </c>
      <c r="Z44">
        <f t="shared" si="83"/>
        <v>-119.85000000000036</v>
      </c>
      <c r="AA44">
        <f t="shared" si="91"/>
        <v>-131.05000000000018</v>
      </c>
      <c r="AB44">
        <f t="shared" si="99"/>
        <v>-81.859999999999673</v>
      </c>
      <c r="AC44">
        <f t="shared" si="107"/>
        <v>-63.180000000000291</v>
      </c>
      <c r="AD44">
        <v>-1.1299999999999999</v>
      </c>
      <c r="AE44" s="14">
        <f t="shared" si="138"/>
        <v>-1.5494043083743143</v>
      </c>
      <c r="AF44" s="14">
        <f t="shared" si="139"/>
        <v>-1.0150905565884887</v>
      </c>
      <c r="AG44" s="14">
        <f t="shared" si="154"/>
        <v>-0.68569912795518051</v>
      </c>
      <c r="AH44" s="14">
        <f t="shared" si="162"/>
        <v>-1.909142708690361</v>
      </c>
      <c r="AI44" s="14">
        <f t="shared" si="60"/>
        <v>-2.9578485181119554</v>
      </c>
      <c r="AJ44" s="14">
        <f t="shared" si="68"/>
        <v>-1.5820804805234314</v>
      </c>
      <c r="AK44" s="14">
        <f t="shared" si="76"/>
        <v>-1.0152559856669767</v>
      </c>
      <c r="AL44" s="14">
        <f t="shared" si="84"/>
        <v>-2.6757368602008502</v>
      </c>
      <c r="AM44" s="14">
        <f t="shared" si="92"/>
        <v>-2.8838388395106866</v>
      </c>
      <c r="AN44" s="14">
        <f t="shared" si="100"/>
        <v>-1.7916549936965891</v>
      </c>
      <c r="AO44" s="14">
        <f t="shared" si="108"/>
        <v>-1.3778183887942734</v>
      </c>
      <c r="AP44">
        <v>3</v>
      </c>
      <c r="AQ44">
        <f t="shared" si="140"/>
        <v>3</v>
      </c>
      <c r="AR44">
        <f t="shared" si="144"/>
        <v>3</v>
      </c>
      <c r="AS44">
        <f t="shared" si="149"/>
        <v>3</v>
      </c>
      <c r="AT44">
        <f t="shared" si="157"/>
        <v>3</v>
      </c>
      <c r="AU44">
        <f t="shared" ref="AU44:AU75" si="165">AP34</f>
        <v>3</v>
      </c>
      <c r="AV44">
        <f t="shared" si="63"/>
        <v>3</v>
      </c>
      <c r="AW44">
        <f t="shared" si="71"/>
        <v>3</v>
      </c>
      <c r="AX44">
        <f t="shared" si="79"/>
        <v>3</v>
      </c>
      <c r="AY44">
        <f t="shared" si="87"/>
        <v>3</v>
      </c>
      <c r="AZ44">
        <f t="shared" si="95"/>
        <v>3</v>
      </c>
      <c r="BA44">
        <f t="shared" si="103"/>
        <v>3</v>
      </c>
      <c r="BB44">
        <v>19</v>
      </c>
      <c r="BC44">
        <f t="shared" si="141"/>
        <v>13</v>
      </c>
      <c r="BD44">
        <f t="shared" si="145"/>
        <v>1</v>
      </c>
      <c r="BE44">
        <f t="shared" si="150"/>
        <v>4</v>
      </c>
      <c r="BF44">
        <f t="shared" si="158"/>
        <v>30</v>
      </c>
      <c r="BG44">
        <f t="shared" ref="BG44:BG75" si="166">BB34</f>
        <v>31</v>
      </c>
      <c r="BH44">
        <f t="shared" si="64"/>
        <v>22</v>
      </c>
      <c r="BI44">
        <f t="shared" si="72"/>
        <v>13</v>
      </c>
      <c r="BJ44">
        <f t="shared" si="80"/>
        <v>21</v>
      </c>
      <c r="BK44">
        <f t="shared" si="88"/>
        <v>30</v>
      </c>
      <c r="BL44">
        <f t="shared" si="96"/>
        <v>4</v>
      </c>
      <c r="BM44">
        <f t="shared" si="104"/>
        <v>4</v>
      </c>
      <c r="BZ44" s="12">
        <f t="shared" si="110"/>
        <v>-2.7263157894736842</v>
      </c>
      <c r="CA44" s="12">
        <f t="shared" si="142"/>
        <v>-5.5061538461538406</v>
      </c>
      <c r="CB44" s="12">
        <f t="shared" si="146"/>
        <v>-45.970000000000255</v>
      </c>
      <c r="CC44" s="12">
        <f t="shared" si="155"/>
        <v>-7.7550000000001091</v>
      </c>
      <c r="CD44" s="12">
        <f t="shared" si="163"/>
        <v>-2.9149999999999938</v>
      </c>
      <c r="CE44" s="12">
        <f t="shared" si="61"/>
        <v>-4.3461290322580508</v>
      </c>
      <c r="CF44" s="12">
        <f t="shared" si="69"/>
        <v>-3.2181818181818262</v>
      </c>
      <c r="CG44" s="12">
        <f t="shared" si="77"/>
        <v>-3.4523076923077007</v>
      </c>
      <c r="CH44" s="12">
        <f t="shared" si="85"/>
        <v>-5.7071428571428742</v>
      </c>
      <c r="CI44" s="12">
        <f t="shared" si="93"/>
        <v>-4.3683333333333394</v>
      </c>
      <c r="CJ44" s="12">
        <f t="shared" si="101"/>
        <v>-20.464999999999918</v>
      </c>
      <c r="CK44" s="12">
        <f t="shared" si="109"/>
        <v>-15.795000000000073</v>
      </c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>
        <f t="shared" si="111"/>
        <v>-69.857196766956946</v>
      </c>
      <c r="CY44" s="12">
        <f t="shared" si="112"/>
        <v>-79.706424185299525</v>
      </c>
      <c r="CZ44" s="12">
        <f t="shared" si="113"/>
        <v>-88.753823265309592</v>
      </c>
      <c r="DA44" s="12">
        <f t="shared" si="114"/>
        <v>-82.652309233171323</v>
      </c>
      <c r="DB44" s="12">
        <f t="shared" si="115"/>
        <v>-71.065305896787933</v>
      </c>
      <c r="DC44" s="12">
        <f t="shared" si="116"/>
        <v>-77.042348422403194</v>
      </c>
      <c r="DD44" s="12">
        <f t="shared" si="117"/>
        <v>-72.738179628387286</v>
      </c>
      <c r="DE44" s="12">
        <f t="shared" si="118"/>
        <v>-73.845742234377013</v>
      </c>
      <c r="DF44" s="12">
        <f t="shared" si="119"/>
        <v>-80.06157870553551</v>
      </c>
      <c r="DG44" s="12">
        <f t="shared" si="120"/>
        <v>-77.106005692914991</v>
      </c>
      <c r="DH44" s="12">
        <f t="shared" si="121"/>
        <v>-87.202529031911553</v>
      </c>
      <c r="DI44" s="12">
        <f t="shared" si="122"/>
        <v>-86.377371945969784</v>
      </c>
      <c r="DJ44" t="s">
        <v>19</v>
      </c>
      <c r="DK44" t="str">
        <f t="shared" si="143"/>
        <v>HL</v>
      </c>
      <c r="DL44" t="str">
        <f t="shared" si="147"/>
        <v>LL</v>
      </c>
      <c r="DM44" t="str">
        <f t="shared" si="151"/>
        <v>LL</v>
      </c>
      <c r="DN44" t="str">
        <f t="shared" si="159"/>
        <v>HL</v>
      </c>
      <c r="DO44" t="str">
        <f t="shared" ref="DO44:DO75" si="167">DJ34</f>
        <v>HL</v>
      </c>
      <c r="DP44" t="str">
        <f t="shared" si="65"/>
        <v>HL</v>
      </c>
      <c r="DQ44" t="str">
        <f t="shared" si="73"/>
        <v>HL</v>
      </c>
      <c r="DR44" t="str">
        <f t="shared" si="81"/>
        <v>LL</v>
      </c>
      <c r="DS44" t="str">
        <f t="shared" si="89"/>
        <v>LL</v>
      </c>
      <c r="DT44" t="str">
        <f t="shared" si="97"/>
        <v>LL</v>
      </c>
      <c r="DU44" t="str">
        <f t="shared" si="105"/>
        <v>LL</v>
      </c>
      <c r="DV44">
        <f t="shared" si="123"/>
        <v>0.40663687900676559</v>
      </c>
      <c r="DW44">
        <f t="shared" si="124"/>
        <v>-1.0408756159158059</v>
      </c>
      <c r="DX44">
        <f t="shared" si="152"/>
        <v>-0.81702664994790575</v>
      </c>
      <c r="DY44">
        <f t="shared" si="160"/>
        <v>-0.81018314112639334</v>
      </c>
      <c r="DZ44">
        <f t="shared" ref="DZ44:DZ75" si="168">IFERROR(((K44-$F44)/$F44)*100,0)</f>
        <v>-2.4188492308779055</v>
      </c>
      <c r="EA44">
        <f t="shared" si="66"/>
        <v>-2.7709587976617369</v>
      </c>
      <c r="EB44">
        <f t="shared" si="74"/>
        <v>-3.4032107094290276</v>
      </c>
      <c r="EC44">
        <f t="shared" si="82"/>
        <v>-3.7650336435724041</v>
      </c>
      <c r="ED44">
        <f t="shared" si="90"/>
        <v>-2.5740423502816956</v>
      </c>
      <c r="EE44">
        <f t="shared" si="98"/>
        <v>-0.94352118397117302</v>
      </c>
      <c r="EF44">
        <f t="shared" si="106"/>
        <v>-0.16578952015965726</v>
      </c>
      <c r="EG44" s="13" t="str">
        <f t="shared" si="125"/>
        <v/>
      </c>
      <c r="EH44" s="13" t="str">
        <f t="shared" si="126"/>
        <v/>
      </c>
      <c r="EI44" s="13" t="str">
        <f t="shared" si="127"/>
        <v/>
      </c>
      <c r="EJ44" s="13" t="str">
        <f t="shared" si="128"/>
        <v/>
      </c>
      <c r="EK44" s="13" t="str">
        <f t="shared" si="129"/>
        <v/>
      </c>
      <c r="EL44" s="13" t="str">
        <f t="shared" si="130"/>
        <v/>
      </c>
      <c r="EM44" s="13" t="str">
        <f t="shared" si="131"/>
        <v/>
      </c>
      <c r="EN44" s="13" t="str">
        <f t="shared" si="132"/>
        <v/>
      </c>
      <c r="EO44" s="13" t="str">
        <f t="shared" si="133"/>
        <v/>
      </c>
      <c r="EP44" s="13" t="str">
        <f t="shared" si="134"/>
        <v/>
      </c>
      <c r="EQ44" s="13" t="str">
        <f t="shared" si="135"/>
        <v>EQL</v>
      </c>
    </row>
    <row r="45" spans="1:147" ht="14.25" customHeight="1" x14ac:dyDescent="0.55000000000000004">
      <c r="A45">
        <v>1775005204</v>
      </c>
      <c r="B45" t="s">
        <v>16</v>
      </c>
      <c r="C45" t="s">
        <v>17</v>
      </c>
      <c r="D45">
        <v>4708.04</v>
      </c>
      <c r="E45" t="s">
        <v>20</v>
      </c>
      <c r="F45">
        <v>4724.3999999999996</v>
      </c>
      <c r="G45">
        <v>4581.6400000000003</v>
      </c>
      <c r="H45">
        <v>4619.84</v>
      </c>
      <c r="I45">
        <f t="shared" si="148"/>
        <v>4528.66</v>
      </c>
      <c r="J45">
        <f t="shared" si="156"/>
        <v>4523.8500000000004</v>
      </c>
      <c r="K45">
        <f t="shared" si="164"/>
        <v>4580.59</v>
      </c>
      <c r="L45">
        <f t="shared" si="62"/>
        <v>4555</v>
      </c>
      <c r="M45">
        <f t="shared" si="70"/>
        <v>4475.12</v>
      </c>
      <c r="N45">
        <f t="shared" si="78"/>
        <v>4420.5600000000004</v>
      </c>
      <c r="O45">
        <f t="shared" si="86"/>
        <v>4479.1400000000003</v>
      </c>
      <c r="P45">
        <f t="shared" si="94"/>
        <v>4544.29</v>
      </c>
      <c r="Q45">
        <f t="shared" si="102"/>
        <v>4568.96</v>
      </c>
      <c r="R45">
        <v>194.56</v>
      </c>
      <c r="S45">
        <f t="shared" si="136"/>
        <v>33.380000000000109</v>
      </c>
      <c r="T45">
        <f t="shared" si="137"/>
        <v>137.15000000000055</v>
      </c>
      <c r="U45">
        <f t="shared" si="153"/>
        <v>35.829999999999927</v>
      </c>
      <c r="V45">
        <f t="shared" si="161"/>
        <v>30.710000000000036</v>
      </c>
      <c r="W45">
        <f t="shared" ref="W45:W76" si="169">K45-K44</f>
        <v>160.31999999999971</v>
      </c>
      <c r="X45">
        <f t="shared" si="67"/>
        <v>150.68000000000029</v>
      </c>
      <c r="Y45">
        <f t="shared" si="75"/>
        <v>99.4399999999996</v>
      </c>
      <c r="Z45">
        <f t="shared" si="83"/>
        <v>61.270000000000437</v>
      </c>
      <c r="AA45">
        <f t="shared" si="91"/>
        <v>65.900000000000546</v>
      </c>
      <c r="AB45">
        <f t="shared" si="99"/>
        <v>57.1899999999996</v>
      </c>
      <c r="AC45">
        <f t="shared" si="107"/>
        <v>46.630000000000109</v>
      </c>
      <c r="AD45">
        <v>4.3</v>
      </c>
      <c r="AE45" s="14">
        <f t="shared" si="138"/>
        <v>0.7339070325794943</v>
      </c>
      <c r="AF45" s="14">
        <f t="shared" si="139"/>
        <v>3.0595468346015573</v>
      </c>
      <c r="AG45" s="14">
        <f t="shared" si="154"/>
        <v>0.79749289423369962</v>
      </c>
      <c r="AH45" s="14">
        <f t="shared" si="162"/>
        <v>0.68348638146151763</v>
      </c>
      <c r="AI45" s="14">
        <f t="shared" ref="AI45:AI76" si="170">(W45/K44)*100</f>
        <v>3.6269277668558644</v>
      </c>
      <c r="AJ45" s="14">
        <f t="shared" si="68"/>
        <v>3.4211864714643871</v>
      </c>
      <c r="AK45" s="14">
        <f t="shared" si="76"/>
        <v>2.2725610647944912</v>
      </c>
      <c r="AL45" s="14">
        <f t="shared" si="84"/>
        <v>1.4055041073202388</v>
      </c>
      <c r="AM45" s="14">
        <f t="shared" si="92"/>
        <v>1.4932339958851217</v>
      </c>
      <c r="AN45" s="14">
        <f t="shared" si="100"/>
        <v>1.2745425776113659</v>
      </c>
      <c r="AO45" s="14">
        <f t="shared" si="108"/>
        <v>1.0311056468678781</v>
      </c>
      <c r="AP45">
        <v>0</v>
      </c>
      <c r="AQ45">
        <f t="shared" si="140"/>
        <v>0</v>
      </c>
      <c r="AR45">
        <f t="shared" si="144"/>
        <v>0</v>
      </c>
      <c r="AS45">
        <f t="shared" si="149"/>
        <v>0</v>
      </c>
      <c r="AT45">
        <f t="shared" si="157"/>
        <v>0</v>
      </c>
      <c r="AU45">
        <f t="shared" si="165"/>
        <v>0</v>
      </c>
      <c r="AV45">
        <f t="shared" si="63"/>
        <v>0</v>
      </c>
      <c r="AW45">
        <f t="shared" si="71"/>
        <v>0</v>
      </c>
      <c r="AX45">
        <f t="shared" si="79"/>
        <v>0</v>
      </c>
      <c r="AY45">
        <f t="shared" si="87"/>
        <v>0</v>
      </c>
      <c r="AZ45">
        <f t="shared" si="95"/>
        <v>0</v>
      </c>
      <c r="BA45">
        <f t="shared" si="103"/>
        <v>0</v>
      </c>
      <c r="BB45">
        <v>54</v>
      </c>
      <c r="BC45">
        <f t="shared" si="141"/>
        <v>3</v>
      </c>
      <c r="BD45">
        <f t="shared" si="145"/>
        <v>6</v>
      </c>
      <c r="BE45">
        <f t="shared" si="150"/>
        <v>4</v>
      </c>
      <c r="BF45">
        <f t="shared" si="158"/>
        <v>7</v>
      </c>
      <c r="BG45">
        <f t="shared" si="166"/>
        <v>47</v>
      </c>
      <c r="BH45">
        <f t="shared" si="64"/>
        <v>17</v>
      </c>
      <c r="BI45">
        <f t="shared" si="72"/>
        <v>19</v>
      </c>
      <c r="BJ45">
        <f t="shared" si="80"/>
        <v>3</v>
      </c>
      <c r="BK45">
        <f t="shared" si="88"/>
        <v>24</v>
      </c>
      <c r="BL45">
        <f t="shared" si="96"/>
        <v>20</v>
      </c>
      <c r="BM45">
        <f t="shared" si="104"/>
        <v>22</v>
      </c>
      <c r="BZ45" s="12">
        <f t="shared" si="110"/>
        <v>3.6029629629629629</v>
      </c>
      <c r="CA45" s="12">
        <f t="shared" si="142"/>
        <v>11.126666666666702</v>
      </c>
      <c r="CB45" s="12">
        <f t="shared" si="146"/>
        <v>22.858333333333423</v>
      </c>
      <c r="CC45" s="12">
        <f t="shared" si="155"/>
        <v>8.9574999999999818</v>
      </c>
      <c r="CD45" s="12">
        <f t="shared" si="163"/>
        <v>4.3871428571428623</v>
      </c>
      <c r="CE45" s="12">
        <f t="shared" ref="CE45:CE76" si="171">IFERROR(W45/BG45,0)</f>
        <v>3.4110638297872278</v>
      </c>
      <c r="CF45" s="12">
        <f t="shared" si="69"/>
        <v>8.8635294117647234</v>
      </c>
      <c r="CG45" s="12">
        <f t="shared" si="77"/>
        <v>5.2336842105262944</v>
      </c>
      <c r="CH45" s="12">
        <f t="shared" si="85"/>
        <v>20.423333333333478</v>
      </c>
      <c r="CI45" s="12">
        <f t="shared" si="93"/>
        <v>2.7458333333333562</v>
      </c>
      <c r="CJ45" s="12">
        <f t="shared" si="101"/>
        <v>2.8594999999999802</v>
      </c>
      <c r="CK45" s="12">
        <f t="shared" si="109"/>
        <v>2.1195454545454595</v>
      </c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>
        <f t="shared" si="111"/>
        <v>74.488040554358989</v>
      </c>
      <c r="CY45" s="12">
        <f t="shared" si="112"/>
        <v>84.8643867726568</v>
      </c>
      <c r="CZ45" s="12">
        <f t="shared" si="113"/>
        <v>87.495037433357894</v>
      </c>
      <c r="DA45" s="12">
        <f t="shared" si="114"/>
        <v>83.629973103427346</v>
      </c>
      <c r="DB45" s="12">
        <f t="shared" si="115"/>
        <v>77.15945139645865</v>
      </c>
      <c r="DC45" s="12">
        <f t="shared" si="116"/>
        <v>73.66077954694002</v>
      </c>
      <c r="DD45" s="12">
        <f t="shared" si="117"/>
        <v>83.563002379889127</v>
      </c>
      <c r="DE45" s="12">
        <f t="shared" si="118"/>
        <v>79.182874553785254</v>
      </c>
      <c r="DF45" s="12">
        <f t="shared" si="119"/>
        <v>87.196830864783578</v>
      </c>
      <c r="DG45" s="12">
        <f t="shared" si="120"/>
        <v>69.988974961848029</v>
      </c>
      <c r="DH45" s="12">
        <f t="shared" si="121"/>
        <v>70.724681625353043</v>
      </c>
      <c r="DI45" s="12">
        <f t="shared" si="122"/>
        <v>64.742095759376653</v>
      </c>
      <c r="DJ45" t="s">
        <v>23</v>
      </c>
      <c r="DK45" t="str">
        <f t="shared" si="143"/>
        <v>LH</v>
      </c>
      <c r="DL45" t="str">
        <f t="shared" si="147"/>
        <v>HH</v>
      </c>
      <c r="DM45" t="str">
        <f t="shared" si="151"/>
        <v>HH</v>
      </c>
      <c r="DN45" t="str">
        <f t="shared" si="159"/>
        <v>LH</v>
      </c>
      <c r="DO45" t="str">
        <f t="shared" si="167"/>
        <v>HH</v>
      </c>
      <c r="DP45" t="str">
        <f t="shared" si="65"/>
        <v>HH</v>
      </c>
      <c r="DQ45" t="str">
        <f t="shared" si="73"/>
        <v>HH</v>
      </c>
      <c r="DR45" t="str">
        <f t="shared" si="81"/>
        <v>LH</v>
      </c>
      <c r="DS45" t="str">
        <f t="shared" si="89"/>
        <v>LH</v>
      </c>
      <c r="DT45" t="str">
        <f t="shared" si="97"/>
        <v>LH</v>
      </c>
      <c r="DU45" t="str">
        <f t="shared" si="105"/>
        <v>LH</v>
      </c>
      <c r="DV45">
        <f t="shared" si="123"/>
        <v>-3.0217593768520725</v>
      </c>
      <c r="DW45">
        <f t="shared" si="124"/>
        <v>-2.2131910930488421</v>
      </c>
      <c r="DX45">
        <f t="shared" si="152"/>
        <v>-4.1431716196765684</v>
      </c>
      <c r="DY45">
        <f t="shared" si="160"/>
        <v>-4.2449834899669652</v>
      </c>
      <c r="DZ45">
        <f t="shared" si="168"/>
        <v>-3.0439844213021652</v>
      </c>
      <c r="EA45">
        <f t="shared" si="66"/>
        <v>-3.5856405046143354</v>
      </c>
      <c r="EB45">
        <f t="shared" si="74"/>
        <v>-5.2764372195411013</v>
      </c>
      <c r="EC45">
        <f t="shared" si="82"/>
        <v>-6.4312928625857095</v>
      </c>
      <c r="ED45">
        <f t="shared" si="90"/>
        <v>-5.1913470493607514</v>
      </c>
      <c r="EE45">
        <f t="shared" si="98"/>
        <v>-3.8123359580052427</v>
      </c>
      <c r="EF45">
        <f t="shared" si="106"/>
        <v>-3.2901532469731523</v>
      </c>
      <c r="EG45" s="13" t="str">
        <f t="shared" si="125"/>
        <v/>
      </c>
      <c r="EH45" s="13" t="str">
        <f t="shared" si="126"/>
        <v/>
      </c>
      <c r="EI45" s="13" t="str">
        <f t="shared" si="127"/>
        <v/>
      </c>
      <c r="EJ45" s="13" t="str">
        <f t="shared" si="128"/>
        <v/>
      </c>
      <c r="EK45" s="13" t="str">
        <f t="shared" si="129"/>
        <v/>
      </c>
      <c r="EL45" s="13" t="str">
        <f t="shared" si="130"/>
        <v/>
      </c>
      <c r="EM45" s="13" t="str">
        <f t="shared" si="131"/>
        <v/>
      </c>
      <c r="EN45" s="13" t="str">
        <f t="shared" si="132"/>
        <v/>
      </c>
      <c r="EO45" s="13" t="str">
        <f t="shared" si="133"/>
        <v/>
      </c>
      <c r="EP45" s="13" t="str">
        <f t="shared" si="134"/>
        <v/>
      </c>
      <c r="EQ45" s="13" t="str">
        <f t="shared" si="135"/>
        <v/>
      </c>
    </row>
    <row r="46" spans="1:147" ht="14.25" customHeight="1" x14ac:dyDescent="0.55000000000000004">
      <c r="A46">
        <v>1775016904</v>
      </c>
      <c r="B46" t="s">
        <v>16</v>
      </c>
      <c r="C46" t="s">
        <v>17</v>
      </c>
      <c r="D46">
        <v>4672.5600000000004</v>
      </c>
      <c r="E46" t="s">
        <v>18</v>
      </c>
      <c r="F46">
        <v>4666.96</v>
      </c>
      <c r="G46">
        <v>4529.84</v>
      </c>
      <c r="H46">
        <v>4548.26</v>
      </c>
      <c r="I46">
        <f t="shared" si="148"/>
        <v>4482.6899999999996</v>
      </c>
      <c r="J46">
        <f t="shared" si="156"/>
        <v>4492.83</v>
      </c>
      <c r="K46">
        <f t="shared" si="164"/>
        <v>4493.1400000000003</v>
      </c>
      <c r="L46">
        <f t="shared" ref="L46:L77" si="172">F34</f>
        <v>4420.2700000000004</v>
      </c>
      <c r="M46">
        <f t="shared" si="70"/>
        <v>4404.32</v>
      </c>
      <c r="N46">
        <f t="shared" si="78"/>
        <v>4375.68</v>
      </c>
      <c r="O46">
        <f t="shared" si="86"/>
        <v>4359.29</v>
      </c>
      <c r="P46">
        <f t="shared" si="94"/>
        <v>4413.24</v>
      </c>
      <c r="Q46">
        <f t="shared" si="102"/>
        <v>4487.1000000000004</v>
      </c>
      <c r="R46">
        <v>-57.44</v>
      </c>
      <c r="S46">
        <f t="shared" si="136"/>
        <v>-51.800000000000182</v>
      </c>
      <c r="T46">
        <f t="shared" si="137"/>
        <v>-71.579999999999927</v>
      </c>
      <c r="U46">
        <f t="shared" si="153"/>
        <v>-45.970000000000255</v>
      </c>
      <c r="V46">
        <f t="shared" si="161"/>
        <v>-31.020000000000437</v>
      </c>
      <c r="W46">
        <f t="shared" si="169"/>
        <v>-87.449999999999818</v>
      </c>
      <c r="X46">
        <f t="shared" si="67"/>
        <v>-134.72999999999956</v>
      </c>
      <c r="Y46">
        <f t="shared" si="75"/>
        <v>-70.800000000000182</v>
      </c>
      <c r="Z46">
        <f t="shared" si="83"/>
        <v>-44.880000000000109</v>
      </c>
      <c r="AA46">
        <f t="shared" si="91"/>
        <v>-119.85000000000036</v>
      </c>
      <c r="AB46">
        <f t="shared" si="99"/>
        <v>-131.05000000000018</v>
      </c>
      <c r="AC46">
        <f t="shared" si="107"/>
        <v>-81.859999999999673</v>
      </c>
      <c r="AD46">
        <v>-1.22</v>
      </c>
      <c r="AE46" s="14">
        <f t="shared" si="138"/>
        <v>-1.1305995233147994</v>
      </c>
      <c r="AF46" s="14">
        <f t="shared" si="139"/>
        <v>-1.5494043083743143</v>
      </c>
      <c r="AG46" s="14">
        <f t="shared" si="154"/>
        <v>-1.0150905565884887</v>
      </c>
      <c r="AH46" s="14">
        <f t="shared" si="162"/>
        <v>-0.68569912795518051</v>
      </c>
      <c r="AI46" s="14">
        <f t="shared" si="170"/>
        <v>-1.909142708690361</v>
      </c>
      <c r="AJ46" s="14">
        <f t="shared" si="68"/>
        <v>-2.9578485181119554</v>
      </c>
      <c r="AK46" s="14">
        <f t="shared" si="76"/>
        <v>-1.5820804805234314</v>
      </c>
      <c r="AL46" s="14">
        <f t="shared" si="84"/>
        <v>-1.0152559856669767</v>
      </c>
      <c r="AM46" s="14">
        <f t="shared" si="92"/>
        <v>-2.6757368602008502</v>
      </c>
      <c r="AN46" s="14">
        <f t="shared" si="100"/>
        <v>-2.8838388395106866</v>
      </c>
      <c r="AO46" s="14">
        <f t="shared" si="108"/>
        <v>-1.7916549936965891</v>
      </c>
      <c r="AP46">
        <v>3</v>
      </c>
      <c r="AQ46">
        <f t="shared" si="140"/>
        <v>3</v>
      </c>
      <c r="AR46">
        <f t="shared" si="144"/>
        <v>3</v>
      </c>
      <c r="AS46">
        <f t="shared" si="149"/>
        <v>3</v>
      </c>
      <c r="AT46">
        <f t="shared" si="157"/>
        <v>3</v>
      </c>
      <c r="AU46">
        <f t="shared" si="165"/>
        <v>3</v>
      </c>
      <c r="AV46">
        <f t="shared" ref="AV46:AV77" si="173">AP34</f>
        <v>3</v>
      </c>
      <c r="AW46">
        <f t="shared" si="71"/>
        <v>3</v>
      </c>
      <c r="AX46">
        <f t="shared" si="79"/>
        <v>3</v>
      </c>
      <c r="AY46">
        <f t="shared" si="87"/>
        <v>3</v>
      </c>
      <c r="AZ46">
        <f t="shared" si="95"/>
        <v>3</v>
      </c>
      <c r="BA46">
        <f t="shared" si="103"/>
        <v>3</v>
      </c>
      <c r="BB46">
        <v>13</v>
      </c>
      <c r="BC46">
        <f t="shared" si="141"/>
        <v>19</v>
      </c>
      <c r="BD46">
        <f t="shared" si="145"/>
        <v>13</v>
      </c>
      <c r="BE46">
        <f t="shared" si="150"/>
        <v>1</v>
      </c>
      <c r="BF46">
        <f t="shared" si="158"/>
        <v>4</v>
      </c>
      <c r="BG46">
        <f t="shared" si="166"/>
        <v>30</v>
      </c>
      <c r="BH46">
        <f t="shared" ref="BH46:BH77" si="174">BB34</f>
        <v>31</v>
      </c>
      <c r="BI46">
        <f t="shared" si="72"/>
        <v>22</v>
      </c>
      <c r="BJ46">
        <f t="shared" si="80"/>
        <v>13</v>
      </c>
      <c r="BK46">
        <f t="shared" si="88"/>
        <v>21</v>
      </c>
      <c r="BL46">
        <f t="shared" si="96"/>
        <v>30</v>
      </c>
      <c r="BM46">
        <f t="shared" si="104"/>
        <v>4</v>
      </c>
      <c r="BZ46" s="12">
        <f t="shared" si="110"/>
        <v>-4.4184615384615382</v>
      </c>
      <c r="CA46" s="12">
        <f t="shared" si="142"/>
        <v>-2.7263157894736936</v>
      </c>
      <c r="CB46" s="12">
        <f t="shared" si="146"/>
        <v>-5.5061538461538406</v>
      </c>
      <c r="CC46" s="12">
        <f t="shared" si="155"/>
        <v>-45.970000000000255</v>
      </c>
      <c r="CD46" s="12">
        <f t="shared" si="163"/>
        <v>-7.7550000000001091</v>
      </c>
      <c r="CE46" s="12">
        <f t="shared" si="171"/>
        <v>-2.9149999999999938</v>
      </c>
      <c r="CF46" s="12">
        <f t="shared" si="69"/>
        <v>-4.3461290322580508</v>
      </c>
      <c r="CG46" s="12">
        <f t="shared" si="77"/>
        <v>-3.2181818181818262</v>
      </c>
      <c r="CH46" s="12">
        <f t="shared" si="85"/>
        <v>-3.4523076923077007</v>
      </c>
      <c r="CI46" s="12">
        <f t="shared" si="93"/>
        <v>-5.7071428571428742</v>
      </c>
      <c r="CJ46" s="12">
        <f t="shared" si="101"/>
        <v>-4.3683333333333394</v>
      </c>
      <c r="CK46" s="12">
        <f t="shared" si="109"/>
        <v>-20.464999999999918</v>
      </c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>
        <f t="shared" si="111"/>
        <v>-77.247480718529985</v>
      </c>
      <c r="CY46" s="12">
        <f t="shared" si="112"/>
        <v>-69.857196766957003</v>
      </c>
      <c r="CZ46" s="12">
        <f t="shared" si="113"/>
        <v>-79.706424185299525</v>
      </c>
      <c r="DA46" s="12">
        <f t="shared" si="114"/>
        <v>-88.753823265309592</v>
      </c>
      <c r="DB46" s="12">
        <f t="shared" si="115"/>
        <v>-82.652309233171323</v>
      </c>
      <c r="DC46" s="12">
        <f t="shared" si="116"/>
        <v>-71.065305896787933</v>
      </c>
      <c r="DD46" s="12">
        <f t="shared" si="117"/>
        <v>-77.042348422403194</v>
      </c>
      <c r="DE46" s="12">
        <f t="shared" si="118"/>
        <v>-72.738179628387286</v>
      </c>
      <c r="DF46" s="12">
        <f t="shared" si="119"/>
        <v>-73.845742234377013</v>
      </c>
      <c r="DG46" s="12">
        <f t="shared" si="120"/>
        <v>-80.06157870553551</v>
      </c>
      <c r="DH46" s="12">
        <f t="shared" si="121"/>
        <v>-77.106005692914991</v>
      </c>
      <c r="DI46" s="12">
        <f t="shared" si="122"/>
        <v>-87.202529031911553</v>
      </c>
      <c r="DJ46" t="s">
        <v>22</v>
      </c>
      <c r="DK46" t="str">
        <f t="shared" si="143"/>
        <v>LL</v>
      </c>
      <c r="DL46" t="str">
        <f t="shared" si="147"/>
        <v>HL</v>
      </c>
      <c r="DM46" t="str">
        <f t="shared" si="151"/>
        <v>LL</v>
      </c>
      <c r="DN46" t="str">
        <f t="shared" si="159"/>
        <v>LL</v>
      </c>
      <c r="DO46" t="str">
        <f t="shared" si="167"/>
        <v>HL</v>
      </c>
      <c r="DP46" t="str">
        <f t="shared" ref="DP46:DP77" si="175">DJ34</f>
        <v>HL</v>
      </c>
      <c r="DQ46" t="str">
        <f t="shared" si="73"/>
        <v>HL</v>
      </c>
      <c r="DR46" t="str">
        <f t="shared" si="81"/>
        <v>HL</v>
      </c>
      <c r="DS46" t="str">
        <f t="shared" si="89"/>
        <v>LL</v>
      </c>
      <c r="DT46" t="str">
        <f t="shared" si="97"/>
        <v>LL</v>
      </c>
      <c r="DU46" t="str">
        <f t="shared" si="105"/>
        <v>LL</v>
      </c>
      <c r="DV46">
        <f t="shared" si="123"/>
        <v>-2.938101033649311</v>
      </c>
      <c r="DW46">
        <f t="shared" si="124"/>
        <v>-2.5434115569878424</v>
      </c>
      <c r="DX46">
        <f t="shared" si="152"/>
        <v>-3.9483946723348913</v>
      </c>
      <c r="DY46">
        <f t="shared" si="160"/>
        <v>-3.7311226151499075</v>
      </c>
      <c r="DZ46">
        <f t="shared" si="168"/>
        <v>-3.7244801755318178</v>
      </c>
      <c r="EA46">
        <f t="shared" ref="EA46:EA77" si="176">IFERROR(((L46-$F46)/$F46)*100,0)</f>
        <v>-5.2858820302723739</v>
      </c>
      <c r="EB46">
        <f t="shared" si="74"/>
        <v>-5.6276462622349523</v>
      </c>
      <c r="EC46">
        <f t="shared" si="82"/>
        <v>-6.2413219740473407</v>
      </c>
      <c r="ED46">
        <f t="shared" si="90"/>
        <v>-6.5925141848226705</v>
      </c>
      <c r="EE46">
        <f t="shared" si="98"/>
        <v>-5.4365154190308091</v>
      </c>
      <c r="EF46">
        <f t="shared" si="106"/>
        <v>-3.8539006119615271</v>
      </c>
      <c r="EG46" s="13" t="str">
        <f t="shared" si="125"/>
        <v/>
      </c>
      <c r="EH46" s="13" t="str">
        <f t="shared" si="126"/>
        <v/>
      </c>
      <c r="EI46" s="13" t="str">
        <f t="shared" si="127"/>
        <v/>
      </c>
      <c r="EJ46" s="13" t="str">
        <f t="shared" si="128"/>
        <v/>
      </c>
      <c r="EK46" s="13" t="str">
        <f t="shared" si="129"/>
        <v/>
      </c>
      <c r="EL46" s="13" t="str">
        <f t="shared" si="130"/>
        <v/>
      </c>
      <c r="EM46" s="13" t="str">
        <f t="shared" si="131"/>
        <v/>
      </c>
      <c r="EN46" s="13" t="str">
        <f t="shared" si="132"/>
        <v/>
      </c>
      <c r="EO46" s="13" t="str">
        <f t="shared" si="133"/>
        <v/>
      </c>
      <c r="EP46" s="13" t="str">
        <f t="shared" si="134"/>
        <v/>
      </c>
      <c r="EQ46" s="13" t="str">
        <f t="shared" si="135"/>
        <v/>
      </c>
    </row>
    <row r="47" spans="1:147" ht="14.25" customHeight="1" x14ac:dyDescent="0.55000000000000004">
      <c r="A47">
        <v>1775062804</v>
      </c>
      <c r="B47" t="s">
        <v>16</v>
      </c>
      <c r="C47" t="s">
        <v>17</v>
      </c>
      <c r="D47">
        <v>4788.67</v>
      </c>
      <c r="E47" t="s">
        <v>20</v>
      </c>
      <c r="F47">
        <v>4793.1400000000003</v>
      </c>
      <c r="G47">
        <v>4724.3999999999996</v>
      </c>
      <c r="H47">
        <v>4581.6400000000003</v>
      </c>
      <c r="I47">
        <f t="shared" si="148"/>
        <v>4619.84</v>
      </c>
      <c r="J47">
        <f t="shared" si="156"/>
        <v>4528.66</v>
      </c>
      <c r="K47">
        <f t="shared" si="164"/>
        <v>4523.8500000000004</v>
      </c>
      <c r="L47">
        <f t="shared" si="172"/>
        <v>4580.59</v>
      </c>
      <c r="M47">
        <f t="shared" si="70"/>
        <v>4555</v>
      </c>
      <c r="N47">
        <f t="shared" si="78"/>
        <v>4475.12</v>
      </c>
      <c r="O47">
        <f t="shared" si="86"/>
        <v>4420.5600000000004</v>
      </c>
      <c r="P47">
        <f t="shared" si="94"/>
        <v>4479.1400000000003</v>
      </c>
      <c r="Q47">
        <f t="shared" si="102"/>
        <v>4544.29</v>
      </c>
      <c r="R47">
        <v>126.18</v>
      </c>
      <c r="S47">
        <f t="shared" si="136"/>
        <v>194.55999999999949</v>
      </c>
      <c r="T47">
        <f t="shared" si="137"/>
        <v>33.380000000000109</v>
      </c>
      <c r="U47">
        <f t="shared" si="153"/>
        <v>137.15000000000055</v>
      </c>
      <c r="V47">
        <f t="shared" si="161"/>
        <v>35.829999999999927</v>
      </c>
      <c r="W47">
        <f t="shared" si="169"/>
        <v>30.710000000000036</v>
      </c>
      <c r="X47">
        <f t="shared" ref="X47:X78" si="177">L47-L46</f>
        <v>160.31999999999971</v>
      </c>
      <c r="Y47">
        <f t="shared" si="75"/>
        <v>150.68000000000029</v>
      </c>
      <c r="Z47">
        <f t="shared" si="83"/>
        <v>99.4399999999996</v>
      </c>
      <c r="AA47">
        <f t="shared" si="91"/>
        <v>61.270000000000437</v>
      </c>
      <c r="AB47">
        <f t="shared" si="99"/>
        <v>65.900000000000546</v>
      </c>
      <c r="AC47">
        <f t="shared" si="107"/>
        <v>57.1899999999996</v>
      </c>
      <c r="AD47">
        <v>2.7</v>
      </c>
      <c r="AE47" s="14">
        <f t="shared" si="138"/>
        <v>4.2950744397152985</v>
      </c>
      <c r="AF47" s="14">
        <f t="shared" si="139"/>
        <v>0.7339070325794943</v>
      </c>
      <c r="AG47" s="14">
        <f t="shared" si="154"/>
        <v>3.0595468346015573</v>
      </c>
      <c r="AH47" s="14">
        <f t="shared" si="162"/>
        <v>0.79749289423369962</v>
      </c>
      <c r="AI47" s="14">
        <f t="shared" si="170"/>
        <v>0.68348638146151763</v>
      </c>
      <c r="AJ47" s="14">
        <f t="shared" ref="AJ47:AJ78" si="178">(X47/L46)*100</f>
        <v>3.6269277668558644</v>
      </c>
      <c r="AK47" s="14">
        <f t="shared" si="76"/>
        <v>3.4211864714643871</v>
      </c>
      <c r="AL47" s="14">
        <f t="shared" si="84"/>
        <v>2.2725610647944912</v>
      </c>
      <c r="AM47" s="14">
        <f t="shared" si="92"/>
        <v>1.4055041073202388</v>
      </c>
      <c r="AN47" s="14">
        <f t="shared" si="100"/>
        <v>1.4932339958851217</v>
      </c>
      <c r="AO47" s="14">
        <f t="shared" si="108"/>
        <v>1.2745425776113659</v>
      </c>
      <c r="AP47">
        <v>0</v>
      </c>
      <c r="AQ47">
        <f t="shared" si="140"/>
        <v>0</v>
      </c>
      <c r="AR47">
        <f t="shared" si="144"/>
        <v>0</v>
      </c>
      <c r="AS47">
        <f t="shared" si="149"/>
        <v>0</v>
      </c>
      <c r="AT47">
        <f t="shared" si="157"/>
        <v>0</v>
      </c>
      <c r="AU47">
        <f t="shared" si="165"/>
        <v>0</v>
      </c>
      <c r="AV47">
        <f t="shared" si="173"/>
        <v>0</v>
      </c>
      <c r="AW47">
        <f t="shared" si="71"/>
        <v>0</v>
      </c>
      <c r="AX47">
        <f t="shared" si="79"/>
        <v>0</v>
      </c>
      <c r="AY47">
        <f t="shared" si="87"/>
        <v>0</v>
      </c>
      <c r="AZ47">
        <f t="shared" si="95"/>
        <v>0</v>
      </c>
      <c r="BA47">
        <f t="shared" si="103"/>
        <v>0</v>
      </c>
      <c r="BB47">
        <v>51</v>
      </c>
      <c r="BC47">
        <f t="shared" si="141"/>
        <v>54</v>
      </c>
      <c r="BD47">
        <f t="shared" si="145"/>
        <v>3</v>
      </c>
      <c r="BE47">
        <f t="shared" si="150"/>
        <v>6</v>
      </c>
      <c r="BF47">
        <f t="shared" si="158"/>
        <v>4</v>
      </c>
      <c r="BG47">
        <f t="shared" si="166"/>
        <v>7</v>
      </c>
      <c r="BH47">
        <f t="shared" si="174"/>
        <v>47</v>
      </c>
      <c r="BI47">
        <f t="shared" si="72"/>
        <v>17</v>
      </c>
      <c r="BJ47">
        <f t="shared" si="80"/>
        <v>19</v>
      </c>
      <c r="BK47">
        <f t="shared" si="88"/>
        <v>3</v>
      </c>
      <c r="BL47">
        <f t="shared" si="96"/>
        <v>24</v>
      </c>
      <c r="BM47">
        <f t="shared" si="104"/>
        <v>20</v>
      </c>
      <c r="BZ47" s="12">
        <f t="shared" si="110"/>
        <v>2.4741176470588235</v>
      </c>
      <c r="CA47" s="12">
        <f t="shared" si="142"/>
        <v>3.6029629629629536</v>
      </c>
      <c r="CB47" s="12">
        <f t="shared" si="146"/>
        <v>11.126666666666702</v>
      </c>
      <c r="CC47" s="12">
        <f t="shared" si="155"/>
        <v>22.858333333333423</v>
      </c>
      <c r="CD47" s="12">
        <f t="shared" si="163"/>
        <v>8.9574999999999818</v>
      </c>
      <c r="CE47" s="12">
        <f t="shared" si="171"/>
        <v>4.3871428571428623</v>
      </c>
      <c r="CF47" s="12">
        <f t="shared" ref="CF47:CF78" si="179">IFERROR(X47/BH47,0)</f>
        <v>3.4110638297872278</v>
      </c>
      <c r="CG47" s="12">
        <f t="shared" si="77"/>
        <v>8.8635294117647234</v>
      </c>
      <c r="CH47" s="12">
        <f t="shared" si="85"/>
        <v>5.2336842105262944</v>
      </c>
      <c r="CI47" s="12">
        <f t="shared" si="93"/>
        <v>20.423333333333478</v>
      </c>
      <c r="CJ47" s="12">
        <f t="shared" si="101"/>
        <v>2.7458333333333562</v>
      </c>
      <c r="CK47" s="12">
        <f t="shared" si="109"/>
        <v>2.8594999999999802</v>
      </c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>
        <f t="shared" si="111"/>
        <v>67.992204644225652</v>
      </c>
      <c r="CY47" s="12">
        <f t="shared" si="112"/>
        <v>74.488040554358946</v>
      </c>
      <c r="CZ47" s="12">
        <f t="shared" si="113"/>
        <v>84.8643867726568</v>
      </c>
      <c r="DA47" s="12">
        <f t="shared" si="114"/>
        <v>87.495037433357894</v>
      </c>
      <c r="DB47" s="12">
        <f t="shared" si="115"/>
        <v>83.629973103427346</v>
      </c>
      <c r="DC47" s="12">
        <f t="shared" si="116"/>
        <v>77.15945139645865</v>
      </c>
      <c r="DD47" s="12">
        <f t="shared" si="117"/>
        <v>73.66077954694002</v>
      </c>
      <c r="DE47" s="12">
        <f t="shared" si="118"/>
        <v>83.563002379889127</v>
      </c>
      <c r="DF47" s="12">
        <f t="shared" si="119"/>
        <v>79.182874553785254</v>
      </c>
      <c r="DG47" s="12">
        <f t="shared" si="120"/>
        <v>87.196830864783578</v>
      </c>
      <c r="DH47" s="12">
        <f t="shared" si="121"/>
        <v>69.988974961848029</v>
      </c>
      <c r="DI47" s="12">
        <f t="shared" si="122"/>
        <v>70.724681625353043</v>
      </c>
      <c r="DJ47" t="s">
        <v>23</v>
      </c>
      <c r="DK47" t="str">
        <f t="shared" si="143"/>
        <v>HH</v>
      </c>
      <c r="DL47" t="str">
        <f t="shared" si="147"/>
        <v>LH</v>
      </c>
      <c r="DM47" t="str">
        <f t="shared" si="151"/>
        <v>HH</v>
      </c>
      <c r="DN47" t="str">
        <f t="shared" si="159"/>
        <v>HH</v>
      </c>
      <c r="DO47" t="str">
        <f t="shared" si="167"/>
        <v>LH</v>
      </c>
      <c r="DP47" t="str">
        <f t="shared" si="175"/>
        <v>HH</v>
      </c>
      <c r="DQ47" t="str">
        <f t="shared" si="73"/>
        <v>HH</v>
      </c>
      <c r="DR47" t="str">
        <f t="shared" si="81"/>
        <v>HH</v>
      </c>
      <c r="DS47" t="str">
        <f t="shared" si="89"/>
        <v>LH</v>
      </c>
      <c r="DT47" t="str">
        <f t="shared" si="97"/>
        <v>LH</v>
      </c>
      <c r="DU47" t="str">
        <f t="shared" si="105"/>
        <v>LH</v>
      </c>
      <c r="DV47">
        <f t="shared" si="123"/>
        <v>-1.4341329483386818</v>
      </c>
      <c r="DW47">
        <f t="shared" si="124"/>
        <v>-4.4125562783478056</v>
      </c>
      <c r="DX47">
        <f t="shared" si="152"/>
        <v>-3.6155839387124136</v>
      </c>
      <c r="DY47">
        <f t="shared" si="160"/>
        <v>-5.5178859787112513</v>
      </c>
      <c r="DZ47">
        <f t="shared" si="168"/>
        <v>-5.6182377314244931</v>
      </c>
      <c r="EA47">
        <f t="shared" si="176"/>
        <v>-4.4344625861126561</v>
      </c>
      <c r="EB47">
        <f t="shared" si="74"/>
        <v>-4.9683506010673648</v>
      </c>
      <c r="EC47">
        <f t="shared" si="82"/>
        <v>-6.6348990432159374</v>
      </c>
      <c r="ED47">
        <f t="shared" si="90"/>
        <v>-7.7731925209778954</v>
      </c>
      <c r="EE47">
        <f t="shared" si="98"/>
        <v>-6.5510291792019419</v>
      </c>
      <c r="EF47">
        <f t="shared" si="106"/>
        <v>-5.1917949402688084</v>
      </c>
      <c r="EG47" s="13" t="str">
        <f t="shared" si="125"/>
        <v/>
      </c>
      <c r="EH47" s="13" t="str">
        <f t="shared" si="126"/>
        <v/>
      </c>
      <c r="EI47" s="13" t="str">
        <f t="shared" si="127"/>
        <v/>
      </c>
      <c r="EJ47" s="13" t="str">
        <f t="shared" si="128"/>
        <v/>
      </c>
      <c r="EK47" s="13" t="str">
        <f t="shared" si="129"/>
        <v/>
      </c>
      <c r="EL47" s="13" t="str">
        <f t="shared" si="130"/>
        <v/>
      </c>
      <c r="EM47" s="13" t="str">
        <f t="shared" si="131"/>
        <v/>
      </c>
      <c r="EN47" s="13" t="str">
        <f t="shared" si="132"/>
        <v/>
      </c>
      <c r="EO47" s="13" t="str">
        <f t="shared" si="133"/>
        <v/>
      </c>
      <c r="EP47" s="13" t="str">
        <f t="shared" si="134"/>
        <v/>
      </c>
      <c r="EQ47" s="13" t="str">
        <f t="shared" si="135"/>
        <v/>
      </c>
    </row>
    <row r="48" spans="1:147" ht="14.25" customHeight="1" x14ac:dyDescent="0.55000000000000004">
      <c r="A48">
        <v>1775068204</v>
      </c>
      <c r="B48" t="s">
        <v>16</v>
      </c>
      <c r="C48" t="s">
        <v>17</v>
      </c>
      <c r="D48">
        <v>4756.49</v>
      </c>
      <c r="E48" t="s">
        <v>18</v>
      </c>
      <c r="F48">
        <v>4742.2</v>
      </c>
      <c r="G48">
        <v>4666.96</v>
      </c>
      <c r="H48">
        <v>4529.84</v>
      </c>
      <c r="I48">
        <f t="shared" si="148"/>
        <v>4548.26</v>
      </c>
      <c r="J48">
        <f t="shared" si="156"/>
        <v>4482.6899999999996</v>
      </c>
      <c r="K48">
        <f t="shared" si="164"/>
        <v>4492.83</v>
      </c>
      <c r="L48">
        <f t="shared" si="172"/>
        <v>4493.1400000000003</v>
      </c>
      <c r="M48">
        <f t="shared" ref="M48:M79" si="180">F34</f>
        <v>4420.2700000000004</v>
      </c>
      <c r="N48">
        <f t="shared" si="78"/>
        <v>4404.32</v>
      </c>
      <c r="O48">
        <f t="shared" si="86"/>
        <v>4375.68</v>
      </c>
      <c r="P48">
        <f t="shared" si="94"/>
        <v>4359.29</v>
      </c>
      <c r="Q48">
        <f t="shared" si="102"/>
        <v>4413.24</v>
      </c>
      <c r="R48">
        <v>-50.94</v>
      </c>
      <c r="S48">
        <f t="shared" si="136"/>
        <v>-57.4399999999996</v>
      </c>
      <c r="T48">
        <f t="shared" si="137"/>
        <v>-51.800000000000182</v>
      </c>
      <c r="U48">
        <f t="shared" si="153"/>
        <v>-71.579999999999927</v>
      </c>
      <c r="V48">
        <f t="shared" si="161"/>
        <v>-45.970000000000255</v>
      </c>
      <c r="W48">
        <f t="shared" si="169"/>
        <v>-31.020000000000437</v>
      </c>
      <c r="X48">
        <f t="shared" si="177"/>
        <v>-87.449999999999818</v>
      </c>
      <c r="Y48">
        <f t="shared" si="75"/>
        <v>-134.72999999999956</v>
      </c>
      <c r="Z48">
        <f t="shared" si="83"/>
        <v>-70.800000000000182</v>
      </c>
      <c r="AA48">
        <f t="shared" si="91"/>
        <v>-44.880000000000109</v>
      </c>
      <c r="AB48">
        <f t="shared" si="99"/>
        <v>-119.85000000000036</v>
      </c>
      <c r="AC48">
        <f t="shared" si="107"/>
        <v>-131.05000000000018</v>
      </c>
      <c r="AD48">
        <v>-1.06</v>
      </c>
      <c r="AE48" s="14">
        <f t="shared" si="138"/>
        <v>-1.2158157649648549</v>
      </c>
      <c r="AF48" s="14">
        <f t="shared" si="139"/>
        <v>-1.1305995233147994</v>
      </c>
      <c r="AG48" s="14">
        <f t="shared" si="154"/>
        <v>-1.5494043083743143</v>
      </c>
      <c r="AH48" s="14">
        <f t="shared" si="162"/>
        <v>-1.0150905565884887</v>
      </c>
      <c r="AI48" s="14">
        <f t="shared" si="170"/>
        <v>-0.68569912795518051</v>
      </c>
      <c r="AJ48" s="14">
        <f t="shared" si="178"/>
        <v>-1.909142708690361</v>
      </c>
      <c r="AK48" s="14">
        <f t="shared" si="76"/>
        <v>-2.9578485181119554</v>
      </c>
      <c r="AL48" s="14">
        <f t="shared" si="84"/>
        <v>-1.5820804805234314</v>
      </c>
      <c r="AM48" s="14">
        <f t="shared" si="92"/>
        <v>-1.0152559856669767</v>
      </c>
      <c r="AN48" s="14">
        <f t="shared" si="100"/>
        <v>-2.6757368602008502</v>
      </c>
      <c r="AO48" s="14">
        <f t="shared" si="108"/>
        <v>-2.8838388395106866</v>
      </c>
      <c r="AP48">
        <v>3</v>
      </c>
      <c r="AQ48">
        <f t="shared" si="140"/>
        <v>3</v>
      </c>
      <c r="AR48">
        <f t="shared" si="144"/>
        <v>3</v>
      </c>
      <c r="AS48">
        <f t="shared" si="149"/>
        <v>3</v>
      </c>
      <c r="AT48">
        <f t="shared" si="157"/>
        <v>3</v>
      </c>
      <c r="AU48">
        <f t="shared" si="165"/>
        <v>3</v>
      </c>
      <c r="AV48">
        <f t="shared" si="173"/>
        <v>3</v>
      </c>
      <c r="AW48">
        <f t="shared" ref="AW48:AW79" si="181">AP34</f>
        <v>3</v>
      </c>
      <c r="AX48">
        <f t="shared" si="79"/>
        <v>3</v>
      </c>
      <c r="AY48">
        <f t="shared" si="87"/>
        <v>3</v>
      </c>
      <c r="AZ48">
        <f t="shared" si="95"/>
        <v>3</v>
      </c>
      <c r="BA48">
        <f t="shared" si="103"/>
        <v>3</v>
      </c>
      <c r="BB48">
        <v>6</v>
      </c>
      <c r="BC48">
        <f t="shared" si="141"/>
        <v>13</v>
      </c>
      <c r="BD48">
        <f t="shared" si="145"/>
        <v>19</v>
      </c>
      <c r="BE48">
        <f t="shared" si="150"/>
        <v>13</v>
      </c>
      <c r="BF48">
        <f t="shared" si="158"/>
        <v>1</v>
      </c>
      <c r="BG48">
        <f t="shared" si="166"/>
        <v>4</v>
      </c>
      <c r="BH48">
        <f t="shared" si="174"/>
        <v>30</v>
      </c>
      <c r="BI48">
        <f t="shared" ref="BI48:BI79" si="182">BB34</f>
        <v>31</v>
      </c>
      <c r="BJ48">
        <f t="shared" si="80"/>
        <v>22</v>
      </c>
      <c r="BK48">
        <f t="shared" si="88"/>
        <v>13</v>
      </c>
      <c r="BL48">
        <f t="shared" si="96"/>
        <v>21</v>
      </c>
      <c r="BM48">
        <f t="shared" si="104"/>
        <v>30</v>
      </c>
      <c r="BZ48" s="12">
        <f t="shared" si="110"/>
        <v>-8.49</v>
      </c>
      <c r="CA48" s="12">
        <f t="shared" si="142"/>
        <v>-4.418461538461508</v>
      </c>
      <c r="CB48" s="12">
        <f t="shared" si="146"/>
        <v>-2.7263157894736936</v>
      </c>
      <c r="CC48" s="12">
        <f t="shared" si="155"/>
        <v>-5.5061538461538406</v>
      </c>
      <c r="CD48" s="12">
        <f t="shared" si="163"/>
        <v>-45.970000000000255</v>
      </c>
      <c r="CE48" s="12">
        <f t="shared" si="171"/>
        <v>-7.7550000000001091</v>
      </c>
      <c r="CF48" s="12">
        <f t="shared" si="179"/>
        <v>-2.9149999999999938</v>
      </c>
      <c r="CG48" s="12">
        <f t="shared" si="77"/>
        <v>-4.3461290322580508</v>
      </c>
      <c r="CH48" s="12">
        <f t="shared" si="85"/>
        <v>-3.2181818181818262</v>
      </c>
      <c r="CI48" s="12">
        <f t="shared" si="93"/>
        <v>-3.4523076923077007</v>
      </c>
      <c r="CJ48" s="12">
        <f t="shared" si="101"/>
        <v>-5.7071428571428742</v>
      </c>
      <c r="CK48" s="12">
        <f t="shared" si="109"/>
        <v>-4.3683333333333394</v>
      </c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>
        <f t="shared" si="111"/>
        <v>-83.282332155660512</v>
      </c>
      <c r="CY48" s="12">
        <f t="shared" si="112"/>
        <v>-77.2474807185299</v>
      </c>
      <c r="CZ48" s="12">
        <f t="shared" si="113"/>
        <v>-69.857196766957003</v>
      </c>
      <c r="DA48" s="12">
        <f t="shared" si="114"/>
        <v>-79.706424185299525</v>
      </c>
      <c r="DB48" s="12">
        <f t="shared" si="115"/>
        <v>-88.753823265309592</v>
      </c>
      <c r="DC48" s="12">
        <f t="shared" si="116"/>
        <v>-82.652309233171323</v>
      </c>
      <c r="DD48" s="12">
        <f t="shared" si="117"/>
        <v>-71.065305896787933</v>
      </c>
      <c r="DE48" s="12">
        <f t="shared" si="118"/>
        <v>-77.042348422403194</v>
      </c>
      <c r="DF48" s="12">
        <f t="shared" si="119"/>
        <v>-72.738179628387286</v>
      </c>
      <c r="DG48" s="12">
        <f t="shared" si="120"/>
        <v>-73.845742234377013</v>
      </c>
      <c r="DH48" s="12">
        <f t="shared" si="121"/>
        <v>-80.06157870553551</v>
      </c>
      <c r="DI48" s="12">
        <f t="shared" si="122"/>
        <v>-77.106005692914991</v>
      </c>
      <c r="DJ48" t="s">
        <v>22</v>
      </c>
      <c r="DK48" t="str">
        <f t="shared" si="143"/>
        <v>HL</v>
      </c>
      <c r="DL48" t="str">
        <f t="shared" si="147"/>
        <v>LL</v>
      </c>
      <c r="DM48" t="str">
        <f t="shared" si="151"/>
        <v>HL</v>
      </c>
      <c r="DN48" t="str">
        <f t="shared" si="159"/>
        <v>LL</v>
      </c>
      <c r="DO48" t="str">
        <f t="shared" si="167"/>
        <v>LL</v>
      </c>
      <c r="DP48" t="str">
        <f t="shared" si="175"/>
        <v>HL</v>
      </c>
      <c r="DQ48" t="str">
        <f t="shared" ref="DQ48:DQ79" si="183">DJ34</f>
        <v>HL</v>
      </c>
      <c r="DR48" t="str">
        <f t="shared" si="81"/>
        <v>HL</v>
      </c>
      <c r="DS48" t="str">
        <f t="shared" si="89"/>
        <v>HL</v>
      </c>
      <c r="DT48" t="str">
        <f t="shared" si="97"/>
        <v>LL</v>
      </c>
      <c r="DU48" t="str">
        <f t="shared" si="105"/>
        <v>LL</v>
      </c>
      <c r="DV48">
        <f t="shared" si="123"/>
        <v>-1.5866053730336085</v>
      </c>
      <c r="DW48">
        <f t="shared" si="124"/>
        <v>-4.4780903378178838</v>
      </c>
      <c r="DX48">
        <f t="shared" si="152"/>
        <v>-4.0896630255999238</v>
      </c>
      <c r="DY48">
        <f t="shared" si="160"/>
        <v>-5.472354603348661</v>
      </c>
      <c r="DZ48">
        <f t="shared" si="168"/>
        <v>-5.2585297962970756</v>
      </c>
      <c r="EA48">
        <f t="shared" si="176"/>
        <v>-5.251992745982867</v>
      </c>
      <c r="EB48">
        <f t="shared" ref="EB48:EB79" si="184">IFERROR(((M48-$F48)/$F48)*100,0)</f>
        <v>-6.7886213150014623</v>
      </c>
      <c r="EC48">
        <f t="shared" si="82"/>
        <v>-7.1249630972966163</v>
      </c>
      <c r="ED48">
        <f t="shared" si="90"/>
        <v>-7.7289021972923866</v>
      </c>
      <c r="EE48">
        <f t="shared" si="98"/>
        <v>-8.0745223735818783</v>
      </c>
      <c r="EF48">
        <f t="shared" si="106"/>
        <v>-6.9368647463202748</v>
      </c>
      <c r="EG48" s="13" t="str">
        <f t="shared" si="125"/>
        <v/>
      </c>
      <c r="EH48" s="13" t="str">
        <f t="shared" si="126"/>
        <v/>
      </c>
      <c r="EI48" s="13" t="str">
        <f t="shared" si="127"/>
        <v/>
      </c>
      <c r="EJ48" s="13" t="str">
        <f t="shared" si="128"/>
        <v/>
      </c>
      <c r="EK48" s="13" t="str">
        <f t="shared" si="129"/>
        <v/>
      </c>
      <c r="EL48" s="13" t="str">
        <f t="shared" si="130"/>
        <v/>
      </c>
      <c r="EM48" s="13" t="str">
        <f t="shared" si="131"/>
        <v/>
      </c>
      <c r="EN48" s="13" t="str">
        <f t="shared" si="132"/>
        <v/>
      </c>
      <c r="EO48" s="13" t="str">
        <f t="shared" si="133"/>
        <v/>
      </c>
      <c r="EP48" s="13" t="str">
        <f t="shared" si="134"/>
        <v/>
      </c>
      <c r="EQ48" s="13" t="str">
        <f t="shared" si="135"/>
        <v/>
      </c>
    </row>
    <row r="49" spans="1:147" ht="14.25" customHeight="1" x14ac:dyDescent="0.55000000000000004">
      <c r="A49">
        <v>1775086204</v>
      </c>
      <c r="B49" t="s">
        <v>16</v>
      </c>
      <c r="C49" t="s">
        <v>17</v>
      </c>
      <c r="D49">
        <v>4789.57</v>
      </c>
      <c r="E49" t="s">
        <v>20</v>
      </c>
      <c r="F49">
        <v>4800.45</v>
      </c>
      <c r="G49">
        <v>4793.1400000000003</v>
      </c>
      <c r="H49">
        <v>4724.3999999999996</v>
      </c>
      <c r="I49">
        <f t="shared" si="148"/>
        <v>4581.6400000000003</v>
      </c>
      <c r="J49">
        <f t="shared" si="156"/>
        <v>4619.84</v>
      </c>
      <c r="K49">
        <f t="shared" si="164"/>
        <v>4528.66</v>
      </c>
      <c r="L49">
        <f t="shared" si="172"/>
        <v>4523.8500000000004</v>
      </c>
      <c r="M49">
        <f t="shared" si="180"/>
        <v>4580.59</v>
      </c>
      <c r="N49">
        <f t="shared" si="78"/>
        <v>4555</v>
      </c>
      <c r="O49">
        <f t="shared" si="86"/>
        <v>4475.12</v>
      </c>
      <c r="P49">
        <f t="shared" si="94"/>
        <v>4420.5600000000004</v>
      </c>
      <c r="Q49">
        <f t="shared" si="102"/>
        <v>4479.1400000000003</v>
      </c>
      <c r="R49">
        <v>58.25</v>
      </c>
      <c r="S49">
        <f t="shared" si="136"/>
        <v>126.18000000000029</v>
      </c>
      <c r="T49">
        <f t="shared" si="137"/>
        <v>194.55999999999949</v>
      </c>
      <c r="U49">
        <f t="shared" si="153"/>
        <v>33.380000000000109</v>
      </c>
      <c r="V49">
        <f t="shared" si="161"/>
        <v>137.15000000000055</v>
      </c>
      <c r="W49">
        <f t="shared" si="169"/>
        <v>35.829999999999927</v>
      </c>
      <c r="X49">
        <f t="shared" si="177"/>
        <v>30.710000000000036</v>
      </c>
      <c r="Y49">
        <f t="shared" ref="Y49:Y80" si="185">M49-M48</f>
        <v>160.31999999999971</v>
      </c>
      <c r="Z49">
        <f t="shared" si="83"/>
        <v>150.68000000000029</v>
      </c>
      <c r="AA49">
        <f t="shared" si="91"/>
        <v>99.4399999999996</v>
      </c>
      <c r="AB49">
        <f t="shared" si="99"/>
        <v>61.270000000000437</v>
      </c>
      <c r="AC49">
        <f t="shared" si="107"/>
        <v>65.900000000000546</v>
      </c>
      <c r="AD49">
        <v>1.23</v>
      </c>
      <c r="AE49" s="14">
        <f t="shared" si="138"/>
        <v>2.7036871968047786</v>
      </c>
      <c r="AF49" s="14">
        <f t="shared" si="139"/>
        <v>4.2950744397152985</v>
      </c>
      <c r="AG49" s="14">
        <f t="shared" si="154"/>
        <v>0.7339070325794943</v>
      </c>
      <c r="AH49" s="14">
        <f t="shared" si="162"/>
        <v>3.0595468346015573</v>
      </c>
      <c r="AI49" s="14">
        <f t="shared" si="170"/>
        <v>0.79749289423369962</v>
      </c>
      <c r="AJ49" s="14">
        <f t="shared" si="178"/>
        <v>0.68348638146151763</v>
      </c>
      <c r="AK49" s="14">
        <f t="shared" ref="AK49:AK80" si="186">(Y49/M48)*100</f>
        <v>3.6269277668558644</v>
      </c>
      <c r="AL49" s="14">
        <f t="shared" si="84"/>
        <v>3.4211864714643871</v>
      </c>
      <c r="AM49" s="14">
        <f t="shared" si="92"/>
        <v>2.2725610647944912</v>
      </c>
      <c r="AN49" s="14">
        <f t="shared" si="100"/>
        <v>1.4055041073202388</v>
      </c>
      <c r="AO49" s="14">
        <f t="shared" si="108"/>
        <v>1.4932339958851217</v>
      </c>
      <c r="AP49">
        <v>0</v>
      </c>
      <c r="AQ49">
        <f t="shared" si="140"/>
        <v>0</v>
      </c>
      <c r="AR49">
        <f t="shared" si="144"/>
        <v>0</v>
      </c>
      <c r="AS49">
        <f t="shared" si="149"/>
        <v>0</v>
      </c>
      <c r="AT49">
        <f t="shared" si="157"/>
        <v>0</v>
      </c>
      <c r="AU49">
        <f t="shared" si="165"/>
        <v>0</v>
      </c>
      <c r="AV49">
        <f t="shared" si="173"/>
        <v>0</v>
      </c>
      <c r="AW49">
        <f t="shared" si="181"/>
        <v>0</v>
      </c>
      <c r="AX49">
        <f t="shared" si="79"/>
        <v>0</v>
      </c>
      <c r="AY49">
        <f t="shared" si="87"/>
        <v>0</v>
      </c>
      <c r="AZ49">
        <f t="shared" si="95"/>
        <v>0</v>
      </c>
      <c r="BA49">
        <f t="shared" si="103"/>
        <v>0</v>
      </c>
      <c r="BB49">
        <v>16</v>
      </c>
      <c r="BC49">
        <f t="shared" si="141"/>
        <v>51</v>
      </c>
      <c r="BD49">
        <f t="shared" si="145"/>
        <v>54</v>
      </c>
      <c r="BE49">
        <f t="shared" si="150"/>
        <v>3</v>
      </c>
      <c r="BF49">
        <f t="shared" si="158"/>
        <v>6</v>
      </c>
      <c r="BG49">
        <f t="shared" si="166"/>
        <v>4</v>
      </c>
      <c r="BH49">
        <f t="shared" si="174"/>
        <v>7</v>
      </c>
      <c r="BI49">
        <f t="shared" si="182"/>
        <v>47</v>
      </c>
      <c r="BJ49">
        <f t="shared" si="80"/>
        <v>17</v>
      </c>
      <c r="BK49">
        <f t="shared" si="88"/>
        <v>19</v>
      </c>
      <c r="BL49">
        <f t="shared" si="96"/>
        <v>3</v>
      </c>
      <c r="BM49">
        <f t="shared" si="104"/>
        <v>24</v>
      </c>
      <c r="BZ49" s="12">
        <f t="shared" si="110"/>
        <v>3.640625</v>
      </c>
      <c r="CA49" s="12">
        <f t="shared" si="142"/>
        <v>2.4741176470588293</v>
      </c>
      <c r="CB49" s="12">
        <f t="shared" si="146"/>
        <v>3.6029629629629536</v>
      </c>
      <c r="CC49" s="12">
        <f t="shared" si="155"/>
        <v>11.126666666666702</v>
      </c>
      <c r="CD49" s="12">
        <f t="shared" si="163"/>
        <v>22.858333333333423</v>
      </c>
      <c r="CE49" s="12">
        <f t="shared" si="171"/>
        <v>8.9574999999999818</v>
      </c>
      <c r="CF49" s="12">
        <f t="shared" si="179"/>
        <v>4.3871428571428623</v>
      </c>
      <c r="CG49" s="12">
        <f t="shared" ref="CG49:CG80" si="187">IFERROR(Y49/BI49,0)</f>
        <v>3.4110638297872278</v>
      </c>
      <c r="CH49" s="12">
        <f t="shared" si="85"/>
        <v>8.8635294117647234</v>
      </c>
      <c r="CI49" s="12">
        <f t="shared" si="93"/>
        <v>5.2336842105262944</v>
      </c>
      <c r="CJ49" s="12">
        <f t="shared" si="101"/>
        <v>20.423333333333478</v>
      </c>
      <c r="CK49" s="12">
        <f t="shared" si="109"/>
        <v>2.7458333333333562</v>
      </c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>
        <f t="shared" si="111"/>
        <v>74.64089633032458</v>
      </c>
      <c r="CY49" s="12">
        <f t="shared" si="112"/>
        <v>67.992204644225694</v>
      </c>
      <c r="CZ49" s="12">
        <f t="shared" si="113"/>
        <v>74.488040554358946</v>
      </c>
      <c r="DA49" s="12">
        <f t="shared" si="114"/>
        <v>84.8643867726568</v>
      </c>
      <c r="DB49" s="12">
        <f t="shared" si="115"/>
        <v>87.495037433357894</v>
      </c>
      <c r="DC49" s="12">
        <f t="shared" si="116"/>
        <v>83.629973103427346</v>
      </c>
      <c r="DD49" s="12">
        <f t="shared" si="117"/>
        <v>77.15945139645865</v>
      </c>
      <c r="DE49" s="12">
        <f t="shared" si="118"/>
        <v>73.66077954694002</v>
      </c>
      <c r="DF49" s="12">
        <f t="shared" si="119"/>
        <v>83.563002379889127</v>
      </c>
      <c r="DG49" s="12">
        <f t="shared" si="120"/>
        <v>79.182874553785254</v>
      </c>
      <c r="DH49" s="12">
        <f t="shared" si="121"/>
        <v>87.196830864783578</v>
      </c>
      <c r="DI49" s="12">
        <f t="shared" si="122"/>
        <v>69.988974961848029</v>
      </c>
      <c r="DJ49" t="s">
        <v>23</v>
      </c>
      <c r="DK49" t="str">
        <f t="shared" si="143"/>
        <v>HH</v>
      </c>
      <c r="DL49" t="str">
        <f t="shared" si="147"/>
        <v>HH</v>
      </c>
      <c r="DM49" t="str">
        <f t="shared" si="151"/>
        <v>LH</v>
      </c>
      <c r="DN49" t="str">
        <f t="shared" si="159"/>
        <v>HH</v>
      </c>
      <c r="DO49" t="str">
        <f t="shared" si="167"/>
        <v>HH</v>
      </c>
      <c r="DP49" t="str">
        <f t="shared" si="175"/>
        <v>LH</v>
      </c>
      <c r="DQ49" t="str">
        <f t="shared" si="183"/>
        <v>HH</v>
      </c>
      <c r="DR49" t="str">
        <f t="shared" si="81"/>
        <v>HH</v>
      </c>
      <c r="DS49" t="str">
        <f t="shared" si="89"/>
        <v>HH</v>
      </c>
      <c r="DT49" t="str">
        <f t="shared" si="97"/>
        <v>LH</v>
      </c>
      <c r="DU49" t="str">
        <f t="shared" si="105"/>
        <v>LH</v>
      </c>
      <c r="DV49">
        <f t="shared" si="123"/>
        <v>-0.15227739066128157</v>
      </c>
      <c r="DW49">
        <f t="shared" si="124"/>
        <v>-1.5842264787676192</v>
      </c>
      <c r="DX49">
        <f t="shared" si="152"/>
        <v>-4.5581143434469586</v>
      </c>
      <c r="DY49">
        <f t="shared" si="160"/>
        <v>-3.7623556124946553</v>
      </c>
      <c r="DZ49">
        <f t="shared" si="168"/>
        <v>-5.6617608765844869</v>
      </c>
      <c r="EA49">
        <f t="shared" si="176"/>
        <v>-5.7619598162672139</v>
      </c>
      <c r="EB49">
        <f t="shared" si="184"/>
        <v>-4.5799872928579548</v>
      </c>
      <c r="EC49">
        <f t="shared" si="82"/>
        <v>-5.1130623170744371</v>
      </c>
      <c r="ED49">
        <f t="shared" si="90"/>
        <v>-6.7770729827412</v>
      </c>
      <c r="EE49">
        <f t="shared" si="98"/>
        <v>-7.9136330968971542</v>
      </c>
      <c r="EF49">
        <f t="shared" si="106"/>
        <v>-6.6933308335676758</v>
      </c>
      <c r="EG49" s="13" t="str">
        <f t="shared" si="125"/>
        <v>EQH</v>
      </c>
      <c r="EH49" s="13" t="str">
        <f t="shared" si="126"/>
        <v/>
      </c>
      <c r="EI49" s="13" t="str">
        <f t="shared" si="127"/>
        <v/>
      </c>
      <c r="EJ49" s="13" t="str">
        <f t="shared" si="128"/>
        <v/>
      </c>
      <c r="EK49" s="13" t="str">
        <f t="shared" si="129"/>
        <v/>
      </c>
      <c r="EL49" s="13" t="str">
        <f t="shared" si="130"/>
        <v/>
      </c>
      <c r="EM49" s="13" t="str">
        <f t="shared" si="131"/>
        <v/>
      </c>
      <c r="EN49" s="13" t="str">
        <f t="shared" si="132"/>
        <v/>
      </c>
      <c r="EO49" s="13" t="str">
        <f t="shared" si="133"/>
        <v/>
      </c>
      <c r="EP49" s="13" t="str">
        <f t="shared" si="134"/>
        <v/>
      </c>
      <c r="EQ49" s="13" t="str">
        <f t="shared" si="135"/>
        <v/>
      </c>
    </row>
    <row r="50" spans="1:147" ht="14.25" customHeight="1" x14ac:dyDescent="0.55000000000000004">
      <c r="A50">
        <v>1775109604</v>
      </c>
      <c r="B50" t="s">
        <v>16</v>
      </c>
      <c r="C50" t="s">
        <v>17</v>
      </c>
      <c r="D50">
        <v>4581</v>
      </c>
      <c r="E50" t="s">
        <v>18</v>
      </c>
      <c r="F50">
        <v>4553.95</v>
      </c>
      <c r="G50">
        <v>4742.2</v>
      </c>
      <c r="H50">
        <v>4666.96</v>
      </c>
      <c r="I50">
        <f t="shared" si="148"/>
        <v>4529.84</v>
      </c>
      <c r="J50">
        <f t="shared" si="156"/>
        <v>4548.26</v>
      </c>
      <c r="K50">
        <f t="shared" si="164"/>
        <v>4482.6899999999996</v>
      </c>
      <c r="L50">
        <f t="shared" si="172"/>
        <v>4492.83</v>
      </c>
      <c r="M50">
        <f t="shared" si="180"/>
        <v>4493.1400000000003</v>
      </c>
      <c r="N50">
        <f t="shared" ref="N50:N81" si="188">F34</f>
        <v>4420.2700000000004</v>
      </c>
      <c r="O50">
        <f t="shared" si="86"/>
        <v>4404.32</v>
      </c>
      <c r="P50">
        <f t="shared" si="94"/>
        <v>4375.68</v>
      </c>
      <c r="Q50">
        <f t="shared" si="102"/>
        <v>4359.29</v>
      </c>
      <c r="R50">
        <v>-246.5</v>
      </c>
      <c r="S50">
        <f t="shared" si="136"/>
        <v>-50.940000000000509</v>
      </c>
      <c r="T50">
        <f t="shared" si="137"/>
        <v>-57.4399999999996</v>
      </c>
      <c r="U50">
        <f t="shared" si="153"/>
        <v>-51.800000000000182</v>
      </c>
      <c r="V50">
        <f t="shared" si="161"/>
        <v>-71.579999999999927</v>
      </c>
      <c r="W50">
        <f t="shared" si="169"/>
        <v>-45.970000000000255</v>
      </c>
      <c r="X50">
        <f t="shared" si="177"/>
        <v>-31.020000000000437</v>
      </c>
      <c r="Y50">
        <f t="shared" si="185"/>
        <v>-87.449999999999818</v>
      </c>
      <c r="Z50">
        <f t="shared" si="83"/>
        <v>-134.72999999999956</v>
      </c>
      <c r="AA50">
        <f t="shared" si="91"/>
        <v>-70.800000000000182</v>
      </c>
      <c r="AB50">
        <f t="shared" si="99"/>
        <v>-44.880000000000109</v>
      </c>
      <c r="AC50">
        <f t="shared" si="107"/>
        <v>-119.85000000000036</v>
      </c>
      <c r="AD50">
        <v>-5.13</v>
      </c>
      <c r="AE50" s="14">
        <f t="shared" si="138"/>
        <v>-1.0627688738488861</v>
      </c>
      <c r="AF50" s="14">
        <f t="shared" si="139"/>
        <v>-1.2158157649648549</v>
      </c>
      <c r="AG50" s="14">
        <f t="shared" si="154"/>
        <v>-1.1305995233147994</v>
      </c>
      <c r="AH50" s="14">
        <f t="shared" si="162"/>
        <v>-1.5494043083743143</v>
      </c>
      <c r="AI50" s="14">
        <f t="shared" si="170"/>
        <v>-1.0150905565884887</v>
      </c>
      <c r="AJ50" s="14">
        <f t="shared" si="178"/>
        <v>-0.68569912795518051</v>
      </c>
      <c r="AK50" s="14">
        <f t="shared" si="186"/>
        <v>-1.909142708690361</v>
      </c>
      <c r="AL50" s="14">
        <f t="shared" si="84"/>
        <v>-2.9578485181119554</v>
      </c>
      <c r="AM50" s="14">
        <f t="shared" si="92"/>
        <v>-1.5820804805234314</v>
      </c>
      <c r="AN50" s="14">
        <f t="shared" si="100"/>
        <v>-1.0152559856669767</v>
      </c>
      <c r="AO50" s="14">
        <f t="shared" si="108"/>
        <v>-2.6757368602008502</v>
      </c>
      <c r="AP50">
        <v>3</v>
      </c>
      <c r="AQ50">
        <f t="shared" si="140"/>
        <v>3</v>
      </c>
      <c r="AR50">
        <f t="shared" si="144"/>
        <v>3</v>
      </c>
      <c r="AS50">
        <f t="shared" si="149"/>
        <v>3</v>
      </c>
      <c r="AT50">
        <f t="shared" si="157"/>
        <v>3</v>
      </c>
      <c r="AU50">
        <f t="shared" si="165"/>
        <v>3</v>
      </c>
      <c r="AV50">
        <f t="shared" si="173"/>
        <v>3</v>
      </c>
      <c r="AW50">
        <f t="shared" si="181"/>
        <v>3</v>
      </c>
      <c r="AX50">
        <f t="shared" ref="AX50:AX81" si="189">AP34</f>
        <v>3</v>
      </c>
      <c r="AY50">
        <f t="shared" si="87"/>
        <v>3</v>
      </c>
      <c r="AZ50">
        <f t="shared" si="95"/>
        <v>3</v>
      </c>
      <c r="BA50">
        <f t="shared" si="103"/>
        <v>3</v>
      </c>
      <c r="BB50">
        <v>26</v>
      </c>
      <c r="BC50">
        <f t="shared" si="141"/>
        <v>6</v>
      </c>
      <c r="BD50">
        <f t="shared" si="145"/>
        <v>13</v>
      </c>
      <c r="BE50">
        <f t="shared" si="150"/>
        <v>19</v>
      </c>
      <c r="BF50">
        <f t="shared" si="158"/>
        <v>13</v>
      </c>
      <c r="BG50">
        <f t="shared" si="166"/>
        <v>1</v>
      </c>
      <c r="BH50">
        <f t="shared" si="174"/>
        <v>4</v>
      </c>
      <c r="BI50">
        <f t="shared" si="182"/>
        <v>30</v>
      </c>
      <c r="BJ50">
        <f t="shared" ref="BJ50:BJ81" si="190">BB34</f>
        <v>31</v>
      </c>
      <c r="BK50">
        <f t="shared" si="88"/>
        <v>22</v>
      </c>
      <c r="BL50">
        <f t="shared" si="96"/>
        <v>13</v>
      </c>
      <c r="BM50">
        <f t="shared" si="104"/>
        <v>21</v>
      </c>
      <c r="BZ50" s="12">
        <f t="shared" si="110"/>
        <v>-9.4807692307692299</v>
      </c>
      <c r="CA50" s="12">
        <f t="shared" si="142"/>
        <v>-8.4900000000000855</v>
      </c>
      <c r="CB50" s="12">
        <f t="shared" si="146"/>
        <v>-4.418461538461508</v>
      </c>
      <c r="CC50" s="12">
        <f t="shared" si="155"/>
        <v>-2.7263157894736936</v>
      </c>
      <c r="CD50" s="12">
        <f t="shared" si="163"/>
        <v>-5.5061538461538406</v>
      </c>
      <c r="CE50" s="12">
        <f t="shared" si="171"/>
        <v>-45.970000000000255</v>
      </c>
      <c r="CF50" s="12">
        <f t="shared" si="179"/>
        <v>-7.7550000000001091</v>
      </c>
      <c r="CG50" s="12">
        <f t="shared" si="187"/>
        <v>-2.9149999999999938</v>
      </c>
      <c r="CH50" s="12">
        <f t="shared" si="85"/>
        <v>-4.3461290322580508</v>
      </c>
      <c r="CI50" s="12">
        <f t="shared" si="93"/>
        <v>-3.2181818181818262</v>
      </c>
      <c r="CJ50" s="12">
        <f t="shared" si="101"/>
        <v>-3.4523076923077007</v>
      </c>
      <c r="CK50" s="12">
        <f t="shared" si="109"/>
        <v>-5.7071428571428742</v>
      </c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>
        <f t="shared" si="111"/>
        <v>-83.978894838902605</v>
      </c>
      <c r="CY50" s="12">
        <f t="shared" si="112"/>
        <v>-83.282332155660583</v>
      </c>
      <c r="CZ50" s="12">
        <f t="shared" si="113"/>
        <v>-77.2474807185299</v>
      </c>
      <c r="DA50" s="12">
        <f t="shared" si="114"/>
        <v>-69.857196766957003</v>
      </c>
      <c r="DB50" s="12">
        <f t="shared" si="115"/>
        <v>-79.706424185299525</v>
      </c>
      <c r="DC50" s="12">
        <f t="shared" si="116"/>
        <v>-88.753823265309592</v>
      </c>
      <c r="DD50" s="12">
        <f t="shared" si="117"/>
        <v>-82.652309233171323</v>
      </c>
      <c r="DE50" s="12">
        <f t="shared" si="118"/>
        <v>-71.065305896787933</v>
      </c>
      <c r="DF50" s="12">
        <f t="shared" si="119"/>
        <v>-77.042348422403194</v>
      </c>
      <c r="DG50" s="12">
        <f t="shared" si="120"/>
        <v>-72.738179628387286</v>
      </c>
      <c r="DH50" s="12">
        <f t="shared" si="121"/>
        <v>-73.845742234377013</v>
      </c>
      <c r="DI50" s="12">
        <f t="shared" si="122"/>
        <v>-80.06157870553551</v>
      </c>
      <c r="DJ50" t="s">
        <v>19</v>
      </c>
      <c r="DK50" t="str">
        <f t="shared" si="143"/>
        <v>HL</v>
      </c>
      <c r="DL50" t="str">
        <f t="shared" si="147"/>
        <v>HL</v>
      </c>
      <c r="DM50" t="str">
        <f t="shared" si="151"/>
        <v>LL</v>
      </c>
      <c r="DN50" t="str">
        <f t="shared" si="159"/>
        <v>HL</v>
      </c>
      <c r="DO50" t="str">
        <f t="shared" si="167"/>
        <v>LL</v>
      </c>
      <c r="DP50" t="str">
        <f t="shared" si="175"/>
        <v>LL</v>
      </c>
      <c r="DQ50" t="str">
        <f t="shared" si="183"/>
        <v>HL</v>
      </c>
      <c r="DR50" t="str">
        <f t="shared" ref="DR50:DR81" si="191">DJ34</f>
        <v>HL</v>
      </c>
      <c r="DS50" t="str">
        <f t="shared" si="89"/>
        <v>HL</v>
      </c>
      <c r="DT50" t="str">
        <f t="shared" si="97"/>
        <v>HL</v>
      </c>
      <c r="DU50" t="str">
        <f t="shared" si="105"/>
        <v>LL</v>
      </c>
      <c r="DV50">
        <f t="shared" si="123"/>
        <v>4.1337739764380377</v>
      </c>
      <c r="DW50">
        <f t="shared" si="124"/>
        <v>2.4815819233851979</v>
      </c>
      <c r="DX50">
        <f t="shared" si="152"/>
        <v>-0.52943049440594814</v>
      </c>
      <c r="DY50">
        <f t="shared" si="160"/>
        <v>-0.12494647503814491</v>
      </c>
      <c r="DZ50">
        <f t="shared" si="168"/>
        <v>-1.5647953974022601</v>
      </c>
      <c r="EA50">
        <f t="shared" si="176"/>
        <v>-1.3421315561216063</v>
      </c>
      <c r="EB50">
        <f t="shared" si="184"/>
        <v>-1.3353242789226825</v>
      </c>
      <c r="EC50">
        <f t="shared" ref="EC50:EC81" si="192">IFERROR(((N50-$F50)/$F50)*100,0)</f>
        <v>-2.9354735998418819</v>
      </c>
      <c r="ED50">
        <f t="shared" si="90"/>
        <v>-3.2857189912054392</v>
      </c>
      <c r="EE50">
        <f t="shared" si="98"/>
        <v>-3.9146235685503692</v>
      </c>
      <c r="EF50">
        <f t="shared" si="106"/>
        <v>-4.2745309017446358</v>
      </c>
      <c r="EG50" s="13" t="str">
        <f t="shared" si="125"/>
        <v/>
      </c>
      <c r="EH50" s="13" t="str">
        <f t="shared" si="126"/>
        <v/>
      </c>
      <c r="EI50" s="13" t="str">
        <f t="shared" si="127"/>
        <v/>
      </c>
      <c r="EJ50" s="13" t="str">
        <f t="shared" si="128"/>
        <v>EQL</v>
      </c>
      <c r="EK50" s="13" t="str">
        <f t="shared" si="129"/>
        <v/>
      </c>
      <c r="EL50" s="13" t="str">
        <f t="shared" si="130"/>
        <v/>
      </c>
      <c r="EM50" s="13" t="str">
        <f t="shared" si="131"/>
        <v/>
      </c>
      <c r="EN50" s="13" t="str">
        <f t="shared" si="132"/>
        <v/>
      </c>
      <c r="EO50" s="13" t="str">
        <f t="shared" si="133"/>
        <v/>
      </c>
      <c r="EP50" s="13" t="str">
        <f t="shared" si="134"/>
        <v/>
      </c>
      <c r="EQ50" s="13" t="str">
        <f t="shared" si="135"/>
        <v/>
      </c>
    </row>
    <row r="51" spans="1:147" ht="14.25" customHeight="1" x14ac:dyDescent="0.55000000000000004">
      <c r="A51">
        <v>1775140204</v>
      </c>
      <c r="B51" t="s">
        <v>16</v>
      </c>
      <c r="C51" t="s">
        <v>17</v>
      </c>
      <c r="D51">
        <v>4693.91</v>
      </c>
      <c r="E51" t="s">
        <v>20</v>
      </c>
      <c r="F51">
        <v>4699.1499999999996</v>
      </c>
      <c r="G51">
        <v>4800.45</v>
      </c>
      <c r="H51">
        <v>4793.1400000000003</v>
      </c>
      <c r="I51">
        <f t="shared" si="148"/>
        <v>4724.3999999999996</v>
      </c>
      <c r="J51">
        <f t="shared" si="156"/>
        <v>4581.6400000000003</v>
      </c>
      <c r="K51">
        <f t="shared" si="164"/>
        <v>4619.84</v>
      </c>
      <c r="L51">
        <f t="shared" si="172"/>
        <v>4528.66</v>
      </c>
      <c r="M51">
        <f t="shared" si="180"/>
        <v>4523.8500000000004</v>
      </c>
      <c r="N51">
        <f t="shared" si="188"/>
        <v>4580.59</v>
      </c>
      <c r="O51">
        <f t="shared" si="86"/>
        <v>4555</v>
      </c>
      <c r="P51">
        <f t="shared" si="94"/>
        <v>4475.12</v>
      </c>
      <c r="Q51">
        <f t="shared" si="102"/>
        <v>4420.5600000000004</v>
      </c>
      <c r="R51">
        <v>145.19999999999999</v>
      </c>
      <c r="S51">
        <f t="shared" si="136"/>
        <v>58.25</v>
      </c>
      <c r="T51">
        <f t="shared" si="137"/>
        <v>126.18000000000029</v>
      </c>
      <c r="U51">
        <f t="shared" si="153"/>
        <v>194.55999999999949</v>
      </c>
      <c r="V51">
        <f t="shared" si="161"/>
        <v>33.380000000000109</v>
      </c>
      <c r="W51">
        <f t="shared" si="169"/>
        <v>137.15000000000055</v>
      </c>
      <c r="X51">
        <f t="shared" si="177"/>
        <v>35.829999999999927</v>
      </c>
      <c r="Y51">
        <f t="shared" si="185"/>
        <v>30.710000000000036</v>
      </c>
      <c r="Z51">
        <f t="shared" ref="Z51:Z82" si="193">N51-N50</f>
        <v>160.31999999999971</v>
      </c>
      <c r="AA51">
        <f t="shared" si="91"/>
        <v>150.68000000000029</v>
      </c>
      <c r="AB51">
        <f t="shared" si="99"/>
        <v>99.4399999999996</v>
      </c>
      <c r="AC51">
        <f t="shared" si="107"/>
        <v>61.270000000000437</v>
      </c>
      <c r="AD51">
        <v>3.19</v>
      </c>
      <c r="AE51" s="14">
        <f t="shared" si="138"/>
        <v>1.2283328412972883</v>
      </c>
      <c r="AF51" s="14">
        <f t="shared" si="139"/>
        <v>2.7036871968047786</v>
      </c>
      <c r="AG51" s="14">
        <f t="shared" si="154"/>
        <v>4.2950744397152985</v>
      </c>
      <c r="AH51" s="14">
        <f t="shared" si="162"/>
        <v>0.7339070325794943</v>
      </c>
      <c r="AI51" s="14">
        <f t="shared" si="170"/>
        <v>3.0595468346015573</v>
      </c>
      <c r="AJ51" s="14">
        <f t="shared" si="178"/>
        <v>0.79749289423369962</v>
      </c>
      <c r="AK51" s="14">
        <f t="shared" si="186"/>
        <v>0.68348638146151763</v>
      </c>
      <c r="AL51" s="14">
        <f t="shared" ref="AL51:AL82" si="194">(Z51/N50)*100</f>
        <v>3.6269277668558644</v>
      </c>
      <c r="AM51" s="14">
        <f t="shared" si="92"/>
        <v>3.4211864714643871</v>
      </c>
      <c r="AN51" s="14">
        <f t="shared" si="100"/>
        <v>2.2725610647944912</v>
      </c>
      <c r="AO51" s="14">
        <f t="shared" si="108"/>
        <v>1.4055041073202388</v>
      </c>
      <c r="AP51">
        <v>0</v>
      </c>
      <c r="AQ51">
        <f t="shared" si="140"/>
        <v>0</v>
      </c>
      <c r="AR51">
        <f t="shared" si="144"/>
        <v>0</v>
      </c>
      <c r="AS51">
        <f t="shared" si="149"/>
        <v>0</v>
      </c>
      <c r="AT51">
        <f t="shared" si="157"/>
        <v>0</v>
      </c>
      <c r="AU51">
        <f t="shared" si="165"/>
        <v>0</v>
      </c>
      <c r="AV51">
        <f t="shared" si="173"/>
        <v>0</v>
      </c>
      <c r="AW51">
        <f t="shared" si="181"/>
        <v>0</v>
      </c>
      <c r="AX51">
        <f t="shared" si="189"/>
        <v>0</v>
      </c>
      <c r="AY51">
        <f t="shared" si="87"/>
        <v>0</v>
      </c>
      <c r="AZ51">
        <f t="shared" si="95"/>
        <v>0</v>
      </c>
      <c r="BA51">
        <f t="shared" si="103"/>
        <v>0</v>
      </c>
      <c r="BB51">
        <v>34</v>
      </c>
      <c r="BC51">
        <f t="shared" si="141"/>
        <v>16</v>
      </c>
      <c r="BD51">
        <f t="shared" si="145"/>
        <v>51</v>
      </c>
      <c r="BE51">
        <f t="shared" si="150"/>
        <v>54</v>
      </c>
      <c r="BF51">
        <f t="shared" si="158"/>
        <v>3</v>
      </c>
      <c r="BG51">
        <f t="shared" si="166"/>
        <v>6</v>
      </c>
      <c r="BH51">
        <f t="shared" si="174"/>
        <v>4</v>
      </c>
      <c r="BI51">
        <f t="shared" si="182"/>
        <v>7</v>
      </c>
      <c r="BJ51">
        <f t="shared" si="190"/>
        <v>47</v>
      </c>
      <c r="BK51">
        <f t="shared" si="88"/>
        <v>17</v>
      </c>
      <c r="BL51">
        <f t="shared" si="96"/>
        <v>19</v>
      </c>
      <c r="BM51">
        <f t="shared" si="104"/>
        <v>3</v>
      </c>
      <c r="BZ51" s="12">
        <f t="shared" si="110"/>
        <v>4.2705882352941176</v>
      </c>
      <c r="CA51" s="12">
        <f t="shared" si="142"/>
        <v>3.640625</v>
      </c>
      <c r="CB51" s="12">
        <f t="shared" si="146"/>
        <v>2.4741176470588293</v>
      </c>
      <c r="CC51" s="12">
        <f t="shared" si="155"/>
        <v>3.6029629629629536</v>
      </c>
      <c r="CD51" s="12">
        <f t="shared" si="163"/>
        <v>11.126666666666702</v>
      </c>
      <c r="CE51" s="12">
        <f t="shared" si="171"/>
        <v>22.858333333333423</v>
      </c>
      <c r="CF51" s="12">
        <f t="shared" si="179"/>
        <v>8.9574999999999818</v>
      </c>
      <c r="CG51" s="12">
        <f t="shared" si="187"/>
        <v>4.3871428571428623</v>
      </c>
      <c r="CH51" s="12">
        <f t="shared" ref="CH51:CH82" si="195">IFERROR(Z51/BJ51,0)</f>
        <v>3.4110638297872278</v>
      </c>
      <c r="CI51" s="12">
        <f t="shared" si="93"/>
        <v>8.8635294117647234</v>
      </c>
      <c r="CJ51" s="12">
        <f t="shared" si="101"/>
        <v>5.2336842105262944</v>
      </c>
      <c r="CK51" s="12">
        <f t="shared" si="109"/>
        <v>20.423333333333478</v>
      </c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>
        <f t="shared" si="111"/>
        <v>76.821078963950598</v>
      </c>
      <c r="CY51" s="12">
        <f t="shared" si="112"/>
        <v>74.64089633032458</v>
      </c>
      <c r="CZ51" s="12">
        <f t="shared" si="113"/>
        <v>67.992204644225694</v>
      </c>
      <c r="DA51" s="12">
        <f t="shared" si="114"/>
        <v>74.488040554358946</v>
      </c>
      <c r="DB51" s="12">
        <f t="shared" si="115"/>
        <v>84.8643867726568</v>
      </c>
      <c r="DC51" s="12">
        <f t="shared" si="116"/>
        <v>87.495037433357894</v>
      </c>
      <c r="DD51" s="12">
        <f t="shared" si="117"/>
        <v>83.629973103427346</v>
      </c>
      <c r="DE51" s="12">
        <f t="shared" si="118"/>
        <v>77.15945139645865</v>
      </c>
      <c r="DF51" s="12">
        <f t="shared" si="119"/>
        <v>73.66077954694002</v>
      </c>
      <c r="DG51" s="12">
        <f t="shared" si="120"/>
        <v>83.563002379889127</v>
      </c>
      <c r="DH51" s="12">
        <f t="shared" si="121"/>
        <v>79.182874553785254</v>
      </c>
      <c r="DI51" s="12">
        <f t="shared" si="122"/>
        <v>87.196830864783578</v>
      </c>
      <c r="DJ51" t="s">
        <v>21</v>
      </c>
      <c r="DK51" t="str">
        <f t="shared" si="143"/>
        <v>HH</v>
      </c>
      <c r="DL51" t="str">
        <f t="shared" si="147"/>
        <v>HH</v>
      </c>
      <c r="DM51" t="str">
        <f t="shared" si="151"/>
        <v>HH</v>
      </c>
      <c r="DN51" t="str">
        <f t="shared" si="159"/>
        <v>LH</v>
      </c>
      <c r="DO51" t="str">
        <f t="shared" si="167"/>
        <v>HH</v>
      </c>
      <c r="DP51" t="str">
        <f t="shared" si="175"/>
        <v>HH</v>
      </c>
      <c r="DQ51" t="str">
        <f t="shared" si="183"/>
        <v>LH</v>
      </c>
      <c r="DR51" t="str">
        <f t="shared" si="191"/>
        <v>HH</v>
      </c>
      <c r="DS51" t="str">
        <f t="shared" si="89"/>
        <v>HH</v>
      </c>
      <c r="DT51" t="str">
        <f t="shared" si="97"/>
        <v>HH</v>
      </c>
      <c r="DU51" t="str">
        <f t="shared" si="105"/>
        <v>LH</v>
      </c>
      <c r="DV51">
        <f t="shared" si="123"/>
        <v>2.1557090112041579</v>
      </c>
      <c r="DW51">
        <f t="shared" si="124"/>
        <v>2.0001489631103646</v>
      </c>
      <c r="DX51">
        <f t="shared" si="152"/>
        <v>0.53733121947586271</v>
      </c>
      <c r="DY51">
        <f t="shared" si="160"/>
        <v>-2.5006650138854751</v>
      </c>
      <c r="DZ51">
        <f t="shared" si="168"/>
        <v>-1.6877520402625901</v>
      </c>
      <c r="EA51">
        <f t="shared" si="176"/>
        <v>-3.6281029547896915</v>
      </c>
      <c r="EB51">
        <f t="shared" si="184"/>
        <v>-3.7304618920442909</v>
      </c>
      <c r="EC51">
        <f t="shared" si="192"/>
        <v>-2.523009480437941</v>
      </c>
      <c r="ED51">
        <f t="shared" si="90"/>
        <v>-3.0675760509879373</v>
      </c>
      <c r="EE51">
        <f t="shared" si="98"/>
        <v>-4.767457944521877</v>
      </c>
      <c r="EF51">
        <f t="shared" si="106"/>
        <v>-5.9285189874764432</v>
      </c>
      <c r="EG51" s="13" t="str">
        <f t="shared" si="125"/>
        <v/>
      </c>
      <c r="EH51" s="13" t="str">
        <f t="shared" si="126"/>
        <v/>
      </c>
      <c r="EI51" s="13" t="str">
        <f t="shared" si="127"/>
        <v/>
      </c>
      <c r="EJ51" s="13" t="str">
        <f t="shared" si="128"/>
        <v/>
      </c>
      <c r="EK51" s="13" t="str">
        <f t="shared" si="129"/>
        <v/>
      </c>
      <c r="EL51" s="13" t="str">
        <f t="shared" si="130"/>
        <v/>
      </c>
      <c r="EM51" s="13" t="str">
        <f t="shared" si="131"/>
        <v/>
      </c>
      <c r="EN51" s="13" t="str">
        <f t="shared" si="132"/>
        <v/>
      </c>
      <c r="EO51" s="13" t="str">
        <f t="shared" si="133"/>
        <v/>
      </c>
      <c r="EP51" s="13" t="str">
        <f t="shared" si="134"/>
        <v/>
      </c>
      <c r="EQ51" s="13" t="str">
        <f t="shared" si="135"/>
        <v/>
      </c>
    </row>
    <row r="52" spans="1:147" ht="14.25" customHeight="1" x14ac:dyDescent="0.55000000000000004">
      <c r="A52">
        <v>1775434504</v>
      </c>
      <c r="B52" t="s">
        <v>16</v>
      </c>
      <c r="C52" t="s">
        <v>17</v>
      </c>
      <c r="D52">
        <v>4603.5200000000004</v>
      </c>
      <c r="E52" t="s">
        <v>18</v>
      </c>
      <c r="F52">
        <v>4601.05</v>
      </c>
      <c r="G52">
        <v>4553.95</v>
      </c>
      <c r="H52">
        <v>4742.2</v>
      </c>
      <c r="I52">
        <f t="shared" si="148"/>
        <v>4666.96</v>
      </c>
      <c r="J52">
        <f t="shared" si="156"/>
        <v>4529.84</v>
      </c>
      <c r="K52">
        <f t="shared" si="164"/>
        <v>4548.26</v>
      </c>
      <c r="L52">
        <f t="shared" si="172"/>
        <v>4482.6899999999996</v>
      </c>
      <c r="M52">
        <f t="shared" si="180"/>
        <v>4492.83</v>
      </c>
      <c r="N52">
        <f t="shared" si="188"/>
        <v>4493.1400000000003</v>
      </c>
      <c r="O52">
        <f t="shared" ref="O52:O83" si="196">F34</f>
        <v>4420.2700000000004</v>
      </c>
      <c r="P52">
        <f t="shared" si="94"/>
        <v>4404.32</v>
      </c>
      <c r="Q52">
        <f t="shared" si="102"/>
        <v>4375.68</v>
      </c>
      <c r="R52">
        <v>-98.1</v>
      </c>
      <c r="S52">
        <f t="shared" si="136"/>
        <v>-246.5</v>
      </c>
      <c r="T52">
        <f t="shared" si="137"/>
        <v>-50.940000000000509</v>
      </c>
      <c r="U52">
        <f t="shared" si="153"/>
        <v>-57.4399999999996</v>
      </c>
      <c r="V52">
        <f t="shared" si="161"/>
        <v>-51.800000000000182</v>
      </c>
      <c r="W52">
        <f t="shared" si="169"/>
        <v>-71.579999999999927</v>
      </c>
      <c r="X52">
        <f t="shared" si="177"/>
        <v>-45.970000000000255</v>
      </c>
      <c r="Y52">
        <f t="shared" si="185"/>
        <v>-31.020000000000437</v>
      </c>
      <c r="Z52">
        <f t="shared" si="193"/>
        <v>-87.449999999999818</v>
      </c>
      <c r="AA52">
        <f t="shared" si="91"/>
        <v>-134.72999999999956</v>
      </c>
      <c r="AB52">
        <f t="shared" si="99"/>
        <v>-70.800000000000182</v>
      </c>
      <c r="AC52">
        <f t="shared" si="107"/>
        <v>-44.880000000000109</v>
      </c>
      <c r="AD52">
        <v>-2.09</v>
      </c>
      <c r="AE52" s="14">
        <f t="shared" si="138"/>
        <v>-5.1349352664854342</v>
      </c>
      <c r="AF52" s="14">
        <f t="shared" si="139"/>
        <v>-1.0627688738488861</v>
      </c>
      <c r="AG52" s="14">
        <f t="shared" si="154"/>
        <v>-1.2158157649648549</v>
      </c>
      <c r="AH52" s="14">
        <f t="shared" si="162"/>
        <v>-1.1305995233147994</v>
      </c>
      <c r="AI52" s="14">
        <f t="shared" si="170"/>
        <v>-1.5494043083743143</v>
      </c>
      <c r="AJ52" s="14">
        <f t="shared" si="178"/>
        <v>-1.0150905565884887</v>
      </c>
      <c r="AK52" s="14">
        <f t="shared" si="186"/>
        <v>-0.68569912795518051</v>
      </c>
      <c r="AL52" s="14">
        <f t="shared" si="194"/>
        <v>-1.909142708690361</v>
      </c>
      <c r="AM52" s="14">
        <f t="shared" si="92"/>
        <v>-2.9578485181119554</v>
      </c>
      <c r="AN52" s="14">
        <f t="shared" si="100"/>
        <v>-1.5820804805234314</v>
      </c>
      <c r="AO52" s="14">
        <f t="shared" si="108"/>
        <v>-1.0152559856669767</v>
      </c>
      <c r="AP52">
        <v>3</v>
      </c>
      <c r="AQ52">
        <f t="shared" si="140"/>
        <v>3</v>
      </c>
      <c r="AR52">
        <f t="shared" si="144"/>
        <v>3</v>
      </c>
      <c r="AS52">
        <f t="shared" si="149"/>
        <v>3</v>
      </c>
      <c r="AT52">
        <f t="shared" si="157"/>
        <v>3</v>
      </c>
      <c r="AU52">
        <f t="shared" si="165"/>
        <v>3</v>
      </c>
      <c r="AV52">
        <f t="shared" si="173"/>
        <v>3</v>
      </c>
      <c r="AW52">
        <f t="shared" si="181"/>
        <v>3</v>
      </c>
      <c r="AX52">
        <f t="shared" si="189"/>
        <v>3</v>
      </c>
      <c r="AY52">
        <f t="shared" ref="AY52:AY83" si="197">AP34</f>
        <v>3</v>
      </c>
      <c r="AZ52">
        <f t="shared" si="95"/>
        <v>3</v>
      </c>
      <c r="BA52">
        <f t="shared" si="103"/>
        <v>3</v>
      </c>
      <c r="BB52">
        <v>35</v>
      </c>
      <c r="BC52">
        <f t="shared" si="141"/>
        <v>26</v>
      </c>
      <c r="BD52">
        <f t="shared" si="145"/>
        <v>6</v>
      </c>
      <c r="BE52">
        <f t="shared" si="150"/>
        <v>13</v>
      </c>
      <c r="BF52">
        <f t="shared" si="158"/>
        <v>19</v>
      </c>
      <c r="BG52">
        <f t="shared" si="166"/>
        <v>13</v>
      </c>
      <c r="BH52">
        <f t="shared" si="174"/>
        <v>1</v>
      </c>
      <c r="BI52">
        <f t="shared" si="182"/>
        <v>4</v>
      </c>
      <c r="BJ52">
        <f t="shared" si="190"/>
        <v>30</v>
      </c>
      <c r="BK52">
        <f t="shared" ref="BK52:BK83" si="198">BB34</f>
        <v>31</v>
      </c>
      <c r="BL52">
        <f t="shared" si="96"/>
        <v>22</v>
      </c>
      <c r="BM52">
        <f t="shared" si="104"/>
        <v>13</v>
      </c>
      <c r="BZ52" s="12">
        <f t="shared" si="110"/>
        <v>-2.8028571428571425</v>
      </c>
      <c r="CA52" s="12">
        <f t="shared" si="142"/>
        <v>-9.4807692307692299</v>
      </c>
      <c r="CB52" s="12">
        <f t="shared" si="146"/>
        <v>-8.4900000000000855</v>
      </c>
      <c r="CC52" s="12">
        <f t="shared" si="155"/>
        <v>-4.418461538461508</v>
      </c>
      <c r="CD52" s="12">
        <f t="shared" si="163"/>
        <v>-2.7263157894736936</v>
      </c>
      <c r="CE52" s="12">
        <f t="shared" si="171"/>
        <v>-5.5061538461538406</v>
      </c>
      <c r="CF52" s="12">
        <f t="shared" si="179"/>
        <v>-45.970000000000255</v>
      </c>
      <c r="CG52" s="12">
        <f t="shared" si="187"/>
        <v>-7.7550000000001091</v>
      </c>
      <c r="CH52" s="12">
        <f t="shared" si="195"/>
        <v>-2.9149999999999938</v>
      </c>
      <c r="CI52" s="12">
        <f t="shared" si="93"/>
        <v>-4.3461290322580508</v>
      </c>
      <c r="CJ52" s="12">
        <f t="shared" si="101"/>
        <v>-3.2181818181818262</v>
      </c>
      <c r="CK52" s="12">
        <f t="shared" si="109"/>
        <v>-3.4523076923077007</v>
      </c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>
        <f t="shared" si="111"/>
        <v>-70.364677549257991</v>
      </c>
      <c r="CY52" s="12">
        <f t="shared" si="112"/>
        <v>-83.978894838902605</v>
      </c>
      <c r="CZ52" s="12">
        <f t="shared" si="113"/>
        <v>-83.282332155660583</v>
      </c>
      <c r="DA52" s="12">
        <f t="shared" si="114"/>
        <v>-77.2474807185299</v>
      </c>
      <c r="DB52" s="12">
        <f t="shared" si="115"/>
        <v>-69.857196766957003</v>
      </c>
      <c r="DC52" s="12">
        <f t="shared" si="116"/>
        <v>-79.706424185299525</v>
      </c>
      <c r="DD52" s="12">
        <f t="shared" si="117"/>
        <v>-88.753823265309592</v>
      </c>
      <c r="DE52" s="12">
        <f t="shared" si="118"/>
        <v>-82.652309233171323</v>
      </c>
      <c r="DF52" s="12">
        <f t="shared" si="119"/>
        <v>-71.065305896787933</v>
      </c>
      <c r="DG52" s="12">
        <f t="shared" si="120"/>
        <v>-77.042348422403194</v>
      </c>
      <c r="DH52" s="12">
        <f t="shared" si="121"/>
        <v>-72.738179628387286</v>
      </c>
      <c r="DI52" s="12">
        <f t="shared" si="122"/>
        <v>-73.845742234377013</v>
      </c>
      <c r="DJ52" t="s">
        <v>22</v>
      </c>
      <c r="DK52" t="str">
        <f t="shared" si="143"/>
        <v>LL</v>
      </c>
      <c r="DL52" t="str">
        <f t="shared" si="147"/>
        <v>HL</v>
      </c>
      <c r="DM52" t="str">
        <f t="shared" si="151"/>
        <v>HL</v>
      </c>
      <c r="DN52" t="str">
        <f t="shared" si="159"/>
        <v>LL</v>
      </c>
      <c r="DO52" t="str">
        <f t="shared" si="167"/>
        <v>HL</v>
      </c>
      <c r="DP52" t="str">
        <f t="shared" si="175"/>
        <v>LL</v>
      </c>
      <c r="DQ52" t="str">
        <f t="shared" si="183"/>
        <v>LL</v>
      </c>
      <c r="DR52" t="str">
        <f t="shared" si="191"/>
        <v>HL</v>
      </c>
      <c r="DS52" t="str">
        <f t="shared" ref="DS52:DS83" si="199">DJ34</f>
        <v>HL</v>
      </c>
      <c r="DT52" t="str">
        <f t="shared" si="97"/>
        <v>HL</v>
      </c>
      <c r="DU52" t="str">
        <f t="shared" si="105"/>
        <v>HL</v>
      </c>
      <c r="DV52">
        <f t="shared" si="123"/>
        <v>-1.023679377533397</v>
      </c>
      <c r="DW52">
        <f t="shared" si="124"/>
        <v>3.067778007194002</v>
      </c>
      <c r="DX52">
        <f t="shared" si="152"/>
        <v>1.4324991034655101</v>
      </c>
      <c r="DY52">
        <f t="shared" si="160"/>
        <v>-1.5476902011497384</v>
      </c>
      <c r="DZ52">
        <f t="shared" si="168"/>
        <v>-1.1473468012736214</v>
      </c>
      <c r="EA52">
        <f t="shared" si="176"/>
        <v>-2.5724562871518581</v>
      </c>
      <c r="EB52">
        <f t="shared" si="184"/>
        <v>-2.3520718096956186</v>
      </c>
      <c r="EC52">
        <f t="shared" si="192"/>
        <v>-2.3453342171895515</v>
      </c>
      <c r="ED52">
        <f t="shared" ref="ED52:ED83" si="200">IFERROR(((O52-$F52)/$F52)*100,0)</f>
        <v>-3.9291031395007607</v>
      </c>
      <c r="EE52">
        <f t="shared" si="98"/>
        <v>-4.2757631410221677</v>
      </c>
      <c r="EF52">
        <f t="shared" si="106"/>
        <v>-4.898229751904454</v>
      </c>
      <c r="EG52" s="13" t="str">
        <f t="shared" si="125"/>
        <v/>
      </c>
      <c r="EH52" s="13" t="str">
        <f t="shared" si="126"/>
        <v/>
      </c>
      <c r="EI52" s="13" t="str">
        <f t="shared" si="127"/>
        <v/>
      </c>
      <c r="EJ52" s="13" t="str">
        <f t="shared" si="128"/>
        <v/>
      </c>
      <c r="EK52" s="13" t="str">
        <f t="shared" si="129"/>
        <v/>
      </c>
      <c r="EL52" s="13" t="str">
        <f t="shared" si="130"/>
        <v/>
      </c>
      <c r="EM52" s="13" t="str">
        <f t="shared" si="131"/>
        <v/>
      </c>
      <c r="EN52" s="13" t="str">
        <f t="shared" si="132"/>
        <v/>
      </c>
      <c r="EO52" s="13" t="str">
        <f t="shared" si="133"/>
        <v/>
      </c>
      <c r="EP52" s="13" t="str">
        <f t="shared" si="134"/>
        <v/>
      </c>
      <c r="EQ52" s="13" t="str">
        <f t="shared" si="135"/>
        <v/>
      </c>
    </row>
    <row r="53" spans="1:147" ht="14.25" customHeight="1" x14ac:dyDescent="0.55000000000000004">
      <c r="A53">
        <v>1775467804</v>
      </c>
      <c r="B53" t="s">
        <v>16</v>
      </c>
      <c r="C53" t="s">
        <v>17</v>
      </c>
      <c r="D53">
        <v>4703.45</v>
      </c>
      <c r="E53" t="s">
        <v>20</v>
      </c>
      <c r="F53">
        <v>4706.47</v>
      </c>
      <c r="G53">
        <v>4699.1499999999996</v>
      </c>
      <c r="H53">
        <v>4800.45</v>
      </c>
      <c r="I53">
        <f t="shared" si="148"/>
        <v>4793.1400000000003</v>
      </c>
      <c r="J53">
        <f t="shared" si="156"/>
        <v>4724.3999999999996</v>
      </c>
      <c r="K53">
        <f t="shared" si="164"/>
        <v>4581.6400000000003</v>
      </c>
      <c r="L53">
        <f t="shared" si="172"/>
        <v>4619.84</v>
      </c>
      <c r="M53">
        <f t="shared" si="180"/>
        <v>4528.66</v>
      </c>
      <c r="N53">
        <f t="shared" si="188"/>
        <v>4523.8500000000004</v>
      </c>
      <c r="O53">
        <f t="shared" si="196"/>
        <v>4580.59</v>
      </c>
      <c r="P53">
        <f t="shared" si="94"/>
        <v>4555</v>
      </c>
      <c r="Q53">
        <f t="shared" si="102"/>
        <v>4475.12</v>
      </c>
      <c r="R53">
        <v>105.42</v>
      </c>
      <c r="S53">
        <f t="shared" si="136"/>
        <v>145.19999999999982</v>
      </c>
      <c r="T53">
        <f t="shared" si="137"/>
        <v>58.25</v>
      </c>
      <c r="U53">
        <f t="shared" si="153"/>
        <v>126.18000000000029</v>
      </c>
      <c r="V53">
        <f t="shared" si="161"/>
        <v>194.55999999999949</v>
      </c>
      <c r="W53">
        <f t="shared" si="169"/>
        <v>33.380000000000109</v>
      </c>
      <c r="X53">
        <f t="shared" si="177"/>
        <v>137.15000000000055</v>
      </c>
      <c r="Y53">
        <f t="shared" si="185"/>
        <v>35.829999999999927</v>
      </c>
      <c r="Z53">
        <f t="shared" si="193"/>
        <v>30.710000000000036</v>
      </c>
      <c r="AA53">
        <f t="shared" ref="AA53:AA84" si="201">O53-O52</f>
        <v>160.31999999999971</v>
      </c>
      <c r="AB53">
        <f t="shared" si="99"/>
        <v>150.68000000000029</v>
      </c>
      <c r="AC53">
        <f t="shared" si="107"/>
        <v>99.4399999999996</v>
      </c>
      <c r="AD53">
        <v>2.29</v>
      </c>
      <c r="AE53" s="14">
        <f t="shared" si="138"/>
        <v>3.188440804137064</v>
      </c>
      <c r="AF53" s="14">
        <f t="shared" si="139"/>
        <v>1.2283328412972883</v>
      </c>
      <c r="AG53" s="14">
        <f t="shared" si="154"/>
        <v>2.7036871968047786</v>
      </c>
      <c r="AH53" s="14">
        <f t="shared" si="162"/>
        <v>4.2950744397152985</v>
      </c>
      <c r="AI53" s="14">
        <f t="shared" si="170"/>
        <v>0.7339070325794943</v>
      </c>
      <c r="AJ53" s="14">
        <f t="shared" si="178"/>
        <v>3.0595468346015573</v>
      </c>
      <c r="AK53" s="14">
        <f t="shared" si="186"/>
        <v>0.79749289423369962</v>
      </c>
      <c r="AL53" s="14">
        <f t="shared" si="194"/>
        <v>0.68348638146151763</v>
      </c>
      <c r="AM53" s="14">
        <f t="shared" ref="AM53:AM84" si="202">(AA53/O52)*100</f>
        <v>3.6269277668558644</v>
      </c>
      <c r="AN53" s="14">
        <f t="shared" si="100"/>
        <v>3.4211864714643871</v>
      </c>
      <c r="AO53" s="14">
        <f t="shared" si="108"/>
        <v>2.2725610647944912</v>
      </c>
      <c r="AP53">
        <v>0</v>
      </c>
      <c r="AQ53">
        <f t="shared" si="140"/>
        <v>0</v>
      </c>
      <c r="AR53">
        <f t="shared" si="144"/>
        <v>0</v>
      </c>
      <c r="AS53">
        <f t="shared" si="149"/>
        <v>0</v>
      </c>
      <c r="AT53">
        <f t="shared" si="157"/>
        <v>0</v>
      </c>
      <c r="AU53">
        <f t="shared" si="165"/>
        <v>0</v>
      </c>
      <c r="AV53">
        <f t="shared" si="173"/>
        <v>0</v>
      </c>
      <c r="AW53">
        <f t="shared" si="181"/>
        <v>0</v>
      </c>
      <c r="AX53">
        <f t="shared" si="189"/>
        <v>0</v>
      </c>
      <c r="AY53">
        <f t="shared" si="197"/>
        <v>0</v>
      </c>
      <c r="AZ53">
        <f t="shared" si="95"/>
        <v>0</v>
      </c>
      <c r="BA53">
        <f t="shared" si="103"/>
        <v>0</v>
      </c>
      <c r="BB53">
        <v>37</v>
      </c>
      <c r="BC53">
        <f t="shared" si="141"/>
        <v>34</v>
      </c>
      <c r="BD53">
        <f t="shared" si="145"/>
        <v>16</v>
      </c>
      <c r="BE53">
        <f t="shared" si="150"/>
        <v>51</v>
      </c>
      <c r="BF53">
        <f t="shared" si="158"/>
        <v>54</v>
      </c>
      <c r="BG53">
        <f t="shared" si="166"/>
        <v>3</v>
      </c>
      <c r="BH53">
        <f t="shared" si="174"/>
        <v>6</v>
      </c>
      <c r="BI53">
        <f t="shared" si="182"/>
        <v>4</v>
      </c>
      <c r="BJ53">
        <f t="shared" si="190"/>
        <v>7</v>
      </c>
      <c r="BK53">
        <f t="shared" si="198"/>
        <v>47</v>
      </c>
      <c r="BL53">
        <f t="shared" si="96"/>
        <v>17</v>
      </c>
      <c r="BM53">
        <f t="shared" si="104"/>
        <v>19</v>
      </c>
      <c r="BZ53" s="12">
        <f t="shared" si="110"/>
        <v>2.8491891891891892</v>
      </c>
      <c r="CA53" s="12">
        <f t="shared" si="142"/>
        <v>4.2705882352941122</v>
      </c>
      <c r="CB53" s="12">
        <f t="shared" si="146"/>
        <v>3.640625</v>
      </c>
      <c r="CC53" s="12">
        <f t="shared" si="155"/>
        <v>2.4741176470588293</v>
      </c>
      <c r="CD53" s="12">
        <f t="shared" si="163"/>
        <v>3.6029629629629536</v>
      </c>
      <c r="CE53" s="12">
        <f t="shared" si="171"/>
        <v>11.126666666666702</v>
      </c>
      <c r="CF53" s="12">
        <f t="shared" si="179"/>
        <v>22.858333333333423</v>
      </c>
      <c r="CG53" s="12">
        <f t="shared" si="187"/>
        <v>8.9574999999999818</v>
      </c>
      <c r="CH53" s="12">
        <f t="shared" si="195"/>
        <v>4.3871428571428623</v>
      </c>
      <c r="CI53" s="12">
        <f t="shared" ref="CI53:CI84" si="203">IFERROR(AA53/BK53,0)</f>
        <v>3.4110638297872278</v>
      </c>
      <c r="CJ53" s="12">
        <f t="shared" si="101"/>
        <v>8.8635294117647234</v>
      </c>
      <c r="CK53" s="12">
        <f t="shared" si="109"/>
        <v>5.2336842105262944</v>
      </c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>
        <f t="shared" si="111"/>
        <v>70.660097704099385</v>
      </c>
      <c r="CY53" s="12">
        <f t="shared" si="112"/>
        <v>76.821078963950583</v>
      </c>
      <c r="CZ53" s="12">
        <f t="shared" si="113"/>
        <v>74.64089633032458</v>
      </c>
      <c r="DA53" s="12">
        <f t="shared" si="114"/>
        <v>67.992204644225694</v>
      </c>
      <c r="DB53" s="12">
        <f t="shared" si="115"/>
        <v>74.488040554358946</v>
      </c>
      <c r="DC53" s="12">
        <f t="shared" si="116"/>
        <v>84.8643867726568</v>
      </c>
      <c r="DD53" s="12">
        <f t="shared" si="117"/>
        <v>87.495037433357894</v>
      </c>
      <c r="DE53" s="12">
        <f t="shared" si="118"/>
        <v>83.629973103427346</v>
      </c>
      <c r="DF53" s="12">
        <f t="shared" si="119"/>
        <v>77.15945139645865</v>
      </c>
      <c r="DG53" s="12">
        <f t="shared" si="120"/>
        <v>73.66077954694002</v>
      </c>
      <c r="DH53" s="12">
        <f t="shared" si="121"/>
        <v>83.563002379889127</v>
      </c>
      <c r="DI53" s="12">
        <f t="shared" si="122"/>
        <v>79.182874553785254</v>
      </c>
      <c r="DJ53" t="s">
        <v>23</v>
      </c>
      <c r="DK53" t="str">
        <f t="shared" si="143"/>
        <v>LH</v>
      </c>
      <c r="DL53" t="str">
        <f t="shared" si="147"/>
        <v>HH</v>
      </c>
      <c r="DM53" t="str">
        <f t="shared" si="151"/>
        <v>HH</v>
      </c>
      <c r="DN53" t="str">
        <f t="shared" si="159"/>
        <v>HH</v>
      </c>
      <c r="DO53" t="str">
        <f t="shared" si="167"/>
        <v>LH</v>
      </c>
      <c r="DP53" t="str">
        <f t="shared" si="175"/>
        <v>HH</v>
      </c>
      <c r="DQ53" t="str">
        <f t="shared" si="183"/>
        <v>HH</v>
      </c>
      <c r="DR53" t="str">
        <f t="shared" si="191"/>
        <v>LH</v>
      </c>
      <c r="DS53" t="str">
        <f t="shared" si="199"/>
        <v>HH</v>
      </c>
      <c r="DT53" t="str">
        <f t="shared" si="97"/>
        <v>HH</v>
      </c>
      <c r="DU53" t="str">
        <f t="shared" si="105"/>
        <v>HH</v>
      </c>
      <c r="DV53">
        <f t="shared" si="123"/>
        <v>-0.15553057811907051</v>
      </c>
      <c r="DW53">
        <f t="shared" si="124"/>
        <v>1.9968256463973968</v>
      </c>
      <c r="DX53">
        <f t="shared" si="152"/>
        <v>1.8415075417457258</v>
      </c>
      <c r="DY53">
        <f t="shared" si="160"/>
        <v>0.38096492700472712</v>
      </c>
      <c r="DZ53">
        <f t="shared" si="168"/>
        <v>-2.6523062932516286</v>
      </c>
      <c r="EA53">
        <f t="shared" si="176"/>
        <v>-1.8406576478762235</v>
      </c>
      <c r="EB53">
        <f t="shared" si="184"/>
        <v>-3.7779907234084225</v>
      </c>
      <c r="EC53">
        <f t="shared" si="192"/>
        <v>-3.8801904612161526</v>
      </c>
      <c r="ED53">
        <f t="shared" si="200"/>
        <v>-2.6746160073260876</v>
      </c>
      <c r="EE53">
        <f t="shared" si="98"/>
        <v>-3.218335610340664</v>
      </c>
      <c r="EF53">
        <f t="shared" si="106"/>
        <v>-4.9155736677382489</v>
      </c>
      <c r="EG53" s="13" t="str">
        <f t="shared" si="125"/>
        <v>EQH</v>
      </c>
      <c r="EH53" s="13" t="str">
        <f t="shared" si="126"/>
        <v/>
      </c>
      <c r="EI53" s="13" t="str">
        <f t="shared" si="127"/>
        <v/>
      </c>
      <c r="EJ53" s="13" t="str">
        <f t="shared" si="128"/>
        <v/>
      </c>
      <c r="EK53" s="13" t="str">
        <f t="shared" si="129"/>
        <v/>
      </c>
      <c r="EL53" s="13" t="str">
        <f t="shared" si="130"/>
        <v/>
      </c>
      <c r="EM53" s="13" t="str">
        <f t="shared" si="131"/>
        <v/>
      </c>
      <c r="EN53" s="13" t="str">
        <f t="shared" si="132"/>
        <v/>
      </c>
      <c r="EO53" s="13" t="str">
        <f t="shared" si="133"/>
        <v/>
      </c>
      <c r="EP53" s="13" t="str">
        <f t="shared" si="134"/>
        <v/>
      </c>
      <c r="EQ53" s="13" t="str">
        <f t="shared" si="135"/>
        <v/>
      </c>
    </row>
    <row r="54" spans="1:147" ht="14.25" customHeight="1" x14ac:dyDescent="0.55000000000000004">
      <c r="A54">
        <v>1775477704</v>
      </c>
      <c r="B54" t="s">
        <v>16</v>
      </c>
      <c r="C54" t="s">
        <v>17</v>
      </c>
      <c r="D54">
        <v>4666.07</v>
      </c>
      <c r="E54" t="s">
        <v>18</v>
      </c>
      <c r="F54">
        <v>4659.58</v>
      </c>
      <c r="G54">
        <v>4601.05</v>
      </c>
      <c r="H54">
        <v>4553.95</v>
      </c>
      <c r="I54">
        <f t="shared" si="148"/>
        <v>4742.2</v>
      </c>
      <c r="J54">
        <f t="shared" si="156"/>
        <v>4666.96</v>
      </c>
      <c r="K54">
        <f t="shared" si="164"/>
        <v>4529.84</v>
      </c>
      <c r="L54">
        <f t="shared" si="172"/>
        <v>4548.26</v>
      </c>
      <c r="M54">
        <f t="shared" si="180"/>
        <v>4482.6899999999996</v>
      </c>
      <c r="N54">
        <f t="shared" si="188"/>
        <v>4492.83</v>
      </c>
      <c r="O54">
        <f t="shared" si="196"/>
        <v>4493.1400000000003</v>
      </c>
      <c r="P54">
        <f t="shared" ref="P54:P85" si="204">F34</f>
        <v>4420.2700000000004</v>
      </c>
      <c r="Q54">
        <f t="shared" si="102"/>
        <v>4404.32</v>
      </c>
      <c r="R54">
        <v>-46.89</v>
      </c>
      <c r="S54">
        <f t="shared" si="136"/>
        <v>-98.099999999999454</v>
      </c>
      <c r="T54">
        <f t="shared" si="137"/>
        <v>-246.5</v>
      </c>
      <c r="U54">
        <f t="shared" si="153"/>
        <v>-50.940000000000509</v>
      </c>
      <c r="V54">
        <f t="shared" si="161"/>
        <v>-57.4399999999996</v>
      </c>
      <c r="W54">
        <f t="shared" si="169"/>
        <v>-51.800000000000182</v>
      </c>
      <c r="X54">
        <f t="shared" si="177"/>
        <v>-71.579999999999927</v>
      </c>
      <c r="Y54">
        <f t="shared" si="185"/>
        <v>-45.970000000000255</v>
      </c>
      <c r="Z54">
        <f t="shared" si="193"/>
        <v>-31.020000000000437</v>
      </c>
      <c r="AA54">
        <f t="shared" si="201"/>
        <v>-87.449999999999818</v>
      </c>
      <c r="AB54">
        <f t="shared" si="99"/>
        <v>-134.72999999999956</v>
      </c>
      <c r="AC54">
        <f t="shared" si="107"/>
        <v>-70.800000000000182</v>
      </c>
      <c r="AD54">
        <v>-1</v>
      </c>
      <c r="AE54" s="14">
        <f t="shared" si="138"/>
        <v>-2.0876115893299736</v>
      </c>
      <c r="AF54" s="14">
        <f t="shared" si="139"/>
        <v>-5.1349352664854342</v>
      </c>
      <c r="AG54" s="14">
        <f t="shared" si="154"/>
        <v>-1.0627688738488861</v>
      </c>
      <c r="AH54" s="14">
        <f t="shared" si="162"/>
        <v>-1.2158157649648549</v>
      </c>
      <c r="AI54" s="14">
        <f t="shared" si="170"/>
        <v>-1.1305995233147994</v>
      </c>
      <c r="AJ54" s="14">
        <f t="shared" si="178"/>
        <v>-1.5494043083743143</v>
      </c>
      <c r="AK54" s="14">
        <f t="shared" si="186"/>
        <v>-1.0150905565884887</v>
      </c>
      <c r="AL54" s="14">
        <f t="shared" si="194"/>
        <v>-0.68569912795518051</v>
      </c>
      <c r="AM54" s="14">
        <f t="shared" si="202"/>
        <v>-1.909142708690361</v>
      </c>
      <c r="AN54" s="14">
        <f t="shared" si="100"/>
        <v>-2.9578485181119554</v>
      </c>
      <c r="AO54" s="14">
        <f t="shared" si="108"/>
        <v>-1.5820804805234314</v>
      </c>
      <c r="AP54">
        <v>3</v>
      </c>
      <c r="AQ54">
        <f t="shared" si="140"/>
        <v>3</v>
      </c>
      <c r="AR54">
        <f t="shared" si="144"/>
        <v>3</v>
      </c>
      <c r="AS54">
        <f t="shared" si="149"/>
        <v>3</v>
      </c>
      <c r="AT54">
        <f t="shared" si="157"/>
        <v>3</v>
      </c>
      <c r="AU54">
        <f t="shared" si="165"/>
        <v>3</v>
      </c>
      <c r="AV54">
        <f t="shared" si="173"/>
        <v>3</v>
      </c>
      <c r="AW54">
        <f t="shared" si="181"/>
        <v>3</v>
      </c>
      <c r="AX54">
        <f t="shared" si="189"/>
        <v>3</v>
      </c>
      <c r="AY54">
        <f t="shared" si="197"/>
        <v>3</v>
      </c>
      <c r="AZ54">
        <f t="shared" ref="AZ54:AZ85" si="205">AP34</f>
        <v>3</v>
      </c>
      <c r="BA54">
        <f t="shared" si="103"/>
        <v>3</v>
      </c>
      <c r="BB54">
        <v>11</v>
      </c>
      <c r="BC54">
        <f t="shared" si="141"/>
        <v>35</v>
      </c>
      <c r="BD54">
        <f t="shared" si="145"/>
        <v>26</v>
      </c>
      <c r="BE54">
        <f t="shared" si="150"/>
        <v>6</v>
      </c>
      <c r="BF54">
        <f t="shared" si="158"/>
        <v>13</v>
      </c>
      <c r="BG54">
        <f t="shared" si="166"/>
        <v>19</v>
      </c>
      <c r="BH54">
        <f t="shared" si="174"/>
        <v>13</v>
      </c>
      <c r="BI54">
        <f t="shared" si="182"/>
        <v>1</v>
      </c>
      <c r="BJ54">
        <f t="shared" si="190"/>
        <v>4</v>
      </c>
      <c r="BK54">
        <f t="shared" si="198"/>
        <v>30</v>
      </c>
      <c r="BL54">
        <f t="shared" ref="BL54:BL85" si="206">BB34</f>
        <v>31</v>
      </c>
      <c r="BM54">
        <f t="shared" si="104"/>
        <v>22</v>
      </c>
      <c r="BZ54" s="12">
        <f t="shared" si="110"/>
        <v>-4.2627272727272727</v>
      </c>
      <c r="CA54" s="12">
        <f t="shared" si="142"/>
        <v>-2.8028571428571274</v>
      </c>
      <c r="CB54" s="12">
        <f t="shared" si="146"/>
        <v>-9.4807692307692299</v>
      </c>
      <c r="CC54" s="12">
        <f t="shared" si="155"/>
        <v>-8.4900000000000855</v>
      </c>
      <c r="CD54" s="12">
        <f t="shared" si="163"/>
        <v>-4.418461538461508</v>
      </c>
      <c r="CE54" s="12">
        <f t="shared" si="171"/>
        <v>-2.7263157894736936</v>
      </c>
      <c r="CF54" s="12">
        <f t="shared" si="179"/>
        <v>-5.5061538461538406</v>
      </c>
      <c r="CG54" s="12">
        <f t="shared" si="187"/>
        <v>-45.970000000000255</v>
      </c>
      <c r="CH54" s="12">
        <f t="shared" si="195"/>
        <v>-7.7550000000001091</v>
      </c>
      <c r="CI54" s="12">
        <f t="shared" si="203"/>
        <v>-2.9149999999999938</v>
      </c>
      <c r="CJ54" s="12">
        <f t="shared" si="101"/>
        <v>-4.3461290322580508</v>
      </c>
      <c r="CK54" s="12">
        <f t="shared" si="109"/>
        <v>-3.2181818181818262</v>
      </c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>
        <f t="shared" si="111"/>
        <v>-76.797625950239862</v>
      </c>
      <c r="CY54" s="12">
        <f t="shared" si="112"/>
        <v>-70.364677549257877</v>
      </c>
      <c r="CZ54" s="12">
        <f t="shared" si="113"/>
        <v>-83.978894838902605</v>
      </c>
      <c r="DA54" s="12">
        <f t="shared" si="114"/>
        <v>-83.282332155660583</v>
      </c>
      <c r="DB54" s="12">
        <f t="shared" si="115"/>
        <v>-77.2474807185299</v>
      </c>
      <c r="DC54" s="12">
        <f t="shared" si="116"/>
        <v>-69.857196766957003</v>
      </c>
      <c r="DD54" s="12">
        <f t="shared" si="117"/>
        <v>-79.706424185299525</v>
      </c>
      <c r="DE54" s="12">
        <f t="shared" si="118"/>
        <v>-88.753823265309592</v>
      </c>
      <c r="DF54" s="12">
        <f t="shared" si="119"/>
        <v>-82.652309233171323</v>
      </c>
      <c r="DG54" s="12">
        <f t="shared" si="120"/>
        <v>-71.065305896787933</v>
      </c>
      <c r="DH54" s="12">
        <f t="shared" si="121"/>
        <v>-77.042348422403194</v>
      </c>
      <c r="DI54" s="12">
        <f t="shared" si="122"/>
        <v>-72.738179628387286</v>
      </c>
      <c r="DJ54" t="s">
        <v>22</v>
      </c>
      <c r="DK54" t="str">
        <f t="shared" si="143"/>
        <v>HL</v>
      </c>
      <c r="DL54" t="str">
        <f t="shared" si="147"/>
        <v>LL</v>
      </c>
      <c r="DM54" t="str">
        <f t="shared" si="151"/>
        <v>HL</v>
      </c>
      <c r="DN54" t="str">
        <f t="shared" si="159"/>
        <v>HL</v>
      </c>
      <c r="DO54" t="str">
        <f t="shared" si="167"/>
        <v>LL</v>
      </c>
      <c r="DP54" t="str">
        <f t="shared" si="175"/>
        <v>HL</v>
      </c>
      <c r="DQ54" t="str">
        <f t="shared" si="183"/>
        <v>LL</v>
      </c>
      <c r="DR54" t="str">
        <f t="shared" si="191"/>
        <v>LL</v>
      </c>
      <c r="DS54" t="str">
        <f t="shared" si="199"/>
        <v>HL</v>
      </c>
      <c r="DT54" t="str">
        <f t="shared" ref="DT54:DT85" si="207">DJ34</f>
        <v>HL</v>
      </c>
      <c r="DU54" t="str">
        <f t="shared" si="105"/>
        <v>HL</v>
      </c>
      <c r="DV54">
        <f t="shared" si="123"/>
        <v>-1.2561217963850764</v>
      </c>
      <c r="DW54">
        <f t="shared" si="124"/>
        <v>-2.2669425141321775</v>
      </c>
      <c r="DX54">
        <f t="shared" si="152"/>
        <v>1.7731211825958542</v>
      </c>
      <c r="DY54">
        <f t="shared" si="160"/>
        <v>0.15838337360878255</v>
      </c>
      <c r="DZ54">
        <f t="shared" si="168"/>
        <v>-2.7843711235776567</v>
      </c>
      <c r="EA54">
        <f t="shared" si="176"/>
        <v>-2.3890565244077728</v>
      </c>
      <c r="EB54">
        <f t="shared" si="184"/>
        <v>-3.7962648994115424</v>
      </c>
      <c r="EC54">
        <f t="shared" si="192"/>
        <v>-3.5786487194124792</v>
      </c>
      <c r="ED54">
        <f t="shared" si="200"/>
        <v>-3.571995759274432</v>
      </c>
      <c r="EE54">
        <f t="shared" ref="EE54:EE85" si="208">IFERROR(((P54-$F54)/$F54)*100,0)</f>
        <v>-5.135870614948117</v>
      </c>
      <c r="EF54">
        <f t="shared" si="106"/>
        <v>-5.4781761446310657</v>
      </c>
      <c r="EG54" s="13" t="str">
        <f t="shared" si="125"/>
        <v/>
      </c>
      <c r="EH54" s="13" t="str">
        <f t="shared" si="126"/>
        <v/>
      </c>
      <c r="EI54" s="13" t="str">
        <f t="shared" si="127"/>
        <v/>
      </c>
      <c r="EJ54" s="13" t="str">
        <f t="shared" si="128"/>
        <v/>
      </c>
      <c r="EK54" s="13" t="str">
        <f t="shared" si="129"/>
        <v/>
      </c>
      <c r="EL54" s="13" t="str">
        <f t="shared" si="130"/>
        <v/>
      </c>
      <c r="EM54" s="13" t="str">
        <f t="shared" si="131"/>
        <v/>
      </c>
      <c r="EN54" s="13" t="str">
        <f t="shared" si="132"/>
        <v/>
      </c>
      <c r="EO54" s="13" t="str">
        <f t="shared" si="133"/>
        <v/>
      </c>
      <c r="EP54" s="13" t="str">
        <f t="shared" si="134"/>
        <v/>
      </c>
      <c r="EQ54" s="13" t="str">
        <f t="shared" si="135"/>
        <v/>
      </c>
    </row>
    <row r="55" spans="1:147" ht="14.25" customHeight="1" x14ac:dyDescent="0.55000000000000004">
      <c r="A55">
        <v>1775485804</v>
      </c>
      <c r="B55" t="s">
        <v>16</v>
      </c>
      <c r="C55" t="s">
        <v>17</v>
      </c>
      <c r="D55">
        <v>4684.6499999999996</v>
      </c>
      <c r="E55" t="s">
        <v>20</v>
      </c>
      <c r="F55">
        <v>4697.83</v>
      </c>
      <c r="G55">
        <v>4706.47</v>
      </c>
      <c r="H55">
        <v>4699.1499999999996</v>
      </c>
      <c r="I55">
        <f t="shared" si="148"/>
        <v>4800.45</v>
      </c>
      <c r="J55">
        <f t="shared" si="156"/>
        <v>4793.1400000000003</v>
      </c>
      <c r="K55">
        <f t="shared" si="164"/>
        <v>4724.3999999999996</v>
      </c>
      <c r="L55">
        <f t="shared" si="172"/>
        <v>4581.6400000000003</v>
      </c>
      <c r="M55">
        <f t="shared" si="180"/>
        <v>4619.84</v>
      </c>
      <c r="N55">
        <f t="shared" si="188"/>
        <v>4528.66</v>
      </c>
      <c r="O55">
        <f t="shared" si="196"/>
        <v>4523.8500000000004</v>
      </c>
      <c r="P55">
        <f t="shared" si="204"/>
        <v>4580.59</v>
      </c>
      <c r="Q55">
        <f t="shared" si="102"/>
        <v>4555</v>
      </c>
      <c r="R55">
        <v>38.25</v>
      </c>
      <c r="S55">
        <f t="shared" si="136"/>
        <v>105.42000000000007</v>
      </c>
      <c r="T55">
        <f t="shared" si="137"/>
        <v>145.19999999999982</v>
      </c>
      <c r="U55">
        <f t="shared" si="153"/>
        <v>58.25</v>
      </c>
      <c r="V55">
        <f t="shared" si="161"/>
        <v>126.18000000000029</v>
      </c>
      <c r="W55">
        <f t="shared" si="169"/>
        <v>194.55999999999949</v>
      </c>
      <c r="X55">
        <f t="shared" si="177"/>
        <v>33.380000000000109</v>
      </c>
      <c r="Y55">
        <f t="shared" si="185"/>
        <v>137.15000000000055</v>
      </c>
      <c r="Z55">
        <f t="shared" si="193"/>
        <v>35.829999999999927</v>
      </c>
      <c r="AA55">
        <f t="shared" si="201"/>
        <v>30.710000000000036</v>
      </c>
      <c r="AB55">
        <f t="shared" ref="AB55:AB86" si="209">P55-P54</f>
        <v>160.31999999999971</v>
      </c>
      <c r="AC55">
        <f t="shared" si="107"/>
        <v>150.68000000000029</v>
      </c>
      <c r="AD55">
        <v>0.82</v>
      </c>
      <c r="AE55" s="14">
        <f t="shared" si="138"/>
        <v>2.2912161354473453</v>
      </c>
      <c r="AF55" s="14">
        <f t="shared" si="139"/>
        <v>3.188440804137064</v>
      </c>
      <c r="AG55" s="14">
        <f t="shared" si="154"/>
        <v>1.2283328412972883</v>
      </c>
      <c r="AH55" s="14">
        <f t="shared" si="162"/>
        <v>2.7036871968047786</v>
      </c>
      <c r="AI55" s="14">
        <f t="shared" si="170"/>
        <v>4.2950744397152985</v>
      </c>
      <c r="AJ55" s="14">
        <f t="shared" si="178"/>
        <v>0.7339070325794943</v>
      </c>
      <c r="AK55" s="14">
        <f t="shared" si="186"/>
        <v>3.0595468346015573</v>
      </c>
      <c r="AL55" s="14">
        <f t="shared" si="194"/>
        <v>0.79749289423369962</v>
      </c>
      <c r="AM55" s="14">
        <f t="shared" si="202"/>
        <v>0.68348638146151763</v>
      </c>
      <c r="AN55" s="14">
        <f t="shared" ref="AN55:AN86" si="210">(AB55/P54)*100</f>
        <v>3.6269277668558644</v>
      </c>
      <c r="AO55" s="14">
        <f t="shared" si="108"/>
        <v>3.4211864714643871</v>
      </c>
      <c r="AP55">
        <v>0</v>
      </c>
      <c r="AQ55">
        <f t="shared" si="140"/>
        <v>0</v>
      </c>
      <c r="AR55">
        <f t="shared" si="144"/>
        <v>0</v>
      </c>
      <c r="AS55">
        <f t="shared" si="149"/>
        <v>0</v>
      </c>
      <c r="AT55">
        <f t="shared" si="157"/>
        <v>0</v>
      </c>
      <c r="AU55">
        <f t="shared" si="165"/>
        <v>0</v>
      </c>
      <c r="AV55">
        <f t="shared" si="173"/>
        <v>0</v>
      </c>
      <c r="AW55">
        <f t="shared" si="181"/>
        <v>0</v>
      </c>
      <c r="AX55">
        <f t="shared" si="189"/>
        <v>0</v>
      </c>
      <c r="AY55">
        <f t="shared" si="197"/>
        <v>0</v>
      </c>
      <c r="AZ55">
        <f t="shared" si="205"/>
        <v>0</v>
      </c>
      <c r="BA55">
        <f t="shared" si="103"/>
        <v>0</v>
      </c>
      <c r="BB55">
        <v>9</v>
      </c>
      <c r="BC55">
        <f t="shared" si="141"/>
        <v>37</v>
      </c>
      <c r="BD55">
        <f t="shared" si="145"/>
        <v>34</v>
      </c>
      <c r="BE55">
        <f t="shared" si="150"/>
        <v>16</v>
      </c>
      <c r="BF55">
        <f t="shared" si="158"/>
        <v>51</v>
      </c>
      <c r="BG55">
        <f t="shared" si="166"/>
        <v>54</v>
      </c>
      <c r="BH55">
        <f t="shared" si="174"/>
        <v>3</v>
      </c>
      <c r="BI55">
        <f t="shared" si="182"/>
        <v>6</v>
      </c>
      <c r="BJ55">
        <f t="shared" si="190"/>
        <v>4</v>
      </c>
      <c r="BK55">
        <f t="shared" si="198"/>
        <v>7</v>
      </c>
      <c r="BL55">
        <f t="shared" si="206"/>
        <v>47</v>
      </c>
      <c r="BM55">
        <f t="shared" si="104"/>
        <v>17</v>
      </c>
      <c r="BZ55" s="12">
        <f t="shared" si="110"/>
        <v>4.25</v>
      </c>
      <c r="CA55" s="12">
        <f t="shared" si="142"/>
        <v>2.849189189189191</v>
      </c>
      <c r="CB55" s="12">
        <f t="shared" si="146"/>
        <v>4.2705882352941122</v>
      </c>
      <c r="CC55" s="12">
        <f t="shared" si="155"/>
        <v>3.640625</v>
      </c>
      <c r="CD55" s="12">
        <f t="shared" si="163"/>
        <v>2.4741176470588293</v>
      </c>
      <c r="CE55" s="12">
        <f t="shared" si="171"/>
        <v>3.6029629629629536</v>
      </c>
      <c r="CF55" s="12">
        <f t="shared" si="179"/>
        <v>11.126666666666702</v>
      </c>
      <c r="CG55" s="12">
        <f t="shared" si="187"/>
        <v>22.858333333333423</v>
      </c>
      <c r="CH55" s="12">
        <f t="shared" si="195"/>
        <v>8.9574999999999818</v>
      </c>
      <c r="CI55" s="12">
        <f t="shared" si="203"/>
        <v>4.3871428571428623</v>
      </c>
      <c r="CJ55" s="12">
        <f t="shared" ref="CJ55:CJ86" si="211">IFERROR(AB55/BL55,0)</f>
        <v>3.4110638297872278</v>
      </c>
      <c r="CK55" s="12">
        <f t="shared" si="109"/>
        <v>8.8635294117647234</v>
      </c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>
        <f t="shared" si="111"/>
        <v>76.759480084812793</v>
      </c>
      <c r="CY55" s="12">
        <f t="shared" si="112"/>
        <v>70.6600977040994</v>
      </c>
      <c r="CZ55" s="12">
        <f t="shared" si="113"/>
        <v>76.821078963950583</v>
      </c>
      <c r="DA55" s="12">
        <f t="shared" si="114"/>
        <v>74.64089633032458</v>
      </c>
      <c r="DB55" s="12">
        <f t="shared" si="115"/>
        <v>67.992204644225694</v>
      </c>
      <c r="DC55" s="12">
        <f t="shared" si="116"/>
        <v>74.488040554358946</v>
      </c>
      <c r="DD55" s="12">
        <f t="shared" si="117"/>
        <v>84.8643867726568</v>
      </c>
      <c r="DE55" s="12">
        <f t="shared" si="118"/>
        <v>87.495037433357894</v>
      </c>
      <c r="DF55" s="12">
        <f t="shared" si="119"/>
        <v>83.629973103427346</v>
      </c>
      <c r="DG55" s="12">
        <f t="shared" si="120"/>
        <v>77.15945139645865</v>
      </c>
      <c r="DH55" s="12">
        <f t="shared" si="121"/>
        <v>73.66077954694002</v>
      </c>
      <c r="DI55" s="12">
        <f t="shared" si="122"/>
        <v>83.563002379889127</v>
      </c>
      <c r="DJ55" t="s">
        <v>21</v>
      </c>
      <c r="DK55" t="str">
        <f t="shared" si="143"/>
        <v>HH</v>
      </c>
      <c r="DL55" t="str">
        <f t="shared" si="147"/>
        <v>LH</v>
      </c>
      <c r="DM55" t="str">
        <f t="shared" si="151"/>
        <v>HH</v>
      </c>
      <c r="DN55" t="str">
        <f t="shared" si="159"/>
        <v>HH</v>
      </c>
      <c r="DO55" t="str">
        <f t="shared" si="167"/>
        <v>HH</v>
      </c>
      <c r="DP55" t="str">
        <f t="shared" si="175"/>
        <v>LH</v>
      </c>
      <c r="DQ55" t="str">
        <f t="shared" si="183"/>
        <v>HH</v>
      </c>
      <c r="DR55" t="str">
        <f t="shared" si="191"/>
        <v>HH</v>
      </c>
      <c r="DS55" t="str">
        <f t="shared" si="199"/>
        <v>LH</v>
      </c>
      <c r="DT55" t="str">
        <f t="shared" si="207"/>
        <v>HH</v>
      </c>
      <c r="DU55" t="str">
        <f t="shared" si="105"/>
        <v>HH</v>
      </c>
      <c r="DV55">
        <f t="shared" si="123"/>
        <v>0.18391470104282887</v>
      </c>
      <c r="DW55">
        <f t="shared" si="124"/>
        <v>2.8098079325980487E-2</v>
      </c>
      <c r="DX55">
        <f t="shared" si="152"/>
        <v>2.184412803358144</v>
      </c>
      <c r="DY55">
        <f t="shared" si="160"/>
        <v>2.0288090458786376</v>
      </c>
      <c r="DZ55">
        <f t="shared" si="168"/>
        <v>0.56558027855413473</v>
      </c>
      <c r="EA55">
        <f t="shared" si="176"/>
        <v>-2.4732695733987735</v>
      </c>
      <c r="EB55">
        <f t="shared" si="184"/>
        <v>-1.6601281868437081</v>
      </c>
      <c r="EC55">
        <f t="shared" si="192"/>
        <v>-3.6010243027099764</v>
      </c>
      <c r="ED55">
        <f t="shared" si="200"/>
        <v>-3.7034120008599625</v>
      </c>
      <c r="EE55">
        <f t="shared" si="208"/>
        <v>-2.4956203183171759</v>
      </c>
      <c r="EF55">
        <f t="shared" si="106"/>
        <v>-3.0403399016141481</v>
      </c>
      <c r="EG55" s="13" t="str">
        <f t="shared" si="125"/>
        <v/>
      </c>
      <c r="EH55" s="13" t="str">
        <f t="shared" si="126"/>
        <v>EQH</v>
      </c>
      <c r="EI55" s="13" t="str">
        <f t="shared" si="127"/>
        <v/>
      </c>
      <c r="EJ55" s="13" t="str">
        <f t="shared" si="128"/>
        <v/>
      </c>
      <c r="EK55" s="13" t="str">
        <f t="shared" si="129"/>
        <v/>
      </c>
      <c r="EL55" s="13" t="str">
        <f t="shared" si="130"/>
        <v/>
      </c>
      <c r="EM55" s="13" t="str">
        <f t="shared" si="131"/>
        <v/>
      </c>
      <c r="EN55" s="13" t="str">
        <f t="shared" si="132"/>
        <v/>
      </c>
      <c r="EO55" s="13" t="str">
        <f t="shared" si="133"/>
        <v/>
      </c>
      <c r="EP55" s="13" t="str">
        <f t="shared" si="134"/>
        <v/>
      </c>
      <c r="EQ55" s="13" t="str">
        <f t="shared" si="135"/>
        <v/>
      </c>
    </row>
    <row r="56" spans="1:147" ht="14.25" customHeight="1" x14ac:dyDescent="0.55000000000000004">
      <c r="A56">
        <v>1775502904</v>
      </c>
      <c r="B56" t="s">
        <v>16</v>
      </c>
      <c r="C56" t="s">
        <v>17</v>
      </c>
      <c r="D56">
        <v>4650.38</v>
      </c>
      <c r="E56" t="s">
        <v>18</v>
      </c>
      <c r="F56">
        <v>4645.75</v>
      </c>
      <c r="G56">
        <v>4659.58</v>
      </c>
      <c r="H56">
        <v>4601.05</v>
      </c>
      <c r="I56">
        <f t="shared" si="148"/>
        <v>4553.95</v>
      </c>
      <c r="J56">
        <f t="shared" si="156"/>
        <v>4742.2</v>
      </c>
      <c r="K56">
        <f t="shared" si="164"/>
        <v>4666.96</v>
      </c>
      <c r="L56">
        <f t="shared" si="172"/>
        <v>4529.84</v>
      </c>
      <c r="M56">
        <f t="shared" si="180"/>
        <v>4548.26</v>
      </c>
      <c r="N56">
        <f t="shared" si="188"/>
        <v>4482.6899999999996</v>
      </c>
      <c r="O56">
        <f t="shared" si="196"/>
        <v>4492.83</v>
      </c>
      <c r="P56">
        <f t="shared" si="204"/>
        <v>4493.1400000000003</v>
      </c>
      <c r="Q56">
        <f t="shared" ref="Q56:Q87" si="212">F34</f>
        <v>4420.2700000000004</v>
      </c>
      <c r="R56">
        <v>-52.08</v>
      </c>
      <c r="S56">
        <f t="shared" si="136"/>
        <v>-46.890000000000327</v>
      </c>
      <c r="T56">
        <f t="shared" si="137"/>
        <v>-98.099999999999454</v>
      </c>
      <c r="U56">
        <f t="shared" si="153"/>
        <v>-246.5</v>
      </c>
      <c r="V56">
        <f t="shared" si="161"/>
        <v>-50.940000000000509</v>
      </c>
      <c r="W56">
        <f t="shared" si="169"/>
        <v>-57.4399999999996</v>
      </c>
      <c r="X56">
        <f t="shared" si="177"/>
        <v>-51.800000000000182</v>
      </c>
      <c r="Y56">
        <f t="shared" si="185"/>
        <v>-71.579999999999927</v>
      </c>
      <c r="Z56">
        <f t="shared" si="193"/>
        <v>-45.970000000000255</v>
      </c>
      <c r="AA56">
        <f t="shared" si="201"/>
        <v>-31.020000000000437</v>
      </c>
      <c r="AB56">
        <f t="shared" si="209"/>
        <v>-87.449999999999818</v>
      </c>
      <c r="AC56">
        <f t="shared" si="107"/>
        <v>-134.72999999999956</v>
      </c>
      <c r="AD56">
        <v>-1.1100000000000001</v>
      </c>
      <c r="AE56" s="14">
        <f t="shared" si="138"/>
        <v>-0.99628808852495232</v>
      </c>
      <c r="AF56" s="14">
        <f t="shared" si="139"/>
        <v>-2.0876115893299736</v>
      </c>
      <c r="AG56" s="14">
        <f t="shared" si="154"/>
        <v>-5.1349352664854342</v>
      </c>
      <c r="AH56" s="14">
        <f t="shared" si="162"/>
        <v>-1.0627688738488861</v>
      </c>
      <c r="AI56" s="14">
        <f t="shared" si="170"/>
        <v>-1.2158157649648549</v>
      </c>
      <c r="AJ56" s="14">
        <f t="shared" si="178"/>
        <v>-1.1305995233147994</v>
      </c>
      <c r="AK56" s="14">
        <f t="shared" si="186"/>
        <v>-1.5494043083743143</v>
      </c>
      <c r="AL56" s="14">
        <f t="shared" si="194"/>
        <v>-1.0150905565884887</v>
      </c>
      <c r="AM56" s="14">
        <f t="shared" si="202"/>
        <v>-0.68569912795518051</v>
      </c>
      <c r="AN56" s="14">
        <f t="shared" si="210"/>
        <v>-1.909142708690361</v>
      </c>
      <c r="AO56" s="14">
        <f t="shared" si="108"/>
        <v>-2.9578485181119554</v>
      </c>
      <c r="AP56">
        <v>3</v>
      </c>
      <c r="AQ56">
        <f t="shared" si="140"/>
        <v>3</v>
      </c>
      <c r="AR56">
        <f t="shared" si="144"/>
        <v>3</v>
      </c>
      <c r="AS56">
        <f t="shared" si="149"/>
        <v>3</v>
      </c>
      <c r="AT56">
        <f t="shared" si="157"/>
        <v>3</v>
      </c>
      <c r="AU56">
        <f t="shared" si="165"/>
        <v>3</v>
      </c>
      <c r="AV56">
        <f t="shared" si="173"/>
        <v>3</v>
      </c>
      <c r="AW56">
        <f t="shared" si="181"/>
        <v>3</v>
      </c>
      <c r="AX56">
        <f t="shared" si="189"/>
        <v>3</v>
      </c>
      <c r="AY56">
        <f t="shared" si="197"/>
        <v>3</v>
      </c>
      <c r="AZ56">
        <f t="shared" si="205"/>
        <v>3</v>
      </c>
      <c r="BA56">
        <f t="shared" ref="BA56:BA87" si="213">AP34</f>
        <v>3</v>
      </c>
      <c r="BB56">
        <v>19</v>
      </c>
      <c r="BC56">
        <f t="shared" si="141"/>
        <v>11</v>
      </c>
      <c r="BD56">
        <f t="shared" si="145"/>
        <v>35</v>
      </c>
      <c r="BE56">
        <f t="shared" si="150"/>
        <v>26</v>
      </c>
      <c r="BF56">
        <f t="shared" si="158"/>
        <v>6</v>
      </c>
      <c r="BG56">
        <f t="shared" si="166"/>
        <v>13</v>
      </c>
      <c r="BH56">
        <f t="shared" si="174"/>
        <v>19</v>
      </c>
      <c r="BI56">
        <f t="shared" si="182"/>
        <v>13</v>
      </c>
      <c r="BJ56">
        <f t="shared" si="190"/>
        <v>1</v>
      </c>
      <c r="BK56">
        <f t="shared" si="198"/>
        <v>4</v>
      </c>
      <c r="BL56">
        <f t="shared" si="206"/>
        <v>30</v>
      </c>
      <c r="BM56">
        <f t="shared" ref="BM56:BM87" si="214">BB34</f>
        <v>31</v>
      </c>
      <c r="BZ56" s="12">
        <f t="shared" si="110"/>
        <v>-2.7410526315789472</v>
      </c>
      <c r="CA56" s="12">
        <f t="shared" si="142"/>
        <v>-4.2627272727273029</v>
      </c>
      <c r="CB56" s="12">
        <f t="shared" si="146"/>
        <v>-2.8028571428571274</v>
      </c>
      <c r="CC56" s="12">
        <f t="shared" si="155"/>
        <v>-9.4807692307692299</v>
      </c>
      <c r="CD56" s="12">
        <f t="shared" si="163"/>
        <v>-8.4900000000000855</v>
      </c>
      <c r="CE56" s="12">
        <f t="shared" si="171"/>
        <v>-4.418461538461508</v>
      </c>
      <c r="CF56" s="12">
        <f t="shared" si="179"/>
        <v>-2.7263157894736936</v>
      </c>
      <c r="CG56" s="12">
        <f t="shared" si="187"/>
        <v>-5.5061538461538406</v>
      </c>
      <c r="CH56" s="12">
        <f t="shared" si="195"/>
        <v>-45.970000000000255</v>
      </c>
      <c r="CI56" s="12">
        <f t="shared" si="203"/>
        <v>-7.7550000000001091</v>
      </c>
      <c r="CJ56" s="12">
        <f t="shared" si="211"/>
        <v>-2.9149999999999938</v>
      </c>
      <c r="CK56" s="12">
        <f t="shared" si="109"/>
        <v>-4.3461290322580508</v>
      </c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>
        <f t="shared" si="111"/>
        <v>-69.95684984012955</v>
      </c>
      <c r="CY56" s="12">
        <f t="shared" si="112"/>
        <v>-76.797625950239947</v>
      </c>
      <c r="CZ56" s="12">
        <f t="shared" si="113"/>
        <v>-70.364677549257877</v>
      </c>
      <c r="DA56" s="12">
        <f t="shared" si="114"/>
        <v>-83.978894838902605</v>
      </c>
      <c r="DB56" s="12">
        <f t="shared" si="115"/>
        <v>-83.282332155660583</v>
      </c>
      <c r="DC56" s="12">
        <f t="shared" si="116"/>
        <v>-77.2474807185299</v>
      </c>
      <c r="DD56" s="12">
        <f t="shared" si="117"/>
        <v>-69.857196766957003</v>
      </c>
      <c r="DE56" s="12">
        <f t="shared" si="118"/>
        <v>-79.706424185299525</v>
      </c>
      <c r="DF56" s="12">
        <f t="shared" si="119"/>
        <v>-88.753823265309592</v>
      </c>
      <c r="DG56" s="12">
        <f t="shared" si="120"/>
        <v>-82.652309233171323</v>
      </c>
      <c r="DH56" s="12">
        <f t="shared" si="121"/>
        <v>-71.065305896787933</v>
      </c>
      <c r="DI56" s="12">
        <f t="shared" si="122"/>
        <v>-77.042348422403194</v>
      </c>
      <c r="DJ56" t="s">
        <v>19</v>
      </c>
      <c r="DK56" t="str">
        <f t="shared" si="143"/>
        <v>HL</v>
      </c>
      <c r="DL56" t="str">
        <f t="shared" si="147"/>
        <v>HL</v>
      </c>
      <c r="DM56" t="str">
        <f t="shared" si="151"/>
        <v>LL</v>
      </c>
      <c r="DN56" t="str">
        <f t="shared" si="159"/>
        <v>HL</v>
      </c>
      <c r="DO56" t="str">
        <f t="shared" si="167"/>
        <v>HL</v>
      </c>
      <c r="DP56" t="str">
        <f t="shared" si="175"/>
        <v>LL</v>
      </c>
      <c r="DQ56" t="str">
        <f t="shared" si="183"/>
        <v>HL</v>
      </c>
      <c r="DR56" t="str">
        <f t="shared" si="191"/>
        <v>LL</v>
      </c>
      <c r="DS56" t="str">
        <f t="shared" si="199"/>
        <v>LL</v>
      </c>
      <c r="DT56" t="str">
        <f t="shared" si="207"/>
        <v>HL</v>
      </c>
      <c r="DU56" t="str">
        <f t="shared" ref="DU56:DU87" si="215">DJ34</f>
        <v>HL</v>
      </c>
      <c r="DV56">
        <f t="shared" si="123"/>
        <v>0.29769143841144979</v>
      </c>
      <c r="DW56">
        <f t="shared" si="124"/>
        <v>-0.96216972501748521</v>
      </c>
      <c r="DX56">
        <f t="shared" si="152"/>
        <v>-1.9759995694990085</v>
      </c>
      <c r="DY56">
        <f t="shared" si="160"/>
        <v>2.0760910509605512</v>
      </c>
      <c r="DZ56">
        <f t="shared" si="168"/>
        <v>0.45654630576333283</v>
      </c>
      <c r="EA56">
        <f t="shared" si="176"/>
        <v>-2.4949685196146985</v>
      </c>
      <c r="EB56">
        <f t="shared" si="184"/>
        <v>-2.0984771027282951</v>
      </c>
      <c r="EC56">
        <f t="shared" si="192"/>
        <v>-3.5098746165850598</v>
      </c>
      <c r="ED56">
        <f t="shared" si="200"/>
        <v>-3.2916106118495416</v>
      </c>
      <c r="EE56">
        <f t="shared" si="208"/>
        <v>-3.2849378464187633</v>
      </c>
      <c r="EF56">
        <f t="shared" ref="EF56:EF87" si="216">IFERROR(((Q56-$F56)/$F56)*100,0)</f>
        <v>-4.8534682236452573</v>
      </c>
      <c r="EG56" s="13" t="str">
        <f t="shared" si="125"/>
        <v/>
      </c>
      <c r="EH56" s="13" t="str">
        <f t="shared" si="126"/>
        <v/>
      </c>
      <c r="EI56" s="13" t="str">
        <f t="shared" si="127"/>
        <v/>
      </c>
      <c r="EJ56" s="13" t="str">
        <f t="shared" si="128"/>
        <v/>
      </c>
      <c r="EK56" s="13" t="str">
        <f t="shared" si="129"/>
        <v/>
      </c>
      <c r="EL56" s="13" t="str">
        <f t="shared" si="130"/>
        <v/>
      </c>
      <c r="EM56" s="13" t="str">
        <f t="shared" si="131"/>
        <v/>
      </c>
      <c r="EN56" s="13" t="str">
        <f t="shared" si="132"/>
        <v/>
      </c>
      <c r="EO56" s="13" t="str">
        <f t="shared" si="133"/>
        <v/>
      </c>
      <c r="EP56" s="13" t="str">
        <f t="shared" si="134"/>
        <v/>
      </c>
      <c r="EQ56" s="13" t="str">
        <f t="shared" si="135"/>
        <v/>
      </c>
    </row>
    <row r="57" spans="1:147" ht="14.25" customHeight="1" x14ac:dyDescent="0.55000000000000004">
      <c r="A57">
        <v>1775512804</v>
      </c>
      <c r="B57" t="s">
        <v>16</v>
      </c>
      <c r="C57" t="s">
        <v>17</v>
      </c>
      <c r="D57">
        <v>4663.66</v>
      </c>
      <c r="E57" t="s">
        <v>20</v>
      </c>
      <c r="F57">
        <v>4667.87</v>
      </c>
      <c r="G57">
        <v>4697.83</v>
      </c>
      <c r="H57">
        <v>4706.47</v>
      </c>
      <c r="I57">
        <f t="shared" si="148"/>
        <v>4699.1499999999996</v>
      </c>
      <c r="J57">
        <f t="shared" si="156"/>
        <v>4800.45</v>
      </c>
      <c r="K57">
        <f t="shared" si="164"/>
        <v>4793.1400000000003</v>
      </c>
      <c r="L57">
        <f t="shared" si="172"/>
        <v>4724.3999999999996</v>
      </c>
      <c r="M57">
        <f t="shared" si="180"/>
        <v>4581.6400000000003</v>
      </c>
      <c r="N57">
        <f t="shared" si="188"/>
        <v>4619.84</v>
      </c>
      <c r="O57">
        <f t="shared" si="196"/>
        <v>4528.66</v>
      </c>
      <c r="P57">
        <f t="shared" si="204"/>
        <v>4523.8500000000004</v>
      </c>
      <c r="Q57">
        <f t="shared" si="212"/>
        <v>4580.59</v>
      </c>
      <c r="R57">
        <v>22.12</v>
      </c>
      <c r="S57">
        <f t="shared" si="136"/>
        <v>38.25</v>
      </c>
      <c r="T57">
        <f t="shared" si="137"/>
        <v>105.42000000000007</v>
      </c>
      <c r="U57">
        <f t="shared" si="153"/>
        <v>145.19999999999982</v>
      </c>
      <c r="V57">
        <f t="shared" si="161"/>
        <v>58.25</v>
      </c>
      <c r="W57">
        <f t="shared" si="169"/>
        <v>126.18000000000029</v>
      </c>
      <c r="X57">
        <f t="shared" si="177"/>
        <v>194.55999999999949</v>
      </c>
      <c r="Y57">
        <f t="shared" si="185"/>
        <v>33.380000000000109</v>
      </c>
      <c r="Z57">
        <f t="shared" si="193"/>
        <v>137.15000000000055</v>
      </c>
      <c r="AA57">
        <f t="shared" si="201"/>
        <v>35.829999999999927</v>
      </c>
      <c r="AB57">
        <f t="shared" si="209"/>
        <v>30.710000000000036</v>
      </c>
      <c r="AC57">
        <f t="shared" ref="AC57:AC88" si="217">Q57-Q56</f>
        <v>160.31999999999971</v>
      </c>
      <c r="AD57">
        <v>0.48</v>
      </c>
      <c r="AE57" s="14">
        <f t="shared" si="138"/>
        <v>0.82088943638697043</v>
      </c>
      <c r="AF57" s="14">
        <f t="shared" si="139"/>
        <v>2.2912161354473453</v>
      </c>
      <c r="AG57" s="14">
        <f t="shared" si="154"/>
        <v>3.188440804137064</v>
      </c>
      <c r="AH57" s="14">
        <f t="shared" si="162"/>
        <v>1.2283328412972883</v>
      </c>
      <c r="AI57" s="14">
        <f t="shared" si="170"/>
        <v>2.7036871968047786</v>
      </c>
      <c r="AJ57" s="14">
        <f t="shared" si="178"/>
        <v>4.2950744397152985</v>
      </c>
      <c r="AK57" s="14">
        <f t="shared" si="186"/>
        <v>0.7339070325794943</v>
      </c>
      <c r="AL57" s="14">
        <f t="shared" si="194"/>
        <v>3.0595468346015573</v>
      </c>
      <c r="AM57" s="14">
        <f t="shared" si="202"/>
        <v>0.79749289423369962</v>
      </c>
      <c r="AN57" s="14">
        <f t="shared" si="210"/>
        <v>0.68348638146151763</v>
      </c>
      <c r="AO57" s="14">
        <f t="shared" ref="AO57:AO88" si="218">(AC57/Q56)*100</f>
        <v>3.6269277668558644</v>
      </c>
      <c r="AP57">
        <v>0</v>
      </c>
      <c r="AQ57">
        <f t="shared" si="140"/>
        <v>0</v>
      </c>
      <c r="AR57">
        <f t="shared" si="144"/>
        <v>0</v>
      </c>
      <c r="AS57">
        <f t="shared" si="149"/>
        <v>0</v>
      </c>
      <c r="AT57">
        <f t="shared" si="157"/>
        <v>0</v>
      </c>
      <c r="AU57">
        <f t="shared" si="165"/>
        <v>0</v>
      </c>
      <c r="AV57">
        <f t="shared" si="173"/>
        <v>0</v>
      </c>
      <c r="AW57">
        <f t="shared" si="181"/>
        <v>0</v>
      </c>
      <c r="AX57">
        <f t="shared" si="189"/>
        <v>0</v>
      </c>
      <c r="AY57">
        <f t="shared" si="197"/>
        <v>0</v>
      </c>
      <c r="AZ57">
        <f t="shared" si="205"/>
        <v>0</v>
      </c>
      <c r="BA57">
        <f t="shared" si="213"/>
        <v>0</v>
      </c>
      <c r="BB57">
        <v>7</v>
      </c>
      <c r="BC57">
        <f t="shared" si="141"/>
        <v>9</v>
      </c>
      <c r="BD57">
        <f t="shared" si="145"/>
        <v>37</v>
      </c>
      <c r="BE57">
        <f t="shared" si="150"/>
        <v>34</v>
      </c>
      <c r="BF57">
        <f t="shared" si="158"/>
        <v>16</v>
      </c>
      <c r="BG57">
        <f t="shared" si="166"/>
        <v>51</v>
      </c>
      <c r="BH57">
        <f t="shared" si="174"/>
        <v>54</v>
      </c>
      <c r="BI57">
        <f t="shared" si="182"/>
        <v>3</v>
      </c>
      <c r="BJ57">
        <f t="shared" si="190"/>
        <v>6</v>
      </c>
      <c r="BK57">
        <f t="shared" si="198"/>
        <v>4</v>
      </c>
      <c r="BL57">
        <f t="shared" si="206"/>
        <v>7</v>
      </c>
      <c r="BM57">
        <f t="shared" si="214"/>
        <v>47</v>
      </c>
      <c r="BZ57" s="12">
        <f t="shared" si="110"/>
        <v>3.16</v>
      </c>
      <c r="CA57" s="12">
        <f t="shared" si="142"/>
        <v>4.25</v>
      </c>
      <c r="CB57" s="12">
        <f t="shared" si="146"/>
        <v>2.849189189189191</v>
      </c>
      <c r="CC57" s="12">
        <f t="shared" si="155"/>
        <v>4.2705882352941122</v>
      </c>
      <c r="CD57" s="12">
        <f t="shared" si="163"/>
        <v>3.640625</v>
      </c>
      <c r="CE57" s="12">
        <f t="shared" si="171"/>
        <v>2.4741176470588293</v>
      </c>
      <c r="CF57" s="12">
        <f t="shared" si="179"/>
        <v>3.6029629629629536</v>
      </c>
      <c r="CG57" s="12">
        <f t="shared" si="187"/>
        <v>11.126666666666702</v>
      </c>
      <c r="CH57" s="12">
        <f t="shared" si="195"/>
        <v>22.858333333333423</v>
      </c>
      <c r="CI57" s="12">
        <f t="shared" si="203"/>
        <v>8.9574999999999818</v>
      </c>
      <c r="CJ57" s="12">
        <f t="shared" si="211"/>
        <v>4.3871428571428623</v>
      </c>
      <c r="CK57" s="12">
        <f t="shared" ref="CK57:CK88" si="219">IFERROR(AC57/BM57,0)</f>
        <v>3.4110638297872278</v>
      </c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>
        <f t="shared" si="111"/>
        <v>72.439727948199319</v>
      </c>
      <c r="CY57" s="12">
        <f t="shared" si="112"/>
        <v>76.759480084812793</v>
      </c>
      <c r="CZ57" s="12">
        <f t="shared" si="113"/>
        <v>70.6600977040994</v>
      </c>
      <c r="DA57" s="12">
        <f t="shared" si="114"/>
        <v>76.821078963950583</v>
      </c>
      <c r="DB57" s="12">
        <f t="shared" si="115"/>
        <v>74.64089633032458</v>
      </c>
      <c r="DC57" s="12">
        <f t="shared" si="116"/>
        <v>67.992204644225694</v>
      </c>
      <c r="DD57" s="12">
        <f t="shared" si="117"/>
        <v>74.488040554358946</v>
      </c>
      <c r="DE57" s="12">
        <f t="shared" si="118"/>
        <v>84.8643867726568</v>
      </c>
      <c r="DF57" s="12">
        <f t="shared" si="119"/>
        <v>87.495037433357894</v>
      </c>
      <c r="DG57" s="12">
        <f t="shared" si="120"/>
        <v>83.629973103427346</v>
      </c>
      <c r="DH57" s="12">
        <f t="shared" si="121"/>
        <v>77.15945139645865</v>
      </c>
      <c r="DI57" s="12">
        <f t="shared" si="122"/>
        <v>73.66077954694002</v>
      </c>
      <c r="DJ57" t="s">
        <v>21</v>
      </c>
      <c r="DK57" t="str">
        <f t="shared" si="143"/>
        <v>LH</v>
      </c>
      <c r="DL57" t="str">
        <f t="shared" si="147"/>
        <v>HH</v>
      </c>
      <c r="DM57" t="str">
        <f t="shared" si="151"/>
        <v>LH</v>
      </c>
      <c r="DN57" t="str">
        <f t="shared" si="159"/>
        <v>HH</v>
      </c>
      <c r="DO57" t="str">
        <f t="shared" si="167"/>
        <v>HH</v>
      </c>
      <c r="DP57" t="str">
        <f t="shared" si="175"/>
        <v>HH</v>
      </c>
      <c r="DQ57" t="str">
        <f t="shared" si="183"/>
        <v>LH</v>
      </c>
      <c r="DR57" t="str">
        <f t="shared" si="191"/>
        <v>HH</v>
      </c>
      <c r="DS57" t="str">
        <f t="shared" si="199"/>
        <v>HH</v>
      </c>
      <c r="DT57" t="str">
        <f t="shared" si="207"/>
        <v>LH</v>
      </c>
      <c r="DU57" t="str">
        <f t="shared" si="215"/>
        <v>HH</v>
      </c>
      <c r="DV57">
        <f t="shared" si="123"/>
        <v>0.64183449839005879</v>
      </c>
      <c r="DW57">
        <f t="shared" si="124"/>
        <v>0.82692962743179144</v>
      </c>
      <c r="DX57">
        <f t="shared" si="152"/>
        <v>0.67011292088253838</v>
      </c>
      <c r="DY57">
        <f t="shared" si="160"/>
        <v>2.8402676167074046</v>
      </c>
      <c r="DZ57">
        <f t="shared" si="168"/>
        <v>2.6836651406316037</v>
      </c>
      <c r="EA57">
        <f t="shared" si="176"/>
        <v>1.2110448662880446</v>
      </c>
      <c r="EB57">
        <f t="shared" si="184"/>
        <v>-1.8473093723689726</v>
      </c>
      <c r="EC57">
        <f t="shared" si="192"/>
        <v>-1.0289489638743099</v>
      </c>
      <c r="ED57">
        <f t="shared" si="200"/>
        <v>-2.9823024205901203</v>
      </c>
      <c r="EE57">
        <f t="shared" si="208"/>
        <v>-3.0853472783089404</v>
      </c>
      <c r="EF57">
        <f t="shared" si="216"/>
        <v>-1.8698035720789086</v>
      </c>
      <c r="EG57" s="13" t="str">
        <f t="shared" si="125"/>
        <v/>
      </c>
      <c r="EH57" s="13" t="str">
        <f t="shared" si="126"/>
        <v/>
      </c>
      <c r="EI57" s="13" t="str">
        <f t="shared" si="127"/>
        <v/>
      </c>
      <c r="EJ57" s="13" t="str">
        <f t="shared" si="128"/>
        <v/>
      </c>
      <c r="EK57" s="13" t="str">
        <f t="shared" si="129"/>
        <v/>
      </c>
      <c r="EL57" s="13" t="str">
        <f t="shared" si="130"/>
        <v/>
      </c>
      <c r="EM57" s="13" t="str">
        <f t="shared" si="131"/>
        <v/>
      </c>
      <c r="EN57" s="13" t="str">
        <f t="shared" si="132"/>
        <v/>
      </c>
      <c r="EO57" s="13" t="str">
        <f t="shared" si="133"/>
        <v/>
      </c>
      <c r="EP57" s="13" t="str">
        <f t="shared" si="134"/>
        <v/>
      </c>
      <c r="EQ57" s="13" t="str">
        <f t="shared" si="135"/>
        <v/>
      </c>
    </row>
    <row r="58" spans="1:147" ht="14.25" customHeight="1" x14ac:dyDescent="0.55000000000000004">
      <c r="A58">
        <v>1775526304</v>
      </c>
      <c r="B58" t="s">
        <v>16</v>
      </c>
      <c r="C58" t="s">
        <v>17</v>
      </c>
      <c r="D58">
        <v>4627.1400000000003</v>
      </c>
      <c r="E58" t="s">
        <v>18</v>
      </c>
      <c r="F58">
        <v>4616.5</v>
      </c>
      <c r="G58">
        <v>4645.75</v>
      </c>
      <c r="H58">
        <v>4659.58</v>
      </c>
      <c r="I58">
        <f t="shared" si="148"/>
        <v>4601.05</v>
      </c>
      <c r="J58">
        <f t="shared" si="156"/>
        <v>4553.95</v>
      </c>
      <c r="K58">
        <f t="shared" si="164"/>
        <v>4742.2</v>
      </c>
      <c r="L58">
        <f t="shared" si="172"/>
        <v>4666.96</v>
      </c>
      <c r="M58">
        <f t="shared" si="180"/>
        <v>4529.84</v>
      </c>
      <c r="N58">
        <f t="shared" si="188"/>
        <v>4548.26</v>
      </c>
      <c r="O58">
        <f t="shared" si="196"/>
        <v>4482.6899999999996</v>
      </c>
      <c r="P58">
        <f t="shared" si="204"/>
        <v>4492.83</v>
      </c>
      <c r="Q58">
        <f t="shared" si="212"/>
        <v>4493.1400000000003</v>
      </c>
      <c r="R58">
        <v>-51.37</v>
      </c>
      <c r="S58">
        <f t="shared" si="136"/>
        <v>-52.079999999999927</v>
      </c>
      <c r="T58">
        <f t="shared" si="137"/>
        <v>-46.890000000000327</v>
      </c>
      <c r="U58">
        <f t="shared" si="153"/>
        <v>-98.099999999999454</v>
      </c>
      <c r="V58">
        <f t="shared" si="161"/>
        <v>-246.5</v>
      </c>
      <c r="W58">
        <f t="shared" si="169"/>
        <v>-50.940000000000509</v>
      </c>
      <c r="X58">
        <f t="shared" si="177"/>
        <v>-57.4399999999996</v>
      </c>
      <c r="Y58">
        <f t="shared" si="185"/>
        <v>-51.800000000000182</v>
      </c>
      <c r="Z58">
        <f t="shared" si="193"/>
        <v>-71.579999999999927</v>
      </c>
      <c r="AA58">
        <f t="shared" si="201"/>
        <v>-45.970000000000255</v>
      </c>
      <c r="AB58">
        <f t="shared" si="209"/>
        <v>-31.020000000000437</v>
      </c>
      <c r="AC58">
        <f t="shared" si="217"/>
        <v>-87.449999999999818</v>
      </c>
      <c r="AD58">
        <v>-1.1000000000000001</v>
      </c>
      <c r="AE58" s="14">
        <f t="shared" si="138"/>
        <v>-1.1085969479525637</v>
      </c>
      <c r="AF58" s="14">
        <f t="shared" si="139"/>
        <v>-0.99628808852495232</v>
      </c>
      <c r="AG58" s="14">
        <f t="shared" si="154"/>
        <v>-2.0876115893299736</v>
      </c>
      <c r="AH58" s="14">
        <f t="shared" si="162"/>
        <v>-5.1349352664854342</v>
      </c>
      <c r="AI58" s="14">
        <f t="shared" si="170"/>
        <v>-1.0627688738488861</v>
      </c>
      <c r="AJ58" s="14">
        <f t="shared" si="178"/>
        <v>-1.2158157649648549</v>
      </c>
      <c r="AK58" s="14">
        <f t="shared" si="186"/>
        <v>-1.1305995233147994</v>
      </c>
      <c r="AL58" s="14">
        <f t="shared" si="194"/>
        <v>-1.5494043083743143</v>
      </c>
      <c r="AM58" s="14">
        <f t="shared" si="202"/>
        <v>-1.0150905565884887</v>
      </c>
      <c r="AN58" s="14">
        <f t="shared" si="210"/>
        <v>-0.68569912795518051</v>
      </c>
      <c r="AO58" s="14">
        <f t="shared" si="218"/>
        <v>-1.909142708690361</v>
      </c>
      <c r="AP58">
        <v>3</v>
      </c>
      <c r="AQ58">
        <f t="shared" si="140"/>
        <v>3</v>
      </c>
      <c r="AR58">
        <f t="shared" si="144"/>
        <v>3</v>
      </c>
      <c r="AS58">
        <f t="shared" si="149"/>
        <v>3</v>
      </c>
      <c r="AT58">
        <f t="shared" si="157"/>
        <v>3</v>
      </c>
      <c r="AU58">
        <f t="shared" si="165"/>
        <v>3</v>
      </c>
      <c r="AV58">
        <f t="shared" si="173"/>
        <v>3</v>
      </c>
      <c r="AW58">
        <f t="shared" si="181"/>
        <v>3</v>
      </c>
      <c r="AX58">
        <f t="shared" si="189"/>
        <v>3</v>
      </c>
      <c r="AY58">
        <f t="shared" si="197"/>
        <v>3</v>
      </c>
      <c r="AZ58">
        <f t="shared" si="205"/>
        <v>3</v>
      </c>
      <c r="BA58">
        <f t="shared" si="213"/>
        <v>3</v>
      </c>
      <c r="BB58">
        <v>15</v>
      </c>
      <c r="BC58">
        <f t="shared" si="141"/>
        <v>19</v>
      </c>
      <c r="BD58">
        <f t="shared" si="145"/>
        <v>11</v>
      </c>
      <c r="BE58">
        <f t="shared" si="150"/>
        <v>35</v>
      </c>
      <c r="BF58">
        <f t="shared" si="158"/>
        <v>26</v>
      </c>
      <c r="BG58">
        <f t="shared" si="166"/>
        <v>6</v>
      </c>
      <c r="BH58">
        <f t="shared" si="174"/>
        <v>13</v>
      </c>
      <c r="BI58">
        <f t="shared" si="182"/>
        <v>19</v>
      </c>
      <c r="BJ58">
        <f t="shared" si="190"/>
        <v>13</v>
      </c>
      <c r="BK58">
        <f t="shared" si="198"/>
        <v>1</v>
      </c>
      <c r="BL58">
        <f t="shared" si="206"/>
        <v>4</v>
      </c>
      <c r="BM58">
        <f t="shared" si="214"/>
        <v>30</v>
      </c>
      <c r="BZ58" s="12">
        <f t="shared" si="110"/>
        <v>-3.4246666666666665</v>
      </c>
      <c r="CA58" s="12">
        <f t="shared" si="142"/>
        <v>-2.7410526315789436</v>
      </c>
      <c r="CB58" s="12">
        <f t="shared" si="146"/>
        <v>-4.2627272727273029</v>
      </c>
      <c r="CC58" s="12">
        <f t="shared" si="155"/>
        <v>-2.8028571428571274</v>
      </c>
      <c r="CD58" s="12">
        <f t="shared" si="163"/>
        <v>-9.4807692307692299</v>
      </c>
      <c r="CE58" s="12">
        <f t="shared" si="171"/>
        <v>-8.4900000000000855</v>
      </c>
      <c r="CF58" s="12">
        <f t="shared" si="179"/>
        <v>-4.418461538461508</v>
      </c>
      <c r="CG58" s="12">
        <f t="shared" si="187"/>
        <v>-2.7263157894736936</v>
      </c>
      <c r="CH58" s="12">
        <f t="shared" si="195"/>
        <v>-5.5061538461538406</v>
      </c>
      <c r="CI58" s="12">
        <f t="shared" si="203"/>
        <v>-45.970000000000255</v>
      </c>
      <c r="CJ58" s="12">
        <f t="shared" si="211"/>
        <v>-7.7550000000001091</v>
      </c>
      <c r="CK58" s="12">
        <f t="shared" si="219"/>
        <v>-2.9149999999999938</v>
      </c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>
        <f t="shared" si="111"/>
        <v>-73.722236714786561</v>
      </c>
      <c r="CY58" s="12">
        <f t="shared" si="112"/>
        <v>-69.956849840129522</v>
      </c>
      <c r="CZ58" s="12">
        <f t="shared" si="113"/>
        <v>-76.797625950239947</v>
      </c>
      <c r="DA58" s="12">
        <f t="shared" si="114"/>
        <v>-70.364677549257877</v>
      </c>
      <c r="DB58" s="12">
        <f t="shared" si="115"/>
        <v>-83.978894838902605</v>
      </c>
      <c r="DC58" s="12">
        <f t="shared" si="116"/>
        <v>-83.282332155660583</v>
      </c>
      <c r="DD58" s="12">
        <f t="shared" si="117"/>
        <v>-77.2474807185299</v>
      </c>
      <c r="DE58" s="12">
        <f t="shared" si="118"/>
        <v>-69.857196766957003</v>
      </c>
      <c r="DF58" s="12">
        <f t="shared" si="119"/>
        <v>-79.706424185299525</v>
      </c>
      <c r="DG58" s="12">
        <f t="shared" si="120"/>
        <v>-88.753823265309592</v>
      </c>
      <c r="DH58" s="12">
        <f t="shared" si="121"/>
        <v>-82.652309233171323</v>
      </c>
      <c r="DI58" s="12">
        <f t="shared" si="122"/>
        <v>-71.065305896787933</v>
      </c>
      <c r="DJ58" t="s">
        <v>19</v>
      </c>
      <c r="DK58" t="str">
        <f t="shared" si="143"/>
        <v>LL</v>
      </c>
      <c r="DL58" t="str">
        <f t="shared" si="147"/>
        <v>HL</v>
      </c>
      <c r="DM58" t="str">
        <f t="shared" si="151"/>
        <v>HL</v>
      </c>
      <c r="DN58" t="str">
        <f t="shared" si="159"/>
        <v>LL</v>
      </c>
      <c r="DO58" t="str">
        <f t="shared" si="167"/>
        <v>HL</v>
      </c>
      <c r="DP58" t="str">
        <f t="shared" si="175"/>
        <v>HL</v>
      </c>
      <c r="DQ58" t="str">
        <f t="shared" si="183"/>
        <v>LL</v>
      </c>
      <c r="DR58" t="str">
        <f t="shared" si="191"/>
        <v>HL</v>
      </c>
      <c r="DS58" t="str">
        <f t="shared" si="199"/>
        <v>LL</v>
      </c>
      <c r="DT58" t="str">
        <f t="shared" si="207"/>
        <v>LL</v>
      </c>
      <c r="DU58" t="str">
        <f t="shared" si="215"/>
        <v>HL</v>
      </c>
      <c r="DV58">
        <f t="shared" si="123"/>
        <v>0.63359688075381781</v>
      </c>
      <c r="DW58">
        <f t="shared" si="124"/>
        <v>0.93317448283331372</v>
      </c>
      <c r="DX58">
        <f t="shared" si="152"/>
        <v>-0.33466912162893575</v>
      </c>
      <c r="DY58">
        <f t="shared" si="160"/>
        <v>-1.3549225603812451</v>
      </c>
      <c r="DZ58">
        <f t="shared" si="168"/>
        <v>2.7228419798548642</v>
      </c>
      <c r="EA58">
        <f t="shared" si="176"/>
        <v>1.0930358496696639</v>
      </c>
      <c r="EB58">
        <f t="shared" si="184"/>
        <v>-1.877179681576949</v>
      </c>
      <c r="EC58">
        <f t="shared" si="192"/>
        <v>-1.4781761074406972</v>
      </c>
      <c r="ED58">
        <f t="shared" si="200"/>
        <v>-2.8985161919202946</v>
      </c>
      <c r="EE58">
        <f t="shared" si="208"/>
        <v>-2.6788692732589641</v>
      </c>
      <c r="EF58">
        <f t="shared" si="216"/>
        <v>-2.6721542293945562</v>
      </c>
      <c r="EG58" s="13" t="str">
        <f t="shared" si="125"/>
        <v/>
      </c>
      <c r="EH58" s="13" t="str">
        <f t="shared" si="126"/>
        <v/>
      </c>
      <c r="EI58" s="13" t="str">
        <f t="shared" si="127"/>
        <v/>
      </c>
      <c r="EJ58" s="13" t="str">
        <f t="shared" si="128"/>
        <v/>
      </c>
      <c r="EK58" s="13" t="str">
        <f t="shared" si="129"/>
        <v/>
      </c>
      <c r="EL58" s="13" t="str">
        <f t="shared" si="130"/>
        <v/>
      </c>
      <c r="EM58" s="13" t="str">
        <f t="shared" si="131"/>
        <v/>
      </c>
      <c r="EN58" s="13" t="str">
        <f t="shared" si="132"/>
        <v/>
      </c>
      <c r="EO58" s="13" t="str">
        <f t="shared" si="133"/>
        <v/>
      </c>
      <c r="EP58" s="13" t="str">
        <f t="shared" si="134"/>
        <v/>
      </c>
      <c r="EQ58" s="13" t="str">
        <f t="shared" si="135"/>
        <v/>
      </c>
    </row>
    <row r="59" spans="1:147" ht="14.25" customHeight="1" x14ac:dyDescent="0.55000000000000004">
      <c r="A59">
        <v>1775536204</v>
      </c>
      <c r="B59" t="s">
        <v>16</v>
      </c>
      <c r="C59" t="s">
        <v>17</v>
      </c>
      <c r="D59">
        <v>4661.8100000000004</v>
      </c>
      <c r="E59" t="s">
        <v>20</v>
      </c>
      <c r="F59">
        <v>4663.28</v>
      </c>
      <c r="G59">
        <v>4667.87</v>
      </c>
      <c r="H59">
        <v>4697.83</v>
      </c>
      <c r="I59">
        <f t="shared" si="148"/>
        <v>4706.47</v>
      </c>
      <c r="J59">
        <f t="shared" si="156"/>
        <v>4699.1499999999996</v>
      </c>
      <c r="K59">
        <f t="shared" si="164"/>
        <v>4800.45</v>
      </c>
      <c r="L59">
        <f t="shared" si="172"/>
        <v>4793.1400000000003</v>
      </c>
      <c r="M59">
        <f t="shared" si="180"/>
        <v>4724.3999999999996</v>
      </c>
      <c r="N59">
        <f t="shared" si="188"/>
        <v>4581.6400000000003</v>
      </c>
      <c r="O59">
        <f t="shared" si="196"/>
        <v>4619.84</v>
      </c>
      <c r="P59">
        <f t="shared" si="204"/>
        <v>4528.66</v>
      </c>
      <c r="Q59">
        <f t="shared" si="212"/>
        <v>4523.8500000000004</v>
      </c>
      <c r="R59">
        <v>46.78</v>
      </c>
      <c r="S59">
        <f t="shared" si="136"/>
        <v>22.119999999999891</v>
      </c>
      <c r="T59">
        <f t="shared" si="137"/>
        <v>38.25</v>
      </c>
      <c r="U59">
        <f t="shared" si="153"/>
        <v>105.42000000000007</v>
      </c>
      <c r="V59">
        <f t="shared" si="161"/>
        <v>145.19999999999982</v>
      </c>
      <c r="W59">
        <f t="shared" si="169"/>
        <v>58.25</v>
      </c>
      <c r="X59">
        <f t="shared" si="177"/>
        <v>126.18000000000029</v>
      </c>
      <c r="Y59">
        <f t="shared" si="185"/>
        <v>194.55999999999949</v>
      </c>
      <c r="Z59">
        <f t="shared" si="193"/>
        <v>33.380000000000109</v>
      </c>
      <c r="AA59">
        <f t="shared" si="201"/>
        <v>137.15000000000055</v>
      </c>
      <c r="AB59">
        <f t="shared" si="209"/>
        <v>35.829999999999927</v>
      </c>
      <c r="AC59">
        <f t="shared" si="217"/>
        <v>30.710000000000036</v>
      </c>
      <c r="AD59">
        <v>1.01</v>
      </c>
      <c r="AE59" s="14">
        <f t="shared" si="138"/>
        <v>0.47613410106010629</v>
      </c>
      <c r="AF59" s="14">
        <f t="shared" si="139"/>
        <v>0.82088943638697043</v>
      </c>
      <c r="AG59" s="14">
        <f t="shared" si="154"/>
        <v>2.2912161354473453</v>
      </c>
      <c r="AH59" s="14">
        <f t="shared" si="162"/>
        <v>3.188440804137064</v>
      </c>
      <c r="AI59" s="14">
        <f t="shared" si="170"/>
        <v>1.2283328412972883</v>
      </c>
      <c r="AJ59" s="14">
        <f t="shared" si="178"/>
        <v>2.7036871968047786</v>
      </c>
      <c r="AK59" s="14">
        <f t="shared" si="186"/>
        <v>4.2950744397152985</v>
      </c>
      <c r="AL59" s="14">
        <f t="shared" si="194"/>
        <v>0.7339070325794943</v>
      </c>
      <c r="AM59" s="14">
        <f t="shared" si="202"/>
        <v>3.0595468346015573</v>
      </c>
      <c r="AN59" s="14">
        <f t="shared" si="210"/>
        <v>0.79749289423369962</v>
      </c>
      <c r="AO59" s="14">
        <f t="shared" si="218"/>
        <v>0.68348638146151763</v>
      </c>
      <c r="AP59">
        <v>0</v>
      </c>
      <c r="AQ59">
        <f t="shared" si="140"/>
        <v>0</v>
      </c>
      <c r="AR59">
        <f t="shared" si="144"/>
        <v>0</v>
      </c>
      <c r="AS59">
        <f t="shared" si="149"/>
        <v>0</v>
      </c>
      <c r="AT59">
        <f t="shared" si="157"/>
        <v>0</v>
      </c>
      <c r="AU59">
        <f t="shared" si="165"/>
        <v>0</v>
      </c>
      <c r="AV59">
        <f t="shared" si="173"/>
        <v>0</v>
      </c>
      <c r="AW59">
        <f t="shared" si="181"/>
        <v>0</v>
      </c>
      <c r="AX59">
        <f t="shared" si="189"/>
        <v>0</v>
      </c>
      <c r="AY59">
        <f t="shared" si="197"/>
        <v>0</v>
      </c>
      <c r="AZ59">
        <f t="shared" si="205"/>
        <v>0</v>
      </c>
      <c r="BA59">
        <f t="shared" si="213"/>
        <v>0</v>
      </c>
      <c r="BB59">
        <v>11</v>
      </c>
      <c r="BC59">
        <f t="shared" si="141"/>
        <v>7</v>
      </c>
      <c r="BD59">
        <f t="shared" si="145"/>
        <v>9</v>
      </c>
      <c r="BE59">
        <f t="shared" si="150"/>
        <v>37</v>
      </c>
      <c r="BF59">
        <f t="shared" si="158"/>
        <v>34</v>
      </c>
      <c r="BG59">
        <f t="shared" si="166"/>
        <v>16</v>
      </c>
      <c r="BH59">
        <f t="shared" si="174"/>
        <v>51</v>
      </c>
      <c r="BI59">
        <f t="shared" si="182"/>
        <v>54</v>
      </c>
      <c r="BJ59">
        <f t="shared" si="190"/>
        <v>3</v>
      </c>
      <c r="BK59">
        <f t="shared" si="198"/>
        <v>6</v>
      </c>
      <c r="BL59">
        <f t="shared" si="206"/>
        <v>4</v>
      </c>
      <c r="BM59">
        <f t="shared" si="214"/>
        <v>7</v>
      </c>
      <c r="BZ59" s="12">
        <f t="shared" si="110"/>
        <v>4.2527272727272729</v>
      </c>
      <c r="CA59" s="12">
        <f t="shared" si="142"/>
        <v>3.1599999999999846</v>
      </c>
      <c r="CB59" s="12">
        <f t="shared" si="146"/>
        <v>4.25</v>
      </c>
      <c r="CC59" s="12">
        <f t="shared" si="155"/>
        <v>2.849189189189191</v>
      </c>
      <c r="CD59" s="12">
        <f t="shared" si="163"/>
        <v>4.2705882352941122</v>
      </c>
      <c r="CE59" s="12">
        <f t="shared" si="171"/>
        <v>3.640625</v>
      </c>
      <c r="CF59" s="12">
        <f t="shared" si="179"/>
        <v>2.4741176470588293</v>
      </c>
      <c r="CG59" s="12">
        <f t="shared" si="187"/>
        <v>3.6029629629629536</v>
      </c>
      <c r="CH59" s="12">
        <f t="shared" si="195"/>
        <v>11.126666666666702</v>
      </c>
      <c r="CI59" s="12">
        <f t="shared" si="203"/>
        <v>22.858333333333423</v>
      </c>
      <c r="CJ59" s="12">
        <f t="shared" si="211"/>
        <v>8.9574999999999818</v>
      </c>
      <c r="CK59" s="12">
        <f t="shared" si="219"/>
        <v>4.3871428571428623</v>
      </c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>
        <f t="shared" si="111"/>
        <v>76.76767241316719</v>
      </c>
      <c r="CY59" s="12">
        <f t="shared" si="112"/>
        <v>72.43972794819922</v>
      </c>
      <c r="CZ59" s="12">
        <f t="shared" si="113"/>
        <v>76.759480084812793</v>
      </c>
      <c r="DA59" s="12">
        <f t="shared" si="114"/>
        <v>70.6600977040994</v>
      </c>
      <c r="DB59" s="12">
        <f t="shared" si="115"/>
        <v>76.821078963950583</v>
      </c>
      <c r="DC59" s="12">
        <f t="shared" si="116"/>
        <v>74.64089633032458</v>
      </c>
      <c r="DD59" s="12">
        <f t="shared" si="117"/>
        <v>67.992204644225694</v>
      </c>
      <c r="DE59" s="12">
        <f t="shared" si="118"/>
        <v>74.488040554358946</v>
      </c>
      <c r="DF59" s="12">
        <f t="shared" si="119"/>
        <v>84.8643867726568</v>
      </c>
      <c r="DG59" s="12">
        <f t="shared" si="120"/>
        <v>87.495037433357894</v>
      </c>
      <c r="DH59" s="12">
        <f t="shared" si="121"/>
        <v>83.629973103427346</v>
      </c>
      <c r="DI59" s="12">
        <f t="shared" si="122"/>
        <v>77.15945139645865</v>
      </c>
      <c r="DJ59" t="s">
        <v>21</v>
      </c>
      <c r="DK59" t="str">
        <f t="shared" si="143"/>
        <v>LH</v>
      </c>
      <c r="DL59" t="str">
        <f t="shared" si="147"/>
        <v>LH</v>
      </c>
      <c r="DM59" t="str">
        <f t="shared" si="151"/>
        <v>HH</v>
      </c>
      <c r="DN59" t="str">
        <f t="shared" si="159"/>
        <v>LH</v>
      </c>
      <c r="DO59" t="str">
        <f t="shared" si="167"/>
        <v>HH</v>
      </c>
      <c r="DP59" t="str">
        <f t="shared" si="175"/>
        <v>HH</v>
      </c>
      <c r="DQ59" t="str">
        <f t="shared" si="183"/>
        <v>HH</v>
      </c>
      <c r="DR59" t="str">
        <f t="shared" si="191"/>
        <v>LH</v>
      </c>
      <c r="DS59" t="str">
        <f t="shared" si="199"/>
        <v>HH</v>
      </c>
      <c r="DT59" t="str">
        <f t="shared" si="207"/>
        <v>HH</v>
      </c>
      <c r="DU59" t="str">
        <f t="shared" si="215"/>
        <v>LH</v>
      </c>
      <c r="DV59">
        <f t="shared" si="123"/>
        <v>9.8428573879332695E-2</v>
      </c>
      <c r="DW59">
        <f t="shared" si="124"/>
        <v>0.74089482081282243</v>
      </c>
      <c r="DX59">
        <f t="shared" si="152"/>
        <v>0.92617213635039097</v>
      </c>
      <c r="DY59">
        <f t="shared" si="160"/>
        <v>0.76920107735327692</v>
      </c>
      <c r="DZ59">
        <f t="shared" si="168"/>
        <v>2.941491825496219</v>
      </c>
      <c r="EA59">
        <f t="shared" si="176"/>
        <v>2.7847352078365568</v>
      </c>
      <c r="EB59">
        <f t="shared" si="184"/>
        <v>1.3106654543583036</v>
      </c>
      <c r="EC59">
        <f t="shared" si="192"/>
        <v>-1.7506990787600021</v>
      </c>
      <c r="ED59">
        <f t="shared" si="200"/>
        <v>-0.93153316978606471</v>
      </c>
      <c r="EE59">
        <f t="shared" si="208"/>
        <v>-2.8868092844521431</v>
      </c>
      <c r="EF59">
        <f t="shared" si="216"/>
        <v>-2.9899555677548721</v>
      </c>
      <c r="EG59" s="13" t="str">
        <f t="shared" si="125"/>
        <v/>
      </c>
      <c r="EH59" s="13" t="str">
        <f t="shared" si="126"/>
        <v/>
      </c>
      <c r="EI59" s="13" t="str">
        <f t="shared" si="127"/>
        <v/>
      </c>
      <c r="EJ59" s="13" t="str">
        <f t="shared" si="128"/>
        <v/>
      </c>
      <c r="EK59" s="13" t="str">
        <f t="shared" si="129"/>
        <v/>
      </c>
      <c r="EL59" s="13" t="str">
        <f t="shared" si="130"/>
        <v/>
      </c>
      <c r="EM59" s="13" t="str">
        <f t="shared" si="131"/>
        <v/>
      </c>
      <c r="EN59" s="13" t="str">
        <f t="shared" si="132"/>
        <v/>
      </c>
      <c r="EO59" s="13" t="str">
        <f t="shared" si="133"/>
        <v/>
      </c>
      <c r="EP59" s="13" t="str">
        <f t="shared" si="134"/>
        <v/>
      </c>
      <c r="EQ59" s="13" t="str">
        <f t="shared" si="135"/>
        <v/>
      </c>
    </row>
    <row r="60" spans="1:147" ht="14.25" customHeight="1" x14ac:dyDescent="0.55000000000000004">
      <c r="A60">
        <v>1775539804</v>
      </c>
      <c r="B60" t="s">
        <v>16</v>
      </c>
      <c r="C60" t="s">
        <v>17</v>
      </c>
      <c r="D60">
        <v>4631.75</v>
      </c>
      <c r="E60" t="s">
        <v>18</v>
      </c>
      <c r="F60">
        <v>4623.4799999999996</v>
      </c>
      <c r="G60">
        <v>4616.5</v>
      </c>
      <c r="H60">
        <v>4645.75</v>
      </c>
      <c r="I60">
        <f t="shared" si="148"/>
        <v>4659.58</v>
      </c>
      <c r="J60">
        <f t="shared" si="156"/>
        <v>4601.05</v>
      </c>
      <c r="K60">
        <f t="shared" si="164"/>
        <v>4553.95</v>
      </c>
      <c r="L60">
        <f t="shared" si="172"/>
        <v>4742.2</v>
      </c>
      <c r="M60">
        <f t="shared" si="180"/>
        <v>4666.96</v>
      </c>
      <c r="N60">
        <f t="shared" si="188"/>
        <v>4529.84</v>
      </c>
      <c r="O60">
        <f t="shared" si="196"/>
        <v>4548.26</v>
      </c>
      <c r="P60">
        <f t="shared" si="204"/>
        <v>4482.6899999999996</v>
      </c>
      <c r="Q60">
        <f t="shared" si="212"/>
        <v>4492.83</v>
      </c>
      <c r="R60">
        <v>-39.799999999999997</v>
      </c>
      <c r="S60">
        <f t="shared" si="136"/>
        <v>-51.369999999999891</v>
      </c>
      <c r="T60">
        <f t="shared" si="137"/>
        <v>-52.079999999999927</v>
      </c>
      <c r="U60">
        <f t="shared" si="153"/>
        <v>-46.890000000000327</v>
      </c>
      <c r="V60">
        <f t="shared" si="161"/>
        <v>-98.099999999999454</v>
      </c>
      <c r="W60">
        <f t="shared" si="169"/>
        <v>-246.5</v>
      </c>
      <c r="X60">
        <f t="shared" si="177"/>
        <v>-50.940000000000509</v>
      </c>
      <c r="Y60">
        <f t="shared" si="185"/>
        <v>-57.4399999999996</v>
      </c>
      <c r="Z60">
        <f t="shared" si="193"/>
        <v>-51.800000000000182</v>
      </c>
      <c r="AA60">
        <f t="shared" si="201"/>
        <v>-71.579999999999927</v>
      </c>
      <c r="AB60">
        <f t="shared" si="209"/>
        <v>-45.970000000000255</v>
      </c>
      <c r="AC60">
        <f t="shared" si="217"/>
        <v>-31.020000000000437</v>
      </c>
      <c r="AD60">
        <v>-0.85</v>
      </c>
      <c r="AE60" s="14">
        <f t="shared" si="138"/>
        <v>-1.1005019419992392</v>
      </c>
      <c r="AF60" s="14">
        <f t="shared" si="139"/>
        <v>-1.1085969479525637</v>
      </c>
      <c r="AG60" s="14">
        <f t="shared" si="154"/>
        <v>-0.99628808852495232</v>
      </c>
      <c r="AH60" s="14">
        <f t="shared" si="162"/>
        <v>-2.0876115893299736</v>
      </c>
      <c r="AI60" s="14">
        <f t="shared" si="170"/>
        <v>-5.1349352664854342</v>
      </c>
      <c r="AJ60" s="14">
        <f t="shared" si="178"/>
        <v>-1.0627688738488861</v>
      </c>
      <c r="AK60" s="14">
        <f t="shared" si="186"/>
        <v>-1.2158157649648549</v>
      </c>
      <c r="AL60" s="14">
        <f t="shared" si="194"/>
        <v>-1.1305995233147994</v>
      </c>
      <c r="AM60" s="14">
        <f t="shared" si="202"/>
        <v>-1.5494043083743143</v>
      </c>
      <c r="AN60" s="14">
        <f t="shared" si="210"/>
        <v>-1.0150905565884887</v>
      </c>
      <c r="AO60" s="14">
        <f t="shared" si="218"/>
        <v>-0.68569912795518051</v>
      </c>
      <c r="AP60">
        <v>3</v>
      </c>
      <c r="AQ60">
        <f t="shared" si="140"/>
        <v>3</v>
      </c>
      <c r="AR60">
        <f t="shared" si="144"/>
        <v>3</v>
      </c>
      <c r="AS60">
        <f t="shared" si="149"/>
        <v>3</v>
      </c>
      <c r="AT60">
        <f t="shared" si="157"/>
        <v>3</v>
      </c>
      <c r="AU60">
        <f t="shared" si="165"/>
        <v>3</v>
      </c>
      <c r="AV60">
        <f t="shared" si="173"/>
        <v>3</v>
      </c>
      <c r="AW60">
        <f t="shared" si="181"/>
        <v>3</v>
      </c>
      <c r="AX60">
        <f t="shared" si="189"/>
        <v>3</v>
      </c>
      <c r="AY60">
        <f t="shared" si="197"/>
        <v>3</v>
      </c>
      <c r="AZ60">
        <f t="shared" si="205"/>
        <v>3</v>
      </c>
      <c r="BA60">
        <f t="shared" si="213"/>
        <v>3</v>
      </c>
      <c r="BB60">
        <v>4</v>
      </c>
      <c r="BC60">
        <f t="shared" si="141"/>
        <v>15</v>
      </c>
      <c r="BD60">
        <f t="shared" si="145"/>
        <v>19</v>
      </c>
      <c r="BE60">
        <f t="shared" si="150"/>
        <v>11</v>
      </c>
      <c r="BF60">
        <f t="shared" si="158"/>
        <v>35</v>
      </c>
      <c r="BG60">
        <f t="shared" si="166"/>
        <v>26</v>
      </c>
      <c r="BH60">
        <f t="shared" si="174"/>
        <v>6</v>
      </c>
      <c r="BI60">
        <f t="shared" si="182"/>
        <v>13</v>
      </c>
      <c r="BJ60">
        <f t="shared" si="190"/>
        <v>19</v>
      </c>
      <c r="BK60">
        <f t="shared" si="198"/>
        <v>13</v>
      </c>
      <c r="BL60">
        <f t="shared" si="206"/>
        <v>1</v>
      </c>
      <c r="BM60">
        <f t="shared" si="214"/>
        <v>4</v>
      </c>
      <c r="BZ60" s="12">
        <f t="shared" si="110"/>
        <v>-9.9499999999999993</v>
      </c>
      <c r="CA60" s="12">
        <f t="shared" si="142"/>
        <v>-3.4246666666666594</v>
      </c>
      <c r="CB60" s="12">
        <f t="shared" si="146"/>
        <v>-2.7410526315789436</v>
      </c>
      <c r="CC60" s="12">
        <f t="shared" si="155"/>
        <v>-4.2627272727273029</v>
      </c>
      <c r="CD60" s="12">
        <f t="shared" si="163"/>
        <v>-2.8028571428571274</v>
      </c>
      <c r="CE60" s="12">
        <f t="shared" si="171"/>
        <v>-9.4807692307692299</v>
      </c>
      <c r="CF60" s="12">
        <f t="shared" si="179"/>
        <v>-8.4900000000000855</v>
      </c>
      <c r="CG60" s="12">
        <f t="shared" si="187"/>
        <v>-4.418461538461508</v>
      </c>
      <c r="CH60" s="12">
        <f t="shared" si="195"/>
        <v>-2.7263157894736936</v>
      </c>
      <c r="CI60" s="12">
        <f t="shared" si="203"/>
        <v>-5.5061538461538406</v>
      </c>
      <c r="CJ60" s="12">
        <f t="shared" si="211"/>
        <v>-45.970000000000255</v>
      </c>
      <c r="CK60" s="12">
        <f t="shared" si="219"/>
        <v>-7.7550000000001091</v>
      </c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>
        <f t="shared" si="111"/>
        <v>-84.260901501910396</v>
      </c>
      <c r="CY60" s="12">
        <f t="shared" si="112"/>
        <v>-73.722236714786519</v>
      </c>
      <c r="CZ60" s="12">
        <f t="shared" si="113"/>
        <v>-69.956849840129522</v>
      </c>
      <c r="DA60" s="12">
        <f t="shared" si="114"/>
        <v>-76.797625950239947</v>
      </c>
      <c r="DB60" s="12">
        <f t="shared" si="115"/>
        <v>-70.364677549257877</v>
      </c>
      <c r="DC60" s="12">
        <f t="shared" si="116"/>
        <v>-83.978894838902605</v>
      </c>
      <c r="DD60" s="12">
        <f t="shared" si="117"/>
        <v>-83.282332155660583</v>
      </c>
      <c r="DE60" s="12">
        <f t="shared" si="118"/>
        <v>-77.2474807185299</v>
      </c>
      <c r="DF60" s="12">
        <f t="shared" si="119"/>
        <v>-69.857196766957003</v>
      </c>
      <c r="DG60" s="12">
        <f t="shared" si="120"/>
        <v>-79.706424185299525</v>
      </c>
      <c r="DH60" s="12">
        <f t="shared" si="121"/>
        <v>-88.753823265309592</v>
      </c>
      <c r="DI60" s="12">
        <f t="shared" si="122"/>
        <v>-82.652309233171323</v>
      </c>
      <c r="DJ60" t="s">
        <v>22</v>
      </c>
      <c r="DK60" t="str">
        <f t="shared" si="143"/>
        <v>LL</v>
      </c>
      <c r="DL60" t="str">
        <f t="shared" si="147"/>
        <v>LL</v>
      </c>
      <c r="DM60" t="str">
        <f t="shared" si="151"/>
        <v>HL</v>
      </c>
      <c r="DN60" t="str">
        <f t="shared" si="159"/>
        <v>HL</v>
      </c>
      <c r="DO60" t="str">
        <f t="shared" si="167"/>
        <v>LL</v>
      </c>
      <c r="DP60" t="str">
        <f t="shared" si="175"/>
        <v>HL</v>
      </c>
      <c r="DQ60" t="str">
        <f t="shared" si="183"/>
        <v>HL</v>
      </c>
      <c r="DR60" t="str">
        <f t="shared" si="191"/>
        <v>LL</v>
      </c>
      <c r="DS60" t="str">
        <f t="shared" si="199"/>
        <v>HL</v>
      </c>
      <c r="DT60" t="str">
        <f t="shared" si="207"/>
        <v>LL</v>
      </c>
      <c r="DU60" t="str">
        <f t="shared" si="215"/>
        <v>LL</v>
      </c>
      <c r="DV60">
        <f t="shared" si="123"/>
        <v>-0.15096853452376918</v>
      </c>
      <c r="DW60">
        <f t="shared" si="124"/>
        <v>0.48167181430438627</v>
      </c>
      <c r="DX60">
        <f t="shared" si="152"/>
        <v>0.78079714846826132</v>
      </c>
      <c r="DY60">
        <f t="shared" si="160"/>
        <v>-0.48513241108427818</v>
      </c>
      <c r="DZ60">
        <f t="shared" si="168"/>
        <v>-1.503845588171675</v>
      </c>
      <c r="EA60">
        <f t="shared" si="176"/>
        <v>2.5677628106967103</v>
      </c>
      <c r="EB60">
        <f t="shared" si="184"/>
        <v>0.94041717494182908</v>
      </c>
      <c r="EC60">
        <f t="shared" si="192"/>
        <v>-2.0253142654450635</v>
      </c>
      <c r="ED60">
        <f t="shared" si="200"/>
        <v>-1.6269130611573825</v>
      </c>
      <c r="EE60">
        <f t="shared" si="208"/>
        <v>-3.0451088790261873</v>
      </c>
      <c r="EF60">
        <f t="shared" si="216"/>
        <v>-2.8257935580990865</v>
      </c>
      <c r="EG60" s="13" t="str">
        <f t="shared" si="125"/>
        <v/>
      </c>
      <c r="EH60" s="13" t="str">
        <f t="shared" si="126"/>
        <v/>
      </c>
      <c r="EI60" s="13" t="str">
        <f t="shared" si="127"/>
        <v/>
      </c>
      <c r="EJ60" s="13" t="str">
        <f t="shared" si="128"/>
        <v/>
      </c>
      <c r="EK60" s="13" t="str">
        <f t="shared" si="129"/>
        <v/>
      </c>
      <c r="EL60" s="13" t="str">
        <f t="shared" si="130"/>
        <v/>
      </c>
      <c r="EM60" s="13" t="str">
        <f t="shared" si="131"/>
        <v/>
      </c>
      <c r="EN60" s="13" t="str">
        <f t="shared" si="132"/>
        <v/>
      </c>
      <c r="EO60" s="13" t="str">
        <f t="shared" si="133"/>
        <v/>
      </c>
      <c r="EP60" s="13" t="str">
        <f t="shared" si="134"/>
        <v/>
      </c>
      <c r="EQ60" s="13" t="str">
        <f t="shared" si="135"/>
        <v/>
      </c>
    </row>
    <row r="61" spans="1:147" ht="14.25" customHeight="1" x14ac:dyDescent="0.55000000000000004">
      <c r="A61">
        <v>1775553304</v>
      </c>
      <c r="B61" t="s">
        <v>16</v>
      </c>
      <c r="C61" t="s">
        <v>17</v>
      </c>
      <c r="D61">
        <v>4686.92</v>
      </c>
      <c r="E61" t="s">
        <v>20</v>
      </c>
      <c r="F61">
        <v>4694.3100000000004</v>
      </c>
      <c r="G61">
        <v>4663.28</v>
      </c>
      <c r="H61">
        <v>4667.87</v>
      </c>
      <c r="I61">
        <f t="shared" si="148"/>
        <v>4697.83</v>
      </c>
      <c r="J61">
        <f t="shared" si="156"/>
        <v>4706.47</v>
      </c>
      <c r="K61">
        <f t="shared" si="164"/>
        <v>4699.1499999999996</v>
      </c>
      <c r="L61">
        <f t="shared" si="172"/>
        <v>4800.45</v>
      </c>
      <c r="M61">
        <f t="shared" si="180"/>
        <v>4793.1400000000003</v>
      </c>
      <c r="N61">
        <f t="shared" si="188"/>
        <v>4724.3999999999996</v>
      </c>
      <c r="O61">
        <f t="shared" si="196"/>
        <v>4581.6400000000003</v>
      </c>
      <c r="P61">
        <f t="shared" si="204"/>
        <v>4619.84</v>
      </c>
      <c r="Q61">
        <f t="shared" si="212"/>
        <v>4528.66</v>
      </c>
      <c r="R61">
        <v>70.83</v>
      </c>
      <c r="S61">
        <f t="shared" si="136"/>
        <v>46.779999999999745</v>
      </c>
      <c r="T61">
        <f t="shared" si="137"/>
        <v>22.119999999999891</v>
      </c>
      <c r="U61">
        <f t="shared" si="153"/>
        <v>38.25</v>
      </c>
      <c r="V61">
        <f t="shared" si="161"/>
        <v>105.42000000000007</v>
      </c>
      <c r="W61">
        <f t="shared" si="169"/>
        <v>145.19999999999982</v>
      </c>
      <c r="X61">
        <f t="shared" si="177"/>
        <v>58.25</v>
      </c>
      <c r="Y61">
        <f t="shared" si="185"/>
        <v>126.18000000000029</v>
      </c>
      <c r="Z61">
        <f t="shared" si="193"/>
        <v>194.55999999999949</v>
      </c>
      <c r="AA61">
        <f t="shared" si="201"/>
        <v>33.380000000000109</v>
      </c>
      <c r="AB61">
        <f t="shared" si="209"/>
        <v>137.15000000000055</v>
      </c>
      <c r="AC61">
        <f t="shared" si="217"/>
        <v>35.829999999999927</v>
      </c>
      <c r="AD61">
        <v>1.53</v>
      </c>
      <c r="AE61" s="14">
        <f t="shared" si="138"/>
        <v>1.0133217805696901</v>
      </c>
      <c r="AF61" s="14">
        <f t="shared" si="139"/>
        <v>0.47613410106010629</v>
      </c>
      <c r="AG61" s="14">
        <f t="shared" si="154"/>
        <v>0.82088943638697043</v>
      </c>
      <c r="AH61" s="14">
        <f t="shared" si="162"/>
        <v>2.2912161354473453</v>
      </c>
      <c r="AI61" s="14">
        <f t="shared" si="170"/>
        <v>3.188440804137064</v>
      </c>
      <c r="AJ61" s="14">
        <f t="shared" si="178"/>
        <v>1.2283328412972883</v>
      </c>
      <c r="AK61" s="14">
        <f t="shared" si="186"/>
        <v>2.7036871968047786</v>
      </c>
      <c r="AL61" s="14">
        <f t="shared" si="194"/>
        <v>4.2950744397152985</v>
      </c>
      <c r="AM61" s="14">
        <f t="shared" si="202"/>
        <v>0.7339070325794943</v>
      </c>
      <c r="AN61" s="14">
        <f t="shared" si="210"/>
        <v>3.0595468346015573</v>
      </c>
      <c r="AO61" s="14">
        <f t="shared" si="218"/>
        <v>0.79749289423369962</v>
      </c>
      <c r="AP61">
        <v>0</v>
      </c>
      <c r="AQ61">
        <f t="shared" si="140"/>
        <v>0</v>
      </c>
      <c r="AR61">
        <f t="shared" si="144"/>
        <v>0</v>
      </c>
      <c r="AS61">
        <f t="shared" si="149"/>
        <v>0</v>
      </c>
      <c r="AT61">
        <f t="shared" si="157"/>
        <v>0</v>
      </c>
      <c r="AU61">
        <f t="shared" si="165"/>
        <v>0</v>
      </c>
      <c r="AV61">
        <f t="shared" si="173"/>
        <v>0</v>
      </c>
      <c r="AW61">
        <f t="shared" si="181"/>
        <v>0</v>
      </c>
      <c r="AX61">
        <f t="shared" si="189"/>
        <v>0</v>
      </c>
      <c r="AY61">
        <f t="shared" si="197"/>
        <v>0</v>
      </c>
      <c r="AZ61">
        <f t="shared" si="205"/>
        <v>0</v>
      </c>
      <c r="BA61">
        <f t="shared" si="213"/>
        <v>0</v>
      </c>
      <c r="BB61">
        <v>15</v>
      </c>
      <c r="BC61">
        <f t="shared" si="141"/>
        <v>11</v>
      </c>
      <c r="BD61">
        <f t="shared" si="145"/>
        <v>7</v>
      </c>
      <c r="BE61">
        <f t="shared" si="150"/>
        <v>9</v>
      </c>
      <c r="BF61">
        <f t="shared" si="158"/>
        <v>37</v>
      </c>
      <c r="BG61">
        <f t="shared" si="166"/>
        <v>34</v>
      </c>
      <c r="BH61">
        <f t="shared" si="174"/>
        <v>16</v>
      </c>
      <c r="BI61">
        <f t="shared" si="182"/>
        <v>51</v>
      </c>
      <c r="BJ61">
        <f t="shared" si="190"/>
        <v>54</v>
      </c>
      <c r="BK61">
        <f t="shared" si="198"/>
        <v>3</v>
      </c>
      <c r="BL61">
        <f t="shared" si="206"/>
        <v>6</v>
      </c>
      <c r="BM61">
        <f t="shared" si="214"/>
        <v>4</v>
      </c>
      <c r="BZ61" s="12">
        <f t="shared" si="110"/>
        <v>4.7219999999999995</v>
      </c>
      <c r="CA61" s="12">
        <f t="shared" si="142"/>
        <v>4.2527272727272498</v>
      </c>
      <c r="CB61" s="12">
        <f t="shared" si="146"/>
        <v>3.1599999999999846</v>
      </c>
      <c r="CC61" s="12">
        <f t="shared" si="155"/>
        <v>4.25</v>
      </c>
      <c r="CD61" s="12">
        <f t="shared" si="163"/>
        <v>2.849189189189191</v>
      </c>
      <c r="CE61" s="12">
        <f t="shared" si="171"/>
        <v>4.2705882352941122</v>
      </c>
      <c r="CF61" s="12">
        <f t="shared" si="179"/>
        <v>3.640625</v>
      </c>
      <c r="CG61" s="12">
        <f t="shared" si="187"/>
        <v>2.4741176470588293</v>
      </c>
      <c r="CH61" s="12">
        <f t="shared" si="195"/>
        <v>3.6029629629629536</v>
      </c>
      <c r="CI61" s="12">
        <f t="shared" si="203"/>
        <v>11.126666666666702</v>
      </c>
      <c r="CJ61" s="12">
        <f t="shared" si="211"/>
        <v>22.858333333333423</v>
      </c>
      <c r="CK61" s="12">
        <f t="shared" si="219"/>
        <v>8.9574999999999818</v>
      </c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>
        <f t="shared" si="111"/>
        <v>78.04286926301954</v>
      </c>
      <c r="CY61" s="12">
        <f t="shared" si="112"/>
        <v>76.767672413167134</v>
      </c>
      <c r="CZ61" s="12">
        <f t="shared" si="113"/>
        <v>72.43972794819922</v>
      </c>
      <c r="DA61" s="12">
        <f t="shared" si="114"/>
        <v>76.759480084812793</v>
      </c>
      <c r="DB61" s="12">
        <f t="shared" si="115"/>
        <v>70.6600977040994</v>
      </c>
      <c r="DC61" s="12">
        <f t="shared" si="116"/>
        <v>76.821078963950583</v>
      </c>
      <c r="DD61" s="12">
        <f t="shared" si="117"/>
        <v>74.64089633032458</v>
      </c>
      <c r="DE61" s="12">
        <f t="shared" si="118"/>
        <v>67.992204644225694</v>
      </c>
      <c r="DF61" s="12">
        <f t="shared" si="119"/>
        <v>74.488040554358946</v>
      </c>
      <c r="DG61" s="12">
        <f t="shared" si="120"/>
        <v>84.8643867726568</v>
      </c>
      <c r="DH61" s="12">
        <f t="shared" si="121"/>
        <v>87.495037433357894</v>
      </c>
      <c r="DI61" s="12">
        <f t="shared" si="122"/>
        <v>83.629973103427346</v>
      </c>
      <c r="DJ61" t="s">
        <v>23</v>
      </c>
      <c r="DK61" t="str">
        <f t="shared" si="143"/>
        <v>LH</v>
      </c>
      <c r="DL61" t="str">
        <f t="shared" si="147"/>
        <v>LH</v>
      </c>
      <c r="DM61" t="str">
        <f t="shared" si="151"/>
        <v>LH</v>
      </c>
      <c r="DN61" t="str">
        <f t="shared" si="159"/>
        <v>HH</v>
      </c>
      <c r="DO61" t="str">
        <f t="shared" si="167"/>
        <v>LH</v>
      </c>
      <c r="DP61" t="str">
        <f t="shared" si="175"/>
        <v>HH</v>
      </c>
      <c r="DQ61" t="str">
        <f t="shared" si="183"/>
        <v>HH</v>
      </c>
      <c r="DR61" t="str">
        <f t="shared" si="191"/>
        <v>HH</v>
      </c>
      <c r="DS61" t="str">
        <f t="shared" si="199"/>
        <v>LH</v>
      </c>
      <c r="DT61" t="str">
        <f t="shared" si="207"/>
        <v>HH</v>
      </c>
      <c r="DU61" t="str">
        <f t="shared" si="215"/>
        <v>HH</v>
      </c>
      <c r="DV61">
        <f t="shared" si="123"/>
        <v>-0.6610130136271497</v>
      </c>
      <c r="DW61">
        <f t="shared" si="124"/>
        <v>-0.56323506543028701</v>
      </c>
      <c r="DX61">
        <f t="shared" si="152"/>
        <v>7.4984396002810358E-2</v>
      </c>
      <c r="DY61">
        <f t="shared" si="160"/>
        <v>0.25903700437337657</v>
      </c>
      <c r="DZ61">
        <f t="shared" si="168"/>
        <v>0.10310354450386182</v>
      </c>
      <c r="EA61">
        <f t="shared" si="176"/>
        <v>2.2610351681077603</v>
      </c>
      <c r="EB61">
        <f t="shared" si="184"/>
        <v>2.1053147320905503</v>
      </c>
      <c r="EC61">
        <f t="shared" si="192"/>
        <v>0.64098877151272993</v>
      </c>
      <c r="ED61">
        <f t="shared" si="200"/>
        <v>-2.4001397436470975</v>
      </c>
      <c r="EE61">
        <f t="shared" si="208"/>
        <v>-1.5863886279346751</v>
      </c>
      <c r="EF61">
        <f t="shared" si="216"/>
        <v>-3.5287401130304672</v>
      </c>
      <c r="EG61" s="13" t="str">
        <f t="shared" si="125"/>
        <v/>
      </c>
      <c r="EH61" s="13" t="str">
        <f t="shared" si="126"/>
        <v/>
      </c>
      <c r="EI61" s="13" t="str">
        <f t="shared" si="127"/>
        <v/>
      </c>
      <c r="EJ61" s="13" t="str">
        <f t="shared" si="128"/>
        <v/>
      </c>
      <c r="EK61" s="13" t="str">
        <f t="shared" si="129"/>
        <v>EQH</v>
      </c>
      <c r="EL61" s="13" t="str">
        <f t="shared" si="130"/>
        <v/>
      </c>
      <c r="EM61" s="13" t="str">
        <f t="shared" si="131"/>
        <v/>
      </c>
      <c r="EN61" s="13" t="str">
        <f t="shared" si="132"/>
        <v/>
      </c>
      <c r="EO61" s="13" t="str">
        <f t="shared" si="133"/>
        <v/>
      </c>
      <c r="EP61" s="13" t="str">
        <f t="shared" si="134"/>
        <v/>
      </c>
      <c r="EQ61" s="13" t="str">
        <f t="shared" si="135"/>
        <v/>
      </c>
    </row>
    <row r="62" spans="1:147" ht="14.25" customHeight="1" x14ac:dyDescent="0.55000000000000004">
      <c r="A62">
        <v>1775570404</v>
      </c>
      <c r="B62" t="s">
        <v>16</v>
      </c>
      <c r="C62" t="s">
        <v>17</v>
      </c>
      <c r="D62">
        <v>4622.28</v>
      </c>
      <c r="E62" t="s">
        <v>18</v>
      </c>
      <c r="F62">
        <v>4607.91</v>
      </c>
      <c r="G62">
        <v>4623.4799999999996</v>
      </c>
      <c r="H62">
        <v>4616.5</v>
      </c>
      <c r="I62">
        <f t="shared" si="148"/>
        <v>4645.75</v>
      </c>
      <c r="J62">
        <f t="shared" si="156"/>
        <v>4659.58</v>
      </c>
      <c r="K62">
        <f t="shared" si="164"/>
        <v>4601.05</v>
      </c>
      <c r="L62">
        <f t="shared" si="172"/>
        <v>4553.95</v>
      </c>
      <c r="M62">
        <f t="shared" si="180"/>
        <v>4742.2</v>
      </c>
      <c r="N62">
        <f t="shared" si="188"/>
        <v>4666.96</v>
      </c>
      <c r="O62">
        <f t="shared" si="196"/>
        <v>4529.84</v>
      </c>
      <c r="P62">
        <f t="shared" si="204"/>
        <v>4548.26</v>
      </c>
      <c r="Q62">
        <f t="shared" si="212"/>
        <v>4482.6899999999996</v>
      </c>
      <c r="R62">
        <v>-86.4</v>
      </c>
      <c r="S62">
        <f t="shared" si="136"/>
        <v>-39.800000000000182</v>
      </c>
      <c r="T62">
        <f t="shared" si="137"/>
        <v>-51.369999999999891</v>
      </c>
      <c r="U62">
        <f t="shared" si="153"/>
        <v>-52.079999999999927</v>
      </c>
      <c r="V62">
        <f t="shared" si="161"/>
        <v>-46.890000000000327</v>
      </c>
      <c r="W62">
        <f t="shared" si="169"/>
        <v>-98.099999999999454</v>
      </c>
      <c r="X62">
        <f t="shared" si="177"/>
        <v>-246.5</v>
      </c>
      <c r="Y62">
        <f t="shared" si="185"/>
        <v>-50.940000000000509</v>
      </c>
      <c r="Z62">
        <f t="shared" si="193"/>
        <v>-57.4399999999996</v>
      </c>
      <c r="AA62">
        <f t="shared" si="201"/>
        <v>-51.800000000000182</v>
      </c>
      <c r="AB62">
        <f t="shared" si="209"/>
        <v>-71.579999999999927</v>
      </c>
      <c r="AC62">
        <f t="shared" si="217"/>
        <v>-45.970000000000255</v>
      </c>
      <c r="AD62">
        <v>-1.84</v>
      </c>
      <c r="AE62" s="14">
        <f t="shared" si="138"/>
        <v>-0.8534765229623823</v>
      </c>
      <c r="AF62" s="14">
        <f t="shared" si="139"/>
        <v>-1.1005019419992392</v>
      </c>
      <c r="AG62" s="14">
        <f t="shared" si="154"/>
        <v>-1.1085969479525637</v>
      </c>
      <c r="AH62" s="14">
        <f t="shared" si="162"/>
        <v>-0.99628808852495232</v>
      </c>
      <c r="AI62" s="14">
        <f t="shared" si="170"/>
        <v>-2.0876115893299736</v>
      </c>
      <c r="AJ62" s="14">
        <f t="shared" si="178"/>
        <v>-5.1349352664854342</v>
      </c>
      <c r="AK62" s="14">
        <f t="shared" si="186"/>
        <v>-1.0627688738488861</v>
      </c>
      <c r="AL62" s="14">
        <f t="shared" si="194"/>
        <v>-1.2158157649648549</v>
      </c>
      <c r="AM62" s="14">
        <f t="shared" si="202"/>
        <v>-1.1305995233147994</v>
      </c>
      <c r="AN62" s="14">
        <f t="shared" si="210"/>
        <v>-1.5494043083743143</v>
      </c>
      <c r="AO62" s="14">
        <f t="shared" si="218"/>
        <v>-1.0150905565884887</v>
      </c>
      <c r="AP62">
        <v>3</v>
      </c>
      <c r="AQ62">
        <f t="shared" si="140"/>
        <v>3</v>
      </c>
      <c r="AR62">
        <f t="shared" si="144"/>
        <v>3</v>
      </c>
      <c r="AS62">
        <f t="shared" si="149"/>
        <v>3</v>
      </c>
      <c r="AT62">
        <f t="shared" si="157"/>
        <v>3</v>
      </c>
      <c r="AU62">
        <f t="shared" si="165"/>
        <v>3</v>
      </c>
      <c r="AV62">
        <f t="shared" si="173"/>
        <v>3</v>
      </c>
      <c r="AW62">
        <f t="shared" si="181"/>
        <v>3</v>
      </c>
      <c r="AX62">
        <f t="shared" si="189"/>
        <v>3</v>
      </c>
      <c r="AY62">
        <f t="shared" si="197"/>
        <v>3</v>
      </c>
      <c r="AZ62">
        <f t="shared" si="205"/>
        <v>3</v>
      </c>
      <c r="BA62">
        <f t="shared" si="213"/>
        <v>3</v>
      </c>
      <c r="BB62">
        <v>19</v>
      </c>
      <c r="BC62">
        <f t="shared" si="141"/>
        <v>4</v>
      </c>
      <c r="BD62">
        <f t="shared" si="145"/>
        <v>15</v>
      </c>
      <c r="BE62">
        <f t="shared" si="150"/>
        <v>19</v>
      </c>
      <c r="BF62">
        <f t="shared" si="158"/>
        <v>11</v>
      </c>
      <c r="BG62">
        <f t="shared" si="166"/>
        <v>35</v>
      </c>
      <c r="BH62">
        <f t="shared" si="174"/>
        <v>26</v>
      </c>
      <c r="BI62">
        <f t="shared" si="182"/>
        <v>6</v>
      </c>
      <c r="BJ62">
        <f t="shared" si="190"/>
        <v>13</v>
      </c>
      <c r="BK62">
        <f t="shared" si="198"/>
        <v>19</v>
      </c>
      <c r="BL62">
        <f t="shared" si="206"/>
        <v>13</v>
      </c>
      <c r="BM62">
        <f t="shared" si="214"/>
        <v>1</v>
      </c>
      <c r="BZ62" s="12">
        <f t="shared" si="110"/>
        <v>-4.5473684210526315</v>
      </c>
      <c r="CA62" s="12">
        <f t="shared" si="142"/>
        <v>-9.9500000000000455</v>
      </c>
      <c r="CB62" s="12">
        <f t="shared" si="146"/>
        <v>-3.4246666666666594</v>
      </c>
      <c r="CC62" s="12">
        <f t="shared" si="155"/>
        <v>-2.7410526315789436</v>
      </c>
      <c r="CD62" s="12">
        <f t="shared" si="163"/>
        <v>-4.2627272727273029</v>
      </c>
      <c r="CE62" s="12">
        <f t="shared" si="171"/>
        <v>-2.8028571428571274</v>
      </c>
      <c r="CF62" s="12">
        <f t="shared" si="179"/>
        <v>-9.4807692307692299</v>
      </c>
      <c r="CG62" s="12">
        <f t="shared" si="187"/>
        <v>-8.4900000000000855</v>
      </c>
      <c r="CH62" s="12">
        <f t="shared" si="195"/>
        <v>-4.418461538461508</v>
      </c>
      <c r="CI62" s="12">
        <f t="shared" si="203"/>
        <v>-2.7263157894736936</v>
      </c>
      <c r="CJ62" s="12">
        <f t="shared" si="211"/>
        <v>-5.5061538461538406</v>
      </c>
      <c r="CK62" s="12">
        <f t="shared" si="219"/>
        <v>-45.970000000000255</v>
      </c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>
        <f t="shared" si="111"/>
        <v>-77.597641819639577</v>
      </c>
      <c r="CY62" s="12">
        <f t="shared" si="112"/>
        <v>-84.260901501910425</v>
      </c>
      <c r="CZ62" s="12">
        <f t="shared" si="113"/>
        <v>-73.722236714786519</v>
      </c>
      <c r="DA62" s="12">
        <f t="shared" si="114"/>
        <v>-69.956849840129522</v>
      </c>
      <c r="DB62" s="12">
        <f t="shared" si="115"/>
        <v>-76.797625950239947</v>
      </c>
      <c r="DC62" s="12">
        <f t="shared" si="116"/>
        <v>-70.364677549257877</v>
      </c>
      <c r="DD62" s="12">
        <f t="shared" si="117"/>
        <v>-83.978894838902605</v>
      </c>
      <c r="DE62" s="12">
        <f t="shared" si="118"/>
        <v>-83.282332155660583</v>
      </c>
      <c r="DF62" s="12">
        <f t="shared" si="119"/>
        <v>-77.2474807185299</v>
      </c>
      <c r="DG62" s="12">
        <f t="shared" si="120"/>
        <v>-69.857196766957003</v>
      </c>
      <c r="DH62" s="12">
        <f t="shared" si="121"/>
        <v>-79.706424185299525</v>
      </c>
      <c r="DI62" s="12">
        <f t="shared" si="122"/>
        <v>-88.753823265309592</v>
      </c>
      <c r="DJ62" t="s">
        <v>19</v>
      </c>
      <c r="DK62" t="str">
        <f t="shared" si="143"/>
        <v>HL</v>
      </c>
      <c r="DL62" t="str">
        <f t="shared" si="147"/>
        <v>LL</v>
      </c>
      <c r="DM62" t="str">
        <f t="shared" si="151"/>
        <v>LL</v>
      </c>
      <c r="DN62" t="str">
        <f t="shared" si="159"/>
        <v>HL</v>
      </c>
      <c r="DO62" t="str">
        <f t="shared" si="167"/>
        <v>HL</v>
      </c>
      <c r="DP62" t="str">
        <f t="shared" si="175"/>
        <v>LL</v>
      </c>
      <c r="DQ62" t="str">
        <f t="shared" si="183"/>
        <v>HL</v>
      </c>
      <c r="DR62" t="str">
        <f t="shared" si="191"/>
        <v>HL</v>
      </c>
      <c r="DS62" t="str">
        <f t="shared" si="199"/>
        <v>LL</v>
      </c>
      <c r="DT62" t="str">
        <f t="shared" si="207"/>
        <v>HL</v>
      </c>
      <c r="DU62" t="str">
        <f t="shared" si="215"/>
        <v>LL</v>
      </c>
      <c r="DV62">
        <f t="shared" si="123"/>
        <v>0.3378972245551608</v>
      </c>
      <c r="DW62">
        <f t="shared" si="124"/>
        <v>0.18641857154328417</v>
      </c>
      <c r="DX62">
        <f t="shared" si="152"/>
        <v>0.82119659455154614</v>
      </c>
      <c r="DY62">
        <f t="shared" si="160"/>
        <v>1.1213326649175022</v>
      </c>
      <c r="DZ62">
        <f t="shared" si="168"/>
        <v>-0.14887443548158866</v>
      </c>
      <c r="EA62">
        <f t="shared" si="176"/>
        <v>-1.1710298161205415</v>
      </c>
      <c r="EB62">
        <f t="shared" si="184"/>
        <v>2.914336434522375</v>
      </c>
      <c r="EC62">
        <f t="shared" si="192"/>
        <v>1.2814920430303582</v>
      </c>
      <c r="ED62">
        <f t="shared" si="200"/>
        <v>-1.6942605215813613</v>
      </c>
      <c r="EE62">
        <f t="shared" si="208"/>
        <v>-1.2945131306817979</v>
      </c>
      <c r="EF62">
        <f t="shared" si="216"/>
        <v>-2.7175009928579392</v>
      </c>
      <c r="EG62" s="13" t="str">
        <f t="shared" si="125"/>
        <v/>
      </c>
      <c r="EH62" s="13" t="str">
        <f t="shared" si="126"/>
        <v/>
      </c>
      <c r="EI62" s="13" t="str">
        <f t="shared" si="127"/>
        <v/>
      </c>
      <c r="EJ62" s="13" t="str">
        <f t="shared" si="128"/>
        <v/>
      </c>
      <c r="EK62" s="13" t="str">
        <f t="shared" si="129"/>
        <v/>
      </c>
      <c r="EL62" s="13" t="str">
        <f t="shared" si="130"/>
        <v/>
      </c>
      <c r="EM62" s="13" t="str">
        <f t="shared" si="131"/>
        <v/>
      </c>
      <c r="EN62" s="13" t="str">
        <f t="shared" si="132"/>
        <v/>
      </c>
      <c r="EO62" s="13" t="str">
        <f t="shared" si="133"/>
        <v/>
      </c>
      <c r="EP62" s="13" t="str">
        <f t="shared" si="134"/>
        <v/>
      </c>
      <c r="EQ62" s="13" t="str">
        <f t="shared" si="135"/>
        <v/>
      </c>
    </row>
    <row r="63" spans="1:147" ht="14.25" customHeight="1" x14ac:dyDescent="0.55000000000000004">
      <c r="A63">
        <v>1775606404</v>
      </c>
      <c r="B63" t="s">
        <v>16</v>
      </c>
      <c r="C63" t="s">
        <v>17</v>
      </c>
      <c r="D63">
        <v>4834.2700000000004</v>
      </c>
      <c r="E63" t="s">
        <v>20</v>
      </c>
      <c r="F63">
        <v>4857.37</v>
      </c>
      <c r="G63">
        <v>4694.3100000000004</v>
      </c>
      <c r="H63">
        <v>4663.28</v>
      </c>
      <c r="I63">
        <f t="shared" si="148"/>
        <v>4667.87</v>
      </c>
      <c r="J63">
        <f t="shared" si="156"/>
        <v>4697.83</v>
      </c>
      <c r="K63">
        <f t="shared" si="164"/>
        <v>4706.47</v>
      </c>
      <c r="L63">
        <f t="shared" si="172"/>
        <v>4699.1499999999996</v>
      </c>
      <c r="M63">
        <f t="shared" si="180"/>
        <v>4800.45</v>
      </c>
      <c r="N63">
        <f t="shared" si="188"/>
        <v>4793.1400000000003</v>
      </c>
      <c r="O63">
        <f t="shared" si="196"/>
        <v>4724.3999999999996</v>
      </c>
      <c r="P63">
        <f t="shared" si="204"/>
        <v>4581.6400000000003</v>
      </c>
      <c r="Q63">
        <f t="shared" si="212"/>
        <v>4619.84</v>
      </c>
      <c r="R63">
        <v>249.46</v>
      </c>
      <c r="S63">
        <f t="shared" si="136"/>
        <v>70.830000000000837</v>
      </c>
      <c r="T63">
        <f t="shared" si="137"/>
        <v>46.779999999999745</v>
      </c>
      <c r="U63">
        <f t="shared" si="153"/>
        <v>22.119999999999891</v>
      </c>
      <c r="V63">
        <f t="shared" si="161"/>
        <v>38.25</v>
      </c>
      <c r="W63">
        <f t="shared" si="169"/>
        <v>105.42000000000007</v>
      </c>
      <c r="X63">
        <f t="shared" si="177"/>
        <v>145.19999999999982</v>
      </c>
      <c r="Y63">
        <f t="shared" si="185"/>
        <v>58.25</v>
      </c>
      <c r="Z63">
        <f t="shared" si="193"/>
        <v>126.18000000000029</v>
      </c>
      <c r="AA63">
        <f t="shared" si="201"/>
        <v>194.55999999999949</v>
      </c>
      <c r="AB63">
        <f t="shared" si="209"/>
        <v>33.380000000000109</v>
      </c>
      <c r="AC63">
        <f t="shared" si="217"/>
        <v>137.15000000000055</v>
      </c>
      <c r="AD63">
        <v>5.41</v>
      </c>
      <c r="AE63" s="14">
        <f t="shared" si="138"/>
        <v>1.5319629370085055</v>
      </c>
      <c r="AF63" s="14">
        <f t="shared" si="139"/>
        <v>1.0133217805696901</v>
      </c>
      <c r="AG63" s="14">
        <f t="shared" si="154"/>
        <v>0.47613410106010629</v>
      </c>
      <c r="AH63" s="14">
        <f t="shared" si="162"/>
        <v>0.82088943638697043</v>
      </c>
      <c r="AI63" s="14">
        <f t="shared" si="170"/>
        <v>2.2912161354473453</v>
      </c>
      <c r="AJ63" s="14">
        <f t="shared" si="178"/>
        <v>3.188440804137064</v>
      </c>
      <c r="AK63" s="14">
        <f t="shared" si="186"/>
        <v>1.2283328412972883</v>
      </c>
      <c r="AL63" s="14">
        <f t="shared" si="194"/>
        <v>2.7036871968047786</v>
      </c>
      <c r="AM63" s="14">
        <f t="shared" si="202"/>
        <v>4.2950744397152985</v>
      </c>
      <c r="AN63" s="14">
        <f t="shared" si="210"/>
        <v>0.7339070325794943</v>
      </c>
      <c r="AO63" s="14">
        <f t="shared" si="218"/>
        <v>3.0595468346015573</v>
      </c>
      <c r="AP63">
        <v>2</v>
      </c>
      <c r="AQ63">
        <f t="shared" si="140"/>
        <v>0</v>
      </c>
      <c r="AR63">
        <f t="shared" si="144"/>
        <v>0</v>
      </c>
      <c r="AS63">
        <f t="shared" si="149"/>
        <v>0</v>
      </c>
      <c r="AT63">
        <f t="shared" si="157"/>
        <v>0</v>
      </c>
      <c r="AU63">
        <f t="shared" si="165"/>
        <v>0</v>
      </c>
      <c r="AV63">
        <f t="shared" si="173"/>
        <v>0</v>
      </c>
      <c r="AW63">
        <f t="shared" si="181"/>
        <v>0</v>
      </c>
      <c r="AX63">
        <f t="shared" si="189"/>
        <v>0</v>
      </c>
      <c r="AY63">
        <f t="shared" si="197"/>
        <v>0</v>
      </c>
      <c r="AZ63">
        <f t="shared" si="205"/>
        <v>0</v>
      </c>
      <c r="BA63">
        <f t="shared" si="213"/>
        <v>0</v>
      </c>
      <c r="BB63">
        <v>36</v>
      </c>
      <c r="BC63">
        <f t="shared" si="141"/>
        <v>15</v>
      </c>
      <c r="BD63">
        <f t="shared" si="145"/>
        <v>11</v>
      </c>
      <c r="BE63">
        <f t="shared" si="150"/>
        <v>7</v>
      </c>
      <c r="BF63">
        <f t="shared" si="158"/>
        <v>9</v>
      </c>
      <c r="BG63">
        <f t="shared" si="166"/>
        <v>37</v>
      </c>
      <c r="BH63">
        <f t="shared" si="174"/>
        <v>34</v>
      </c>
      <c r="BI63">
        <f t="shared" si="182"/>
        <v>16</v>
      </c>
      <c r="BJ63">
        <f t="shared" si="190"/>
        <v>51</v>
      </c>
      <c r="BK63">
        <f t="shared" si="198"/>
        <v>54</v>
      </c>
      <c r="BL63">
        <f t="shared" si="206"/>
        <v>3</v>
      </c>
      <c r="BM63">
        <f t="shared" si="214"/>
        <v>6</v>
      </c>
      <c r="BZ63" s="12">
        <f t="shared" si="110"/>
        <v>6.929444444444445</v>
      </c>
      <c r="CA63" s="12">
        <f t="shared" si="142"/>
        <v>4.7220000000000555</v>
      </c>
      <c r="CB63" s="12">
        <f t="shared" si="146"/>
        <v>4.2527272727272498</v>
      </c>
      <c r="CC63" s="12">
        <f t="shared" si="155"/>
        <v>3.1599999999999846</v>
      </c>
      <c r="CD63" s="12">
        <f t="shared" si="163"/>
        <v>4.25</v>
      </c>
      <c r="CE63" s="12">
        <f t="shared" si="171"/>
        <v>2.849189189189191</v>
      </c>
      <c r="CF63" s="12">
        <f t="shared" si="179"/>
        <v>4.2705882352941122</v>
      </c>
      <c r="CG63" s="12">
        <f t="shared" si="187"/>
        <v>3.640625</v>
      </c>
      <c r="CH63" s="12">
        <f t="shared" si="195"/>
        <v>2.4741176470588293</v>
      </c>
      <c r="CI63" s="12">
        <f t="shared" si="203"/>
        <v>3.6029629629629536</v>
      </c>
      <c r="CJ63" s="12">
        <f t="shared" si="211"/>
        <v>11.126666666666702</v>
      </c>
      <c r="CK63" s="12">
        <f t="shared" si="219"/>
        <v>22.858333333333423</v>
      </c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>
        <f t="shared" si="111"/>
        <v>81.788240397338924</v>
      </c>
      <c r="CY63" s="12">
        <f t="shared" si="112"/>
        <v>78.042869263019668</v>
      </c>
      <c r="CZ63" s="12">
        <f t="shared" si="113"/>
        <v>76.767672413167134</v>
      </c>
      <c r="DA63" s="12">
        <f t="shared" si="114"/>
        <v>72.43972794819922</v>
      </c>
      <c r="DB63" s="12">
        <f t="shared" si="115"/>
        <v>76.759480084812793</v>
      </c>
      <c r="DC63" s="12">
        <f t="shared" si="116"/>
        <v>70.6600977040994</v>
      </c>
      <c r="DD63" s="12">
        <f t="shared" si="117"/>
        <v>76.821078963950583</v>
      </c>
      <c r="DE63" s="12">
        <f t="shared" si="118"/>
        <v>74.64089633032458</v>
      </c>
      <c r="DF63" s="12">
        <f t="shared" si="119"/>
        <v>67.992204644225694</v>
      </c>
      <c r="DG63" s="12">
        <f t="shared" si="120"/>
        <v>74.488040554358946</v>
      </c>
      <c r="DH63" s="12">
        <f t="shared" si="121"/>
        <v>84.8643867726568</v>
      </c>
      <c r="DI63" s="12">
        <f t="shared" si="122"/>
        <v>87.495037433357894</v>
      </c>
      <c r="DJ63" t="s">
        <v>23</v>
      </c>
      <c r="DK63" t="str">
        <f t="shared" si="143"/>
        <v>HH</v>
      </c>
      <c r="DL63" t="str">
        <f t="shared" si="147"/>
        <v>LH</v>
      </c>
      <c r="DM63" t="str">
        <f t="shared" si="151"/>
        <v>LH</v>
      </c>
      <c r="DN63" t="str">
        <f t="shared" si="159"/>
        <v>LH</v>
      </c>
      <c r="DO63" t="str">
        <f t="shared" si="167"/>
        <v>HH</v>
      </c>
      <c r="DP63" t="str">
        <f t="shared" si="175"/>
        <v>LH</v>
      </c>
      <c r="DQ63" t="str">
        <f t="shared" si="183"/>
        <v>HH</v>
      </c>
      <c r="DR63" t="str">
        <f t="shared" si="191"/>
        <v>HH</v>
      </c>
      <c r="DS63" t="str">
        <f t="shared" si="199"/>
        <v>HH</v>
      </c>
      <c r="DT63" t="str">
        <f t="shared" si="207"/>
        <v>LH</v>
      </c>
      <c r="DU63" t="str">
        <f t="shared" si="215"/>
        <v>HH</v>
      </c>
      <c r="DV63">
        <f t="shared" si="123"/>
        <v>-3.3569606597809001</v>
      </c>
      <c r="DW63">
        <f t="shared" si="124"/>
        <v>-3.9957837265845542</v>
      </c>
      <c r="DX63">
        <f t="shared" si="152"/>
        <v>-3.9012881456426007</v>
      </c>
      <c r="DY63">
        <f t="shared" si="160"/>
        <v>-3.2844934604528779</v>
      </c>
      <c r="DZ63">
        <f t="shared" si="168"/>
        <v>-3.1066194257386126</v>
      </c>
      <c r="EA63">
        <f t="shared" si="176"/>
        <v>-3.2573182607048725</v>
      </c>
      <c r="EB63">
        <f t="shared" si="184"/>
        <v>-1.1718275527703279</v>
      </c>
      <c r="EC63">
        <f t="shared" si="192"/>
        <v>-1.3223205150112007</v>
      </c>
      <c r="ED63">
        <f t="shared" si="200"/>
        <v>-2.7374896291614652</v>
      </c>
      <c r="EE63">
        <f t="shared" si="208"/>
        <v>-5.6765286564539981</v>
      </c>
      <c r="EF63">
        <f t="shared" si="216"/>
        <v>-4.8900948455645699</v>
      </c>
      <c r="EG63" s="13" t="str">
        <f t="shared" si="125"/>
        <v/>
      </c>
      <c r="EH63" s="13" t="str">
        <f t="shared" si="126"/>
        <v/>
      </c>
      <c r="EI63" s="13" t="str">
        <f t="shared" si="127"/>
        <v/>
      </c>
      <c r="EJ63" s="13" t="str">
        <f t="shared" si="128"/>
        <v/>
      </c>
      <c r="EK63" s="13" t="str">
        <f t="shared" si="129"/>
        <v/>
      </c>
      <c r="EL63" s="13" t="str">
        <f t="shared" si="130"/>
        <v/>
      </c>
      <c r="EM63" s="13" t="str">
        <f t="shared" si="131"/>
        <v/>
      </c>
      <c r="EN63" s="13" t="str">
        <f t="shared" si="132"/>
        <v/>
      </c>
      <c r="EO63" s="13" t="str">
        <f t="shared" si="133"/>
        <v/>
      </c>
      <c r="EP63" s="13" t="str">
        <f t="shared" si="134"/>
        <v/>
      </c>
      <c r="EQ63" s="13" t="str">
        <f t="shared" si="135"/>
        <v/>
      </c>
    </row>
    <row r="64" spans="1:147" ht="14.25" customHeight="1" x14ac:dyDescent="0.55000000000000004">
      <c r="A64">
        <v>1775643304</v>
      </c>
      <c r="B64" t="s">
        <v>16</v>
      </c>
      <c r="C64" t="s">
        <v>17</v>
      </c>
      <c r="D64">
        <v>4782.6099999999997</v>
      </c>
      <c r="E64" t="s">
        <v>18</v>
      </c>
      <c r="F64">
        <v>4771.22</v>
      </c>
      <c r="G64">
        <v>4607.91</v>
      </c>
      <c r="H64">
        <v>4623.4799999999996</v>
      </c>
      <c r="I64">
        <f t="shared" si="148"/>
        <v>4616.5</v>
      </c>
      <c r="J64">
        <f t="shared" si="156"/>
        <v>4645.75</v>
      </c>
      <c r="K64">
        <f t="shared" si="164"/>
        <v>4659.58</v>
      </c>
      <c r="L64">
        <f t="shared" si="172"/>
        <v>4601.05</v>
      </c>
      <c r="M64">
        <f t="shared" si="180"/>
        <v>4553.95</v>
      </c>
      <c r="N64">
        <f t="shared" si="188"/>
        <v>4742.2</v>
      </c>
      <c r="O64">
        <f t="shared" si="196"/>
        <v>4666.96</v>
      </c>
      <c r="P64">
        <f t="shared" si="204"/>
        <v>4529.84</v>
      </c>
      <c r="Q64">
        <f t="shared" si="212"/>
        <v>4548.26</v>
      </c>
      <c r="R64">
        <v>-86.15</v>
      </c>
      <c r="S64">
        <f t="shared" si="136"/>
        <v>-86.400000000000546</v>
      </c>
      <c r="T64">
        <f t="shared" si="137"/>
        <v>-39.800000000000182</v>
      </c>
      <c r="U64">
        <f t="shared" si="153"/>
        <v>-51.369999999999891</v>
      </c>
      <c r="V64">
        <f t="shared" si="161"/>
        <v>-52.079999999999927</v>
      </c>
      <c r="W64">
        <f t="shared" si="169"/>
        <v>-46.890000000000327</v>
      </c>
      <c r="X64">
        <f t="shared" si="177"/>
        <v>-98.099999999999454</v>
      </c>
      <c r="Y64">
        <f t="shared" si="185"/>
        <v>-246.5</v>
      </c>
      <c r="Z64">
        <f t="shared" si="193"/>
        <v>-50.940000000000509</v>
      </c>
      <c r="AA64">
        <f t="shared" si="201"/>
        <v>-57.4399999999996</v>
      </c>
      <c r="AB64">
        <f t="shared" si="209"/>
        <v>-51.800000000000182</v>
      </c>
      <c r="AC64">
        <f t="shared" si="217"/>
        <v>-71.579999999999927</v>
      </c>
      <c r="AD64">
        <v>-1.77</v>
      </c>
      <c r="AE64" s="14">
        <f t="shared" si="138"/>
        <v>-1.8405260837056039</v>
      </c>
      <c r="AF64" s="14">
        <f t="shared" si="139"/>
        <v>-0.8534765229623823</v>
      </c>
      <c r="AG64" s="14">
        <f t="shared" si="154"/>
        <v>-1.1005019419992392</v>
      </c>
      <c r="AH64" s="14">
        <f t="shared" si="162"/>
        <v>-1.1085969479525637</v>
      </c>
      <c r="AI64" s="14">
        <f t="shared" si="170"/>
        <v>-0.99628808852495232</v>
      </c>
      <c r="AJ64" s="14">
        <f t="shared" si="178"/>
        <v>-2.0876115893299736</v>
      </c>
      <c r="AK64" s="14">
        <f t="shared" si="186"/>
        <v>-5.1349352664854342</v>
      </c>
      <c r="AL64" s="14">
        <f t="shared" si="194"/>
        <v>-1.0627688738488861</v>
      </c>
      <c r="AM64" s="14">
        <f t="shared" si="202"/>
        <v>-1.2158157649648549</v>
      </c>
      <c r="AN64" s="14">
        <f t="shared" si="210"/>
        <v>-1.1305995233147994</v>
      </c>
      <c r="AO64" s="14">
        <f t="shared" si="218"/>
        <v>-1.5494043083743143</v>
      </c>
      <c r="AP64">
        <v>3</v>
      </c>
      <c r="AQ64">
        <f t="shared" si="140"/>
        <v>3</v>
      </c>
      <c r="AR64">
        <f t="shared" si="144"/>
        <v>3</v>
      </c>
      <c r="AS64">
        <f t="shared" si="149"/>
        <v>3</v>
      </c>
      <c r="AT64">
        <f t="shared" si="157"/>
        <v>3</v>
      </c>
      <c r="AU64">
        <f t="shared" si="165"/>
        <v>3</v>
      </c>
      <c r="AV64">
        <f t="shared" si="173"/>
        <v>3</v>
      </c>
      <c r="AW64">
        <f t="shared" si="181"/>
        <v>3</v>
      </c>
      <c r="AX64">
        <f t="shared" si="189"/>
        <v>3</v>
      </c>
      <c r="AY64">
        <f t="shared" si="197"/>
        <v>3</v>
      </c>
      <c r="AZ64">
        <f t="shared" si="205"/>
        <v>3</v>
      </c>
      <c r="BA64">
        <f t="shared" si="213"/>
        <v>3</v>
      </c>
      <c r="BB64">
        <v>41</v>
      </c>
      <c r="BC64">
        <f t="shared" si="141"/>
        <v>19</v>
      </c>
      <c r="BD64">
        <f t="shared" si="145"/>
        <v>4</v>
      </c>
      <c r="BE64">
        <f t="shared" si="150"/>
        <v>15</v>
      </c>
      <c r="BF64">
        <f t="shared" si="158"/>
        <v>19</v>
      </c>
      <c r="BG64">
        <f t="shared" si="166"/>
        <v>11</v>
      </c>
      <c r="BH64">
        <f t="shared" si="174"/>
        <v>35</v>
      </c>
      <c r="BI64">
        <f t="shared" si="182"/>
        <v>26</v>
      </c>
      <c r="BJ64">
        <f t="shared" si="190"/>
        <v>6</v>
      </c>
      <c r="BK64">
        <f t="shared" si="198"/>
        <v>13</v>
      </c>
      <c r="BL64">
        <f t="shared" si="206"/>
        <v>19</v>
      </c>
      <c r="BM64">
        <f t="shared" si="214"/>
        <v>13</v>
      </c>
      <c r="BZ64" s="12">
        <f t="shared" si="110"/>
        <v>-2.1012195121951223</v>
      </c>
      <c r="CA64" s="12">
        <f t="shared" si="142"/>
        <v>-4.5473684210526599</v>
      </c>
      <c r="CB64" s="12">
        <f t="shared" si="146"/>
        <v>-9.9500000000000455</v>
      </c>
      <c r="CC64" s="12">
        <f t="shared" si="155"/>
        <v>-3.4246666666666594</v>
      </c>
      <c r="CD64" s="12">
        <f t="shared" si="163"/>
        <v>-2.7410526315789436</v>
      </c>
      <c r="CE64" s="12">
        <f t="shared" si="171"/>
        <v>-4.2627272727273029</v>
      </c>
      <c r="CF64" s="12">
        <f t="shared" si="179"/>
        <v>-2.8028571428571274</v>
      </c>
      <c r="CG64" s="12">
        <f t="shared" si="187"/>
        <v>-9.4807692307692299</v>
      </c>
      <c r="CH64" s="12">
        <f t="shared" si="195"/>
        <v>-8.4900000000000855</v>
      </c>
      <c r="CI64" s="12">
        <f t="shared" si="203"/>
        <v>-4.418461538461508</v>
      </c>
      <c r="CJ64" s="12">
        <f t="shared" si="211"/>
        <v>-2.7263157894736936</v>
      </c>
      <c r="CK64" s="12">
        <f t="shared" si="219"/>
        <v>-5.5061538461538406</v>
      </c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>
        <f t="shared" si="111"/>
        <v>-64.549564335542613</v>
      </c>
      <c r="CY64" s="12">
        <f t="shared" si="112"/>
        <v>-77.597641819639662</v>
      </c>
      <c r="CZ64" s="12">
        <f t="shared" si="113"/>
        <v>-84.260901501910425</v>
      </c>
      <c r="DA64" s="12">
        <f t="shared" si="114"/>
        <v>-73.722236714786519</v>
      </c>
      <c r="DB64" s="12">
        <f t="shared" si="115"/>
        <v>-69.956849840129522</v>
      </c>
      <c r="DC64" s="12">
        <f t="shared" si="116"/>
        <v>-76.797625950239947</v>
      </c>
      <c r="DD64" s="12">
        <f t="shared" si="117"/>
        <v>-70.364677549257877</v>
      </c>
      <c r="DE64" s="12">
        <f t="shared" si="118"/>
        <v>-83.978894838902605</v>
      </c>
      <c r="DF64" s="12">
        <f t="shared" si="119"/>
        <v>-83.282332155660583</v>
      </c>
      <c r="DG64" s="12">
        <f t="shared" si="120"/>
        <v>-77.2474807185299</v>
      </c>
      <c r="DH64" s="12">
        <f t="shared" si="121"/>
        <v>-69.857196766957003</v>
      </c>
      <c r="DI64" s="12">
        <f t="shared" si="122"/>
        <v>-79.706424185299525</v>
      </c>
      <c r="DJ64" t="s">
        <v>22</v>
      </c>
      <c r="DK64" t="str">
        <f t="shared" si="143"/>
        <v>LL</v>
      </c>
      <c r="DL64" t="str">
        <f t="shared" si="147"/>
        <v>HL</v>
      </c>
      <c r="DM64" t="str">
        <f t="shared" si="151"/>
        <v>LL</v>
      </c>
      <c r="DN64" t="str">
        <f t="shared" si="159"/>
        <v>LL</v>
      </c>
      <c r="DO64" t="str">
        <f t="shared" si="167"/>
        <v>HL</v>
      </c>
      <c r="DP64" t="str">
        <f t="shared" si="175"/>
        <v>HL</v>
      </c>
      <c r="DQ64" t="str">
        <f t="shared" si="183"/>
        <v>LL</v>
      </c>
      <c r="DR64" t="str">
        <f t="shared" si="191"/>
        <v>HL</v>
      </c>
      <c r="DS64" t="str">
        <f t="shared" si="199"/>
        <v>HL</v>
      </c>
      <c r="DT64" t="str">
        <f t="shared" si="207"/>
        <v>LL</v>
      </c>
      <c r="DU64" t="str">
        <f t="shared" si="215"/>
        <v>HL</v>
      </c>
      <c r="DV64">
        <f t="shared" si="123"/>
        <v>-3.4228142906845713</v>
      </c>
      <c r="DW64">
        <f t="shared" si="124"/>
        <v>-3.0964826606193108</v>
      </c>
      <c r="DX64">
        <f t="shared" si="152"/>
        <v>-3.2427764806485606</v>
      </c>
      <c r="DY64">
        <f t="shared" si="160"/>
        <v>-2.6297257305259505</v>
      </c>
      <c r="DZ64">
        <f t="shared" si="168"/>
        <v>-2.3398627604679794</v>
      </c>
      <c r="EA64">
        <f t="shared" si="176"/>
        <v>-3.56659303071332</v>
      </c>
      <c r="EB64">
        <f t="shared" si="184"/>
        <v>-4.5537619309107615</v>
      </c>
      <c r="EC64">
        <f t="shared" si="192"/>
        <v>-0.6082301801216552</v>
      </c>
      <c r="ED64">
        <f t="shared" si="200"/>
        <v>-2.1851853404370418</v>
      </c>
      <c r="EE64">
        <f t="shared" si="208"/>
        <v>-5.0590834210118185</v>
      </c>
      <c r="EF64">
        <f t="shared" si="216"/>
        <v>-4.673018640934604</v>
      </c>
      <c r="EG64" s="13" t="str">
        <f t="shared" si="125"/>
        <v/>
      </c>
      <c r="EH64" s="13" t="str">
        <f t="shared" si="126"/>
        <v/>
      </c>
      <c r="EI64" s="13" t="str">
        <f t="shared" si="127"/>
        <v/>
      </c>
      <c r="EJ64" s="13" t="str">
        <f t="shared" si="128"/>
        <v/>
      </c>
      <c r="EK64" s="13" t="str">
        <f t="shared" si="129"/>
        <v/>
      </c>
      <c r="EL64" s="13" t="str">
        <f t="shared" si="130"/>
        <v/>
      </c>
      <c r="EM64" s="13" t="str">
        <f t="shared" si="131"/>
        <v/>
      </c>
      <c r="EN64" s="13" t="str">
        <f t="shared" si="132"/>
        <v/>
      </c>
      <c r="EO64" s="13" t="str">
        <f t="shared" si="133"/>
        <v/>
      </c>
      <c r="EP64" s="13" t="str">
        <f t="shared" si="134"/>
        <v/>
      </c>
      <c r="EQ64" s="13" t="str">
        <f t="shared" si="135"/>
        <v/>
      </c>
    </row>
    <row r="65" spans="1:147" ht="14.25" customHeight="1" x14ac:dyDescent="0.55000000000000004">
      <c r="A65">
        <v>1775649604</v>
      </c>
      <c r="B65" t="s">
        <v>16</v>
      </c>
      <c r="C65" t="s">
        <v>17</v>
      </c>
      <c r="D65">
        <v>4805.3100000000004</v>
      </c>
      <c r="E65" t="s">
        <v>20</v>
      </c>
      <c r="F65">
        <v>4807.34</v>
      </c>
      <c r="G65">
        <v>4857.37</v>
      </c>
      <c r="H65">
        <v>4694.3100000000004</v>
      </c>
      <c r="I65">
        <f t="shared" si="148"/>
        <v>4663.28</v>
      </c>
      <c r="J65">
        <f t="shared" si="156"/>
        <v>4667.87</v>
      </c>
      <c r="K65">
        <f t="shared" si="164"/>
        <v>4697.83</v>
      </c>
      <c r="L65">
        <f t="shared" si="172"/>
        <v>4706.47</v>
      </c>
      <c r="M65">
        <f t="shared" si="180"/>
        <v>4699.1499999999996</v>
      </c>
      <c r="N65">
        <f t="shared" si="188"/>
        <v>4800.45</v>
      </c>
      <c r="O65">
        <f t="shared" si="196"/>
        <v>4793.1400000000003</v>
      </c>
      <c r="P65">
        <f t="shared" si="204"/>
        <v>4724.3999999999996</v>
      </c>
      <c r="Q65">
        <f t="shared" si="212"/>
        <v>4581.6400000000003</v>
      </c>
      <c r="R65">
        <v>36.119999999999997</v>
      </c>
      <c r="S65">
        <f t="shared" si="136"/>
        <v>249.46000000000004</v>
      </c>
      <c r="T65">
        <f t="shared" si="137"/>
        <v>70.830000000000837</v>
      </c>
      <c r="U65">
        <f t="shared" si="153"/>
        <v>46.779999999999745</v>
      </c>
      <c r="V65">
        <f t="shared" si="161"/>
        <v>22.119999999999891</v>
      </c>
      <c r="W65">
        <f t="shared" si="169"/>
        <v>38.25</v>
      </c>
      <c r="X65">
        <f t="shared" si="177"/>
        <v>105.42000000000007</v>
      </c>
      <c r="Y65">
        <f t="shared" si="185"/>
        <v>145.19999999999982</v>
      </c>
      <c r="Z65">
        <f t="shared" si="193"/>
        <v>58.25</v>
      </c>
      <c r="AA65">
        <f t="shared" si="201"/>
        <v>126.18000000000029</v>
      </c>
      <c r="AB65">
        <f t="shared" si="209"/>
        <v>194.55999999999949</v>
      </c>
      <c r="AC65">
        <f t="shared" si="217"/>
        <v>33.380000000000109</v>
      </c>
      <c r="AD65">
        <v>0.76</v>
      </c>
      <c r="AE65" s="14">
        <f t="shared" si="138"/>
        <v>5.4137342092184975</v>
      </c>
      <c r="AF65" s="14">
        <f t="shared" si="139"/>
        <v>1.5319629370085055</v>
      </c>
      <c r="AG65" s="14">
        <f t="shared" si="154"/>
        <v>1.0133217805696901</v>
      </c>
      <c r="AH65" s="14">
        <f t="shared" si="162"/>
        <v>0.47613410106010629</v>
      </c>
      <c r="AI65" s="14">
        <f t="shared" si="170"/>
        <v>0.82088943638697043</v>
      </c>
      <c r="AJ65" s="14">
        <f t="shared" si="178"/>
        <v>2.2912161354473453</v>
      </c>
      <c r="AK65" s="14">
        <f t="shared" si="186"/>
        <v>3.188440804137064</v>
      </c>
      <c r="AL65" s="14">
        <f t="shared" si="194"/>
        <v>1.2283328412972883</v>
      </c>
      <c r="AM65" s="14">
        <f t="shared" si="202"/>
        <v>2.7036871968047786</v>
      </c>
      <c r="AN65" s="14">
        <f t="shared" si="210"/>
        <v>4.2950744397152985</v>
      </c>
      <c r="AO65" s="14">
        <f t="shared" si="218"/>
        <v>0.7339070325794943</v>
      </c>
      <c r="AP65">
        <v>0</v>
      </c>
      <c r="AQ65">
        <f t="shared" si="140"/>
        <v>2</v>
      </c>
      <c r="AR65">
        <f t="shared" si="144"/>
        <v>0</v>
      </c>
      <c r="AS65">
        <f t="shared" si="149"/>
        <v>0</v>
      </c>
      <c r="AT65">
        <f t="shared" si="157"/>
        <v>0</v>
      </c>
      <c r="AU65">
        <f t="shared" si="165"/>
        <v>0</v>
      </c>
      <c r="AV65">
        <f t="shared" si="173"/>
        <v>0</v>
      </c>
      <c r="AW65">
        <f t="shared" si="181"/>
        <v>0</v>
      </c>
      <c r="AX65">
        <f t="shared" si="189"/>
        <v>0</v>
      </c>
      <c r="AY65">
        <f t="shared" si="197"/>
        <v>0</v>
      </c>
      <c r="AZ65">
        <f t="shared" si="205"/>
        <v>0</v>
      </c>
      <c r="BA65">
        <f t="shared" si="213"/>
        <v>0</v>
      </c>
      <c r="BB65">
        <v>7</v>
      </c>
      <c r="BC65">
        <f t="shared" si="141"/>
        <v>36</v>
      </c>
      <c r="BD65">
        <f t="shared" si="145"/>
        <v>15</v>
      </c>
      <c r="BE65">
        <f t="shared" si="150"/>
        <v>11</v>
      </c>
      <c r="BF65">
        <f t="shared" si="158"/>
        <v>7</v>
      </c>
      <c r="BG65">
        <f t="shared" si="166"/>
        <v>9</v>
      </c>
      <c r="BH65">
        <f t="shared" si="174"/>
        <v>37</v>
      </c>
      <c r="BI65">
        <f t="shared" si="182"/>
        <v>34</v>
      </c>
      <c r="BJ65">
        <f t="shared" si="190"/>
        <v>16</v>
      </c>
      <c r="BK65">
        <f t="shared" si="198"/>
        <v>51</v>
      </c>
      <c r="BL65">
        <f t="shared" si="206"/>
        <v>54</v>
      </c>
      <c r="BM65">
        <f t="shared" si="214"/>
        <v>3</v>
      </c>
      <c r="BZ65" s="12">
        <f t="shared" si="110"/>
        <v>5.1599999999999993</v>
      </c>
      <c r="CA65" s="12">
        <f t="shared" si="142"/>
        <v>6.9294444444444458</v>
      </c>
      <c r="CB65" s="12">
        <f t="shared" si="146"/>
        <v>4.7220000000000555</v>
      </c>
      <c r="CC65" s="12">
        <f t="shared" si="155"/>
        <v>4.2527272727272498</v>
      </c>
      <c r="CD65" s="12">
        <f t="shared" si="163"/>
        <v>3.1599999999999846</v>
      </c>
      <c r="CE65" s="12">
        <f t="shared" si="171"/>
        <v>4.25</v>
      </c>
      <c r="CF65" s="12">
        <f t="shared" si="179"/>
        <v>2.849189189189191</v>
      </c>
      <c r="CG65" s="12">
        <f t="shared" si="187"/>
        <v>4.2705882352941122</v>
      </c>
      <c r="CH65" s="12">
        <f t="shared" si="195"/>
        <v>3.640625</v>
      </c>
      <c r="CI65" s="12">
        <f t="shared" si="203"/>
        <v>2.4741176470588293</v>
      </c>
      <c r="CJ65" s="12">
        <f t="shared" si="211"/>
        <v>3.6029629629629536</v>
      </c>
      <c r="CK65" s="12">
        <f t="shared" si="219"/>
        <v>11.126666666666702</v>
      </c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>
        <f t="shared" si="111"/>
        <v>79.032127817338321</v>
      </c>
      <c r="CY65" s="12">
        <f t="shared" si="112"/>
        <v>81.788240397338924</v>
      </c>
      <c r="CZ65" s="12">
        <f t="shared" si="113"/>
        <v>78.042869263019668</v>
      </c>
      <c r="DA65" s="12">
        <f t="shared" si="114"/>
        <v>76.767672413167134</v>
      </c>
      <c r="DB65" s="12">
        <f t="shared" si="115"/>
        <v>72.43972794819922</v>
      </c>
      <c r="DC65" s="12">
        <f t="shared" si="116"/>
        <v>76.759480084812793</v>
      </c>
      <c r="DD65" s="12">
        <f t="shared" si="117"/>
        <v>70.6600977040994</v>
      </c>
      <c r="DE65" s="12">
        <f t="shared" si="118"/>
        <v>76.821078963950583</v>
      </c>
      <c r="DF65" s="12">
        <f t="shared" si="119"/>
        <v>74.64089633032458</v>
      </c>
      <c r="DG65" s="12">
        <f t="shared" si="120"/>
        <v>67.992204644225694</v>
      </c>
      <c r="DH65" s="12">
        <f t="shared" si="121"/>
        <v>74.488040554358946</v>
      </c>
      <c r="DI65" s="12">
        <f t="shared" si="122"/>
        <v>84.8643867726568</v>
      </c>
      <c r="DJ65" t="s">
        <v>21</v>
      </c>
      <c r="DK65" t="str">
        <f t="shared" si="143"/>
        <v>HH</v>
      </c>
      <c r="DL65" t="str">
        <f t="shared" si="147"/>
        <v>HH</v>
      </c>
      <c r="DM65" t="str">
        <f t="shared" si="151"/>
        <v>LH</v>
      </c>
      <c r="DN65" t="str">
        <f t="shared" si="159"/>
        <v>LH</v>
      </c>
      <c r="DO65" t="str">
        <f t="shared" si="167"/>
        <v>LH</v>
      </c>
      <c r="DP65" t="str">
        <f t="shared" si="175"/>
        <v>HH</v>
      </c>
      <c r="DQ65" t="str">
        <f t="shared" si="183"/>
        <v>LH</v>
      </c>
      <c r="DR65" t="str">
        <f t="shared" si="191"/>
        <v>HH</v>
      </c>
      <c r="DS65" t="str">
        <f t="shared" si="199"/>
        <v>HH</v>
      </c>
      <c r="DT65" t="str">
        <f t="shared" si="207"/>
        <v>HH</v>
      </c>
      <c r="DU65" t="str">
        <f t="shared" si="215"/>
        <v>LH</v>
      </c>
      <c r="DV65">
        <f t="shared" si="123"/>
        <v>1.0407002625152317</v>
      </c>
      <c r="DW65">
        <f t="shared" si="124"/>
        <v>-2.3511962956645411</v>
      </c>
      <c r="DX65">
        <f t="shared" si="152"/>
        <v>-2.9966675958014286</v>
      </c>
      <c r="DY65">
        <f t="shared" si="160"/>
        <v>-2.9011885991005473</v>
      </c>
      <c r="DZ65">
        <f t="shared" si="168"/>
        <v>-2.2779749300028751</v>
      </c>
      <c r="EA65">
        <f t="shared" si="176"/>
        <v>-2.0982497597423917</v>
      </c>
      <c r="EB65">
        <f t="shared" si="184"/>
        <v>-2.2505169178797528</v>
      </c>
      <c r="EC65">
        <f t="shared" si="192"/>
        <v>-0.14332250267300267</v>
      </c>
      <c r="ED65">
        <f t="shared" si="200"/>
        <v>-0.29538164556698338</v>
      </c>
      <c r="EE65">
        <f t="shared" si="208"/>
        <v>-1.7252784284032441</v>
      </c>
      <c r="EF65">
        <f t="shared" si="216"/>
        <v>-4.6949040425682353</v>
      </c>
      <c r="EG65" s="13" t="str">
        <f t="shared" si="125"/>
        <v/>
      </c>
      <c r="EH65" s="13" t="str">
        <f t="shared" si="126"/>
        <v/>
      </c>
      <c r="EI65" s="13" t="str">
        <f t="shared" si="127"/>
        <v/>
      </c>
      <c r="EJ65" s="13" t="str">
        <f t="shared" si="128"/>
        <v/>
      </c>
      <c r="EK65" s="13" t="str">
        <f t="shared" si="129"/>
        <v/>
      </c>
      <c r="EL65" s="13" t="str">
        <f t="shared" si="130"/>
        <v/>
      </c>
      <c r="EM65" s="13" t="str">
        <f t="shared" si="131"/>
        <v/>
      </c>
      <c r="EN65" s="13" t="str">
        <f t="shared" si="132"/>
        <v/>
      </c>
      <c r="EO65" s="13" t="str">
        <f t="shared" si="133"/>
        <v/>
      </c>
      <c r="EP65" s="13" t="str">
        <f t="shared" si="134"/>
        <v/>
      </c>
      <c r="EQ65" s="13" t="str">
        <f t="shared" si="135"/>
        <v/>
      </c>
    </row>
    <row r="66" spans="1:147" ht="14.25" customHeight="1" x14ac:dyDescent="0.55000000000000004">
      <c r="A66">
        <v>1775692804</v>
      </c>
      <c r="B66" t="s">
        <v>16</v>
      </c>
      <c r="C66" t="s">
        <v>17</v>
      </c>
      <c r="D66">
        <v>4702.29</v>
      </c>
      <c r="E66" t="s">
        <v>18</v>
      </c>
      <c r="F66">
        <v>4698.51</v>
      </c>
      <c r="G66">
        <v>4771.22</v>
      </c>
      <c r="H66">
        <v>4607.91</v>
      </c>
      <c r="I66">
        <f t="shared" si="148"/>
        <v>4623.4799999999996</v>
      </c>
      <c r="J66">
        <f t="shared" si="156"/>
        <v>4616.5</v>
      </c>
      <c r="K66">
        <f t="shared" si="164"/>
        <v>4645.75</v>
      </c>
      <c r="L66">
        <f t="shared" si="172"/>
        <v>4659.58</v>
      </c>
      <c r="M66">
        <f t="shared" si="180"/>
        <v>4601.05</v>
      </c>
      <c r="N66">
        <f t="shared" si="188"/>
        <v>4553.95</v>
      </c>
      <c r="O66">
        <f t="shared" si="196"/>
        <v>4742.2</v>
      </c>
      <c r="P66">
        <f t="shared" si="204"/>
        <v>4666.96</v>
      </c>
      <c r="Q66">
        <f t="shared" si="212"/>
        <v>4529.84</v>
      </c>
      <c r="R66">
        <v>-108.83</v>
      </c>
      <c r="S66">
        <f t="shared" si="136"/>
        <v>-86.149999999999636</v>
      </c>
      <c r="T66">
        <f t="shared" si="137"/>
        <v>-86.400000000000546</v>
      </c>
      <c r="U66">
        <f t="shared" si="153"/>
        <v>-39.800000000000182</v>
      </c>
      <c r="V66">
        <f t="shared" si="161"/>
        <v>-51.369999999999891</v>
      </c>
      <c r="W66">
        <f t="shared" si="169"/>
        <v>-52.079999999999927</v>
      </c>
      <c r="X66">
        <f t="shared" si="177"/>
        <v>-46.890000000000327</v>
      </c>
      <c r="Y66">
        <f t="shared" si="185"/>
        <v>-98.099999999999454</v>
      </c>
      <c r="Z66">
        <f t="shared" si="193"/>
        <v>-246.5</v>
      </c>
      <c r="AA66">
        <f t="shared" si="201"/>
        <v>-50.940000000000509</v>
      </c>
      <c r="AB66">
        <f t="shared" si="209"/>
        <v>-57.4399999999996</v>
      </c>
      <c r="AC66">
        <f t="shared" si="217"/>
        <v>-51.800000000000182</v>
      </c>
      <c r="AD66">
        <v>-2.2599999999999998</v>
      </c>
      <c r="AE66" s="14">
        <f t="shared" si="138"/>
        <v>-1.7735935290084888</v>
      </c>
      <c r="AF66" s="14">
        <f t="shared" si="139"/>
        <v>-1.8405260837056039</v>
      </c>
      <c r="AG66" s="14">
        <f t="shared" si="154"/>
        <v>-0.8534765229623823</v>
      </c>
      <c r="AH66" s="14">
        <f t="shared" si="162"/>
        <v>-1.1005019419992392</v>
      </c>
      <c r="AI66" s="14">
        <f t="shared" si="170"/>
        <v>-1.1085969479525637</v>
      </c>
      <c r="AJ66" s="14">
        <f t="shared" si="178"/>
        <v>-0.99628808852495232</v>
      </c>
      <c r="AK66" s="14">
        <f t="shared" si="186"/>
        <v>-2.0876115893299736</v>
      </c>
      <c r="AL66" s="14">
        <f t="shared" si="194"/>
        <v>-5.1349352664854342</v>
      </c>
      <c r="AM66" s="14">
        <f t="shared" si="202"/>
        <v>-1.0627688738488861</v>
      </c>
      <c r="AN66" s="14">
        <f t="shared" si="210"/>
        <v>-1.2158157649648549</v>
      </c>
      <c r="AO66" s="14">
        <f t="shared" si="218"/>
        <v>-1.1305995233147994</v>
      </c>
      <c r="AP66">
        <v>3</v>
      </c>
      <c r="AQ66">
        <f t="shared" si="140"/>
        <v>3</v>
      </c>
      <c r="AR66">
        <f t="shared" si="144"/>
        <v>3</v>
      </c>
      <c r="AS66">
        <f t="shared" si="149"/>
        <v>3</v>
      </c>
      <c r="AT66">
        <f t="shared" si="157"/>
        <v>3</v>
      </c>
      <c r="AU66">
        <f t="shared" si="165"/>
        <v>3</v>
      </c>
      <c r="AV66">
        <f t="shared" si="173"/>
        <v>3</v>
      </c>
      <c r="AW66">
        <f t="shared" si="181"/>
        <v>3</v>
      </c>
      <c r="AX66">
        <f t="shared" si="189"/>
        <v>3</v>
      </c>
      <c r="AY66">
        <f t="shared" si="197"/>
        <v>3</v>
      </c>
      <c r="AZ66">
        <f t="shared" si="205"/>
        <v>3</v>
      </c>
      <c r="BA66">
        <f t="shared" si="213"/>
        <v>3</v>
      </c>
      <c r="BB66">
        <v>44</v>
      </c>
      <c r="BC66">
        <f t="shared" si="141"/>
        <v>41</v>
      </c>
      <c r="BD66">
        <f t="shared" si="145"/>
        <v>19</v>
      </c>
      <c r="BE66">
        <f t="shared" si="150"/>
        <v>4</v>
      </c>
      <c r="BF66">
        <f t="shared" si="158"/>
        <v>15</v>
      </c>
      <c r="BG66">
        <f t="shared" si="166"/>
        <v>19</v>
      </c>
      <c r="BH66">
        <f t="shared" si="174"/>
        <v>11</v>
      </c>
      <c r="BI66">
        <f t="shared" si="182"/>
        <v>35</v>
      </c>
      <c r="BJ66">
        <f t="shared" si="190"/>
        <v>26</v>
      </c>
      <c r="BK66">
        <f t="shared" si="198"/>
        <v>6</v>
      </c>
      <c r="BL66">
        <f t="shared" si="206"/>
        <v>13</v>
      </c>
      <c r="BM66">
        <f t="shared" si="214"/>
        <v>19</v>
      </c>
      <c r="BZ66" s="12">
        <f t="shared" ref="BZ66:BZ97" si="220">IFERROR(R66/BB66,0)</f>
        <v>-2.4734090909090907</v>
      </c>
      <c r="CA66" s="12">
        <f t="shared" si="142"/>
        <v>-2.1012195121951129</v>
      </c>
      <c r="CB66" s="12">
        <f t="shared" si="146"/>
        <v>-4.5473684210526599</v>
      </c>
      <c r="CC66" s="12">
        <f t="shared" si="155"/>
        <v>-9.9500000000000455</v>
      </c>
      <c r="CD66" s="12">
        <f t="shared" si="163"/>
        <v>-3.4246666666666594</v>
      </c>
      <c r="CE66" s="12">
        <f t="shared" si="171"/>
        <v>-2.7410526315789436</v>
      </c>
      <c r="CF66" s="12">
        <f t="shared" si="179"/>
        <v>-4.2627272727273029</v>
      </c>
      <c r="CG66" s="12">
        <f t="shared" si="187"/>
        <v>-2.8028571428571274</v>
      </c>
      <c r="CH66" s="12">
        <f t="shared" si="195"/>
        <v>-9.4807692307692299</v>
      </c>
      <c r="CI66" s="12">
        <f t="shared" si="203"/>
        <v>-8.4900000000000855</v>
      </c>
      <c r="CJ66" s="12">
        <f t="shared" si="211"/>
        <v>-4.418461538461508</v>
      </c>
      <c r="CK66" s="12">
        <f t="shared" si="219"/>
        <v>-2.7263157894736936</v>
      </c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>
        <f t="shared" ref="CX66:CX97" si="221">IF(BZ66="","",DEGREES(ATAN(BZ66)))</f>
        <v>-67.986502383136397</v>
      </c>
      <c r="CY66" s="12">
        <f t="shared" ref="CY66:CY97" si="222">IF(CA66="","",DEGREES(ATAN(CA66)))</f>
        <v>-64.549564335542513</v>
      </c>
      <c r="CZ66" s="12">
        <f t="shared" ref="CZ66:CZ97" si="223">IF(CB66="","",DEGREES(ATAN(CB66)))</f>
        <v>-77.597641819639662</v>
      </c>
      <c r="DA66" s="12">
        <f t="shared" ref="DA66:DA97" si="224">IF(CC66="","",DEGREES(ATAN(CC66)))</f>
        <v>-84.260901501910425</v>
      </c>
      <c r="DB66" s="12">
        <f t="shared" ref="DB66:DB97" si="225">IF(CD66="","",DEGREES(ATAN(CD66)))</f>
        <v>-73.722236714786519</v>
      </c>
      <c r="DC66" s="12">
        <f t="shared" ref="DC66:DC97" si="226">IF(CE66="","",DEGREES(ATAN(CE66)))</f>
        <v>-69.956849840129522</v>
      </c>
      <c r="DD66" s="12">
        <f t="shared" ref="DD66:DD97" si="227">IF(CF66="","",DEGREES(ATAN(CF66)))</f>
        <v>-76.797625950239947</v>
      </c>
      <c r="DE66" s="12">
        <f t="shared" ref="DE66:DE97" si="228">IF(CG66="","",DEGREES(ATAN(CG66)))</f>
        <v>-70.364677549257877</v>
      </c>
      <c r="DF66" s="12">
        <f t="shared" ref="DF66:DF97" si="229">IF(CH66="","",DEGREES(ATAN(CH66)))</f>
        <v>-83.978894838902605</v>
      </c>
      <c r="DG66" s="12">
        <f t="shared" ref="DG66:DG97" si="230">IF(CI66="","",DEGREES(ATAN(CI66)))</f>
        <v>-83.282332155660583</v>
      </c>
      <c r="DH66" s="12">
        <f t="shared" ref="DH66:DH97" si="231">IF(CJ66="","",DEGREES(ATAN(CJ66)))</f>
        <v>-77.2474807185299</v>
      </c>
      <c r="DI66" s="12">
        <f t="shared" ref="DI66:DI97" si="232">IF(CK66="","",DEGREES(ATAN(CK66)))</f>
        <v>-69.857196766957003</v>
      </c>
      <c r="DJ66" t="s">
        <v>19</v>
      </c>
      <c r="DK66" t="str">
        <f t="shared" si="143"/>
        <v>HL</v>
      </c>
      <c r="DL66" t="str">
        <f t="shared" si="147"/>
        <v>LL</v>
      </c>
      <c r="DM66" t="str">
        <f t="shared" si="151"/>
        <v>HL</v>
      </c>
      <c r="DN66" t="str">
        <f t="shared" si="159"/>
        <v>LL</v>
      </c>
      <c r="DO66" t="str">
        <f t="shared" si="167"/>
        <v>LL</v>
      </c>
      <c r="DP66" t="str">
        <f t="shared" si="175"/>
        <v>HL</v>
      </c>
      <c r="DQ66" t="str">
        <f t="shared" si="183"/>
        <v>HL</v>
      </c>
      <c r="DR66" t="str">
        <f t="shared" si="191"/>
        <v>LL</v>
      </c>
      <c r="DS66" t="str">
        <f t="shared" si="199"/>
        <v>HL</v>
      </c>
      <c r="DT66" t="str">
        <f t="shared" si="207"/>
        <v>HL</v>
      </c>
      <c r="DU66" t="str">
        <f t="shared" si="215"/>
        <v>LL</v>
      </c>
      <c r="DV66">
        <f t="shared" ref="DV66:DV97" si="233">IFERROR(((G66-$F66)/$F66)*100,0)</f>
        <v>1.5475118707845685</v>
      </c>
      <c r="DW66">
        <f t="shared" ref="DW66:DW97" si="234">IFERROR(((H66-$F66)/$F66)*100,0)</f>
        <v>-1.9282708773632566</v>
      </c>
      <c r="DX66">
        <f t="shared" si="152"/>
        <v>-1.5968892265846122</v>
      </c>
      <c r="DY66">
        <f t="shared" si="160"/>
        <v>-1.7454469608450385</v>
      </c>
      <c r="DZ66">
        <f t="shared" si="168"/>
        <v>-1.122909177590347</v>
      </c>
      <c r="EA66">
        <f t="shared" si="176"/>
        <v>-0.82856054366172027</v>
      </c>
      <c r="EB66">
        <f t="shared" si="184"/>
        <v>-2.074274610461615</v>
      </c>
      <c r="EC66">
        <f t="shared" si="192"/>
        <v>-3.0767200665743051</v>
      </c>
      <c r="ED66">
        <f t="shared" si="200"/>
        <v>0.92986925642383655</v>
      </c>
      <c r="EE66">
        <f t="shared" si="208"/>
        <v>-0.67148947219438038</v>
      </c>
      <c r="EF66">
        <f t="shared" si="216"/>
        <v>-3.5898614667203019</v>
      </c>
      <c r="EG66" s="13" t="str">
        <f t="shared" ref="EG66:EG97" si="235">IF(DV66="","",IF(AND(ABS(DV66)&lt;=0.25,$E66="Bottom",DJ66="LL"),"EQL",IF(AND(ABS(DV66)&lt;=0.25,$E66="Peak",DJ66="HH"),"EQH","")))</f>
        <v/>
      </c>
      <c r="EH66" s="13" t="str">
        <f t="shared" ref="EH66:EH97" si="236">IF(DW66="","",IF(AND(ABS(DW66)&lt;=0.25,$E66="Bottom",DK66="LL"),"EQL",IF(AND(ABS(DW66)&lt;=0.25,$E66="Peak",DK66="HH"),"EQH","")))</f>
        <v/>
      </c>
      <c r="EI66" s="13" t="str">
        <f t="shared" ref="EI66:EI97" si="237">IF(DX66="","",IF(AND(ABS(DX66)&lt;=0.25,$E66="Bottom",DL66="LL"),"EQL",IF(AND(ABS(DX66)&lt;=0.25,$E66="Peak",DL66="HH"),"EQH","")))</f>
        <v/>
      </c>
      <c r="EJ66" s="13" t="str">
        <f t="shared" ref="EJ66:EJ97" si="238">IF(DY66="","",IF(AND(ABS(DY66)&lt;=0.25,$E66="Bottom",DM66="LL"),"EQL",IF(AND(ABS(DY66)&lt;=0.25,$E66="Peak",DM66="HH"),"EQH","")))</f>
        <v/>
      </c>
      <c r="EK66" s="13" t="str">
        <f t="shared" ref="EK66:EK97" si="239">IF(DZ66="","",IF(AND(ABS(DZ66)&lt;=0.25,$E66="Bottom",DN66="LL"),"EQL",IF(AND(ABS(DZ66)&lt;=0.25,$E66="Peak",DN66="HH"),"EQH","")))</f>
        <v/>
      </c>
      <c r="EL66" s="13" t="str">
        <f t="shared" ref="EL66:EL97" si="240">IF(EA66="","",IF(AND(ABS(EA66)&lt;=0.25,$E66="Bottom",DO66="LL"),"EQL",IF(AND(ABS(EA66)&lt;=0.25,$E66="Peak",DO66="HH"),"EQH","")))</f>
        <v/>
      </c>
      <c r="EM66" s="13" t="str">
        <f t="shared" ref="EM66:EM97" si="241">IF(EB66="","",IF(AND(ABS(EB66)&lt;=0.25,$E66="Bottom",DP66="LL"),"EQL",IF(AND(ABS(EB66)&lt;=0.25,$E66="Peak",DP66="HH"),"EQH","")))</f>
        <v/>
      </c>
      <c r="EN66" s="13" t="str">
        <f t="shared" ref="EN66:EN97" si="242">IF(EC66="","",IF(AND(ABS(EC66)&lt;=0.25,$E66="Bottom",DQ66="LL"),"EQL",IF(AND(ABS(EC66)&lt;=0.25,$E66="Peak",DQ66="HH"),"EQH","")))</f>
        <v/>
      </c>
      <c r="EO66" s="13" t="str">
        <f t="shared" ref="EO66:EO97" si="243">IF(ED66="","",IF(AND(ABS(ED66)&lt;=0.25,$E66="Bottom",DR66="LL"),"EQL",IF(AND(ABS(ED66)&lt;=0.25,$E66="Peak",DR66="HH"),"EQH","")))</f>
        <v/>
      </c>
      <c r="EP66" s="13" t="str">
        <f t="shared" ref="EP66:EP97" si="244">IF(EE66="","",IF(AND(ABS(EE66)&lt;=0.25,$E66="Bottom",DS66="LL"),"EQL",IF(AND(ABS(EE66)&lt;=0.25,$E66="Peak",DS66="HH"),"EQH","")))</f>
        <v/>
      </c>
      <c r="EQ66" s="13" t="str">
        <f t="shared" ref="EQ66:EQ97" si="245">IF(EF66="","",IF(AND(ABS(EF66)&lt;=0.25,$E66="Bottom",DT66="LL"),"EQL",IF(AND(ABS(EF66)&lt;=0.25,$E66="Peak",DT66="HH"),"EQH","")))</f>
        <v/>
      </c>
    </row>
    <row r="67" spans="1:147" ht="14.25" customHeight="1" x14ac:dyDescent="0.55000000000000004">
      <c r="A67">
        <v>1775702704</v>
      </c>
      <c r="B67" t="s">
        <v>16</v>
      </c>
      <c r="C67" t="s">
        <v>17</v>
      </c>
      <c r="D67">
        <v>4719.3</v>
      </c>
      <c r="E67" t="s">
        <v>20</v>
      </c>
      <c r="F67">
        <v>4733.0200000000004</v>
      </c>
      <c r="G67">
        <v>4807.34</v>
      </c>
      <c r="H67">
        <v>4857.37</v>
      </c>
      <c r="I67">
        <f t="shared" si="148"/>
        <v>4694.3100000000004</v>
      </c>
      <c r="J67">
        <f t="shared" si="156"/>
        <v>4663.28</v>
      </c>
      <c r="K67">
        <f t="shared" si="164"/>
        <v>4667.87</v>
      </c>
      <c r="L67">
        <f t="shared" si="172"/>
        <v>4697.83</v>
      </c>
      <c r="M67">
        <f t="shared" si="180"/>
        <v>4706.47</v>
      </c>
      <c r="N67">
        <f t="shared" si="188"/>
        <v>4699.1499999999996</v>
      </c>
      <c r="O67">
        <f t="shared" si="196"/>
        <v>4800.45</v>
      </c>
      <c r="P67">
        <f t="shared" si="204"/>
        <v>4793.1400000000003</v>
      </c>
      <c r="Q67">
        <f t="shared" si="212"/>
        <v>4724.3999999999996</v>
      </c>
      <c r="R67">
        <v>34.51</v>
      </c>
      <c r="S67">
        <f t="shared" ref="S67:S98" si="246">G67-G66</f>
        <v>36.119999999999891</v>
      </c>
      <c r="T67">
        <f t="shared" ref="T67:T98" si="247">H67-H66</f>
        <v>249.46000000000004</v>
      </c>
      <c r="U67">
        <f t="shared" si="153"/>
        <v>70.830000000000837</v>
      </c>
      <c r="V67">
        <f t="shared" si="161"/>
        <v>46.779999999999745</v>
      </c>
      <c r="W67">
        <f t="shared" si="169"/>
        <v>22.119999999999891</v>
      </c>
      <c r="X67">
        <f t="shared" si="177"/>
        <v>38.25</v>
      </c>
      <c r="Y67">
        <f t="shared" si="185"/>
        <v>105.42000000000007</v>
      </c>
      <c r="Z67">
        <f t="shared" si="193"/>
        <v>145.19999999999982</v>
      </c>
      <c r="AA67">
        <f t="shared" si="201"/>
        <v>58.25</v>
      </c>
      <c r="AB67">
        <f t="shared" si="209"/>
        <v>126.18000000000029</v>
      </c>
      <c r="AC67">
        <f t="shared" si="217"/>
        <v>194.55999999999949</v>
      </c>
      <c r="AD67">
        <v>0.73</v>
      </c>
      <c r="AE67" s="14">
        <f t="shared" ref="AE67:AE98" si="248">(S67/G66)*100</f>
        <v>0.75703908015140542</v>
      </c>
      <c r="AF67" s="14">
        <f t="shared" ref="AF67:AF98" si="249">(T67/H66)*100</f>
        <v>5.4137342092184975</v>
      </c>
      <c r="AG67" s="14">
        <f t="shared" si="154"/>
        <v>1.5319629370085055</v>
      </c>
      <c r="AH67" s="14">
        <f t="shared" si="162"/>
        <v>1.0133217805696901</v>
      </c>
      <c r="AI67" s="14">
        <f t="shared" si="170"/>
        <v>0.47613410106010629</v>
      </c>
      <c r="AJ67" s="14">
        <f t="shared" si="178"/>
        <v>0.82088943638697043</v>
      </c>
      <c r="AK67" s="14">
        <f t="shared" si="186"/>
        <v>2.2912161354473453</v>
      </c>
      <c r="AL67" s="14">
        <f t="shared" si="194"/>
        <v>3.188440804137064</v>
      </c>
      <c r="AM67" s="14">
        <f t="shared" si="202"/>
        <v>1.2283328412972883</v>
      </c>
      <c r="AN67" s="14">
        <f t="shared" si="210"/>
        <v>2.7036871968047786</v>
      </c>
      <c r="AO67" s="14">
        <f t="shared" si="218"/>
        <v>4.2950744397152985</v>
      </c>
      <c r="AP67">
        <v>0</v>
      </c>
      <c r="AQ67">
        <f t="shared" si="140"/>
        <v>0</v>
      </c>
      <c r="AR67">
        <f t="shared" si="144"/>
        <v>2</v>
      </c>
      <c r="AS67">
        <f t="shared" si="149"/>
        <v>0</v>
      </c>
      <c r="AT67">
        <f t="shared" si="157"/>
        <v>0</v>
      </c>
      <c r="AU67">
        <f t="shared" si="165"/>
        <v>0</v>
      </c>
      <c r="AV67">
        <f t="shared" si="173"/>
        <v>0</v>
      </c>
      <c r="AW67">
        <f t="shared" si="181"/>
        <v>0</v>
      </c>
      <c r="AX67">
        <f t="shared" si="189"/>
        <v>0</v>
      </c>
      <c r="AY67">
        <f t="shared" si="197"/>
        <v>0</v>
      </c>
      <c r="AZ67">
        <f t="shared" si="205"/>
        <v>0</v>
      </c>
      <c r="BA67">
        <f t="shared" si="213"/>
        <v>0</v>
      </c>
      <c r="BB67">
        <v>11</v>
      </c>
      <c r="BC67">
        <f t="shared" si="141"/>
        <v>7</v>
      </c>
      <c r="BD67">
        <f t="shared" si="145"/>
        <v>36</v>
      </c>
      <c r="BE67">
        <f t="shared" si="150"/>
        <v>15</v>
      </c>
      <c r="BF67">
        <f t="shared" si="158"/>
        <v>11</v>
      </c>
      <c r="BG67">
        <f t="shared" si="166"/>
        <v>7</v>
      </c>
      <c r="BH67">
        <f t="shared" si="174"/>
        <v>9</v>
      </c>
      <c r="BI67">
        <f t="shared" si="182"/>
        <v>37</v>
      </c>
      <c r="BJ67">
        <f t="shared" si="190"/>
        <v>34</v>
      </c>
      <c r="BK67">
        <f t="shared" si="198"/>
        <v>16</v>
      </c>
      <c r="BL67">
        <f t="shared" si="206"/>
        <v>51</v>
      </c>
      <c r="BM67">
        <f t="shared" si="214"/>
        <v>54</v>
      </c>
      <c r="BZ67" s="12">
        <f t="shared" si="220"/>
        <v>3.1372727272727272</v>
      </c>
      <c r="CA67" s="12">
        <f t="shared" si="142"/>
        <v>5.1599999999999842</v>
      </c>
      <c r="CB67" s="12">
        <f t="shared" si="146"/>
        <v>6.9294444444444458</v>
      </c>
      <c r="CC67" s="12">
        <f t="shared" si="155"/>
        <v>4.7220000000000555</v>
      </c>
      <c r="CD67" s="12">
        <f t="shared" si="163"/>
        <v>4.2527272727272498</v>
      </c>
      <c r="CE67" s="12">
        <f t="shared" si="171"/>
        <v>3.1599999999999846</v>
      </c>
      <c r="CF67" s="12">
        <f t="shared" si="179"/>
        <v>4.25</v>
      </c>
      <c r="CG67" s="12">
        <f t="shared" si="187"/>
        <v>2.849189189189191</v>
      </c>
      <c r="CH67" s="12">
        <f t="shared" si="195"/>
        <v>4.2705882352941122</v>
      </c>
      <c r="CI67" s="12">
        <f t="shared" si="203"/>
        <v>3.640625</v>
      </c>
      <c r="CJ67" s="12">
        <f t="shared" si="211"/>
        <v>2.4741176470588293</v>
      </c>
      <c r="CK67" s="12">
        <f t="shared" si="219"/>
        <v>3.6029629629629536</v>
      </c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>
        <f t="shared" si="221"/>
        <v>72.320413218759356</v>
      </c>
      <c r="CY67" s="12">
        <f t="shared" si="222"/>
        <v>79.032127817338292</v>
      </c>
      <c r="CZ67" s="12">
        <f t="shared" si="223"/>
        <v>81.788240397338924</v>
      </c>
      <c r="DA67" s="12">
        <f t="shared" si="224"/>
        <v>78.042869263019668</v>
      </c>
      <c r="DB67" s="12">
        <f t="shared" si="225"/>
        <v>76.767672413167134</v>
      </c>
      <c r="DC67" s="12">
        <f t="shared" si="226"/>
        <v>72.43972794819922</v>
      </c>
      <c r="DD67" s="12">
        <f t="shared" si="227"/>
        <v>76.759480084812793</v>
      </c>
      <c r="DE67" s="12">
        <f t="shared" si="228"/>
        <v>70.6600977040994</v>
      </c>
      <c r="DF67" s="12">
        <f t="shared" si="229"/>
        <v>76.821078963950583</v>
      </c>
      <c r="DG67" s="12">
        <f t="shared" si="230"/>
        <v>74.64089633032458</v>
      </c>
      <c r="DH67" s="12">
        <f t="shared" si="231"/>
        <v>67.992204644225694</v>
      </c>
      <c r="DI67" s="12">
        <f t="shared" si="232"/>
        <v>74.488040554358946</v>
      </c>
      <c r="DJ67" t="s">
        <v>21</v>
      </c>
      <c r="DK67" t="str">
        <f t="shared" si="143"/>
        <v>LH</v>
      </c>
      <c r="DL67" t="str">
        <f t="shared" si="147"/>
        <v>HH</v>
      </c>
      <c r="DM67" t="str">
        <f t="shared" si="151"/>
        <v>HH</v>
      </c>
      <c r="DN67" t="str">
        <f t="shared" si="159"/>
        <v>LH</v>
      </c>
      <c r="DO67" t="str">
        <f t="shared" si="167"/>
        <v>LH</v>
      </c>
      <c r="DP67" t="str">
        <f t="shared" si="175"/>
        <v>LH</v>
      </c>
      <c r="DQ67" t="str">
        <f t="shared" si="183"/>
        <v>HH</v>
      </c>
      <c r="DR67" t="str">
        <f t="shared" si="191"/>
        <v>LH</v>
      </c>
      <c r="DS67" t="str">
        <f t="shared" si="199"/>
        <v>HH</v>
      </c>
      <c r="DT67" t="str">
        <f t="shared" si="207"/>
        <v>HH</v>
      </c>
      <c r="DU67" t="str">
        <f t="shared" si="215"/>
        <v>HH</v>
      </c>
      <c r="DV67">
        <f t="shared" si="233"/>
        <v>1.570244790852346</v>
      </c>
      <c r="DW67">
        <f t="shared" si="234"/>
        <v>2.6272865950281101</v>
      </c>
      <c r="DX67">
        <f t="shared" si="152"/>
        <v>-0.81787104216758078</v>
      </c>
      <c r="DY67">
        <f t="shared" si="160"/>
        <v>-1.4734778217713149</v>
      </c>
      <c r="DZ67">
        <f t="shared" si="168"/>
        <v>-1.3764995710983798</v>
      </c>
      <c r="EA67">
        <f t="shared" si="176"/>
        <v>-0.7434999218258217</v>
      </c>
      <c r="EB67">
        <f t="shared" si="184"/>
        <v>-0.56095262644147248</v>
      </c>
      <c r="EC67">
        <f t="shared" si="192"/>
        <v>-0.71561075169766453</v>
      </c>
      <c r="ED67">
        <f t="shared" si="200"/>
        <v>1.4246717740470012</v>
      </c>
      <c r="EE67">
        <f t="shared" si="208"/>
        <v>1.2702249303827131</v>
      </c>
      <c r="EF67">
        <f t="shared" si="216"/>
        <v>-0.18212473220059919</v>
      </c>
      <c r="EG67" s="13" t="str">
        <f t="shared" si="235"/>
        <v/>
      </c>
      <c r="EH67" s="13" t="str">
        <f t="shared" si="236"/>
        <v/>
      </c>
      <c r="EI67" s="13" t="str">
        <f t="shared" si="237"/>
        <v/>
      </c>
      <c r="EJ67" s="13" t="str">
        <f t="shared" si="238"/>
        <v/>
      </c>
      <c r="EK67" s="13" t="str">
        <f t="shared" si="239"/>
        <v/>
      </c>
      <c r="EL67" s="13" t="str">
        <f t="shared" si="240"/>
        <v/>
      </c>
      <c r="EM67" s="13" t="str">
        <f t="shared" si="241"/>
        <v/>
      </c>
      <c r="EN67" s="13" t="str">
        <f t="shared" si="242"/>
        <v/>
      </c>
      <c r="EO67" s="13" t="str">
        <f t="shared" si="243"/>
        <v/>
      </c>
      <c r="EP67" s="13" t="str">
        <f t="shared" si="244"/>
        <v/>
      </c>
      <c r="EQ67" s="13" t="str">
        <f t="shared" si="245"/>
        <v>EQH</v>
      </c>
    </row>
    <row r="68" spans="1:147" ht="14.25" customHeight="1" x14ac:dyDescent="0.55000000000000004">
      <c r="A68">
        <v>1775717104</v>
      </c>
      <c r="B68" t="s">
        <v>16</v>
      </c>
      <c r="C68" t="s">
        <v>17</v>
      </c>
      <c r="D68">
        <v>4712.5</v>
      </c>
      <c r="E68" t="s">
        <v>18</v>
      </c>
      <c r="F68">
        <v>4703.46</v>
      </c>
      <c r="G68">
        <v>4698.51</v>
      </c>
      <c r="H68">
        <v>4771.22</v>
      </c>
      <c r="I68">
        <f t="shared" si="148"/>
        <v>4607.91</v>
      </c>
      <c r="J68">
        <f t="shared" si="156"/>
        <v>4623.4799999999996</v>
      </c>
      <c r="K68">
        <f t="shared" si="164"/>
        <v>4616.5</v>
      </c>
      <c r="L68">
        <f t="shared" si="172"/>
        <v>4645.75</v>
      </c>
      <c r="M68">
        <f t="shared" si="180"/>
        <v>4659.58</v>
      </c>
      <c r="N68">
        <f t="shared" si="188"/>
        <v>4601.05</v>
      </c>
      <c r="O68">
        <f t="shared" si="196"/>
        <v>4553.95</v>
      </c>
      <c r="P68">
        <f t="shared" si="204"/>
        <v>4742.2</v>
      </c>
      <c r="Q68">
        <f t="shared" si="212"/>
        <v>4666.96</v>
      </c>
      <c r="R68">
        <v>-29.56</v>
      </c>
      <c r="S68">
        <f t="shared" si="246"/>
        <v>-108.82999999999993</v>
      </c>
      <c r="T68">
        <f t="shared" si="247"/>
        <v>-86.149999999999636</v>
      </c>
      <c r="U68">
        <f t="shared" si="153"/>
        <v>-86.400000000000546</v>
      </c>
      <c r="V68">
        <f t="shared" si="161"/>
        <v>-39.800000000000182</v>
      </c>
      <c r="W68">
        <f t="shared" si="169"/>
        <v>-51.369999999999891</v>
      </c>
      <c r="X68">
        <f t="shared" si="177"/>
        <v>-52.079999999999927</v>
      </c>
      <c r="Y68">
        <f t="shared" si="185"/>
        <v>-46.890000000000327</v>
      </c>
      <c r="Z68">
        <f t="shared" si="193"/>
        <v>-98.099999999999454</v>
      </c>
      <c r="AA68">
        <f t="shared" si="201"/>
        <v>-246.5</v>
      </c>
      <c r="AB68">
        <f t="shared" si="209"/>
        <v>-50.940000000000509</v>
      </c>
      <c r="AC68">
        <f t="shared" si="217"/>
        <v>-57.4399999999996</v>
      </c>
      <c r="AD68">
        <v>-0.62</v>
      </c>
      <c r="AE68" s="14">
        <f t="shared" si="248"/>
        <v>-2.2638298934545906</v>
      </c>
      <c r="AF68" s="14">
        <f t="shared" si="249"/>
        <v>-1.7735935290084888</v>
      </c>
      <c r="AG68" s="14">
        <f t="shared" si="154"/>
        <v>-1.8405260837056039</v>
      </c>
      <c r="AH68" s="14">
        <f t="shared" si="162"/>
        <v>-0.8534765229623823</v>
      </c>
      <c r="AI68" s="14">
        <f t="shared" si="170"/>
        <v>-1.1005019419992392</v>
      </c>
      <c r="AJ68" s="14">
        <f t="shared" si="178"/>
        <v>-1.1085969479525637</v>
      </c>
      <c r="AK68" s="14">
        <f t="shared" si="186"/>
        <v>-0.99628808852495232</v>
      </c>
      <c r="AL68" s="14">
        <f t="shared" si="194"/>
        <v>-2.0876115893299736</v>
      </c>
      <c r="AM68" s="14">
        <f t="shared" si="202"/>
        <v>-5.1349352664854342</v>
      </c>
      <c r="AN68" s="14">
        <f t="shared" si="210"/>
        <v>-1.0627688738488861</v>
      </c>
      <c r="AO68" s="14">
        <f t="shared" si="218"/>
        <v>-1.2158157649648549</v>
      </c>
      <c r="AP68">
        <v>3</v>
      </c>
      <c r="AQ68">
        <f t="shared" ref="AQ68:AQ99" si="250">AP66</f>
        <v>3</v>
      </c>
      <c r="AR68">
        <f t="shared" si="144"/>
        <v>3</v>
      </c>
      <c r="AS68">
        <f t="shared" si="149"/>
        <v>3</v>
      </c>
      <c r="AT68">
        <f t="shared" si="157"/>
        <v>3</v>
      </c>
      <c r="AU68">
        <f t="shared" si="165"/>
        <v>3</v>
      </c>
      <c r="AV68">
        <f t="shared" si="173"/>
        <v>3</v>
      </c>
      <c r="AW68">
        <f t="shared" si="181"/>
        <v>3</v>
      </c>
      <c r="AX68">
        <f t="shared" si="189"/>
        <v>3</v>
      </c>
      <c r="AY68">
        <f t="shared" si="197"/>
        <v>3</v>
      </c>
      <c r="AZ68">
        <f t="shared" si="205"/>
        <v>3</v>
      </c>
      <c r="BA68">
        <f t="shared" si="213"/>
        <v>3</v>
      </c>
      <c r="BB68">
        <v>16</v>
      </c>
      <c r="BC68">
        <f t="shared" ref="BC68:BC99" si="251">BB66</f>
        <v>44</v>
      </c>
      <c r="BD68">
        <f t="shared" si="145"/>
        <v>41</v>
      </c>
      <c r="BE68">
        <f t="shared" si="150"/>
        <v>19</v>
      </c>
      <c r="BF68">
        <f t="shared" si="158"/>
        <v>4</v>
      </c>
      <c r="BG68">
        <f t="shared" si="166"/>
        <v>15</v>
      </c>
      <c r="BH68">
        <f t="shared" si="174"/>
        <v>19</v>
      </c>
      <c r="BI68">
        <f t="shared" si="182"/>
        <v>11</v>
      </c>
      <c r="BJ68">
        <f t="shared" si="190"/>
        <v>35</v>
      </c>
      <c r="BK68">
        <f t="shared" si="198"/>
        <v>26</v>
      </c>
      <c r="BL68">
        <f t="shared" si="206"/>
        <v>6</v>
      </c>
      <c r="BM68">
        <f t="shared" si="214"/>
        <v>13</v>
      </c>
      <c r="BZ68" s="12">
        <f t="shared" si="220"/>
        <v>-1.8474999999999999</v>
      </c>
      <c r="CA68" s="12">
        <f t="shared" ref="CA68:CA99" si="252">IFERROR(S68/BC68,0)</f>
        <v>-2.4734090909090893</v>
      </c>
      <c r="CB68" s="12">
        <f t="shared" si="146"/>
        <v>-2.1012195121951129</v>
      </c>
      <c r="CC68" s="12">
        <f t="shared" si="155"/>
        <v>-4.5473684210526599</v>
      </c>
      <c r="CD68" s="12">
        <f t="shared" si="163"/>
        <v>-9.9500000000000455</v>
      </c>
      <c r="CE68" s="12">
        <f t="shared" si="171"/>
        <v>-3.4246666666666594</v>
      </c>
      <c r="CF68" s="12">
        <f t="shared" si="179"/>
        <v>-2.7410526315789436</v>
      </c>
      <c r="CG68" s="12">
        <f t="shared" si="187"/>
        <v>-4.2627272727273029</v>
      </c>
      <c r="CH68" s="12">
        <f t="shared" si="195"/>
        <v>-2.8028571428571274</v>
      </c>
      <c r="CI68" s="12">
        <f t="shared" si="203"/>
        <v>-9.4807692307692299</v>
      </c>
      <c r="CJ68" s="12">
        <f t="shared" si="211"/>
        <v>-8.4900000000000855</v>
      </c>
      <c r="CK68" s="12">
        <f t="shared" si="219"/>
        <v>-4.418461538461508</v>
      </c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>
        <f t="shared" si="221"/>
        <v>-61.574557879130673</v>
      </c>
      <c r="CY68" s="12">
        <f t="shared" si="222"/>
        <v>-67.986502383136383</v>
      </c>
      <c r="CZ68" s="12">
        <f t="shared" si="223"/>
        <v>-64.549564335542513</v>
      </c>
      <c r="DA68" s="12">
        <f t="shared" si="224"/>
        <v>-77.597641819639662</v>
      </c>
      <c r="DB68" s="12">
        <f t="shared" si="225"/>
        <v>-84.260901501910425</v>
      </c>
      <c r="DC68" s="12">
        <f t="shared" si="226"/>
        <v>-73.722236714786519</v>
      </c>
      <c r="DD68" s="12">
        <f t="shared" si="227"/>
        <v>-69.956849840129522</v>
      </c>
      <c r="DE68" s="12">
        <f t="shared" si="228"/>
        <v>-76.797625950239947</v>
      </c>
      <c r="DF68" s="12">
        <f t="shared" si="229"/>
        <v>-70.364677549257877</v>
      </c>
      <c r="DG68" s="12">
        <f t="shared" si="230"/>
        <v>-83.978894838902605</v>
      </c>
      <c r="DH68" s="12">
        <f t="shared" si="231"/>
        <v>-83.282332155660583</v>
      </c>
      <c r="DI68" s="12">
        <f t="shared" si="232"/>
        <v>-77.2474807185299</v>
      </c>
      <c r="DJ68" t="s">
        <v>22</v>
      </c>
      <c r="DK68" t="str">
        <f t="shared" ref="DK68:DK99" si="253">DJ66</f>
        <v>LL</v>
      </c>
      <c r="DL68" t="str">
        <f t="shared" si="147"/>
        <v>HL</v>
      </c>
      <c r="DM68" t="str">
        <f t="shared" si="151"/>
        <v>LL</v>
      </c>
      <c r="DN68" t="str">
        <f t="shared" si="159"/>
        <v>HL</v>
      </c>
      <c r="DO68" t="str">
        <f t="shared" si="167"/>
        <v>LL</v>
      </c>
      <c r="DP68" t="str">
        <f t="shared" si="175"/>
        <v>LL</v>
      </c>
      <c r="DQ68" t="str">
        <f t="shared" si="183"/>
        <v>HL</v>
      </c>
      <c r="DR68" t="str">
        <f t="shared" si="191"/>
        <v>HL</v>
      </c>
      <c r="DS68" t="str">
        <f t="shared" si="199"/>
        <v>LL</v>
      </c>
      <c r="DT68" t="str">
        <f t="shared" si="207"/>
        <v>HL</v>
      </c>
      <c r="DU68" t="str">
        <f t="shared" si="215"/>
        <v>HL</v>
      </c>
      <c r="DV68">
        <f t="shared" si="233"/>
        <v>-0.10524167315125076</v>
      </c>
      <c r="DW68">
        <f t="shared" si="234"/>
        <v>1.44064157024829</v>
      </c>
      <c r="DX68">
        <f t="shared" si="152"/>
        <v>-2.0314832059802819</v>
      </c>
      <c r="DY68">
        <f t="shared" si="160"/>
        <v>-1.7004503067954331</v>
      </c>
      <c r="DZ68">
        <f t="shared" si="168"/>
        <v>-1.848851696410728</v>
      </c>
      <c r="EA68">
        <f t="shared" si="176"/>
        <v>-1.2269690823351327</v>
      </c>
      <c r="EB68">
        <f t="shared" si="184"/>
        <v>-0.93293022583375018</v>
      </c>
      <c r="EC68">
        <f t="shared" si="192"/>
        <v>-2.1773332823070648</v>
      </c>
      <c r="ED68">
        <f t="shared" si="200"/>
        <v>-3.1787237480493129</v>
      </c>
      <c r="EE68">
        <f t="shared" si="208"/>
        <v>0.82364897330900622</v>
      </c>
      <c r="EF68">
        <f t="shared" si="216"/>
        <v>-0.7760244585900592</v>
      </c>
      <c r="EG68" s="13" t="str">
        <f t="shared" si="235"/>
        <v/>
      </c>
      <c r="EH68" s="13" t="str">
        <f t="shared" si="236"/>
        <v/>
      </c>
      <c r="EI68" s="13" t="str">
        <f t="shared" si="237"/>
        <v/>
      </c>
      <c r="EJ68" s="13" t="str">
        <f t="shared" si="238"/>
        <v/>
      </c>
      <c r="EK68" s="13" t="str">
        <f t="shared" si="239"/>
        <v/>
      </c>
      <c r="EL68" s="13" t="str">
        <f t="shared" si="240"/>
        <v/>
      </c>
      <c r="EM68" s="13" t="str">
        <f t="shared" si="241"/>
        <v/>
      </c>
      <c r="EN68" s="13" t="str">
        <f t="shared" si="242"/>
        <v/>
      </c>
      <c r="EO68" s="13" t="str">
        <f t="shared" si="243"/>
        <v/>
      </c>
      <c r="EP68" s="13" t="str">
        <f t="shared" si="244"/>
        <v/>
      </c>
      <c r="EQ68" s="13" t="str">
        <f t="shared" si="245"/>
        <v/>
      </c>
    </row>
    <row r="69" spans="1:147" ht="14.25" customHeight="1" x14ac:dyDescent="0.55000000000000004">
      <c r="A69">
        <v>1775755804</v>
      </c>
      <c r="B69" t="s">
        <v>16</v>
      </c>
      <c r="C69" t="s">
        <v>17</v>
      </c>
      <c r="D69">
        <v>4795.37</v>
      </c>
      <c r="E69" t="s">
        <v>20</v>
      </c>
      <c r="F69">
        <v>4800.93</v>
      </c>
      <c r="G69">
        <v>4733.0200000000004</v>
      </c>
      <c r="H69">
        <v>4807.34</v>
      </c>
      <c r="I69">
        <f t="shared" si="148"/>
        <v>4857.37</v>
      </c>
      <c r="J69">
        <f t="shared" si="156"/>
        <v>4694.3100000000004</v>
      </c>
      <c r="K69">
        <f t="shared" si="164"/>
        <v>4663.28</v>
      </c>
      <c r="L69">
        <f t="shared" si="172"/>
        <v>4667.87</v>
      </c>
      <c r="M69">
        <f t="shared" si="180"/>
        <v>4697.83</v>
      </c>
      <c r="N69">
        <f t="shared" si="188"/>
        <v>4706.47</v>
      </c>
      <c r="O69">
        <f t="shared" si="196"/>
        <v>4699.1499999999996</v>
      </c>
      <c r="P69">
        <f t="shared" si="204"/>
        <v>4800.45</v>
      </c>
      <c r="Q69">
        <f t="shared" si="212"/>
        <v>4793.1400000000003</v>
      </c>
      <c r="R69">
        <v>97.47</v>
      </c>
      <c r="S69">
        <f t="shared" si="246"/>
        <v>34.510000000000218</v>
      </c>
      <c r="T69">
        <f t="shared" si="247"/>
        <v>36.119999999999891</v>
      </c>
      <c r="U69">
        <f t="shared" si="153"/>
        <v>249.46000000000004</v>
      </c>
      <c r="V69">
        <f t="shared" si="161"/>
        <v>70.830000000000837</v>
      </c>
      <c r="W69">
        <f t="shared" si="169"/>
        <v>46.779999999999745</v>
      </c>
      <c r="X69">
        <f t="shared" si="177"/>
        <v>22.119999999999891</v>
      </c>
      <c r="Y69">
        <f t="shared" si="185"/>
        <v>38.25</v>
      </c>
      <c r="Z69">
        <f t="shared" si="193"/>
        <v>105.42000000000007</v>
      </c>
      <c r="AA69">
        <f t="shared" si="201"/>
        <v>145.19999999999982</v>
      </c>
      <c r="AB69">
        <f t="shared" si="209"/>
        <v>58.25</v>
      </c>
      <c r="AC69">
        <f t="shared" si="217"/>
        <v>126.18000000000029</v>
      </c>
      <c r="AD69">
        <v>2.0699999999999998</v>
      </c>
      <c r="AE69" s="14">
        <f t="shared" si="248"/>
        <v>0.73448816752545421</v>
      </c>
      <c r="AF69" s="14">
        <f t="shared" si="249"/>
        <v>0.75703908015140542</v>
      </c>
      <c r="AG69" s="14">
        <f t="shared" si="154"/>
        <v>5.4137342092184975</v>
      </c>
      <c r="AH69" s="14">
        <f t="shared" si="162"/>
        <v>1.5319629370085055</v>
      </c>
      <c r="AI69" s="14">
        <f t="shared" si="170"/>
        <v>1.0133217805696901</v>
      </c>
      <c r="AJ69" s="14">
        <f t="shared" si="178"/>
        <v>0.47613410106010629</v>
      </c>
      <c r="AK69" s="14">
        <f t="shared" si="186"/>
        <v>0.82088943638697043</v>
      </c>
      <c r="AL69" s="14">
        <f t="shared" si="194"/>
        <v>2.2912161354473453</v>
      </c>
      <c r="AM69" s="14">
        <f t="shared" si="202"/>
        <v>3.188440804137064</v>
      </c>
      <c r="AN69" s="14">
        <f t="shared" si="210"/>
        <v>1.2283328412972883</v>
      </c>
      <c r="AO69" s="14">
        <f t="shared" si="218"/>
        <v>2.7036871968047786</v>
      </c>
      <c r="AP69">
        <v>0</v>
      </c>
      <c r="AQ69">
        <f t="shared" si="250"/>
        <v>0</v>
      </c>
      <c r="AR69">
        <f t="shared" si="144"/>
        <v>0</v>
      </c>
      <c r="AS69">
        <f t="shared" si="149"/>
        <v>2</v>
      </c>
      <c r="AT69">
        <f t="shared" si="157"/>
        <v>0</v>
      </c>
      <c r="AU69">
        <f t="shared" si="165"/>
        <v>0</v>
      </c>
      <c r="AV69">
        <f t="shared" si="173"/>
        <v>0</v>
      </c>
      <c r="AW69">
        <f t="shared" si="181"/>
        <v>0</v>
      </c>
      <c r="AX69">
        <f t="shared" si="189"/>
        <v>0</v>
      </c>
      <c r="AY69">
        <f t="shared" si="197"/>
        <v>0</v>
      </c>
      <c r="AZ69">
        <f t="shared" si="205"/>
        <v>0</v>
      </c>
      <c r="BA69">
        <f t="shared" si="213"/>
        <v>0</v>
      </c>
      <c r="BB69">
        <v>43</v>
      </c>
      <c r="BC69">
        <f t="shared" si="251"/>
        <v>11</v>
      </c>
      <c r="BD69">
        <f t="shared" si="145"/>
        <v>7</v>
      </c>
      <c r="BE69">
        <f t="shared" si="150"/>
        <v>36</v>
      </c>
      <c r="BF69">
        <f t="shared" si="158"/>
        <v>15</v>
      </c>
      <c r="BG69">
        <f t="shared" si="166"/>
        <v>11</v>
      </c>
      <c r="BH69">
        <f t="shared" si="174"/>
        <v>7</v>
      </c>
      <c r="BI69">
        <f t="shared" si="182"/>
        <v>9</v>
      </c>
      <c r="BJ69">
        <f t="shared" si="190"/>
        <v>37</v>
      </c>
      <c r="BK69">
        <f t="shared" si="198"/>
        <v>34</v>
      </c>
      <c r="BL69">
        <f t="shared" si="206"/>
        <v>16</v>
      </c>
      <c r="BM69">
        <f t="shared" si="214"/>
        <v>51</v>
      </c>
      <c r="BZ69" s="12">
        <f t="shared" si="220"/>
        <v>2.2667441860465116</v>
      </c>
      <c r="CA69" s="12">
        <f t="shared" si="252"/>
        <v>3.1372727272727472</v>
      </c>
      <c r="CB69" s="12">
        <f t="shared" si="146"/>
        <v>5.1599999999999842</v>
      </c>
      <c r="CC69" s="12">
        <f t="shared" si="155"/>
        <v>6.9294444444444458</v>
      </c>
      <c r="CD69" s="12">
        <f t="shared" si="163"/>
        <v>4.7220000000000555</v>
      </c>
      <c r="CE69" s="12">
        <f t="shared" si="171"/>
        <v>4.2527272727272498</v>
      </c>
      <c r="CF69" s="12">
        <f t="shared" si="179"/>
        <v>3.1599999999999846</v>
      </c>
      <c r="CG69" s="12">
        <f t="shared" si="187"/>
        <v>4.25</v>
      </c>
      <c r="CH69" s="12">
        <f t="shared" si="195"/>
        <v>2.849189189189191</v>
      </c>
      <c r="CI69" s="12">
        <f t="shared" si="203"/>
        <v>4.2705882352941122</v>
      </c>
      <c r="CJ69" s="12">
        <f t="shared" si="211"/>
        <v>3.640625</v>
      </c>
      <c r="CK69" s="12">
        <f t="shared" si="219"/>
        <v>2.4741176470588293</v>
      </c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>
        <f t="shared" si="221"/>
        <v>66.194780099488199</v>
      </c>
      <c r="CY69" s="12">
        <f t="shared" si="222"/>
        <v>72.320413218759455</v>
      </c>
      <c r="CZ69" s="12">
        <f t="shared" si="223"/>
        <v>79.032127817338292</v>
      </c>
      <c r="DA69" s="12">
        <f t="shared" si="224"/>
        <v>81.788240397338924</v>
      </c>
      <c r="DB69" s="12">
        <f t="shared" si="225"/>
        <v>78.042869263019668</v>
      </c>
      <c r="DC69" s="12">
        <f t="shared" si="226"/>
        <v>76.767672413167134</v>
      </c>
      <c r="DD69" s="12">
        <f t="shared" si="227"/>
        <v>72.43972794819922</v>
      </c>
      <c r="DE69" s="12">
        <f t="shared" si="228"/>
        <v>76.759480084812793</v>
      </c>
      <c r="DF69" s="12">
        <f t="shared" si="229"/>
        <v>70.6600977040994</v>
      </c>
      <c r="DG69" s="12">
        <f t="shared" si="230"/>
        <v>76.821078963950583</v>
      </c>
      <c r="DH69" s="12">
        <f t="shared" si="231"/>
        <v>74.64089633032458</v>
      </c>
      <c r="DI69" s="12">
        <f t="shared" si="232"/>
        <v>67.992204644225694</v>
      </c>
      <c r="DJ69" t="s">
        <v>23</v>
      </c>
      <c r="DK69" t="str">
        <f t="shared" si="253"/>
        <v>LH</v>
      </c>
      <c r="DL69" t="str">
        <f t="shared" si="147"/>
        <v>LH</v>
      </c>
      <c r="DM69" t="str">
        <f t="shared" si="151"/>
        <v>HH</v>
      </c>
      <c r="DN69" t="str">
        <f t="shared" si="159"/>
        <v>HH</v>
      </c>
      <c r="DO69" t="str">
        <f t="shared" si="167"/>
        <v>LH</v>
      </c>
      <c r="DP69" t="str">
        <f t="shared" si="175"/>
        <v>LH</v>
      </c>
      <c r="DQ69" t="str">
        <f t="shared" si="183"/>
        <v>LH</v>
      </c>
      <c r="DR69" t="str">
        <f t="shared" si="191"/>
        <v>HH</v>
      </c>
      <c r="DS69" t="str">
        <f t="shared" si="199"/>
        <v>LH</v>
      </c>
      <c r="DT69" t="str">
        <f t="shared" si="207"/>
        <v>HH</v>
      </c>
      <c r="DU69" t="str">
        <f t="shared" si="215"/>
        <v>HH</v>
      </c>
      <c r="DV69">
        <f t="shared" si="233"/>
        <v>-1.4145176038809115</v>
      </c>
      <c r="DW69">
        <f t="shared" si="234"/>
        <v>0.13351579798080485</v>
      </c>
      <c r="DX69">
        <f t="shared" si="152"/>
        <v>1.1756055597561221</v>
      </c>
      <c r="DY69">
        <f t="shared" si="160"/>
        <v>-2.2208197161799879</v>
      </c>
      <c r="DZ69">
        <f t="shared" si="168"/>
        <v>-2.8671528224739902</v>
      </c>
      <c r="EA69">
        <f t="shared" si="176"/>
        <v>-2.7715463462287597</v>
      </c>
      <c r="EB69">
        <f t="shared" si="184"/>
        <v>-2.1475005884276666</v>
      </c>
      <c r="EC69">
        <f t="shared" si="192"/>
        <v>-1.9675354566719372</v>
      </c>
      <c r="ED69">
        <f t="shared" si="200"/>
        <v>-2.1200059155205482</v>
      </c>
      <c r="EE69">
        <f t="shared" si="208"/>
        <v>-9.9980628753277585E-3</v>
      </c>
      <c r="EF69">
        <f t="shared" si="216"/>
        <v>-0.16226022874734611</v>
      </c>
      <c r="EG69" s="13" t="str">
        <f t="shared" si="235"/>
        <v/>
      </c>
      <c r="EH69" s="13" t="str">
        <f t="shared" si="236"/>
        <v/>
      </c>
      <c r="EI69" s="13" t="str">
        <f t="shared" si="237"/>
        <v/>
      </c>
      <c r="EJ69" s="13" t="str">
        <f t="shared" si="238"/>
        <v/>
      </c>
      <c r="EK69" s="13" t="str">
        <f t="shared" si="239"/>
        <v/>
      </c>
      <c r="EL69" s="13" t="str">
        <f t="shared" si="240"/>
        <v/>
      </c>
      <c r="EM69" s="13" t="str">
        <f t="shared" si="241"/>
        <v/>
      </c>
      <c r="EN69" s="13" t="str">
        <f t="shared" si="242"/>
        <v/>
      </c>
      <c r="EO69" s="13" t="str">
        <f t="shared" si="243"/>
        <v/>
      </c>
      <c r="EP69" s="13" t="str">
        <f t="shared" si="244"/>
        <v/>
      </c>
      <c r="EQ69" s="13" t="str">
        <f t="shared" si="245"/>
        <v>EQH</v>
      </c>
    </row>
    <row r="70" spans="1:147" ht="14.25" customHeight="1" x14ac:dyDescent="0.55000000000000004">
      <c r="A70">
        <v>1775779204</v>
      </c>
      <c r="B70" t="s">
        <v>16</v>
      </c>
      <c r="C70" t="s">
        <v>17</v>
      </c>
      <c r="D70">
        <v>4754.03</v>
      </c>
      <c r="E70" t="s">
        <v>18</v>
      </c>
      <c r="F70">
        <v>4750.74</v>
      </c>
      <c r="G70">
        <v>4703.46</v>
      </c>
      <c r="H70">
        <v>4698.51</v>
      </c>
      <c r="I70">
        <f t="shared" si="148"/>
        <v>4771.22</v>
      </c>
      <c r="J70">
        <f t="shared" si="156"/>
        <v>4607.91</v>
      </c>
      <c r="K70">
        <f t="shared" si="164"/>
        <v>4623.4799999999996</v>
      </c>
      <c r="L70">
        <f t="shared" si="172"/>
        <v>4616.5</v>
      </c>
      <c r="M70">
        <f t="shared" si="180"/>
        <v>4645.75</v>
      </c>
      <c r="N70">
        <f t="shared" si="188"/>
        <v>4659.58</v>
      </c>
      <c r="O70">
        <f t="shared" si="196"/>
        <v>4601.05</v>
      </c>
      <c r="P70">
        <f t="shared" si="204"/>
        <v>4553.95</v>
      </c>
      <c r="Q70">
        <f t="shared" si="212"/>
        <v>4742.2</v>
      </c>
      <c r="R70">
        <v>-50.19</v>
      </c>
      <c r="S70">
        <f t="shared" si="246"/>
        <v>-29.5600000000004</v>
      </c>
      <c r="T70">
        <f t="shared" si="247"/>
        <v>-108.82999999999993</v>
      </c>
      <c r="U70">
        <f t="shared" si="153"/>
        <v>-86.149999999999636</v>
      </c>
      <c r="V70">
        <f t="shared" si="161"/>
        <v>-86.400000000000546</v>
      </c>
      <c r="W70">
        <f t="shared" si="169"/>
        <v>-39.800000000000182</v>
      </c>
      <c r="X70">
        <f t="shared" si="177"/>
        <v>-51.369999999999891</v>
      </c>
      <c r="Y70">
        <f t="shared" si="185"/>
        <v>-52.079999999999927</v>
      </c>
      <c r="Z70">
        <f t="shared" si="193"/>
        <v>-46.890000000000327</v>
      </c>
      <c r="AA70">
        <f t="shared" si="201"/>
        <v>-98.099999999999454</v>
      </c>
      <c r="AB70">
        <f t="shared" si="209"/>
        <v>-246.5</v>
      </c>
      <c r="AC70">
        <f t="shared" si="217"/>
        <v>-50.940000000000509</v>
      </c>
      <c r="AD70">
        <v>-1.05</v>
      </c>
      <c r="AE70" s="14">
        <f t="shared" si="248"/>
        <v>-0.62454838559736481</v>
      </c>
      <c r="AF70" s="14">
        <f t="shared" si="249"/>
        <v>-2.2638298934545906</v>
      </c>
      <c r="AG70" s="14">
        <f t="shared" si="154"/>
        <v>-1.7735935290084888</v>
      </c>
      <c r="AH70" s="14">
        <f t="shared" si="162"/>
        <v>-1.8405260837056039</v>
      </c>
      <c r="AI70" s="14">
        <f t="shared" si="170"/>
        <v>-0.8534765229623823</v>
      </c>
      <c r="AJ70" s="14">
        <f t="shared" si="178"/>
        <v>-1.1005019419992392</v>
      </c>
      <c r="AK70" s="14">
        <f t="shared" si="186"/>
        <v>-1.1085969479525637</v>
      </c>
      <c r="AL70" s="14">
        <f t="shared" si="194"/>
        <v>-0.99628808852495232</v>
      </c>
      <c r="AM70" s="14">
        <f t="shared" si="202"/>
        <v>-2.0876115893299736</v>
      </c>
      <c r="AN70" s="14">
        <f t="shared" si="210"/>
        <v>-5.1349352664854342</v>
      </c>
      <c r="AO70" s="14">
        <f t="shared" si="218"/>
        <v>-1.0627688738488861</v>
      </c>
      <c r="AP70">
        <v>3</v>
      </c>
      <c r="AQ70">
        <f t="shared" si="250"/>
        <v>3</v>
      </c>
      <c r="AR70">
        <f t="shared" ref="AR70:AR101" si="254">AP66</f>
        <v>3</v>
      </c>
      <c r="AS70">
        <f t="shared" si="149"/>
        <v>3</v>
      </c>
      <c r="AT70">
        <f t="shared" si="157"/>
        <v>3</v>
      </c>
      <c r="AU70">
        <f t="shared" si="165"/>
        <v>3</v>
      </c>
      <c r="AV70">
        <f t="shared" si="173"/>
        <v>3</v>
      </c>
      <c r="AW70">
        <f t="shared" si="181"/>
        <v>3</v>
      </c>
      <c r="AX70">
        <f t="shared" si="189"/>
        <v>3</v>
      </c>
      <c r="AY70">
        <f t="shared" si="197"/>
        <v>3</v>
      </c>
      <c r="AZ70">
        <f t="shared" si="205"/>
        <v>3</v>
      </c>
      <c r="BA70">
        <f t="shared" si="213"/>
        <v>3</v>
      </c>
      <c r="BB70">
        <v>22</v>
      </c>
      <c r="BC70">
        <f t="shared" si="251"/>
        <v>16</v>
      </c>
      <c r="BD70">
        <f t="shared" ref="BD70:BD101" si="255">BB66</f>
        <v>44</v>
      </c>
      <c r="BE70">
        <f t="shared" si="150"/>
        <v>41</v>
      </c>
      <c r="BF70">
        <f t="shared" si="158"/>
        <v>19</v>
      </c>
      <c r="BG70">
        <f t="shared" si="166"/>
        <v>4</v>
      </c>
      <c r="BH70">
        <f t="shared" si="174"/>
        <v>15</v>
      </c>
      <c r="BI70">
        <f t="shared" si="182"/>
        <v>19</v>
      </c>
      <c r="BJ70">
        <f t="shared" si="190"/>
        <v>11</v>
      </c>
      <c r="BK70">
        <f t="shared" si="198"/>
        <v>35</v>
      </c>
      <c r="BL70">
        <f t="shared" si="206"/>
        <v>26</v>
      </c>
      <c r="BM70">
        <f t="shared" si="214"/>
        <v>6</v>
      </c>
      <c r="BZ70" s="12">
        <f t="shared" si="220"/>
        <v>-2.2813636363636363</v>
      </c>
      <c r="CA70" s="12">
        <f t="shared" si="252"/>
        <v>-1.847500000000025</v>
      </c>
      <c r="CB70" s="12">
        <f t="shared" ref="CB70:CB101" si="256">IFERROR(T70/BD70,0)</f>
        <v>-2.4734090909090893</v>
      </c>
      <c r="CC70" s="12">
        <f t="shared" si="155"/>
        <v>-2.1012195121951129</v>
      </c>
      <c r="CD70" s="12">
        <f t="shared" si="163"/>
        <v>-4.5473684210526599</v>
      </c>
      <c r="CE70" s="12">
        <f t="shared" si="171"/>
        <v>-9.9500000000000455</v>
      </c>
      <c r="CF70" s="12">
        <f t="shared" si="179"/>
        <v>-3.4246666666666594</v>
      </c>
      <c r="CG70" s="12">
        <f t="shared" si="187"/>
        <v>-2.7410526315789436</v>
      </c>
      <c r="CH70" s="12">
        <f t="shared" si="195"/>
        <v>-4.2627272727273029</v>
      </c>
      <c r="CI70" s="12">
        <f t="shared" si="203"/>
        <v>-2.8028571428571274</v>
      </c>
      <c r="CJ70" s="12">
        <f t="shared" si="211"/>
        <v>-9.4807692307692299</v>
      </c>
      <c r="CK70" s="12">
        <f t="shared" si="219"/>
        <v>-8.4900000000000855</v>
      </c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>
        <f t="shared" si="221"/>
        <v>-66.330510919762872</v>
      </c>
      <c r="CY70" s="12">
        <f t="shared" si="222"/>
        <v>-61.574557879131007</v>
      </c>
      <c r="CZ70" s="12">
        <f t="shared" si="223"/>
        <v>-67.986502383136383</v>
      </c>
      <c r="DA70" s="12">
        <f t="shared" si="224"/>
        <v>-64.549564335542513</v>
      </c>
      <c r="DB70" s="12">
        <f t="shared" si="225"/>
        <v>-77.597641819639662</v>
      </c>
      <c r="DC70" s="12">
        <f t="shared" si="226"/>
        <v>-84.260901501910425</v>
      </c>
      <c r="DD70" s="12">
        <f t="shared" si="227"/>
        <v>-73.722236714786519</v>
      </c>
      <c r="DE70" s="12">
        <f t="shared" si="228"/>
        <v>-69.956849840129522</v>
      </c>
      <c r="DF70" s="12">
        <f t="shared" si="229"/>
        <v>-76.797625950239947</v>
      </c>
      <c r="DG70" s="12">
        <f t="shared" si="230"/>
        <v>-70.364677549257877</v>
      </c>
      <c r="DH70" s="12">
        <f t="shared" si="231"/>
        <v>-83.978894838902605</v>
      </c>
      <c r="DI70" s="12">
        <f t="shared" si="232"/>
        <v>-83.282332155660583</v>
      </c>
      <c r="DJ70" t="s">
        <v>22</v>
      </c>
      <c r="DK70" t="str">
        <f t="shared" si="253"/>
        <v>HL</v>
      </c>
      <c r="DL70" t="str">
        <f t="shared" ref="DL70:DL101" si="257">DJ66</f>
        <v>LL</v>
      </c>
      <c r="DM70" t="str">
        <f t="shared" si="151"/>
        <v>HL</v>
      </c>
      <c r="DN70" t="str">
        <f t="shared" si="159"/>
        <v>LL</v>
      </c>
      <c r="DO70" t="str">
        <f t="shared" si="167"/>
        <v>HL</v>
      </c>
      <c r="DP70" t="str">
        <f t="shared" si="175"/>
        <v>LL</v>
      </c>
      <c r="DQ70" t="str">
        <f t="shared" si="183"/>
        <v>LL</v>
      </c>
      <c r="DR70" t="str">
        <f t="shared" si="191"/>
        <v>HL</v>
      </c>
      <c r="DS70" t="str">
        <f t="shared" si="199"/>
        <v>HL</v>
      </c>
      <c r="DT70" t="str">
        <f t="shared" si="207"/>
        <v>LL</v>
      </c>
      <c r="DU70" t="str">
        <f t="shared" si="215"/>
        <v>HL</v>
      </c>
      <c r="DV70">
        <f t="shared" si="233"/>
        <v>-0.99521337728437564</v>
      </c>
      <c r="DW70">
        <f t="shared" si="234"/>
        <v>-1.0994076712259473</v>
      </c>
      <c r="DX70">
        <f t="shared" si="152"/>
        <v>0.43109073533808362</v>
      </c>
      <c r="DY70">
        <f t="shared" si="160"/>
        <v>-3.0064789906414568</v>
      </c>
      <c r="DZ70">
        <f t="shared" si="168"/>
        <v>-2.6787405751525073</v>
      </c>
      <c r="EA70">
        <f t="shared" si="176"/>
        <v>-2.8256650542862753</v>
      </c>
      <c r="EB70">
        <f t="shared" si="184"/>
        <v>-2.2099714991769659</v>
      </c>
      <c r="EC70">
        <f t="shared" si="192"/>
        <v>-1.9188589567098993</v>
      </c>
      <c r="ED70">
        <f t="shared" si="200"/>
        <v>-3.1508775474978554</v>
      </c>
      <c r="EE70">
        <f t="shared" si="208"/>
        <v>-4.1423020413661868</v>
      </c>
      <c r="EF70">
        <f t="shared" si="216"/>
        <v>-0.17976146873960611</v>
      </c>
      <c r="EG70" s="13" t="str">
        <f t="shared" si="235"/>
        <v/>
      </c>
      <c r="EH70" s="13" t="str">
        <f t="shared" si="236"/>
        <v/>
      </c>
      <c r="EI70" s="13" t="str">
        <f t="shared" si="237"/>
        <v/>
      </c>
      <c r="EJ70" s="13" t="str">
        <f t="shared" si="238"/>
        <v/>
      </c>
      <c r="EK70" s="13" t="str">
        <f t="shared" si="239"/>
        <v/>
      </c>
      <c r="EL70" s="13" t="str">
        <f t="shared" si="240"/>
        <v/>
      </c>
      <c r="EM70" s="13" t="str">
        <f t="shared" si="241"/>
        <v/>
      </c>
      <c r="EN70" s="13" t="str">
        <f t="shared" si="242"/>
        <v/>
      </c>
      <c r="EO70" s="13" t="str">
        <f t="shared" si="243"/>
        <v/>
      </c>
      <c r="EP70" s="13" t="str">
        <f t="shared" si="244"/>
        <v/>
      </c>
      <c r="EQ70" s="13" t="str">
        <f t="shared" si="245"/>
        <v>EQL</v>
      </c>
    </row>
    <row r="71" spans="1:147" ht="14.25" customHeight="1" x14ac:dyDescent="0.55000000000000004">
      <c r="A71">
        <v>1775784604</v>
      </c>
      <c r="B71" t="s">
        <v>16</v>
      </c>
      <c r="C71" t="s">
        <v>17</v>
      </c>
      <c r="D71">
        <v>4771.97</v>
      </c>
      <c r="E71" t="s">
        <v>20</v>
      </c>
      <c r="F71">
        <v>4777.3100000000004</v>
      </c>
      <c r="G71">
        <v>4800.93</v>
      </c>
      <c r="H71">
        <v>4733.0200000000004</v>
      </c>
      <c r="I71">
        <f t="shared" si="148"/>
        <v>4807.34</v>
      </c>
      <c r="J71">
        <f t="shared" si="156"/>
        <v>4857.37</v>
      </c>
      <c r="K71">
        <f t="shared" si="164"/>
        <v>4694.3100000000004</v>
      </c>
      <c r="L71">
        <f t="shared" si="172"/>
        <v>4663.28</v>
      </c>
      <c r="M71">
        <f t="shared" si="180"/>
        <v>4667.87</v>
      </c>
      <c r="N71">
        <f t="shared" si="188"/>
        <v>4697.83</v>
      </c>
      <c r="O71">
        <f t="shared" si="196"/>
        <v>4706.47</v>
      </c>
      <c r="P71">
        <f t="shared" si="204"/>
        <v>4699.1499999999996</v>
      </c>
      <c r="Q71">
        <f t="shared" si="212"/>
        <v>4800.45</v>
      </c>
      <c r="R71">
        <v>26.57</v>
      </c>
      <c r="S71">
        <f t="shared" si="246"/>
        <v>97.470000000000255</v>
      </c>
      <c r="T71">
        <f t="shared" si="247"/>
        <v>34.510000000000218</v>
      </c>
      <c r="U71">
        <f t="shared" si="153"/>
        <v>36.119999999999891</v>
      </c>
      <c r="V71">
        <f t="shared" si="161"/>
        <v>249.46000000000004</v>
      </c>
      <c r="W71">
        <f t="shared" si="169"/>
        <v>70.830000000000837</v>
      </c>
      <c r="X71">
        <f t="shared" si="177"/>
        <v>46.779999999999745</v>
      </c>
      <c r="Y71">
        <f t="shared" si="185"/>
        <v>22.119999999999891</v>
      </c>
      <c r="Z71">
        <f t="shared" si="193"/>
        <v>38.25</v>
      </c>
      <c r="AA71">
        <f t="shared" si="201"/>
        <v>105.42000000000007</v>
      </c>
      <c r="AB71">
        <f t="shared" si="209"/>
        <v>145.19999999999982</v>
      </c>
      <c r="AC71">
        <f t="shared" si="217"/>
        <v>58.25</v>
      </c>
      <c r="AD71">
        <v>0.56000000000000005</v>
      </c>
      <c r="AE71" s="14">
        <f t="shared" si="248"/>
        <v>2.0723042185965279</v>
      </c>
      <c r="AF71" s="14">
        <f t="shared" si="249"/>
        <v>0.73448816752545421</v>
      </c>
      <c r="AG71" s="14">
        <f t="shared" si="154"/>
        <v>0.75703908015140542</v>
      </c>
      <c r="AH71" s="14">
        <f t="shared" si="162"/>
        <v>5.4137342092184975</v>
      </c>
      <c r="AI71" s="14">
        <f t="shared" si="170"/>
        <v>1.5319629370085055</v>
      </c>
      <c r="AJ71" s="14">
        <f t="shared" si="178"/>
        <v>1.0133217805696901</v>
      </c>
      <c r="AK71" s="14">
        <f t="shared" si="186"/>
        <v>0.47613410106010629</v>
      </c>
      <c r="AL71" s="14">
        <f t="shared" si="194"/>
        <v>0.82088943638697043</v>
      </c>
      <c r="AM71" s="14">
        <f t="shared" si="202"/>
        <v>2.2912161354473453</v>
      </c>
      <c r="AN71" s="14">
        <f t="shared" si="210"/>
        <v>3.188440804137064</v>
      </c>
      <c r="AO71" s="14">
        <f t="shared" si="218"/>
        <v>1.2283328412972883</v>
      </c>
      <c r="AP71">
        <v>0</v>
      </c>
      <c r="AQ71">
        <f t="shared" si="250"/>
        <v>0</v>
      </c>
      <c r="AR71">
        <f t="shared" si="254"/>
        <v>0</v>
      </c>
      <c r="AS71">
        <f t="shared" si="149"/>
        <v>0</v>
      </c>
      <c r="AT71">
        <f t="shared" si="157"/>
        <v>2</v>
      </c>
      <c r="AU71">
        <f t="shared" si="165"/>
        <v>0</v>
      </c>
      <c r="AV71">
        <f t="shared" si="173"/>
        <v>0</v>
      </c>
      <c r="AW71">
        <f t="shared" si="181"/>
        <v>0</v>
      </c>
      <c r="AX71">
        <f t="shared" si="189"/>
        <v>0</v>
      </c>
      <c r="AY71">
        <f t="shared" si="197"/>
        <v>0</v>
      </c>
      <c r="AZ71">
        <f t="shared" si="205"/>
        <v>0</v>
      </c>
      <c r="BA71">
        <f t="shared" si="213"/>
        <v>0</v>
      </c>
      <c r="BB71">
        <v>6</v>
      </c>
      <c r="BC71">
        <f t="shared" si="251"/>
        <v>43</v>
      </c>
      <c r="BD71">
        <f t="shared" si="255"/>
        <v>11</v>
      </c>
      <c r="BE71">
        <f t="shared" si="150"/>
        <v>7</v>
      </c>
      <c r="BF71">
        <f t="shared" si="158"/>
        <v>36</v>
      </c>
      <c r="BG71">
        <f t="shared" si="166"/>
        <v>15</v>
      </c>
      <c r="BH71">
        <f t="shared" si="174"/>
        <v>11</v>
      </c>
      <c r="BI71">
        <f t="shared" si="182"/>
        <v>7</v>
      </c>
      <c r="BJ71">
        <f t="shared" si="190"/>
        <v>9</v>
      </c>
      <c r="BK71">
        <f t="shared" si="198"/>
        <v>37</v>
      </c>
      <c r="BL71">
        <f t="shared" si="206"/>
        <v>34</v>
      </c>
      <c r="BM71">
        <f t="shared" si="214"/>
        <v>16</v>
      </c>
      <c r="BZ71" s="12">
        <f t="shared" si="220"/>
        <v>4.4283333333333337</v>
      </c>
      <c r="CA71" s="12">
        <f t="shared" si="252"/>
        <v>2.2667441860465174</v>
      </c>
      <c r="CB71" s="12">
        <f t="shared" si="256"/>
        <v>3.1372727272727472</v>
      </c>
      <c r="CC71" s="12">
        <f t="shared" si="155"/>
        <v>5.1599999999999842</v>
      </c>
      <c r="CD71" s="12">
        <f t="shared" si="163"/>
        <v>6.9294444444444458</v>
      </c>
      <c r="CE71" s="12">
        <f t="shared" si="171"/>
        <v>4.7220000000000555</v>
      </c>
      <c r="CF71" s="12">
        <f t="shared" si="179"/>
        <v>4.2527272727272498</v>
      </c>
      <c r="CG71" s="12">
        <f t="shared" si="187"/>
        <v>3.1599999999999846</v>
      </c>
      <c r="CH71" s="12">
        <f t="shared" si="195"/>
        <v>4.25</v>
      </c>
      <c r="CI71" s="12">
        <f t="shared" si="203"/>
        <v>2.849189189189191</v>
      </c>
      <c r="CJ71" s="12">
        <f t="shared" si="211"/>
        <v>4.2705882352941122</v>
      </c>
      <c r="CK71" s="12">
        <f t="shared" si="219"/>
        <v>3.640625</v>
      </c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>
        <f t="shared" si="221"/>
        <v>77.274982448283197</v>
      </c>
      <c r="CY71" s="12">
        <f t="shared" si="222"/>
        <v>66.194780099488241</v>
      </c>
      <c r="CZ71" s="12">
        <f t="shared" si="223"/>
        <v>72.320413218759455</v>
      </c>
      <c r="DA71" s="12">
        <f t="shared" si="224"/>
        <v>79.032127817338292</v>
      </c>
      <c r="DB71" s="12">
        <f t="shared" si="225"/>
        <v>81.788240397338924</v>
      </c>
      <c r="DC71" s="12">
        <f t="shared" si="226"/>
        <v>78.042869263019668</v>
      </c>
      <c r="DD71" s="12">
        <f t="shared" si="227"/>
        <v>76.767672413167134</v>
      </c>
      <c r="DE71" s="12">
        <f t="shared" si="228"/>
        <v>72.43972794819922</v>
      </c>
      <c r="DF71" s="12">
        <f t="shared" si="229"/>
        <v>76.759480084812793</v>
      </c>
      <c r="DG71" s="12">
        <f t="shared" si="230"/>
        <v>70.6600977040994</v>
      </c>
      <c r="DH71" s="12">
        <f t="shared" si="231"/>
        <v>76.821078963950583</v>
      </c>
      <c r="DI71" s="12">
        <f t="shared" si="232"/>
        <v>74.64089633032458</v>
      </c>
      <c r="DJ71" t="s">
        <v>21</v>
      </c>
      <c r="DK71" t="str">
        <f t="shared" si="253"/>
        <v>HH</v>
      </c>
      <c r="DL71" t="str">
        <f t="shared" si="257"/>
        <v>LH</v>
      </c>
      <c r="DM71" t="str">
        <f t="shared" si="151"/>
        <v>LH</v>
      </c>
      <c r="DN71" t="str">
        <f t="shared" si="159"/>
        <v>HH</v>
      </c>
      <c r="DO71" t="str">
        <f t="shared" si="167"/>
        <v>HH</v>
      </c>
      <c r="DP71" t="str">
        <f t="shared" si="175"/>
        <v>LH</v>
      </c>
      <c r="DQ71" t="str">
        <f t="shared" si="183"/>
        <v>LH</v>
      </c>
      <c r="DR71" t="str">
        <f t="shared" si="191"/>
        <v>LH</v>
      </c>
      <c r="DS71" t="str">
        <f t="shared" si="199"/>
        <v>HH</v>
      </c>
      <c r="DT71" t="str">
        <f t="shared" si="207"/>
        <v>LH</v>
      </c>
      <c r="DU71" t="str">
        <f t="shared" si="215"/>
        <v>HH</v>
      </c>
      <c r="DV71">
        <f t="shared" si="233"/>
        <v>0.49442050023967227</v>
      </c>
      <c r="DW71">
        <f t="shared" si="234"/>
        <v>-0.92709076865432549</v>
      </c>
      <c r="DX71">
        <f t="shared" si="152"/>
        <v>0.62859642769675284</v>
      </c>
      <c r="DY71">
        <f t="shared" si="160"/>
        <v>1.6758384948851859</v>
      </c>
      <c r="DZ71">
        <f t="shared" si="168"/>
        <v>-1.7373794038904737</v>
      </c>
      <c r="EA71">
        <f t="shared" si="176"/>
        <v>-2.3869081135618297</v>
      </c>
      <c r="EB71">
        <f t="shared" si="184"/>
        <v>-2.290828939298486</v>
      </c>
      <c r="EC71">
        <f t="shared" si="192"/>
        <v>-1.6636977713399479</v>
      </c>
      <c r="ED71">
        <f t="shared" si="200"/>
        <v>-1.4828428550795352</v>
      </c>
      <c r="EE71">
        <f t="shared" si="208"/>
        <v>-1.636067159133503</v>
      </c>
      <c r="EF71">
        <f t="shared" si="216"/>
        <v>0.48437300489186208</v>
      </c>
      <c r="EG71" s="13" t="str">
        <f t="shared" si="235"/>
        <v/>
      </c>
      <c r="EH71" s="13" t="str">
        <f t="shared" si="236"/>
        <v/>
      </c>
      <c r="EI71" s="13" t="str">
        <f t="shared" si="237"/>
        <v/>
      </c>
      <c r="EJ71" s="13" t="str">
        <f t="shared" si="238"/>
        <v/>
      </c>
      <c r="EK71" s="13" t="str">
        <f t="shared" si="239"/>
        <v/>
      </c>
      <c r="EL71" s="13" t="str">
        <f t="shared" si="240"/>
        <v/>
      </c>
      <c r="EM71" s="13" t="str">
        <f t="shared" si="241"/>
        <v/>
      </c>
      <c r="EN71" s="13" t="str">
        <f t="shared" si="242"/>
        <v/>
      </c>
      <c r="EO71" s="13" t="str">
        <f t="shared" si="243"/>
        <v/>
      </c>
      <c r="EP71" s="13" t="str">
        <f t="shared" si="244"/>
        <v/>
      </c>
      <c r="EQ71" s="13" t="str">
        <f t="shared" si="245"/>
        <v/>
      </c>
    </row>
    <row r="72" spans="1:147" ht="14.25" customHeight="1" x14ac:dyDescent="0.55000000000000004">
      <c r="A72">
        <v>1775810704</v>
      </c>
      <c r="B72" t="s">
        <v>16</v>
      </c>
      <c r="C72" t="s">
        <v>17</v>
      </c>
      <c r="D72">
        <v>4741.04</v>
      </c>
      <c r="E72" t="s">
        <v>18</v>
      </c>
      <c r="F72">
        <v>4730.8100000000004</v>
      </c>
      <c r="G72">
        <v>4750.74</v>
      </c>
      <c r="H72">
        <v>4703.46</v>
      </c>
      <c r="I72">
        <f t="shared" ref="I72:I103" si="258">F66</f>
        <v>4698.51</v>
      </c>
      <c r="J72">
        <f t="shared" si="156"/>
        <v>4771.22</v>
      </c>
      <c r="K72">
        <f t="shared" si="164"/>
        <v>4607.91</v>
      </c>
      <c r="L72">
        <f t="shared" si="172"/>
        <v>4623.4799999999996</v>
      </c>
      <c r="M72">
        <f t="shared" si="180"/>
        <v>4616.5</v>
      </c>
      <c r="N72">
        <f t="shared" si="188"/>
        <v>4645.75</v>
      </c>
      <c r="O72">
        <f t="shared" si="196"/>
        <v>4659.58</v>
      </c>
      <c r="P72">
        <f t="shared" si="204"/>
        <v>4601.05</v>
      </c>
      <c r="Q72">
        <f t="shared" si="212"/>
        <v>4553.95</v>
      </c>
      <c r="R72">
        <v>-46.5</v>
      </c>
      <c r="S72">
        <f t="shared" si="246"/>
        <v>-50.190000000000509</v>
      </c>
      <c r="T72">
        <f t="shared" si="247"/>
        <v>-29.5600000000004</v>
      </c>
      <c r="U72">
        <f t="shared" si="153"/>
        <v>-108.82999999999993</v>
      </c>
      <c r="V72">
        <f t="shared" si="161"/>
        <v>-86.149999999999636</v>
      </c>
      <c r="W72">
        <f t="shared" si="169"/>
        <v>-86.400000000000546</v>
      </c>
      <c r="X72">
        <f t="shared" si="177"/>
        <v>-39.800000000000182</v>
      </c>
      <c r="Y72">
        <f t="shared" si="185"/>
        <v>-51.369999999999891</v>
      </c>
      <c r="Z72">
        <f t="shared" si="193"/>
        <v>-52.079999999999927</v>
      </c>
      <c r="AA72">
        <f t="shared" si="201"/>
        <v>-46.890000000000327</v>
      </c>
      <c r="AB72">
        <f t="shared" si="209"/>
        <v>-98.099999999999454</v>
      </c>
      <c r="AC72">
        <f t="shared" si="217"/>
        <v>-246.5</v>
      </c>
      <c r="AD72">
        <v>-0.97</v>
      </c>
      <c r="AE72" s="14">
        <f t="shared" si="248"/>
        <v>-1.0454224494004394</v>
      </c>
      <c r="AF72" s="14">
        <f t="shared" si="249"/>
        <v>-0.62454838559736481</v>
      </c>
      <c r="AG72" s="14">
        <f t="shared" si="154"/>
        <v>-2.2638298934545906</v>
      </c>
      <c r="AH72" s="14">
        <f t="shared" si="162"/>
        <v>-1.7735935290084888</v>
      </c>
      <c r="AI72" s="14">
        <f t="shared" si="170"/>
        <v>-1.8405260837056039</v>
      </c>
      <c r="AJ72" s="14">
        <f t="shared" si="178"/>
        <v>-0.8534765229623823</v>
      </c>
      <c r="AK72" s="14">
        <f t="shared" si="186"/>
        <v>-1.1005019419992392</v>
      </c>
      <c r="AL72" s="14">
        <f t="shared" si="194"/>
        <v>-1.1085969479525637</v>
      </c>
      <c r="AM72" s="14">
        <f t="shared" si="202"/>
        <v>-0.99628808852495232</v>
      </c>
      <c r="AN72" s="14">
        <f t="shared" si="210"/>
        <v>-2.0876115893299736</v>
      </c>
      <c r="AO72" s="14">
        <f t="shared" si="218"/>
        <v>-5.1349352664854342</v>
      </c>
      <c r="AP72">
        <v>3</v>
      </c>
      <c r="AQ72">
        <f t="shared" si="250"/>
        <v>3</v>
      </c>
      <c r="AR72">
        <f t="shared" si="254"/>
        <v>3</v>
      </c>
      <c r="AS72">
        <f t="shared" ref="AS72:AS103" si="259">AP66</f>
        <v>3</v>
      </c>
      <c r="AT72">
        <f t="shared" si="157"/>
        <v>3</v>
      </c>
      <c r="AU72">
        <f t="shared" si="165"/>
        <v>3</v>
      </c>
      <c r="AV72">
        <f t="shared" si="173"/>
        <v>3</v>
      </c>
      <c r="AW72">
        <f t="shared" si="181"/>
        <v>3</v>
      </c>
      <c r="AX72">
        <f t="shared" si="189"/>
        <v>3</v>
      </c>
      <c r="AY72">
        <f t="shared" si="197"/>
        <v>3</v>
      </c>
      <c r="AZ72">
        <f t="shared" si="205"/>
        <v>3</v>
      </c>
      <c r="BA72">
        <f t="shared" si="213"/>
        <v>3</v>
      </c>
      <c r="BB72">
        <v>29</v>
      </c>
      <c r="BC72">
        <f t="shared" si="251"/>
        <v>22</v>
      </c>
      <c r="BD72">
        <f t="shared" si="255"/>
        <v>16</v>
      </c>
      <c r="BE72">
        <f t="shared" ref="BE72:BE103" si="260">BB66</f>
        <v>44</v>
      </c>
      <c r="BF72">
        <f t="shared" si="158"/>
        <v>41</v>
      </c>
      <c r="BG72">
        <f t="shared" si="166"/>
        <v>19</v>
      </c>
      <c r="BH72">
        <f t="shared" si="174"/>
        <v>4</v>
      </c>
      <c r="BI72">
        <f t="shared" si="182"/>
        <v>15</v>
      </c>
      <c r="BJ72">
        <f t="shared" si="190"/>
        <v>19</v>
      </c>
      <c r="BK72">
        <f t="shared" si="198"/>
        <v>11</v>
      </c>
      <c r="BL72">
        <f t="shared" si="206"/>
        <v>35</v>
      </c>
      <c r="BM72">
        <f t="shared" si="214"/>
        <v>26</v>
      </c>
      <c r="BZ72" s="12">
        <f t="shared" si="220"/>
        <v>-1.603448275862069</v>
      </c>
      <c r="CA72" s="12">
        <f t="shared" si="252"/>
        <v>-2.2813636363636594</v>
      </c>
      <c r="CB72" s="12">
        <f t="shared" si="256"/>
        <v>-1.847500000000025</v>
      </c>
      <c r="CC72" s="12">
        <f t="shared" si="155"/>
        <v>-2.4734090909090893</v>
      </c>
      <c r="CD72" s="12">
        <f t="shared" si="163"/>
        <v>-2.1012195121951129</v>
      </c>
      <c r="CE72" s="12">
        <f t="shared" si="171"/>
        <v>-4.5473684210526599</v>
      </c>
      <c r="CF72" s="12">
        <f t="shared" si="179"/>
        <v>-9.9500000000000455</v>
      </c>
      <c r="CG72" s="12">
        <f t="shared" si="187"/>
        <v>-3.4246666666666594</v>
      </c>
      <c r="CH72" s="12">
        <f t="shared" si="195"/>
        <v>-2.7410526315789436</v>
      </c>
      <c r="CI72" s="12">
        <f t="shared" si="203"/>
        <v>-4.2627272727273029</v>
      </c>
      <c r="CJ72" s="12">
        <f t="shared" si="211"/>
        <v>-2.8028571428571274</v>
      </c>
      <c r="CK72" s="12">
        <f t="shared" si="219"/>
        <v>-9.4807692307692299</v>
      </c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>
        <f t="shared" si="221"/>
        <v>-58.050028553666849</v>
      </c>
      <c r="CY72" s="12">
        <f t="shared" si="222"/>
        <v>-66.330510919763071</v>
      </c>
      <c r="CZ72" s="12">
        <f t="shared" si="223"/>
        <v>-61.574557879131007</v>
      </c>
      <c r="DA72" s="12">
        <f t="shared" si="224"/>
        <v>-67.986502383136383</v>
      </c>
      <c r="DB72" s="12">
        <f t="shared" si="225"/>
        <v>-64.549564335542513</v>
      </c>
      <c r="DC72" s="12">
        <f t="shared" si="226"/>
        <v>-77.597641819639662</v>
      </c>
      <c r="DD72" s="12">
        <f t="shared" si="227"/>
        <v>-84.260901501910425</v>
      </c>
      <c r="DE72" s="12">
        <f t="shared" si="228"/>
        <v>-73.722236714786519</v>
      </c>
      <c r="DF72" s="12">
        <f t="shared" si="229"/>
        <v>-69.956849840129522</v>
      </c>
      <c r="DG72" s="12">
        <f t="shared" si="230"/>
        <v>-76.797625950239947</v>
      </c>
      <c r="DH72" s="12">
        <f t="shared" si="231"/>
        <v>-70.364677549257877</v>
      </c>
      <c r="DI72" s="12">
        <f t="shared" si="232"/>
        <v>-83.978894838902605</v>
      </c>
      <c r="DJ72" t="s">
        <v>19</v>
      </c>
      <c r="DK72" t="str">
        <f t="shared" si="253"/>
        <v>HL</v>
      </c>
      <c r="DL72" t="str">
        <f t="shared" si="257"/>
        <v>HL</v>
      </c>
      <c r="DM72" t="str">
        <f t="shared" ref="DM72:DM103" si="261">DJ66</f>
        <v>LL</v>
      </c>
      <c r="DN72" t="str">
        <f t="shared" si="159"/>
        <v>HL</v>
      </c>
      <c r="DO72" t="str">
        <f t="shared" si="167"/>
        <v>LL</v>
      </c>
      <c r="DP72" t="str">
        <f t="shared" si="175"/>
        <v>HL</v>
      </c>
      <c r="DQ72" t="str">
        <f t="shared" si="183"/>
        <v>LL</v>
      </c>
      <c r="DR72" t="str">
        <f t="shared" si="191"/>
        <v>LL</v>
      </c>
      <c r="DS72" t="str">
        <f t="shared" si="199"/>
        <v>HL</v>
      </c>
      <c r="DT72" t="str">
        <f t="shared" si="207"/>
        <v>HL</v>
      </c>
      <c r="DU72" t="str">
        <f t="shared" si="215"/>
        <v>LL</v>
      </c>
      <c r="DV72">
        <f t="shared" si="233"/>
        <v>0.42128092229447767</v>
      </c>
      <c r="DW72">
        <f t="shared" si="234"/>
        <v>-0.57812509908451959</v>
      </c>
      <c r="DX72">
        <f t="shared" ref="DX72:DX103" si="262">IFERROR(((I72-$F72)/$F72)*100,0)</f>
        <v>-0.68275834370858646</v>
      </c>
      <c r="DY72">
        <f t="shared" si="160"/>
        <v>0.85418776065831969</v>
      </c>
      <c r="DZ72">
        <f t="shared" si="168"/>
        <v>-2.597863790767343</v>
      </c>
      <c r="EA72">
        <f t="shared" si="176"/>
        <v>-2.2687446758589083</v>
      </c>
      <c r="EB72">
        <f t="shared" si="184"/>
        <v>-2.4162881197934474</v>
      </c>
      <c r="EC72">
        <f t="shared" si="192"/>
        <v>-1.7980007651966661</v>
      </c>
      <c r="ED72">
        <f t="shared" si="200"/>
        <v>-1.5056618211257791</v>
      </c>
      <c r="EE72">
        <f t="shared" si="208"/>
        <v>-2.7428706711958464</v>
      </c>
      <c r="EF72">
        <f t="shared" si="216"/>
        <v>-3.7384718473157994</v>
      </c>
      <c r="EG72" s="13" t="str">
        <f t="shared" si="235"/>
        <v/>
      </c>
      <c r="EH72" s="13" t="str">
        <f t="shared" si="236"/>
        <v/>
      </c>
      <c r="EI72" s="13" t="str">
        <f t="shared" si="237"/>
        <v/>
      </c>
      <c r="EJ72" s="13" t="str">
        <f t="shared" si="238"/>
        <v/>
      </c>
      <c r="EK72" s="13" t="str">
        <f t="shared" si="239"/>
        <v/>
      </c>
      <c r="EL72" s="13" t="str">
        <f t="shared" si="240"/>
        <v/>
      </c>
      <c r="EM72" s="13" t="str">
        <f t="shared" si="241"/>
        <v/>
      </c>
      <c r="EN72" s="13" t="str">
        <f t="shared" si="242"/>
        <v/>
      </c>
      <c r="EO72" s="13" t="str">
        <f t="shared" si="243"/>
        <v/>
      </c>
      <c r="EP72" s="13" t="str">
        <f t="shared" si="244"/>
        <v/>
      </c>
      <c r="EQ72" s="13" t="str">
        <f t="shared" si="245"/>
        <v/>
      </c>
    </row>
    <row r="73" spans="1:147" ht="14.25" customHeight="1" x14ac:dyDescent="0.55000000000000004">
      <c r="A73">
        <v>1775831404</v>
      </c>
      <c r="B73" t="s">
        <v>16</v>
      </c>
      <c r="C73" t="s">
        <v>17</v>
      </c>
      <c r="D73">
        <v>4780.79</v>
      </c>
      <c r="E73" t="s">
        <v>20</v>
      </c>
      <c r="F73">
        <v>4794.96</v>
      </c>
      <c r="G73">
        <v>4777.3100000000004</v>
      </c>
      <c r="H73">
        <v>4800.93</v>
      </c>
      <c r="I73">
        <f t="shared" si="258"/>
        <v>4733.0200000000004</v>
      </c>
      <c r="J73">
        <f t="shared" si="156"/>
        <v>4807.34</v>
      </c>
      <c r="K73">
        <f t="shared" si="164"/>
        <v>4857.37</v>
      </c>
      <c r="L73">
        <f t="shared" si="172"/>
        <v>4694.3100000000004</v>
      </c>
      <c r="M73">
        <f t="shared" si="180"/>
        <v>4663.28</v>
      </c>
      <c r="N73">
        <f t="shared" si="188"/>
        <v>4667.87</v>
      </c>
      <c r="O73">
        <f t="shared" si="196"/>
        <v>4697.83</v>
      </c>
      <c r="P73">
        <f t="shared" si="204"/>
        <v>4706.47</v>
      </c>
      <c r="Q73">
        <f t="shared" si="212"/>
        <v>4699.1499999999996</v>
      </c>
      <c r="R73">
        <v>64.150000000000006</v>
      </c>
      <c r="S73">
        <f t="shared" si="246"/>
        <v>26.570000000000618</v>
      </c>
      <c r="T73">
        <f t="shared" si="247"/>
        <v>97.470000000000255</v>
      </c>
      <c r="U73">
        <f t="shared" ref="U73:U104" si="263">I73-I72</f>
        <v>34.510000000000218</v>
      </c>
      <c r="V73">
        <f t="shared" si="161"/>
        <v>36.119999999999891</v>
      </c>
      <c r="W73">
        <f t="shared" si="169"/>
        <v>249.46000000000004</v>
      </c>
      <c r="X73">
        <f t="shared" si="177"/>
        <v>70.830000000000837</v>
      </c>
      <c r="Y73">
        <f t="shared" si="185"/>
        <v>46.779999999999745</v>
      </c>
      <c r="Z73">
        <f t="shared" si="193"/>
        <v>22.119999999999891</v>
      </c>
      <c r="AA73">
        <f t="shared" si="201"/>
        <v>38.25</v>
      </c>
      <c r="AB73">
        <f t="shared" si="209"/>
        <v>105.42000000000007</v>
      </c>
      <c r="AC73">
        <f t="shared" si="217"/>
        <v>145.19999999999982</v>
      </c>
      <c r="AD73">
        <v>1.36</v>
      </c>
      <c r="AE73" s="14">
        <f t="shared" si="248"/>
        <v>0.55928129091469159</v>
      </c>
      <c r="AF73" s="14">
        <f t="shared" si="249"/>
        <v>2.0723042185965279</v>
      </c>
      <c r="AG73" s="14">
        <f t="shared" ref="AG73:AG104" si="264">(U73/I72)*100</f>
        <v>0.73448816752545421</v>
      </c>
      <c r="AH73" s="14">
        <f t="shared" si="162"/>
        <v>0.75703908015140542</v>
      </c>
      <c r="AI73" s="14">
        <f t="shared" si="170"/>
        <v>5.4137342092184975</v>
      </c>
      <c r="AJ73" s="14">
        <f t="shared" si="178"/>
        <v>1.5319629370085055</v>
      </c>
      <c r="AK73" s="14">
        <f t="shared" si="186"/>
        <v>1.0133217805696901</v>
      </c>
      <c r="AL73" s="14">
        <f t="shared" si="194"/>
        <v>0.47613410106010629</v>
      </c>
      <c r="AM73" s="14">
        <f t="shared" si="202"/>
        <v>0.82088943638697043</v>
      </c>
      <c r="AN73" s="14">
        <f t="shared" si="210"/>
        <v>2.2912161354473453</v>
      </c>
      <c r="AO73" s="14">
        <f t="shared" si="218"/>
        <v>3.188440804137064</v>
      </c>
      <c r="AP73">
        <v>0</v>
      </c>
      <c r="AQ73">
        <f t="shared" si="250"/>
        <v>0</v>
      </c>
      <c r="AR73">
        <f t="shared" si="254"/>
        <v>0</v>
      </c>
      <c r="AS73">
        <f t="shared" si="259"/>
        <v>0</v>
      </c>
      <c r="AT73">
        <f t="shared" si="157"/>
        <v>0</v>
      </c>
      <c r="AU73">
        <f t="shared" si="165"/>
        <v>2</v>
      </c>
      <c r="AV73">
        <f t="shared" si="173"/>
        <v>0</v>
      </c>
      <c r="AW73">
        <f t="shared" si="181"/>
        <v>0</v>
      </c>
      <c r="AX73">
        <f t="shared" si="189"/>
        <v>0</v>
      </c>
      <c r="AY73">
        <f t="shared" si="197"/>
        <v>0</v>
      </c>
      <c r="AZ73">
        <f t="shared" si="205"/>
        <v>0</v>
      </c>
      <c r="BA73">
        <f t="shared" si="213"/>
        <v>0</v>
      </c>
      <c r="BB73">
        <v>23</v>
      </c>
      <c r="BC73">
        <f t="shared" si="251"/>
        <v>6</v>
      </c>
      <c r="BD73">
        <f t="shared" si="255"/>
        <v>43</v>
      </c>
      <c r="BE73">
        <f t="shared" si="260"/>
        <v>11</v>
      </c>
      <c r="BF73">
        <f t="shared" si="158"/>
        <v>7</v>
      </c>
      <c r="BG73">
        <f t="shared" si="166"/>
        <v>36</v>
      </c>
      <c r="BH73">
        <f t="shared" si="174"/>
        <v>15</v>
      </c>
      <c r="BI73">
        <f t="shared" si="182"/>
        <v>11</v>
      </c>
      <c r="BJ73">
        <f t="shared" si="190"/>
        <v>7</v>
      </c>
      <c r="BK73">
        <f t="shared" si="198"/>
        <v>9</v>
      </c>
      <c r="BL73">
        <f t="shared" si="206"/>
        <v>37</v>
      </c>
      <c r="BM73">
        <f t="shared" si="214"/>
        <v>34</v>
      </c>
      <c r="BZ73" s="12">
        <f t="shared" si="220"/>
        <v>2.7891304347826091</v>
      </c>
      <c r="CA73" s="12">
        <f t="shared" si="252"/>
        <v>4.4283333333334367</v>
      </c>
      <c r="CB73" s="12">
        <f t="shared" si="256"/>
        <v>2.2667441860465174</v>
      </c>
      <c r="CC73" s="12">
        <f t="shared" ref="CC73:CC104" si="265">IFERROR(U73/BE73,0)</f>
        <v>3.1372727272727472</v>
      </c>
      <c r="CD73" s="12">
        <f t="shared" si="163"/>
        <v>5.1599999999999842</v>
      </c>
      <c r="CE73" s="12">
        <f t="shared" si="171"/>
        <v>6.9294444444444458</v>
      </c>
      <c r="CF73" s="12">
        <f t="shared" si="179"/>
        <v>4.7220000000000555</v>
      </c>
      <c r="CG73" s="12">
        <f t="shared" si="187"/>
        <v>4.2527272727272498</v>
      </c>
      <c r="CH73" s="12">
        <f t="shared" si="195"/>
        <v>3.1599999999999846</v>
      </c>
      <c r="CI73" s="12">
        <f t="shared" si="203"/>
        <v>4.25</v>
      </c>
      <c r="CJ73" s="12">
        <f t="shared" si="211"/>
        <v>2.849189189189191</v>
      </c>
      <c r="CK73" s="12">
        <f t="shared" si="219"/>
        <v>4.2705882352941122</v>
      </c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>
        <f t="shared" si="221"/>
        <v>70.275482340083229</v>
      </c>
      <c r="CY73" s="12">
        <f t="shared" si="222"/>
        <v>77.274982448283495</v>
      </c>
      <c r="CZ73" s="12">
        <f t="shared" si="223"/>
        <v>66.194780099488241</v>
      </c>
      <c r="DA73" s="12">
        <f t="shared" si="224"/>
        <v>72.320413218759455</v>
      </c>
      <c r="DB73" s="12">
        <f t="shared" si="225"/>
        <v>79.032127817338292</v>
      </c>
      <c r="DC73" s="12">
        <f t="shared" si="226"/>
        <v>81.788240397338924</v>
      </c>
      <c r="DD73" s="12">
        <f t="shared" si="227"/>
        <v>78.042869263019668</v>
      </c>
      <c r="DE73" s="12">
        <f t="shared" si="228"/>
        <v>76.767672413167134</v>
      </c>
      <c r="DF73" s="12">
        <f t="shared" si="229"/>
        <v>72.43972794819922</v>
      </c>
      <c r="DG73" s="12">
        <f t="shared" si="230"/>
        <v>76.759480084812793</v>
      </c>
      <c r="DH73" s="12">
        <f t="shared" si="231"/>
        <v>70.6600977040994</v>
      </c>
      <c r="DI73" s="12">
        <f t="shared" si="232"/>
        <v>76.821078963950583</v>
      </c>
      <c r="DJ73" t="s">
        <v>23</v>
      </c>
      <c r="DK73" t="str">
        <f t="shared" si="253"/>
        <v>LH</v>
      </c>
      <c r="DL73" t="str">
        <f t="shared" si="257"/>
        <v>HH</v>
      </c>
      <c r="DM73" t="str">
        <f t="shared" si="261"/>
        <v>LH</v>
      </c>
      <c r="DN73" t="str">
        <f t="shared" si="159"/>
        <v>LH</v>
      </c>
      <c r="DO73" t="str">
        <f t="shared" si="167"/>
        <v>HH</v>
      </c>
      <c r="DP73" t="str">
        <f t="shared" si="175"/>
        <v>HH</v>
      </c>
      <c r="DQ73" t="str">
        <f t="shared" si="183"/>
        <v>LH</v>
      </c>
      <c r="DR73" t="str">
        <f t="shared" si="191"/>
        <v>LH</v>
      </c>
      <c r="DS73" t="str">
        <f t="shared" si="199"/>
        <v>LH</v>
      </c>
      <c r="DT73" t="str">
        <f t="shared" si="207"/>
        <v>HH</v>
      </c>
      <c r="DU73" t="str">
        <f t="shared" si="215"/>
        <v>LH</v>
      </c>
      <c r="DV73">
        <f t="shared" si="233"/>
        <v>-0.36809483290787903</v>
      </c>
      <c r="DW73">
        <f t="shared" si="234"/>
        <v>0.12450573101757377</v>
      </c>
      <c r="DX73">
        <f t="shared" si="262"/>
        <v>-1.2917730283464222</v>
      </c>
      <c r="DY73">
        <f t="shared" si="160"/>
        <v>0.25818776381867853</v>
      </c>
      <c r="DZ73">
        <f t="shared" si="168"/>
        <v>1.3015749870697535</v>
      </c>
      <c r="EA73">
        <f t="shared" si="176"/>
        <v>-2.0990790329846263</v>
      </c>
      <c r="EB73">
        <f t="shared" si="184"/>
        <v>-2.7462168610374289</v>
      </c>
      <c r="EC73">
        <f t="shared" si="192"/>
        <v>-2.650491349250049</v>
      </c>
      <c r="ED73">
        <f t="shared" si="200"/>
        <v>-2.0256686187163213</v>
      </c>
      <c r="EE73">
        <f t="shared" si="208"/>
        <v>-1.8454794200577229</v>
      </c>
      <c r="EF73">
        <f t="shared" si="216"/>
        <v>-1.9981397133657091</v>
      </c>
      <c r="EG73" s="13" t="str">
        <f t="shared" si="235"/>
        <v/>
      </c>
      <c r="EH73" s="13" t="str">
        <f t="shared" si="236"/>
        <v/>
      </c>
      <c r="EI73" s="13" t="str">
        <f t="shared" si="237"/>
        <v/>
      </c>
      <c r="EJ73" s="13" t="str">
        <f t="shared" si="238"/>
        <v/>
      </c>
      <c r="EK73" s="13" t="str">
        <f t="shared" si="239"/>
        <v/>
      </c>
      <c r="EL73" s="13" t="str">
        <f t="shared" si="240"/>
        <v/>
      </c>
      <c r="EM73" s="13" t="str">
        <f t="shared" si="241"/>
        <v/>
      </c>
      <c r="EN73" s="13" t="str">
        <f t="shared" si="242"/>
        <v/>
      </c>
      <c r="EO73" s="13" t="str">
        <f t="shared" si="243"/>
        <v/>
      </c>
      <c r="EP73" s="13" t="str">
        <f t="shared" si="244"/>
        <v/>
      </c>
      <c r="EQ73" s="13" t="str">
        <f t="shared" si="245"/>
        <v/>
      </c>
    </row>
    <row r="74" spans="1:147" ht="14.25" customHeight="1" x14ac:dyDescent="0.55000000000000004">
      <c r="A74">
        <v>1775836804</v>
      </c>
      <c r="B74" t="s">
        <v>16</v>
      </c>
      <c r="C74" t="s">
        <v>17</v>
      </c>
      <c r="D74">
        <v>4763.3599999999997</v>
      </c>
      <c r="E74" t="s">
        <v>18</v>
      </c>
      <c r="F74">
        <v>4747.5</v>
      </c>
      <c r="G74">
        <v>4730.8100000000004</v>
      </c>
      <c r="H74">
        <v>4750.74</v>
      </c>
      <c r="I74">
        <f t="shared" si="258"/>
        <v>4703.46</v>
      </c>
      <c r="J74">
        <f t="shared" ref="J74:J105" si="266">F66</f>
        <v>4698.51</v>
      </c>
      <c r="K74">
        <f t="shared" si="164"/>
        <v>4771.22</v>
      </c>
      <c r="L74">
        <f t="shared" si="172"/>
        <v>4607.91</v>
      </c>
      <c r="M74">
        <f t="shared" si="180"/>
        <v>4623.4799999999996</v>
      </c>
      <c r="N74">
        <f t="shared" si="188"/>
        <v>4616.5</v>
      </c>
      <c r="O74">
        <f t="shared" si="196"/>
        <v>4645.75</v>
      </c>
      <c r="P74">
        <f t="shared" si="204"/>
        <v>4659.58</v>
      </c>
      <c r="Q74">
        <f t="shared" si="212"/>
        <v>4601.05</v>
      </c>
      <c r="R74">
        <v>-47.46</v>
      </c>
      <c r="S74">
        <f t="shared" si="246"/>
        <v>-46.5</v>
      </c>
      <c r="T74">
        <f t="shared" si="247"/>
        <v>-50.190000000000509</v>
      </c>
      <c r="U74">
        <f t="shared" si="263"/>
        <v>-29.5600000000004</v>
      </c>
      <c r="V74">
        <f t="shared" si="161"/>
        <v>-108.82999999999993</v>
      </c>
      <c r="W74">
        <f t="shared" si="169"/>
        <v>-86.149999999999636</v>
      </c>
      <c r="X74">
        <f t="shared" si="177"/>
        <v>-86.400000000000546</v>
      </c>
      <c r="Y74">
        <f t="shared" si="185"/>
        <v>-39.800000000000182</v>
      </c>
      <c r="Z74">
        <f t="shared" si="193"/>
        <v>-51.369999999999891</v>
      </c>
      <c r="AA74">
        <f t="shared" si="201"/>
        <v>-52.079999999999927</v>
      </c>
      <c r="AB74">
        <f t="shared" si="209"/>
        <v>-46.890000000000327</v>
      </c>
      <c r="AC74">
        <f t="shared" si="217"/>
        <v>-98.099999999999454</v>
      </c>
      <c r="AD74">
        <v>-0.99</v>
      </c>
      <c r="AE74" s="14">
        <f t="shared" si="248"/>
        <v>-0.97335111181815703</v>
      </c>
      <c r="AF74" s="14">
        <f t="shared" si="249"/>
        <v>-1.0454224494004394</v>
      </c>
      <c r="AG74" s="14">
        <f t="shared" si="264"/>
        <v>-0.62454838559736481</v>
      </c>
      <c r="AH74" s="14">
        <f t="shared" si="162"/>
        <v>-2.2638298934545906</v>
      </c>
      <c r="AI74" s="14">
        <f t="shared" si="170"/>
        <v>-1.7735935290084888</v>
      </c>
      <c r="AJ74" s="14">
        <f t="shared" si="178"/>
        <v>-1.8405260837056039</v>
      </c>
      <c r="AK74" s="14">
        <f t="shared" si="186"/>
        <v>-0.8534765229623823</v>
      </c>
      <c r="AL74" s="14">
        <f t="shared" si="194"/>
        <v>-1.1005019419992392</v>
      </c>
      <c r="AM74" s="14">
        <f t="shared" si="202"/>
        <v>-1.1085969479525637</v>
      </c>
      <c r="AN74" s="14">
        <f t="shared" si="210"/>
        <v>-0.99628808852495232</v>
      </c>
      <c r="AO74" s="14">
        <f t="shared" si="218"/>
        <v>-2.0876115893299736</v>
      </c>
      <c r="AP74">
        <v>3</v>
      </c>
      <c r="AQ74">
        <f t="shared" si="250"/>
        <v>3</v>
      </c>
      <c r="AR74">
        <f t="shared" si="254"/>
        <v>3</v>
      </c>
      <c r="AS74">
        <f t="shared" si="259"/>
        <v>3</v>
      </c>
      <c r="AT74">
        <f t="shared" ref="AT74:AT105" si="267">AP66</f>
        <v>3</v>
      </c>
      <c r="AU74">
        <f t="shared" si="165"/>
        <v>3</v>
      </c>
      <c r="AV74">
        <f t="shared" si="173"/>
        <v>3</v>
      </c>
      <c r="AW74">
        <f t="shared" si="181"/>
        <v>3</v>
      </c>
      <c r="AX74">
        <f t="shared" si="189"/>
        <v>3</v>
      </c>
      <c r="AY74">
        <f t="shared" si="197"/>
        <v>3</v>
      </c>
      <c r="AZ74">
        <f t="shared" si="205"/>
        <v>3</v>
      </c>
      <c r="BA74">
        <f t="shared" si="213"/>
        <v>3</v>
      </c>
      <c r="BB74">
        <v>6</v>
      </c>
      <c r="BC74">
        <f t="shared" si="251"/>
        <v>29</v>
      </c>
      <c r="BD74">
        <f t="shared" si="255"/>
        <v>22</v>
      </c>
      <c r="BE74">
        <f t="shared" si="260"/>
        <v>16</v>
      </c>
      <c r="BF74">
        <f t="shared" ref="BF74:BF105" si="268">BB66</f>
        <v>44</v>
      </c>
      <c r="BG74">
        <f t="shared" si="166"/>
        <v>41</v>
      </c>
      <c r="BH74">
        <f t="shared" si="174"/>
        <v>19</v>
      </c>
      <c r="BI74">
        <f t="shared" si="182"/>
        <v>4</v>
      </c>
      <c r="BJ74">
        <f t="shared" si="190"/>
        <v>15</v>
      </c>
      <c r="BK74">
        <f t="shared" si="198"/>
        <v>19</v>
      </c>
      <c r="BL74">
        <f t="shared" si="206"/>
        <v>11</v>
      </c>
      <c r="BM74">
        <f t="shared" si="214"/>
        <v>35</v>
      </c>
      <c r="BZ74" s="12">
        <f t="shared" si="220"/>
        <v>-7.91</v>
      </c>
      <c r="CA74" s="12">
        <f t="shared" si="252"/>
        <v>-1.603448275862069</v>
      </c>
      <c r="CB74" s="12">
        <f t="shared" si="256"/>
        <v>-2.2813636363636594</v>
      </c>
      <c r="CC74" s="12">
        <f t="shared" si="265"/>
        <v>-1.847500000000025</v>
      </c>
      <c r="CD74" s="12">
        <f t="shared" si="163"/>
        <v>-2.4734090909090893</v>
      </c>
      <c r="CE74" s="12">
        <f t="shared" si="171"/>
        <v>-2.1012195121951129</v>
      </c>
      <c r="CF74" s="12">
        <f t="shared" si="179"/>
        <v>-4.5473684210526599</v>
      </c>
      <c r="CG74" s="12">
        <f t="shared" si="187"/>
        <v>-9.9500000000000455</v>
      </c>
      <c r="CH74" s="12">
        <f t="shared" si="195"/>
        <v>-3.4246666666666594</v>
      </c>
      <c r="CI74" s="12">
        <f t="shared" si="203"/>
        <v>-2.7410526315789436</v>
      </c>
      <c r="CJ74" s="12">
        <f t="shared" si="211"/>
        <v>-4.2627272727273029</v>
      </c>
      <c r="CK74" s="12">
        <f t="shared" si="219"/>
        <v>-2.8028571428571274</v>
      </c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>
        <f t="shared" si="221"/>
        <v>-82.794762481425039</v>
      </c>
      <c r="CY74" s="12">
        <f t="shared" si="222"/>
        <v>-58.050028553666849</v>
      </c>
      <c r="CZ74" s="12">
        <f t="shared" si="223"/>
        <v>-66.330510919763071</v>
      </c>
      <c r="DA74" s="12">
        <f t="shared" si="224"/>
        <v>-61.574557879131007</v>
      </c>
      <c r="DB74" s="12">
        <f t="shared" si="225"/>
        <v>-67.986502383136383</v>
      </c>
      <c r="DC74" s="12">
        <f t="shared" si="226"/>
        <v>-64.549564335542513</v>
      </c>
      <c r="DD74" s="12">
        <f t="shared" si="227"/>
        <v>-77.597641819639662</v>
      </c>
      <c r="DE74" s="12">
        <f t="shared" si="228"/>
        <v>-84.260901501910425</v>
      </c>
      <c r="DF74" s="12">
        <f t="shared" si="229"/>
        <v>-73.722236714786519</v>
      </c>
      <c r="DG74" s="12">
        <f t="shared" si="230"/>
        <v>-69.956849840129522</v>
      </c>
      <c r="DH74" s="12">
        <f t="shared" si="231"/>
        <v>-76.797625950239947</v>
      </c>
      <c r="DI74" s="12">
        <f t="shared" si="232"/>
        <v>-70.364677549257877</v>
      </c>
      <c r="DJ74" t="s">
        <v>22</v>
      </c>
      <c r="DK74" t="str">
        <f t="shared" si="253"/>
        <v>LL</v>
      </c>
      <c r="DL74" t="str">
        <f t="shared" si="257"/>
        <v>HL</v>
      </c>
      <c r="DM74" t="str">
        <f t="shared" si="261"/>
        <v>HL</v>
      </c>
      <c r="DN74" t="str">
        <f t="shared" ref="DN74:DN105" si="269">DJ66</f>
        <v>LL</v>
      </c>
      <c r="DO74" t="str">
        <f t="shared" si="167"/>
        <v>HL</v>
      </c>
      <c r="DP74" t="str">
        <f t="shared" si="175"/>
        <v>LL</v>
      </c>
      <c r="DQ74" t="str">
        <f t="shared" si="183"/>
        <v>HL</v>
      </c>
      <c r="DR74" t="str">
        <f t="shared" si="191"/>
        <v>LL</v>
      </c>
      <c r="DS74" t="str">
        <f t="shared" si="199"/>
        <v>LL</v>
      </c>
      <c r="DT74" t="str">
        <f t="shared" si="207"/>
        <v>HL</v>
      </c>
      <c r="DU74" t="str">
        <f t="shared" si="215"/>
        <v>HL</v>
      </c>
      <c r="DV74">
        <f t="shared" si="233"/>
        <v>-0.35155344918377252</v>
      </c>
      <c r="DW74">
        <f t="shared" si="234"/>
        <v>6.8246445497625735E-2</v>
      </c>
      <c r="DX74">
        <f t="shared" si="262"/>
        <v>-0.92764612954186343</v>
      </c>
      <c r="DY74">
        <f t="shared" ref="DY74:DY105" si="270">IFERROR(((J74-$F74)/$F74)*100,0)</f>
        <v>-1.0319115323854615</v>
      </c>
      <c r="DZ74">
        <f t="shared" si="168"/>
        <v>0.4996313849394472</v>
      </c>
      <c r="EA74">
        <f t="shared" si="176"/>
        <v>-2.9402843601895765</v>
      </c>
      <c r="EB74">
        <f t="shared" si="184"/>
        <v>-2.6123222748815258</v>
      </c>
      <c r="EC74">
        <f t="shared" si="192"/>
        <v>-2.7593470247498684</v>
      </c>
      <c r="ED74">
        <f t="shared" si="200"/>
        <v>-2.1432332806740386</v>
      </c>
      <c r="EE74">
        <f t="shared" si="208"/>
        <v>-1.8519220642443406</v>
      </c>
      <c r="EF74">
        <f t="shared" si="216"/>
        <v>-3.0847814639283793</v>
      </c>
      <c r="EG74" s="13" t="str">
        <f t="shared" si="235"/>
        <v/>
      </c>
      <c r="EH74" s="13" t="str">
        <f t="shared" si="236"/>
        <v>EQL</v>
      </c>
      <c r="EI74" s="13" t="str">
        <f t="shared" si="237"/>
        <v/>
      </c>
      <c r="EJ74" s="13" t="str">
        <f t="shared" si="238"/>
        <v/>
      </c>
      <c r="EK74" s="13" t="str">
        <f t="shared" si="239"/>
        <v/>
      </c>
      <c r="EL74" s="13" t="str">
        <f t="shared" si="240"/>
        <v/>
      </c>
      <c r="EM74" s="13" t="str">
        <f t="shared" si="241"/>
        <v/>
      </c>
      <c r="EN74" s="13" t="str">
        <f t="shared" si="242"/>
        <v/>
      </c>
      <c r="EO74" s="13" t="str">
        <f t="shared" si="243"/>
        <v/>
      </c>
      <c r="EP74" s="13" t="str">
        <f t="shared" si="244"/>
        <v/>
      </c>
      <c r="EQ74" s="13" t="str">
        <f t="shared" si="245"/>
        <v/>
      </c>
    </row>
    <row r="75" spans="1:147" ht="14.25" customHeight="1" x14ac:dyDescent="0.55000000000000004">
      <c r="A75">
        <v>1775845804</v>
      </c>
      <c r="B75" t="s">
        <v>16</v>
      </c>
      <c r="C75" t="s">
        <v>17</v>
      </c>
      <c r="D75">
        <v>4768.22</v>
      </c>
      <c r="E75" t="s">
        <v>20</v>
      </c>
      <c r="F75">
        <v>4773.08</v>
      </c>
      <c r="G75">
        <v>4794.96</v>
      </c>
      <c r="H75">
        <v>4777.3100000000004</v>
      </c>
      <c r="I75">
        <f t="shared" si="258"/>
        <v>4800.93</v>
      </c>
      <c r="J75">
        <f t="shared" si="266"/>
        <v>4733.0200000000004</v>
      </c>
      <c r="K75">
        <f t="shared" si="164"/>
        <v>4807.34</v>
      </c>
      <c r="L75">
        <f t="shared" si="172"/>
        <v>4857.37</v>
      </c>
      <c r="M75">
        <f t="shared" si="180"/>
        <v>4694.3100000000004</v>
      </c>
      <c r="N75">
        <f t="shared" si="188"/>
        <v>4663.28</v>
      </c>
      <c r="O75">
        <f t="shared" si="196"/>
        <v>4667.87</v>
      </c>
      <c r="P75">
        <f t="shared" si="204"/>
        <v>4697.83</v>
      </c>
      <c r="Q75">
        <f t="shared" si="212"/>
        <v>4706.47</v>
      </c>
      <c r="R75">
        <v>25.58</v>
      </c>
      <c r="S75">
        <f t="shared" si="246"/>
        <v>64.149999999999636</v>
      </c>
      <c r="T75">
        <f t="shared" si="247"/>
        <v>26.570000000000618</v>
      </c>
      <c r="U75">
        <f t="shared" si="263"/>
        <v>97.470000000000255</v>
      </c>
      <c r="V75">
        <f t="shared" ref="V75:V106" si="271">J75-J74</f>
        <v>34.510000000000218</v>
      </c>
      <c r="W75">
        <f t="shared" si="169"/>
        <v>36.119999999999891</v>
      </c>
      <c r="X75">
        <f t="shared" si="177"/>
        <v>249.46000000000004</v>
      </c>
      <c r="Y75">
        <f t="shared" si="185"/>
        <v>70.830000000000837</v>
      </c>
      <c r="Z75">
        <f t="shared" si="193"/>
        <v>46.779999999999745</v>
      </c>
      <c r="AA75">
        <f t="shared" si="201"/>
        <v>22.119999999999891</v>
      </c>
      <c r="AB75">
        <f t="shared" si="209"/>
        <v>38.25</v>
      </c>
      <c r="AC75">
        <f t="shared" si="217"/>
        <v>105.42000000000007</v>
      </c>
      <c r="AD75">
        <v>0.54</v>
      </c>
      <c r="AE75" s="14">
        <f t="shared" si="248"/>
        <v>1.3560045742695148</v>
      </c>
      <c r="AF75" s="14">
        <f t="shared" si="249"/>
        <v>0.55928129091469159</v>
      </c>
      <c r="AG75" s="14">
        <f t="shared" si="264"/>
        <v>2.0723042185965279</v>
      </c>
      <c r="AH75" s="14">
        <f t="shared" ref="AH75:AH106" si="272">(V75/J74)*100</f>
        <v>0.73448816752545421</v>
      </c>
      <c r="AI75" s="14">
        <f t="shared" si="170"/>
        <v>0.75703908015140542</v>
      </c>
      <c r="AJ75" s="14">
        <f t="shared" si="178"/>
        <v>5.4137342092184975</v>
      </c>
      <c r="AK75" s="14">
        <f t="shared" si="186"/>
        <v>1.5319629370085055</v>
      </c>
      <c r="AL75" s="14">
        <f t="shared" si="194"/>
        <v>1.0133217805696901</v>
      </c>
      <c r="AM75" s="14">
        <f t="shared" si="202"/>
        <v>0.47613410106010629</v>
      </c>
      <c r="AN75" s="14">
        <f t="shared" si="210"/>
        <v>0.82088943638697043</v>
      </c>
      <c r="AO75" s="14">
        <f t="shared" si="218"/>
        <v>2.2912161354473453</v>
      </c>
      <c r="AP75">
        <v>0</v>
      </c>
      <c r="AQ75">
        <f t="shared" si="250"/>
        <v>0</v>
      </c>
      <c r="AR75">
        <f t="shared" si="254"/>
        <v>0</v>
      </c>
      <c r="AS75">
        <f t="shared" si="259"/>
        <v>0</v>
      </c>
      <c r="AT75">
        <f t="shared" si="267"/>
        <v>0</v>
      </c>
      <c r="AU75">
        <f t="shared" si="165"/>
        <v>0</v>
      </c>
      <c r="AV75">
        <f t="shared" si="173"/>
        <v>2</v>
      </c>
      <c r="AW75">
        <f t="shared" si="181"/>
        <v>0</v>
      </c>
      <c r="AX75">
        <f t="shared" si="189"/>
        <v>0</v>
      </c>
      <c r="AY75">
        <f t="shared" si="197"/>
        <v>0</v>
      </c>
      <c r="AZ75">
        <f t="shared" si="205"/>
        <v>0</v>
      </c>
      <c r="BA75">
        <f t="shared" si="213"/>
        <v>0</v>
      </c>
      <c r="BB75">
        <v>10</v>
      </c>
      <c r="BC75">
        <f t="shared" si="251"/>
        <v>23</v>
      </c>
      <c r="BD75">
        <f t="shared" si="255"/>
        <v>6</v>
      </c>
      <c r="BE75">
        <f t="shared" si="260"/>
        <v>43</v>
      </c>
      <c r="BF75">
        <f t="shared" si="268"/>
        <v>11</v>
      </c>
      <c r="BG75">
        <f t="shared" si="166"/>
        <v>7</v>
      </c>
      <c r="BH75">
        <f t="shared" si="174"/>
        <v>36</v>
      </c>
      <c r="BI75">
        <f t="shared" si="182"/>
        <v>15</v>
      </c>
      <c r="BJ75">
        <f t="shared" si="190"/>
        <v>11</v>
      </c>
      <c r="BK75">
        <f t="shared" si="198"/>
        <v>7</v>
      </c>
      <c r="BL75">
        <f t="shared" si="206"/>
        <v>9</v>
      </c>
      <c r="BM75">
        <f t="shared" si="214"/>
        <v>37</v>
      </c>
      <c r="BZ75" s="12">
        <f t="shared" si="220"/>
        <v>2.5579999999999998</v>
      </c>
      <c r="CA75" s="12">
        <f t="shared" si="252"/>
        <v>2.7891304347825927</v>
      </c>
      <c r="CB75" s="12">
        <f t="shared" si="256"/>
        <v>4.4283333333334367</v>
      </c>
      <c r="CC75" s="12">
        <f t="shared" si="265"/>
        <v>2.2667441860465174</v>
      </c>
      <c r="CD75" s="12">
        <f t="shared" ref="CD75:CD106" si="273">IFERROR(V75/BF75,0)</f>
        <v>3.1372727272727472</v>
      </c>
      <c r="CE75" s="12">
        <f t="shared" si="171"/>
        <v>5.1599999999999842</v>
      </c>
      <c r="CF75" s="12">
        <f t="shared" si="179"/>
        <v>6.9294444444444458</v>
      </c>
      <c r="CG75" s="12">
        <f t="shared" si="187"/>
        <v>4.7220000000000555</v>
      </c>
      <c r="CH75" s="12">
        <f t="shared" si="195"/>
        <v>4.2527272727272498</v>
      </c>
      <c r="CI75" s="12">
        <f t="shared" si="203"/>
        <v>3.1599999999999846</v>
      </c>
      <c r="CJ75" s="12">
        <f t="shared" si="211"/>
        <v>4.25</v>
      </c>
      <c r="CK75" s="12">
        <f t="shared" si="219"/>
        <v>2.849189189189191</v>
      </c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>
        <f t="shared" si="221"/>
        <v>68.647959962356154</v>
      </c>
      <c r="CY75" s="12">
        <f t="shared" si="222"/>
        <v>70.275482340083116</v>
      </c>
      <c r="CZ75" s="12">
        <f t="shared" si="223"/>
        <v>77.274982448283495</v>
      </c>
      <c r="DA75" s="12">
        <f t="shared" si="224"/>
        <v>66.194780099488241</v>
      </c>
      <c r="DB75" s="12">
        <f t="shared" si="225"/>
        <v>72.320413218759455</v>
      </c>
      <c r="DC75" s="12">
        <f t="shared" si="226"/>
        <v>79.032127817338292</v>
      </c>
      <c r="DD75" s="12">
        <f t="shared" si="227"/>
        <v>81.788240397338924</v>
      </c>
      <c r="DE75" s="12">
        <f t="shared" si="228"/>
        <v>78.042869263019668</v>
      </c>
      <c r="DF75" s="12">
        <f t="shared" si="229"/>
        <v>76.767672413167134</v>
      </c>
      <c r="DG75" s="12">
        <f t="shared" si="230"/>
        <v>72.43972794819922</v>
      </c>
      <c r="DH75" s="12">
        <f t="shared" si="231"/>
        <v>76.759480084812793</v>
      </c>
      <c r="DI75" s="12">
        <f t="shared" si="232"/>
        <v>70.6600977040994</v>
      </c>
      <c r="DJ75" t="s">
        <v>21</v>
      </c>
      <c r="DK75" t="str">
        <f t="shared" si="253"/>
        <v>HH</v>
      </c>
      <c r="DL75" t="str">
        <f t="shared" si="257"/>
        <v>LH</v>
      </c>
      <c r="DM75" t="str">
        <f t="shared" si="261"/>
        <v>HH</v>
      </c>
      <c r="DN75" t="str">
        <f t="shared" si="269"/>
        <v>LH</v>
      </c>
      <c r="DO75" t="str">
        <f t="shared" si="167"/>
        <v>LH</v>
      </c>
      <c r="DP75" t="str">
        <f t="shared" si="175"/>
        <v>HH</v>
      </c>
      <c r="DQ75" t="str">
        <f t="shared" si="183"/>
        <v>HH</v>
      </c>
      <c r="DR75" t="str">
        <f t="shared" si="191"/>
        <v>LH</v>
      </c>
      <c r="DS75" t="str">
        <f t="shared" si="199"/>
        <v>LH</v>
      </c>
      <c r="DT75" t="str">
        <f t="shared" si="207"/>
        <v>LH</v>
      </c>
      <c r="DU75" t="str">
        <f t="shared" si="215"/>
        <v>HH</v>
      </c>
      <c r="DV75">
        <f t="shared" si="233"/>
        <v>0.45840421698358519</v>
      </c>
      <c r="DW75">
        <f t="shared" si="234"/>
        <v>8.8622021839157794E-2</v>
      </c>
      <c r="DX75">
        <f t="shared" si="262"/>
        <v>0.5834806875225298</v>
      </c>
      <c r="DY75">
        <f t="shared" si="270"/>
        <v>-0.83929035339863345</v>
      </c>
      <c r="DZ75">
        <f t="shared" si="168"/>
        <v>0.71777552439934422</v>
      </c>
      <c r="EA75">
        <f t="shared" si="176"/>
        <v>1.7659456786812702</v>
      </c>
      <c r="EB75">
        <f t="shared" si="184"/>
        <v>-1.6502970828060608</v>
      </c>
      <c r="EC75">
        <f t="shared" si="192"/>
        <v>-2.3004014179523531</v>
      </c>
      <c r="ED75">
        <f t="shared" si="200"/>
        <v>-2.2042370963822111</v>
      </c>
      <c r="EE75">
        <f t="shared" si="208"/>
        <v>-1.5765501521030445</v>
      </c>
      <c r="EF75">
        <f t="shared" si="216"/>
        <v>-1.3955349585592463</v>
      </c>
      <c r="EG75" s="13" t="str">
        <f t="shared" si="235"/>
        <v/>
      </c>
      <c r="EH75" s="13" t="str">
        <f t="shared" si="236"/>
        <v>EQH</v>
      </c>
      <c r="EI75" s="13" t="str">
        <f t="shared" si="237"/>
        <v/>
      </c>
      <c r="EJ75" s="13" t="str">
        <f t="shared" si="238"/>
        <v/>
      </c>
      <c r="EK75" s="13" t="str">
        <f t="shared" si="239"/>
        <v/>
      </c>
      <c r="EL75" s="13" t="str">
        <f t="shared" si="240"/>
        <v/>
      </c>
      <c r="EM75" s="13" t="str">
        <f t="shared" si="241"/>
        <v/>
      </c>
      <c r="EN75" s="13" t="str">
        <f t="shared" si="242"/>
        <v/>
      </c>
      <c r="EO75" s="13" t="str">
        <f t="shared" si="243"/>
        <v/>
      </c>
      <c r="EP75" s="13" t="str">
        <f t="shared" si="244"/>
        <v/>
      </c>
      <c r="EQ75" s="13" t="str">
        <f t="shared" si="245"/>
        <v/>
      </c>
    </row>
    <row r="76" spans="1:147" ht="14.25" customHeight="1" x14ac:dyDescent="0.55000000000000004">
      <c r="A76">
        <v>1776031204</v>
      </c>
      <c r="B76" t="s">
        <v>16</v>
      </c>
      <c r="C76" t="s">
        <v>17</v>
      </c>
      <c r="D76">
        <v>4676.5200000000004</v>
      </c>
      <c r="E76" t="s">
        <v>18</v>
      </c>
      <c r="F76">
        <v>4638.7</v>
      </c>
      <c r="G76">
        <v>4747.5</v>
      </c>
      <c r="H76">
        <v>4730.8100000000004</v>
      </c>
      <c r="I76">
        <f t="shared" si="258"/>
        <v>4750.74</v>
      </c>
      <c r="J76">
        <f t="shared" si="266"/>
        <v>4703.46</v>
      </c>
      <c r="K76">
        <f t="shared" ref="K76:K107" si="274">F66</f>
        <v>4698.51</v>
      </c>
      <c r="L76">
        <f t="shared" si="172"/>
        <v>4771.22</v>
      </c>
      <c r="M76">
        <f t="shared" si="180"/>
        <v>4607.91</v>
      </c>
      <c r="N76">
        <f t="shared" si="188"/>
        <v>4623.4799999999996</v>
      </c>
      <c r="O76">
        <f t="shared" si="196"/>
        <v>4616.5</v>
      </c>
      <c r="P76">
        <f t="shared" si="204"/>
        <v>4645.75</v>
      </c>
      <c r="Q76">
        <f t="shared" si="212"/>
        <v>4659.58</v>
      </c>
      <c r="R76">
        <v>-134.38</v>
      </c>
      <c r="S76">
        <f t="shared" si="246"/>
        <v>-47.460000000000036</v>
      </c>
      <c r="T76">
        <f t="shared" si="247"/>
        <v>-46.5</v>
      </c>
      <c r="U76">
        <f t="shared" si="263"/>
        <v>-50.190000000000509</v>
      </c>
      <c r="V76">
        <f t="shared" si="271"/>
        <v>-29.5600000000004</v>
      </c>
      <c r="W76">
        <f t="shared" si="169"/>
        <v>-108.82999999999993</v>
      </c>
      <c r="X76">
        <f t="shared" si="177"/>
        <v>-86.149999999999636</v>
      </c>
      <c r="Y76">
        <f t="shared" si="185"/>
        <v>-86.400000000000546</v>
      </c>
      <c r="Z76">
        <f t="shared" si="193"/>
        <v>-39.800000000000182</v>
      </c>
      <c r="AA76">
        <f t="shared" si="201"/>
        <v>-51.369999999999891</v>
      </c>
      <c r="AB76">
        <f t="shared" si="209"/>
        <v>-52.079999999999927</v>
      </c>
      <c r="AC76">
        <f t="shared" si="217"/>
        <v>-46.890000000000327</v>
      </c>
      <c r="AD76">
        <v>-2.82</v>
      </c>
      <c r="AE76" s="14">
        <f t="shared" si="248"/>
        <v>-0.98978927874268063</v>
      </c>
      <c r="AF76" s="14">
        <f t="shared" si="249"/>
        <v>-0.97335111181815703</v>
      </c>
      <c r="AG76" s="14">
        <f t="shared" si="264"/>
        <v>-1.0454224494004394</v>
      </c>
      <c r="AH76" s="14">
        <f t="shared" si="272"/>
        <v>-0.62454838559736481</v>
      </c>
      <c r="AI76" s="14">
        <f t="shared" si="170"/>
        <v>-2.2638298934545906</v>
      </c>
      <c r="AJ76" s="14">
        <f t="shared" si="178"/>
        <v>-1.7735935290084888</v>
      </c>
      <c r="AK76" s="14">
        <f t="shared" si="186"/>
        <v>-1.8405260837056039</v>
      </c>
      <c r="AL76" s="14">
        <f t="shared" si="194"/>
        <v>-0.8534765229623823</v>
      </c>
      <c r="AM76" s="14">
        <f t="shared" si="202"/>
        <v>-1.1005019419992392</v>
      </c>
      <c r="AN76" s="14">
        <f t="shared" si="210"/>
        <v>-1.1085969479525637</v>
      </c>
      <c r="AO76" s="14">
        <f t="shared" si="218"/>
        <v>-0.99628808852495232</v>
      </c>
      <c r="AP76">
        <v>3</v>
      </c>
      <c r="AQ76">
        <f t="shared" si="250"/>
        <v>3</v>
      </c>
      <c r="AR76">
        <f t="shared" si="254"/>
        <v>3</v>
      </c>
      <c r="AS76">
        <f t="shared" si="259"/>
        <v>3</v>
      </c>
      <c r="AT76">
        <f t="shared" si="267"/>
        <v>3</v>
      </c>
      <c r="AU76">
        <f t="shared" ref="AU76:AU107" si="275">AP66</f>
        <v>3</v>
      </c>
      <c r="AV76">
        <f t="shared" si="173"/>
        <v>3</v>
      </c>
      <c r="AW76">
        <f t="shared" si="181"/>
        <v>3</v>
      </c>
      <c r="AX76">
        <f t="shared" si="189"/>
        <v>3</v>
      </c>
      <c r="AY76">
        <f t="shared" si="197"/>
        <v>3</v>
      </c>
      <c r="AZ76">
        <f t="shared" si="205"/>
        <v>3</v>
      </c>
      <c r="BA76">
        <f t="shared" si="213"/>
        <v>3</v>
      </c>
      <c r="BB76">
        <v>10</v>
      </c>
      <c r="BC76">
        <f t="shared" si="251"/>
        <v>6</v>
      </c>
      <c r="BD76">
        <f t="shared" si="255"/>
        <v>29</v>
      </c>
      <c r="BE76">
        <f t="shared" si="260"/>
        <v>22</v>
      </c>
      <c r="BF76">
        <f t="shared" si="268"/>
        <v>16</v>
      </c>
      <c r="BG76">
        <f t="shared" ref="BG76:BG107" si="276">BB66</f>
        <v>44</v>
      </c>
      <c r="BH76">
        <f t="shared" si="174"/>
        <v>41</v>
      </c>
      <c r="BI76">
        <f t="shared" si="182"/>
        <v>19</v>
      </c>
      <c r="BJ76">
        <f t="shared" si="190"/>
        <v>4</v>
      </c>
      <c r="BK76">
        <f t="shared" si="198"/>
        <v>15</v>
      </c>
      <c r="BL76">
        <f t="shared" si="206"/>
        <v>19</v>
      </c>
      <c r="BM76">
        <f t="shared" si="214"/>
        <v>11</v>
      </c>
      <c r="BZ76" s="12">
        <f t="shared" si="220"/>
        <v>-13.437999999999999</v>
      </c>
      <c r="CA76" s="12">
        <f t="shared" si="252"/>
        <v>-7.9100000000000064</v>
      </c>
      <c r="CB76" s="12">
        <f t="shared" si="256"/>
        <v>-1.603448275862069</v>
      </c>
      <c r="CC76" s="12">
        <f t="shared" si="265"/>
        <v>-2.2813636363636594</v>
      </c>
      <c r="CD76" s="12">
        <f t="shared" si="273"/>
        <v>-1.847500000000025</v>
      </c>
      <c r="CE76" s="12">
        <f t="shared" si="171"/>
        <v>-2.4734090909090893</v>
      </c>
      <c r="CF76" s="12">
        <f t="shared" si="179"/>
        <v>-2.1012195121951129</v>
      </c>
      <c r="CG76" s="12">
        <f t="shared" si="187"/>
        <v>-4.5473684210526599</v>
      </c>
      <c r="CH76" s="12">
        <f t="shared" si="195"/>
        <v>-9.9500000000000455</v>
      </c>
      <c r="CI76" s="12">
        <f t="shared" si="203"/>
        <v>-3.4246666666666594</v>
      </c>
      <c r="CJ76" s="12">
        <f t="shared" si="211"/>
        <v>-2.7410526315789436</v>
      </c>
      <c r="CK76" s="12">
        <f t="shared" si="219"/>
        <v>-4.2627272727273029</v>
      </c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>
        <f t="shared" si="221"/>
        <v>-85.74413105056253</v>
      </c>
      <c r="CY76" s="12">
        <f t="shared" si="222"/>
        <v>-82.794762481425053</v>
      </c>
      <c r="CZ76" s="12">
        <f t="shared" si="223"/>
        <v>-58.050028553666849</v>
      </c>
      <c r="DA76" s="12">
        <f t="shared" si="224"/>
        <v>-66.330510919763071</v>
      </c>
      <c r="DB76" s="12">
        <f t="shared" si="225"/>
        <v>-61.574557879131007</v>
      </c>
      <c r="DC76" s="12">
        <f t="shared" si="226"/>
        <v>-67.986502383136383</v>
      </c>
      <c r="DD76" s="12">
        <f t="shared" si="227"/>
        <v>-64.549564335542513</v>
      </c>
      <c r="DE76" s="12">
        <f t="shared" si="228"/>
        <v>-77.597641819639662</v>
      </c>
      <c r="DF76" s="12">
        <f t="shared" si="229"/>
        <v>-84.260901501910425</v>
      </c>
      <c r="DG76" s="12">
        <f t="shared" si="230"/>
        <v>-73.722236714786519</v>
      </c>
      <c r="DH76" s="12">
        <f t="shared" si="231"/>
        <v>-69.956849840129522</v>
      </c>
      <c r="DI76" s="12">
        <f t="shared" si="232"/>
        <v>-76.797625950239947</v>
      </c>
      <c r="DJ76" t="s">
        <v>19</v>
      </c>
      <c r="DK76" t="str">
        <f t="shared" si="253"/>
        <v>HL</v>
      </c>
      <c r="DL76" t="str">
        <f t="shared" si="257"/>
        <v>LL</v>
      </c>
      <c r="DM76" t="str">
        <f t="shared" si="261"/>
        <v>HL</v>
      </c>
      <c r="DN76" t="str">
        <f t="shared" si="269"/>
        <v>HL</v>
      </c>
      <c r="DO76" t="str">
        <f t="shared" ref="DO76:DO107" si="277">DJ66</f>
        <v>LL</v>
      </c>
      <c r="DP76" t="str">
        <f t="shared" si="175"/>
        <v>HL</v>
      </c>
      <c r="DQ76" t="str">
        <f t="shared" si="183"/>
        <v>LL</v>
      </c>
      <c r="DR76" t="str">
        <f t="shared" si="191"/>
        <v>HL</v>
      </c>
      <c r="DS76" t="str">
        <f t="shared" si="199"/>
        <v>LL</v>
      </c>
      <c r="DT76" t="str">
        <f t="shared" si="207"/>
        <v>LL</v>
      </c>
      <c r="DU76" t="str">
        <f t="shared" si="215"/>
        <v>HL</v>
      </c>
      <c r="DV76">
        <f t="shared" si="233"/>
        <v>2.3454847263241896</v>
      </c>
      <c r="DW76">
        <f t="shared" si="234"/>
        <v>1.985685644684946</v>
      </c>
      <c r="DX76">
        <f t="shared" si="262"/>
        <v>2.4153318817772216</v>
      </c>
      <c r="DY76">
        <f t="shared" si="270"/>
        <v>1.3960807984995844</v>
      </c>
      <c r="DZ76">
        <f t="shared" ref="DZ76:DZ107" si="278">IFERROR(((K76-$F76)/$F76)*100,0)</f>
        <v>1.2893698665574493</v>
      </c>
      <c r="EA76">
        <f t="shared" si="176"/>
        <v>2.8568348890853135</v>
      </c>
      <c r="EB76">
        <f t="shared" si="184"/>
        <v>-0.66376355444413226</v>
      </c>
      <c r="EC76">
        <f t="shared" si="192"/>
        <v>-0.32810916851704691</v>
      </c>
      <c r="ED76">
        <f t="shared" si="200"/>
        <v>-0.4785823614374678</v>
      </c>
      <c r="EE76">
        <f t="shared" si="208"/>
        <v>0.15198223640244427</v>
      </c>
      <c r="EF76">
        <f t="shared" si="216"/>
        <v>0.45012611291957039</v>
      </c>
      <c r="EG76" s="13" t="str">
        <f t="shared" si="235"/>
        <v/>
      </c>
      <c r="EH76" s="13" t="str">
        <f t="shared" si="236"/>
        <v/>
      </c>
      <c r="EI76" s="13" t="str">
        <f t="shared" si="237"/>
        <v/>
      </c>
      <c r="EJ76" s="13" t="str">
        <f t="shared" si="238"/>
        <v/>
      </c>
      <c r="EK76" s="13" t="str">
        <f t="shared" si="239"/>
        <v/>
      </c>
      <c r="EL76" s="13" t="str">
        <f t="shared" si="240"/>
        <v/>
      </c>
      <c r="EM76" s="13" t="str">
        <f t="shared" si="241"/>
        <v/>
      </c>
      <c r="EN76" s="13" t="str">
        <f t="shared" si="242"/>
        <v/>
      </c>
      <c r="EO76" s="13" t="str">
        <f t="shared" si="243"/>
        <v/>
      </c>
      <c r="EP76" s="13" t="str">
        <f t="shared" si="244"/>
        <v>EQL</v>
      </c>
      <c r="EQ76" s="13" t="str">
        <f t="shared" si="245"/>
        <v/>
      </c>
    </row>
    <row r="77" spans="1:147" ht="14.25" customHeight="1" x14ac:dyDescent="0.55000000000000004">
      <c r="A77">
        <v>1776044704</v>
      </c>
      <c r="B77" t="s">
        <v>16</v>
      </c>
      <c r="C77" t="s">
        <v>17</v>
      </c>
      <c r="D77">
        <v>4721.37</v>
      </c>
      <c r="E77" t="s">
        <v>20</v>
      </c>
      <c r="F77">
        <v>4728.3599999999997</v>
      </c>
      <c r="G77">
        <v>4773.08</v>
      </c>
      <c r="H77">
        <v>4794.96</v>
      </c>
      <c r="I77">
        <f t="shared" si="258"/>
        <v>4777.3100000000004</v>
      </c>
      <c r="J77">
        <f t="shared" si="266"/>
        <v>4800.93</v>
      </c>
      <c r="K77">
        <f t="shared" si="274"/>
        <v>4733.0200000000004</v>
      </c>
      <c r="L77">
        <f t="shared" si="172"/>
        <v>4807.34</v>
      </c>
      <c r="M77">
        <f t="shared" si="180"/>
        <v>4857.37</v>
      </c>
      <c r="N77">
        <f t="shared" si="188"/>
        <v>4694.3100000000004</v>
      </c>
      <c r="O77">
        <f t="shared" si="196"/>
        <v>4663.28</v>
      </c>
      <c r="P77">
        <f t="shared" si="204"/>
        <v>4667.87</v>
      </c>
      <c r="Q77">
        <f t="shared" si="212"/>
        <v>4697.83</v>
      </c>
      <c r="R77">
        <v>89.66</v>
      </c>
      <c r="S77">
        <f t="shared" si="246"/>
        <v>25.579999999999927</v>
      </c>
      <c r="T77">
        <f t="shared" si="247"/>
        <v>64.149999999999636</v>
      </c>
      <c r="U77">
        <f t="shared" si="263"/>
        <v>26.570000000000618</v>
      </c>
      <c r="V77">
        <f t="shared" si="271"/>
        <v>97.470000000000255</v>
      </c>
      <c r="W77">
        <f t="shared" ref="W77:W108" si="279">K77-K76</f>
        <v>34.510000000000218</v>
      </c>
      <c r="X77">
        <f t="shared" si="177"/>
        <v>36.119999999999891</v>
      </c>
      <c r="Y77">
        <f t="shared" si="185"/>
        <v>249.46000000000004</v>
      </c>
      <c r="Z77">
        <f t="shared" si="193"/>
        <v>70.830000000000837</v>
      </c>
      <c r="AA77">
        <f t="shared" si="201"/>
        <v>46.779999999999745</v>
      </c>
      <c r="AB77">
        <f t="shared" si="209"/>
        <v>22.119999999999891</v>
      </c>
      <c r="AC77">
        <f t="shared" si="217"/>
        <v>38.25</v>
      </c>
      <c r="AD77">
        <v>1.93</v>
      </c>
      <c r="AE77" s="14">
        <f t="shared" si="248"/>
        <v>0.53880989994733919</v>
      </c>
      <c r="AF77" s="14">
        <f t="shared" si="249"/>
        <v>1.3560045742695148</v>
      </c>
      <c r="AG77" s="14">
        <f t="shared" si="264"/>
        <v>0.55928129091469159</v>
      </c>
      <c r="AH77" s="14">
        <f t="shared" si="272"/>
        <v>2.0723042185965279</v>
      </c>
      <c r="AI77" s="14">
        <f t="shared" ref="AI77:AI108" si="280">(W77/K76)*100</f>
        <v>0.73448816752545421</v>
      </c>
      <c r="AJ77" s="14">
        <f t="shared" si="178"/>
        <v>0.75703908015140542</v>
      </c>
      <c r="AK77" s="14">
        <f t="shared" si="186"/>
        <v>5.4137342092184975</v>
      </c>
      <c r="AL77" s="14">
        <f t="shared" si="194"/>
        <v>1.5319629370085055</v>
      </c>
      <c r="AM77" s="14">
        <f t="shared" si="202"/>
        <v>1.0133217805696901</v>
      </c>
      <c r="AN77" s="14">
        <f t="shared" si="210"/>
        <v>0.47613410106010629</v>
      </c>
      <c r="AO77" s="14">
        <f t="shared" si="218"/>
        <v>0.82088943638697043</v>
      </c>
      <c r="AP77">
        <v>0</v>
      </c>
      <c r="AQ77">
        <f t="shared" si="250"/>
        <v>0</v>
      </c>
      <c r="AR77">
        <f t="shared" si="254"/>
        <v>0</v>
      </c>
      <c r="AS77">
        <f t="shared" si="259"/>
        <v>0</v>
      </c>
      <c r="AT77">
        <f t="shared" si="267"/>
        <v>0</v>
      </c>
      <c r="AU77">
        <f t="shared" si="275"/>
        <v>0</v>
      </c>
      <c r="AV77">
        <f t="shared" si="173"/>
        <v>0</v>
      </c>
      <c r="AW77">
        <f t="shared" si="181"/>
        <v>2</v>
      </c>
      <c r="AX77">
        <f t="shared" si="189"/>
        <v>0</v>
      </c>
      <c r="AY77">
        <f t="shared" si="197"/>
        <v>0</v>
      </c>
      <c r="AZ77">
        <f t="shared" si="205"/>
        <v>0</v>
      </c>
      <c r="BA77">
        <f t="shared" si="213"/>
        <v>0</v>
      </c>
      <c r="BB77">
        <v>15</v>
      </c>
      <c r="BC77">
        <f t="shared" si="251"/>
        <v>10</v>
      </c>
      <c r="BD77">
        <f t="shared" si="255"/>
        <v>23</v>
      </c>
      <c r="BE77">
        <f t="shared" si="260"/>
        <v>6</v>
      </c>
      <c r="BF77">
        <f t="shared" si="268"/>
        <v>43</v>
      </c>
      <c r="BG77">
        <f t="shared" si="276"/>
        <v>11</v>
      </c>
      <c r="BH77">
        <f t="shared" si="174"/>
        <v>7</v>
      </c>
      <c r="BI77">
        <f t="shared" si="182"/>
        <v>36</v>
      </c>
      <c r="BJ77">
        <f t="shared" si="190"/>
        <v>15</v>
      </c>
      <c r="BK77">
        <f t="shared" si="198"/>
        <v>11</v>
      </c>
      <c r="BL77">
        <f t="shared" si="206"/>
        <v>7</v>
      </c>
      <c r="BM77">
        <f t="shared" si="214"/>
        <v>9</v>
      </c>
      <c r="BZ77" s="12">
        <f t="shared" si="220"/>
        <v>5.9773333333333332</v>
      </c>
      <c r="CA77" s="12">
        <f t="shared" si="252"/>
        <v>2.5579999999999927</v>
      </c>
      <c r="CB77" s="12">
        <f t="shared" si="256"/>
        <v>2.7891304347825927</v>
      </c>
      <c r="CC77" s="12">
        <f t="shared" si="265"/>
        <v>4.4283333333334367</v>
      </c>
      <c r="CD77" s="12">
        <f t="shared" si="273"/>
        <v>2.2667441860465174</v>
      </c>
      <c r="CE77" s="12">
        <f t="shared" ref="CE77:CE108" si="281">IFERROR(W77/BG77,0)</f>
        <v>3.1372727272727472</v>
      </c>
      <c r="CF77" s="12">
        <f t="shared" si="179"/>
        <v>5.1599999999999842</v>
      </c>
      <c r="CG77" s="12">
        <f t="shared" si="187"/>
        <v>6.9294444444444458</v>
      </c>
      <c r="CH77" s="12">
        <f t="shared" si="195"/>
        <v>4.7220000000000555</v>
      </c>
      <c r="CI77" s="12">
        <f t="shared" si="203"/>
        <v>4.2527272727272498</v>
      </c>
      <c r="CJ77" s="12">
        <f t="shared" si="211"/>
        <v>3.1599999999999846</v>
      </c>
      <c r="CK77" s="12">
        <f t="shared" si="219"/>
        <v>4.25</v>
      </c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>
        <f t="shared" si="221"/>
        <v>80.502448186615126</v>
      </c>
      <c r="CY77" s="12">
        <f t="shared" si="222"/>
        <v>68.647959962356097</v>
      </c>
      <c r="CZ77" s="12">
        <f t="shared" si="223"/>
        <v>70.275482340083116</v>
      </c>
      <c r="DA77" s="12">
        <f t="shared" si="224"/>
        <v>77.274982448283495</v>
      </c>
      <c r="DB77" s="12">
        <f t="shared" si="225"/>
        <v>66.194780099488241</v>
      </c>
      <c r="DC77" s="12">
        <f t="shared" si="226"/>
        <v>72.320413218759455</v>
      </c>
      <c r="DD77" s="12">
        <f t="shared" si="227"/>
        <v>79.032127817338292</v>
      </c>
      <c r="DE77" s="12">
        <f t="shared" si="228"/>
        <v>81.788240397338924</v>
      </c>
      <c r="DF77" s="12">
        <f t="shared" si="229"/>
        <v>78.042869263019668</v>
      </c>
      <c r="DG77" s="12">
        <f t="shared" si="230"/>
        <v>76.767672413167134</v>
      </c>
      <c r="DH77" s="12">
        <f t="shared" si="231"/>
        <v>72.43972794819922</v>
      </c>
      <c r="DI77" s="12">
        <f t="shared" si="232"/>
        <v>76.759480084812793</v>
      </c>
      <c r="DJ77" t="s">
        <v>21</v>
      </c>
      <c r="DK77" t="str">
        <f t="shared" si="253"/>
        <v>LH</v>
      </c>
      <c r="DL77" t="str">
        <f t="shared" si="257"/>
        <v>HH</v>
      </c>
      <c r="DM77" t="str">
        <f t="shared" si="261"/>
        <v>LH</v>
      </c>
      <c r="DN77" t="str">
        <f t="shared" si="269"/>
        <v>HH</v>
      </c>
      <c r="DO77" t="str">
        <f t="shared" si="277"/>
        <v>LH</v>
      </c>
      <c r="DP77" t="str">
        <f t="shared" si="175"/>
        <v>LH</v>
      </c>
      <c r="DQ77" t="str">
        <f t="shared" si="183"/>
        <v>HH</v>
      </c>
      <c r="DR77" t="str">
        <f t="shared" si="191"/>
        <v>HH</v>
      </c>
      <c r="DS77" t="str">
        <f t="shared" si="199"/>
        <v>LH</v>
      </c>
      <c r="DT77" t="str">
        <f t="shared" si="207"/>
        <v>LH</v>
      </c>
      <c r="DU77" t="str">
        <f t="shared" si="215"/>
        <v>LH</v>
      </c>
      <c r="DV77">
        <f t="shared" si="233"/>
        <v>0.94578247003189819</v>
      </c>
      <c r="DW77">
        <f t="shared" si="234"/>
        <v>1.408522193741601</v>
      </c>
      <c r="DX77">
        <f t="shared" si="262"/>
        <v>1.0352426634181984</v>
      </c>
      <c r="DY77">
        <f t="shared" si="270"/>
        <v>1.5347816156130376</v>
      </c>
      <c r="DZ77">
        <f t="shared" si="278"/>
        <v>9.8554255598151674E-2</v>
      </c>
      <c r="EA77">
        <f t="shared" si="176"/>
        <v>1.6703465895151908</v>
      </c>
      <c r="EB77">
        <f t="shared" si="184"/>
        <v>2.7284301533724213</v>
      </c>
      <c r="EC77">
        <f t="shared" si="192"/>
        <v>-0.72012283328679016</v>
      </c>
      <c r="ED77">
        <f t="shared" si="200"/>
        <v>-1.3763757412718136</v>
      </c>
      <c r="EE77">
        <f t="shared" si="208"/>
        <v>-1.279301914405836</v>
      </c>
      <c r="EF77">
        <f t="shared" si="216"/>
        <v>-0.64567841704099826</v>
      </c>
      <c r="EG77" s="13" t="str">
        <f t="shared" si="235"/>
        <v/>
      </c>
      <c r="EH77" s="13" t="str">
        <f t="shared" si="236"/>
        <v/>
      </c>
      <c r="EI77" s="13" t="str">
        <f t="shared" si="237"/>
        <v/>
      </c>
      <c r="EJ77" s="13" t="str">
        <f t="shared" si="238"/>
        <v/>
      </c>
      <c r="EK77" s="13" t="str">
        <f t="shared" si="239"/>
        <v>EQH</v>
      </c>
      <c r="EL77" s="13" t="str">
        <f t="shared" si="240"/>
        <v/>
      </c>
      <c r="EM77" s="13" t="str">
        <f t="shared" si="241"/>
        <v/>
      </c>
      <c r="EN77" s="13" t="str">
        <f t="shared" si="242"/>
        <v/>
      </c>
      <c r="EO77" s="13" t="str">
        <f t="shared" si="243"/>
        <v/>
      </c>
      <c r="EP77" s="13" t="str">
        <f t="shared" si="244"/>
        <v/>
      </c>
      <c r="EQ77" s="13" t="str">
        <f t="shared" si="245"/>
        <v/>
      </c>
    </row>
    <row r="78" spans="1:147" ht="14.25" customHeight="1" x14ac:dyDescent="0.55000000000000004">
      <c r="A78">
        <v>1776052804</v>
      </c>
      <c r="B78" t="s">
        <v>16</v>
      </c>
      <c r="C78" t="s">
        <v>17</v>
      </c>
      <c r="D78">
        <v>4714.72</v>
      </c>
      <c r="E78" t="s">
        <v>18</v>
      </c>
      <c r="F78">
        <v>4708.62</v>
      </c>
      <c r="G78">
        <v>4638.7</v>
      </c>
      <c r="H78">
        <v>4747.5</v>
      </c>
      <c r="I78">
        <f t="shared" si="258"/>
        <v>4730.8100000000004</v>
      </c>
      <c r="J78">
        <f t="shared" si="266"/>
        <v>4750.74</v>
      </c>
      <c r="K78">
        <f t="shared" si="274"/>
        <v>4703.46</v>
      </c>
      <c r="L78">
        <f t="shared" ref="L78:L109" si="282">F66</f>
        <v>4698.51</v>
      </c>
      <c r="M78">
        <f t="shared" si="180"/>
        <v>4771.22</v>
      </c>
      <c r="N78">
        <f t="shared" si="188"/>
        <v>4607.91</v>
      </c>
      <c r="O78">
        <f t="shared" si="196"/>
        <v>4623.4799999999996</v>
      </c>
      <c r="P78">
        <f t="shared" si="204"/>
        <v>4616.5</v>
      </c>
      <c r="Q78">
        <f t="shared" si="212"/>
        <v>4645.75</v>
      </c>
      <c r="R78">
        <v>-19.739999999999998</v>
      </c>
      <c r="S78">
        <f t="shared" si="246"/>
        <v>-134.38000000000011</v>
      </c>
      <c r="T78">
        <f t="shared" si="247"/>
        <v>-47.460000000000036</v>
      </c>
      <c r="U78">
        <f t="shared" si="263"/>
        <v>-46.5</v>
      </c>
      <c r="V78">
        <f t="shared" si="271"/>
        <v>-50.190000000000509</v>
      </c>
      <c r="W78">
        <f t="shared" si="279"/>
        <v>-29.5600000000004</v>
      </c>
      <c r="X78">
        <f t="shared" si="177"/>
        <v>-108.82999999999993</v>
      </c>
      <c r="Y78">
        <f t="shared" si="185"/>
        <v>-86.149999999999636</v>
      </c>
      <c r="Z78">
        <f t="shared" si="193"/>
        <v>-86.400000000000546</v>
      </c>
      <c r="AA78">
        <f t="shared" si="201"/>
        <v>-39.800000000000182</v>
      </c>
      <c r="AB78">
        <f t="shared" si="209"/>
        <v>-51.369999999999891</v>
      </c>
      <c r="AC78">
        <f t="shared" si="217"/>
        <v>-52.079999999999927</v>
      </c>
      <c r="AD78">
        <v>-0.42</v>
      </c>
      <c r="AE78" s="14">
        <f t="shared" si="248"/>
        <v>-2.8153728829183695</v>
      </c>
      <c r="AF78" s="14">
        <f t="shared" si="249"/>
        <v>-0.98978927874268063</v>
      </c>
      <c r="AG78" s="14">
        <f t="shared" si="264"/>
        <v>-0.97335111181815703</v>
      </c>
      <c r="AH78" s="14">
        <f t="shared" si="272"/>
        <v>-1.0454224494004394</v>
      </c>
      <c r="AI78" s="14">
        <f t="shared" si="280"/>
        <v>-0.62454838559736481</v>
      </c>
      <c r="AJ78" s="14">
        <f t="shared" si="178"/>
        <v>-2.2638298934545906</v>
      </c>
      <c r="AK78" s="14">
        <f t="shared" si="186"/>
        <v>-1.7735935290084888</v>
      </c>
      <c r="AL78" s="14">
        <f t="shared" si="194"/>
        <v>-1.8405260837056039</v>
      </c>
      <c r="AM78" s="14">
        <f t="shared" si="202"/>
        <v>-0.8534765229623823</v>
      </c>
      <c r="AN78" s="14">
        <f t="shared" si="210"/>
        <v>-1.1005019419992392</v>
      </c>
      <c r="AO78" s="14">
        <f t="shared" si="218"/>
        <v>-1.1085969479525637</v>
      </c>
      <c r="AP78">
        <v>3</v>
      </c>
      <c r="AQ78">
        <f t="shared" si="250"/>
        <v>3</v>
      </c>
      <c r="AR78">
        <f t="shared" si="254"/>
        <v>3</v>
      </c>
      <c r="AS78">
        <f t="shared" si="259"/>
        <v>3</v>
      </c>
      <c r="AT78">
        <f t="shared" si="267"/>
        <v>3</v>
      </c>
      <c r="AU78">
        <f t="shared" si="275"/>
        <v>3</v>
      </c>
      <c r="AV78">
        <f t="shared" ref="AV78:AV109" si="283">AP66</f>
        <v>3</v>
      </c>
      <c r="AW78">
        <f t="shared" si="181"/>
        <v>3</v>
      </c>
      <c r="AX78">
        <f t="shared" si="189"/>
        <v>3</v>
      </c>
      <c r="AY78">
        <f t="shared" si="197"/>
        <v>3</v>
      </c>
      <c r="AZ78">
        <f t="shared" si="205"/>
        <v>3</v>
      </c>
      <c r="BA78">
        <f t="shared" si="213"/>
        <v>3</v>
      </c>
      <c r="BB78">
        <v>9</v>
      </c>
      <c r="BC78">
        <f t="shared" si="251"/>
        <v>10</v>
      </c>
      <c r="BD78">
        <f t="shared" si="255"/>
        <v>6</v>
      </c>
      <c r="BE78">
        <f t="shared" si="260"/>
        <v>29</v>
      </c>
      <c r="BF78">
        <f t="shared" si="268"/>
        <v>22</v>
      </c>
      <c r="BG78">
        <f t="shared" si="276"/>
        <v>16</v>
      </c>
      <c r="BH78">
        <f t="shared" ref="BH78:BH109" si="284">BB66</f>
        <v>44</v>
      </c>
      <c r="BI78">
        <f t="shared" si="182"/>
        <v>41</v>
      </c>
      <c r="BJ78">
        <f t="shared" si="190"/>
        <v>19</v>
      </c>
      <c r="BK78">
        <f t="shared" si="198"/>
        <v>4</v>
      </c>
      <c r="BL78">
        <f t="shared" si="206"/>
        <v>15</v>
      </c>
      <c r="BM78">
        <f t="shared" si="214"/>
        <v>19</v>
      </c>
      <c r="BZ78" s="12">
        <f t="shared" si="220"/>
        <v>-2.1933333333333334</v>
      </c>
      <c r="CA78" s="12">
        <f t="shared" si="252"/>
        <v>-13.438000000000011</v>
      </c>
      <c r="CB78" s="12">
        <f t="shared" si="256"/>
        <v>-7.9100000000000064</v>
      </c>
      <c r="CC78" s="12">
        <f t="shared" si="265"/>
        <v>-1.603448275862069</v>
      </c>
      <c r="CD78" s="12">
        <f t="shared" si="273"/>
        <v>-2.2813636363636594</v>
      </c>
      <c r="CE78" s="12">
        <f t="shared" si="281"/>
        <v>-1.847500000000025</v>
      </c>
      <c r="CF78" s="12">
        <f t="shared" si="179"/>
        <v>-2.4734090909090893</v>
      </c>
      <c r="CG78" s="12">
        <f t="shared" si="187"/>
        <v>-2.1012195121951129</v>
      </c>
      <c r="CH78" s="12">
        <f t="shared" si="195"/>
        <v>-4.5473684210526599</v>
      </c>
      <c r="CI78" s="12">
        <f t="shared" si="203"/>
        <v>-9.9500000000000455</v>
      </c>
      <c r="CJ78" s="12">
        <f t="shared" si="211"/>
        <v>-3.4246666666666594</v>
      </c>
      <c r="CK78" s="12">
        <f t="shared" si="219"/>
        <v>-2.7410526315789436</v>
      </c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>
        <f t="shared" si="221"/>
        <v>-65.490474431646376</v>
      </c>
      <c r="CY78" s="12">
        <f t="shared" si="222"/>
        <v>-85.74413105056253</v>
      </c>
      <c r="CZ78" s="12">
        <f t="shared" si="223"/>
        <v>-82.794762481425053</v>
      </c>
      <c r="DA78" s="12">
        <f t="shared" si="224"/>
        <v>-58.050028553666849</v>
      </c>
      <c r="DB78" s="12">
        <f t="shared" si="225"/>
        <v>-66.330510919763071</v>
      </c>
      <c r="DC78" s="12">
        <f t="shared" si="226"/>
        <v>-61.574557879131007</v>
      </c>
      <c r="DD78" s="12">
        <f t="shared" si="227"/>
        <v>-67.986502383136383</v>
      </c>
      <c r="DE78" s="12">
        <f t="shared" si="228"/>
        <v>-64.549564335542513</v>
      </c>
      <c r="DF78" s="12">
        <f t="shared" si="229"/>
        <v>-77.597641819639662</v>
      </c>
      <c r="DG78" s="12">
        <f t="shared" si="230"/>
        <v>-84.260901501910425</v>
      </c>
      <c r="DH78" s="12">
        <f t="shared" si="231"/>
        <v>-73.722236714786519</v>
      </c>
      <c r="DI78" s="12">
        <f t="shared" si="232"/>
        <v>-69.956849840129522</v>
      </c>
      <c r="DJ78" t="s">
        <v>22</v>
      </c>
      <c r="DK78" t="str">
        <f t="shared" si="253"/>
        <v>LL</v>
      </c>
      <c r="DL78" t="str">
        <f t="shared" si="257"/>
        <v>HL</v>
      </c>
      <c r="DM78" t="str">
        <f t="shared" si="261"/>
        <v>LL</v>
      </c>
      <c r="DN78" t="str">
        <f t="shared" si="269"/>
        <v>HL</v>
      </c>
      <c r="DO78" t="str">
        <f t="shared" si="277"/>
        <v>HL</v>
      </c>
      <c r="DP78" t="str">
        <f t="shared" ref="DP78:DP109" si="285">DJ66</f>
        <v>LL</v>
      </c>
      <c r="DQ78" t="str">
        <f t="shared" si="183"/>
        <v>HL</v>
      </c>
      <c r="DR78" t="str">
        <f t="shared" si="191"/>
        <v>LL</v>
      </c>
      <c r="DS78" t="str">
        <f t="shared" si="199"/>
        <v>HL</v>
      </c>
      <c r="DT78" t="str">
        <f t="shared" si="207"/>
        <v>LL</v>
      </c>
      <c r="DU78" t="str">
        <f t="shared" si="215"/>
        <v>LL</v>
      </c>
      <c r="DV78">
        <f t="shared" si="233"/>
        <v>-1.4849361384014865</v>
      </c>
      <c r="DW78">
        <f t="shared" si="234"/>
        <v>0.825719637600828</v>
      </c>
      <c r="DX78">
        <f t="shared" si="262"/>
        <v>0.47126334255048208</v>
      </c>
      <c r="DY78">
        <f t="shared" si="270"/>
        <v>0.89452960740089227</v>
      </c>
      <c r="DZ78">
        <f t="shared" si="278"/>
        <v>-0.10958624820010648</v>
      </c>
      <c r="EA78">
        <f t="shared" ref="EA78:EA109" si="286">IFERROR(((L78-$F78)/$F78)*100,0)</f>
        <v>-0.21471259095020775</v>
      </c>
      <c r="EB78">
        <f t="shared" si="184"/>
        <v>1.3294765770013373</v>
      </c>
      <c r="EC78">
        <f t="shared" si="192"/>
        <v>-2.1388432279521399</v>
      </c>
      <c r="ED78">
        <f t="shared" si="200"/>
        <v>-1.8081730953018151</v>
      </c>
      <c r="EE78">
        <f t="shared" si="208"/>
        <v>-1.9564118574019542</v>
      </c>
      <c r="EF78">
        <f t="shared" si="216"/>
        <v>-1.335210741151333</v>
      </c>
      <c r="EG78" s="13" t="str">
        <f t="shared" si="235"/>
        <v/>
      </c>
      <c r="EH78" s="13" t="str">
        <f t="shared" si="236"/>
        <v/>
      </c>
      <c r="EI78" s="13" t="str">
        <f t="shared" si="237"/>
        <v/>
      </c>
      <c r="EJ78" s="13" t="str">
        <f t="shared" si="238"/>
        <v/>
      </c>
      <c r="EK78" s="13" t="str">
        <f t="shared" si="239"/>
        <v/>
      </c>
      <c r="EL78" s="13" t="str">
        <f t="shared" si="240"/>
        <v/>
      </c>
      <c r="EM78" s="13" t="str">
        <f t="shared" si="241"/>
        <v/>
      </c>
      <c r="EN78" s="13" t="str">
        <f t="shared" si="242"/>
        <v/>
      </c>
      <c r="EO78" s="13" t="str">
        <f t="shared" si="243"/>
        <v/>
      </c>
      <c r="EP78" s="13" t="str">
        <f t="shared" si="244"/>
        <v/>
      </c>
      <c r="EQ78" s="13" t="str">
        <f t="shared" si="245"/>
        <v/>
      </c>
    </row>
    <row r="79" spans="1:147" ht="14.25" customHeight="1" x14ac:dyDescent="0.55000000000000004">
      <c r="A79">
        <v>1776066304</v>
      </c>
      <c r="B79" t="s">
        <v>16</v>
      </c>
      <c r="C79" t="s">
        <v>17</v>
      </c>
      <c r="D79">
        <v>4733.67</v>
      </c>
      <c r="E79" t="s">
        <v>20</v>
      </c>
      <c r="F79">
        <v>4740.01</v>
      </c>
      <c r="G79">
        <v>4728.3599999999997</v>
      </c>
      <c r="H79">
        <v>4773.08</v>
      </c>
      <c r="I79">
        <f t="shared" si="258"/>
        <v>4794.96</v>
      </c>
      <c r="J79">
        <f t="shared" si="266"/>
        <v>4777.3100000000004</v>
      </c>
      <c r="K79">
        <f t="shared" si="274"/>
        <v>4800.93</v>
      </c>
      <c r="L79">
        <f t="shared" si="282"/>
        <v>4733.0200000000004</v>
      </c>
      <c r="M79">
        <f t="shared" si="180"/>
        <v>4807.34</v>
      </c>
      <c r="N79">
        <f t="shared" si="188"/>
        <v>4857.37</v>
      </c>
      <c r="O79">
        <f t="shared" si="196"/>
        <v>4694.3100000000004</v>
      </c>
      <c r="P79">
        <f t="shared" si="204"/>
        <v>4663.28</v>
      </c>
      <c r="Q79">
        <f t="shared" si="212"/>
        <v>4667.87</v>
      </c>
      <c r="R79">
        <v>31.39</v>
      </c>
      <c r="S79">
        <f t="shared" si="246"/>
        <v>89.659999999999854</v>
      </c>
      <c r="T79">
        <f t="shared" si="247"/>
        <v>25.579999999999927</v>
      </c>
      <c r="U79">
        <f t="shared" si="263"/>
        <v>64.149999999999636</v>
      </c>
      <c r="V79">
        <f t="shared" si="271"/>
        <v>26.570000000000618</v>
      </c>
      <c r="W79">
        <f t="shared" si="279"/>
        <v>97.470000000000255</v>
      </c>
      <c r="X79">
        <f t="shared" ref="X79:X110" si="287">L79-L78</f>
        <v>34.510000000000218</v>
      </c>
      <c r="Y79">
        <f t="shared" si="185"/>
        <v>36.119999999999891</v>
      </c>
      <c r="Z79">
        <f t="shared" si="193"/>
        <v>249.46000000000004</v>
      </c>
      <c r="AA79">
        <f t="shared" si="201"/>
        <v>70.830000000000837</v>
      </c>
      <c r="AB79">
        <f t="shared" si="209"/>
        <v>46.779999999999745</v>
      </c>
      <c r="AC79">
        <f t="shared" si="217"/>
        <v>22.119999999999891</v>
      </c>
      <c r="AD79">
        <v>0.67</v>
      </c>
      <c r="AE79" s="14">
        <f t="shared" si="248"/>
        <v>1.9328691228145785</v>
      </c>
      <c r="AF79" s="14">
        <f t="shared" si="249"/>
        <v>0.53880989994733919</v>
      </c>
      <c r="AG79" s="14">
        <f t="shared" si="264"/>
        <v>1.3560045742695148</v>
      </c>
      <c r="AH79" s="14">
        <f t="shared" si="272"/>
        <v>0.55928129091469159</v>
      </c>
      <c r="AI79" s="14">
        <f t="shared" si="280"/>
        <v>2.0723042185965279</v>
      </c>
      <c r="AJ79" s="14">
        <f t="shared" ref="AJ79:AJ110" si="288">(X79/L78)*100</f>
        <v>0.73448816752545421</v>
      </c>
      <c r="AK79" s="14">
        <f t="shared" si="186"/>
        <v>0.75703908015140542</v>
      </c>
      <c r="AL79" s="14">
        <f t="shared" si="194"/>
        <v>5.4137342092184975</v>
      </c>
      <c r="AM79" s="14">
        <f t="shared" si="202"/>
        <v>1.5319629370085055</v>
      </c>
      <c r="AN79" s="14">
        <f t="shared" si="210"/>
        <v>1.0133217805696901</v>
      </c>
      <c r="AO79" s="14">
        <f t="shared" si="218"/>
        <v>0.47613410106010629</v>
      </c>
      <c r="AP79">
        <v>0</v>
      </c>
      <c r="AQ79">
        <f t="shared" si="250"/>
        <v>0</v>
      </c>
      <c r="AR79">
        <f t="shared" si="254"/>
        <v>0</v>
      </c>
      <c r="AS79">
        <f t="shared" si="259"/>
        <v>0</v>
      </c>
      <c r="AT79">
        <f t="shared" si="267"/>
        <v>0</v>
      </c>
      <c r="AU79">
        <f t="shared" si="275"/>
        <v>0</v>
      </c>
      <c r="AV79">
        <f t="shared" si="283"/>
        <v>0</v>
      </c>
      <c r="AW79">
        <f t="shared" si="181"/>
        <v>0</v>
      </c>
      <c r="AX79">
        <f t="shared" si="189"/>
        <v>2</v>
      </c>
      <c r="AY79">
        <f t="shared" si="197"/>
        <v>0</v>
      </c>
      <c r="AZ79">
        <f t="shared" si="205"/>
        <v>0</v>
      </c>
      <c r="BA79">
        <f t="shared" si="213"/>
        <v>0</v>
      </c>
      <c r="BB79">
        <v>15</v>
      </c>
      <c r="BC79">
        <f t="shared" si="251"/>
        <v>15</v>
      </c>
      <c r="BD79">
        <f t="shared" si="255"/>
        <v>10</v>
      </c>
      <c r="BE79">
        <f t="shared" si="260"/>
        <v>23</v>
      </c>
      <c r="BF79">
        <f t="shared" si="268"/>
        <v>6</v>
      </c>
      <c r="BG79">
        <f t="shared" si="276"/>
        <v>43</v>
      </c>
      <c r="BH79">
        <f t="shared" si="284"/>
        <v>11</v>
      </c>
      <c r="BI79">
        <f t="shared" si="182"/>
        <v>7</v>
      </c>
      <c r="BJ79">
        <f t="shared" si="190"/>
        <v>36</v>
      </c>
      <c r="BK79">
        <f t="shared" si="198"/>
        <v>15</v>
      </c>
      <c r="BL79">
        <f t="shared" si="206"/>
        <v>11</v>
      </c>
      <c r="BM79">
        <f t="shared" si="214"/>
        <v>7</v>
      </c>
      <c r="BZ79" s="12">
        <f t="shared" si="220"/>
        <v>2.0926666666666667</v>
      </c>
      <c r="CA79" s="12">
        <f t="shared" si="252"/>
        <v>5.9773333333333234</v>
      </c>
      <c r="CB79" s="12">
        <f t="shared" si="256"/>
        <v>2.5579999999999927</v>
      </c>
      <c r="CC79" s="12">
        <f t="shared" si="265"/>
        <v>2.7891304347825927</v>
      </c>
      <c r="CD79" s="12">
        <f t="shared" si="273"/>
        <v>4.4283333333334367</v>
      </c>
      <c r="CE79" s="12">
        <f t="shared" si="281"/>
        <v>2.2667441860465174</v>
      </c>
      <c r="CF79" s="12">
        <f t="shared" ref="CF79:CF110" si="289">IFERROR(X79/BH79,0)</f>
        <v>3.1372727272727472</v>
      </c>
      <c r="CG79" s="12">
        <f t="shared" si="187"/>
        <v>5.1599999999999842</v>
      </c>
      <c r="CH79" s="12">
        <f t="shared" si="195"/>
        <v>6.9294444444444458</v>
      </c>
      <c r="CI79" s="12">
        <f t="shared" si="203"/>
        <v>4.7220000000000555</v>
      </c>
      <c r="CJ79" s="12">
        <f t="shared" si="211"/>
        <v>4.2527272727272498</v>
      </c>
      <c r="CK79" s="12">
        <f t="shared" si="219"/>
        <v>3.1599999999999846</v>
      </c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>
        <f t="shared" si="221"/>
        <v>64.458768015845124</v>
      </c>
      <c r="CY79" s="12">
        <f t="shared" si="222"/>
        <v>80.502448186615112</v>
      </c>
      <c r="CZ79" s="12">
        <f t="shared" si="223"/>
        <v>68.647959962356097</v>
      </c>
      <c r="DA79" s="12">
        <f t="shared" si="224"/>
        <v>70.275482340083116</v>
      </c>
      <c r="DB79" s="12">
        <f t="shared" si="225"/>
        <v>77.274982448283495</v>
      </c>
      <c r="DC79" s="12">
        <f t="shared" si="226"/>
        <v>66.194780099488241</v>
      </c>
      <c r="DD79" s="12">
        <f t="shared" si="227"/>
        <v>72.320413218759455</v>
      </c>
      <c r="DE79" s="12">
        <f t="shared" si="228"/>
        <v>79.032127817338292</v>
      </c>
      <c r="DF79" s="12">
        <f t="shared" si="229"/>
        <v>81.788240397338924</v>
      </c>
      <c r="DG79" s="12">
        <f t="shared" si="230"/>
        <v>78.042869263019668</v>
      </c>
      <c r="DH79" s="12">
        <f t="shared" si="231"/>
        <v>76.767672413167134</v>
      </c>
      <c r="DI79" s="12">
        <f t="shared" si="232"/>
        <v>72.43972794819922</v>
      </c>
      <c r="DJ79" t="s">
        <v>23</v>
      </c>
      <c r="DK79" t="str">
        <f t="shared" si="253"/>
        <v>LH</v>
      </c>
      <c r="DL79" t="str">
        <f t="shared" si="257"/>
        <v>LH</v>
      </c>
      <c r="DM79" t="str">
        <f t="shared" si="261"/>
        <v>HH</v>
      </c>
      <c r="DN79" t="str">
        <f t="shared" si="269"/>
        <v>LH</v>
      </c>
      <c r="DO79" t="str">
        <f t="shared" si="277"/>
        <v>HH</v>
      </c>
      <c r="DP79" t="str">
        <f t="shared" si="285"/>
        <v>LH</v>
      </c>
      <c r="DQ79" t="str">
        <f t="shared" si="183"/>
        <v>LH</v>
      </c>
      <c r="DR79" t="str">
        <f t="shared" si="191"/>
        <v>HH</v>
      </c>
      <c r="DS79" t="str">
        <f t="shared" si="199"/>
        <v>HH</v>
      </c>
      <c r="DT79" t="str">
        <f t="shared" si="207"/>
        <v>LH</v>
      </c>
      <c r="DU79" t="str">
        <f t="shared" si="215"/>
        <v>LH</v>
      </c>
      <c r="DV79">
        <f t="shared" si="233"/>
        <v>-0.24578007219395204</v>
      </c>
      <c r="DW79">
        <f t="shared" si="234"/>
        <v>0.69767785300030394</v>
      </c>
      <c r="DX79">
        <f t="shared" si="262"/>
        <v>1.1592802546830032</v>
      </c>
      <c r="DY79">
        <f t="shared" si="270"/>
        <v>0.78691817105871453</v>
      </c>
      <c r="DZ79">
        <f t="shared" si="278"/>
        <v>1.2852293560562122</v>
      </c>
      <c r="EA79">
        <f t="shared" si="286"/>
        <v>-0.14746804331635968</v>
      </c>
      <c r="EB79">
        <f t="shared" si="184"/>
        <v>1.4204611382676391</v>
      </c>
      <c r="EC79">
        <f t="shared" si="192"/>
        <v>2.4759441435777489</v>
      </c>
      <c r="ED79">
        <f t="shared" si="200"/>
        <v>-0.96413298706120487</v>
      </c>
      <c r="EE79">
        <f t="shared" si="208"/>
        <v>-1.6187729561752078</v>
      </c>
      <c r="EF79">
        <f t="shared" si="216"/>
        <v>-1.5219377174309827</v>
      </c>
      <c r="EG79" s="13" t="str">
        <f t="shared" si="235"/>
        <v>EQH</v>
      </c>
      <c r="EH79" s="13" t="str">
        <f t="shared" si="236"/>
        <v/>
      </c>
      <c r="EI79" s="13" t="str">
        <f t="shared" si="237"/>
        <v/>
      </c>
      <c r="EJ79" s="13" t="str">
        <f t="shared" si="238"/>
        <v/>
      </c>
      <c r="EK79" s="13" t="str">
        <f t="shared" si="239"/>
        <v/>
      </c>
      <c r="EL79" s="13" t="str">
        <f t="shared" si="240"/>
        <v>EQH</v>
      </c>
      <c r="EM79" s="13" t="str">
        <f t="shared" si="241"/>
        <v/>
      </c>
      <c r="EN79" s="13" t="str">
        <f t="shared" si="242"/>
        <v/>
      </c>
      <c r="EO79" s="13" t="str">
        <f t="shared" si="243"/>
        <v/>
      </c>
      <c r="EP79" s="13" t="str">
        <f t="shared" si="244"/>
        <v/>
      </c>
      <c r="EQ79" s="13" t="str">
        <f t="shared" si="245"/>
        <v/>
      </c>
    </row>
    <row r="80" spans="1:147" ht="14.25" customHeight="1" x14ac:dyDescent="0.55000000000000004">
      <c r="A80">
        <v>1776080704</v>
      </c>
      <c r="B80" t="s">
        <v>16</v>
      </c>
      <c r="C80" t="s">
        <v>17</v>
      </c>
      <c r="D80">
        <v>4706.83</v>
      </c>
      <c r="E80" t="s">
        <v>18</v>
      </c>
      <c r="F80">
        <v>4703.7700000000004</v>
      </c>
      <c r="G80">
        <v>4708.62</v>
      </c>
      <c r="H80">
        <v>4638.7</v>
      </c>
      <c r="I80">
        <f t="shared" si="258"/>
        <v>4747.5</v>
      </c>
      <c r="J80">
        <f t="shared" si="266"/>
        <v>4730.8100000000004</v>
      </c>
      <c r="K80">
        <f t="shared" si="274"/>
        <v>4750.74</v>
      </c>
      <c r="L80">
        <f t="shared" si="282"/>
        <v>4703.46</v>
      </c>
      <c r="M80">
        <f t="shared" ref="M80:M111" si="290">F66</f>
        <v>4698.51</v>
      </c>
      <c r="N80">
        <f t="shared" si="188"/>
        <v>4771.22</v>
      </c>
      <c r="O80">
        <f t="shared" si="196"/>
        <v>4607.91</v>
      </c>
      <c r="P80">
        <f t="shared" si="204"/>
        <v>4623.4799999999996</v>
      </c>
      <c r="Q80">
        <f t="shared" si="212"/>
        <v>4616.5</v>
      </c>
      <c r="R80">
        <v>-36.24</v>
      </c>
      <c r="S80">
        <f t="shared" si="246"/>
        <v>-19.739999999999782</v>
      </c>
      <c r="T80">
        <f t="shared" si="247"/>
        <v>-134.38000000000011</v>
      </c>
      <c r="U80">
        <f t="shared" si="263"/>
        <v>-47.460000000000036</v>
      </c>
      <c r="V80">
        <f t="shared" si="271"/>
        <v>-46.5</v>
      </c>
      <c r="W80">
        <f t="shared" si="279"/>
        <v>-50.190000000000509</v>
      </c>
      <c r="X80">
        <f t="shared" si="287"/>
        <v>-29.5600000000004</v>
      </c>
      <c r="Y80">
        <f t="shared" si="185"/>
        <v>-108.82999999999993</v>
      </c>
      <c r="Z80">
        <f t="shared" si="193"/>
        <v>-86.149999999999636</v>
      </c>
      <c r="AA80">
        <f t="shared" si="201"/>
        <v>-86.400000000000546</v>
      </c>
      <c r="AB80">
        <f t="shared" si="209"/>
        <v>-39.800000000000182</v>
      </c>
      <c r="AC80">
        <f t="shared" si="217"/>
        <v>-51.369999999999891</v>
      </c>
      <c r="AD80">
        <v>-0.76</v>
      </c>
      <c r="AE80" s="14">
        <f t="shared" si="248"/>
        <v>-0.41748090246935055</v>
      </c>
      <c r="AF80" s="14">
        <f t="shared" si="249"/>
        <v>-2.8153728829183695</v>
      </c>
      <c r="AG80" s="14">
        <f t="shared" si="264"/>
        <v>-0.98978927874268063</v>
      </c>
      <c r="AH80" s="14">
        <f t="shared" si="272"/>
        <v>-0.97335111181815703</v>
      </c>
      <c r="AI80" s="14">
        <f t="shared" si="280"/>
        <v>-1.0454224494004394</v>
      </c>
      <c r="AJ80" s="14">
        <f t="shared" si="288"/>
        <v>-0.62454838559736481</v>
      </c>
      <c r="AK80" s="14">
        <f t="shared" si="186"/>
        <v>-2.2638298934545906</v>
      </c>
      <c r="AL80" s="14">
        <f t="shared" si="194"/>
        <v>-1.7735935290084888</v>
      </c>
      <c r="AM80" s="14">
        <f t="shared" si="202"/>
        <v>-1.8405260837056039</v>
      </c>
      <c r="AN80" s="14">
        <f t="shared" si="210"/>
        <v>-0.8534765229623823</v>
      </c>
      <c r="AO80" s="14">
        <f t="shared" si="218"/>
        <v>-1.1005019419992392</v>
      </c>
      <c r="AP80">
        <v>3</v>
      </c>
      <c r="AQ80">
        <f t="shared" si="250"/>
        <v>3</v>
      </c>
      <c r="AR80">
        <f t="shared" si="254"/>
        <v>3</v>
      </c>
      <c r="AS80">
        <f t="shared" si="259"/>
        <v>3</v>
      </c>
      <c r="AT80">
        <f t="shared" si="267"/>
        <v>3</v>
      </c>
      <c r="AU80">
        <f t="shared" si="275"/>
        <v>3</v>
      </c>
      <c r="AV80">
        <f t="shared" si="283"/>
        <v>3</v>
      </c>
      <c r="AW80">
        <f t="shared" ref="AW80:AW111" si="291">AP66</f>
        <v>3</v>
      </c>
      <c r="AX80">
        <f t="shared" si="189"/>
        <v>3</v>
      </c>
      <c r="AY80">
        <f t="shared" si="197"/>
        <v>3</v>
      </c>
      <c r="AZ80">
        <f t="shared" si="205"/>
        <v>3</v>
      </c>
      <c r="BA80">
        <f t="shared" si="213"/>
        <v>3</v>
      </c>
      <c r="BB80">
        <v>16</v>
      </c>
      <c r="BC80">
        <f t="shared" si="251"/>
        <v>9</v>
      </c>
      <c r="BD80">
        <f t="shared" si="255"/>
        <v>10</v>
      </c>
      <c r="BE80">
        <f t="shared" si="260"/>
        <v>6</v>
      </c>
      <c r="BF80">
        <f t="shared" si="268"/>
        <v>29</v>
      </c>
      <c r="BG80">
        <f t="shared" si="276"/>
        <v>22</v>
      </c>
      <c r="BH80">
        <f t="shared" si="284"/>
        <v>16</v>
      </c>
      <c r="BI80">
        <f t="shared" ref="BI80:BI111" si="292">BB66</f>
        <v>44</v>
      </c>
      <c r="BJ80">
        <f t="shared" si="190"/>
        <v>41</v>
      </c>
      <c r="BK80">
        <f t="shared" si="198"/>
        <v>19</v>
      </c>
      <c r="BL80">
        <f t="shared" si="206"/>
        <v>4</v>
      </c>
      <c r="BM80">
        <f t="shared" si="214"/>
        <v>15</v>
      </c>
      <c r="BZ80" s="12">
        <f t="shared" si="220"/>
        <v>-2.2650000000000001</v>
      </c>
      <c r="CA80" s="12">
        <f t="shared" si="252"/>
        <v>-2.1933333333333089</v>
      </c>
      <c r="CB80" s="12">
        <f t="shared" si="256"/>
        <v>-13.438000000000011</v>
      </c>
      <c r="CC80" s="12">
        <f t="shared" si="265"/>
        <v>-7.9100000000000064</v>
      </c>
      <c r="CD80" s="12">
        <f t="shared" si="273"/>
        <v>-1.603448275862069</v>
      </c>
      <c r="CE80" s="12">
        <f t="shared" si="281"/>
        <v>-2.2813636363636594</v>
      </c>
      <c r="CF80" s="12">
        <f t="shared" si="289"/>
        <v>-1.847500000000025</v>
      </c>
      <c r="CG80" s="12">
        <f t="shared" si="187"/>
        <v>-2.4734090909090893</v>
      </c>
      <c r="CH80" s="12">
        <f t="shared" si="195"/>
        <v>-2.1012195121951129</v>
      </c>
      <c r="CI80" s="12">
        <f t="shared" si="203"/>
        <v>-4.5473684210526599</v>
      </c>
      <c r="CJ80" s="12">
        <f t="shared" si="211"/>
        <v>-9.9500000000000455</v>
      </c>
      <c r="CK80" s="12">
        <f t="shared" si="219"/>
        <v>-3.4246666666666594</v>
      </c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>
        <f t="shared" si="221"/>
        <v>-66.178488668776524</v>
      </c>
      <c r="CY80" s="12">
        <f t="shared" si="222"/>
        <v>-65.490474431646135</v>
      </c>
      <c r="CZ80" s="12">
        <f t="shared" si="223"/>
        <v>-85.74413105056253</v>
      </c>
      <c r="DA80" s="12">
        <f t="shared" si="224"/>
        <v>-82.794762481425053</v>
      </c>
      <c r="DB80" s="12">
        <f t="shared" si="225"/>
        <v>-58.050028553666849</v>
      </c>
      <c r="DC80" s="12">
        <f t="shared" si="226"/>
        <v>-66.330510919763071</v>
      </c>
      <c r="DD80" s="12">
        <f t="shared" si="227"/>
        <v>-61.574557879131007</v>
      </c>
      <c r="DE80" s="12">
        <f t="shared" si="228"/>
        <v>-67.986502383136383</v>
      </c>
      <c r="DF80" s="12">
        <f t="shared" si="229"/>
        <v>-64.549564335542513</v>
      </c>
      <c r="DG80" s="12">
        <f t="shared" si="230"/>
        <v>-77.597641819639662</v>
      </c>
      <c r="DH80" s="12">
        <f t="shared" si="231"/>
        <v>-84.260901501910425</v>
      </c>
      <c r="DI80" s="12">
        <f t="shared" si="232"/>
        <v>-73.722236714786519</v>
      </c>
      <c r="DJ80" t="s">
        <v>19</v>
      </c>
      <c r="DK80" t="str">
        <f t="shared" si="253"/>
        <v>HL</v>
      </c>
      <c r="DL80" t="str">
        <f t="shared" si="257"/>
        <v>LL</v>
      </c>
      <c r="DM80" t="str">
        <f t="shared" si="261"/>
        <v>HL</v>
      </c>
      <c r="DN80" t="str">
        <f t="shared" si="269"/>
        <v>LL</v>
      </c>
      <c r="DO80" t="str">
        <f t="shared" si="277"/>
        <v>HL</v>
      </c>
      <c r="DP80" t="str">
        <f t="shared" si="285"/>
        <v>HL</v>
      </c>
      <c r="DQ80" t="str">
        <f t="shared" ref="DQ80:DQ111" si="293">DJ66</f>
        <v>LL</v>
      </c>
      <c r="DR80" t="str">
        <f t="shared" si="191"/>
        <v>HL</v>
      </c>
      <c r="DS80" t="str">
        <f t="shared" si="199"/>
        <v>LL</v>
      </c>
      <c r="DT80" t="str">
        <f t="shared" si="207"/>
        <v>HL</v>
      </c>
      <c r="DU80" t="str">
        <f t="shared" si="215"/>
        <v>LL</v>
      </c>
      <c r="DV80">
        <f t="shared" si="233"/>
        <v>0.10310878295493729</v>
      </c>
      <c r="DW80">
        <f t="shared" si="234"/>
        <v>-1.383358455026513</v>
      </c>
      <c r="DX80">
        <f t="shared" si="262"/>
        <v>0.92967981002471545</v>
      </c>
      <c r="DY80">
        <f t="shared" si="270"/>
        <v>0.57485803940243596</v>
      </c>
      <c r="DZ80">
        <f t="shared" si="278"/>
        <v>0.99856072894719206</v>
      </c>
      <c r="EA80">
        <f t="shared" si="286"/>
        <v>-6.5904582919743123E-3</v>
      </c>
      <c r="EB80">
        <f t="shared" ref="EB80:EB111" si="294">IFERROR(((M80-$F80)/$F80)*100,0)</f>
        <v>-0.11182519553465024</v>
      </c>
      <c r="EC80">
        <f t="shared" si="192"/>
        <v>1.4339561670744916</v>
      </c>
      <c r="ED80">
        <f t="shared" si="200"/>
        <v>-2.0379397802188581</v>
      </c>
      <c r="EE80">
        <f t="shared" si="208"/>
        <v>-1.7069286976191624</v>
      </c>
      <c r="EF80">
        <f t="shared" si="216"/>
        <v>-1.8553203069027702</v>
      </c>
      <c r="EG80" s="13" t="str">
        <f t="shared" si="235"/>
        <v>EQL</v>
      </c>
      <c r="EH80" s="13" t="str">
        <f t="shared" si="236"/>
        <v/>
      </c>
      <c r="EI80" s="13" t="str">
        <f t="shared" si="237"/>
        <v/>
      </c>
      <c r="EJ80" s="13" t="str">
        <f t="shared" si="238"/>
        <v/>
      </c>
      <c r="EK80" s="13" t="str">
        <f t="shared" si="239"/>
        <v/>
      </c>
      <c r="EL80" s="13" t="str">
        <f t="shared" si="240"/>
        <v/>
      </c>
      <c r="EM80" s="13" t="str">
        <f t="shared" si="241"/>
        <v/>
      </c>
      <c r="EN80" s="13" t="str">
        <f t="shared" si="242"/>
        <v/>
      </c>
      <c r="EO80" s="13" t="str">
        <f t="shared" si="243"/>
        <v/>
      </c>
      <c r="EP80" s="13" t="str">
        <f t="shared" si="244"/>
        <v/>
      </c>
      <c r="EQ80" s="13" t="str">
        <f t="shared" si="245"/>
        <v/>
      </c>
    </row>
    <row r="81" spans="1:147" ht="14.25" customHeight="1" x14ac:dyDescent="0.55000000000000004">
      <c r="A81">
        <v>1776087904</v>
      </c>
      <c r="B81" t="s">
        <v>16</v>
      </c>
      <c r="C81" t="s">
        <v>17</v>
      </c>
      <c r="D81">
        <v>4730.5600000000004</v>
      </c>
      <c r="E81" t="s">
        <v>20</v>
      </c>
      <c r="F81">
        <v>4744.59</v>
      </c>
      <c r="G81">
        <v>4740.01</v>
      </c>
      <c r="H81">
        <v>4728.3599999999997</v>
      </c>
      <c r="I81">
        <f t="shared" si="258"/>
        <v>4773.08</v>
      </c>
      <c r="J81">
        <f t="shared" si="266"/>
        <v>4794.96</v>
      </c>
      <c r="K81">
        <f t="shared" si="274"/>
        <v>4777.3100000000004</v>
      </c>
      <c r="L81">
        <f t="shared" si="282"/>
        <v>4800.93</v>
      </c>
      <c r="M81">
        <f t="shared" si="290"/>
        <v>4733.0200000000004</v>
      </c>
      <c r="N81">
        <f t="shared" si="188"/>
        <v>4807.34</v>
      </c>
      <c r="O81">
        <f t="shared" si="196"/>
        <v>4857.37</v>
      </c>
      <c r="P81">
        <f t="shared" si="204"/>
        <v>4694.3100000000004</v>
      </c>
      <c r="Q81">
        <f t="shared" si="212"/>
        <v>4663.28</v>
      </c>
      <c r="R81">
        <v>40.82</v>
      </c>
      <c r="S81">
        <f t="shared" si="246"/>
        <v>31.390000000000327</v>
      </c>
      <c r="T81">
        <f t="shared" si="247"/>
        <v>89.659999999999854</v>
      </c>
      <c r="U81">
        <f t="shared" si="263"/>
        <v>25.579999999999927</v>
      </c>
      <c r="V81">
        <f t="shared" si="271"/>
        <v>64.149999999999636</v>
      </c>
      <c r="W81">
        <f t="shared" si="279"/>
        <v>26.570000000000618</v>
      </c>
      <c r="X81">
        <f t="shared" si="287"/>
        <v>97.470000000000255</v>
      </c>
      <c r="Y81">
        <f t="shared" ref="Y81:Y112" si="295">M81-M80</f>
        <v>34.510000000000218</v>
      </c>
      <c r="Z81">
        <f t="shared" si="193"/>
        <v>36.119999999999891</v>
      </c>
      <c r="AA81">
        <f t="shared" si="201"/>
        <v>249.46000000000004</v>
      </c>
      <c r="AB81">
        <f t="shared" si="209"/>
        <v>70.830000000000837</v>
      </c>
      <c r="AC81">
        <f t="shared" si="217"/>
        <v>46.779999999999745</v>
      </c>
      <c r="AD81">
        <v>0.87</v>
      </c>
      <c r="AE81" s="14">
        <f t="shared" si="248"/>
        <v>0.66664967655067364</v>
      </c>
      <c r="AF81" s="14">
        <f t="shared" si="249"/>
        <v>1.9328691228145785</v>
      </c>
      <c r="AG81" s="14">
        <f t="shared" si="264"/>
        <v>0.53880989994733919</v>
      </c>
      <c r="AH81" s="14">
        <f t="shared" si="272"/>
        <v>1.3560045742695148</v>
      </c>
      <c r="AI81" s="14">
        <f t="shared" si="280"/>
        <v>0.55928129091469159</v>
      </c>
      <c r="AJ81" s="14">
        <f t="shared" si="288"/>
        <v>2.0723042185965279</v>
      </c>
      <c r="AK81" s="14">
        <f t="shared" ref="AK81:AK112" si="296">(Y81/M80)*100</f>
        <v>0.73448816752545421</v>
      </c>
      <c r="AL81" s="14">
        <f t="shared" si="194"/>
        <v>0.75703908015140542</v>
      </c>
      <c r="AM81" s="14">
        <f t="shared" si="202"/>
        <v>5.4137342092184975</v>
      </c>
      <c r="AN81" s="14">
        <f t="shared" si="210"/>
        <v>1.5319629370085055</v>
      </c>
      <c r="AO81" s="14">
        <f t="shared" si="218"/>
        <v>1.0133217805696901</v>
      </c>
      <c r="AP81">
        <v>0</v>
      </c>
      <c r="AQ81">
        <f t="shared" si="250"/>
        <v>0</v>
      </c>
      <c r="AR81">
        <f t="shared" si="254"/>
        <v>0</v>
      </c>
      <c r="AS81">
        <f t="shared" si="259"/>
        <v>0</v>
      </c>
      <c r="AT81">
        <f t="shared" si="267"/>
        <v>0</v>
      </c>
      <c r="AU81">
        <f t="shared" si="275"/>
        <v>0</v>
      </c>
      <c r="AV81">
        <f t="shared" si="283"/>
        <v>0</v>
      </c>
      <c r="AW81">
        <f t="shared" si="291"/>
        <v>0</v>
      </c>
      <c r="AX81">
        <f t="shared" si="189"/>
        <v>0</v>
      </c>
      <c r="AY81">
        <f t="shared" si="197"/>
        <v>2</v>
      </c>
      <c r="AZ81">
        <f t="shared" si="205"/>
        <v>0</v>
      </c>
      <c r="BA81">
        <f t="shared" si="213"/>
        <v>0</v>
      </c>
      <c r="BB81">
        <v>8</v>
      </c>
      <c r="BC81">
        <f t="shared" si="251"/>
        <v>15</v>
      </c>
      <c r="BD81">
        <f t="shared" si="255"/>
        <v>15</v>
      </c>
      <c r="BE81">
        <f t="shared" si="260"/>
        <v>10</v>
      </c>
      <c r="BF81">
        <f t="shared" si="268"/>
        <v>23</v>
      </c>
      <c r="BG81">
        <f t="shared" si="276"/>
        <v>6</v>
      </c>
      <c r="BH81">
        <f t="shared" si="284"/>
        <v>43</v>
      </c>
      <c r="BI81">
        <f t="shared" si="292"/>
        <v>11</v>
      </c>
      <c r="BJ81">
        <f t="shared" si="190"/>
        <v>7</v>
      </c>
      <c r="BK81">
        <f t="shared" si="198"/>
        <v>36</v>
      </c>
      <c r="BL81">
        <f t="shared" si="206"/>
        <v>15</v>
      </c>
      <c r="BM81">
        <f t="shared" si="214"/>
        <v>11</v>
      </c>
      <c r="BZ81" s="12">
        <f t="shared" si="220"/>
        <v>5.1025</v>
      </c>
      <c r="CA81" s="12">
        <f t="shared" si="252"/>
        <v>2.0926666666666884</v>
      </c>
      <c r="CB81" s="12">
        <f t="shared" si="256"/>
        <v>5.9773333333333234</v>
      </c>
      <c r="CC81" s="12">
        <f t="shared" si="265"/>
        <v>2.5579999999999927</v>
      </c>
      <c r="CD81" s="12">
        <f t="shared" si="273"/>
        <v>2.7891304347825927</v>
      </c>
      <c r="CE81" s="12">
        <f t="shared" si="281"/>
        <v>4.4283333333334367</v>
      </c>
      <c r="CF81" s="12">
        <f t="shared" si="289"/>
        <v>2.2667441860465174</v>
      </c>
      <c r="CG81" s="12">
        <f t="shared" ref="CG81:CG112" si="297">IFERROR(Y81/BI81,0)</f>
        <v>3.1372727272727472</v>
      </c>
      <c r="CH81" s="12">
        <f t="shared" si="195"/>
        <v>5.1599999999999842</v>
      </c>
      <c r="CI81" s="12">
        <f t="shared" si="203"/>
        <v>6.9294444444444458</v>
      </c>
      <c r="CJ81" s="12">
        <f t="shared" si="211"/>
        <v>4.7220000000000555</v>
      </c>
      <c r="CK81" s="12">
        <f t="shared" si="219"/>
        <v>4.2527272727272498</v>
      </c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>
        <f t="shared" si="221"/>
        <v>78.911577686867517</v>
      </c>
      <c r="CY81" s="12">
        <f t="shared" si="222"/>
        <v>64.458768015845365</v>
      </c>
      <c r="CZ81" s="12">
        <f t="shared" si="223"/>
        <v>80.502448186615112</v>
      </c>
      <c r="DA81" s="12">
        <f t="shared" si="224"/>
        <v>68.647959962356097</v>
      </c>
      <c r="DB81" s="12">
        <f t="shared" si="225"/>
        <v>70.275482340083116</v>
      </c>
      <c r="DC81" s="12">
        <f t="shared" si="226"/>
        <v>77.274982448283495</v>
      </c>
      <c r="DD81" s="12">
        <f t="shared" si="227"/>
        <v>66.194780099488241</v>
      </c>
      <c r="DE81" s="12">
        <f t="shared" si="228"/>
        <v>72.320413218759455</v>
      </c>
      <c r="DF81" s="12">
        <f t="shared" si="229"/>
        <v>79.032127817338292</v>
      </c>
      <c r="DG81" s="12">
        <f t="shared" si="230"/>
        <v>81.788240397338924</v>
      </c>
      <c r="DH81" s="12">
        <f t="shared" si="231"/>
        <v>78.042869263019668</v>
      </c>
      <c r="DI81" s="12">
        <f t="shared" si="232"/>
        <v>76.767672413167134</v>
      </c>
      <c r="DJ81" t="s">
        <v>23</v>
      </c>
      <c r="DK81" t="str">
        <f t="shared" si="253"/>
        <v>HH</v>
      </c>
      <c r="DL81" t="str">
        <f t="shared" si="257"/>
        <v>LH</v>
      </c>
      <c r="DM81" t="str">
        <f t="shared" si="261"/>
        <v>LH</v>
      </c>
      <c r="DN81" t="str">
        <f t="shared" si="269"/>
        <v>HH</v>
      </c>
      <c r="DO81" t="str">
        <f t="shared" si="277"/>
        <v>LH</v>
      </c>
      <c r="DP81" t="str">
        <f t="shared" si="285"/>
        <v>HH</v>
      </c>
      <c r="DQ81" t="str">
        <f t="shared" si="293"/>
        <v>LH</v>
      </c>
      <c r="DR81" t="str">
        <f t="shared" si="191"/>
        <v>LH</v>
      </c>
      <c r="DS81" t="str">
        <f t="shared" si="199"/>
        <v>HH</v>
      </c>
      <c r="DT81" t="str">
        <f t="shared" si="207"/>
        <v>HH</v>
      </c>
      <c r="DU81" t="str">
        <f t="shared" si="215"/>
        <v>LH</v>
      </c>
      <c r="DV81">
        <f t="shared" si="233"/>
        <v>-9.653099635584797E-2</v>
      </c>
      <c r="DW81">
        <f t="shared" si="234"/>
        <v>-0.34207381459726705</v>
      </c>
      <c r="DX81">
        <f t="shared" si="262"/>
        <v>0.60047338126160077</v>
      </c>
      <c r="DY81">
        <f t="shared" si="270"/>
        <v>1.0616301935467529</v>
      </c>
      <c r="DZ81">
        <f t="shared" si="278"/>
        <v>0.68962755475183846</v>
      </c>
      <c r="EA81">
        <f t="shared" si="286"/>
        <v>1.1874577149975054</v>
      </c>
      <c r="EB81">
        <f t="shared" si="294"/>
        <v>-0.24385668730068791</v>
      </c>
      <c r="EC81">
        <f t="shared" si="192"/>
        <v>1.3225589566221738</v>
      </c>
      <c r="ED81">
        <f t="shared" si="200"/>
        <v>2.3770230936708914</v>
      </c>
      <c r="EE81">
        <f t="shared" si="208"/>
        <v>-1.0597332962384471</v>
      </c>
      <c r="EF81">
        <f t="shared" si="216"/>
        <v>-1.7137413348677208</v>
      </c>
      <c r="EG81" s="13" t="str">
        <f t="shared" si="235"/>
        <v>EQH</v>
      </c>
      <c r="EH81" s="13" t="str">
        <f t="shared" si="236"/>
        <v/>
      </c>
      <c r="EI81" s="13" t="str">
        <f t="shared" si="237"/>
        <v/>
      </c>
      <c r="EJ81" s="13" t="str">
        <f t="shared" si="238"/>
        <v/>
      </c>
      <c r="EK81" s="13" t="str">
        <f t="shared" si="239"/>
        <v/>
      </c>
      <c r="EL81" s="13" t="str">
        <f t="shared" si="240"/>
        <v/>
      </c>
      <c r="EM81" s="13" t="str">
        <f t="shared" si="241"/>
        <v>EQH</v>
      </c>
      <c r="EN81" s="13" t="str">
        <f t="shared" si="242"/>
        <v/>
      </c>
      <c r="EO81" s="13" t="str">
        <f t="shared" si="243"/>
        <v/>
      </c>
      <c r="EP81" s="13" t="str">
        <f t="shared" si="244"/>
        <v/>
      </c>
      <c r="EQ81" s="13" t="str">
        <f t="shared" si="245"/>
        <v/>
      </c>
    </row>
    <row r="82" spans="1:147" ht="14.25" customHeight="1" x14ac:dyDescent="0.55000000000000004">
      <c r="A82">
        <v>1776092404</v>
      </c>
      <c r="B82" t="s">
        <v>16</v>
      </c>
      <c r="C82" t="s">
        <v>17</v>
      </c>
      <c r="D82">
        <v>4707.72</v>
      </c>
      <c r="E82" t="s">
        <v>18</v>
      </c>
      <c r="F82">
        <v>4700.51</v>
      </c>
      <c r="G82">
        <v>4703.7700000000004</v>
      </c>
      <c r="H82">
        <v>4708.62</v>
      </c>
      <c r="I82">
        <f t="shared" si="258"/>
        <v>4638.7</v>
      </c>
      <c r="J82">
        <f t="shared" si="266"/>
        <v>4747.5</v>
      </c>
      <c r="K82">
        <f t="shared" si="274"/>
        <v>4730.8100000000004</v>
      </c>
      <c r="L82">
        <f t="shared" si="282"/>
        <v>4750.74</v>
      </c>
      <c r="M82">
        <f t="shared" si="290"/>
        <v>4703.46</v>
      </c>
      <c r="N82">
        <f t="shared" ref="N82:N113" si="298">F66</f>
        <v>4698.51</v>
      </c>
      <c r="O82">
        <f t="shared" si="196"/>
        <v>4771.22</v>
      </c>
      <c r="P82">
        <f t="shared" si="204"/>
        <v>4607.91</v>
      </c>
      <c r="Q82">
        <f t="shared" si="212"/>
        <v>4623.4799999999996</v>
      </c>
      <c r="R82">
        <v>-44.08</v>
      </c>
      <c r="S82">
        <f t="shared" si="246"/>
        <v>-36.239999999999782</v>
      </c>
      <c r="T82">
        <f t="shared" si="247"/>
        <v>-19.739999999999782</v>
      </c>
      <c r="U82">
        <f t="shared" si="263"/>
        <v>-134.38000000000011</v>
      </c>
      <c r="V82">
        <f t="shared" si="271"/>
        <v>-47.460000000000036</v>
      </c>
      <c r="W82">
        <f t="shared" si="279"/>
        <v>-46.5</v>
      </c>
      <c r="X82">
        <f t="shared" si="287"/>
        <v>-50.190000000000509</v>
      </c>
      <c r="Y82">
        <f t="shared" si="295"/>
        <v>-29.5600000000004</v>
      </c>
      <c r="Z82">
        <f t="shared" si="193"/>
        <v>-108.82999999999993</v>
      </c>
      <c r="AA82">
        <f t="shared" si="201"/>
        <v>-86.149999999999636</v>
      </c>
      <c r="AB82">
        <f t="shared" si="209"/>
        <v>-86.400000000000546</v>
      </c>
      <c r="AC82">
        <f t="shared" si="217"/>
        <v>-39.800000000000182</v>
      </c>
      <c r="AD82">
        <v>-0.93</v>
      </c>
      <c r="AE82" s="14">
        <f t="shared" si="248"/>
        <v>-0.7645553490393433</v>
      </c>
      <c r="AF82" s="14">
        <f t="shared" si="249"/>
        <v>-0.41748090246935055</v>
      </c>
      <c r="AG82" s="14">
        <f t="shared" si="264"/>
        <v>-2.8153728829183695</v>
      </c>
      <c r="AH82" s="14">
        <f t="shared" si="272"/>
        <v>-0.98978927874268063</v>
      </c>
      <c r="AI82" s="14">
        <f t="shared" si="280"/>
        <v>-0.97335111181815703</v>
      </c>
      <c r="AJ82" s="14">
        <f t="shared" si="288"/>
        <v>-1.0454224494004394</v>
      </c>
      <c r="AK82" s="14">
        <f t="shared" si="296"/>
        <v>-0.62454838559736481</v>
      </c>
      <c r="AL82" s="14">
        <f t="shared" si="194"/>
        <v>-2.2638298934545906</v>
      </c>
      <c r="AM82" s="14">
        <f t="shared" si="202"/>
        <v>-1.7735935290084888</v>
      </c>
      <c r="AN82" s="14">
        <f t="shared" si="210"/>
        <v>-1.8405260837056039</v>
      </c>
      <c r="AO82" s="14">
        <f t="shared" si="218"/>
        <v>-0.8534765229623823</v>
      </c>
      <c r="AP82">
        <v>3</v>
      </c>
      <c r="AQ82">
        <f t="shared" si="250"/>
        <v>3</v>
      </c>
      <c r="AR82">
        <f t="shared" si="254"/>
        <v>3</v>
      </c>
      <c r="AS82">
        <f t="shared" si="259"/>
        <v>3</v>
      </c>
      <c r="AT82">
        <f t="shared" si="267"/>
        <v>3</v>
      </c>
      <c r="AU82">
        <f t="shared" si="275"/>
        <v>3</v>
      </c>
      <c r="AV82">
        <f t="shared" si="283"/>
        <v>3</v>
      </c>
      <c r="AW82">
        <f t="shared" si="291"/>
        <v>3</v>
      </c>
      <c r="AX82">
        <f t="shared" ref="AX82:AX113" si="299">AP66</f>
        <v>3</v>
      </c>
      <c r="AY82">
        <f t="shared" si="197"/>
        <v>3</v>
      </c>
      <c r="AZ82">
        <f t="shared" si="205"/>
        <v>3</v>
      </c>
      <c r="BA82">
        <f t="shared" si="213"/>
        <v>3</v>
      </c>
      <c r="BB82">
        <v>5</v>
      </c>
      <c r="BC82">
        <f t="shared" si="251"/>
        <v>16</v>
      </c>
      <c r="BD82">
        <f t="shared" si="255"/>
        <v>9</v>
      </c>
      <c r="BE82">
        <f t="shared" si="260"/>
        <v>10</v>
      </c>
      <c r="BF82">
        <f t="shared" si="268"/>
        <v>6</v>
      </c>
      <c r="BG82">
        <f t="shared" si="276"/>
        <v>29</v>
      </c>
      <c r="BH82">
        <f t="shared" si="284"/>
        <v>22</v>
      </c>
      <c r="BI82">
        <f t="shared" si="292"/>
        <v>16</v>
      </c>
      <c r="BJ82">
        <f t="shared" ref="BJ82:BJ113" si="300">BB66</f>
        <v>44</v>
      </c>
      <c r="BK82">
        <f t="shared" si="198"/>
        <v>41</v>
      </c>
      <c r="BL82">
        <f t="shared" si="206"/>
        <v>19</v>
      </c>
      <c r="BM82">
        <f t="shared" si="214"/>
        <v>4</v>
      </c>
      <c r="BZ82" s="12">
        <f t="shared" si="220"/>
        <v>-8.8159999999999989</v>
      </c>
      <c r="CA82" s="12">
        <f t="shared" si="252"/>
        <v>-2.2649999999999864</v>
      </c>
      <c r="CB82" s="12">
        <f t="shared" si="256"/>
        <v>-2.1933333333333089</v>
      </c>
      <c r="CC82" s="12">
        <f t="shared" si="265"/>
        <v>-13.438000000000011</v>
      </c>
      <c r="CD82" s="12">
        <f t="shared" si="273"/>
        <v>-7.9100000000000064</v>
      </c>
      <c r="CE82" s="12">
        <f t="shared" si="281"/>
        <v>-1.603448275862069</v>
      </c>
      <c r="CF82" s="12">
        <f t="shared" si="289"/>
        <v>-2.2813636363636594</v>
      </c>
      <c r="CG82" s="12">
        <f t="shared" si="297"/>
        <v>-1.847500000000025</v>
      </c>
      <c r="CH82" s="12">
        <f t="shared" si="195"/>
        <v>-2.4734090909090893</v>
      </c>
      <c r="CI82" s="12">
        <f t="shared" si="203"/>
        <v>-2.1012195121951129</v>
      </c>
      <c r="CJ82" s="12">
        <f t="shared" si="211"/>
        <v>-4.5473684210526599</v>
      </c>
      <c r="CK82" s="12">
        <f t="shared" si="219"/>
        <v>-9.9500000000000455</v>
      </c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>
        <f t="shared" si="221"/>
        <v>-83.528592419684216</v>
      </c>
      <c r="CY82" s="12">
        <f t="shared" si="222"/>
        <v>-66.178488668776396</v>
      </c>
      <c r="CZ82" s="12">
        <f t="shared" si="223"/>
        <v>-65.490474431646135</v>
      </c>
      <c r="DA82" s="12">
        <f t="shared" si="224"/>
        <v>-85.74413105056253</v>
      </c>
      <c r="DB82" s="12">
        <f t="shared" si="225"/>
        <v>-82.794762481425053</v>
      </c>
      <c r="DC82" s="12">
        <f t="shared" si="226"/>
        <v>-58.050028553666849</v>
      </c>
      <c r="DD82" s="12">
        <f t="shared" si="227"/>
        <v>-66.330510919763071</v>
      </c>
      <c r="DE82" s="12">
        <f t="shared" si="228"/>
        <v>-61.574557879131007</v>
      </c>
      <c r="DF82" s="12">
        <f t="shared" si="229"/>
        <v>-67.986502383136383</v>
      </c>
      <c r="DG82" s="12">
        <f t="shared" si="230"/>
        <v>-64.549564335542513</v>
      </c>
      <c r="DH82" s="12">
        <f t="shared" si="231"/>
        <v>-77.597641819639662</v>
      </c>
      <c r="DI82" s="12">
        <f t="shared" si="232"/>
        <v>-84.260901501910425</v>
      </c>
      <c r="DJ82" t="s">
        <v>19</v>
      </c>
      <c r="DK82" t="str">
        <f t="shared" si="253"/>
        <v>LL</v>
      </c>
      <c r="DL82" t="str">
        <f t="shared" si="257"/>
        <v>HL</v>
      </c>
      <c r="DM82" t="str">
        <f t="shared" si="261"/>
        <v>LL</v>
      </c>
      <c r="DN82" t="str">
        <f t="shared" si="269"/>
        <v>HL</v>
      </c>
      <c r="DO82" t="str">
        <f t="shared" si="277"/>
        <v>LL</v>
      </c>
      <c r="DP82" t="str">
        <f t="shared" si="285"/>
        <v>HL</v>
      </c>
      <c r="DQ82" t="str">
        <f t="shared" si="293"/>
        <v>HL</v>
      </c>
      <c r="DR82" t="str">
        <f t="shared" ref="DR82:DR113" si="301">DJ66</f>
        <v>LL</v>
      </c>
      <c r="DS82" t="str">
        <f t="shared" si="199"/>
        <v>HL</v>
      </c>
      <c r="DT82" t="str">
        <f t="shared" si="207"/>
        <v>LL</v>
      </c>
      <c r="DU82" t="str">
        <f t="shared" si="215"/>
        <v>HL</v>
      </c>
      <c r="DV82">
        <f t="shared" si="233"/>
        <v>6.9354176461707731E-2</v>
      </c>
      <c r="DW82">
        <f t="shared" si="234"/>
        <v>0.17253446966392311</v>
      </c>
      <c r="DX82">
        <f t="shared" si="262"/>
        <v>-1.3149636954288022</v>
      </c>
      <c r="DY82">
        <f t="shared" si="270"/>
        <v>0.99967875826239661</v>
      </c>
      <c r="DZ82">
        <f t="shared" si="278"/>
        <v>0.64461090392319509</v>
      </c>
      <c r="EA82">
        <f t="shared" si="286"/>
        <v>1.0686074489789312</v>
      </c>
      <c r="EB82">
        <f t="shared" si="294"/>
        <v>6.2759147411659971E-2</v>
      </c>
      <c r="EC82">
        <f t="shared" ref="EC82:EC113" si="302">IFERROR(((N82-$F82)/$F82)*100,0)</f>
        <v>-4.2548574516382262E-2</v>
      </c>
      <c r="ED82">
        <f t="shared" si="200"/>
        <v>1.5043048520266955</v>
      </c>
      <c r="EE82">
        <f t="shared" si="208"/>
        <v>-1.9699990001085066</v>
      </c>
      <c r="EF82">
        <f t="shared" si="216"/>
        <v>-1.6387583474984768</v>
      </c>
      <c r="EG82" s="13" t="str">
        <f t="shared" si="235"/>
        <v>EQL</v>
      </c>
      <c r="EH82" s="13" t="str">
        <f t="shared" si="236"/>
        <v>EQL</v>
      </c>
      <c r="EI82" s="13" t="str">
        <f t="shared" si="237"/>
        <v/>
      </c>
      <c r="EJ82" s="13" t="str">
        <f t="shared" si="238"/>
        <v/>
      </c>
      <c r="EK82" s="13" t="str">
        <f t="shared" si="239"/>
        <v/>
      </c>
      <c r="EL82" s="13" t="str">
        <f t="shared" si="240"/>
        <v/>
      </c>
      <c r="EM82" s="13" t="str">
        <f t="shared" si="241"/>
        <v/>
      </c>
      <c r="EN82" s="13" t="str">
        <f t="shared" si="242"/>
        <v/>
      </c>
      <c r="EO82" s="13" t="str">
        <f t="shared" si="243"/>
        <v/>
      </c>
      <c r="EP82" s="13" t="str">
        <f t="shared" si="244"/>
        <v/>
      </c>
      <c r="EQ82" s="13" t="str">
        <f t="shared" si="245"/>
        <v/>
      </c>
    </row>
    <row r="83" spans="1:147" ht="14.25" customHeight="1" x14ac:dyDescent="0.55000000000000004">
      <c r="A83">
        <v>1776134704</v>
      </c>
      <c r="B83" t="s">
        <v>16</v>
      </c>
      <c r="C83" t="s">
        <v>17</v>
      </c>
      <c r="D83">
        <v>4775.32</v>
      </c>
      <c r="E83" t="s">
        <v>20</v>
      </c>
      <c r="F83">
        <v>4777.24</v>
      </c>
      <c r="G83">
        <v>4744.59</v>
      </c>
      <c r="H83">
        <v>4740.01</v>
      </c>
      <c r="I83">
        <f t="shared" si="258"/>
        <v>4728.3599999999997</v>
      </c>
      <c r="J83">
        <f t="shared" si="266"/>
        <v>4773.08</v>
      </c>
      <c r="K83">
        <f t="shared" si="274"/>
        <v>4794.96</v>
      </c>
      <c r="L83">
        <f t="shared" si="282"/>
        <v>4777.3100000000004</v>
      </c>
      <c r="M83">
        <f t="shared" si="290"/>
        <v>4800.93</v>
      </c>
      <c r="N83">
        <f t="shared" si="298"/>
        <v>4733.0200000000004</v>
      </c>
      <c r="O83">
        <f t="shared" si="196"/>
        <v>4807.34</v>
      </c>
      <c r="P83">
        <f t="shared" si="204"/>
        <v>4857.37</v>
      </c>
      <c r="Q83">
        <f t="shared" si="212"/>
        <v>4694.3100000000004</v>
      </c>
      <c r="R83">
        <v>76.73</v>
      </c>
      <c r="S83">
        <f t="shared" si="246"/>
        <v>40.819999999999709</v>
      </c>
      <c r="T83">
        <f t="shared" si="247"/>
        <v>31.390000000000327</v>
      </c>
      <c r="U83">
        <f t="shared" si="263"/>
        <v>89.659999999999854</v>
      </c>
      <c r="V83">
        <f t="shared" si="271"/>
        <v>25.579999999999927</v>
      </c>
      <c r="W83">
        <f t="shared" si="279"/>
        <v>64.149999999999636</v>
      </c>
      <c r="X83">
        <f t="shared" si="287"/>
        <v>26.570000000000618</v>
      </c>
      <c r="Y83">
        <f t="shared" si="295"/>
        <v>97.470000000000255</v>
      </c>
      <c r="Z83">
        <f t="shared" ref="Z83:Z114" si="303">N83-N82</f>
        <v>34.510000000000218</v>
      </c>
      <c r="AA83">
        <f t="shared" si="201"/>
        <v>36.119999999999891</v>
      </c>
      <c r="AB83">
        <f t="shared" si="209"/>
        <v>249.46000000000004</v>
      </c>
      <c r="AC83">
        <f t="shared" si="217"/>
        <v>70.830000000000837</v>
      </c>
      <c r="AD83">
        <v>1.63</v>
      </c>
      <c r="AE83" s="14">
        <f t="shared" si="248"/>
        <v>0.86781454025174931</v>
      </c>
      <c r="AF83" s="14">
        <f t="shared" si="249"/>
        <v>0.66664967655067364</v>
      </c>
      <c r="AG83" s="14">
        <f t="shared" si="264"/>
        <v>1.9328691228145785</v>
      </c>
      <c r="AH83" s="14">
        <f t="shared" si="272"/>
        <v>0.53880989994733919</v>
      </c>
      <c r="AI83" s="14">
        <f t="shared" si="280"/>
        <v>1.3560045742695148</v>
      </c>
      <c r="AJ83" s="14">
        <f t="shared" si="288"/>
        <v>0.55928129091469159</v>
      </c>
      <c r="AK83" s="14">
        <f t="shared" si="296"/>
        <v>2.0723042185965279</v>
      </c>
      <c r="AL83" s="14">
        <f t="shared" ref="AL83:AL114" si="304">(Z83/N82)*100</f>
        <v>0.73448816752545421</v>
      </c>
      <c r="AM83" s="14">
        <f t="shared" si="202"/>
        <v>0.75703908015140542</v>
      </c>
      <c r="AN83" s="14">
        <f t="shared" si="210"/>
        <v>5.4137342092184975</v>
      </c>
      <c r="AO83" s="14">
        <f t="shared" si="218"/>
        <v>1.5319629370085055</v>
      </c>
      <c r="AP83">
        <v>0</v>
      </c>
      <c r="AQ83">
        <f t="shared" si="250"/>
        <v>0</v>
      </c>
      <c r="AR83">
        <f t="shared" si="254"/>
        <v>0</v>
      </c>
      <c r="AS83">
        <f t="shared" si="259"/>
        <v>0</v>
      </c>
      <c r="AT83">
        <f t="shared" si="267"/>
        <v>0</v>
      </c>
      <c r="AU83">
        <f t="shared" si="275"/>
        <v>0</v>
      </c>
      <c r="AV83">
        <f t="shared" si="283"/>
        <v>0</v>
      </c>
      <c r="AW83">
        <f t="shared" si="291"/>
        <v>0</v>
      </c>
      <c r="AX83">
        <f t="shared" si="299"/>
        <v>0</v>
      </c>
      <c r="AY83">
        <f t="shared" si="197"/>
        <v>0</v>
      </c>
      <c r="AZ83">
        <f t="shared" si="205"/>
        <v>2</v>
      </c>
      <c r="BA83">
        <f t="shared" si="213"/>
        <v>0</v>
      </c>
      <c r="BB83">
        <v>43</v>
      </c>
      <c r="BC83">
        <f t="shared" si="251"/>
        <v>8</v>
      </c>
      <c r="BD83">
        <f t="shared" si="255"/>
        <v>15</v>
      </c>
      <c r="BE83">
        <f t="shared" si="260"/>
        <v>15</v>
      </c>
      <c r="BF83">
        <f t="shared" si="268"/>
        <v>10</v>
      </c>
      <c r="BG83">
        <f t="shared" si="276"/>
        <v>23</v>
      </c>
      <c r="BH83">
        <f t="shared" si="284"/>
        <v>6</v>
      </c>
      <c r="BI83">
        <f t="shared" si="292"/>
        <v>43</v>
      </c>
      <c r="BJ83">
        <f t="shared" si="300"/>
        <v>11</v>
      </c>
      <c r="BK83">
        <f t="shared" si="198"/>
        <v>7</v>
      </c>
      <c r="BL83">
        <f t="shared" si="206"/>
        <v>36</v>
      </c>
      <c r="BM83">
        <f t="shared" si="214"/>
        <v>15</v>
      </c>
      <c r="BZ83" s="12">
        <f t="shared" si="220"/>
        <v>1.784418604651163</v>
      </c>
      <c r="CA83" s="12">
        <f t="shared" si="252"/>
        <v>5.1024999999999636</v>
      </c>
      <c r="CB83" s="12">
        <f t="shared" si="256"/>
        <v>2.0926666666666884</v>
      </c>
      <c r="CC83" s="12">
        <f t="shared" si="265"/>
        <v>5.9773333333333234</v>
      </c>
      <c r="CD83" s="12">
        <f t="shared" si="273"/>
        <v>2.5579999999999927</v>
      </c>
      <c r="CE83" s="12">
        <f t="shared" si="281"/>
        <v>2.7891304347825927</v>
      </c>
      <c r="CF83" s="12">
        <f t="shared" si="289"/>
        <v>4.4283333333334367</v>
      </c>
      <c r="CG83" s="12">
        <f t="shared" si="297"/>
        <v>2.2667441860465174</v>
      </c>
      <c r="CH83" s="12">
        <f t="shared" ref="CH83:CH114" si="305">IFERROR(Z83/BJ83,0)</f>
        <v>3.1372727272727472</v>
      </c>
      <c r="CI83" s="12">
        <f t="shared" si="203"/>
        <v>5.1599999999999842</v>
      </c>
      <c r="CJ83" s="12">
        <f t="shared" si="211"/>
        <v>6.9294444444444458</v>
      </c>
      <c r="CK83" s="12">
        <f t="shared" si="219"/>
        <v>4.7220000000000555</v>
      </c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>
        <f t="shared" si="221"/>
        <v>60.733441015266031</v>
      </c>
      <c r="CY83" s="12">
        <f t="shared" si="222"/>
        <v>78.911577686867446</v>
      </c>
      <c r="CZ83" s="12">
        <f t="shared" si="223"/>
        <v>64.458768015845365</v>
      </c>
      <c r="DA83" s="12">
        <f t="shared" si="224"/>
        <v>80.502448186615112</v>
      </c>
      <c r="DB83" s="12">
        <f t="shared" si="225"/>
        <v>68.647959962356097</v>
      </c>
      <c r="DC83" s="12">
        <f t="shared" si="226"/>
        <v>70.275482340083116</v>
      </c>
      <c r="DD83" s="12">
        <f t="shared" si="227"/>
        <v>77.274982448283495</v>
      </c>
      <c r="DE83" s="12">
        <f t="shared" si="228"/>
        <v>66.194780099488241</v>
      </c>
      <c r="DF83" s="12">
        <f t="shared" si="229"/>
        <v>72.320413218759455</v>
      </c>
      <c r="DG83" s="12">
        <f t="shared" si="230"/>
        <v>79.032127817338292</v>
      </c>
      <c r="DH83" s="12">
        <f t="shared" si="231"/>
        <v>81.788240397338924</v>
      </c>
      <c r="DI83" s="12">
        <f t="shared" si="232"/>
        <v>78.042869263019668</v>
      </c>
      <c r="DJ83" t="s">
        <v>23</v>
      </c>
      <c r="DK83" t="str">
        <f t="shared" si="253"/>
        <v>HH</v>
      </c>
      <c r="DL83" t="str">
        <f t="shared" si="257"/>
        <v>HH</v>
      </c>
      <c r="DM83" t="str">
        <f t="shared" si="261"/>
        <v>LH</v>
      </c>
      <c r="DN83" t="str">
        <f t="shared" si="269"/>
        <v>LH</v>
      </c>
      <c r="DO83" t="str">
        <f t="shared" si="277"/>
        <v>HH</v>
      </c>
      <c r="DP83" t="str">
        <f t="shared" si="285"/>
        <v>LH</v>
      </c>
      <c r="DQ83" t="str">
        <f t="shared" si="293"/>
        <v>HH</v>
      </c>
      <c r="DR83" t="str">
        <f t="shared" si="301"/>
        <v>LH</v>
      </c>
      <c r="DS83" t="str">
        <f t="shared" si="199"/>
        <v>LH</v>
      </c>
      <c r="DT83" t="str">
        <f t="shared" si="207"/>
        <v>HH</v>
      </c>
      <c r="DU83" t="str">
        <f t="shared" si="215"/>
        <v>HH</v>
      </c>
      <c r="DV83">
        <f t="shared" si="233"/>
        <v>-0.68344902077349345</v>
      </c>
      <c r="DW83">
        <f t="shared" si="234"/>
        <v>-0.7793202769800045</v>
      </c>
      <c r="DX83">
        <f t="shared" si="262"/>
        <v>-1.0231849352345728</v>
      </c>
      <c r="DY83">
        <f t="shared" si="270"/>
        <v>-8.7079568956130615E-2</v>
      </c>
      <c r="DZ83">
        <f t="shared" si="278"/>
        <v>0.37092547161122857</v>
      </c>
      <c r="EA83">
        <f t="shared" si="286"/>
        <v>1.4652812084094259E-3</v>
      </c>
      <c r="EB83">
        <f t="shared" si="294"/>
        <v>0.49589302609876224</v>
      </c>
      <c r="EC83">
        <f t="shared" si="302"/>
        <v>-0.92563907193273409</v>
      </c>
      <c r="ED83">
        <f t="shared" si="200"/>
        <v>0.630070919610494</v>
      </c>
      <c r="EE83">
        <f t="shared" si="208"/>
        <v>1.6773283318401444</v>
      </c>
      <c r="EF83">
        <f t="shared" si="216"/>
        <v>-1.7359395801759885</v>
      </c>
      <c r="EG83" s="13" t="str">
        <f t="shared" si="235"/>
        <v/>
      </c>
      <c r="EH83" s="13" t="str">
        <f t="shared" si="236"/>
        <v/>
      </c>
      <c r="EI83" s="13" t="str">
        <f t="shared" si="237"/>
        <v/>
      </c>
      <c r="EJ83" s="13" t="str">
        <f t="shared" si="238"/>
        <v/>
      </c>
      <c r="EK83" s="13" t="str">
        <f t="shared" si="239"/>
        <v/>
      </c>
      <c r="EL83" s="13" t="str">
        <f t="shared" si="240"/>
        <v>EQH</v>
      </c>
      <c r="EM83" s="13" t="str">
        <f t="shared" si="241"/>
        <v/>
      </c>
      <c r="EN83" s="13" t="str">
        <f t="shared" si="242"/>
        <v/>
      </c>
      <c r="EO83" s="13" t="str">
        <f t="shared" si="243"/>
        <v/>
      </c>
      <c r="EP83" s="13" t="str">
        <f t="shared" si="244"/>
        <v/>
      </c>
      <c r="EQ83" s="13" t="str">
        <f t="shared" si="245"/>
        <v/>
      </c>
    </row>
    <row r="84" spans="1:147" ht="14.25" customHeight="1" x14ac:dyDescent="0.55000000000000004">
      <c r="A84">
        <v>1776144604</v>
      </c>
      <c r="B84" t="s">
        <v>16</v>
      </c>
      <c r="C84" t="s">
        <v>17</v>
      </c>
      <c r="D84">
        <v>4761.1899999999996</v>
      </c>
      <c r="E84" t="s">
        <v>18</v>
      </c>
      <c r="F84">
        <v>4757.92</v>
      </c>
      <c r="G84">
        <v>4700.51</v>
      </c>
      <c r="H84">
        <v>4703.7700000000004</v>
      </c>
      <c r="I84">
        <f t="shared" si="258"/>
        <v>4708.62</v>
      </c>
      <c r="J84">
        <f t="shared" si="266"/>
        <v>4638.7</v>
      </c>
      <c r="K84">
        <f t="shared" si="274"/>
        <v>4747.5</v>
      </c>
      <c r="L84">
        <f t="shared" si="282"/>
        <v>4730.8100000000004</v>
      </c>
      <c r="M84">
        <f t="shared" si="290"/>
        <v>4750.74</v>
      </c>
      <c r="N84">
        <f t="shared" si="298"/>
        <v>4703.46</v>
      </c>
      <c r="O84">
        <f t="shared" ref="O84:O115" si="306">F66</f>
        <v>4698.51</v>
      </c>
      <c r="P84">
        <f t="shared" si="204"/>
        <v>4771.22</v>
      </c>
      <c r="Q84">
        <f t="shared" si="212"/>
        <v>4607.91</v>
      </c>
      <c r="R84">
        <v>-19.32</v>
      </c>
      <c r="S84">
        <f t="shared" si="246"/>
        <v>-44.079999999999927</v>
      </c>
      <c r="T84">
        <f t="shared" si="247"/>
        <v>-36.239999999999782</v>
      </c>
      <c r="U84">
        <f t="shared" si="263"/>
        <v>-19.739999999999782</v>
      </c>
      <c r="V84">
        <f t="shared" si="271"/>
        <v>-134.38000000000011</v>
      </c>
      <c r="W84">
        <f t="shared" si="279"/>
        <v>-47.460000000000036</v>
      </c>
      <c r="X84">
        <f t="shared" si="287"/>
        <v>-46.5</v>
      </c>
      <c r="Y84">
        <f t="shared" si="295"/>
        <v>-50.190000000000509</v>
      </c>
      <c r="Z84">
        <f t="shared" si="303"/>
        <v>-29.5600000000004</v>
      </c>
      <c r="AA84">
        <f t="shared" si="201"/>
        <v>-108.82999999999993</v>
      </c>
      <c r="AB84">
        <f t="shared" si="209"/>
        <v>-86.149999999999636</v>
      </c>
      <c r="AC84">
        <f t="shared" si="217"/>
        <v>-86.400000000000546</v>
      </c>
      <c r="AD84">
        <v>-0.4</v>
      </c>
      <c r="AE84" s="14">
        <f t="shared" si="248"/>
        <v>-0.9290581483331527</v>
      </c>
      <c r="AF84" s="14">
        <f t="shared" si="249"/>
        <v>-0.7645553490393433</v>
      </c>
      <c r="AG84" s="14">
        <f t="shared" si="264"/>
        <v>-0.41748090246935055</v>
      </c>
      <c r="AH84" s="14">
        <f t="shared" si="272"/>
        <v>-2.8153728829183695</v>
      </c>
      <c r="AI84" s="14">
        <f t="shared" si="280"/>
        <v>-0.98978927874268063</v>
      </c>
      <c r="AJ84" s="14">
        <f t="shared" si="288"/>
        <v>-0.97335111181815703</v>
      </c>
      <c r="AK84" s="14">
        <f t="shared" si="296"/>
        <v>-1.0454224494004394</v>
      </c>
      <c r="AL84" s="14">
        <f t="shared" si="304"/>
        <v>-0.62454838559736481</v>
      </c>
      <c r="AM84" s="14">
        <f t="shared" si="202"/>
        <v>-2.2638298934545906</v>
      </c>
      <c r="AN84" s="14">
        <f t="shared" si="210"/>
        <v>-1.7735935290084888</v>
      </c>
      <c r="AO84" s="14">
        <f t="shared" si="218"/>
        <v>-1.8405260837056039</v>
      </c>
      <c r="AP84">
        <v>3</v>
      </c>
      <c r="AQ84">
        <f t="shared" si="250"/>
        <v>3</v>
      </c>
      <c r="AR84">
        <f t="shared" si="254"/>
        <v>3</v>
      </c>
      <c r="AS84">
        <f t="shared" si="259"/>
        <v>3</v>
      </c>
      <c r="AT84">
        <f t="shared" si="267"/>
        <v>3</v>
      </c>
      <c r="AU84">
        <f t="shared" si="275"/>
        <v>3</v>
      </c>
      <c r="AV84">
        <f t="shared" si="283"/>
        <v>3</v>
      </c>
      <c r="AW84">
        <f t="shared" si="291"/>
        <v>3</v>
      </c>
      <c r="AX84">
        <f t="shared" si="299"/>
        <v>3</v>
      </c>
      <c r="AY84">
        <f t="shared" ref="AY84:AY115" si="307">AP66</f>
        <v>3</v>
      </c>
      <c r="AZ84">
        <f t="shared" si="205"/>
        <v>3</v>
      </c>
      <c r="BA84">
        <f t="shared" si="213"/>
        <v>3</v>
      </c>
      <c r="BB84">
        <v>11</v>
      </c>
      <c r="BC84">
        <f t="shared" si="251"/>
        <v>5</v>
      </c>
      <c r="BD84">
        <f t="shared" si="255"/>
        <v>16</v>
      </c>
      <c r="BE84">
        <f t="shared" si="260"/>
        <v>9</v>
      </c>
      <c r="BF84">
        <f t="shared" si="268"/>
        <v>10</v>
      </c>
      <c r="BG84">
        <f t="shared" si="276"/>
        <v>6</v>
      </c>
      <c r="BH84">
        <f t="shared" si="284"/>
        <v>29</v>
      </c>
      <c r="BI84">
        <f t="shared" si="292"/>
        <v>22</v>
      </c>
      <c r="BJ84">
        <f t="shared" si="300"/>
        <v>16</v>
      </c>
      <c r="BK84">
        <f t="shared" ref="BK84:BK115" si="308">BB66</f>
        <v>44</v>
      </c>
      <c r="BL84">
        <f t="shared" si="206"/>
        <v>41</v>
      </c>
      <c r="BM84">
        <f t="shared" si="214"/>
        <v>19</v>
      </c>
      <c r="BZ84" s="12">
        <f t="shared" si="220"/>
        <v>-1.7563636363636363</v>
      </c>
      <c r="CA84" s="12">
        <f t="shared" si="252"/>
        <v>-8.8159999999999847</v>
      </c>
      <c r="CB84" s="12">
        <f t="shared" si="256"/>
        <v>-2.2649999999999864</v>
      </c>
      <c r="CC84" s="12">
        <f t="shared" si="265"/>
        <v>-2.1933333333333089</v>
      </c>
      <c r="CD84" s="12">
        <f t="shared" si="273"/>
        <v>-13.438000000000011</v>
      </c>
      <c r="CE84" s="12">
        <f t="shared" si="281"/>
        <v>-7.9100000000000064</v>
      </c>
      <c r="CF84" s="12">
        <f t="shared" si="289"/>
        <v>-1.603448275862069</v>
      </c>
      <c r="CG84" s="12">
        <f t="shared" si="297"/>
        <v>-2.2813636363636594</v>
      </c>
      <c r="CH84" s="12">
        <f t="shared" si="305"/>
        <v>-1.847500000000025</v>
      </c>
      <c r="CI84" s="12">
        <f t="shared" si="203"/>
        <v>-2.4734090909090893</v>
      </c>
      <c r="CJ84" s="12">
        <f t="shared" si="211"/>
        <v>-2.1012195121951129</v>
      </c>
      <c r="CK84" s="12">
        <f t="shared" si="219"/>
        <v>-4.5473684210526599</v>
      </c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>
        <f t="shared" si="221"/>
        <v>-60.344623307017997</v>
      </c>
      <c r="CY84" s="12">
        <f t="shared" si="222"/>
        <v>-83.528592419684202</v>
      </c>
      <c r="CZ84" s="12">
        <f t="shared" si="223"/>
        <v>-66.178488668776396</v>
      </c>
      <c r="DA84" s="12">
        <f t="shared" si="224"/>
        <v>-65.490474431646135</v>
      </c>
      <c r="DB84" s="12">
        <f t="shared" si="225"/>
        <v>-85.74413105056253</v>
      </c>
      <c r="DC84" s="12">
        <f t="shared" si="226"/>
        <v>-82.794762481425053</v>
      </c>
      <c r="DD84" s="12">
        <f t="shared" si="227"/>
        <v>-58.050028553666849</v>
      </c>
      <c r="DE84" s="12">
        <f t="shared" si="228"/>
        <v>-66.330510919763071</v>
      </c>
      <c r="DF84" s="12">
        <f t="shared" si="229"/>
        <v>-61.574557879131007</v>
      </c>
      <c r="DG84" s="12">
        <f t="shared" si="230"/>
        <v>-67.986502383136383</v>
      </c>
      <c r="DH84" s="12">
        <f t="shared" si="231"/>
        <v>-64.549564335542513</v>
      </c>
      <c r="DI84" s="12">
        <f t="shared" si="232"/>
        <v>-77.597641819639662</v>
      </c>
      <c r="DJ84" t="s">
        <v>22</v>
      </c>
      <c r="DK84" t="str">
        <f t="shared" si="253"/>
        <v>LL</v>
      </c>
      <c r="DL84" t="str">
        <f t="shared" si="257"/>
        <v>LL</v>
      </c>
      <c r="DM84" t="str">
        <f t="shared" si="261"/>
        <v>HL</v>
      </c>
      <c r="DN84" t="str">
        <f t="shared" si="269"/>
        <v>LL</v>
      </c>
      <c r="DO84" t="str">
        <f t="shared" si="277"/>
        <v>HL</v>
      </c>
      <c r="DP84" t="str">
        <f t="shared" si="285"/>
        <v>LL</v>
      </c>
      <c r="DQ84" t="str">
        <f t="shared" si="293"/>
        <v>HL</v>
      </c>
      <c r="DR84" t="str">
        <f t="shared" si="301"/>
        <v>HL</v>
      </c>
      <c r="DS84" t="str">
        <f t="shared" ref="DS84:DS115" si="309">DJ66</f>
        <v>LL</v>
      </c>
      <c r="DT84" t="str">
        <f t="shared" si="207"/>
        <v>HL</v>
      </c>
      <c r="DU84" t="str">
        <f t="shared" si="215"/>
        <v>LL</v>
      </c>
      <c r="DV84">
        <f t="shared" si="233"/>
        <v>-1.2066196993644251</v>
      </c>
      <c r="DW84">
        <f t="shared" si="234"/>
        <v>-1.1381023640582362</v>
      </c>
      <c r="DX84">
        <f t="shared" si="262"/>
        <v>-1.0361670645996608</v>
      </c>
      <c r="DY84">
        <f t="shared" si="270"/>
        <v>-2.5057167838046932</v>
      </c>
      <c r="DZ84">
        <f t="shared" si="278"/>
        <v>-0.21900326192958422</v>
      </c>
      <c r="EA84">
        <f t="shared" si="286"/>
        <v>-0.56978679759221829</v>
      </c>
      <c r="EB84">
        <f t="shared" si="294"/>
        <v>-0.15090627837374926</v>
      </c>
      <c r="EC84">
        <f t="shared" si="302"/>
        <v>-1.1446178161885874</v>
      </c>
      <c r="ED84">
        <f t="shared" ref="ED84:ED115" si="310">IFERROR(((O84-$F84)/$F84)*100,0)</f>
        <v>-1.2486548743988939</v>
      </c>
      <c r="EE84">
        <f t="shared" si="208"/>
        <v>0.27953391397922162</v>
      </c>
      <c r="EF84">
        <f t="shared" si="216"/>
        <v>-3.1528483034603401</v>
      </c>
      <c r="EG84" s="13" t="str">
        <f t="shared" si="235"/>
        <v/>
      </c>
      <c r="EH84" s="13" t="str">
        <f t="shared" si="236"/>
        <v/>
      </c>
      <c r="EI84" s="13" t="str">
        <f t="shared" si="237"/>
        <v/>
      </c>
      <c r="EJ84" s="13" t="str">
        <f t="shared" si="238"/>
        <v/>
      </c>
      <c r="EK84" s="13" t="str">
        <f t="shared" si="239"/>
        <v>EQL</v>
      </c>
      <c r="EL84" s="13" t="str">
        <f t="shared" si="240"/>
        <v/>
      </c>
      <c r="EM84" s="13" t="str">
        <f t="shared" si="241"/>
        <v>EQL</v>
      </c>
      <c r="EN84" s="13" t="str">
        <f t="shared" si="242"/>
        <v/>
      </c>
      <c r="EO84" s="13" t="str">
        <f t="shared" si="243"/>
        <v/>
      </c>
      <c r="EP84" s="13" t="str">
        <f t="shared" si="244"/>
        <v/>
      </c>
      <c r="EQ84" s="13" t="str">
        <f t="shared" si="245"/>
        <v/>
      </c>
    </row>
    <row r="85" spans="1:147" ht="14.25" customHeight="1" x14ac:dyDescent="0.55000000000000004">
      <c r="A85">
        <v>1776150004</v>
      </c>
      <c r="B85" t="s">
        <v>16</v>
      </c>
      <c r="C85" t="s">
        <v>17</v>
      </c>
      <c r="D85">
        <v>4790.2</v>
      </c>
      <c r="E85" t="s">
        <v>20</v>
      </c>
      <c r="F85">
        <v>4796.16</v>
      </c>
      <c r="G85">
        <v>4777.24</v>
      </c>
      <c r="H85">
        <v>4744.59</v>
      </c>
      <c r="I85">
        <f t="shared" si="258"/>
        <v>4740.01</v>
      </c>
      <c r="J85">
        <f t="shared" si="266"/>
        <v>4728.3599999999997</v>
      </c>
      <c r="K85">
        <f t="shared" si="274"/>
        <v>4773.08</v>
      </c>
      <c r="L85">
        <f t="shared" si="282"/>
        <v>4794.96</v>
      </c>
      <c r="M85">
        <f t="shared" si="290"/>
        <v>4777.3100000000004</v>
      </c>
      <c r="N85">
        <f t="shared" si="298"/>
        <v>4800.93</v>
      </c>
      <c r="O85">
        <f t="shared" si="306"/>
        <v>4733.0200000000004</v>
      </c>
      <c r="P85">
        <f t="shared" si="204"/>
        <v>4807.34</v>
      </c>
      <c r="Q85">
        <f t="shared" si="212"/>
        <v>4857.37</v>
      </c>
      <c r="R85">
        <v>38.24</v>
      </c>
      <c r="S85">
        <f t="shared" si="246"/>
        <v>76.729999999999563</v>
      </c>
      <c r="T85">
        <f t="shared" si="247"/>
        <v>40.819999999999709</v>
      </c>
      <c r="U85">
        <f t="shared" si="263"/>
        <v>31.390000000000327</v>
      </c>
      <c r="V85">
        <f t="shared" si="271"/>
        <v>89.659999999999854</v>
      </c>
      <c r="W85">
        <f t="shared" si="279"/>
        <v>25.579999999999927</v>
      </c>
      <c r="X85">
        <f t="shared" si="287"/>
        <v>64.149999999999636</v>
      </c>
      <c r="Y85">
        <f t="shared" si="295"/>
        <v>26.570000000000618</v>
      </c>
      <c r="Z85">
        <f t="shared" si="303"/>
        <v>97.470000000000255</v>
      </c>
      <c r="AA85">
        <f t="shared" ref="AA85:AA116" si="311">O85-O84</f>
        <v>34.510000000000218</v>
      </c>
      <c r="AB85">
        <f t="shared" si="209"/>
        <v>36.119999999999891</v>
      </c>
      <c r="AC85">
        <f t="shared" si="217"/>
        <v>249.46000000000004</v>
      </c>
      <c r="AD85">
        <v>0.8</v>
      </c>
      <c r="AE85" s="14">
        <f t="shared" si="248"/>
        <v>1.6323760613209961</v>
      </c>
      <c r="AF85" s="14">
        <f t="shared" si="249"/>
        <v>0.86781454025174931</v>
      </c>
      <c r="AG85" s="14">
        <f t="shared" si="264"/>
        <v>0.66664967655067364</v>
      </c>
      <c r="AH85" s="14">
        <f t="shared" si="272"/>
        <v>1.9328691228145785</v>
      </c>
      <c r="AI85" s="14">
        <f t="shared" si="280"/>
        <v>0.53880989994733919</v>
      </c>
      <c r="AJ85" s="14">
        <f t="shared" si="288"/>
        <v>1.3560045742695148</v>
      </c>
      <c r="AK85" s="14">
        <f t="shared" si="296"/>
        <v>0.55928129091469159</v>
      </c>
      <c r="AL85" s="14">
        <f t="shared" si="304"/>
        <v>2.0723042185965279</v>
      </c>
      <c r="AM85" s="14">
        <f t="shared" ref="AM85:AM116" si="312">(AA85/O84)*100</f>
        <v>0.73448816752545421</v>
      </c>
      <c r="AN85" s="14">
        <f t="shared" si="210"/>
        <v>0.75703908015140542</v>
      </c>
      <c r="AO85" s="14">
        <f t="shared" si="218"/>
        <v>5.4137342092184975</v>
      </c>
      <c r="AP85">
        <v>0</v>
      </c>
      <c r="AQ85">
        <f t="shared" si="250"/>
        <v>0</v>
      </c>
      <c r="AR85">
        <f t="shared" si="254"/>
        <v>0</v>
      </c>
      <c r="AS85">
        <f t="shared" si="259"/>
        <v>0</v>
      </c>
      <c r="AT85">
        <f t="shared" si="267"/>
        <v>0</v>
      </c>
      <c r="AU85">
        <f t="shared" si="275"/>
        <v>0</v>
      </c>
      <c r="AV85">
        <f t="shared" si="283"/>
        <v>0</v>
      </c>
      <c r="AW85">
        <f t="shared" si="291"/>
        <v>0</v>
      </c>
      <c r="AX85">
        <f t="shared" si="299"/>
        <v>0</v>
      </c>
      <c r="AY85">
        <f t="shared" si="307"/>
        <v>0</v>
      </c>
      <c r="AZ85">
        <f t="shared" si="205"/>
        <v>0</v>
      </c>
      <c r="BA85">
        <f t="shared" si="213"/>
        <v>2</v>
      </c>
      <c r="BB85">
        <v>6</v>
      </c>
      <c r="BC85">
        <f t="shared" si="251"/>
        <v>43</v>
      </c>
      <c r="BD85">
        <f t="shared" si="255"/>
        <v>8</v>
      </c>
      <c r="BE85">
        <f t="shared" si="260"/>
        <v>15</v>
      </c>
      <c r="BF85">
        <f t="shared" si="268"/>
        <v>15</v>
      </c>
      <c r="BG85">
        <f t="shared" si="276"/>
        <v>10</v>
      </c>
      <c r="BH85">
        <f t="shared" si="284"/>
        <v>23</v>
      </c>
      <c r="BI85">
        <f t="shared" si="292"/>
        <v>6</v>
      </c>
      <c r="BJ85">
        <f t="shared" si="300"/>
        <v>43</v>
      </c>
      <c r="BK85">
        <f t="shared" si="308"/>
        <v>11</v>
      </c>
      <c r="BL85">
        <f t="shared" si="206"/>
        <v>7</v>
      </c>
      <c r="BM85">
        <f t="shared" si="214"/>
        <v>36</v>
      </c>
      <c r="BZ85" s="12">
        <f t="shared" si="220"/>
        <v>6.373333333333334</v>
      </c>
      <c r="CA85" s="12">
        <f t="shared" si="252"/>
        <v>1.7844186046511525</v>
      </c>
      <c r="CB85" s="12">
        <f t="shared" si="256"/>
        <v>5.1024999999999636</v>
      </c>
      <c r="CC85" s="12">
        <f t="shared" si="265"/>
        <v>2.0926666666666884</v>
      </c>
      <c r="CD85" s="12">
        <f t="shared" si="273"/>
        <v>5.9773333333333234</v>
      </c>
      <c r="CE85" s="12">
        <f t="shared" si="281"/>
        <v>2.5579999999999927</v>
      </c>
      <c r="CF85" s="12">
        <f t="shared" si="289"/>
        <v>2.7891304347825927</v>
      </c>
      <c r="CG85" s="12">
        <f t="shared" si="297"/>
        <v>4.4283333333334367</v>
      </c>
      <c r="CH85" s="12">
        <f t="shared" si="305"/>
        <v>2.2667441860465174</v>
      </c>
      <c r="CI85" s="12">
        <f t="shared" ref="CI85:CI116" si="313">IFERROR(AA85/BK85,0)</f>
        <v>3.1372727272727472</v>
      </c>
      <c r="CJ85" s="12">
        <f t="shared" si="211"/>
        <v>5.1599999999999842</v>
      </c>
      <c r="CK85" s="12">
        <f t="shared" si="219"/>
        <v>6.9294444444444458</v>
      </c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>
        <f t="shared" si="221"/>
        <v>81.082779193085045</v>
      </c>
      <c r="CY85" s="12">
        <f t="shared" si="222"/>
        <v>60.733441015265882</v>
      </c>
      <c r="CZ85" s="12">
        <f t="shared" si="223"/>
        <v>78.911577686867446</v>
      </c>
      <c r="DA85" s="12">
        <f t="shared" si="224"/>
        <v>64.458768015845365</v>
      </c>
      <c r="DB85" s="12">
        <f t="shared" si="225"/>
        <v>80.502448186615112</v>
      </c>
      <c r="DC85" s="12">
        <f t="shared" si="226"/>
        <v>68.647959962356097</v>
      </c>
      <c r="DD85" s="12">
        <f t="shared" si="227"/>
        <v>70.275482340083116</v>
      </c>
      <c r="DE85" s="12">
        <f t="shared" si="228"/>
        <v>77.274982448283495</v>
      </c>
      <c r="DF85" s="12">
        <f t="shared" si="229"/>
        <v>66.194780099488241</v>
      </c>
      <c r="DG85" s="12">
        <f t="shared" si="230"/>
        <v>72.320413218759455</v>
      </c>
      <c r="DH85" s="12">
        <f t="shared" si="231"/>
        <v>79.032127817338292</v>
      </c>
      <c r="DI85" s="12">
        <f t="shared" si="232"/>
        <v>81.788240397338924</v>
      </c>
      <c r="DJ85" t="s">
        <v>23</v>
      </c>
      <c r="DK85" t="str">
        <f t="shared" si="253"/>
        <v>HH</v>
      </c>
      <c r="DL85" t="str">
        <f t="shared" si="257"/>
        <v>HH</v>
      </c>
      <c r="DM85" t="str">
        <f t="shared" si="261"/>
        <v>HH</v>
      </c>
      <c r="DN85" t="str">
        <f t="shared" si="269"/>
        <v>LH</v>
      </c>
      <c r="DO85" t="str">
        <f t="shared" si="277"/>
        <v>LH</v>
      </c>
      <c r="DP85" t="str">
        <f t="shared" si="285"/>
        <v>HH</v>
      </c>
      <c r="DQ85" t="str">
        <f t="shared" si="293"/>
        <v>LH</v>
      </c>
      <c r="DR85" t="str">
        <f t="shared" si="301"/>
        <v>HH</v>
      </c>
      <c r="DS85" t="str">
        <f t="shared" si="309"/>
        <v>LH</v>
      </c>
      <c r="DT85" t="str">
        <f t="shared" si="207"/>
        <v>LH</v>
      </c>
      <c r="DU85" t="str">
        <f t="shared" si="215"/>
        <v>HH</v>
      </c>
      <c r="DV85">
        <f t="shared" si="233"/>
        <v>-0.3944822524686431</v>
      </c>
      <c r="DW85">
        <f t="shared" si="234"/>
        <v>-1.0752351881505144</v>
      </c>
      <c r="DX85">
        <f t="shared" si="262"/>
        <v>-1.170728249266072</v>
      </c>
      <c r="DY85">
        <f t="shared" si="270"/>
        <v>-1.4136309047237827</v>
      </c>
      <c r="DZ85">
        <f t="shared" si="278"/>
        <v>-0.4812183079797156</v>
      </c>
      <c r="EA85">
        <f t="shared" si="286"/>
        <v>-2.5020016012806456E-2</v>
      </c>
      <c r="EB85">
        <f t="shared" si="294"/>
        <v>-0.39302275153454957</v>
      </c>
      <c r="EC85">
        <f t="shared" si="302"/>
        <v>9.9454563650929848E-2</v>
      </c>
      <c r="ED85">
        <f t="shared" si="310"/>
        <v>-1.3164698425406871</v>
      </c>
      <c r="EE85">
        <f t="shared" si="208"/>
        <v>0.23310314918602157</v>
      </c>
      <c r="EF85">
        <f t="shared" si="216"/>
        <v>1.2762293167867635</v>
      </c>
      <c r="EG85" s="13" t="str">
        <f t="shared" si="235"/>
        <v/>
      </c>
      <c r="EH85" s="13" t="str">
        <f t="shared" si="236"/>
        <v/>
      </c>
      <c r="EI85" s="13" t="str">
        <f t="shared" si="237"/>
        <v/>
      </c>
      <c r="EJ85" s="13" t="str">
        <f t="shared" si="238"/>
        <v/>
      </c>
      <c r="EK85" s="13" t="str">
        <f t="shared" si="239"/>
        <v/>
      </c>
      <c r="EL85" s="13" t="str">
        <f t="shared" si="240"/>
        <v/>
      </c>
      <c r="EM85" s="13" t="str">
        <f t="shared" si="241"/>
        <v/>
      </c>
      <c r="EN85" s="13" t="str">
        <f t="shared" si="242"/>
        <v/>
      </c>
      <c r="EO85" s="13" t="str">
        <f t="shared" si="243"/>
        <v/>
      </c>
      <c r="EP85" s="13" t="str">
        <f t="shared" si="244"/>
        <v/>
      </c>
      <c r="EQ85" s="13" t="str">
        <f t="shared" si="245"/>
        <v/>
      </c>
    </row>
    <row r="86" spans="1:147" ht="14.25" customHeight="1" x14ac:dyDescent="0.55000000000000004">
      <c r="A86">
        <v>1776162604</v>
      </c>
      <c r="B86" t="s">
        <v>16</v>
      </c>
      <c r="C86" t="s">
        <v>17</v>
      </c>
      <c r="D86">
        <v>4767.71</v>
      </c>
      <c r="E86" t="s">
        <v>18</v>
      </c>
      <c r="F86">
        <v>4752.6000000000004</v>
      </c>
      <c r="G86">
        <v>4757.92</v>
      </c>
      <c r="H86">
        <v>4700.51</v>
      </c>
      <c r="I86">
        <f t="shared" si="258"/>
        <v>4703.7700000000004</v>
      </c>
      <c r="J86">
        <f t="shared" si="266"/>
        <v>4708.62</v>
      </c>
      <c r="K86">
        <f t="shared" si="274"/>
        <v>4638.7</v>
      </c>
      <c r="L86">
        <f t="shared" si="282"/>
        <v>4747.5</v>
      </c>
      <c r="M86">
        <f t="shared" si="290"/>
        <v>4730.8100000000004</v>
      </c>
      <c r="N86">
        <f t="shared" si="298"/>
        <v>4750.74</v>
      </c>
      <c r="O86">
        <f t="shared" si="306"/>
        <v>4703.46</v>
      </c>
      <c r="P86">
        <f t="shared" ref="P86:P117" si="314">F66</f>
        <v>4698.51</v>
      </c>
      <c r="Q86">
        <f t="shared" si="212"/>
        <v>4771.22</v>
      </c>
      <c r="R86">
        <v>-43.56</v>
      </c>
      <c r="S86">
        <f t="shared" si="246"/>
        <v>-19.319999999999709</v>
      </c>
      <c r="T86">
        <f t="shared" si="247"/>
        <v>-44.079999999999927</v>
      </c>
      <c r="U86">
        <f t="shared" si="263"/>
        <v>-36.239999999999782</v>
      </c>
      <c r="V86">
        <f t="shared" si="271"/>
        <v>-19.739999999999782</v>
      </c>
      <c r="W86">
        <f t="shared" si="279"/>
        <v>-134.38000000000011</v>
      </c>
      <c r="X86">
        <f t="shared" si="287"/>
        <v>-47.460000000000036</v>
      </c>
      <c r="Y86">
        <f t="shared" si="295"/>
        <v>-46.5</v>
      </c>
      <c r="Z86">
        <f t="shared" si="303"/>
        <v>-50.190000000000509</v>
      </c>
      <c r="AA86">
        <f t="shared" si="311"/>
        <v>-29.5600000000004</v>
      </c>
      <c r="AB86">
        <f t="shared" si="209"/>
        <v>-108.82999999999993</v>
      </c>
      <c r="AC86">
        <f t="shared" si="217"/>
        <v>-86.149999999999636</v>
      </c>
      <c r="AD86">
        <v>-0.91</v>
      </c>
      <c r="AE86" s="14">
        <f t="shared" si="248"/>
        <v>-0.40441761351742245</v>
      </c>
      <c r="AF86" s="14">
        <f t="shared" si="249"/>
        <v>-0.9290581483331527</v>
      </c>
      <c r="AG86" s="14">
        <f t="shared" si="264"/>
        <v>-0.7645553490393433</v>
      </c>
      <c r="AH86" s="14">
        <f t="shared" si="272"/>
        <v>-0.41748090246935055</v>
      </c>
      <c r="AI86" s="14">
        <f t="shared" si="280"/>
        <v>-2.8153728829183695</v>
      </c>
      <c r="AJ86" s="14">
        <f t="shared" si="288"/>
        <v>-0.98978927874268063</v>
      </c>
      <c r="AK86" s="14">
        <f t="shared" si="296"/>
        <v>-0.97335111181815703</v>
      </c>
      <c r="AL86" s="14">
        <f t="shared" si="304"/>
        <v>-1.0454224494004394</v>
      </c>
      <c r="AM86" s="14">
        <f t="shared" si="312"/>
        <v>-0.62454838559736481</v>
      </c>
      <c r="AN86" s="14">
        <f t="shared" si="210"/>
        <v>-2.2638298934545906</v>
      </c>
      <c r="AO86" s="14">
        <f t="shared" si="218"/>
        <v>-1.7735935290084888</v>
      </c>
      <c r="AP86">
        <v>3</v>
      </c>
      <c r="AQ86">
        <f t="shared" si="250"/>
        <v>3</v>
      </c>
      <c r="AR86">
        <f t="shared" si="254"/>
        <v>3</v>
      </c>
      <c r="AS86">
        <f t="shared" si="259"/>
        <v>3</v>
      </c>
      <c r="AT86">
        <f t="shared" si="267"/>
        <v>3</v>
      </c>
      <c r="AU86">
        <f t="shared" si="275"/>
        <v>3</v>
      </c>
      <c r="AV86">
        <f t="shared" si="283"/>
        <v>3</v>
      </c>
      <c r="AW86">
        <f t="shared" si="291"/>
        <v>3</v>
      </c>
      <c r="AX86">
        <f t="shared" si="299"/>
        <v>3</v>
      </c>
      <c r="AY86">
        <f t="shared" si="307"/>
        <v>3</v>
      </c>
      <c r="AZ86">
        <f t="shared" ref="AZ86:AZ117" si="315">AP66</f>
        <v>3</v>
      </c>
      <c r="BA86">
        <f t="shared" si="213"/>
        <v>3</v>
      </c>
      <c r="BB86">
        <v>14</v>
      </c>
      <c r="BC86">
        <f t="shared" si="251"/>
        <v>11</v>
      </c>
      <c r="BD86">
        <f t="shared" si="255"/>
        <v>5</v>
      </c>
      <c r="BE86">
        <f t="shared" si="260"/>
        <v>16</v>
      </c>
      <c r="BF86">
        <f t="shared" si="268"/>
        <v>9</v>
      </c>
      <c r="BG86">
        <f t="shared" si="276"/>
        <v>10</v>
      </c>
      <c r="BH86">
        <f t="shared" si="284"/>
        <v>6</v>
      </c>
      <c r="BI86">
        <f t="shared" si="292"/>
        <v>29</v>
      </c>
      <c r="BJ86">
        <f t="shared" si="300"/>
        <v>22</v>
      </c>
      <c r="BK86">
        <f t="shared" si="308"/>
        <v>16</v>
      </c>
      <c r="BL86">
        <f t="shared" ref="BL86:BL117" si="316">BB66</f>
        <v>44</v>
      </c>
      <c r="BM86">
        <f t="shared" si="214"/>
        <v>41</v>
      </c>
      <c r="BZ86" s="12">
        <f t="shared" si="220"/>
        <v>-3.1114285714285717</v>
      </c>
      <c r="CA86" s="12">
        <f t="shared" si="252"/>
        <v>-1.7563636363636099</v>
      </c>
      <c r="CB86" s="12">
        <f t="shared" si="256"/>
        <v>-8.8159999999999847</v>
      </c>
      <c r="CC86" s="12">
        <f t="shared" si="265"/>
        <v>-2.2649999999999864</v>
      </c>
      <c r="CD86" s="12">
        <f t="shared" si="273"/>
        <v>-2.1933333333333089</v>
      </c>
      <c r="CE86" s="12">
        <f t="shared" si="281"/>
        <v>-13.438000000000011</v>
      </c>
      <c r="CF86" s="12">
        <f t="shared" si="289"/>
        <v>-7.9100000000000064</v>
      </c>
      <c r="CG86" s="12">
        <f t="shared" si="297"/>
        <v>-1.603448275862069</v>
      </c>
      <c r="CH86" s="12">
        <f t="shared" si="305"/>
        <v>-2.2813636363636594</v>
      </c>
      <c r="CI86" s="12">
        <f t="shared" si="313"/>
        <v>-1.847500000000025</v>
      </c>
      <c r="CJ86" s="12">
        <f t="shared" si="211"/>
        <v>-2.4734090909090893</v>
      </c>
      <c r="CK86" s="12">
        <f t="shared" si="219"/>
        <v>-2.1012195121951129</v>
      </c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>
        <f t="shared" si="221"/>
        <v>-72.18281418813153</v>
      </c>
      <c r="CY86" s="12">
        <f t="shared" si="222"/>
        <v>-60.344623307017628</v>
      </c>
      <c r="CZ86" s="12">
        <f t="shared" si="223"/>
        <v>-83.528592419684202</v>
      </c>
      <c r="DA86" s="12">
        <f t="shared" si="224"/>
        <v>-66.178488668776396</v>
      </c>
      <c r="DB86" s="12">
        <f t="shared" si="225"/>
        <v>-65.490474431646135</v>
      </c>
      <c r="DC86" s="12">
        <f t="shared" si="226"/>
        <v>-85.74413105056253</v>
      </c>
      <c r="DD86" s="12">
        <f t="shared" si="227"/>
        <v>-82.794762481425053</v>
      </c>
      <c r="DE86" s="12">
        <f t="shared" si="228"/>
        <v>-58.050028553666849</v>
      </c>
      <c r="DF86" s="12">
        <f t="shared" si="229"/>
        <v>-66.330510919763071</v>
      </c>
      <c r="DG86" s="12">
        <f t="shared" si="230"/>
        <v>-61.574557879131007</v>
      </c>
      <c r="DH86" s="12">
        <f t="shared" si="231"/>
        <v>-67.986502383136383</v>
      </c>
      <c r="DI86" s="12">
        <f t="shared" si="232"/>
        <v>-64.549564335542513</v>
      </c>
      <c r="DJ86" t="s">
        <v>19</v>
      </c>
      <c r="DK86" t="str">
        <f t="shared" si="253"/>
        <v>HL</v>
      </c>
      <c r="DL86" t="str">
        <f t="shared" si="257"/>
        <v>LL</v>
      </c>
      <c r="DM86" t="str">
        <f t="shared" si="261"/>
        <v>LL</v>
      </c>
      <c r="DN86" t="str">
        <f t="shared" si="269"/>
        <v>HL</v>
      </c>
      <c r="DO86" t="str">
        <f t="shared" si="277"/>
        <v>LL</v>
      </c>
      <c r="DP86" t="str">
        <f t="shared" si="285"/>
        <v>HL</v>
      </c>
      <c r="DQ86" t="str">
        <f t="shared" si="293"/>
        <v>LL</v>
      </c>
      <c r="DR86" t="str">
        <f t="shared" si="301"/>
        <v>HL</v>
      </c>
      <c r="DS86" t="str">
        <f t="shared" si="309"/>
        <v>HL</v>
      </c>
      <c r="DT86" t="str">
        <f t="shared" ref="DT86:DT117" si="317">DJ66</f>
        <v>LL</v>
      </c>
      <c r="DU86" t="str">
        <f t="shared" si="215"/>
        <v>HL</v>
      </c>
      <c r="DV86">
        <f t="shared" si="233"/>
        <v>0.11193872827504332</v>
      </c>
      <c r="DW86">
        <f t="shared" si="234"/>
        <v>-1.0960316458359665</v>
      </c>
      <c r="DX86">
        <f t="shared" si="262"/>
        <v>-1.0274376130959879</v>
      </c>
      <c r="DY86">
        <f t="shared" si="270"/>
        <v>-0.92538820855953519</v>
      </c>
      <c r="DZ86">
        <f t="shared" si="278"/>
        <v>-2.3965829230316151</v>
      </c>
      <c r="EA86">
        <f t="shared" si="286"/>
        <v>-0.10730968312082573</v>
      </c>
      <c r="EB86">
        <f t="shared" si="294"/>
        <v>-0.45848588141227881</v>
      </c>
      <c r="EC86">
        <f t="shared" si="302"/>
        <v>-3.913647266760472E-2</v>
      </c>
      <c r="ED86">
        <f t="shared" si="310"/>
        <v>-1.033960358540595</v>
      </c>
      <c r="EE86">
        <f t="shared" ref="EE86:EE117" si="318">IFERROR(((P86-$F86)/$F86)*100,0)</f>
        <v>-1.138113874510797</v>
      </c>
      <c r="EF86">
        <f t="shared" si="216"/>
        <v>0.39178554896267076</v>
      </c>
      <c r="EG86" s="13" t="str">
        <f t="shared" si="235"/>
        <v>EQL</v>
      </c>
      <c r="EH86" s="13" t="str">
        <f t="shared" si="236"/>
        <v/>
      </c>
      <c r="EI86" s="13" t="str">
        <f t="shared" si="237"/>
        <v/>
      </c>
      <c r="EJ86" s="13" t="str">
        <f t="shared" si="238"/>
        <v/>
      </c>
      <c r="EK86" s="13" t="str">
        <f t="shared" si="239"/>
        <v/>
      </c>
      <c r="EL86" s="13" t="str">
        <f t="shared" si="240"/>
        <v>EQL</v>
      </c>
      <c r="EM86" s="13" t="str">
        <f t="shared" si="241"/>
        <v/>
      </c>
      <c r="EN86" s="13" t="str">
        <f t="shared" si="242"/>
        <v>EQL</v>
      </c>
      <c r="EO86" s="13" t="str">
        <f t="shared" si="243"/>
        <v/>
      </c>
      <c r="EP86" s="13" t="str">
        <f t="shared" si="244"/>
        <v/>
      </c>
      <c r="EQ86" s="13" t="str">
        <f t="shared" si="245"/>
        <v/>
      </c>
    </row>
    <row r="87" spans="1:147" ht="14.25" customHeight="1" x14ac:dyDescent="0.55000000000000004">
      <c r="A87">
        <v>1776204004</v>
      </c>
      <c r="B87" t="s">
        <v>16</v>
      </c>
      <c r="C87" t="s">
        <v>17</v>
      </c>
      <c r="D87">
        <v>4844.74</v>
      </c>
      <c r="E87" t="s">
        <v>20</v>
      </c>
      <c r="F87">
        <v>4850.7700000000004</v>
      </c>
      <c r="G87">
        <v>4796.16</v>
      </c>
      <c r="H87">
        <v>4777.24</v>
      </c>
      <c r="I87">
        <f t="shared" si="258"/>
        <v>4744.59</v>
      </c>
      <c r="J87">
        <f t="shared" si="266"/>
        <v>4740.01</v>
      </c>
      <c r="K87">
        <f t="shared" si="274"/>
        <v>4728.3599999999997</v>
      </c>
      <c r="L87">
        <f t="shared" si="282"/>
        <v>4773.08</v>
      </c>
      <c r="M87">
        <f t="shared" si="290"/>
        <v>4794.96</v>
      </c>
      <c r="N87">
        <f t="shared" si="298"/>
        <v>4777.3100000000004</v>
      </c>
      <c r="O87">
        <f t="shared" si="306"/>
        <v>4800.93</v>
      </c>
      <c r="P87">
        <f t="shared" si="314"/>
        <v>4733.0200000000004</v>
      </c>
      <c r="Q87">
        <f t="shared" si="212"/>
        <v>4807.34</v>
      </c>
      <c r="R87">
        <v>98.17</v>
      </c>
      <c r="S87">
        <f t="shared" si="246"/>
        <v>38.239999999999782</v>
      </c>
      <c r="T87">
        <f t="shared" si="247"/>
        <v>76.729999999999563</v>
      </c>
      <c r="U87">
        <f t="shared" si="263"/>
        <v>40.819999999999709</v>
      </c>
      <c r="V87">
        <f t="shared" si="271"/>
        <v>31.390000000000327</v>
      </c>
      <c r="W87">
        <f t="shared" si="279"/>
        <v>89.659999999999854</v>
      </c>
      <c r="X87">
        <f t="shared" si="287"/>
        <v>25.579999999999927</v>
      </c>
      <c r="Y87">
        <f t="shared" si="295"/>
        <v>64.149999999999636</v>
      </c>
      <c r="Z87">
        <f t="shared" si="303"/>
        <v>26.570000000000618</v>
      </c>
      <c r="AA87">
        <f t="shared" si="311"/>
        <v>97.470000000000255</v>
      </c>
      <c r="AB87">
        <f t="shared" ref="AB87:AB118" si="319">P87-P86</f>
        <v>34.510000000000218</v>
      </c>
      <c r="AC87">
        <f t="shared" si="217"/>
        <v>36.119999999999891</v>
      </c>
      <c r="AD87">
        <v>2.0699999999999998</v>
      </c>
      <c r="AE87" s="14">
        <f t="shared" si="248"/>
        <v>0.80371254665903979</v>
      </c>
      <c r="AF87" s="14">
        <f t="shared" si="249"/>
        <v>1.6323760613209961</v>
      </c>
      <c r="AG87" s="14">
        <f t="shared" si="264"/>
        <v>0.86781454025174931</v>
      </c>
      <c r="AH87" s="14">
        <f t="shared" si="272"/>
        <v>0.66664967655067364</v>
      </c>
      <c r="AI87" s="14">
        <f t="shared" si="280"/>
        <v>1.9328691228145785</v>
      </c>
      <c r="AJ87" s="14">
        <f t="shared" si="288"/>
        <v>0.53880989994733919</v>
      </c>
      <c r="AK87" s="14">
        <f t="shared" si="296"/>
        <v>1.3560045742695148</v>
      </c>
      <c r="AL87" s="14">
        <f t="shared" si="304"/>
        <v>0.55928129091469159</v>
      </c>
      <c r="AM87" s="14">
        <f t="shared" si="312"/>
        <v>2.0723042185965279</v>
      </c>
      <c r="AN87" s="14">
        <f t="shared" ref="AN87:AN118" si="320">(AB87/P86)*100</f>
        <v>0.73448816752545421</v>
      </c>
      <c r="AO87" s="14">
        <f t="shared" si="218"/>
        <v>0.75703908015140542</v>
      </c>
      <c r="AP87">
        <v>0</v>
      </c>
      <c r="AQ87">
        <f t="shared" si="250"/>
        <v>0</v>
      </c>
      <c r="AR87">
        <f t="shared" si="254"/>
        <v>0</v>
      </c>
      <c r="AS87">
        <f t="shared" si="259"/>
        <v>0</v>
      </c>
      <c r="AT87">
        <f t="shared" si="267"/>
        <v>0</v>
      </c>
      <c r="AU87">
        <f t="shared" si="275"/>
        <v>0</v>
      </c>
      <c r="AV87">
        <f t="shared" si="283"/>
        <v>0</v>
      </c>
      <c r="AW87">
        <f t="shared" si="291"/>
        <v>0</v>
      </c>
      <c r="AX87">
        <f t="shared" si="299"/>
        <v>0</v>
      </c>
      <c r="AY87">
        <f t="shared" si="307"/>
        <v>0</v>
      </c>
      <c r="AZ87">
        <f t="shared" si="315"/>
        <v>0</v>
      </c>
      <c r="BA87">
        <f t="shared" si="213"/>
        <v>0</v>
      </c>
      <c r="BB87">
        <v>42</v>
      </c>
      <c r="BC87">
        <f t="shared" si="251"/>
        <v>6</v>
      </c>
      <c r="BD87">
        <f t="shared" si="255"/>
        <v>43</v>
      </c>
      <c r="BE87">
        <f t="shared" si="260"/>
        <v>8</v>
      </c>
      <c r="BF87">
        <f t="shared" si="268"/>
        <v>15</v>
      </c>
      <c r="BG87">
        <f t="shared" si="276"/>
        <v>15</v>
      </c>
      <c r="BH87">
        <f t="shared" si="284"/>
        <v>10</v>
      </c>
      <c r="BI87">
        <f t="shared" si="292"/>
        <v>23</v>
      </c>
      <c r="BJ87">
        <f t="shared" si="300"/>
        <v>6</v>
      </c>
      <c r="BK87">
        <f t="shared" si="308"/>
        <v>43</v>
      </c>
      <c r="BL87">
        <f t="shared" si="316"/>
        <v>11</v>
      </c>
      <c r="BM87">
        <f t="shared" si="214"/>
        <v>7</v>
      </c>
      <c r="BZ87" s="12">
        <f t="shared" si="220"/>
        <v>2.3373809523809523</v>
      </c>
      <c r="CA87" s="12">
        <f t="shared" si="252"/>
        <v>6.3733333333332967</v>
      </c>
      <c r="CB87" s="12">
        <f t="shared" si="256"/>
        <v>1.7844186046511525</v>
      </c>
      <c r="CC87" s="12">
        <f t="shared" si="265"/>
        <v>5.1024999999999636</v>
      </c>
      <c r="CD87" s="12">
        <f t="shared" si="273"/>
        <v>2.0926666666666884</v>
      </c>
      <c r="CE87" s="12">
        <f t="shared" si="281"/>
        <v>5.9773333333333234</v>
      </c>
      <c r="CF87" s="12">
        <f t="shared" si="289"/>
        <v>2.5579999999999927</v>
      </c>
      <c r="CG87" s="12">
        <f t="shared" si="297"/>
        <v>2.7891304347825927</v>
      </c>
      <c r="CH87" s="12">
        <f t="shared" si="305"/>
        <v>4.4283333333334367</v>
      </c>
      <c r="CI87" s="12">
        <f t="shared" si="313"/>
        <v>2.2667441860465174</v>
      </c>
      <c r="CJ87" s="12">
        <f t="shared" ref="CJ87:CJ118" si="321">IFERROR(AB87/BL87,0)</f>
        <v>3.1372727272727472</v>
      </c>
      <c r="CK87" s="12">
        <f t="shared" si="219"/>
        <v>5.1599999999999842</v>
      </c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>
        <f t="shared" si="221"/>
        <v>66.837343085781882</v>
      </c>
      <c r="CY87" s="12">
        <f t="shared" si="222"/>
        <v>81.082779193084988</v>
      </c>
      <c r="CZ87" s="12">
        <f t="shared" si="223"/>
        <v>60.733441015265882</v>
      </c>
      <c r="DA87" s="12">
        <f t="shared" si="224"/>
        <v>78.911577686867446</v>
      </c>
      <c r="DB87" s="12">
        <f t="shared" si="225"/>
        <v>64.458768015845365</v>
      </c>
      <c r="DC87" s="12">
        <f t="shared" si="226"/>
        <v>80.502448186615112</v>
      </c>
      <c r="DD87" s="12">
        <f t="shared" si="227"/>
        <v>68.647959962356097</v>
      </c>
      <c r="DE87" s="12">
        <f t="shared" si="228"/>
        <v>70.275482340083116</v>
      </c>
      <c r="DF87" s="12">
        <f t="shared" si="229"/>
        <v>77.274982448283495</v>
      </c>
      <c r="DG87" s="12">
        <f t="shared" si="230"/>
        <v>66.194780099488241</v>
      </c>
      <c r="DH87" s="12">
        <f t="shared" si="231"/>
        <v>72.320413218759455</v>
      </c>
      <c r="DI87" s="12">
        <f t="shared" si="232"/>
        <v>79.032127817338292</v>
      </c>
      <c r="DJ87" t="s">
        <v>23</v>
      </c>
      <c r="DK87" t="str">
        <f t="shared" si="253"/>
        <v>HH</v>
      </c>
      <c r="DL87" t="str">
        <f t="shared" si="257"/>
        <v>HH</v>
      </c>
      <c r="DM87" t="str">
        <f t="shared" si="261"/>
        <v>HH</v>
      </c>
      <c r="DN87" t="str">
        <f t="shared" si="269"/>
        <v>HH</v>
      </c>
      <c r="DO87" t="str">
        <f t="shared" si="277"/>
        <v>LH</v>
      </c>
      <c r="DP87" t="str">
        <f t="shared" si="285"/>
        <v>LH</v>
      </c>
      <c r="DQ87" t="str">
        <f t="shared" si="293"/>
        <v>HH</v>
      </c>
      <c r="DR87" t="str">
        <f t="shared" si="301"/>
        <v>LH</v>
      </c>
      <c r="DS87" t="str">
        <f t="shared" si="309"/>
        <v>HH</v>
      </c>
      <c r="DT87" t="str">
        <f t="shared" si="317"/>
        <v>LH</v>
      </c>
      <c r="DU87" t="str">
        <f t="shared" si="215"/>
        <v>LH</v>
      </c>
      <c r="DV87">
        <f t="shared" si="233"/>
        <v>-1.1258006460830048</v>
      </c>
      <c r="DW87">
        <f t="shared" si="234"/>
        <v>-1.5158418148046733</v>
      </c>
      <c r="DX87">
        <f t="shared" si="262"/>
        <v>-2.1889308295384087</v>
      </c>
      <c r="DY87">
        <f t="shared" si="270"/>
        <v>-2.2833488291549631</v>
      </c>
      <c r="DZ87">
        <f t="shared" si="278"/>
        <v>-2.5235168849481782</v>
      </c>
      <c r="EA87">
        <f t="shared" si="286"/>
        <v>-1.6016013952424153</v>
      </c>
      <c r="EB87">
        <f t="shared" si="294"/>
        <v>-1.1505389865938891</v>
      </c>
      <c r="EC87">
        <f t="shared" si="302"/>
        <v>-1.5143987449415255</v>
      </c>
      <c r="ED87">
        <f t="shared" si="310"/>
        <v>-1.0274657425522162</v>
      </c>
      <c r="EE87">
        <f t="shared" si="318"/>
        <v>-2.427449662630881</v>
      </c>
      <c r="EF87">
        <f t="shared" si="216"/>
        <v>-0.89532177365655941</v>
      </c>
      <c r="EG87" s="13" t="str">
        <f t="shared" si="235"/>
        <v/>
      </c>
      <c r="EH87" s="13" t="str">
        <f t="shared" si="236"/>
        <v/>
      </c>
      <c r="EI87" s="13" t="str">
        <f t="shared" si="237"/>
        <v/>
      </c>
      <c r="EJ87" s="13" t="str">
        <f t="shared" si="238"/>
        <v/>
      </c>
      <c r="EK87" s="13" t="str">
        <f t="shared" si="239"/>
        <v/>
      </c>
      <c r="EL87" s="13" t="str">
        <f t="shared" si="240"/>
        <v/>
      </c>
      <c r="EM87" s="13" t="str">
        <f t="shared" si="241"/>
        <v/>
      </c>
      <c r="EN87" s="13" t="str">
        <f t="shared" si="242"/>
        <v/>
      </c>
      <c r="EO87" s="13" t="str">
        <f t="shared" si="243"/>
        <v/>
      </c>
      <c r="EP87" s="13" t="str">
        <f t="shared" si="244"/>
        <v/>
      </c>
      <c r="EQ87" s="13" t="str">
        <f t="shared" si="245"/>
        <v/>
      </c>
    </row>
    <row r="88" spans="1:147" ht="14.25" customHeight="1" x14ac:dyDescent="0.55000000000000004">
      <c r="A88">
        <v>1776213004</v>
      </c>
      <c r="B88" t="s">
        <v>16</v>
      </c>
      <c r="C88" t="s">
        <v>17</v>
      </c>
      <c r="D88">
        <v>4830.1099999999997</v>
      </c>
      <c r="E88" t="s">
        <v>18</v>
      </c>
      <c r="F88">
        <v>4827.08</v>
      </c>
      <c r="G88">
        <v>4752.6000000000004</v>
      </c>
      <c r="H88">
        <v>4757.92</v>
      </c>
      <c r="I88">
        <f t="shared" si="258"/>
        <v>4700.51</v>
      </c>
      <c r="J88">
        <f t="shared" si="266"/>
        <v>4703.7700000000004</v>
      </c>
      <c r="K88">
        <f t="shared" si="274"/>
        <v>4708.62</v>
      </c>
      <c r="L88">
        <f t="shared" si="282"/>
        <v>4638.7</v>
      </c>
      <c r="M88">
        <f t="shared" si="290"/>
        <v>4747.5</v>
      </c>
      <c r="N88">
        <f t="shared" si="298"/>
        <v>4730.8100000000004</v>
      </c>
      <c r="O88">
        <f t="shared" si="306"/>
        <v>4750.74</v>
      </c>
      <c r="P88">
        <f t="shared" si="314"/>
        <v>4703.46</v>
      </c>
      <c r="Q88">
        <f t="shared" ref="Q88:Q119" si="322">F66</f>
        <v>4698.51</v>
      </c>
      <c r="R88">
        <v>-23.69</v>
      </c>
      <c r="S88">
        <f t="shared" si="246"/>
        <v>-43.559999999999491</v>
      </c>
      <c r="T88">
        <f t="shared" si="247"/>
        <v>-19.319999999999709</v>
      </c>
      <c r="U88">
        <f t="shared" si="263"/>
        <v>-44.079999999999927</v>
      </c>
      <c r="V88">
        <f t="shared" si="271"/>
        <v>-36.239999999999782</v>
      </c>
      <c r="W88">
        <f t="shared" si="279"/>
        <v>-19.739999999999782</v>
      </c>
      <c r="X88">
        <f t="shared" si="287"/>
        <v>-134.38000000000011</v>
      </c>
      <c r="Y88">
        <f t="shared" si="295"/>
        <v>-47.460000000000036</v>
      </c>
      <c r="Z88">
        <f t="shared" si="303"/>
        <v>-46.5</v>
      </c>
      <c r="AA88">
        <f t="shared" si="311"/>
        <v>-50.190000000000509</v>
      </c>
      <c r="AB88">
        <f t="shared" si="319"/>
        <v>-29.5600000000004</v>
      </c>
      <c r="AC88">
        <f t="shared" si="217"/>
        <v>-108.82999999999993</v>
      </c>
      <c r="AD88">
        <v>-0.49</v>
      </c>
      <c r="AE88" s="14">
        <f t="shared" si="248"/>
        <v>-0.90822658126500144</v>
      </c>
      <c r="AF88" s="14">
        <f t="shared" si="249"/>
        <v>-0.40441761351742245</v>
      </c>
      <c r="AG88" s="14">
        <f t="shared" si="264"/>
        <v>-0.9290581483331527</v>
      </c>
      <c r="AH88" s="14">
        <f t="shared" si="272"/>
        <v>-0.7645553490393433</v>
      </c>
      <c r="AI88" s="14">
        <f t="shared" si="280"/>
        <v>-0.41748090246935055</v>
      </c>
      <c r="AJ88" s="14">
        <f t="shared" si="288"/>
        <v>-2.8153728829183695</v>
      </c>
      <c r="AK88" s="14">
        <f t="shared" si="296"/>
        <v>-0.98978927874268063</v>
      </c>
      <c r="AL88" s="14">
        <f t="shared" si="304"/>
        <v>-0.97335111181815703</v>
      </c>
      <c r="AM88" s="14">
        <f t="shared" si="312"/>
        <v>-1.0454224494004394</v>
      </c>
      <c r="AN88" s="14">
        <f t="shared" si="320"/>
        <v>-0.62454838559736481</v>
      </c>
      <c r="AO88" s="14">
        <f t="shared" si="218"/>
        <v>-2.2638298934545906</v>
      </c>
      <c r="AP88">
        <v>3</v>
      </c>
      <c r="AQ88">
        <f t="shared" si="250"/>
        <v>3</v>
      </c>
      <c r="AR88">
        <f t="shared" si="254"/>
        <v>3</v>
      </c>
      <c r="AS88">
        <f t="shared" si="259"/>
        <v>3</v>
      </c>
      <c r="AT88">
        <f t="shared" si="267"/>
        <v>3</v>
      </c>
      <c r="AU88">
        <f t="shared" si="275"/>
        <v>3</v>
      </c>
      <c r="AV88">
        <f t="shared" si="283"/>
        <v>3</v>
      </c>
      <c r="AW88">
        <f t="shared" si="291"/>
        <v>3</v>
      </c>
      <c r="AX88">
        <f t="shared" si="299"/>
        <v>3</v>
      </c>
      <c r="AY88">
        <f t="shared" si="307"/>
        <v>3</v>
      </c>
      <c r="AZ88">
        <f t="shared" si="315"/>
        <v>3</v>
      </c>
      <c r="BA88">
        <f t="shared" ref="BA88:BA119" si="323">AP66</f>
        <v>3</v>
      </c>
      <c r="BB88">
        <v>10</v>
      </c>
      <c r="BC88">
        <f t="shared" si="251"/>
        <v>14</v>
      </c>
      <c r="BD88">
        <f t="shared" si="255"/>
        <v>11</v>
      </c>
      <c r="BE88">
        <f t="shared" si="260"/>
        <v>5</v>
      </c>
      <c r="BF88">
        <f t="shared" si="268"/>
        <v>16</v>
      </c>
      <c r="BG88">
        <f t="shared" si="276"/>
        <v>9</v>
      </c>
      <c r="BH88">
        <f t="shared" si="284"/>
        <v>10</v>
      </c>
      <c r="BI88">
        <f t="shared" si="292"/>
        <v>6</v>
      </c>
      <c r="BJ88">
        <f t="shared" si="300"/>
        <v>29</v>
      </c>
      <c r="BK88">
        <f t="shared" si="308"/>
        <v>22</v>
      </c>
      <c r="BL88">
        <f t="shared" si="316"/>
        <v>16</v>
      </c>
      <c r="BM88">
        <f t="shared" ref="BM88:BM119" si="324">BB66</f>
        <v>44</v>
      </c>
      <c r="BZ88" s="12">
        <f t="shared" si="220"/>
        <v>-2.3690000000000002</v>
      </c>
      <c r="CA88" s="12">
        <f t="shared" si="252"/>
        <v>-3.1114285714285352</v>
      </c>
      <c r="CB88" s="12">
        <f t="shared" si="256"/>
        <v>-1.7563636363636099</v>
      </c>
      <c r="CC88" s="12">
        <f t="shared" si="265"/>
        <v>-8.8159999999999847</v>
      </c>
      <c r="CD88" s="12">
        <f t="shared" si="273"/>
        <v>-2.2649999999999864</v>
      </c>
      <c r="CE88" s="12">
        <f t="shared" si="281"/>
        <v>-2.1933333333333089</v>
      </c>
      <c r="CF88" s="12">
        <f t="shared" si="289"/>
        <v>-13.438000000000011</v>
      </c>
      <c r="CG88" s="12">
        <f t="shared" si="297"/>
        <v>-7.9100000000000064</v>
      </c>
      <c r="CH88" s="12">
        <f t="shared" si="305"/>
        <v>-1.603448275862069</v>
      </c>
      <c r="CI88" s="12">
        <f t="shared" si="313"/>
        <v>-2.2813636363636594</v>
      </c>
      <c r="CJ88" s="12">
        <f t="shared" si="321"/>
        <v>-1.847500000000025</v>
      </c>
      <c r="CK88" s="12">
        <f t="shared" si="219"/>
        <v>-2.4734090909090893</v>
      </c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>
        <f t="shared" si="221"/>
        <v>-67.114466086461221</v>
      </c>
      <c r="CY88" s="12">
        <f t="shared" si="222"/>
        <v>-72.182814188131331</v>
      </c>
      <c r="CZ88" s="12">
        <f t="shared" si="223"/>
        <v>-60.344623307017628</v>
      </c>
      <c r="DA88" s="12">
        <f t="shared" si="224"/>
        <v>-83.528592419684202</v>
      </c>
      <c r="DB88" s="12">
        <f t="shared" si="225"/>
        <v>-66.178488668776396</v>
      </c>
      <c r="DC88" s="12">
        <f t="shared" si="226"/>
        <v>-65.490474431646135</v>
      </c>
      <c r="DD88" s="12">
        <f t="shared" si="227"/>
        <v>-85.74413105056253</v>
      </c>
      <c r="DE88" s="12">
        <f t="shared" si="228"/>
        <v>-82.794762481425053</v>
      </c>
      <c r="DF88" s="12">
        <f t="shared" si="229"/>
        <v>-58.050028553666849</v>
      </c>
      <c r="DG88" s="12">
        <f t="shared" si="230"/>
        <v>-66.330510919763071</v>
      </c>
      <c r="DH88" s="12">
        <f t="shared" si="231"/>
        <v>-61.574557879131007</v>
      </c>
      <c r="DI88" s="12">
        <f t="shared" si="232"/>
        <v>-67.986502383136383</v>
      </c>
      <c r="DJ88" t="s">
        <v>22</v>
      </c>
      <c r="DK88" t="str">
        <f t="shared" si="253"/>
        <v>LL</v>
      </c>
      <c r="DL88" t="str">
        <f t="shared" si="257"/>
        <v>HL</v>
      </c>
      <c r="DM88" t="str">
        <f t="shared" si="261"/>
        <v>LL</v>
      </c>
      <c r="DN88" t="str">
        <f t="shared" si="269"/>
        <v>LL</v>
      </c>
      <c r="DO88" t="str">
        <f t="shared" si="277"/>
        <v>HL</v>
      </c>
      <c r="DP88" t="str">
        <f t="shared" si="285"/>
        <v>LL</v>
      </c>
      <c r="DQ88" t="str">
        <f t="shared" si="293"/>
        <v>HL</v>
      </c>
      <c r="DR88" t="str">
        <f t="shared" si="301"/>
        <v>LL</v>
      </c>
      <c r="DS88" t="str">
        <f t="shared" si="309"/>
        <v>HL</v>
      </c>
      <c r="DT88" t="str">
        <f t="shared" si="317"/>
        <v>HL</v>
      </c>
      <c r="DU88" t="str">
        <f t="shared" ref="DU88:DU119" si="325">DJ66</f>
        <v>LL</v>
      </c>
      <c r="DV88">
        <f t="shared" si="233"/>
        <v>-1.5429617905648874</v>
      </c>
      <c r="DW88">
        <f t="shared" si="234"/>
        <v>-1.4327502340959724</v>
      </c>
      <c r="DX88">
        <f t="shared" si="262"/>
        <v>-2.6220820868931054</v>
      </c>
      <c r="DY88">
        <f t="shared" si="270"/>
        <v>-2.5545464338689121</v>
      </c>
      <c r="DZ88">
        <f t="shared" si="278"/>
        <v>-2.4540716126519557</v>
      </c>
      <c r="EA88">
        <f t="shared" si="286"/>
        <v>-3.9025663548149216</v>
      </c>
      <c r="EB88">
        <f t="shared" si="294"/>
        <v>-1.6486157262775822</v>
      </c>
      <c r="EC88">
        <f t="shared" si="302"/>
        <v>-1.99437341001184</v>
      </c>
      <c r="ED88">
        <f t="shared" si="310"/>
        <v>-1.5814944024130559</v>
      </c>
      <c r="EE88">
        <f t="shared" si="318"/>
        <v>-2.5609685358436134</v>
      </c>
      <c r="EF88">
        <f t="shared" ref="EF88:EF119" si="326">IFERROR(((Q88-$F88)/$F88)*100,0)</f>
        <v>-2.663515002858865</v>
      </c>
      <c r="EG88" s="13" t="str">
        <f t="shared" si="235"/>
        <v/>
      </c>
      <c r="EH88" s="13" t="str">
        <f t="shared" si="236"/>
        <v/>
      </c>
      <c r="EI88" s="13" t="str">
        <f t="shared" si="237"/>
        <v/>
      </c>
      <c r="EJ88" s="13" t="str">
        <f t="shared" si="238"/>
        <v/>
      </c>
      <c r="EK88" s="13" t="str">
        <f t="shared" si="239"/>
        <v/>
      </c>
      <c r="EL88" s="13" t="str">
        <f t="shared" si="240"/>
        <v/>
      </c>
      <c r="EM88" s="13" t="str">
        <f t="shared" si="241"/>
        <v/>
      </c>
      <c r="EN88" s="13" t="str">
        <f t="shared" si="242"/>
        <v/>
      </c>
      <c r="EO88" s="13" t="str">
        <f t="shared" si="243"/>
        <v/>
      </c>
      <c r="EP88" s="13" t="str">
        <f t="shared" si="244"/>
        <v/>
      </c>
      <c r="EQ88" s="13" t="str">
        <f t="shared" si="245"/>
        <v/>
      </c>
    </row>
    <row r="89" spans="1:147" ht="14.25" customHeight="1" x14ac:dyDescent="0.55000000000000004">
      <c r="A89">
        <v>1776215704</v>
      </c>
      <c r="B89" t="s">
        <v>16</v>
      </c>
      <c r="C89" t="s">
        <v>17</v>
      </c>
      <c r="D89">
        <v>4850.79</v>
      </c>
      <c r="E89" t="s">
        <v>20</v>
      </c>
      <c r="F89">
        <v>4871.22</v>
      </c>
      <c r="G89">
        <v>4850.7700000000004</v>
      </c>
      <c r="H89">
        <v>4796.16</v>
      </c>
      <c r="I89">
        <f t="shared" si="258"/>
        <v>4777.24</v>
      </c>
      <c r="J89">
        <f t="shared" si="266"/>
        <v>4744.59</v>
      </c>
      <c r="K89">
        <f t="shared" si="274"/>
        <v>4740.01</v>
      </c>
      <c r="L89">
        <f t="shared" si="282"/>
        <v>4728.3599999999997</v>
      </c>
      <c r="M89">
        <f t="shared" si="290"/>
        <v>4773.08</v>
      </c>
      <c r="N89">
        <f t="shared" si="298"/>
        <v>4794.96</v>
      </c>
      <c r="O89">
        <f t="shared" si="306"/>
        <v>4777.3100000000004</v>
      </c>
      <c r="P89">
        <f t="shared" si="314"/>
        <v>4800.93</v>
      </c>
      <c r="Q89">
        <f t="shared" si="322"/>
        <v>4733.0200000000004</v>
      </c>
      <c r="R89">
        <v>44.14</v>
      </c>
      <c r="S89">
        <f t="shared" si="246"/>
        <v>98.170000000000073</v>
      </c>
      <c r="T89">
        <f t="shared" si="247"/>
        <v>38.239999999999782</v>
      </c>
      <c r="U89">
        <f t="shared" si="263"/>
        <v>76.729999999999563</v>
      </c>
      <c r="V89">
        <f t="shared" si="271"/>
        <v>40.819999999999709</v>
      </c>
      <c r="W89">
        <f t="shared" si="279"/>
        <v>31.390000000000327</v>
      </c>
      <c r="X89">
        <f t="shared" si="287"/>
        <v>89.659999999999854</v>
      </c>
      <c r="Y89">
        <f t="shared" si="295"/>
        <v>25.579999999999927</v>
      </c>
      <c r="Z89">
        <f t="shared" si="303"/>
        <v>64.149999999999636</v>
      </c>
      <c r="AA89">
        <f t="shared" si="311"/>
        <v>26.570000000000618</v>
      </c>
      <c r="AB89">
        <f t="shared" si="319"/>
        <v>97.470000000000255</v>
      </c>
      <c r="AC89">
        <f t="shared" ref="AC89:AC120" si="327">Q89-Q88</f>
        <v>34.510000000000218</v>
      </c>
      <c r="AD89">
        <v>0.91</v>
      </c>
      <c r="AE89" s="14">
        <f t="shared" si="248"/>
        <v>2.065606194504062</v>
      </c>
      <c r="AF89" s="14">
        <f t="shared" si="249"/>
        <v>0.80371254665903979</v>
      </c>
      <c r="AG89" s="14">
        <f t="shared" si="264"/>
        <v>1.6323760613209961</v>
      </c>
      <c r="AH89" s="14">
        <f t="shared" si="272"/>
        <v>0.86781454025174931</v>
      </c>
      <c r="AI89" s="14">
        <f t="shared" si="280"/>
        <v>0.66664967655067364</v>
      </c>
      <c r="AJ89" s="14">
        <f t="shared" si="288"/>
        <v>1.9328691228145785</v>
      </c>
      <c r="AK89" s="14">
        <f t="shared" si="296"/>
        <v>0.53880989994733919</v>
      </c>
      <c r="AL89" s="14">
        <f t="shared" si="304"/>
        <v>1.3560045742695148</v>
      </c>
      <c r="AM89" s="14">
        <f t="shared" si="312"/>
        <v>0.55928129091469159</v>
      </c>
      <c r="AN89" s="14">
        <f t="shared" si="320"/>
        <v>2.0723042185965279</v>
      </c>
      <c r="AO89" s="14">
        <f t="shared" ref="AO89:AO120" si="328">(AC89/Q88)*100</f>
        <v>0.73448816752545421</v>
      </c>
      <c r="AP89">
        <v>0</v>
      </c>
      <c r="AQ89">
        <f t="shared" si="250"/>
        <v>0</v>
      </c>
      <c r="AR89">
        <f t="shared" si="254"/>
        <v>0</v>
      </c>
      <c r="AS89">
        <f t="shared" si="259"/>
        <v>0</v>
      </c>
      <c r="AT89">
        <f t="shared" si="267"/>
        <v>0</v>
      </c>
      <c r="AU89">
        <f t="shared" si="275"/>
        <v>0</v>
      </c>
      <c r="AV89">
        <f t="shared" si="283"/>
        <v>0</v>
      </c>
      <c r="AW89">
        <f t="shared" si="291"/>
        <v>0</v>
      </c>
      <c r="AX89">
        <f t="shared" si="299"/>
        <v>0</v>
      </c>
      <c r="AY89">
        <f t="shared" si="307"/>
        <v>0</v>
      </c>
      <c r="AZ89">
        <f t="shared" si="315"/>
        <v>0</v>
      </c>
      <c r="BA89">
        <f t="shared" si="323"/>
        <v>0</v>
      </c>
      <c r="BB89">
        <v>3</v>
      </c>
      <c r="BC89">
        <f t="shared" si="251"/>
        <v>42</v>
      </c>
      <c r="BD89">
        <f t="shared" si="255"/>
        <v>6</v>
      </c>
      <c r="BE89">
        <f t="shared" si="260"/>
        <v>43</v>
      </c>
      <c r="BF89">
        <f t="shared" si="268"/>
        <v>8</v>
      </c>
      <c r="BG89">
        <f t="shared" si="276"/>
        <v>15</v>
      </c>
      <c r="BH89">
        <f t="shared" si="284"/>
        <v>15</v>
      </c>
      <c r="BI89">
        <f t="shared" si="292"/>
        <v>10</v>
      </c>
      <c r="BJ89">
        <f t="shared" si="300"/>
        <v>23</v>
      </c>
      <c r="BK89">
        <f t="shared" si="308"/>
        <v>6</v>
      </c>
      <c r="BL89">
        <f t="shared" si="316"/>
        <v>43</v>
      </c>
      <c r="BM89">
        <f t="shared" si="324"/>
        <v>11</v>
      </c>
      <c r="BZ89" s="12">
        <f t="shared" si="220"/>
        <v>14.713333333333333</v>
      </c>
      <c r="CA89" s="12">
        <f t="shared" si="252"/>
        <v>2.3373809523809541</v>
      </c>
      <c r="CB89" s="12">
        <f t="shared" si="256"/>
        <v>6.3733333333332967</v>
      </c>
      <c r="CC89" s="12">
        <f t="shared" si="265"/>
        <v>1.7844186046511525</v>
      </c>
      <c r="CD89" s="12">
        <f t="shared" si="273"/>
        <v>5.1024999999999636</v>
      </c>
      <c r="CE89" s="12">
        <f t="shared" si="281"/>
        <v>2.0926666666666884</v>
      </c>
      <c r="CF89" s="12">
        <f t="shared" si="289"/>
        <v>5.9773333333333234</v>
      </c>
      <c r="CG89" s="12">
        <f t="shared" si="297"/>
        <v>2.5579999999999927</v>
      </c>
      <c r="CH89" s="12">
        <f t="shared" si="305"/>
        <v>2.7891304347825927</v>
      </c>
      <c r="CI89" s="12">
        <f t="shared" si="313"/>
        <v>4.4283333333334367</v>
      </c>
      <c r="CJ89" s="12">
        <f t="shared" si="321"/>
        <v>2.2667441860465174</v>
      </c>
      <c r="CK89" s="12">
        <f t="shared" ref="CK89:CK120" si="329">IFERROR(AC89/BM89,0)</f>
        <v>3.1372727272727472</v>
      </c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>
        <f t="shared" si="221"/>
        <v>86.111839550133254</v>
      </c>
      <c r="CY89" s="12">
        <f t="shared" si="222"/>
        <v>66.837343085781896</v>
      </c>
      <c r="CZ89" s="12">
        <f t="shared" si="223"/>
        <v>81.082779193084988</v>
      </c>
      <c r="DA89" s="12">
        <f t="shared" si="224"/>
        <v>60.733441015265882</v>
      </c>
      <c r="DB89" s="12">
        <f t="shared" si="225"/>
        <v>78.911577686867446</v>
      </c>
      <c r="DC89" s="12">
        <f t="shared" si="226"/>
        <v>64.458768015845365</v>
      </c>
      <c r="DD89" s="12">
        <f t="shared" si="227"/>
        <v>80.502448186615112</v>
      </c>
      <c r="DE89" s="12">
        <f t="shared" si="228"/>
        <v>68.647959962356097</v>
      </c>
      <c r="DF89" s="12">
        <f t="shared" si="229"/>
        <v>70.275482340083116</v>
      </c>
      <c r="DG89" s="12">
        <f t="shared" si="230"/>
        <v>77.274982448283495</v>
      </c>
      <c r="DH89" s="12">
        <f t="shared" si="231"/>
        <v>66.194780099488241</v>
      </c>
      <c r="DI89" s="12">
        <f t="shared" si="232"/>
        <v>72.320413218759455</v>
      </c>
      <c r="DJ89" t="s">
        <v>23</v>
      </c>
      <c r="DK89" t="str">
        <f t="shared" si="253"/>
        <v>HH</v>
      </c>
      <c r="DL89" t="str">
        <f t="shared" si="257"/>
        <v>HH</v>
      </c>
      <c r="DM89" t="str">
        <f t="shared" si="261"/>
        <v>HH</v>
      </c>
      <c r="DN89" t="str">
        <f t="shared" si="269"/>
        <v>HH</v>
      </c>
      <c r="DO89" t="str">
        <f t="shared" si="277"/>
        <v>HH</v>
      </c>
      <c r="DP89" t="str">
        <f t="shared" si="285"/>
        <v>LH</v>
      </c>
      <c r="DQ89" t="str">
        <f t="shared" si="293"/>
        <v>LH</v>
      </c>
      <c r="DR89" t="str">
        <f t="shared" si="301"/>
        <v>HH</v>
      </c>
      <c r="DS89" t="str">
        <f t="shared" si="309"/>
        <v>LH</v>
      </c>
      <c r="DT89" t="str">
        <f t="shared" si="317"/>
        <v>HH</v>
      </c>
      <c r="DU89" t="str">
        <f t="shared" si="325"/>
        <v>LH</v>
      </c>
      <c r="DV89">
        <f t="shared" si="233"/>
        <v>-0.4198126957928367</v>
      </c>
      <c r="DW89">
        <f t="shared" si="234"/>
        <v>-1.5408870878342673</v>
      </c>
      <c r="DX89">
        <f t="shared" si="262"/>
        <v>-1.9292908142108232</v>
      </c>
      <c r="DY89">
        <f t="shared" si="270"/>
        <v>-2.5995541158067197</v>
      </c>
      <c r="DZ89">
        <f t="shared" si="278"/>
        <v>-2.6935757366737705</v>
      </c>
      <c r="EA89">
        <f t="shared" si="286"/>
        <v>-2.9327355364775269</v>
      </c>
      <c r="EB89">
        <f t="shared" si="294"/>
        <v>-2.0146903650420289</v>
      </c>
      <c r="EC89">
        <f t="shared" si="302"/>
        <v>-1.5655215736509582</v>
      </c>
      <c r="ED89">
        <f t="shared" si="310"/>
        <v>-1.9278538025381702</v>
      </c>
      <c r="EE89">
        <f t="shared" si="318"/>
        <v>-1.4429650067128965</v>
      </c>
      <c r="EF89">
        <f t="shared" si="326"/>
        <v>-2.8370716165560128</v>
      </c>
      <c r="EG89" s="13" t="str">
        <f t="shared" si="235"/>
        <v/>
      </c>
      <c r="EH89" s="13" t="str">
        <f t="shared" si="236"/>
        <v/>
      </c>
      <c r="EI89" s="13" t="str">
        <f t="shared" si="237"/>
        <v/>
      </c>
      <c r="EJ89" s="13" t="str">
        <f t="shared" si="238"/>
        <v/>
      </c>
      <c r="EK89" s="13" t="str">
        <f t="shared" si="239"/>
        <v/>
      </c>
      <c r="EL89" s="13" t="str">
        <f t="shared" si="240"/>
        <v/>
      </c>
      <c r="EM89" s="13" t="str">
        <f t="shared" si="241"/>
        <v/>
      </c>
      <c r="EN89" s="13" t="str">
        <f t="shared" si="242"/>
        <v/>
      </c>
      <c r="EO89" s="13" t="str">
        <f t="shared" si="243"/>
        <v/>
      </c>
      <c r="EP89" s="13" t="str">
        <f t="shared" si="244"/>
        <v/>
      </c>
      <c r="EQ89" s="13" t="str">
        <f t="shared" si="245"/>
        <v/>
      </c>
    </row>
    <row r="90" spans="1:147" ht="14.25" customHeight="1" x14ac:dyDescent="0.55000000000000004">
      <c r="A90">
        <v>1776246304</v>
      </c>
      <c r="B90" t="s">
        <v>16</v>
      </c>
      <c r="C90" t="s">
        <v>17</v>
      </c>
      <c r="D90">
        <v>4798.21</v>
      </c>
      <c r="E90" t="s">
        <v>18</v>
      </c>
      <c r="F90">
        <v>4786.2299999999996</v>
      </c>
      <c r="G90">
        <v>4827.08</v>
      </c>
      <c r="H90">
        <v>4752.6000000000004</v>
      </c>
      <c r="I90">
        <f t="shared" si="258"/>
        <v>4757.92</v>
      </c>
      <c r="J90">
        <f t="shared" si="266"/>
        <v>4700.51</v>
      </c>
      <c r="K90">
        <f t="shared" si="274"/>
        <v>4703.7700000000004</v>
      </c>
      <c r="L90">
        <f t="shared" si="282"/>
        <v>4708.62</v>
      </c>
      <c r="M90">
        <f t="shared" si="290"/>
        <v>4638.7</v>
      </c>
      <c r="N90">
        <f t="shared" si="298"/>
        <v>4747.5</v>
      </c>
      <c r="O90">
        <f t="shared" si="306"/>
        <v>4730.8100000000004</v>
      </c>
      <c r="P90">
        <f t="shared" si="314"/>
        <v>4750.74</v>
      </c>
      <c r="Q90">
        <f t="shared" si="322"/>
        <v>4703.46</v>
      </c>
      <c r="R90">
        <v>-84.99</v>
      </c>
      <c r="S90">
        <f t="shared" si="246"/>
        <v>-23.690000000000509</v>
      </c>
      <c r="T90">
        <f t="shared" si="247"/>
        <v>-43.559999999999491</v>
      </c>
      <c r="U90">
        <f t="shared" si="263"/>
        <v>-19.319999999999709</v>
      </c>
      <c r="V90">
        <f t="shared" si="271"/>
        <v>-44.079999999999927</v>
      </c>
      <c r="W90">
        <f t="shared" si="279"/>
        <v>-36.239999999999782</v>
      </c>
      <c r="X90">
        <f t="shared" si="287"/>
        <v>-19.739999999999782</v>
      </c>
      <c r="Y90">
        <f t="shared" si="295"/>
        <v>-134.38000000000011</v>
      </c>
      <c r="Z90">
        <f t="shared" si="303"/>
        <v>-47.460000000000036</v>
      </c>
      <c r="AA90">
        <f t="shared" si="311"/>
        <v>-46.5</v>
      </c>
      <c r="AB90">
        <f t="shared" si="319"/>
        <v>-50.190000000000509</v>
      </c>
      <c r="AC90">
        <f t="shared" si="327"/>
        <v>-29.5600000000004</v>
      </c>
      <c r="AD90">
        <v>-1.74</v>
      </c>
      <c r="AE90" s="14">
        <f t="shared" si="248"/>
        <v>-0.48837607225245699</v>
      </c>
      <c r="AF90" s="14">
        <f t="shared" si="249"/>
        <v>-0.90822658126500144</v>
      </c>
      <c r="AG90" s="14">
        <f t="shared" si="264"/>
        <v>-0.40441761351742245</v>
      </c>
      <c r="AH90" s="14">
        <f t="shared" si="272"/>
        <v>-0.9290581483331527</v>
      </c>
      <c r="AI90" s="14">
        <f t="shared" si="280"/>
        <v>-0.7645553490393433</v>
      </c>
      <c r="AJ90" s="14">
        <f t="shared" si="288"/>
        <v>-0.41748090246935055</v>
      </c>
      <c r="AK90" s="14">
        <f t="shared" si="296"/>
        <v>-2.8153728829183695</v>
      </c>
      <c r="AL90" s="14">
        <f t="shared" si="304"/>
        <v>-0.98978927874268063</v>
      </c>
      <c r="AM90" s="14">
        <f t="shared" si="312"/>
        <v>-0.97335111181815703</v>
      </c>
      <c r="AN90" s="14">
        <f t="shared" si="320"/>
        <v>-1.0454224494004394</v>
      </c>
      <c r="AO90" s="14">
        <f t="shared" si="328"/>
        <v>-0.62454838559736481</v>
      </c>
      <c r="AP90">
        <v>3</v>
      </c>
      <c r="AQ90">
        <f t="shared" si="250"/>
        <v>3</v>
      </c>
      <c r="AR90">
        <f t="shared" si="254"/>
        <v>3</v>
      </c>
      <c r="AS90">
        <f t="shared" si="259"/>
        <v>3</v>
      </c>
      <c r="AT90">
        <f t="shared" si="267"/>
        <v>3</v>
      </c>
      <c r="AU90">
        <f t="shared" si="275"/>
        <v>3</v>
      </c>
      <c r="AV90">
        <f t="shared" si="283"/>
        <v>3</v>
      </c>
      <c r="AW90">
        <f t="shared" si="291"/>
        <v>3</v>
      </c>
      <c r="AX90">
        <f t="shared" si="299"/>
        <v>3</v>
      </c>
      <c r="AY90">
        <f t="shared" si="307"/>
        <v>3</v>
      </c>
      <c r="AZ90">
        <f t="shared" si="315"/>
        <v>3</v>
      </c>
      <c r="BA90">
        <f t="shared" si="323"/>
        <v>3</v>
      </c>
      <c r="BB90">
        <v>34</v>
      </c>
      <c r="BC90">
        <f t="shared" si="251"/>
        <v>10</v>
      </c>
      <c r="BD90">
        <f t="shared" si="255"/>
        <v>14</v>
      </c>
      <c r="BE90">
        <f t="shared" si="260"/>
        <v>11</v>
      </c>
      <c r="BF90">
        <f t="shared" si="268"/>
        <v>5</v>
      </c>
      <c r="BG90">
        <f t="shared" si="276"/>
        <v>16</v>
      </c>
      <c r="BH90">
        <f t="shared" si="284"/>
        <v>9</v>
      </c>
      <c r="BI90">
        <f t="shared" si="292"/>
        <v>10</v>
      </c>
      <c r="BJ90">
        <f t="shared" si="300"/>
        <v>6</v>
      </c>
      <c r="BK90">
        <f t="shared" si="308"/>
        <v>29</v>
      </c>
      <c r="BL90">
        <f t="shared" si="316"/>
        <v>22</v>
      </c>
      <c r="BM90">
        <f t="shared" si="324"/>
        <v>16</v>
      </c>
      <c r="BZ90" s="12">
        <f t="shared" si="220"/>
        <v>-2.499705882352941</v>
      </c>
      <c r="CA90" s="12">
        <f t="shared" si="252"/>
        <v>-2.3690000000000508</v>
      </c>
      <c r="CB90" s="12">
        <f t="shared" si="256"/>
        <v>-3.1114285714285352</v>
      </c>
      <c r="CC90" s="12">
        <f t="shared" si="265"/>
        <v>-1.7563636363636099</v>
      </c>
      <c r="CD90" s="12">
        <f t="shared" si="273"/>
        <v>-8.8159999999999847</v>
      </c>
      <c r="CE90" s="12">
        <f t="shared" si="281"/>
        <v>-2.2649999999999864</v>
      </c>
      <c r="CF90" s="12">
        <f t="shared" si="289"/>
        <v>-2.1933333333333089</v>
      </c>
      <c r="CG90" s="12">
        <f t="shared" si="297"/>
        <v>-13.438000000000011</v>
      </c>
      <c r="CH90" s="12">
        <f t="shared" si="305"/>
        <v>-7.9100000000000064</v>
      </c>
      <c r="CI90" s="12">
        <f t="shared" si="313"/>
        <v>-1.603448275862069</v>
      </c>
      <c r="CJ90" s="12">
        <f t="shared" si="321"/>
        <v>-2.2813636363636594</v>
      </c>
      <c r="CK90" s="12">
        <f t="shared" si="329"/>
        <v>-1.847500000000025</v>
      </c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>
        <f t="shared" si="221"/>
        <v>-68.196265905493959</v>
      </c>
      <c r="CY90" s="12">
        <f t="shared" si="222"/>
        <v>-67.114466086461661</v>
      </c>
      <c r="CZ90" s="12">
        <f t="shared" si="223"/>
        <v>-72.182814188131331</v>
      </c>
      <c r="DA90" s="12">
        <f t="shared" si="224"/>
        <v>-60.344623307017628</v>
      </c>
      <c r="DB90" s="12">
        <f t="shared" si="225"/>
        <v>-83.528592419684202</v>
      </c>
      <c r="DC90" s="12">
        <f t="shared" si="226"/>
        <v>-66.178488668776396</v>
      </c>
      <c r="DD90" s="12">
        <f t="shared" si="227"/>
        <v>-65.490474431646135</v>
      </c>
      <c r="DE90" s="12">
        <f t="shared" si="228"/>
        <v>-85.74413105056253</v>
      </c>
      <c r="DF90" s="12">
        <f t="shared" si="229"/>
        <v>-82.794762481425053</v>
      </c>
      <c r="DG90" s="12">
        <f t="shared" si="230"/>
        <v>-58.050028553666849</v>
      </c>
      <c r="DH90" s="12">
        <f t="shared" si="231"/>
        <v>-66.330510919763071</v>
      </c>
      <c r="DI90" s="12">
        <f t="shared" si="232"/>
        <v>-61.574557879131007</v>
      </c>
      <c r="DJ90" t="s">
        <v>19</v>
      </c>
      <c r="DK90" t="str">
        <f t="shared" si="253"/>
        <v>HL</v>
      </c>
      <c r="DL90" t="str">
        <f t="shared" si="257"/>
        <v>LL</v>
      </c>
      <c r="DM90" t="str">
        <f t="shared" si="261"/>
        <v>HL</v>
      </c>
      <c r="DN90" t="str">
        <f t="shared" si="269"/>
        <v>LL</v>
      </c>
      <c r="DO90" t="str">
        <f t="shared" si="277"/>
        <v>LL</v>
      </c>
      <c r="DP90" t="str">
        <f t="shared" si="285"/>
        <v>HL</v>
      </c>
      <c r="DQ90" t="str">
        <f t="shared" si="293"/>
        <v>LL</v>
      </c>
      <c r="DR90" t="str">
        <f t="shared" si="301"/>
        <v>HL</v>
      </c>
      <c r="DS90" t="str">
        <f t="shared" si="309"/>
        <v>LL</v>
      </c>
      <c r="DT90" t="str">
        <f t="shared" si="317"/>
        <v>HL</v>
      </c>
      <c r="DU90" t="str">
        <f t="shared" si="325"/>
        <v>HL</v>
      </c>
      <c r="DV90">
        <f t="shared" si="233"/>
        <v>0.85349011643820649</v>
      </c>
      <c r="DW90">
        <f t="shared" si="234"/>
        <v>-0.70264070050957017</v>
      </c>
      <c r="DX90">
        <f t="shared" si="262"/>
        <v>-0.59148849929902014</v>
      </c>
      <c r="DY90">
        <f t="shared" si="270"/>
        <v>-1.7909711819114282</v>
      </c>
      <c r="DZ90">
        <f t="shared" si="278"/>
        <v>-1.7228591187636015</v>
      </c>
      <c r="EA90">
        <f t="shared" si="286"/>
        <v>-1.6215267548780499</v>
      </c>
      <c r="EB90">
        <f t="shared" si="294"/>
        <v>-3.082384256502503</v>
      </c>
      <c r="EC90">
        <f t="shared" si="302"/>
        <v>-0.80919638212120126</v>
      </c>
      <c r="ED90">
        <f t="shared" si="310"/>
        <v>-1.1579050735129564</v>
      </c>
      <c r="EE90">
        <f t="shared" si="318"/>
        <v>-0.74150218439146853</v>
      </c>
      <c r="EF90">
        <f t="shared" si="326"/>
        <v>-1.7293360327439242</v>
      </c>
      <c r="EG90" s="13" t="str">
        <f t="shared" si="235"/>
        <v/>
      </c>
      <c r="EH90" s="13" t="str">
        <f t="shared" si="236"/>
        <v/>
      </c>
      <c r="EI90" s="13" t="str">
        <f t="shared" si="237"/>
        <v/>
      </c>
      <c r="EJ90" s="13" t="str">
        <f t="shared" si="238"/>
        <v/>
      </c>
      <c r="EK90" s="13" t="str">
        <f t="shared" si="239"/>
        <v/>
      </c>
      <c r="EL90" s="13" t="str">
        <f t="shared" si="240"/>
        <v/>
      </c>
      <c r="EM90" s="13" t="str">
        <f t="shared" si="241"/>
        <v/>
      </c>
      <c r="EN90" s="13" t="str">
        <f t="shared" si="242"/>
        <v/>
      </c>
      <c r="EO90" s="13" t="str">
        <f t="shared" si="243"/>
        <v/>
      </c>
      <c r="EP90" s="13" t="str">
        <f t="shared" si="244"/>
        <v/>
      </c>
      <c r="EQ90" s="13" t="str">
        <f t="shared" si="245"/>
        <v/>
      </c>
    </row>
    <row r="91" spans="1:147" ht="14.25" customHeight="1" x14ac:dyDescent="0.55000000000000004">
      <c r="A91">
        <v>1776262504</v>
      </c>
      <c r="B91" t="s">
        <v>16</v>
      </c>
      <c r="C91" t="s">
        <v>17</v>
      </c>
      <c r="D91">
        <v>4825.22</v>
      </c>
      <c r="E91" t="s">
        <v>20</v>
      </c>
      <c r="F91">
        <v>4830.3900000000003</v>
      </c>
      <c r="G91">
        <v>4871.22</v>
      </c>
      <c r="H91">
        <v>4850.7700000000004</v>
      </c>
      <c r="I91">
        <f t="shared" si="258"/>
        <v>4796.16</v>
      </c>
      <c r="J91">
        <f t="shared" si="266"/>
        <v>4777.24</v>
      </c>
      <c r="K91">
        <f t="shared" si="274"/>
        <v>4744.59</v>
      </c>
      <c r="L91">
        <f t="shared" si="282"/>
        <v>4740.01</v>
      </c>
      <c r="M91">
        <f t="shared" si="290"/>
        <v>4728.3599999999997</v>
      </c>
      <c r="N91">
        <f t="shared" si="298"/>
        <v>4773.08</v>
      </c>
      <c r="O91">
        <f t="shared" si="306"/>
        <v>4794.96</v>
      </c>
      <c r="P91">
        <f t="shared" si="314"/>
        <v>4777.3100000000004</v>
      </c>
      <c r="Q91">
        <f t="shared" si="322"/>
        <v>4800.93</v>
      </c>
      <c r="R91">
        <v>44.16</v>
      </c>
      <c r="S91">
        <f t="shared" si="246"/>
        <v>44.140000000000327</v>
      </c>
      <c r="T91">
        <f t="shared" si="247"/>
        <v>98.170000000000073</v>
      </c>
      <c r="U91">
        <f t="shared" si="263"/>
        <v>38.239999999999782</v>
      </c>
      <c r="V91">
        <f t="shared" si="271"/>
        <v>76.729999999999563</v>
      </c>
      <c r="W91">
        <f t="shared" si="279"/>
        <v>40.819999999999709</v>
      </c>
      <c r="X91">
        <f t="shared" si="287"/>
        <v>31.390000000000327</v>
      </c>
      <c r="Y91">
        <f t="shared" si="295"/>
        <v>89.659999999999854</v>
      </c>
      <c r="Z91">
        <f t="shared" si="303"/>
        <v>25.579999999999927</v>
      </c>
      <c r="AA91">
        <f t="shared" si="311"/>
        <v>64.149999999999636</v>
      </c>
      <c r="AB91">
        <f t="shared" si="319"/>
        <v>26.570000000000618</v>
      </c>
      <c r="AC91">
        <f t="shared" si="327"/>
        <v>97.470000000000255</v>
      </c>
      <c r="AD91">
        <v>0.92</v>
      </c>
      <c r="AE91" s="14">
        <f t="shared" si="248"/>
        <v>0.91442445536432637</v>
      </c>
      <c r="AF91" s="14">
        <f t="shared" si="249"/>
        <v>2.065606194504062</v>
      </c>
      <c r="AG91" s="14">
        <f t="shared" si="264"/>
        <v>0.80371254665903979</v>
      </c>
      <c r="AH91" s="14">
        <f t="shared" si="272"/>
        <v>1.6323760613209961</v>
      </c>
      <c r="AI91" s="14">
        <f t="shared" si="280"/>
        <v>0.86781454025174931</v>
      </c>
      <c r="AJ91" s="14">
        <f t="shared" si="288"/>
        <v>0.66664967655067364</v>
      </c>
      <c r="AK91" s="14">
        <f t="shared" si="296"/>
        <v>1.9328691228145785</v>
      </c>
      <c r="AL91" s="14">
        <f t="shared" si="304"/>
        <v>0.53880989994733919</v>
      </c>
      <c r="AM91" s="14">
        <f t="shared" si="312"/>
        <v>1.3560045742695148</v>
      </c>
      <c r="AN91" s="14">
        <f t="shared" si="320"/>
        <v>0.55928129091469159</v>
      </c>
      <c r="AO91" s="14">
        <f t="shared" si="328"/>
        <v>2.0723042185965279</v>
      </c>
      <c r="AP91">
        <v>0</v>
      </c>
      <c r="AQ91">
        <f t="shared" si="250"/>
        <v>0</v>
      </c>
      <c r="AR91">
        <f t="shared" si="254"/>
        <v>0</v>
      </c>
      <c r="AS91">
        <f t="shared" si="259"/>
        <v>0</v>
      </c>
      <c r="AT91">
        <f t="shared" si="267"/>
        <v>0</v>
      </c>
      <c r="AU91">
        <f t="shared" si="275"/>
        <v>0</v>
      </c>
      <c r="AV91">
        <f t="shared" si="283"/>
        <v>0</v>
      </c>
      <c r="AW91">
        <f t="shared" si="291"/>
        <v>0</v>
      </c>
      <c r="AX91">
        <f t="shared" si="299"/>
        <v>0</v>
      </c>
      <c r="AY91">
        <f t="shared" si="307"/>
        <v>0</v>
      </c>
      <c r="AZ91">
        <f t="shared" si="315"/>
        <v>0</v>
      </c>
      <c r="BA91">
        <f t="shared" si="323"/>
        <v>0</v>
      </c>
      <c r="BB91">
        <v>18</v>
      </c>
      <c r="BC91">
        <f t="shared" si="251"/>
        <v>3</v>
      </c>
      <c r="BD91">
        <f t="shared" si="255"/>
        <v>42</v>
      </c>
      <c r="BE91">
        <f t="shared" si="260"/>
        <v>6</v>
      </c>
      <c r="BF91">
        <f t="shared" si="268"/>
        <v>43</v>
      </c>
      <c r="BG91">
        <f t="shared" si="276"/>
        <v>8</v>
      </c>
      <c r="BH91">
        <f t="shared" si="284"/>
        <v>15</v>
      </c>
      <c r="BI91">
        <f t="shared" si="292"/>
        <v>15</v>
      </c>
      <c r="BJ91">
        <f t="shared" si="300"/>
        <v>10</v>
      </c>
      <c r="BK91">
        <f t="shared" si="308"/>
        <v>23</v>
      </c>
      <c r="BL91">
        <f t="shared" si="316"/>
        <v>6</v>
      </c>
      <c r="BM91">
        <f t="shared" si="324"/>
        <v>43</v>
      </c>
      <c r="BZ91" s="12">
        <f t="shared" si="220"/>
        <v>2.4533333333333331</v>
      </c>
      <c r="CA91" s="12">
        <f t="shared" si="252"/>
        <v>14.713333333333443</v>
      </c>
      <c r="CB91" s="12">
        <f t="shared" si="256"/>
        <v>2.3373809523809541</v>
      </c>
      <c r="CC91" s="12">
        <f t="shared" si="265"/>
        <v>6.3733333333332967</v>
      </c>
      <c r="CD91" s="12">
        <f t="shared" si="273"/>
        <v>1.7844186046511525</v>
      </c>
      <c r="CE91" s="12">
        <f t="shared" si="281"/>
        <v>5.1024999999999636</v>
      </c>
      <c r="CF91" s="12">
        <f t="shared" si="289"/>
        <v>2.0926666666666884</v>
      </c>
      <c r="CG91" s="12">
        <f t="shared" si="297"/>
        <v>5.9773333333333234</v>
      </c>
      <c r="CH91" s="12">
        <f t="shared" si="305"/>
        <v>2.5579999999999927</v>
      </c>
      <c r="CI91" s="12">
        <f t="shared" si="313"/>
        <v>2.7891304347825927</v>
      </c>
      <c r="CJ91" s="12">
        <f t="shared" si="321"/>
        <v>4.4283333333334367</v>
      </c>
      <c r="CK91" s="12">
        <f t="shared" si="329"/>
        <v>2.2667441860465174</v>
      </c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>
        <f t="shared" si="221"/>
        <v>67.823763658507232</v>
      </c>
      <c r="CY91" s="12">
        <f t="shared" si="222"/>
        <v>86.111839550133269</v>
      </c>
      <c r="CZ91" s="12">
        <f t="shared" si="223"/>
        <v>66.837343085781896</v>
      </c>
      <c r="DA91" s="12">
        <f t="shared" si="224"/>
        <v>81.082779193084988</v>
      </c>
      <c r="DB91" s="12">
        <f t="shared" si="225"/>
        <v>60.733441015265882</v>
      </c>
      <c r="DC91" s="12">
        <f t="shared" si="226"/>
        <v>78.911577686867446</v>
      </c>
      <c r="DD91" s="12">
        <f t="shared" si="227"/>
        <v>64.458768015845365</v>
      </c>
      <c r="DE91" s="12">
        <f t="shared" si="228"/>
        <v>80.502448186615112</v>
      </c>
      <c r="DF91" s="12">
        <f t="shared" si="229"/>
        <v>68.647959962356097</v>
      </c>
      <c r="DG91" s="12">
        <f t="shared" si="230"/>
        <v>70.275482340083116</v>
      </c>
      <c r="DH91" s="12">
        <f t="shared" si="231"/>
        <v>77.274982448283495</v>
      </c>
      <c r="DI91" s="12">
        <f t="shared" si="232"/>
        <v>66.194780099488241</v>
      </c>
      <c r="DJ91" t="s">
        <v>21</v>
      </c>
      <c r="DK91" t="str">
        <f t="shared" si="253"/>
        <v>HH</v>
      </c>
      <c r="DL91" t="str">
        <f t="shared" si="257"/>
        <v>HH</v>
      </c>
      <c r="DM91" t="str">
        <f t="shared" si="261"/>
        <v>HH</v>
      </c>
      <c r="DN91" t="str">
        <f t="shared" si="269"/>
        <v>HH</v>
      </c>
      <c r="DO91" t="str">
        <f t="shared" si="277"/>
        <v>HH</v>
      </c>
      <c r="DP91" t="str">
        <f t="shared" si="285"/>
        <v>HH</v>
      </c>
      <c r="DQ91" t="str">
        <f t="shared" si="293"/>
        <v>LH</v>
      </c>
      <c r="DR91" t="str">
        <f t="shared" si="301"/>
        <v>LH</v>
      </c>
      <c r="DS91" t="str">
        <f t="shared" si="309"/>
        <v>HH</v>
      </c>
      <c r="DT91" t="str">
        <f t="shared" si="317"/>
        <v>LH</v>
      </c>
      <c r="DU91" t="str">
        <f t="shared" si="325"/>
        <v>HH</v>
      </c>
      <c r="DV91">
        <f t="shared" si="233"/>
        <v>0.84527336302037559</v>
      </c>
      <c r="DW91">
        <f t="shared" si="234"/>
        <v>0.42191210233542442</v>
      </c>
      <c r="DX91">
        <f t="shared" si="262"/>
        <v>-0.70863843292157502</v>
      </c>
      <c r="DY91">
        <f t="shared" si="270"/>
        <v>-1.1003252325381707</v>
      </c>
      <c r="DZ91">
        <f t="shared" si="278"/>
        <v>-1.7762540912845584</v>
      </c>
      <c r="EA91">
        <f t="shared" si="286"/>
        <v>-1.8710704518682779</v>
      </c>
      <c r="EB91">
        <f t="shared" si="294"/>
        <v>-2.1122518057548283</v>
      </c>
      <c r="EC91">
        <f t="shared" si="302"/>
        <v>-1.1864466430246916</v>
      </c>
      <c r="ED91">
        <f t="shared" si="310"/>
        <v>-0.7334811474849916</v>
      </c>
      <c r="EE91">
        <f t="shared" si="318"/>
        <v>-1.098876074188625</v>
      </c>
      <c r="EF91">
        <f t="shared" si="326"/>
        <v>-0.60988864253197017</v>
      </c>
      <c r="EG91" s="13" t="str">
        <f t="shared" si="235"/>
        <v/>
      </c>
      <c r="EH91" s="13" t="str">
        <f t="shared" si="236"/>
        <v/>
      </c>
      <c r="EI91" s="13" t="str">
        <f t="shared" si="237"/>
        <v/>
      </c>
      <c r="EJ91" s="13" t="str">
        <f t="shared" si="238"/>
        <v/>
      </c>
      <c r="EK91" s="13" t="str">
        <f t="shared" si="239"/>
        <v/>
      </c>
      <c r="EL91" s="13" t="str">
        <f t="shared" si="240"/>
        <v/>
      </c>
      <c r="EM91" s="13" t="str">
        <f t="shared" si="241"/>
        <v/>
      </c>
      <c r="EN91" s="13" t="str">
        <f t="shared" si="242"/>
        <v/>
      </c>
      <c r="EO91" s="13" t="str">
        <f t="shared" si="243"/>
        <v/>
      </c>
      <c r="EP91" s="13" t="str">
        <f t="shared" si="244"/>
        <v/>
      </c>
      <c r="EQ91" s="13" t="str">
        <f t="shared" si="245"/>
        <v/>
      </c>
    </row>
    <row r="92" spans="1:147" ht="14.25" customHeight="1" x14ac:dyDescent="0.55000000000000004">
      <c r="A92">
        <v>1776267004</v>
      </c>
      <c r="B92" t="s">
        <v>16</v>
      </c>
      <c r="C92" t="s">
        <v>17</v>
      </c>
      <c r="D92">
        <v>4803.6400000000003</v>
      </c>
      <c r="E92" t="s">
        <v>18</v>
      </c>
      <c r="F92">
        <v>4787.17</v>
      </c>
      <c r="G92">
        <v>4786.2299999999996</v>
      </c>
      <c r="H92">
        <v>4827.08</v>
      </c>
      <c r="I92">
        <f t="shared" si="258"/>
        <v>4752.6000000000004</v>
      </c>
      <c r="J92">
        <f t="shared" si="266"/>
        <v>4757.92</v>
      </c>
      <c r="K92">
        <f t="shared" si="274"/>
        <v>4700.51</v>
      </c>
      <c r="L92">
        <f t="shared" si="282"/>
        <v>4703.7700000000004</v>
      </c>
      <c r="M92">
        <f t="shared" si="290"/>
        <v>4708.62</v>
      </c>
      <c r="N92">
        <f t="shared" si="298"/>
        <v>4638.7</v>
      </c>
      <c r="O92">
        <f t="shared" si="306"/>
        <v>4747.5</v>
      </c>
      <c r="P92">
        <f t="shared" si="314"/>
        <v>4730.8100000000004</v>
      </c>
      <c r="Q92">
        <f t="shared" si="322"/>
        <v>4750.74</v>
      </c>
      <c r="R92">
        <v>-43.22</v>
      </c>
      <c r="S92">
        <f t="shared" si="246"/>
        <v>-84.990000000000691</v>
      </c>
      <c r="T92">
        <f t="shared" si="247"/>
        <v>-23.690000000000509</v>
      </c>
      <c r="U92">
        <f t="shared" si="263"/>
        <v>-43.559999999999491</v>
      </c>
      <c r="V92">
        <f t="shared" si="271"/>
        <v>-19.319999999999709</v>
      </c>
      <c r="W92">
        <f t="shared" si="279"/>
        <v>-44.079999999999927</v>
      </c>
      <c r="X92">
        <f t="shared" si="287"/>
        <v>-36.239999999999782</v>
      </c>
      <c r="Y92">
        <f t="shared" si="295"/>
        <v>-19.739999999999782</v>
      </c>
      <c r="Z92">
        <f t="shared" si="303"/>
        <v>-134.38000000000011</v>
      </c>
      <c r="AA92">
        <f t="shared" si="311"/>
        <v>-47.460000000000036</v>
      </c>
      <c r="AB92">
        <f t="shared" si="319"/>
        <v>-46.5</v>
      </c>
      <c r="AC92">
        <f t="shared" si="327"/>
        <v>-50.190000000000509</v>
      </c>
      <c r="AD92">
        <v>-0.89</v>
      </c>
      <c r="AE92" s="14">
        <f t="shared" si="248"/>
        <v>-1.7447374579674226</v>
      </c>
      <c r="AF92" s="14">
        <f t="shared" si="249"/>
        <v>-0.48837607225245699</v>
      </c>
      <c r="AG92" s="14">
        <f t="shared" si="264"/>
        <v>-0.90822658126500144</v>
      </c>
      <c r="AH92" s="14">
        <f t="shared" si="272"/>
        <v>-0.40441761351742245</v>
      </c>
      <c r="AI92" s="14">
        <f t="shared" si="280"/>
        <v>-0.9290581483331527</v>
      </c>
      <c r="AJ92" s="14">
        <f t="shared" si="288"/>
        <v>-0.7645553490393433</v>
      </c>
      <c r="AK92" s="14">
        <f t="shared" si="296"/>
        <v>-0.41748090246935055</v>
      </c>
      <c r="AL92" s="14">
        <f t="shared" si="304"/>
        <v>-2.8153728829183695</v>
      </c>
      <c r="AM92" s="14">
        <f t="shared" si="312"/>
        <v>-0.98978927874268063</v>
      </c>
      <c r="AN92" s="14">
        <f t="shared" si="320"/>
        <v>-0.97335111181815703</v>
      </c>
      <c r="AO92" s="14">
        <f t="shared" si="328"/>
        <v>-1.0454224494004394</v>
      </c>
      <c r="AP92">
        <v>3</v>
      </c>
      <c r="AQ92">
        <f t="shared" si="250"/>
        <v>3</v>
      </c>
      <c r="AR92">
        <f t="shared" si="254"/>
        <v>3</v>
      </c>
      <c r="AS92">
        <f t="shared" si="259"/>
        <v>3</v>
      </c>
      <c r="AT92">
        <f t="shared" si="267"/>
        <v>3</v>
      </c>
      <c r="AU92">
        <f t="shared" si="275"/>
        <v>3</v>
      </c>
      <c r="AV92">
        <f t="shared" si="283"/>
        <v>3</v>
      </c>
      <c r="AW92">
        <f t="shared" si="291"/>
        <v>3</v>
      </c>
      <c r="AX92">
        <f t="shared" si="299"/>
        <v>3</v>
      </c>
      <c r="AY92">
        <f t="shared" si="307"/>
        <v>3</v>
      </c>
      <c r="AZ92">
        <f t="shared" si="315"/>
        <v>3</v>
      </c>
      <c r="BA92">
        <f t="shared" si="323"/>
        <v>3</v>
      </c>
      <c r="BB92">
        <v>5</v>
      </c>
      <c r="BC92">
        <f t="shared" si="251"/>
        <v>34</v>
      </c>
      <c r="BD92">
        <f t="shared" si="255"/>
        <v>10</v>
      </c>
      <c r="BE92">
        <f t="shared" si="260"/>
        <v>14</v>
      </c>
      <c r="BF92">
        <f t="shared" si="268"/>
        <v>11</v>
      </c>
      <c r="BG92">
        <f t="shared" si="276"/>
        <v>5</v>
      </c>
      <c r="BH92">
        <f t="shared" si="284"/>
        <v>16</v>
      </c>
      <c r="BI92">
        <f t="shared" si="292"/>
        <v>9</v>
      </c>
      <c r="BJ92">
        <f t="shared" si="300"/>
        <v>10</v>
      </c>
      <c r="BK92">
        <f t="shared" si="308"/>
        <v>6</v>
      </c>
      <c r="BL92">
        <f t="shared" si="316"/>
        <v>29</v>
      </c>
      <c r="BM92">
        <f t="shared" si="324"/>
        <v>22</v>
      </c>
      <c r="BZ92" s="12">
        <f t="shared" si="220"/>
        <v>-8.6440000000000001</v>
      </c>
      <c r="CA92" s="12">
        <f t="shared" si="252"/>
        <v>-2.4997058823529614</v>
      </c>
      <c r="CB92" s="12">
        <f t="shared" si="256"/>
        <v>-2.3690000000000508</v>
      </c>
      <c r="CC92" s="12">
        <f t="shared" si="265"/>
        <v>-3.1114285714285352</v>
      </c>
      <c r="CD92" s="12">
        <f t="shared" si="273"/>
        <v>-1.7563636363636099</v>
      </c>
      <c r="CE92" s="12">
        <f t="shared" si="281"/>
        <v>-8.8159999999999847</v>
      </c>
      <c r="CF92" s="12">
        <f t="shared" si="289"/>
        <v>-2.2649999999999864</v>
      </c>
      <c r="CG92" s="12">
        <f t="shared" si="297"/>
        <v>-2.1933333333333089</v>
      </c>
      <c r="CH92" s="12">
        <f t="shared" si="305"/>
        <v>-13.438000000000011</v>
      </c>
      <c r="CI92" s="12">
        <f t="shared" si="313"/>
        <v>-7.9100000000000064</v>
      </c>
      <c r="CJ92" s="12">
        <f t="shared" si="321"/>
        <v>-1.603448275862069</v>
      </c>
      <c r="CK92" s="12">
        <f t="shared" si="329"/>
        <v>-2.2813636363636594</v>
      </c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>
        <f t="shared" si="221"/>
        <v>-83.400947922052964</v>
      </c>
      <c r="CY92" s="12">
        <f t="shared" si="222"/>
        <v>-68.196265905494101</v>
      </c>
      <c r="CZ92" s="12">
        <f t="shared" si="223"/>
        <v>-67.114466086461661</v>
      </c>
      <c r="DA92" s="12">
        <f t="shared" si="224"/>
        <v>-72.182814188131331</v>
      </c>
      <c r="DB92" s="12">
        <f t="shared" si="225"/>
        <v>-60.344623307017628</v>
      </c>
      <c r="DC92" s="12">
        <f t="shared" si="226"/>
        <v>-83.528592419684202</v>
      </c>
      <c r="DD92" s="12">
        <f t="shared" si="227"/>
        <v>-66.178488668776396</v>
      </c>
      <c r="DE92" s="12">
        <f t="shared" si="228"/>
        <v>-65.490474431646135</v>
      </c>
      <c r="DF92" s="12">
        <f t="shared" si="229"/>
        <v>-85.74413105056253</v>
      </c>
      <c r="DG92" s="12">
        <f t="shared" si="230"/>
        <v>-82.794762481425053</v>
      </c>
      <c r="DH92" s="12">
        <f t="shared" si="231"/>
        <v>-58.050028553666849</v>
      </c>
      <c r="DI92" s="12">
        <f t="shared" si="232"/>
        <v>-66.330510919763071</v>
      </c>
      <c r="DJ92" t="s">
        <v>22</v>
      </c>
      <c r="DK92" t="str">
        <f t="shared" si="253"/>
        <v>LL</v>
      </c>
      <c r="DL92" t="str">
        <f t="shared" si="257"/>
        <v>HL</v>
      </c>
      <c r="DM92" t="str">
        <f t="shared" si="261"/>
        <v>LL</v>
      </c>
      <c r="DN92" t="str">
        <f t="shared" si="269"/>
        <v>HL</v>
      </c>
      <c r="DO92" t="str">
        <f t="shared" si="277"/>
        <v>LL</v>
      </c>
      <c r="DP92" t="str">
        <f t="shared" si="285"/>
        <v>LL</v>
      </c>
      <c r="DQ92" t="str">
        <f t="shared" si="293"/>
        <v>HL</v>
      </c>
      <c r="DR92" t="str">
        <f t="shared" si="301"/>
        <v>LL</v>
      </c>
      <c r="DS92" t="str">
        <f t="shared" si="309"/>
        <v>HL</v>
      </c>
      <c r="DT92" t="str">
        <f t="shared" si="317"/>
        <v>LL</v>
      </c>
      <c r="DU92" t="str">
        <f t="shared" si="325"/>
        <v>HL</v>
      </c>
      <c r="DV92">
        <f t="shared" si="233"/>
        <v>-1.9635818239179082E-2</v>
      </c>
      <c r="DW92">
        <f t="shared" si="234"/>
        <v>0.83368670843107417</v>
      </c>
      <c r="DX92">
        <f t="shared" si="262"/>
        <v>-0.72213854949792267</v>
      </c>
      <c r="DY92">
        <f t="shared" si="270"/>
        <v>-0.61100817393157125</v>
      </c>
      <c r="DZ92">
        <f t="shared" si="278"/>
        <v>-1.8102553283046112</v>
      </c>
      <c r="EA92">
        <f t="shared" si="286"/>
        <v>-1.7421566395177033</v>
      </c>
      <c r="EB92">
        <f t="shared" si="294"/>
        <v>-1.6408441730709413</v>
      </c>
      <c r="EC92">
        <f t="shared" si="302"/>
        <v>-3.1014148233716421</v>
      </c>
      <c r="ED92">
        <f t="shared" si="310"/>
        <v>-0.82867330802958894</v>
      </c>
      <c r="EE92">
        <f t="shared" si="318"/>
        <v>-1.1773135276165181</v>
      </c>
      <c r="EF92">
        <f t="shared" si="326"/>
        <v>-0.76099240260948098</v>
      </c>
      <c r="EG92" s="13" t="str">
        <f t="shared" si="235"/>
        <v/>
      </c>
      <c r="EH92" s="13" t="str">
        <f t="shared" si="236"/>
        <v/>
      </c>
      <c r="EI92" s="13" t="str">
        <f t="shared" si="237"/>
        <v/>
      </c>
      <c r="EJ92" s="13" t="str">
        <f t="shared" si="238"/>
        <v/>
      </c>
      <c r="EK92" s="13" t="str">
        <f t="shared" si="239"/>
        <v/>
      </c>
      <c r="EL92" s="13" t="str">
        <f t="shared" si="240"/>
        <v/>
      </c>
      <c r="EM92" s="13" t="str">
        <f t="shared" si="241"/>
        <v/>
      </c>
      <c r="EN92" s="13" t="str">
        <f t="shared" si="242"/>
        <v/>
      </c>
      <c r="EO92" s="13" t="str">
        <f t="shared" si="243"/>
        <v/>
      </c>
      <c r="EP92" s="13" t="str">
        <f t="shared" si="244"/>
        <v/>
      </c>
      <c r="EQ92" s="13" t="str">
        <f t="shared" si="245"/>
        <v/>
      </c>
    </row>
    <row r="93" spans="1:147" ht="14.25" customHeight="1" x14ac:dyDescent="0.55000000000000004">
      <c r="A93">
        <v>1776315604</v>
      </c>
      <c r="B93" t="s">
        <v>16</v>
      </c>
      <c r="C93" t="s">
        <v>17</v>
      </c>
      <c r="D93">
        <v>4834.26</v>
      </c>
      <c r="E93" t="s">
        <v>20</v>
      </c>
      <c r="F93">
        <v>4838.38</v>
      </c>
      <c r="G93">
        <v>4830.3900000000003</v>
      </c>
      <c r="H93">
        <v>4871.22</v>
      </c>
      <c r="I93">
        <f t="shared" si="258"/>
        <v>4850.7700000000004</v>
      </c>
      <c r="J93">
        <f t="shared" si="266"/>
        <v>4796.16</v>
      </c>
      <c r="K93">
        <f t="shared" si="274"/>
        <v>4777.24</v>
      </c>
      <c r="L93">
        <f t="shared" si="282"/>
        <v>4744.59</v>
      </c>
      <c r="M93">
        <f t="shared" si="290"/>
        <v>4740.01</v>
      </c>
      <c r="N93">
        <f t="shared" si="298"/>
        <v>4728.3599999999997</v>
      </c>
      <c r="O93">
        <f t="shared" si="306"/>
        <v>4773.08</v>
      </c>
      <c r="P93">
        <f t="shared" si="314"/>
        <v>4794.96</v>
      </c>
      <c r="Q93">
        <f t="shared" si="322"/>
        <v>4777.3100000000004</v>
      </c>
      <c r="R93">
        <v>51.21</v>
      </c>
      <c r="S93">
        <f t="shared" si="246"/>
        <v>44.160000000000764</v>
      </c>
      <c r="T93">
        <f t="shared" si="247"/>
        <v>44.140000000000327</v>
      </c>
      <c r="U93">
        <f t="shared" si="263"/>
        <v>98.170000000000073</v>
      </c>
      <c r="V93">
        <f t="shared" si="271"/>
        <v>38.239999999999782</v>
      </c>
      <c r="W93">
        <f t="shared" si="279"/>
        <v>76.729999999999563</v>
      </c>
      <c r="X93">
        <f t="shared" si="287"/>
        <v>40.819999999999709</v>
      </c>
      <c r="Y93">
        <f t="shared" si="295"/>
        <v>31.390000000000327</v>
      </c>
      <c r="Z93">
        <f t="shared" si="303"/>
        <v>89.659999999999854</v>
      </c>
      <c r="AA93">
        <f t="shared" si="311"/>
        <v>25.579999999999927</v>
      </c>
      <c r="AB93">
        <f t="shared" si="319"/>
        <v>64.149999999999636</v>
      </c>
      <c r="AC93">
        <f t="shared" si="327"/>
        <v>26.570000000000618</v>
      </c>
      <c r="AD93">
        <v>1.07</v>
      </c>
      <c r="AE93" s="14">
        <f t="shared" si="248"/>
        <v>0.92264684313124867</v>
      </c>
      <c r="AF93" s="14">
        <f t="shared" si="249"/>
        <v>0.91442445536432637</v>
      </c>
      <c r="AG93" s="14">
        <f t="shared" si="264"/>
        <v>2.065606194504062</v>
      </c>
      <c r="AH93" s="14">
        <f t="shared" si="272"/>
        <v>0.80371254665903979</v>
      </c>
      <c r="AI93" s="14">
        <f t="shared" si="280"/>
        <v>1.6323760613209961</v>
      </c>
      <c r="AJ93" s="14">
        <f t="shared" si="288"/>
        <v>0.86781454025174931</v>
      </c>
      <c r="AK93" s="14">
        <f t="shared" si="296"/>
        <v>0.66664967655067364</v>
      </c>
      <c r="AL93" s="14">
        <f t="shared" si="304"/>
        <v>1.9328691228145785</v>
      </c>
      <c r="AM93" s="14">
        <f t="shared" si="312"/>
        <v>0.53880989994733919</v>
      </c>
      <c r="AN93" s="14">
        <f t="shared" si="320"/>
        <v>1.3560045742695148</v>
      </c>
      <c r="AO93" s="14">
        <f t="shared" si="328"/>
        <v>0.55928129091469159</v>
      </c>
      <c r="AP93">
        <v>0</v>
      </c>
      <c r="AQ93">
        <f t="shared" si="250"/>
        <v>0</v>
      </c>
      <c r="AR93">
        <f t="shared" si="254"/>
        <v>0</v>
      </c>
      <c r="AS93">
        <f t="shared" si="259"/>
        <v>0</v>
      </c>
      <c r="AT93">
        <f t="shared" si="267"/>
        <v>0</v>
      </c>
      <c r="AU93">
        <f t="shared" si="275"/>
        <v>0</v>
      </c>
      <c r="AV93">
        <f t="shared" si="283"/>
        <v>0</v>
      </c>
      <c r="AW93">
        <f t="shared" si="291"/>
        <v>0</v>
      </c>
      <c r="AX93">
        <f t="shared" si="299"/>
        <v>0</v>
      </c>
      <c r="AY93">
        <f t="shared" si="307"/>
        <v>0</v>
      </c>
      <c r="AZ93">
        <f t="shared" si="315"/>
        <v>0</v>
      </c>
      <c r="BA93">
        <f t="shared" si="323"/>
        <v>0</v>
      </c>
      <c r="BB93">
        <v>50</v>
      </c>
      <c r="BC93">
        <f t="shared" si="251"/>
        <v>18</v>
      </c>
      <c r="BD93">
        <f t="shared" si="255"/>
        <v>3</v>
      </c>
      <c r="BE93">
        <f t="shared" si="260"/>
        <v>42</v>
      </c>
      <c r="BF93">
        <f t="shared" si="268"/>
        <v>6</v>
      </c>
      <c r="BG93">
        <f t="shared" si="276"/>
        <v>43</v>
      </c>
      <c r="BH93">
        <f t="shared" si="284"/>
        <v>8</v>
      </c>
      <c r="BI93">
        <f t="shared" si="292"/>
        <v>15</v>
      </c>
      <c r="BJ93">
        <f t="shared" si="300"/>
        <v>15</v>
      </c>
      <c r="BK93">
        <f t="shared" si="308"/>
        <v>10</v>
      </c>
      <c r="BL93">
        <f t="shared" si="316"/>
        <v>23</v>
      </c>
      <c r="BM93">
        <f t="shared" si="324"/>
        <v>6</v>
      </c>
      <c r="BZ93" s="12">
        <f t="shared" si="220"/>
        <v>1.0242</v>
      </c>
      <c r="CA93" s="12">
        <f t="shared" si="252"/>
        <v>2.4533333333333758</v>
      </c>
      <c r="CB93" s="12">
        <f t="shared" si="256"/>
        <v>14.713333333333443</v>
      </c>
      <c r="CC93" s="12">
        <f t="shared" si="265"/>
        <v>2.3373809523809541</v>
      </c>
      <c r="CD93" s="12">
        <f t="shared" si="273"/>
        <v>6.3733333333332967</v>
      </c>
      <c r="CE93" s="12">
        <f t="shared" si="281"/>
        <v>1.7844186046511525</v>
      </c>
      <c r="CF93" s="12">
        <f t="shared" si="289"/>
        <v>5.1024999999999636</v>
      </c>
      <c r="CG93" s="12">
        <f t="shared" si="297"/>
        <v>2.0926666666666884</v>
      </c>
      <c r="CH93" s="12">
        <f t="shared" si="305"/>
        <v>5.9773333333333234</v>
      </c>
      <c r="CI93" s="12">
        <f t="shared" si="313"/>
        <v>2.5579999999999927</v>
      </c>
      <c r="CJ93" s="12">
        <f t="shared" si="321"/>
        <v>2.7891304347825927</v>
      </c>
      <c r="CK93" s="12">
        <f t="shared" si="329"/>
        <v>4.4283333333334367</v>
      </c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>
        <f t="shared" si="221"/>
        <v>45.684957914023855</v>
      </c>
      <c r="CY93" s="12">
        <f t="shared" si="222"/>
        <v>67.823763658507573</v>
      </c>
      <c r="CZ93" s="12">
        <f t="shared" si="223"/>
        <v>86.111839550133269</v>
      </c>
      <c r="DA93" s="12">
        <f t="shared" si="224"/>
        <v>66.837343085781896</v>
      </c>
      <c r="DB93" s="12">
        <f t="shared" si="225"/>
        <v>81.082779193084988</v>
      </c>
      <c r="DC93" s="12">
        <f t="shared" si="226"/>
        <v>60.733441015265882</v>
      </c>
      <c r="DD93" s="12">
        <f t="shared" si="227"/>
        <v>78.911577686867446</v>
      </c>
      <c r="DE93" s="12">
        <f t="shared" si="228"/>
        <v>64.458768015845365</v>
      </c>
      <c r="DF93" s="12">
        <f t="shared" si="229"/>
        <v>80.502448186615112</v>
      </c>
      <c r="DG93" s="12">
        <f t="shared" si="230"/>
        <v>68.647959962356097</v>
      </c>
      <c r="DH93" s="12">
        <f t="shared" si="231"/>
        <v>70.275482340083116</v>
      </c>
      <c r="DI93" s="12">
        <f t="shared" si="232"/>
        <v>77.274982448283495</v>
      </c>
      <c r="DJ93" t="s">
        <v>23</v>
      </c>
      <c r="DK93" t="str">
        <f t="shared" si="253"/>
        <v>LH</v>
      </c>
      <c r="DL93" t="str">
        <f t="shared" si="257"/>
        <v>HH</v>
      </c>
      <c r="DM93" t="str">
        <f t="shared" si="261"/>
        <v>HH</v>
      </c>
      <c r="DN93" t="str">
        <f t="shared" si="269"/>
        <v>HH</v>
      </c>
      <c r="DO93" t="str">
        <f t="shared" si="277"/>
        <v>HH</v>
      </c>
      <c r="DP93" t="str">
        <f t="shared" si="285"/>
        <v>HH</v>
      </c>
      <c r="DQ93" t="str">
        <f t="shared" si="293"/>
        <v>HH</v>
      </c>
      <c r="DR93" t="str">
        <f t="shared" si="301"/>
        <v>LH</v>
      </c>
      <c r="DS93" t="str">
        <f t="shared" si="309"/>
        <v>LH</v>
      </c>
      <c r="DT93" t="str">
        <f t="shared" si="317"/>
        <v>HH</v>
      </c>
      <c r="DU93" t="str">
        <f t="shared" si="325"/>
        <v>LH</v>
      </c>
      <c r="DV93">
        <f t="shared" si="233"/>
        <v>-0.16513791806347955</v>
      </c>
      <c r="DW93">
        <f t="shared" si="234"/>
        <v>0.67873957812325914</v>
      </c>
      <c r="DX93">
        <f t="shared" si="262"/>
        <v>0.25607744741009031</v>
      </c>
      <c r="DY93">
        <f t="shared" si="270"/>
        <v>-0.87260612023033024</v>
      </c>
      <c r="DZ93">
        <f t="shared" si="278"/>
        <v>-1.2636460964207095</v>
      </c>
      <c r="EA93">
        <f t="shared" si="286"/>
        <v>-1.9384587403221731</v>
      </c>
      <c r="EB93">
        <f t="shared" si="294"/>
        <v>-2.0331185231420412</v>
      </c>
      <c r="EC93">
        <f t="shared" si="302"/>
        <v>-2.2739015951620258</v>
      </c>
      <c r="ED93">
        <f t="shared" si="310"/>
        <v>-1.349625287802946</v>
      </c>
      <c r="EE93">
        <f t="shared" si="318"/>
        <v>-0.89740781005212633</v>
      </c>
      <c r="EF93">
        <f t="shared" si="326"/>
        <v>-1.2621993311810917</v>
      </c>
      <c r="EG93" s="13" t="str">
        <f t="shared" si="235"/>
        <v>EQH</v>
      </c>
      <c r="EH93" s="13" t="str">
        <f t="shared" si="236"/>
        <v/>
      </c>
      <c r="EI93" s="13" t="str">
        <f t="shared" si="237"/>
        <v/>
      </c>
      <c r="EJ93" s="13" t="str">
        <f t="shared" si="238"/>
        <v/>
      </c>
      <c r="EK93" s="13" t="str">
        <f t="shared" si="239"/>
        <v/>
      </c>
      <c r="EL93" s="13" t="str">
        <f t="shared" si="240"/>
        <v/>
      </c>
      <c r="EM93" s="13" t="str">
        <f t="shared" si="241"/>
        <v/>
      </c>
      <c r="EN93" s="13" t="str">
        <f t="shared" si="242"/>
        <v/>
      </c>
      <c r="EO93" s="13" t="str">
        <f t="shared" si="243"/>
        <v/>
      </c>
      <c r="EP93" s="13" t="str">
        <f t="shared" si="244"/>
        <v/>
      </c>
      <c r="EQ93" s="13" t="str">
        <f t="shared" si="245"/>
        <v/>
      </c>
    </row>
    <row r="94" spans="1:147" ht="14.25" customHeight="1" x14ac:dyDescent="0.55000000000000004">
      <c r="A94">
        <v>1776335404</v>
      </c>
      <c r="B94" t="s">
        <v>16</v>
      </c>
      <c r="C94" t="s">
        <v>17</v>
      </c>
      <c r="D94">
        <v>4808.3999999999996</v>
      </c>
      <c r="E94" t="s">
        <v>18</v>
      </c>
      <c r="F94">
        <v>4805.21</v>
      </c>
      <c r="G94">
        <v>4787.17</v>
      </c>
      <c r="H94">
        <v>4786.2299999999996</v>
      </c>
      <c r="I94">
        <f t="shared" si="258"/>
        <v>4827.08</v>
      </c>
      <c r="J94">
        <f t="shared" si="266"/>
        <v>4752.6000000000004</v>
      </c>
      <c r="K94">
        <f t="shared" si="274"/>
        <v>4757.92</v>
      </c>
      <c r="L94">
        <f t="shared" si="282"/>
        <v>4700.51</v>
      </c>
      <c r="M94">
        <f t="shared" si="290"/>
        <v>4703.7700000000004</v>
      </c>
      <c r="N94">
        <f t="shared" si="298"/>
        <v>4708.62</v>
      </c>
      <c r="O94">
        <f t="shared" si="306"/>
        <v>4638.7</v>
      </c>
      <c r="P94">
        <f t="shared" si="314"/>
        <v>4747.5</v>
      </c>
      <c r="Q94">
        <f t="shared" si="322"/>
        <v>4730.8100000000004</v>
      </c>
      <c r="R94">
        <v>-33.17</v>
      </c>
      <c r="S94">
        <f t="shared" si="246"/>
        <v>-43.220000000000255</v>
      </c>
      <c r="T94">
        <f t="shared" si="247"/>
        <v>-84.990000000000691</v>
      </c>
      <c r="U94">
        <f t="shared" si="263"/>
        <v>-23.690000000000509</v>
      </c>
      <c r="V94">
        <f t="shared" si="271"/>
        <v>-43.559999999999491</v>
      </c>
      <c r="W94">
        <f t="shared" si="279"/>
        <v>-19.319999999999709</v>
      </c>
      <c r="X94">
        <f t="shared" si="287"/>
        <v>-44.079999999999927</v>
      </c>
      <c r="Y94">
        <f t="shared" si="295"/>
        <v>-36.239999999999782</v>
      </c>
      <c r="Z94">
        <f t="shared" si="303"/>
        <v>-19.739999999999782</v>
      </c>
      <c r="AA94">
        <f t="shared" si="311"/>
        <v>-134.38000000000011</v>
      </c>
      <c r="AB94">
        <f t="shared" si="319"/>
        <v>-47.460000000000036</v>
      </c>
      <c r="AC94">
        <f t="shared" si="327"/>
        <v>-46.5</v>
      </c>
      <c r="AD94">
        <v>-0.69</v>
      </c>
      <c r="AE94" s="14">
        <f t="shared" si="248"/>
        <v>-0.89475176952586133</v>
      </c>
      <c r="AF94" s="14">
        <f t="shared" si="249"/>
        <v>-1.7447374579674226</v>
      </c>
      <c r="AG94" s="14">
        <f t="shared" si="264"/>
        <v>-0.48837607225245699</v>
      </c>
      <c r="AH94" s="14">
        <f t="shared" si="272"/>
        <v>-0.90822658126500144</v>
      </c>
      <c r="AI94" s="14">
        <f t="shared" si="280"/>
        <v>-0.40441761351742245</v>
      </c>
      <c r="AJ94" s="14">
        <f t="shared" si="288"/>
        <v>-0.9290581483331527</v>
      </c>
      <c r="AK94" s="14">
        <f t="shared" si="296"/>
        <v>-0.7645553490393433</v>
      </c>
      <c r="AL94" s="14">
        <f t="shared" si="304"/>
        <v>-0.41748090246935055</v>
      </c>
      <c r="AM94" s="14">
        <f t="shared" si="312"/>
        <v>-2.8153728829183695</v>
      </c>
      <c r="AN94" s="14">
        <f t="shared" si="320"/>
        <v>-0.98978927874268063</v>
      </c>
      <c r="AO94" s="14">
        <f t="shared" si="328"/>
        <v>-0.97335111181815703</v>
      </c>
      <c r="AP94">
        <v>3</v>
      </c>
      <c r="AQ94">
        <f t="shared" si="250"/>
        <v>3</v>
      </c>
      <c r="AR94">
        <f t="shared" si="254"/>
        <v>3</v>
      </c>
      <c r="AS94">
        <f t="shared" si="259"/>
        <v>3</v>
      </c>
      <c r="AT94">
        <f t="shared" si="267"/>
        <v>3</v>
      </c>
      <c r="AU94">
        <f t="shared" si="275"/>
        <v>3</v>
      </c>
      <c r="AV94">
        <f t="shared" si="283"/>
        <v>3</v>
      </c>
      <c r="AW94">
        <f t="shared" si="291"/>
        <v>3</v>
      </c>
      <c r="AX94">
        <f t="shared" si="299"/>
        <v>3</v>
      </c>
      <c r="AY94">
        <f t="shared" si="307"/>
        <v>3</v>
      </c>
      <c r="AZ94">
        <f t="shared" si="315"/>
        <v>3</v>
      </c>
      <c r="BA94">
        <f t="shared" si="323"/>
        <v>3</v>
      </c>
      <c r="BB94">
        <v>22</v>
      </c>
      <c r="BC94">
        <f t="shared" si="251"/>
        <v>5</v>
      </c>
      <c r="BD94">
        <f t="shared" si="255"/>
        <v>34</v>
      </c>
      <c r="BE94">
        <f t="shared" si="260"/>
        <v>10</v>
      </c>
      <c r="BF94">
        <f t="shared" si="268"/>
        <v>14</v>
      </c>
      <c r="BG94">
        <f t="shared" si="276"/>
        <v>11</v>
      </c>
      <c r="BH94">
        <f t="shared" si="284"/>
        <v>5</v>
      </c>
      <c r="BI94">
        <f t="shared" si="292"/>
        <v>16</v>
      </c>
      <c r="BJ94">
        <f t="shared" si="300"/>
        <v>9</v>
      </c>
      <c r="BK94">
        <f t="shared" si="308"/>
        <v>10</v>
      </c>
      <c r="BL94">
        <f t="shared" si="316"/>
        <v>6</v>
      </c>
      <c r="BM94">
        <f t="shared" si="324"/>
        <v>29</v>
      </c>
      <c r="BZ94" s="12">
        <f t="shared" si="220"/>
        <v>-1.5077272727272728</v>
      </c>
      <c r="CA94" s="12">
        <f t="shared" si="252"/>
        <v>-8.6440000000000516</v>
      </c>
      <c r="CB94" s="12">
        <f t="shared" si="256"/>
        <v>-2.4997058823529614</v>
      </c>
      <c r="CC94" s="12">
        <f t="shared" si="265"/>
        <v>-2.3690000000000508</v>
      </c>
      <c r="CD94" s="12">
        <f t="shared" si="273"/>
        <v>-3.1114285714285352</v>
      </c>
      <c r="CE94" s="12">
        <f t="shared" si="281"/>
        <v>-1.7563636363636099</v>
      </c>
      <c r="CF94" s="12">
        <f t="shared" si="289"/>
        <v>-8.8159999999999847</v>
      </c>
      <c r="CG94" s="12">
        <f t="shared" si="297"/>
        <v>-2.2649999999999864</v>
      </c>
      <c r="CH94" s="12">
        <f t="shared" si="305"/>
        <v>-2.1933333333333089</v>
      </c>
      <c r="CI94" s="12">
        <f t="shared" si="313"/>
        <v>-13.438000000000011</v>
      </c>
      <c r="CJ94" s="12">
        <f t="shared" si="321"/>
        <v>-7.9100000000000064</v>
      </c>
      <c r="CK94" s="12">
        <f t="shared" si="329"/>
        <v>-1.603448275862069</v>
      </c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>
        <f t="shared" si="221"/>
        <v>-56.445675827003022</v>
      </c>
      <c r="CY94" s="12">
        <f t="shared" si="222"/>
        <v>-83.400947922053007</v>
      </c>
      <c r="CZ94" s="12">
        <f t="shared" si="223"/>
        <v>-68.196265905494101</v>
      </c>
      <c r="DA94" s="12">
        <f t="shared" si="224"/>
        <v>-67.114466086461661</v>
      </c>
      <c r="DB94" s="12">
        <f t="shared" si="225"/>
        <v>-72.182814188131331</v>
      </c>
      <c r="DC94" s="12">
        <f t="shared" si="226"/>
        <v>-60.344623307017628</v>
      </c>
      <c r="DD94" s="12">
        <f t="shared" si="227"/>
        <v>-83.528592419684202</v>
      </c>
      <c r="DE94" s="12">
        <f t="shared" si="228"/>
        <v>-66.178488668776396</v>
      </c>
      <c r="DF94" s="12">
        <f t="shared" si="229"/>
        <v>-65.490474431646135</v>
      </c>
      <c r="DG94" s="12">
        <f t="shared" si="230"/>
        <v>-85.74413105056253</v>
      </c>
      <c r="DH94" s="12">
        <f t="shared" si="231"/>
        <v>-82.794762481425053</v>
      </c>
      <c r="DI94" s="12">
        <f t="shared" si="232"/>
        <v>-58.050028553666849</v>
      </c>
      <c r="DJ94" t="s">
        <v>22</v>
      </c>
      <c r="DK94" t="str">
        <f t="shared" si="253"/>
        <v>HL</v>
      </c>
      <c r="DL94" t="str">
        <f t="shared" si="257"/>
        <v>LL</v>
      </c>
      <c r="DM94" t="str">
        <f t="shared" si="261"/>
        <v>HL</v>
      </c>
      <c r="DN94" t="str">
        <f t="shared" si="269"/>
        <v>LL</v>
      </c>
      <c r="DO94" t="str">
        <f t="shared" si="277"/>
        <v>HL</v>
      </c>
      <c r="DP94" t="str">
        <f t="shared" si="285"/>
        <v>LL</v>
      </c>
      <c r="DQ94" t="str">
        <f t="shared" si="293"/>
        <v>LL</v>
      </c>
      <c r="DR94" t="str">
        <f t="shared" si="301"/>
        <v>HL</v>
      </c>
      <c r="DS94" t="str">
        <f t="shared" si="309"/>
        <v>LL</v>
      </c>
      <c r="DT94" t="str">
        <f t="shared" si="317"/>
        <v>HL</v>
      </c>
      <c r="DU94" t="str">
        <f t="shared" si="325"/>
        <v>LL</v>
      </c>
      <c r="DV94">
        <f t="shared" si="233"/>
        <v>-0.37542583986964073</v>
      </c>
      <c r="DW94">
        <f t="shared" si="234"/>
        <v>-0.39498794017328015</v>
      </c>
      <c r="DX94">
        <f t="shared" si="262"/>
        <v>0.45513099323442452</v>
      </c>
      <c r="DY94">
        <f t="shared" si="270"/>
        <v>-1.0948532946530884</v>
      </c>
      <c r="DZ94">
        <f t="shared" si="278"/>
        <v>-0.98414013123255728</v>
      </c>
      <c r="EA94">
        <f t="shared" si="286"/>
        <v>-2.1788850019041792</v>
      </c>
      <c r="EB94">
        <f t="shared" si="294"/>
        <v>-2.1110419731915897</v>
      </c>
      <c r="EC94">
        <f t="shared" si="302"/>
        <v>-2.0101098599228782</v>
      </c>
      <c r="ED94">
        <f t="shared" si="310"/>
        <v>-3.4651971505927985</v>
      </c>
      <c r="EE94">
        <f t="shared" si="318"/>
        <v>-1.200988094172784</v>
      </c>
      <c r="EF94">
        <f t="shared" si="326"/>
        <v>-1.5483194282872057</v>
      </c>
      <c r="EG94" s="13" t="str">
        <f t="shared" si="235"/>
        <v/>
      </c>
      <c r="EH94" s="13" t="str">
        <f t="shared" si="236"/>
        <v/>
      </c>
      <c r="EI94" s="13" t="str">
        <f t="shared" si="237"/>
        <v/>
      </c>
      <c r="EJ94" s="13" t="str">
        <f t="shared" si="238"/>
        <v/>
      </c>
      <c r="EK94" s="13" t="str">
        <f t="shared" si="239"/>
        <v/>
      </c>
      <c r="EL94" s="13" t="str">
        <f t="shared" si="240"/>
        <v/>
      </c>
      <c r="EM94" s="13" t="str">
        <f t="shared" si="241"/>
        <v/>
      </c>
      <c r="EN94" s="13" t="str">
        <f t="shared" si="242"/>
        <v/>
      </c>
      <c r="EO94" s="13" t="str">
        <f t="shared" si="243"/>
        <v/>
      </c>
      <c r="EP94" s="13" t="str">
        <f t="shared" si="244"/>
        <v/>
      </c>
      <c r="EQ94" s="13" t="str">
        <f t="shared" si="245"/>
        <v/>
      </c>
    </row>
    <row r="95" spans="1:147" ht="14.25" customHeight="1" x14ac:dyDescent="0.55000000000000004">
      <c r="A95">
        <v>1776346204</v>
      </c>
      <c r="B95" t="s">
        <v>16</v>
      </c>
      <c r="C95" t="s">
        <v>17</v>
      </c>
      <c r="D95">
        <v>4816.26</v>
      </c>
      <c r="E95" t="s">
        <v>20</v>
      </c>
      <c r="F95">
        <v>4823.8100000000004</v>
      </c>
      <c r="G95">
        <v>4838.38</v>
      </c>
      <c r="H95">
        <v>4830.3900000000003</v>
      </c>
      <c r="I95">
        <f t="shared" si="258"/>
        <v>4871.22</v>
      </c>
      <c r="J95">
        <f t="shared" si="266"/>
        <v>4850.7700000000004</v>
      </c>
      <c r="K95">
        <f t="shared" si="274"/>
        <v>4796.16</v>
      </c>
      <c r="L95">
        <f t="shared" si="282"/>
        <v>4777.24</v>
      </c>
      <c r="M95">
        <f t="shared" si="290"/>
        <v>4744.59</v>
      </c>
      <c r="N95">
        <f t="shared" si="298"/>
        <v>4740.01</v>
      </c>
      <c r="O95">
        <f t="shared" si="306"/>
        <v>4728.3599999999997</v>
      </c>
      <c r="P95">
        <f t="shared" si="314"/>
        <v>4773.08</v>
      </c>
      <c r="Q95">
        <f t="shared" si="322"/>
        <v>4794.96</v>
      </c>
      <c r="R95">
        <v>18.600000000000001</v>
      </c>
      <c r="S95">
        <f t="shared" si="246"/>
        <v>51.210000000000036</v>
      </c>
      <c r="T95">
        <f t="shared" si="247"/>
        <v>44.160000000000764</v>
      </c>
      <c r="U95">
        <f t="shared" si="263"/>
        <v>44.140000000000327</v>
      </c>
      <c r="V95">
        <f t="shared" si="271"/>
        <v>98.170000000000073</v>
      </c>
      <c r="W95">
        <f t="shared" si="279"/>
        <v>38.239999999999782</v>
      </c>
      <c r="X95">
        <f t="shared" si="287"/>
        <v>76.729999999999563</v>
      </c>
      <c r="Y95">
        <f t="shared" si="295"/>
        <v>40.819999999999709</v>
      </c>
      <c r="Z95">
        <f t="shared" si="303"/>
        <v>31.390000000000327</v>
      </c>
      <c r="AA95">
        <f t="shared" si="311"/>
        <v>89.659999999999854</v>
      </c>
      <c r="AB95">
        <f t="shared" si="319"/>
        <v>25.579999999999927</v>
      </c>
      <c r="AC95">
        <f t="shared" si="327"/>
        <v>64.149999999999636</v>
      </c>
      <c r="AD95">
        <v>0.39</v>
      </c>
      <c r="AE95" s="14">
        <f t="shared" si="248"/>
        <v>1.0697343106678903</v>
      </c>
      <c r="AF95" s="14">
        <f t="shared" si="249"/>
        <v>0.92264684313124867</v>
      </c>
      <c r="AG95" s="14">
        <f t="shared" si="264"/>
        <v>0.91442445536432637</v>
      </c>
      <c r="AH95" s="14">
        <f t="shared" si="272"/>
        <v>2.065606194504062</v>
      </c>
      <c r="AI95" s="14">
        <f t="shared" si="280"/>
        <v>0.80371254665903979</v>
      </c>
      <c r="AJ95" s="14">
        <f t="shared" si="288"/>
        <v>1.6323760613209961</v>
      </c>
      <c r="AK95" s="14">
        <f t="shared" si="296"/>
        <v>0.86781454025174931</v>
      </c>
      <c r="AL95" s="14">
        <f t="shared" si="304"/>
        <v>0.66664967655067364</v>
      </c>
      <c r="AM95" s="14">
        <f t="shared" si="312"/>
        <v>1.9328691228145785</v>
      </c>
      <c r="AN95" s="14">
        <f t="shared" si="320"/>
        <v>0.53880989994733919</v>
      </c>
      <c r="AO95" s="14">
        <f t="shared" si="328"/>
        <v>1.3560045742695148</v>
      </c>
      <c r="AP95">
        <v>0</v>
      </c>
      <c r="AQ95">
        <f t="shared" si="250"/>
        <v>0</v>
      </c>
      <c r="AR95">
        <f t="shared" si="254"/>
        <v>0</v>
      </c>
      <c r="AS95">
        <f t="shared" si="259"/>
        <v>0</v>
      </c>
      <c r="AT95">
        <f t="shared" si="267"/>
        <v>0</v>
      </c>
      <c r="AU95">
        <f t="shared" si="275"/>
        <v>0</v>
      </c>
      <c r="AV95">
        <f t="shared" si="283"/>
        <v>0</v>
      </c>
      <c r="AW95">
        <f t="shared" si="291"/>
        <v>0</v>
      </c>
      <c r="AX95">
        <f t="shared" si="299"/>
        <v>0</v>
      </c>
      <c r="AY95">
        <f t="shared" si="307"/>
        <v>0</v>
      </c>
      <c r="AZ95">
        <f t="shared" si="315"/>
        <v>0</v>
      </c>
      <c r="BA95">
        <f t="shared" si="323"/>
        <v>0</v>
      </c>
      <c r="BB95">
        <v>12</v>
      </c>
      <c r="BC95">
        <f t="shared" si="251"/>
        <v>50</v>
      </c>
      <c r="BD95">
        <f t="shared" si="255"/>
        <v>18</v>
      </c>
      <c r="BE95">
        <f t="shared" si="260"/>
        <v>3</v>
      </c>
      <c r="BF95">
        <f t="shared" si="268"/>
        <v>42</v>
      </c>
      <c r="BG95">
        <f t="shared" si="276"/>
        <v>6</v>
      </c>
      <c r="BH95">
        <f t="shared" si="284"/>
        <v>43</v>
      </c>
      <c r="BI95">
        <f t="shared" si="292"/>
        <v>8</v>
      </c>
      <c r="BJ95">
        <f t="shared" si="300"/>
        <v>15</v>
      </c>
      <c r="BK95">
        <f t="shared" si="308"/>
        <v>15</v>
      </c>
      <c r="BL95">
        <f t="shared" si="316"/>
        <v>10</v>
      </c>
      <c r="BM95">
        <f t="shared" si="324"/>
        <v>23</v>
      </c>
      <c r="BZ95" s="12">
        <f t="shared" si="220"/>
        <v>1.55</v>
      </c>
      <c r="CA95" s="12">
        <f t="shared" si="252"/>
        <v>1.0242000000000007</v>
      </c>
      <c r="CB95" s="12">
        <f t="shared" si="256"/>
        <v>2.4533333333333758</v>
      </c>
      <c r="CC95" s="12">
        <f t="shared" si="265"/>
        <v>14.713333333333443</v>
      </c>
      <c r="CD95" s="12">
        <f t="shared" si="273"/>
        <v>2.3373809523809541</v>
      </c>
      <c r="CE95" s="12">
        <f t="shared" si="281"/>
        <v>6.3733333333332967</v>
      </c>
      <c r="CF95" s="12">
        <f t="shared" si="289"/>
        <v>1.7844186046511525</v>
      </c>
      <c r="CG95" s="12">
        <f t="shared" si="297"/>
        <v>5.1024999999999636</v>
      </c>
      <c r="CH95" s="12">
        <f t="shared" si="305"/>
        <v>2.0926666666666884</v>
      </c>
      <c r="CI95" s="12">
        <f t="shared" si="313"/>
        <v>5.9773333333333234</v>
      </c>
      <c r="CJ95" s="12">
        <f t="shared" si="321"/>
        <v>2.5579999999999927</v>
      </c>
      <c r="CK95" s="12">
        <f t="shared" si="329"/>
        <v>2.7891304347825927</v>
      </c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>
        <f t="shared" si="221"/>
        <v>57.171458208587474</v>
      </c>
      <c r="CY95" s="12">
        <f t="shared" si="222"/>
        <v>45.684957914023869</v>
      </c>
      <c r="CZ95" s="12">
        <f t="shared" si="223"/>
        <v>67.823763658507573</v>
      </c>
      <c r="DA95" s="12">
        <f t="shared" si="224"/>
        <v>86.111839550133269</v>
      </c>
      <c r="DB95" s="12">
        <f t="shared" si="225"/>
        <v>66.837343085781896</v>
      </c>
      <c r="DC95" s="12">
        <f t="shared" si="226"/>
        <v>81.082779193084988</v>
      </c>
      <c r="DD95" s="12">
        <f t="shared" si="227"/>
        <v>60.733441015265882</v>
      </c>
      <c r="DE95" s="12">
        <f t="shared" si="228"/>
        <v>78.911577686867446</v>
      </c>
      <c r="DF95" s="12">
        <f t="shared" si="229"/>
        <v>64.458768015845365</v>
      </c>
      <c r="DG95" s="12">
        <f t="shared" si="230"/>
        <v>80.502448186615112</v>
      </c>
      <c r="DH95" s="12">
        <f t="shared" si="231"/>
        <v>68.647959962356097</v>
      </c>
      <c r="DI95" s="12">
        <f t="shared" si="232"/>
        <v>70.275482340083116</v>
      </c>
      <c r="DJ95" t="s">
        <v>21</v>
      </c>
      <c r="DK95" t="str">
        <f t="shared" si="253"/>
        <v>HH</v>
      </c>
      <c r="DL95" t="str">
        <f t="shared" si="257"/>
        <v>LH</v>
      </c>
      <c r="DM95" t="str">
        <f t="shared" si="261"/>
        <v>HH</v>
      </c>
      <c r="DN95" t="str">
        <f t="shared" si="269"/>
        <v>HH</v>
      </c>
      <c r="DO95" t="str">
        <f t="shared" si="277"/>
        <v>HH</v>
      </c>
      <c r="DP95" t="str">
        <f t="shared" si="285"/>
        <v>HH</v>
      </c>
      <c r="DQ95" t="str">
        <f t="shared" si="293"/>
        <v>HH</v>
      </c>
      <c r="DR95" t="str">
        <f t="shared" si="301"/>
        <v>HH</v>
      </c>
      <c r="DS95" t="str">
        <f t="shared" si="309"/>
        <v>LH</v>
      </c>
      <c r="DT95" t="str">
        <f t="shared" si="317"/>
        <v>LH</v>
      </c>
      <c r="DU95" t="str">
        <f t="shared" si="325"/>
        <v>HH</v>
      </c>
      <c r="DV95">
        <f t="shared" si="233"/>
        <v>0.30204340552384334</v>
      </c>
      <c r="DW95">
        <f t="shared" si="234"/>
        <v>0.1364066992688337</v>
      </c>
      <c r="DX95">
        <f t="shared" si="262"/>
        <v>0.9828330717835041</v>
      </c>
      <c r="DY95">
        <f t="shared" si="270"/>
        <v>0.55889431797686961</v>
      </c>
      <c r="DZ95">
        <f t="shared" si="278"/>
        <v>-0.57319836394884005</v>
      </c>
      <c r="EA95">
        <f t="shared" si="286"/>
        <v>-0.96541945060026435</v>
      </c>
      <c r="EB95">
        <f t="shared" si="294"/>
        <v>-1.6422703215922736</v>
      </c>
      <c r="EC95">
        <f t="shared" si="302"/>
        <v>-1.7372160180438321</v>
      </c>
      <c r="ED95">
        <f t="shared" si="310"/>
        <v>-1.9787263594544711</v>
      </c>
      <c r="EE95">
        <f t="shared" si="318"/>
        <v>-1.0516583364601937</v>
      </c>
      <c r="EF95">
        <f t="shared" si="326"/>
        <v>-0.59807496563920137</v>
      </c>
      <c r="EG95" s="13" t="str">
        <f t="shared" si="235"/>
        <v/>
      </c>
      <c r="EH95" s="13" t="str">
        <f t="shared" si="236"/>
        <v>EQH</v>
      </c>
      <c r="EI95" s="13" t="str">
        <f t="shared" si="237"/>
        <v/>
      </c>
      <c r="EJ95" s="13" t="str">
        <f t="shared" si="238"/>
        <v/>
      </c>
      <c r="EK95" s="13" t="str">
        <f t="shared" si="239"/>
        <v/>
      </c>
      <c r="EL95" s="13" t="str">
        <f t="shared" si="240"/>
        <v/>
      </c>
      <c r="EM95" s="13" t="str">
        <f t="shared" si="241"/>
        <v/>
      </c>
      <c r="EN95" s="13" t="str">
        <f t="shared" si="242"/>
        <v/>
      </c>
      <c r="EO95" s="13" t="str">
        <f t="shared" si="243"/>
        <v/>
      </c>
      <c r="EP95" s="13" t="str">
        <f t="shared" si="244"/>
        <v/>
      </c>
      <c r="EQ95" s="13" t="str">
        <f t="shared" si="245"/>
        <v/>
      </c>
    </row>
    <row r="96" spans="1:147" ht="14.25" customHeight="1" x14ac:dyDescent="0.55000000000000004">
      <c r="A96">
        <v>1776349804</v>
      </c>
      <c r="B96" t="s">
        <v>16</v>
      </c>
      <c r="C96" t="s">
        <v>17</v>
      </c>
      <c r="D96">
        <v>4787.7299999999996</v>
      </c>
      <c r="E96" t="s">
        <v>18</v>
      </c>
      <c r="F96">
        <v>4772.67</v>
      </c>
      <c r="G96">
        <v>4805.21</v>
      </c>
      <c r="H96">
        <v>4787.17</v>
      </c>
      <c r="I96">
        <f t="shared" si="258"/>
        <v>4786.2299999999996</v>
      </c>
      <c r="J96">
        <f t="shared" si="266"/>
        <v>4827.08</v>
      </c>
      <c r="K96">
        <f t="shared" si="274"/>
        <v>4752.6000000000004</v>
      </c>
      <c r="L96">
        <f t="shared" si="282"/>
        <v>4757.92</v>
      </c>
      <c r="M96">
        <f t="shared" si="290"/>
        <v>4700.51</v>
      </c>
      <c r="N96">
        <f t="shared" si="298"/>
        <v>4703.7700000000004</v>
      </c>
      <c r="O96">
        <f t="shared" si="306"/>
        <v>4708.62</v>
      </c>
      <c r="P96">
        <f t="shared" si="314"/>
        <v>4638.7</v>
      </c>
      <c r="Q96">
        <f t="shared" si="322"/>
        <v>4747.5</v>
      </c>
      <c r="R96">
        <v>-51.14</v>
      </c>
      <c r="S96">
        <f t="shared" si="246"/>
        <v>-33.170000000000073</v>
      </c>
      <c r="T96">
        <f t="shared" si="247"/>
        <v>-43.220000000000255</v>
      </c>
      <c r="U96">
        <f t="shared" si="263"/>
        <v>-84.990000000000691</v>
      </c>
      <c r="V96">
        <f t="shared" si="271"/>
        <v>-23.690000000000509</v>
      </c>
      <c r="W96">
        <f t="shared" si="279"/>
        <v>-43.559999999999491</v>
      </c>
      <c r="X96">
        <f t="shared" si="287"/>
        <v>-19.319999999999709</v>
      </c>
      <c r="Y96">
        <f t="shared" si="295"/>
        <v>-44.079999999999927</v>
      </c>
      <c r="Z96">
        <f t="shared" si="303"/>
        <v>-36.239999999999782</v>
      </c>
      <c r="AA96">
        <f t="shared" si="311"/>
        <v>-19.739999999999782</v>
      </c>
      <c r="AB96">
        <f t="shared" si="319"/>
        <v>-134.38000000000011</v>
      </c>
      <c r="AC96">
        <f t="shared" si="327"/>
        <v>-47.460000000000036</v>
      </c>
      <c r="AD96">
        <v>-1.06</v>
      </c>
      <c r="AE96" s="14">
        <f t="shared" si="248"/>
        <v>-0.68556004282425254</v>
      </c>
      <c r="AF96" s="14">
        <f t="shared" si="249"/>
        <v>-0.89475176952586133</v>
      </c>
      <c r="AG96" s="14">
        <f t="shared" si="264"/>
        <v>-1.7447374579674226</v>
      </c>
      <c r="AH96" s="14">
        <f t="shared" si="272"/>
        <v>-0.48837607225245699</v>
      </c>
      <c r="AI96" s="14">
        <f t="shared" si="280"/>
        <v>-0.90822658126500144</v>
      </c>
      <c r="AJ96" s="14">
        <f t="shared" si="288"/>
        <v>-0.40441761351742245</v>
      </c>
      <c r="AK96" s="14">
        <f t="shared" si="296"/>
        <v>-0.9290581483331527</v>
      </c>
      <c r="AL96" s="14">
        <f t="shared" si="304"/>
        <v>-0.7645553490393433</v>
      </c>
      <c r="AM96" s="14">
        <f t="shared" si="312"/>
        <v>-0.41748090246935055</v>
      </c>
      <c r="AN96" s="14">
        <f t="shared" si="320"/>
        <v>-2.8153728829183695</v>
      </c>
      <c r="AO96" s="14">
        <f t="shared" si="328"/>
        <v>-0.98978927874268063</v>
      </c>
      <c r="AP96">
        <v>3</v>
      </c>
      <c r="AQ96">
        <f t="shared" si="250"/>
        <v>3</v>
      </c>
      <c r="AR96">
        <f t="shared" si="254"/>
        <v>3</v>
      </c>
      <c r="AS96">
        <f t="shared" si="259"/>
        <v>3</v>
      </c>
      <c r="AT96">
        <f t="shared" si="267"/>
        <v>3</v>
      </c>
      <c r="AU96">
        <f t="shared" si="275"/>
        <v>3</v>
      </c>
      <c r="AV96">
        <f t="shared" si="283"/>
        <v>3</v>
      </c>
      <c r="AW96">
        <f t="shared" si="291"/>
        <v>3</v>
      </c>
      <c r="AX96">
        <f t="shared" si="299"/>
        <v>3</v>
      </c>
      <c r="AY96">
        <f t="shared" si="307"/>
        <v>3</v>
      </c>
      <c r="AZ96">
        <f t="shared" si="315"/>
        <v>3</v>
      </c>
      <c r="BA96">
        <f t="shared" si="323"/>
        <v>3</v>
      </c>
      <c r="BB96">
        <v>4</v>
      </c>
      <c r="BC96">
        <f t="shared" si="251"/>
        <v>22</v>
      </c>
      <c r="BD96">
        <f t="shared" si="255"/>
        <v>5</v>
      </c>
      <c r="BE96">
        <f t="shared" si="260"/>
        <v>34</v>
      </c>
      <c r="BF96">
        <f t="shared" si="268"/>
        <v>10</v>
      </c>
      <c r="BG96">
        <f t="shared" si="276"/>
        <v>14</v>
      </c>
      <c r="BH96">
        <f t="shared" si="284"/>
        <v>11</v>
      </c>
      <c r="BI96">
        <f t="shared" si="292"/>
        <v>5</v>
      </c>
      <c r="BJ96">
        <f t="shared" si="300"/>
        <v>16</v>
      </c>
      <c r="BK96">
        <f t="shared" si="308"/>
        <v>9</v>
      </c>
      <c r="BL96">
        <f t="shared" si="316"/>
        <v>10</v>
      </c>
      <c r="BM96">
        <f t="shared" si="324"/>
        <v>6</v>
      </c>
      <c r="BZ96" s="12">
        <f t="shared" si="220"/>
        <v>-12.785</v>
      </c>
      <c r="CA96" s="12">
        <f t="shared" si="252"/>
        <v>-1.5077272727272761</v>
      </c>
      <c r="CB96" s="12">
        <f t="shared" si="256"/>
        <v>-8.6440000000000516</v>
      </c>
      <c r="CC96" s="12">
        <f t="shared" si="265"/>
        <v>-2.4997058823529614</v>
      </c>
      <c r="CD96" s="12">
        <f t="shared" si="273"/>
        <v>-2.3690000000000508</v>
      </c>
      <c r="CE96" s="12">
        <f t="shared" si="281"/>
        <v>-3.1114285714285352</v>
      </c>
      <c r="CF96" s="12">
        <f t="shared" si="289"/>
        <v>-1.7563636363636099</v>
      </c>
      <c r="CG96" s="12">
        <f t="shared" si="297"/>
        <v>-8.8159999999999847</v>
      </c>
      <c r="CH96" s="12">
        <f t="shared" si="305"/>
        <v>-2.2649999999999864</v>
      </c>
      <c r="CI96" s="12">
        <f t="shared" si="313"/>
        <v>-2.1933333333333089</v>
      </c>
      <c r="CJ96" s="12">
        <f t="shared" si="321"/>
        <v>-13.438000000000011</v>
      </c>
      <c r="CK96" s="12">
        <f t="shared" si="329"/>
        <v>-7.9100000000000064</v>
      </c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>
        <f t="shared" si="221"/>
        <v>-85.52762109573186</v>
      </c>
      <c r="CY96" s="12">
        <f t="shared" si="222"/>
        <v>-56.445675827003079</v>
      </c>
      <c r="CZ96" s="12">
        <f t="shared" si="223"/>
        <v>-83.400947922053007</v>
      </c>
      <c r="DA96" s="12">
        <f t="shared" si="224"/>
        <v>-68.196265905494101</v>
      </c>
      <c r="DB96" s="12">
        <f t="shared" si="225"/>
        <v>-67.114466086461661</v>
      </c>
      <c r="DC96" s="12">
        <f t="shared" si="226"/>
        <v>-72.182814188131331</v>
      </c>
      <c r="DD96" s="12">
        <f t="shared" si="227"/>
        <v>-60.344623307017628</v>
      </c>
      <c r="DE96" s="12">
        <f t="shared" si="228"/>
        <v>-83.528592419684202</v>
      </c>
      <c r="DF96" s="12">
        <f t="shared" si="229"/>
        <v>-66.178488668776396</v>
      </c>
      <c r="DG96" s="12">
        <f t="shared" si="230"/>
        <v>-65.490474431646135</v>
      </c>
      <c r="DH96" s="12">
        <f t="shared" si="231"/>
        <v>-85.74413105056253</v>
      </c>
      <c r="DI96" s="12">
        <f t="shared" si="232"/>
        <v>-82.794762481425053</v>
      </c>
      <c r="DJ96" t="s">
        <v>19</v>
      </c>
      <c r="DK96" t="str">
        <f t="shared" si="253"/>
        <v>HL</v>
      </c>
      <c r="DL96" t="str">
        <f t="shared" si="257"/>
        <v>HL</v>
      </c>
      <c r="DM96" t="str">
        <f t="shared" si="261"/>
        <v>LL</v>
      </c>
      <c r="DN96" t="str">
        <f t="shared" si="269"/>
        <v>HL</v>
      </c>
      <c r="DO96" t="str">
        <f t="shared" si="277"/>
        <v>LL</v>
      </c>
      <c r="DP96" t="str">
        <f t="shared" si="285"/>
        <v>HL</v>
      </c>
      <c r="DQ96" t="str">
        <f t="shared" si="293"/>
        <v>LL</v>
      </c>
      <c r="DR96" t="str">
        <f t="shared" si="301"/>
        <v>LL</v>
      </c>
      <c r="DS96" t="str">
        <f t="shared" si="309"/>
        <v>HL</v>
      </c>
      <c r="DT96" t="str">
        <f t="shared" si="317"/>
        <v>LL</v>
      </c>
      <c r="DU96" t="str">
        <f t="shared" si="325"/>
        <v>HL</v>
      </c>
      <c r="DV96">
        <f t="shared" si="233"/>
        <v>0.68179865777436865</v>
      </c>
      <c r="DW96">
        <f t="shared" si="234"/>
        <v>0.30381316956755861</v>
      </c>
      <c r="DX96">
        <f t="shared" si="262"/>
        <v>0.28411769512661655</v>
      </c>
      <c r="DY96">
        <f t="shared" si="270"/>
        <v>1.1400327280117808</v>
      </c>
      <c r="DZ96">
        <f t="shared" si="278"/>
        <v>-0.42051933194626295</v>
      </c>
      <c r="EA96">
        <f t="shared" si="286"/>
        <v>-0.30905132766355103</v>
      </c>
      <c r="EB96">
        <f t="shared" si="294"/>
        <v>-1.5119419528272404</v>
      </c>
      <c r="EC96">
        <f t="shared" si="302"/>
        <v>-1.4436363712554949</v>
      </c>
      <c r="ED96">
        <f t="shared" si="310"/>
        <v>-1.3420161041932541</v>
      </c>
      <c r="EE96">
        <f t="shared" si="318"/>
        <v>-2.8070241604804074</v>
      </c>
      <c r="EF96">
        <f t="shared" si="326"/>
        <v>-0.52737775710451529</v>
      </c>
      <c r="EG96" s="13" t="str">
        <f t="shared" si="235"/>
        <v/>
      </c>
      <c r="EH96" s="13" t="str">
        <f t="shared" si="236"/>
        <v/>
      </c>
      <c r="EI96" s="13" t="str">
        <f t="shared" si="237"/>
        <v/>
      </c>
      <c r="EJ96" s="13" t="str">
        <f t="shared" si="238"/>
        <v/>
      </c>
      <c r="EK96" s="13" t="str">
        <f t="shared" si="239"/>
        <v/>
      </c>
      <c r="EL96" s="13" t="str">
        <f t="shared" si="240"/>
        <v/>
      </c>
      <c r="EM96" s="13" t="str">
        <f t="shared" si="241"/>
        <v/>
      </c>
      <c r="EN96" s="13" t="str">
        <f t="shared" si="242"/>
        <v/>
      </c>
      <c r="EO96" s="13" t="str">
        <f t="shared" si="243"/>
        <v/>
      </c>
      <c r="EP96" s="13" t="str">
        <f t="shared" si="244"/>
        <v/>
      </c>
      <c r="EQ96" s="13" t="str">
        <f t="shared" si="245"/>
        <v/>
      </c>
    </row>
    <row r="97" spans="1:147" ht="14.25" customHeight="1" x14ac:dyDescent="0.55000000000000004">
      <c r="A97">
        <v>1776368704</v>
      </c>
      <c r="B97" t="s">
        <v>16</v>
      </c>
      <c r="C97" t="s">
        <v>17</v>
      </c>
      <c r="D97">
        <v>4793.5200000000004</v>
      </c>
      <c r="E97" t="s">
        <v>20</v>
      </c>
      <c r="F97">
        <v>4798.58</v>
      </c>
      <c r="G97">
        <v>4823.8100000000004</v>
      </c>
      <c r="H97">
        <v>4838.38</v>
      </c>
      <c r="I97">
        <f t="shared" si="258"/>
        <v>4830.3900000000003</v>
      </c>
      <c r="J97">
        <f t="shared" si="266"/>
        <v>4871.22</v>
      </c>
      <c r="K97">
        <f t="shared" si="274"/>
        <v>4850.7700000000004</v>
      </c>
      <c r="L97">
        <f t="shared" si="282"/>
        <v>4796.16</v>
      </c>
      <c r="M97">
        <f t="shared" si="290"/>
        <v>4777.24</v>
      </c>
      <c r="N97">
        <f t="shared" si="298"/>
        <v>4744.59</v>
      </c>
      <c r="O97">
        <f t="shared" si="306"/>
        <v>4740.01</v>
      </c>
      <c r="P97">
        <f t="shared" si="314"/>
        <v>4728.3599999999997</v>
      </c>
      <c r="Q97">
        <f t="shared" si="322"/>
        <v>4773.08</v>
      </c>
      <c r="R97">
        <v>25.91</v>
      </c>
      <c r="S97">
        <f t="shared" si="246"/>
        <v>18.600000000000364</v>
      </c>
      <c r="T97">
        <f t="shared" si="247"/>
        <v>51.210000000000036</v>
      </c>
      <c r="U97">
        <f t="shared" si="263"/>
        <v>44.160000000000764</v>
      </c>
      <c r="V97">
        <f t="shared" si="271"/>
        <v>44.140000000000327</v>
      </c>
      <c r="W97">
        <f t="shared" si="279"/>
        <v>98.170000000000073</v>
      </c>
      <c r="X97">
        <f t="shared" si="287"/>
        <v>38.239999999999782</v>
      </c>
      <c r="Y97">
        <f t="shared" si="295"/>
        <v>76.729999999999563</v>
      </c>
      <c r="Z97">
        <f t="shared" si="303"/>
        <v>40.819999999999709</v>
      </c>
      <c r="AA97">
        <f t="shared" si="311"/>
        <v>31.390000000000327</v>
      </c>
      <c r="AB97">
        <f t="shared" si="319"/>
        <v>89.659999999999854</v>
      </c>
      <c r="AC97">
        <f t="shared" si="327"/>
        <v>25.579999999999927</v>
      </c>
      <c r="AD97">
        <v>0.54</v>
      </c>
      <c r="AE97" s="14">
        <f t="shared" si="248"/>
        <v>0.38707985707181092</v>
      </c>
      <c r="AF97" s="14">
        <f t="shared" si="249"/>
        <v>1.0697343106678903</v>
      </c>
      <c r="AG97" s="14">
        <f t="shared" si="264"/>
        <v>0.92264684313124867</v>
      </c>
      <c r="AH97" s="14">
        <f t="shared" si="272"/>
        <v>0.91442445536432637</v>
      </c>
      <c r="AI97" s="14">
        <f t="shared" si="280"/>
        <v>2.065606194504062</v>
      </c>
      <c r="AJ97" s="14">
        <f t="shared" si="288"/>
        <v>0.80371254665903979</v>
      </c>
      <c r="AK97" s="14">
        <f t="shared" si="296"/>
        <v>1.6323760613209961</v>
      </c>
      <c r="AL97" s="14">
        <f t="shared" si="304"/>
        <v>0.86781454025174931</v>
      </c>
      <c r="AM97" s="14">
        <f t="shared" si="312"/>
        <v>0.66664967655067364</v>
      </c>
      <c r="AN97" s="14">
        <f t="shared" si="320"/>
        <v>1.9328691228145785</v>
      </c>
      <c r="AO97" s="14">
        <f t="shared" si="328"/>
        <v>0.53880989994733919</v>
      </c>
      <c r="AP97">
        <v>0</v>
      </c>
      <c r="AQ97">
        <f t="shared" si="250"/>
        <v>0</v>
      </c>
      <c r="AR97">
        <f t="shared" si="254"/>
        <v>0</v>
      </c>
      <c r="AS97">
        <f t="shared" si="259"/>
        <v>0</v>
      </c>
      <c r="AT97">
        <f t="shared" si="267"/>
        <v>0</v>
      </c>
      <c r="AU97">
        <f t="shared" si="275"/>
        <v>0</v>
      </c>
      <c r="AV97">
        <f t="shared" si="283"/>
        <v>0</v>
      </c>
      <c r="AW97">
        <f t="shared" si="291"/>
        <v>0</v>
      </c>
      <c r="AX97">
        <f t="shared" si="299"/>
        <v>0</v>
      </c>
      <c r="AY97">
        <f t="shared" si="307"/>
        <v>0</v>
      </c>
      <c r="AZ97">
        <f t="shared" si="315"/>
        <v>0</v>
      </c>
      <c r="BA97">
        <f t="shared" si="323"/>
        <v>0</v>
      </c>
      <c r="BB97">
        <v>21</v>
      </c>
      <c r="BC97">
        <f t="shared" si="251"/>
        <v>12</v>
      </c>
      <c r="BD97">
        <f t="shared" si="255"/>
        <v>50</v>
      </c>
      <c r="BE97">
        <f t="shared" si="260"/>
        <v>18</v>
      </c>
      <c r="BF97">
        <f t="shared" si="268"/>
        <v>3</v>
      </c>
      <c r="BG97">
        <f t="shared" si="276"/>
        <v>42</v>
      </c>
      <c r="BH97">
        <f t="shared" si="284"/>
        <v>6</v>
      </c>
      <c r="BI97">
        <f t="shared" si="292"/>
        <v>43</v>
      </c>
      <c r="BJ97">
        <f t="shared" si="300"/>
        <v>8</v>
      </c>
      <c r="BK97">
        <f t="shared" si="308"/>
        <v>15</v>
      </c>
      <c r="BL97">
        <f t="shared" si="316"/>
        <v>15</v>
      </c>
      <c r="BM97">
        <f t="shared" si="324"/>
        <v>10</v>
      </c>
      <c r="BZ97" s="12">
        <f t="shared" si="220"/>
        <v>1.2338095238095239</v>
      </c>
      <c r="CA97" s="12">
        <f t="shared" si="252"/>
        <v>1.5500000000000302</v>
      </c>
      <c r="CB97" s="12">
        <f t="shared" si="256"/>
        <v>1.0242000000000007</v>
      </c>
      <c r="CC97" s="12">
        <f t="shared" si="265"/>
        <v>2.4533333333333758</v>
      </c>
      <c r="CD97" s="12">
        <f t="shared" si="273"/>
        <v>14.713333333333443</v>
      </c>
      <c r="CE97" s="12">
        <f t="shared" si="281"/>
        <v>2.3373809523809541</v>
      </c>
      <c r="CF97" s="12">
        <f t="shared" si="289"/>
        <v>6.3733333333332967</v>
      </c>
      <c r="CG97" s="12">
        <f t="shared" si="297"/>
        <v>1.7844186046511525</v>
      </c>
      <c r="CH97" s="12">
        <f t="shared" si="305"/>
        <v>5.1024999999999636</v>
      </c>
      <c r="CI97" s="12">
        <f t="shared" si="313"/>
        <v>2.0926666666666884</v>
      </c>
      <c r="CJ97" s="12">
        <f t="shared" si="321"/>
        <v>5.9773333333333234</v>
      </c>
      <c r="CK97" s="12">
        <f t="shared" si="329"/>
        <v>2.5579999999999927</v>
      </c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>
        <f t="shared" si="221"/>
        <v>50.97530667589708</v>
      </c>
      <c r="CY97" s="12">
        <f t="shared" si="222"/>
        <v>57.171458208587985</v>
      </c>
      <c r="CZ97" s="12">
        <f t="shared" si="223"/>
        <v>45.684957914023869</v>
      </c>
      <c r="DA97" s="12">
        <f t="shared" si="224"/>
        <v>67.823763658507573</v>
      </c>
      <c r="DB97" s="12">
        <f t="shared" si="225"/>
        <v>86.111839550133269</v>
      </c>
      <c r="DC97" s="12">
        <f t="shared" si="226"/>
        <v>66.837343085781896</v>
      </c>
      <c r="DD97" s="12">
        <f t="shared" si="227"/>
        <v>81.082779193084988</v>
      </c>
      <c r="DE97" s="12">
        <f t="shared" si="228"/>
        <v>60.733441015265882</v>
      </c>
      <c r="DF97" s="12">
        <f t="shared" si="229"/>
        <v>78.911577686867446</v>
      </c>
      <c r="DG97" s="12">
        <f t="shared" si="230"/>
        <v>64.458768015845365</v>
      </c>
      <c r="DH97" s="12">
        <f t="shared" si="231"/>
        <v>80.502448186615112</v>
      </c>
      <c r="DI97" s="12">
        <f t="shared" si="232"/>
        <v>68.647959962356097</v>
      </c>
      <c r="DJ97" t="s">
        <v>21</v>
      </c>
      <c r="DK97" t="str">
        <f t="shared" si="253"/>
        <v>LH</v>
      </c>
      <c r="DL97" t="str">
        <f t="shared" si="257"/>
        <v>HH</v>
      </c>
      <c r="DM97" t="str">
        <f t="shared" si="261"/>
        <v>LH</v>
      </c>
      <c r="DN97" t="str">
        <f t="shared" si="269"/>
        <v>HH</v>
      </c>
      <c r="DO97" t="str">
        <f t="shared" si="277"/>
        <v>HH</v>
      </c>
      <c r="DP97" t="str">
        <f t="shared" si="285"/>
        <v>HH</v>
      </c>
      <c r="DQ97" t="str">
        <f t="shared" si="293"/>
        <v>HH</v>
      </c>
      <c r="DR97" t="str">
        <f t="shared" si="301"/>
        <v>HH</v>
      </c>
      <c r="DS97" t="str">
        <f t="shared" si="309"/>
        <v>HH</v>
      </c>
      <c r="DT97" t="str">
        <f t="shared" si="317"/>
        <v>LH</v>
      </c>
      <c r="DU97" t="str">
        <f t="shared" si="325"/>
        <v>LH</v>
      </c>
      <c r="DV97">
        <f t="shared" si="233"/>
        <v>0.52578054341076885</v>
      </c>
      <c r="DW97">
        <f t="shared" si="234"/>
        <v>0.82941203439351185</v>
      </c>
      <c r="DX97">
        <f t="shared" si="262"/>
        <v>0.66290444256426695</v>
      </c>
      <c r="DY97">
        <f t="shared" si="270"/>
        <v>1.5137811602599172</v>
      </c>
      <c r="DZ97">
        <f t="shared" si="278"/>
        <v>1.0876134189697892</v>
      </c>
      <c r="EA97">
        <f t="shared" si="286"/>
        <v>-5.0431586010863068E-2</v>
      </c>
      <c r="EB97">
        <f t="shared" si="294"/>
        <v>-0.44471489482305487</v>
      </c>
      <c r="EC97">
        <f t="shared" si="302"/>
        <v>-1.1251245160026462</v>
      </c>
      <c r="ED97">
        <f t="shared" si="310"/>
        <v>-1.220569418452953</v>
      </c>
      <c r="EE97">
        <f t="shared" si="318"/>
        <v>-1.4633495742490539</v>
      </c>
      <c r="EF97">
        <f t="shared" si="326"/>
        <v>-0.53140720796568985</v>
      </c>
      <c r="EG97" s="13" t="str">
        <f t="shared" si="235"/>
        <v/>
      </c>
      <c r="EH97" s="13" t="str">
        <f t="shared" si="236"/>
        <v/>
      </c>
      <c r="EI97" s="13" t="str">
        <f t="shared" si="237"/>
        <v/>
      </c>
      <c r="EJ97" s="13" t="str">
        <f t="shared" si="238"/>
        <v/>
      </c>
      <c r="EK97" s="13" t="str">
        <f t="shared" si="239"/>
        <v/>
      </c>
      <c r="EL97" s="13" t="str">
        <f t="shared" si="240"/>
        <v>EQH</v>
      </c>
      <c r="EM97" s="13" t="str">
        <f t="shared" si="241"/>
        <v/>
      </c>
      <c r="EN97" s="13" t="str">
        <f t="shared" si="242"/>
        <v/>
      </c>
      <c r="EO97" s="13" t="str">
        <f t="shared" si="243"/>
        <v/>
      </c>
      <c r="EP97" s="13" t="str">
        <f t="shared" si="244"/>
        <v/>
      </c>
      <c r="EQ97" s="13" t="str">
        <f t="shared" si="245"/>
        <v/>
      </c>
    </row>
    <row r="98" spans="1:147" ht="14.25" customHeight="1" x14ac:dyDescent="0.55000000000000004">
      <c r="A98">
        <v>1776384004</v>
      </c>
      <c r="B98" t="s">
        <v>16</v>
      </c>
      <c r="C98" t="s">
        <v>17</v>
      </c>
      <c r="D98">
        <v>4790.3999999999996</v>
      </c>
      <c r="E98" t="s">
        <v>18</v>
      </c>
      <c r="F98">
        <v>4786.1000000000004</v>
      </c>
      <c r="G98">
        <v>4772.67</v>
      </c>
      <c r="H98">
        <v>4805.21</v>
      </c>
      <c r="I98">
        <f t="shared" si="258"/>
        <v>4787.17</v>
      </c>
      <c r="J98">
        <f t="shared" si="266"/>
        <v>4786.2299999999996</v>
      </c>
      <c r="K98">
        <f t="shared" si="274"/>
        <v>4827.08</v>
      </c>
      <c r="L98">
        <f t="shared" si="282"/>
        <v>4752.6000000000004</v>
      </c>
      <c r="M98">
        <f t="shared" si="290"/>
        <v>4757.92</v>
      </c>
      <c r="N98">
        <f t="shared" si="298"/>
        <v>4700.51</v>
      </c>
      <c r="O98">
        <f t="shared" si="306"/>
        <v>4703.7700000000004</v>
      </c>
      <c r="P98">
        <f t="shared" si="314"/>
        <v>4708.62</v>
      </c>
      <c r="Q98">
        <f t="shared" si="322"/>
        <v>4638.7</v>
      </c>
      <c r="R98">
        <v>-12.48</v>
      </c>
      <c r="S98">
        <f t="shared" si="246"/>
        <v>-51.140000000000327</v>
      </c>
      <c r="T98">
        <f t="shared" si="247"/>
        <v>-33.170000000000073</v>
      </c>
      <c r="U98">
        <f t="shared" si="263"/>
        <v>-43.220000000000255</v>
      </c>
      <c r="V98">
        <f t="shared" si="271"/>
        <v>-84.990000000000691</v>
      </c>
      <c r="W98">
        <f t="shared" si="279"/>
        <v>-23.690000000000509</v>
      </c>
      <c r="X98">
        <f t="shared" si="287"/>
        <v>-43.559999999999491</v>
      </c>
      <c r="Y98">
        <f t="shared" si="295"/>
        <v>-19.319999999999709</v>
      </c>
      <c r="Z98">
        <f t="shared" si="303"/>
        <v>-44.079999999999927</v>
      </c>
      <c r="AA98">
        <f t="shared" si="311"/>
        <v>-36.239999999999782</v>
      </c>
      <c r="AB98">
        <f t="shared" si="319"/>
        <v>-19.739999999999782</v>
      </c>
      <c r="AC98">
        <f t="shared" si="327"/>
        <v>-134.38000000000011</v>
      </c>
      <c r="AD98">
        <v>-0.26</v>
      </c>
      <c r="AE98" s="14">
        <f t="shared" si="248"/>
        <v>-1.060157842037732</v>
      </c>
      <c r="AF98" s="14">
        <f t="shared" si="249"/>
        <v>-0.68556004282425254</v>
      </c>
      <c r="AG98" s="14">
        <f t="shared" si="264"/>
        <v>-0.89475176952586133</v>
      </c>
      <c r="AH98" s="14">
        <f t="shared" si="272"/>
        <v>-1.7447374579674226</v>
      </c>
      <c r="AI98" s="14">
        <f t="shared" si="280"/>
        <v>-0.48837607225245699</v>
      </c>
      <c r="AJ98" s="14">
        <f t="shared" si="288"/>
        <v>-0.90822658126500144</v>
      </c>
      <c r="AK98" s="14">
        <f t="shared" si="296"/>
        <v>-0.40441761351742245</v>
      </c>
      <c r="AL98" s="14">
        <f t="shared" si="304"/>
        <v>-0.9290581483331527</v>
      </c>
      <c r="AM98" s="14">
        <f t="shared" si="312"/>
        <v>-0.7645553490393433</v>
      </c>
      <c r="AN98" s="14">
        <f t="shared" si="320"/>
        <v>-0.41748090246935055</v>
      </c>
      <c r="AO98" s="14">
        <f t="shared" si="328"/>
        <v>-2.8153728829183695</v>
      </c>
      <c r="AP98">
        <v>3</v>
      </c>
      <c r="AQ98">
        <f t="shared" si="250"/>
        <v>3</v>
      </c>
      <c r="AR98">
        <f t="shared" si="254"/>
        <v>3</v>
      </c>
      <c r="AS98">
        <f t="shared" si="259"/>
        <v>3</v>
      </c>
      <c r="AT98">
        <f t="shared" si="267"/>
        <v>3</v>
      </c>
      <c r="AU98">
        <f t="shared" si="275"/>
        <v>3</v>
      </c>
      <c r="AV98">
        <f t="shared" si="283"/>
        <v>3</v>
      </c>
      <c r="AW98">
        <f t="shared" si="291"/>
        <v>3</v>
      </c>
      <c r="AX98">
        <f t="shared" si="299"/>
        <v>3</v>
      </c>
      <c r="AY98">
        <f t="shared" si="307"/>
        <v>3</v>
      </c>
      <c r="AZ98">
        <f t="shared" si="315"/>
        <v>3</v>
      </c>
      <c r="BA98">
        <f t="shared" si="323"/>
        <v>3</v>
      </c>
      <c r="BB98">
        <v>13</v>
      </c>
      <c r="BC98">
        <f t="shared" si="251"/>
        <v>4</v>
      </c>
      <c r="BD98">
        <f t="shared" si="255"/>
        <v>22</v>
      </c>
      <c r="BE98">
        <f t="shared" si="260"/>
        <v>5</v>
      </c>
      <c r="BF98">
        <f t="shared" si="268"/>
        <v>34</v>
      </c>
      <c r="BG98">
        <f t="shared" si="276"/>
        <v>10</v>
      </c>
      <c r="BH98">
        <f t="shared" si="284"/>
        <v>14</v>
      </c>
      <c r="BI98">
        <f t="shared" si="292"/>
        <v>11</v>
      </c>
      <c r="BJ98">
        <f t="shared" si="300"/>
        <v>5</v>
      </c>
      <c r="BK98">
        <f t="shared" si="308"/>
        <v>16</v>
      </c>
      <c r="BL98">
        <f t="shared" si="316"/>
        <v>9</v>
      </c>
      <c r="BM98">
        <f t="shared" si="324"/>
        <v>10</v>
      </c>
      <c r="BZ98" s="12">
        <f t="shared" ref="BZ98:BZ129" si="330">IFERROR(R98/BB98,0)</f>
        <v>-0.96000000000000008</v>
      </c>
      <c r="CA98" s="12">
        <f t="shared" si="252"/>
        <v>-12.785000000000082</v>
      </c>
      <c r="CB98" s="12">
        <f t="shared" si="256"/>
        <v>-1.5077272727272761</v>
      </c>
      <c r="CC98" s="12">
        <f t="shared" si="265"/>
        <v>-8.6440000000000516</v>
      </c>
      <c r="CD98" s="12">
        <f t="shared" si="273"/>
        <v>-2.4997058823529614</v>
      </c>
      <c r="CE98" s="12">
        <f t="shared" si="281"/>
        <v>-2.3690000000000508</v>
      </c>
      <c r="CF98" s="12">
        <f t="shared" si="289"/>
        <v>-3.1114285714285352</v>
      </c>
      <c r="CG98" s="12">
        <f t="shared" si="297"/>
        <v>-1.7563636363636099</v>
      </c>
      <c r="CH98" s="12">
        <f t="shared" si="305"/>
        <v>-8.8159999999999847</v>
      </c>
      <c r="CI98" s="12">
        <f t="shared" si="313"/>
        <v>-2.2649999999999864</v>
      </c>
      <c r="CJ98" s="12">
        <f t="shared" si="321"/>
        <v>-2.1933333333333089</v>
      </c>
      <c r="CK98" s="12">
        <f t="shared" si="329"/>
        <v>-13.438000000000011</v>
      </c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>
        <f t="shared" ref="CX98:CX129" si="331">IF(BZ98="","",DEGREES(ATAN(BZ98)))</f>
        <v>-43.830860672092584</v>
      </c>
      <c r="CY98" s="12">
        <f t="shared" ref="CY98:CY129" si="332">IF(CA98="","",DEGREES(ATAN(CA98)))</f>
        <v>-85.527621095731902</v>
      </c>
      <c r="CZ98" s="12">
        <f t="shared" ref="CZ98:CZ129" si="333">IF(CB98="","",DEGREES(ATAN(CB98)))</f>
        <v>-56.445675827003079</v>
      </c>
      <c r="DA98" s="12">
        <f t="shared" ref="DA98:DA129" si="334">IF(CC98="","",DEGREES(ATAN(CC98)))</f>
        <v>-83.400947922053007</v>
      </c>
      <c r="DB98" s="12">
        <f t="shared" ref="DB98:DB129" si="335">IF(CD98="","",DEGREES(ATAN(CD98)))</f>
        <v>-68.196265905494101</v>
      </c>
      <c r="DC98" s="12">
        <f t="shared" ref="DC98:DC129" si="336">IF(CE98="","",DEGREES(ATAN(CE98)))</f>
        <v>-67.114466086461661</v>
      </c>
      <c r="DD98" s="12">
        <f t="shared" ref="DD98:DD129" si="337">IF(CF98="","",DEGREES(ATAN(CF98)))</f>
        <v>-72.182814188131331</v>
      </c>
      <c r="DE98" s="12">
        <f t="shared" ref="DE98:DE129" si="338">IF(CG98="","",DEGREES(ATAN(CG98)))</f>
        <v>-60.344623307017628</v>
      </c>
      <c r="DF98" s="12">
        <f t="shared" ref="DF98:DF129" si="339">IF(CH98="","",DEGREES(ATAN(CH98)))</f>
        <v>-83.528592419684202</v>
      </c>
      <c r="DG98" s="12">
        <f t="shared" ref="DG98:DG129" si="340">IF(CI98="","",DEGREES(ATAN(CI98)))</f>
        <v>-66.178488668776396</v>
      </c>
      <c r="DH98" s="12">
        <f t="shared" ref="DH98:DH129" si="341">IF(CJ98="","",DEGREES(ATAN(CJ98)))</f>
        <v>-65.490474431646135</v>
      </c>
      <c r="DI98" s="12">
        <f t="shared" ref="DI98:DI129" si="342">IF(CK98="","",DEGREES(ATAN(CK98)))</f>
        <v>-85.74413105056253</v>
      </c>
      <c r="DJ98" t="s">
        <v>22</v>
      </c>
      <c r="DK98" t="str">
        <f t="shared" si="253"/>
        <v>LL</v>
      </c>
      <c r="DL98" t="str">
        <f t="shared" si="257"/>
        <v>HL</v>
      </c>
      <c r="DM98" t="str">
        <f t="shared" si="261"/>
        <v>HL</v>
      </c>
      <c r="DN98" t="str">
        <f t="shared" si="269"/>
        <v>LL</v>
      </c>
      <c r="DO98" t="str">
        <f t="shared" si="277"/>
        <v>HL</v>
      </c>
      <c r="DP98" t="str">
        <f t="shared" si="285"/>
        <v>LL</v>
      </c>
      <c r="DQ98" t="str">
        <f t="shared" si="293"/>
        <v>HL</v>
      </c>
      <c r="DR98" t="str">
        <f t="shared" si="301"/>
        <v>LL</v>
      </c>
      <c r="DS98" t="str">
        <f t="shared" si="309"/>
        <v>LL</v>
      </c>
      <c r="DT98" t="str">
        <f t="shared" si="317"/>
        <v>HL</v>
      </c>
      <c r="DU98" t="str">
        <f t="shared" si="325"/>
        <v>LL</v>
      </c>
      <c r="DV98">
        <f t="shared" ref="DV98:DV129" si="343">IFERROR(((G98-$F98)/$F98)*100,0)</f>
        <v>-0.28060424980673804</v>
      </c>
      <c r="DW98">
        <f t="shared" ref="DW98:DW129" si="344">IFERROR(((H98-$F98)/$F98)*100,0)</f>
        <v>0.3992812519587905</v>
      </c>
      <c r="DX98">
        <f t="shared" si="262"/>
        <v>2.2356407095541441E-2</v>
      </c>
      <c r="DY98">
        <f t="shared" si="270"/>
        <v>2.7161989929002663E-3</v>
      </c>
      <c r="DZ98">
        <f t="shared" si="278"/>
        <v>0.85622949792105385</v>
      </c>
      <c r="EA98">
        <f t="shared" si="286"/>
        <v>-0.69994358663630096</v>
      </c>
      <c r="EB98">
        <f t="shared" si="294"/>
        <v>-0.58878836631078102</v>
      </c>
      <c r="EC98">
        <f t="shared" si="302"/>
        <v>-1.7883036292597343</v>
      </c>
      <c r="ED98">
        <f t="shared" si="310"/>
        <v>-1.7201897160527346</v>
      </c>
      <c r="EE98">
        <f t="shared" si="318"/>
        <v>-1.6188545997785349</v>
      </c>
      <c r="EF98">
        <f t="shared" si="326"/>
        <v>-3.0797517811997355</v>
      </c>
      <c r="EG98" s="13" t="str">
        <f t="shared" ref="EG98:EG129" si="345">IF(DV98="","",IF(AND(ABS(DV98)&lt;=0.25,$E98="Bottom",DJ98="LL"),"EQL",IF(AND(ABS(DV98)&lt;=0.25,$E98="Peak",DJ98="HH"),"EQH","")))</f>
        <v/>
      </c>
      <c r="EH98" s="13" t="str">
        <f t="shared" ref="EH98:EH129" si="346">IF(DW98="","",IF(AND(ABS(DW98)&lt;=0.25,$E98="Bottom",DK98="LL"),"EQL",IF(AND(ABS(DW98)&lt;=0.25,$E98="Peak",DK98="HH"),"EQH","")))</f>
        <v/>
      </c>
      <c r="EI98" s="13" t="str">
        <f t="shared" ref="EI98:EI129" si="347">IF(DX98="","",IF(AND(ABS(DX98)&lt;=0.25,$E98="Bottom",DL98="LL"),"EQL",IF(AND(ABS(DX98)&lt;=0.25,$E98="Peak",DL98="HH"),"EQH","")))</f>
        <v/>
      </c>
      <c r="EJ98" s="13" t="str">
        <f t="shared" ref="EJ98:EJ129" si="348">IF(DY98="","",IF(AND(ABS(DY98)&lt;=0.25,$E98="Bottom",DM98="LL"),"EQL",IF(AND(ABS(DY98)&lt;=0.25,$E98="Peak",DM98="HH"),"EQH","")))</f>
        <v/>
      </c>
      <c r="EK98" s="13" t="str">
        <f t="shared" ref="EK98:EK129" si="349">IF(DZ98="","",IF(AND(ABS(DZ98)&lt;=0.25,$E98="Bottom",DN98="LL"),"EQL",IF(AND(ABS(DZ98)&lt;=0.25,$E98="Peak",DN98="HH"),"EQH","")))</f>
        <v/>
      </c>
      <c r="EL98" s="13" t="str">
        <f t="shared" ref="EL98:EL129" si="350">IF(EA98="","",IF(AND(ABS(EA98)&lt;=0.25,$E98="Bottom",DO98="LL"),"EQL",IF(AND(ABS(EA98)&lt;=0.25,$E98="Peak",DO98="HH"),"EQH","")))</f>
        <v/>
      </c>
      <c r="EM98" s="13" t="str">
        <f t="shared" ref="EM98:EM129" si="351">IF(EB98="","",IF(AND(ABS(EB98)&lt;=0.25,$E98="Bottom",DP98="LL"),"EQL",IF(AND(ABS(EB98)&lt;=0.25,$E98="Peak",DP98="HH"),"EQH","")))</f>
        <v/>
      </c>
      <c r="EN98" s="13" t="str">
        <f t="shared" ref="EN98:EN129" si="352">IF(EC98="","",IF(AND(ABS(EC98)&lt;=0.25,$E98="Bottom",DQ98="LL"),"EQL",IF(AND(ABS(EC98)&lt;=0.25,$E98="Peak",DQ98="HH"),"EQH","")))</f>
        <v/>
      </c>
      <c r="EO98" s="13" t="str">
        <f t="shared" ref="EO98:EO129" si="353">IF(ED98="","",IF(AND(ABS(ED98)&lt;=0.25,$E98="Bottom",DR98="LL"),"EQL",IF(AND(ABS(ED98)&lt;=0.25,$E98="Peak",DR98="HH"),"EQH","")))</f>
        <v/>
      </c>
      <c r="EP98" s="13" t="str">
        <f t="shared" ref="EP98:EP129" si="354">IF(EE98="","",IF(AND(ABS(EE98)&lt;=0.25,$E98="Bottom",DS98="LL"),"EQL",IF(AND(ABS(EE98)&lt;=0.25,$E98="Peak",DS98="HH"),"EQH","")))</f>
        <v/>
      </c>
      <c r="EQ98" s="13" t="str">
        <f t="shared" ref="EQ98:EQ129" si="355">IF(EF98="","",IF(AND(ABS(EF98)&lt;=0.25,$E98="Bottom",DT98="LL"),"EQL",IF(AND(ABS(EF98)&lt;=0.25,$E98="Peak",DT98="HH"),"EQH","")))</f>
        <v/>
      </c>
    </row>
    <row r="99" spans="1:147" ht="14.25" customHeight="1" x14ac:dyDescent="0.55000000000000004">
      <c r="A99">
        <v>1776386704</v>
      </c>
      <c r="B99" t="s">
        <v>16</v>
      </c>
      <c r="C99" t="s">
        <v>17</v>
      </c>
      <c r="D99">
        <v>4794.8999999999996</v>
      </c>
      <c r="E99" t="s">
        <v>20</v>
      </c>
      <c r="F99">
        <v>4801.12</v>
      </c>
      <c r="G99">
        <v>4798.58</v>
      </c>
      <c r="H99">
        <v>4823.8100000000004</v>
      </c>
      <c r="I99">
        <f t="shared" si="258"/>
        <v>4838.38</v>
      </c>
      <c r="J99">
        <f t="shared" si="266"/>
        <v>4830.3900000000003</v>
      </c>
      <c r="K99">
        <f t="shared" si="274"/>
        <v>4871.22</v>
      </c>
      <c r="L99">
        <f t="shared" si="282"/>
        <v>4850.7700000000004</v>
      </c>
      <c r="M99">
        <f t="shared" si="290"/>
        <v>4796.16</v>
      </c>
      <c r="N99">
        <f t="shared" si="298"/>
        <v>4777.24</v>
      </c>
      <c r="O99">
        <f t="shared" si="306"/>
        <v>4744.59</v>
      </c>
      <c r="P99">
        <f t="shared" si="314"/>
        <v>4740.01</v>
      </c>
      <c r="Q99">
        <f t="shared" si="322"/>
        <v>4728.3599999999997</v>
      </c>
      <c r="R99">
        <v>15.02</v>
      </c>
      <c r="S99">
        <f t="shared" ref="S99:S130" si="356">G99-G98</f>
        <v>25.909999999999854</v>
      </c>
      <c r="T99">
        <f t="shared" ref="T99:T130" si="357">H99-H98</f>
        <v>18.600000000000364</v>
      </c>
      <c r="U99">
        <f t="shared" si="263"/>
        <v>51.210000000000036</v>
      </c>
      <c r="V99">
        <f t="shared" si="271"/>
        <v>44.160000000000764</v>
      </c>
      <c r="W99">
        <f t="shared" si="279"/>
        <v>44.140000000000327</v>
      </c>
      <c r="X99">
        <f t="shared" si="287"/>
        <v>98.170000000000073</v>
      </c>
      <c r="Y99">
        <f t="shared" si="295"/>
        <v>38.239999999999782</v>
      </c>
      <c r="Z99">
        <f t="shared" si="303"/>
        <v>76.729999999999563</v>
      </c>
      <c r="AA99">
        <f t="shared" si="311"/>
        <v>40.819999999999709</v>
      </c>
      <c r="AB99">
        <f t="shared" si="319"/>
        <v>31.390000000000327</v>
      </c>
      <c r="AC99">
        <f t="shared" si="327"/>
        <v>89.659999999999854</v>
      </c>
      <c r="AD99">
        <v>0.31</v>
      </c>
      <c r="AE99" s="14">
        <f t="shared" ref="AE99:AE130" si="358">(S99/G98)*100</f>
        <v>0.54288270506864822</v>
      </c>
      <c r="AF99" s="14">
        <f t="shared" ref="AF99:AF130" si="359">(T99/H98)*100</f>
        <v>0.38707985707181092</v>
      </c>
      <c r="AG99" s="14">
        <f t="shared" si="264"/>
        <v>1.0697343106678903</v>
      </c>
      <c r="AH99" s="14">
        <f t="shared" si="272"/>
        <v>0.92264684313124867</v>
      </c>
      <c r="AI99" s="14">
        <f t="shared" si="280"/>
        <v>0.91442445536432637</v>
      </c>
      <c r="AJ99" s="14">
        <f t="shared" si="288"/>
        <v>2.065606194504062</v>
      </c>
      <c r="AK99" s="14">
        <f t="shared" si="296"/>
        <v>0.80371254665903979</v>
      </c>
      <c r="AL99" s="14">
        <f t="shared" si="304"/>
        <v>1.6323760613209961</v>
      </c>
      <c r="AM99" s="14">
        <f t="shared" si="312"/>
        <v>0.86781454025174931</v>
      </c>
      <c r="AN99" s="14">
        <f t="shared" si="320"/>
        <v>0.66664967655067364</v>
      </c>
      <c r="AO99" s="14">
        <f t="shared" si="328"/>
        <v>1.9328691228145785</v>
      </c>
      <c r="AP99">
        <v>0</v>
      </c>
      <c r="AQ99">
        <f t="shared" si="250"/>
        <v>0</v>
      </c>
      <c r="AR99">
        <f t="shared" si="254"/>
        <v>0</v>
      </c>
      <c r="AS99">
        <f t="shared" si="259"/>
        <v>0</v>
      </c>
      <c r="AT99">
        <f t="shared" si="267"/>
        <v>0</v>
      </c>
      <c r="AU99">
        <f t="shared" si="275"/>
        <v>0</v>
      </c>
      <c r="AV99">
        <f t="shared" si="283"/>
        <v>0</v>
      </c>
      <c r="AW99">
        <f t="shared" si="291"/>
        <v>0</v>
      </c>
      <c r="AX99">
        <f t="shared" si="299"/>
        <v>0</v>
      </c>
      <c r="AY99">
        <f t="shared" si="307"/>
        <v>0</v>
      </c>
      <c r="AZ99">
        <f t="shared" si="315"/>
        <v>0</v>
      </c>
      <c r="BA99">
        <f t="shared" si="323"/>
        <v>0</v>
      </c>
      <c r="BB99">
        <v>3</v>
      </c>
      <c r="BC99">
        <f t="shared" si="251"/>
        <v>21</v>
      </c>
      <c r="BD99">
        <f t="shared" si="255"/>
        <v>12</v>
      </c>
      <c r="BE99">
        <f t="shared" si="260"/>
        <v>50</v>
      </c>
      <c r="BF99">
        <f t="shared" si="268"/>
        <v>18</v>
      </c>
      <c r="BG99">
        <f t="shared" si="276"/>
        <v>3</v>
      </c>
      <c r="BH99">
        <f t="shared" si="284"/>
        <v>42</v>
      </c>
      <c r="BI99">
        <f t="shared" si="292"/>
        <v>6</v>
      </c>
      <c r="BJ99">
        <f t="shared" si="300"/>
        <v>43</v>
      </c>
      <c r="BK99">
        <f t="shared" si="308"/>
        <v>8</v>
      </c>
      <c r="BL99">
        <f t="shared" si="316"/>
        <v>15</v>
      </c>
      <c r="BM99">
        <f t="shared" si="324"/>
        <v>15</v>
      </c>
      <c r="BZ99" s="12">
        <f t="shared" si="330"/>
        <v>5.0066666666666668</v>
      </c>
      <c r="CA99" s="12">
        <f t="shared" si="252"/>
        <v>1.2338095238095168</v>
      </c>
      <c r="CB99" s="12">
        <f t="shared" si="256"/>
        <v>1.5500000000000302</v>
      </c>
      <c r="CC99" s="12">
        <f t="shared" si="265"/>
        <v>1.0242000000000007</v>
      </c>
      <c r="CD99" s="12">
        <f t="shared" si="273"/>
        <v>2.4533333333333758</v>
      </c>
      <c r="CE99" s="12">
        <f t="shared" si="281"/>
        <v>14.713333333333443</v>
      </c>
      <c r="CF99" s="12">
        <f t="shared" si="289"/>
        <v>2.3373809523809541</v>
      </c>
      <c r="CG99" s="12">
        <f t="shared" si="297"/>
        <v>6.3733333333332967</v>
      </c>
      <c r="CH99" s="12">
        <f t="shared" si="305"/>
        <v>1.7844186046511525</v>
      </c>
      <c r="CI99" s="12">
        <f t="shared" si="313"/>
        <v>5.1024999999999636</v>
      </c>
      <c r="CJ99" s="12">
        <f t="shared" si="321"/>
        <v>2.0926666666666884</v>
      </c>
      <c r="CK99" s="12">
        <f t="shared" si="329"/>
        <v>5.9773333333333234</v>
      </c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>
        <f t="shared" si="331"/>
        <v>78.704739940387128</v>
      </c>
      <c r="CY99" s="12">
        <f t="shared" si="332"/>
        <v>50.975306675896917</v>
      </c>
      <c r="CZ99" s="12">
        <f t="shared" si="333"/>
        <v>57.171458208587985</v>
      </c>
      <c r="DA99" s="12">
        <f t="shared" si="334"/>
        <v>45.684957914023869</v>
      </c>
      <c r="DB99" s="12">
        <f t="shared" si="335"/>
        <v>67.823763658507573</v>
      </c>
      <c r="DC99" s="12">
        <f t="shared" si="336"/>
        <v>86.111839550133269</v>
      </c>
      <c r="DD99" s="12">
        <f t="shared" si="337"/>
        <v>66.837343085781896</v>
      </c>
      <c r="DE99" s="12">
        <f t="shared" si="338"/>
        <v>81.082779193084988</v>
      </c>
      <c r="DF99" s="12">
        <f t="shared" si="339"/>
        <v>60.733441015265882</v>
      </c>
      <c r="DG99" s="12">
        <f t="shared" si="340"/>
        <v>78.911577686867446</v>
      </c>
      <c r="DH99" s="12">
        <f t="shared" si="341"/>
        <v>64.458768015845365</v>
      </c>
      <c r="DI99" s="12">
        <f t="shared" si="342"/>
        <v>80.502448186615112</v>
      </c>
      <c r="DJ99" t="s">
        <v>23</v>
      </c>
      <c r="DK99" t="str">
        <f t="shared" si="253"/>
        <v>LH</v>
      </c>
      <c r="DL99" t="str">
        <f t="shared" si="257"/>
        <v>LH</v>
      </c>
      <c r="DM99" t="str">
        <f t="shared" si="261"/>
        <v>HH</v>
      </c>
      <c r="DN99" t="str">
        <f t="shared" si="269"/>
        <v>LH</v>
      </c>
      <c r="DO99" t="str">
        <f t="shared" si="277"/>
        <v>HH</v>
      </c>
      <c r="DP99" t="str">
        <f t="shared" si="285"/>
        <v>HH</v>
      </c>
      <c r="DQ99" t="str">
        <f t="shared" si="293"/>
        <v>HH</v>
      </c>
      <c r="DR99" t="str">
        <f t="shared" si="301"/>
        <v>HH</v>
      </c>
      <c r="DS99" t="str">
        <f t="shared" si="309"/>
        <v>HH</v>
      </c>
      <c r="DT99" t="str">
        <f t="shared" si="317"/>
        <v>HH</v>
      </c>
      <c r="DU99" t="str">
        <f t="shared" si="325"/>
        <v>LH</v>
      </c>
      <c r="DV99">
        <f t="shared" si="343"/>
        <v>-5.2904322324790129E-2</v>
      </c>
      <c r="DW99">
        <f t="shared" si="344"/>
        <v>0.47259806045257169</v>
      </c>
      <c r="DX99">
        <f t="shared" si="262"/>
        <v>0.7760689172526456</v>
      </c>
      <c r="DY99">
        <f t="shared" si="270"/>
        <v>0.60964941513647719</v>
      </c>
      <c r="DZ99">
        <f t="shared" si="278"/>
        <v>1.4600759822708111</v>
      </c>
      <c r="EA99">
        <f t="shared" si="286"/>
        <v>1.0341337021361796</v>
      </c>
      <c r="EB99">
        <f t="shared" si="294"/>
        <v>-0.10330922784683649</v>
      </c>
      <c r="EC99">
        <f t="shared" si="302"/>
        <v>-0.4973839437464615</v>
      </c>
      <c r="ED99">
        <f t="shared" si="310"/>
        <v>-1.1774335988269351</v>
      </c>
      <c r="EE99">
        <f t="shared" si="318"/>
        <v>-1.272828006798407</v>
      </c>
      <c r="EF99">
        <f t="shared" si="326"/>
        <v>-1.5154797213983451</v>
      </c>
      <c r="EG99" s="13" t="str">
        <f t="shared" si="345"/>
        <v>EQH</v>
      </c>
      <c r="EH99" s="13" t="str">
        <f t="shared" si="346"/>
        <v/>
      </c>
      <c r="EI99" s="13" t="str">
        <f t="shared" si="347"/>
        <v/>
      </c>
      <c r="EJ99" s="13" t="str">
        <f t="shared" si="348"/>
        <v/>
      </c>
      <c r="EK99" s="13" t="str">
        <f t="shared" si="349"/>
        <v/>
      </c>
      <c r="EL99" s="13" t="str">
        <f t="shared" si="350"/>
        <v/>
      </c>
      <c r="EM99" s="13" t="str">
        <f t="shared" si="351"/>
        <v>EQH</v>
      </c>
      <c r="EN99" s="13" t="str">
        <f t="shared" si="352"/>
        <v/>
      </c>
      <c r="EO99" s="13" t="str">
        <f t="shared" si="353"/>
        <v/>
      </c>
      <c r="EP99" s="13" t="str">
        <f t="shared" si="354"/>
        <v/>
      </c>
      <c r="EQ99" s="13" t="str">
        <f t="shared" si="355"/>
        <v/>
      </c>
    </row>
    <row r="100" spans="1:147" ht="14.25" customHeight="1" x14ac:dyDescent="0.55000000000000004">
      <c r="A100">
        <v>1776389404</v>
      </c>
      <c r="B100" t="s">
        <v>16</v>
      </c>
      <c r="C100" t="s">
        <v>17</v>
      </c>
      <c r="D100">
        <v>4777.87</v>
      </c>
      <c r="E100" t="s">
        <v>18</v>
      </c>
      <c r="F100">
        <v>4768.07</v>
      </c>
      <c r="G100">
        <v>4786.1000000000004</v>
      </c>
      <c r="H100">
        <v>4772.67</v>
      </c>
      <c r="I100">
        <f t="shared" si="258"/>
        <v>4805.21</v>
      </c>
      <c r="J100">
        <f t="shared" si="266"/>
        <v>4787.17</v>
      </c>
      <c r="K100">
        <f t="shared" si="274"/>
        <v>4786.2299999999996</v>
      </c>
      <c r="L100">
        <f t="shared" si="282"/>
        <v>4827.08</v>
      </c>
      <c r="M100">
        <f t="shared" si="290"/>
        <v>4752.6000000000004</v>
      </c>
      <c r="N100">
        <f t="shared" si="298"/>
        <v>4757.92</v>
      </c>
      <c r="O100">
        <f t="shared" si="306"/>
        <v>4700.51</v>
      </c>
      <c r="P100">
        <f t="shared" si="314"/>
        <v>4703.7700000000004</v>
      </c>
      <c r="Q100">
        <f t="shared" si="322"/>
        <v>4708.62</v>
      </c>
      <c r="R100">
        <v>-33.049999999999997</v>
      </c>
      <c r="S100">
        <f t="shared" si="356"/>
        <v>-12.479999999999563</v>
      </c>
      <c r="T100">
        <f t="shared" si="357"/>
        <v>-51.140000000000327</v>
      </c>
      <c r="U100">
        <f t="shared" si="263"/>
        <v>-33.170000000000073</v>
      </c>
      <c r="V100">
        <f t="shared" si="271"/>
        <v>-43.220000000000255</v>
      </c>
      <c r="W100">
        <f t="shared" si="279"/>
        <v>-84.990000000000691</v>
      </c>
      <c r="X100">
        <f t="shared" si="287"/>
        <v>-23.690000000000509</v>
      </c>
      <c r="Y100">
        <f t="shared" si="295"/>
        <v>-43.559999999999491</v>
      </c>
      <c r="Z100">
        <f t="shared" si="303"/>
        <v>-19.319999999999709</v>
      </c>
      <c r="AA100">
        <f t="shared" si="311"/>
        <v>-44.079999999999927</v>
      </c>
      <c r="AB100">
        <f t="shared" si="319"/>
        <v>-36.239999999999782</v>
      </c>
      <c r="AC100">
        <f t="shared" si="327"/>
        <v>-19.739999999999782</v>
      </c>
      <c r="AD100">
        <v>-0.69</v>
      </c>
      <c r="AE100" s="14">
        <f t="shared" si="358"/>
        <v>-0.260076939427905</v>
      </c>
      <c r="AF100" s="14">
        <f t="shared" si="359"/>
        <v>-1.060157842037732</v>
      </c>
      <c r="AG100" s="14">
        <f t="shared" si="264"/>
        <v>-0.68556004282425254</v>
      </c>
      <c r="AH100" s="14">
        <f t="shared" si="272"/>
        <v>-0.89475176952586133</v>
      </c>
      <c r="AI100" s="14">
        <f t="shared" si="280"/>
        <v>-1.7447374579674226</v>
      </c>
      <c r="AJ100" s="14">
        <f t="shared" si="288"/>
        <v>-0.48837607225245699</v>
      </c>
      <c r="AK100" s="14">
        <f t="shared" si="296"/>
        <v>-0.90822658126500144</v>
      </c>
      <c r="AL100" s="14">
        <f t="shared" si="304"/>
        <v>-0.40441761351742245</v>
      </c>
      <c r="AM100" s="14">
        <f t="shared" si="312"/>
        <v>-0.9290581483331527</v>
      </c>
      <c r="AN100" s="14">
        <f t="shared" si="320"/>
        <v>-0.7645553490393433</v>
      </c>
      <c r="AO100" s="14">
        <f t="shared" si="328"/>
        <v>-0.41748090246935055</v>
      </c>
      <c r="AP100">
        <v>3</v>
      </c>
      <c r="AQ100">
        <f t="shared" ref="AQ100:AQ131" si="360">AP98</f>
        <v>3</v>
      </c>
      <c r="AR100">
        <f t="shared" si="254"/>
        <v>3</v>
      </c>
      <c r="AS100">
        <f t="shared" si="259"/>
        <v>3</v>
      </c>
      <c r="AT100">
        <f t="shared" si="267"/>
        <v>3</v>
      </c>
      <c r="AU100">
        <f t="shared" si="275"/>
        <v>3</v>
      </c>
      <c r="AV100">
        <f t="shared" si="283"/>
        <v>3</v>
      </c>
      <c r="AW100">
        <f t="shared" si="291"/>
        <v>3</v>
      </c>
      <c r="AX100">
        <f t="shared" si="299"/>
        <v>3</v>
      </c>
      <c r="AY100">
        <f t="shared" si="307"/>
        <v>3</v>
      </c>
      <c r="AZ100">
        <f t="shared" si="315"/>
        <v>3</v>
      </c>
      <c r="BA100">
        <f t="shared" si="323"/>
        <v>3</v>
      </c>
      <c r="BB100">
        <v>3</v>
      </c>
      <c r="BC100">
        <f t="shared" ref="BC100:BC131" si="361">BB98</f>
        <v>13</v>
      </c>
      <c r="BD100">
        <f t="shared" si="255"/>
        <v>4</v>
      </c>
      <c r="BE100">
        <f t="shared" si="260"/>
        <v>22</v>
      </c>
      <c r="BF100">
        <f t="shared" si="268"/>
        <v>5</v>
      </c>
      <c r="BG100">
        <f t="shared" si="276"/>
        <v>34</v>
      </c>
      <c r="BH100">
        <f t="shared" si="284"/>
        <v>10</v>
      </c>
      <c r="BI100">
        <f t="shared" si="292"/>
        <v>14</v>
      </c>
      <c r="BJ100">
        <f t="shared" si="300"/>
        <v>11</v>
      </c>
      <c r="BK100">
        <f t="shared" si="308"/>
        <v>5</v>
      </c>
      <c r="BL100">
        <f t="shared" si="316"/>
        <v>16</v>
      </c>
      <c r="BM100">
        <f t="shared" si="324"/>
        <v>9</v>
      </c>
      <c r="BZ100" s="12">
        <f t="shared" si="330"/>
        <v>-11.016666666666666</v>
      </c>
      <c r="CA100" s="12">
        <f t="shared" ref="CA100:CA131" si="362">IFERROR(S100/BC100,0)</f>
        <v>-0.95999999999996644</v>
      </c>
      <c r="CB100" s="12">
        <f t="shared" si="256"/>
        <v>-12.785000000000082</v>
      </c>
      <c r="CC100" s="12">
        <f t="shared" si="265"/>
        <v>-1.5077272727272761</v>
      </c>
      <c r="CD100" s="12">
        <f t="shared" si="273"/>
        <v>-8.6440000000000516</v>
      </c>
      <c r="CE100" s="12">
        <f t="shared" si="281"/>
        <v>-2.4997058823529614</v>
      </c>
      <c r="CF100" s="12">
        <f t="shared" si="289"/>
        <v>-2.3690000000000508</v>
      </c>
      <c r="CG100" s="12">
        <f t="shared" si="297"/>
        <v>-3.1114285714285352</v>
      </c>
      <c r="CH100" s="12">
        <f t="shared" si="305"/>
        <v>-1.7563636363636099</v>
      </c>
      <c r="CI100" s="12">
        <f t="shared" si="313"/>
        <v>-8.8159999999999847</v>
      </c>
      <c r="CJ100" s="12">
        <f t="shared" si="321"/>
        <v>-2.2649999999999864</v>
      </c>
      <c r="CK100" s="12">
        <f t="shared" si="329"/>
        <v>-2.1933333333333089</v>
      </c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>
        <f t="shared" si="331"/>
        <v>-84.813386639824557</v>
      </c>
      <c r="CY100" s="12">
        <f t="shared" si="332"/>
        <v>-43.830860672091582</v>
      </c>
      <c r="CZ100" s="12">
        <f t="shared" si="333"/>
        <v>-85.527621095731902</v>
      </c>
      <c r="DA100" s="12">
        <f t="shared" si="334"/>
        <v>-56.445675827003079</v>
      </c>
      <c r="DB100" s="12">
        <f t="shared" si="335"/>
        <v>-83.400947922053007</v>
      </c>
      <c r="DC100" s="12">
        <f t="shared" si="336"/>
        <v>-68.196265905494101</v>
      </c>
      <c r="DD100" s="12">
        <f t="shared" si="337"/>
        <v>-67.114466086461661</v>
      </c>
      <c r="DE100" s="12">
        <f t="shared" si="338"/>
        <v>-72.182814188131331</v>
      </c>
      <c r="DF100" s="12">
        <f t="shared" si="339"/>
        <v>-60.344623307017628</v>
      </c>
      <c r="DG100" s="12">
        <f t="shared" si="340"/>
        <v>-83.528592419684202</v>
      </c>
      <c r="DH100" s="12">
        <f t="shared" si="341"/>
        <v>-66.178488668776396</v>
      </c>
      <c r="DI100" s="12">
        <f t="shared" si="342"/>
        <v>-65.490474431646135</v>
      </c>
      <c r="DJ100" t="s">
        <v>19</v>
      </c>
      <c r="DK100" t="str">
        <f t="shared" ref="DK100:DK131" si="363">DJ98</f>
        <v>HL</v>
      </c>
      <c r="DL100" t="str">
        <f t="shared" si="257"/>
        <v>LL</v>
      </c>
      <c r="DM100" t="str">
        <f t="shared" si="261"/>
        <v>HL</v>
      </c>
      <c r="DN100" t="str">
        <f t="shared" si="269"/>
        <v>HL</v>
      </c>
      <c r="DO100" t="str">
        <f t="shared" si="277"/>
        <v>LL</v>
      </c>
      <c r="DP100" t="str">
        <f t="shared" si="285"/>
        <v>HL</v>
      </c>
      <c r="DQ100" t="str">
        <f t="shared" si="293"/>
        <v>LL</v>
      </c>
      <c r="DR100" t="str">
        <f t="shared" si="301"/>
        <v>HL</v>
      </c>
      <c r="DS100" t="str">
        <f t="shared" si="309"/>
        <v>LL</v>
      </c>
      <c r="DT100" t="str">
        <f t="shared" si="317"/>
        <v>LL</v>
      </c>
      <c r="DU100" t="str">
        <f t="shared" si="325"/>
        <v>HL</v>
      </c>
      <c r="DV100">
        <f t="shared" si="343"/>
        <v>0.37814042159617317</v>
      </c>
      <c r="DW100">
        <f t="shared" si="344"/>
        <v>9.6475093696199166E-2</v>
      </c>
      <c r="DX100">
        <f t="shared" si="262"/>
        <v>0.77893151736447508</v>
      </c>
      <c r="DY100">
        <f t="shared" si="270"/>
        <v>0.40058136730375948</v>
      </c>
      <c r="DZ100">
        <f t="shared" si="278"/>
        <v>0.38086689163539661</v>
      </c>
      <c r="EA100">
        <f t="shared" si="286"/>
        <v>1.2376076693504965</v>
      </c>
      <c r="EB100">
        <f t="shared" si="294"/>
        <v>-0.32444993466956956</v>
      </c>
      <c r="EC100">
        <f t="shared" si="302"/>
        <v>-0.21287439152528459</v>
      </c>
      <c r="ED100">
        <f t="shared" si="310"/>
        <v>-1.4169255065466635</v>
      </c>
      <c r="EE100">
        <f t="shared" si="318"/>
        <v>-1.348554027101097</v>
      </c>
      <c r="EF100">
        <f t="shared" si="326"/>
        <v>-1.2468357217909933</v>
      </c>
      <c r="EG100" s="13" t="str">
        <f t="shared" si="345"/>
        <v/>
      </c>
      <c r="EH100" s="13" t="str">
        <f t="shared" si="346"/>
        <v/>
      </c>
      <c r="EI100" s="13" t="str">
        <f t="shared" si="347"/>
        <v/>
      </c>
      <c r="EJ100" s="13" t="str">
        <f t="shared" si="348"/>
        <v/>
      </c>
      <c r="EK100" s="13" t="str">
        <f t="shared" si="349"/>
        <v/>
      </c>
      <c r="EL100" s="13" t="str">
        <f t="shared" si="350"/>
        <v/>
      </c>
      <c r="EM100" s="13" t="str">
        <f t="shared" si="351"/>
        <v/>
      </c>
      <c r="EN100" s="13" t="str">
        <f t="shared" si="352"/>
        <v>EQL</v>
      </c>
      <c r="EO100" s="13" t="str">
        <f t="shared" si="353"/>
        <v/>
      </c>
      <c r="EP100" s="13" t="str">
        <f t="shared" si="354"/>
        <v/>
      </c>
      <c r="EQ100" s="13" t="str">
        <f t="shared" si="355"/>
        <v/>
      </c>
    </row>
    <row r="101" spans="1:147" ht="14.25" customHeight="1" x14ac:dyDescent="0.55000000000000004">
      <c r="A101">
        <v>1776402004</v>
      </c>
      <c r="B101" t="s">
        <v>16</v>
      </c>
      <c r="C101" t="s">
        <v>17</v>
      </c>
      <c r="D101">
        <v>4804.78</v>
      </c>
      <c r="E101" t="s">
        <v>20</v>
      </c>
      <c r="F101">
        <v>4805.97</v>
      </c>
      <c r="G101">
        <v>4801.12</v>
      </c>
      <c r="H101">
        <v>4798.58</v>
      </c>
      <c r="I101">
        <f t="shared" si="258"/>
        <v>4823.8100000000004</v>
      </c>
      <c r="J101">
        <f t="shared" si="266"/>
        <v>4838.38</v>
      </c>
      <c r="K101">
        <f t="shared" si="274"/>
        <v>4830.3900000000003</v>
      </c>
      <c r="L101">
        <f t="shared" si="282"/>
        <v>4871.22</v>
      </c>
      <c r="M101">
        <f t="shared" si="290"/>
        <v>4850.7700000000004</v>
      </c>
      <c r="N101">
        <f t="shared" si="298"/>
        <v>4796.16</v>
      </c>
      <c r="O101">
        <f t="shared" si="306"/>
        <v>4777.24</v>
      </c>
      <c r="P101">
        <f t="shared" si="314"/>
        <v>4744.59</v>
      </c>
      <c r="Q101">
        <f t="shared" si="322"/>
        <v>4740.01</v>
      </c>
      <c r="R101">
        <v>37.9</v>
      </c>
      <c r="S101">
        <f t="shared" si="356"/>
        <v>15.019999999999527</v>
      </c>
      <c r="T101">
        <f t="shared" si="357"/>
        <v>25.909999999999854</v>
      </c>
      <c r="U101">
        <f t="shared" si="263"/>
        <v>18.600000000000364</v>
      </c>
      <c r="V101">
        <f t="shared" si="271"/>
        <v>51.210000000000036</v>
      </c>
      <c r="W101">
        <f t="shared" si="279"/>
        <v>44.160000000000764</v>
      </c>
      <c r="X101">
        <f t="shared" si="287"/>
        <v>44.140000000000327</v>
      </c>
      <c r="Y101">
        <f t="shared" si="295"/>
        <v>98.170000000000073</v>
      </c>
      <c r="Z101">
        <f t="shared" si="303"/>
        <v>38.239999999999782</v>
      </c>
      <c r="AA101">
        <f t="shared" si="311"/>
        <v>76.729999999999563</v>
      </c>
      <c r="AB101">
        <f t="shared" si="319"/>
        <v>40.819999999999709</v>
      </c>
      <c r="AC101">
        <f t="shared" si="327"/>
        <v>31.390000000000327</v>
      </c>
      <c r="AD101">
        <v>0.79</v>
      </c>
      <c r="AE101" s="14">
        <f t="shared" si="358"/>
        <v>0.31382545287393759</v>
      </c>
      <c r="AF101" s="14">
        <f t="shared" si="359"/>
        <v>0.54288270506864822</v>
      </c>
      <c r="AG101" s="14">
        <f t="shared" si="264"/>
        <v>0.38707985707181092</v>
      </c>
      <c r="AH101" s="14">
        <f t="shared" si="272"/>
        <v>1.0697343106678903</v>
      </c>
      <c r="AI101" s="14">
        <f t="shared" si="280"/>
        <v>0.92264684313124867</v>
      </c>
      <c r="AJ101" s="14">
        <f t="shared" si="288"/>
        <v>0.91442445536432637</v>
      </c>
      <c r="AK101" s="14">
        <f t="shared" si="296"/>
        <v>2.065606194504062</v>
      </c>
      <c r="AL101" s="14">
        <f t="shared" si="304"/>
        <v>0.80371254665903979</v>
      </c>
      <c r="AM101" s="14">
        <f t="shared" si="312"/>
        <v>1.6323760613209961</v>
      </c>
      <c r="AN101" s="14">
        <f t="shared" si="320"/>
        <v>0.86781454025174931</v>
      </c>
      <c r="AO101" s="14">
        <f t="shared" si="328"/>
        <v>0.66664967655067364</v>
      </c>
      <c r="AP101">
        <v>0</v>
      </c>
      <c r="AQ101">
        <f t="shared" si="360"/>
        <v>0</v>
      </c>
      <c r="AR101">
        <f t="shared" si="254"/>
        <v>0</v>
      </c>
      <c r="AS101">
        <f t="shared" si="259"/>
        <v>0</v>
      </c>
      <c r="AT101">
        <f t="shared" si="267"/>
        <v>0</v>
      </c>
      <c r="AU101">
        <f t="shared" si="275"/>
        <v>0</v>
      </c>
      <c r="AV101">
        <f t="shared" si="283"/>
        <v>0</v>
      </c>
      <c r="AW101">
        <f t="shared" si="291"/>
        <v>0</v>
      </c>
      <c r="AX101">
        <f t="shared" si="299"/>
        <v>0</v>
      </c>
      <c r="AY101">
        <f t="shared" si="307"/>
        <v>0</v>
      </c>
      <c r="AZ101">
        <f t="shared" si="315"/>
        <v>0</v>
      </c>
      <c r="BA101">
        <f t="shared" si="323"/>
        <v>0</v>
      </c>
      <c r="BB101">
        <v>14</v>
      </c>
      <c r="BC101">
        <f t="shared" si="361"/>
        <v>3</v>
      </c>
      <c r="BD101">
        <f t="shared" si="255"/>
        <v>21</v>
      </c>
      <c r="BE101">
        <f t="shared" si="260"/>
        <v>12</v>
      </c>
      <c r="BF101">
        <f t="shared" si="268"/>
        <v>50</v>
      </c>
      <c r="BG101">
        <f t="shared" si="276"/>
        <v>18</v>
      </c>
      <c r="BH101">
        <f t="shared" si="284"/>
        <v>3</v>
      </c>
      <c r="BI101">
        <f t="shared" si="292"/>
        <v>42</v>
      </c>
      <c r="BJ101">
        <f t="shared" si="300"/>
        <v>6</v>
      </c>
      <c r="BK101">
        <f t="shared" si="308"/>
        <v>43</v>
      </c>
      <c r="BL101">
        <f t="shared" si="316"/>
        <v>8</v>
      </c>
      <c r="BM101">
        <f t="shared" si="324"/>
        <v>15</v>
      </c>
      <c r="BZ101" s="12">
        <f t="shared" si="330"/>
        <v>2.7071428571428569</v>
      </c>
      <c r="CA101" s="12">
        <f t="shared" si="362"/>
        <v>5.0066666666665087</v>
      </c>
      <c r="CB101" s="12">
        <f t="shared" si="256"/>
        <v>1.2338095238095168</v>
      </c>
      <c r="CC101" s="12">
        <f t="shared" si="265"/>
        <v>1.5500000000000302</v>
      </c>
      <c r="CD101" s="12">
        <f t="shared" si="273"/>
        <v>1.0242000000000007</v>
      </c>
      <c r="CE101" s="12">
        <f t="shared" si="281"/>
        <v>2.4533333333333758</v>
      </c>
      <c r="CF101" s="12">
        <f t="shared" si="289"/>
        <v>14.713333333333443</v>
      </c>
      <c r="CG101" s="12">
        <f t="shared" si="297"/>
        <v>2.3373809523809541</v>
      </c>
      <c r="CH101" s="12">
        <f t="shared" si="305"/>
        <v>6.3733333333332967</v>
      </c>
      <c r="CI101" s="12">
        <f t="shared" si="313"/>
        <v>1.7844186046511525</v>
      </c>
      <c r="CJ101" s="12">
        <f t="shared" si="321"/>
        <v>5.1024999999999636</v>
      </c>
      <c r="CK101" s="12">
        <f t="shared" si="329"/>
        <v>2.0926666666666884</v>
      </c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>
        <f t="shared" si="331"/>
        <v>69.726115955861118</v>
      </c>
      <c r="CY101" s="12">
        <f t="shared" si="332"/>
        <v>78.704739940386773</v>
      </c>
      <c r="CZ101" s="12">
        <f t="shared" si="333"/>
        <v>50.975306675896917</v>
      </c>
      <c r="DA101" s="12">
        <f t="shared" si="334"/>
        <v>57.171458208587985</v>
      </c>
      <c r="DB101" s="12">
        <f t="shared" si="335"/>
        <v>45.684957914023869</v>
      </c>
      <c r="DC101" s="12">
        <f t="shared" si="336"/>
        <v>67.823763658507573</v>
      </c>
      <c r="DD101" s="12">
        <f t="shared" si="337"/>
        <v>86.111839550133269</v>
      </c>
      <c r="DE101" s="12">
        <f t="shared" si="338"/>
        <v>66.837343085781896</v>
      </c>
      <c r="DF101" s="12">
        <f t="shared" si="339"/>
        <v>81.082779193084988</v>
      </c>
      <c r="DG101" s="12">
        <f t="shared" si="340"/>
        <v>60.733441015265882</v>
      </c>
      <c r="DH101" s="12">
        <f t="shared" si="341"/>
        <v>78.911577686867446</v>
      </c>
      <c r="DI101" s="12">
        <f t="shared" si="342"/>
        <v>64.458768015845365</v>
      </c>
      <c r="DJ101" t="s">
        <v>23</v>
      </c>
      <c r="DK101" t="str">
        <f t="shared" si="363"/>
        <v>HH</v>
      </c>
      <c r="DL101" t="str">
        <f t="shared" si="257"/>
        <v>LH</v>
      </c>
      <c r="DM101" t="str">
        <f t="shared" si="261"/>
        <v>LH</v>
      </c>
      <c r="DN101" t="str">
        <f t="shared" si="269"/>
        <v>HH</v>
      </c>
      <c r="DO101" t="str">
        <f t="shared" si="277"/>
        <v>LH</v>
      </c>
      <c r="DP101" t="str">
        <f t="shared" si="285"/>
        <v>HH</v>
      </c>
      <c r="DQ101" t="str">
        <f t="shared" si="293"/>
        <v>HH</v>
      </c>
      <c r="DR101" t="str">
        <f t="shared" si="301"/>
        <v>HH</v>
      </c>
      <c r="DS101" t="str">
        <f t="shared" si="309"/>
        <v>HH</v>
      </c>
      <c r="DT101" t="str">
        <f t="shared" si="317"/>
        <v>HH</v>
      </c>
      <c r="DU101" t="str">
        <f t="shared" si="325"/>
        <v>HH</v>
      </c>
      <c r="DV101">
        <f t="shared" si="343"/>
        <v>-0.10091615220237254</v>
      </c>
      <c r="DW101">
        <f t="shared" si="344"/>
        <v>-0.15376708552072374</v>
      </c>
      <c r="DX101">
        <f t="shared" si="262"/>
        <v>0.37120498047220735</v>
      </c>
      <c r="DY101">
        <f t="shared" si="270"/>
        <v>0.6743695861605431</v>
      </c>
      <c r="DZ101">
        <f t="shared" si="278"/>
        <v>0.50811802820242469</v>
      </c>
      <c r="EA101">
        <f t="shared" si="286"/>
        <v>1.3576863775678998</v>
      </c>
      <c r="EB101">
        <f t="shared" si="294"/>
        <v>0.93217394199298331</v>
      </c>
      <c r="EC101">
        <f t="shared" si="302"/>
        <v>-0.20412112435159602</v>
      </c>
      <c r="ED101">
        <f t="shared" si="310"/>
        <v>-0.59779815521113266</v>
      </c>
      <c r="EE101">
        <f t="shared" si="318"/>
        <v>-1.2771615303466335</v>
      </c>
      <c r="EF101">
        <f t="shared" si="326"/>
        <v>-1.3724596699521645</v>
      </c>
      <c r="EG101" s="13" t="str">
        <f t="shared" si="345"/>
        <v>EQH</v>
      </c>
      <c r="EH101" s="13" t="str">
        <f t="shared" si="346"/>
        <v>EQH</v>
      </c>
      <c r="EI101" s="13" t="str">
        <f t="shared" si="347"/>
        <v/>
      </c>
      <c r="EJ101" s="13" t="str">
        <f t="shared" si="348"/>
        <v/>
      </c>
      <c r="EK101" s="13" t="str">
        <f t="shared" si="349"/>
        <v/>
      </c>
      <c r="EL101" s="13" t="str">
        <f t="shared" si="350"/>
        <v/>
      </c>
      <c r="EM101" s="13" t="str">
        <f t="shared" si="351"/>
        <v/>
      </c>
      <c r="EN101" s="13" t="str">
        <f t="shared" si="352"/>
        <v>EQH</v>
      </c>
      <c r="EO101" s="13" t="str">
        <f t="shared" si="353"/>
        <v/>
      </c>
      <c r="EP101" s="13" t="str">
        <f t="shared" si="354"/>
        <v/>
      </c>
      <c r="EQ101" s="13" t="str">
        <f t="shared" si="355"/>
        <v/>
      </c>
    </row>
    <row r="102" spans="1:147" ht="14.25" customHeight="1" x14ac:dyDescent="0.55000000000000004">
      <c r="A102">
        <v>1776411904</v>
      </c>
      <c r="B102" t="s">
        <v>16</v>
      </c>
      <c r="C102" t="s">
        <v>17</v>
      </c>
      <c r="D102">
        <v>4784.38</v>
      </c>
      <c r="E102" t="s">
        <v>18</v>
      </c>
      <c r="F102">
        <v>4778.83</v>
      </c>
      <c r="G102">
        <v>4768.07</v>
      </c>
      <c r="H102">
        <v>4786.1000000000004</v>
      </c>
      <c r="I102">
        <f t="shared" si="258"/>
        <v>4772.67</v>
      </c>
      <c r="J102">
        <f t="shared" si="266"/>
        <v>4805.21</v>
      </c>
      <c r="K102">
        <f t="shared" si="274"/>
        <v>4787.17</v>
      </c>
      <c r="L102">
        <f t="shared" si="282"/>
        <v>4786.2299999999996</v>
      </c>
      <c r="M102">
        <f t="shared" si="290"/>
        <v>4827.08</v>
      </c>
      <c r="N102">
        <f t="shared" si="298"/>
        <v>4752.6000000000004</v>
      </c>
      <c r="O102">
        <f t="shared" si="306"/>
        <v>4757.92</v>
      </c>
      <c r="P102">
        <f t="shared" si="314"/>
        <v>4700.51</v>
      </c>
      <c r="Q102">
        <f t="shared" si="322"/>
        <v>4703.7700000000004</v>
      </c>
      <c r="R102">
        <v>-27.14</v>
      </c>
      <c r="S102">
        <f t="shared" si="356"/>
        <v>-33.050000000000182</v>
      </c>
      <c r="T102">
        <f t="shared" si="357"/>
        <v>-12.479999999999563</v>
      </c>
      <c r="U102">
        <f t="shared" si="263"/>
        <v>-51.140000000000327</v>
      </c>
      <c r="V102">
        <f t="shared" si="271"/>
        <v>-33.170000000000073</v>
      </c>
      <c r="W102">
        <f t="shared" si="279"/>
        <v>-43.220000000000255</v>
      </c>
      <c r="X102">
        <f t="shared" si="287"/>
        <v>-84.990000000000691</v>
      </c>
      <c r="Y102">
        <f t="shared" si="295"/>
        <v>-23.690000000000509</v>
      </c>
      <c r="Z102">
        <f t="shared" si="303"/>
        <v>-43.559999999999491</v>
      </c>
      <c r="AA102">
        <f t="shared" si="311"/>
        <v>-19.319999999999709</v>
      </c>
      <c r="AB102">
        <f t="shared" si="319"/>
        <v>-44.079999999999927</v>
      </c>
      <c r="AC102">
        <f t="shared" si="327"/>
        <v>-36.239999999999782</v>
      </c>
      <c r="AD102">
        <v>-0.56000000000000005</v>
      </c>
      <c r="AE102" s="14">
        <f t="shared" si="358"/>
        <v>-0.68838104442297177</v>
      </c>
      <c r="AF102" s="14">
        <f t="shared" si="359"/>
        <v>-0.260076939427905</v>
      </c>
      <c r="AG102" s="14">
        <f t="shared" si="264"/>
        <v>-1.060157842037732</v>
      </c>
      <c r="AH102" s="14">
        <f t="shared" si="272"/>
        <v>-0.68556004282425254</v>
      </c>
      <c r="AI102" s="14">
        <f t="shared" si="280"/>
        <v>-0.89475176952586133</v>
      </c>
      <c r="AJ102" s="14">
        <f t="shared" si="288"/>
        <v>-1.7447374579674226</v>
      </c>
      <c r="AK102" s="14">
        <f t="shared" si="296"/>
        <v>-0.48837607225245699</v>
      </c>
      <c r="AL102" s="14">
        <f t="shared" si="304"/>
        <v>-0.90822658126500144</v>
      </c>
      <c r="AM102" s="14">
        <f t="shared" si="312"/>
        <v>-0.40441761351742245</v>
      </c>
      <c r="AN102" s="14">
        <f t="shared" si="320"/>
        <v>-0.9290581483331527</v>
      </c>
      <c r="AO102" s="14">
        <f t="shared" si="328"/>
        <v>-0.7645553490393433</v>
      </c>
      <c r="AP102">
        <v>3</v>
      </c>
      <c r="AQ102">
        <f t="shared" si="360"/>
        <v>3</v>
      </c>
      <c r="AR102">
        <f t="shared" ref="AR102:AR133" si="364">AP98</f>
        <v>3</v>
      </c>
      <c r="AS102">
        <f t="shared" si="259"/>
        <v>3</v>
      </c>
      <c r="AT102">
        <f t="shared" si="267"/>
        <v>3</v>
      </c>
      <c r="AU102">
        <f t="shared" si="275"/>
        <v>3</v>
      </c>
      <c r="AV102">
        <f t="shared" si="283"/>
        <v>3</v>
      </c>
      <c r="AW102">
        <f t="shared" si="291"/>
        <v>3</v>
      </c>
      <c r="AX102">
        <f t="shared" si="299"/>
        <v>3</v>
      </c>
      <c r="AY102">
        <f t="shared" si="307"/>
        <v>3</v>
      </c>
      <c r="AZ102">
        <f t="shared" si="315"/>
        <v>3</v>
      </c>
      <c r="BA102">
        <f t="shared" si="323"/>
        <v>3</v>
      </c>
      <c r="BB102">
        <v>11</v>
      </c>
      <c r="BC102">
        <f t="shared" si="361"/>
        <v>3</v>
      </c>
      <c r="BD102">
        <f t="shared" ref="BD102:BD133" si="365">BB98</f>
        <v>13</v>
      </c>
      <c r="BE102">
        <f t="shared" si="260"/>
        <v>4</v>
      </c>
      <c r="BF102">
        <f t="shared" si="268"/>
        <v>22</v>
      </c>
      <c r="BG102">
        <f t="shared" si="276"/>
        <v>5</v>
      </c>
      <c r="BH102">
        <f t="shared" si="284"/>
        <v>34</v>
      </c>
      <c r="BI102">
        <f t="shared" si="292"/>
        <v>10</v>
      </c>
      <c r="BJ102">
        <f t="shared" si="300"/>
        <v>14</v>
      </c>
      <c r="BK102">
        <f t="shared" si="308"/>
        <v>11</v>
      </c>
      <c r="BL102">
        <f t="shared" si="316"/>
        <v>5</v>
      </c>
      <c r="BM102">
        <f t="shared" si="324"/>
        <v>16</v>
      </c>
      <c r="BZ102" s="12">
        <f t="shared" si="330"/>
        <v>-2.4672727272727273</v>
      </c>
      <c r="CA102" s="12">
        <f t="shared" si="362"/>
        <v>-11.016666666666728</v>
      </c>
      <c r="CB102" s="12">
        <f t="shared" ref="CB102:CB133" si="366">IFERROR(T102/BD102,0)</f>
        <v>-0.95999999999996644</v>
      </c>
      <c r="CC102" s="12">
        <f t="shared" si="265"/>
        <v>-12.785000000000082</v>
      </c>
      <c r="CD102" s="12">
        <f t="shared" si="273"/>
        <v>-1.5077272727272761</v>
      </c>
      <c r="CE102" s="12">
        <f t="shared" si="281"/>
        <v>-8.6440000000000516</v>
      </c>
      <c r="CF102" s="12">
        <f t="shared" si="289"/>
        <v>-2.4997058823529614</v>
      </c>
      <c r="CG102" s="12">
        <f t="shared" si="297"/>
        <v>-2.3690000000000508</v>
      </c>
      <c r="CH102" s="12">
        <f t="shared" si="305"/>
        <v>-3.1114285714285352</v>
      </c>
      <c r="CI102" s="12">
        <f t="shared" si="313"/>
        <v>-1.7563636363636099</v>
      </c>
      <c r="CJ102" s="12">
        <f t="shared" si="321"/>
        <v>-8.8159999999999847</v>
      </c>
      <c r="CK102" s="12">
        <f t="shared" si="329"/>
        <v>-2.2649999999999864</v>
      </c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>
        <f t="shared" si="331"/>
        <v>-67.937000947295161</v>
      </c>
      <c r="CY102" s="12">
        <f t="shared" si="332"/>
        <v>-84.813386639824586</v>
      </c>
      <c r="CZ102" s="12">
        <f t="shared" si="333"/>
        <v>-43.830860672091582</v>
      </c>
      <c r="DA102" s="12">
        <f t="shared" si="334"/>
        <v>-85.527621095731902</v>
      </c>
      <c r="DB102" s="12">
        <f t="shared" si="335"/>
        <v>-56.445675827003079</v>
      </c>
      <c r="DC102" s="12">
        <f t="shared" si="336"/>
        <v>-83.400947922053007</v>
      </c>
      <c r="DD102" s="12">
        <f t="shared" si="337"/>
        <v>-68.196265905494101</v>
      </c>
      <c r="DE102" s="12">
        <f t="shared" si="338"/>
        <v>-67.114466086461661</v>
      </c>
      <c r="DF102" s="12">
        <f t="shared" si="339"/>
        <v>-72.182814188131331</v>
      </c>
      <c r="DG102" s="12">
        <f t="shared" si="340"/>
        <v>-60.344623307017628</v>
      </c>
      <c r="DH102" s="12">
        <f t="shared" si="341"/>
        <v>-83.528592419684202</v>
      </c>
      <c r="DI102" s="12">
        <f t="shared" si="342"/>
        <v>-66.178488668776396</v>
      </c>
      <c r="DJ102" t="s">
        <v>22</v>
      </c>
      <c r="DK102" t="str">
        <f t="shared" si="363"/>
        <v>LL</v>
      </c>
      <c r="DL102" t="str">
        <f t="shared" ref="DL102:DL133" si="367">DJ98</f>
        <v>HL</v>
      </c>
      <c r="DM102" t="str">
        <f t="shared" si="261"/>
        <v>LL</v>
      </c>
      <c r="DN102" t="str">
        <f t="shared" si="269"/>
        <v>HL</v>
      </c>
      <c r="DO102" t="str">
        <f t="shared" si="277"/>
        <v>HL</v>
      </c>
      <c r="DP102" t="str">
        <f t="shared" si="285"/>
        <v>LL</v>
      </c>
      <c r="DQ102" t="str">
        <f t="shared" si="293"/>
        <v>HL</v>
      </c>
      <c r="DR102" t="str">
        <f t="shared" si="301"/>
        <v>LL</v>
      </c>
      <c r="DS102" t="str">
        <f t="shared" si="309"/>
        <v>HL</v>
      </c>
      <c r="DT102" t="str">
        <f t="shared" si="317"/>
        <v>LL</v>
      </c>
      <c r="DU102" t="str">
        <f t="shared" si="325"/>
        <v>LL</v>
      </c>
      <c r="DV102">
        <f t="shared" si="343"/>
        <v>-0.22515971482559996</v>
      </c>
      <c r="DW102">
        <f t="shared" si="344"/>
        <v>0.15212928687566699</v>
      </c>
      <c r="DX102">
        <f t="shared" si="262"/>
        <v>-0.12890184417524486</v>
      </c>
      <c r="DY102">
        <f t="shared" si="270"/>
        <v>0.55201796255569058</v>
      </c>
      <c r="DZ102">
        <f t="shared" si="278"/>
        <v>0.17451970461389391</v>
      </c>
      <c r="EA102">
        <f t="shared" si="286"/>
        <v>0.15484961800272529</v>
      </c>
      <c r="EB102">
        <f t="shared" si="294"/>
        <v>1.0096613606259273</v>
      </c>
      <c r="EC102">
        <f t="shared" si="302"/>
        <v>-0.54887911894751562</v>
      </c>
      <c r="ED102">
        <f t="shared" si="310"/>
        <v>-0.43755479897798949</v>
      </c>
      <c r="EE102">
        <f t="shared" si="318"/>
        <v>-1.638894875942432</v>
      </c>
      <c r="EF102">
        <f t="shared" si="326"/>
        <v>-1.570677341525007</v>
      </c>
      <c r="EG102" s="13" t="str">
        <f t="shared" si="345"/>
        <v/>
      </c>
      <c r="EH102" s="13" t="str">
        <f t="shared" si="346"/>
        <v>EQL</v>
      </c>
      <c r="EI102" s="13" t="str">
        <f t="shared" si="347"/>
        <v/>
      </c>
      <c r="EJ102" s="13" t="str">
        <f t="shared" si="348"/>
        <v/>
      </c>
      <c r="EK102" s="13" t="str">
        <f t="shared" si="349"/>
        <v/>
      </c>
      <c r="EL102" s="13" t="str">
        <f t="shared" si="350"/>
        <v/>
      </c>
      <c r="EM102" s="13" t="str">
        <f t="shared" si="351"/>
        <v/>
      </c>
      <c r="EN102" s="13" t="str">
        <f t="shared" si="352"/>
        <v/>
      </c>
      <c r="EO102" s="13" t="str">
        <f t="shared" si="353"/>
        <v/>
      </c>
      <c r="EP102" s="13" t="str">
        <f t="shared" si="354"/>
        <v/>
      </c>
      <c r="EQ102" s="13" t="str">
        <f t="shared" si="355"/>
        <v/>
      </c>
    </row>
    <row r="103" spans="1:147" ht="14.25" customHeight="1" x14ac:dyDescent="0.55000000000000004">
      <c r="A103">
        <v>1776430804</v>
      </c>
      <c r="B103" t="s">
        <v>16</v>
      </c>
      <c r="C103" t="s">
        <v>17</v>
      </c>
      <c r="D103">
        <v>4883.6000000000004</v>
      </c>
      <c r="E103" t="s">
        <v>20</v>
      </c>
      <c r="F103">
        <v>4889.21</v>
      </c>
      <c r="G103">
        <v>4805.97</v>
      </c>
      <c r="H103">
        <v>4801.12</v>
      </c>
      <c r="I103">
        <f t="shared" si="258"/>
        <v>4798.58</v>
      </c>
      <c r="J103">
        <f t="shared" si="266"/>
        <v>4823.8100000000004</v>
      </c>
      <c r="K103">
        <f t="shared" si="274"/>
        <v>4838.38</v>
      </c>
      <c r="L103">
        <f t="shared" si="282"/>
        <v>4830.3900000000003</v>
      </c>
      <c r="M103">
        <f t="shared" si="290"/>
        <v>4871.22</v>
      </c>
      <c r="N103">
        <f t="shared" si="298"/>
        <v>4850.7700000000004</v>
      </c>
      <c r="O103">
        <f t="shared" si="306"/>
        <v>4796.16</v>
      </c>
      <c r="P103">
        <f t="shared" si="314"/>
        <v>4777.24</v>
      </c>
      <c r="Q103">
        <f t="shared" si="322"/>
        <v>4744.59</v>
      </c>
      <c r="R103">
        <v>110.38</v>
      </c>
      <c r="S103">
        <f t="shared" si="356"/>
        <v>37.900000000000546</v>
      </c>
      <c r="T103">
        <f t="shared" si="357"/>
        <v>15.019999999999527</v>
      </c>
      <c r="U103">
        <f t="shared" si="263"/>
        <v>25.909999999999854</v>
      </c>
      <c r="V103">
        <f t="shared" si="271"/>
        <v>18.600000000000364</v>
      </c>
      <c r="W103">
        <f t="shared" si="279"/>
        <v>51.210000000000036</v>
      </c>
      <c r="X103">
        <f t="shared" si="287"/>
        <v>44.160000000000764</v>
      </c>
      <c r="Y103">
        <f t="shared" si="295"/>
        <v>44.140000000000327</v>
      </c>
      <c r="Z103">
        <f t="shared" si="303"/>
        <v>98.170000000000073</v>
      </c>
      <c r="AA103">
        <f t="shared" si="311"/>
        <v>38.239999999999782</v>
      </c>
      <c r="AB103">
        <f t="shared" si="319"/>
        <v>76.729999999999563</v>
      </c>
      <c r="AC103">
        <f t="shared" si="327"/>
        <v>40.819999999999709</v>
      </c>
      <c r="AD103">
        <v>2.31</v>
      </c>
      <c r="AE103" s="14">
        <f t="shared" si="358"/>
        <v>0.79487088067080702</v>
      </c>
      <c r="AF103" s="14">
        <f t="shared" si="359"/>
        <v>0.31382545287393759</v>
      </c>
      <c r="AG103" s="14">
        <f t="shared" si="264"/>
        <v>0.54288270506864822</v>
      </c>
      <c r="AH103" s="14">
        <f t="shared" si="272"/>
        <v>0.38707985707181092</v>
      </c>
      <c r="AI103" s="14">
        <f t="shared" si="280"/>
        <v>1.0697343106678903</v>
      </c>
      <c r="AJ103" s="14">
        <f t="shared" si="288"/>
        <v>0.92264684313124867</v>
      </c>
      <c r="AK103" s="14">
        <f t="shared" si="296"/>
        <v>0.91442445536432637</v>
      </c>
      <c r="AL103" s="14">
        <f t="shared" si="304"/>
        <v>2.065606194504062</v>
      </c>
      <c r="AM103" s="14">
        <f t="shared" si="312"/>
        <v>0.80371254665903979</v>
      </c>
      <c r="AN103" s="14">
        <f t="shared" si="320"/>
        <v>1.6323760613209961</v>
      </c>
      <c r="AO103" s="14">
        <f t="shared" si="328"/>
        <v>0.86781454025174931</v>
      </c>
      <c r="AP103">
        <v>0</v>
      </c>
      <c r="AQ103">
        <f t="shared" si="360"/>
        <v>0</v>
      </c>
      <c r="AR103">
        <f t="shared" si="364"/>
        <v>0</v>
      </c>
      <c r="AS103">
        <f t="shared" si="259"/>
        <v>0</v>
      </c>
      <c r="AT103">
        <f t="shared" si="267"/>
        <v>0</v>
      </c>
      <c r="AU103">
        <f t="shared" si="275"/>
        <v>0</v>
      </c>
      <c r="AV103">
        <f t="shared" si="283"/>
        <v>0</v>
      </c>
      <c r="AW103">
        <f t="shared" si="291"/>
        <v>0</v>
      </c>
      <c r="AX103">
        <f t="shared" si="299"/>
        <v>0</v>
      </c>
      <c r="AY103">
        <f t="shared" si="307"/>
        <v>0</v>
      </c>
      <c r="AZ103">
        <f t="shared" si="315"/>
        <v>0</v>
      </c>
      <c r="BA103">
        <f t="shared" si="323"/>
        <v>0</v>
      </c>
      <c r="BB103">
        <v>21</v>
      </c>
      <c r="BC103">
        <f t="shared" si="361"/>
        <v>14</v>
      </c>
      <c r="BD103">
        <f t="shared" si="365"/>
        <v>3</v>
      </c>
      <c r="BE103">
        <f t="shared" si="260"/>
        <v>21</v>
      </c>
      <c r="BF103">
        <f t="shared" si="268"/>
        <v>12</v>
      </c>
      <c r="BG103">
        <f t="shared" si="276"/>
        <v>50</v>
      </c>
      <c r="BH103">
        <f t="shared" si="284"/>
        <v>18</v>
      </c>
      <c r="BI103">
        <f t="shared" si="292"/>
        <v>3</v>
      </c>
      <c r="BJ103">
        <f t="shared" si="300"/>
        <v>42</v>
      </c>
      <c r="BK103">
        <f t="shared" si="308"/>
        <v>6</v>
      </c>
      <c r="BL103">
        <f t="shared" si="316"/>
        <v>43</v>
      </c>
      <c r="BM103">
        <f t="shared" si="324"/>
        <v>8</v>
      </c>
      <c r="BZ103" s="12">
        <f t="shared" si="330"/>
        <v>5.2561904761904756</v>
      </c>
      <c r="CA103" s="12">
        <f t="shared" si="362"/>
        <v>2.7071428571428959</v>
      </c>
      <c r="CB103" s="12">
        <f t="shared" si="366"/>
        <v>5.0066666666665087</v>
      </c>
      <c r="CC103" s="12">
        <f t="shared" si="265"/>
        <v>1.2338095238095168</v>
      </c>
      <c r="CD103" s="12">
        <f t="shared" si="273"/>
        <v>1.5500000000000302</v>
      </c>
      <c r="CE103" s="12">
        <f t="shared" si="281"/>
        <v>1.0242000000000007</v>
      </c>
      <c r="CF103" s="12">
        <f t="shared" si="289"/>
        <v>2.4533333333333758</v>
      </c>
      <c r="CG103" s="12">
        <f t="shared" si="297"/>
        <v>14.713333333333443</v>
      </c>
      <c r="CH103" s="12">
        <f t="shared" si="305"/>
        <v>2.3373809523809541</v>
      </c>
      <c r="CI103" s="12">
        <f t="shared" si="313"/>
        <v>6.3733333333332967</v>
      </c>
      <c r="CJ103" s="12">
        <f t="shared" si="321"/>
        <v>1.7844186046511525</v>
      </c>
      <c r="CK103" s="12">
        <f t="shared" si="329"/>
        <v>5.1024999999999636</v>
      </c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>
        <f t="shared" si="331"/>
        <v>79.228105984626566</v>
      </c>
      <c r="CY103" s="12">
        <f t="shared" si="332"/>
        <v>69.726115955861374</v>
      </c>
      <c r="CZ103" s="12">
        <f t="shared" si="333"/>
        <v>78.704739940386773</v>
      </c>
      <c r="DA103" s="12">
        <f t="shared" si="334"/>
        <v>50.975306675896917</v>
      </c>
      <c r="DB103" s="12">
        <f t="shared" si="335"/>
        <v>57.171458208587985</v>
      </c>
      <c r="DC103" s="12">
        <f t="shared" si="336"/>
        <v>45.684957914023869</v>
      </c>
      <c r="DD103" s="12">
        <f t="shared" si="337"/>
        <v>67.823763658507573</v>
      </c>
      <c r="DE103" s="12">
        <f t="shared" si="338"/>
        <v>86.111839550133269</v>
      </c>
      <c r="DF103" s="12">
        <f t="shared" si="339"/>
        <v>66.837343085781896</v>
      </c>
      <c r="DG103" s="12">
        <f t="shared" si="340"/>
        <v>81.082779193084988</v>
      </c>
      <c r="DH103" s="12">
        <f t="shared" si="341"/>
        <v>60.733441015265882</v>
      </c>
      <c r="DI103" s="12">
        <f t="shared" si="342"/>
        <v>78.911577686867446</v>
      </c>
      <c r="DJ103" t="s">
        <v>23</v>
      </c>
      <c r="DK103" t="str">
        <f t="shared" si="363"/>
        <v>HH</v>
      </c>
      <c r="DL103" t="str">
        <f t="shared" si="367"/>
        <v>HH</v>
      </c>
      <c r="DM103" t="str">
        <f t="shared" si="261"/>
        <v>LH</v>
      </c>
      <c r="DN103" t="str">
        <f t="shared" si="269"/>
        <v>LH</v>
      </c>
      <c r="DO103" t="str">
        <f t="shared" si="277"/>
        <v>HH</v>
      </c>
      <c r="DP103" t="str">
        <f t="shared" si="285"/>
        <v>LH</v>
      </c>
      <c r="DQ103" t="str">
        <f t="shared" si="293"/>
        <v>HH</v>
      </c>
      <c r="DR103" t="str">
        <f t="shared" si="301"/>
        <v>HH</v>
      </c>
      <c r="DS103" t="str">
        <f t="shared" si="309"/>
        <v>HH</v>
      </c>
      <c r="DT103" t="str">
        <f t="shared" si="317"/>
        <v>HH</v>
      </c>
      <c r="DU103" t="str">
        <f t="shared" si="325"/>
        <v>HH</v>
      </c>
      <c r="DV103">
        <f t="shared" si="343"/>
        <v>-1.7025245387291561</v>
      </c>
      <c r="DW103">
        <f t="shared" si="344"/>
        <v>-1.8017225686767422</v>
      </c>
      <c r="DX103">
        <f t="shared" si="262"/>
        <v>-1.8536737018864011</v>
      </c>
      <c r="DY103">
        <f t="shared" si="270"/>
        <v>-1.3376394141384731</v>
      </c>
      <c r="DZ103">
        <f t="shared" si="278"/>
        <v>-1.0396362602547227</v>
      </c>
      <c r="EA103">
        <f t="shared" si="286"/>
        <v>-1.2030573446425845</v>
      </c>
      <c r="EB103">
        <f t="shared" si="294"/>
        <v>-0.36795310489833288</v>
      </c>
      <c r="EC103">
        <f t="shared" si="302"/>
        <v>-0.78622108684224234</v>
      </c>
      <c r="ED103">
        <f t="shared" si="310"/>
        <v>-1.9031704508499363</v>
      </c>
      <c r="EE103">
        <f t="shared" si="318"/>
        <v>-2.2901450336557492</v>
      </c>
      <c r="EF103">
        <f t="shared" si="326"/>
        <v>-2.9579420806224292</v>
      </c>
      <c r="EG103" s="13" t="str">
        <f t="shared" si="345"/>
        <v/>
      </c>
      <c r="EH103" s="13" t="str">
        <f t="shared" si="346"/>
        <v/>
      </c>
      <c r="EI103" s="13" t="str">
        <f t="shared" si="347"/>
        <v/>
      </c>
      <c r="EJ103" s="13" t="str">
        <f t="shared" si="348"/>
        <v/>
      </c>
      <c r="EK103" s="13" t="str">
        <f t="shared" si="349"/>
        <v/>
      </c>
      <c r="EL103" s="13" t="str">
        <f t="shared" si="350"/>
        <v/>
      </c>
      <c r="EM103" s="13" t="str">
        <f t="shared" si="351"/>
        <v/>
      </c>
      <c r="EN103" s="13" t="str">
        <f t="shared" si="352"/>
        <v/>
      </c>
      <c r="EO103" s="13" t="str">
        <f t="shared" si="353"/>
        <v/>
      </c>
      <c r="EP103" s="13" t="str">
        <f t="shared" si="354"/>
        <v/>
      </c>
      <c r="EQ103" s="13" t="str">
        <f t="shared" si="355"/>
        <v/>
      </c>
    </row>
    <row r="104" spans="1:147" ht="14.25" customHeight="1" x14ac:dyDescent="0.55000000000000004">
      <c r="A104">
        <v>1776642304</v>
      </c>
      <c r="B104" t="s">
        <v>16</v>
      </c>
      <c r="C104" t="s">
        <v>17</v>
      </c>
      <c r="D104">
        <v>4755.07</v>
      </c>
      <c r="E104" t="s">
        <v>18</v>
      </c>
      <c r="F104">
        <v>4736.96</v>
      </c>
      <c r="G104">
        <v>4778.83</v>
      </c>
      <c r="H104">
        <v>4768.07</v>
      </c>
      <c r="I104">
        <f t="shared" ref="I104:I135" si="368">F98</f>
        <v>4786.1000000000004</v>
      </c>
      <c r="J104">
        <f t="shared" si="266"/>
        <v>4772.67</v>
      </c>
      <c r="K104">
        <f t="shared" si="274"/>
        <v>4805.21</v>
      </c>
      <c r="L104">
        <f t="shared" si="282"/>
        <v>4787.17</v>
      </c>
      <c r="M104">
        <f t="shared" si="290"/>
        <v>4786.2299999999996</v>
      </c>
      <c r="N104">
        <f t="shared" si="298"/>
        <v>4827.08</v>
      </c>
      <c r="O104">
        <f t="shared" si="306"/>
        <v>4752.6000000000004</v>
      </c>
      <c r="P104">
        <f t="shared" si="314"/>
        <v>4757.92</v>
      </c>
      <c r="Q104">
        <f t="shared" si="322"/>
        <v>4700.51</v>
      </c>
      <c r="R104">
        <v>-152.25</v>
      </c>
      <c r="S104">
        <f t="shared" si="356"/>
        <v>-27.140000000000327</v>
      </c>
      <c r="T104">
        <f t="shared" si="357"/>
        <v>-33.050000000000182</v>
      </c>
      <c r="U104">
        <f t="shared" si="263"/>
        <v>-12.479999999999563</v>
      </c>
      <c r="V104">
        <f t="shared" si="271"/>
        <v>-51.140000000000327</v>
      </c>
      <c r="W104">
        <f t="shared" si="279"/>
        <v>-33.170000000000073</v>
      </c>
      <c r="X104">
        <f t="shared" si="287"/>
        <v>-43.220000000000255</v>
      </c>
      <c r="Y104">
        <f t="shared" si="295"/>
        <v>-84.990000000000691</v>
      </c>
      <c r="Z104">
        <f t="shared" si="303"/>
        <v>-23.690000000000509</v>
      </c>
      <c r="AA104">
        <f t="shared" si="311"/>
        <v>-43.559999999999491</v>
      </c>
      <c r="AB104">
        <f t="shared" si="319"/>
        <v>-19.319999999999709</v>
      </c>
      <c r="AC104">
        <f t="shared" si="327"/>
        <v>-44.079999999999927</v>
      </c>
      <c r="AD104">
        <v>-3.11</v>
      </c>
      <c r="AE104" s="14">
        <f t="shared" si="358"/>
        <v>-0.56471430325200378</v>
      </c>
      <c r="AF104" s="14">
        <f t="shared" si="359"/>
        <v>-0.68838104442297177</v>
      </c>
      <c r="AG104" s="14">
        <f t="shared" si="264"/>
        <v>-0.260076939427905</v>
      </c>
      <c r="AH104" s="14">
        <f t="shared" si="272"/>
        <v>-1.060157842037732</v>
      </c>
      <c r="AI104" s="14">
        <f t="shared" si="280"/>
        <v>-0.68556004282425254</v>
      </c>
      <c r="AJ104" s="14">
        <f t="shared" si="288"/>
        <v>-0.89475176952586133</v>
      </c>
      <c r="AK104" s="14">
        <f t="shared" si="296"/>
        <v>-1.7447374579674226</v>
      </c>
      <c r="AL104" s="14">
        <f t="shared" si="304"/>
        <v>-0.48837607225245699</v>
      </c>
      <c r="AM104" s="14">
        <f t="shared" si="312"/>
        <v>-0.90822658126500144</v>
      </c>
      <c r="AN104" s="14">
        <f t="shared" si="320"/>
        <v>-0.40441761351742245</v>
      </c>
      <c r="AO104" s="14">
        <f t="shared" si="328"/>
        <v>-0.9290581483331527</v>
      </c>
      <c r="AP104">
        <v>5</v>
      </c>
      <c r="AQ104">
        <f t="shared" si="360"/>
        <v>3</v>
      </c>
      <c r="AR104">
        <f t="shared" si="364"/>
        <v>3</v>
      </c>
      <c r="AS104">
        <f t="shared" ref="AS104:AS135" si="369">AP98</f>
        <v>3</v>
      </c>
      <c r="AT104">
        <f t="shared" si="267"/>
        <v>3</v>
      </c>
      <c r="AU104">
        <f t="shared" si="275"/>
        <v>3</v>
      </c>
      <c r="AV104">
        <f t="shared" si="283"/>
        <v>3</v>
      </c>
      <c r="AW104">
        <f t="shared" si="291"/>
        <v>3</v>
      </c>
      <c r="AX104">
        <f t="shared" si="299"/>
        <v>3</v>
      </c>
      <c r="AY104">
        <f t="shared" si="307"/>
        <v>3</v>
      </c>
      <c r="AZ104">
        <f t="shared" si="315"/>
        <v>3</v>
      </c>
      <c r="BA104">
        <f t="shared" si="323"/>
        <v>3</v>
      </c>
      <c r="BB104">
        <v>39</v>
      </c>
      <c r="BC104">
        <f t="shared" si="361"/>
        <v>11</v>
      </c>
      <c r="BD104">
        <f t="shared" si="365"/>
        <v>3</v>
      </c>
      <c r="BE104">
        <f t="shared" ref="BE104:BE135" si="370">BB98</f>
        <v>13</v>
      </c>
      <c r="BF104">
        <f t="shared" si="268"/>
        <v>4</v>
      </c>
      <c r="BG104">
        <f t="shared" si="276"/>
        <v>22</v>
      </c>
      <c r="BH104">
        <f t="shared" si="284"/>
        <v>5</v>
      </c>
      <c r="BI104">
        <f t="shared" si="292"/>
        <v>34</v>
      </c>
      <c r="BJ104">
        <f t="shared" si="300"/>
        <v>10</v>
      </c>
      <c r="BK104">
        <f t="shared" si="308"/>
        <v>14</v>
      </c>
      <c r="BL104">
        <f t="shared" si="316"/>
        <v>11</v>
      </c>
      <c r="BM104">
        <f t="shared" si="324"/>
        <v>5</v>
      </c>
      <c r="BZ104" s="12">
        <f t="shared" si="330"/>
        <v>-3.9038461538461537</v>
      </c>
      <c r="CA104" s="12">
        <f t="shared" si="362"/>
        <v>-2.467272727272757</v>
      </c>
      <c r="CB104" s="12">
        <f t="shared" si="366"/>
        <v>-11.016666666666728</v>
      </c>
      <c r="CC104" s="12">
        <f t="shared" si="265"/>
        <v>-0.95999999999996644</v>
      </c>
      <c r="CD104" s="12">
        <f t="shared" si="273"/>
        <v>-12.785000000000082</v>
      </c>
      <c r="CE104" s="12">
        <f t="shared" si="281"/>
        <v>-1.5077272727272761</v>
      </c>
      <c r="CF104" s="12">
        <f t="shared" si="289"/>
        <v>-8.6440000000000516</v>
      </c>
      <c r="CG104" s="12">
        <f t="shared" si="297"/>
        <v>-2.4997058823529614</v>
      </c>
      <c r="CH104" s="12">
        <f t="shared" si="305"/>
        <v>-2.3690000000000508</v>
      </c>
      <c r="CI104" s="12">
        <f t="shared" si="313"/>
        <v>-3.1114285714285352</v>
      </c>
      <c r="CJ104" s="12">
        <f t="shared" si="321"/>
        <v>-1.7563636363636099</v>
      </c>
      <c r="CK104" s="12">
        <f t="shared" si="329"/>
        <v>-8.8159999999999847</v>
      </c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>
        <f t="shared" si="331"/>
        <v>-75.63218743532633</v>
      </c>
      <c r="CY104" s="12">
        <f t="shared" si="332"/>
        <v>-67.937000947295402</v>
      </c>
      <c r="CZ104" s="12">
        <f t="shared" si="333"/>
        <v>-84.813386639824586</v>
      </c>
      <c r="DA104" s="12">
        <f t="shared" si="334"/>
        <v>-43.830860672091582</v>
      </c>
      <c r="DB104" s="12">
        <f t="shared" si="335"/>
        <v>-85.527621095731902</v>
      </c>
      <c r="DC104" s="12">
        <f t="shared" si="336"/>
        <v>-56.445675827003079</v>
      </c>
      <c r="DD104" s="12">
        <f t="shared" si="337"/>
        <v>-83.400947922053007</v>
      </c>
      <c r="DE104" s="12">
        <f t="shared" si="338"/>
        <v>-68.196265905494101</v>
      </c>
      <c r="DF104" s="12">
        <f t="shared" si="339"/>
        <v>-67.114466086461661</v>
      </c>
      <c r="DG104" s="12">
        <f t="shared" si="340"/>
        <v>-72.182814188131331</v>
      </c>
      <c r="DH104" s="12">
        <f t="shared" si="341"/>
        <v>-60.344623307017628</v>
      </c>
      <c r="DI104" s="12">
        <f t="shared" si="342"/>
        <v>-83.528592419684202</v>
      </c>
      <c r="DJ104" t="s">
        <v>19</v>
      </c>
      <c r="DK104" t="str">
        <f t="shared" si="363"/>
        <v>HL</v>
      </c>
      <c r="DL104" t="str">
        <f t="shared" si="367"/>
        <v>LL</v>
      </c>
      <c r="DM104" t="str">
        <f t="shared" ref="DM104:DM135" si="371">DJ98</f>
        <v>HL</v>
      </c>
      <c r="DN104" t="str">
        <f t="shared" si="269"/>
        <v>LL</v>
      </c>
      <c r="DO104" t="str">
        <f t="shared" si="277"/>
        <v>HL</v>
      </c>
      <c r="DP104" t="str">
        <f t="shared" si="285"/>
        <v>HL</v>
      </c>
      <c r="DQ104" t="str">
        <f t="shared" si="293"/>
        <v>LL</v>
      </c>
      <c r="DR104" t="str">
        <f t="shared" si="301"/>
        <v>HL</v>
      </c>
      <c r="DS104" t="str">
        <f t="shared" si="309"/>
        <v>LL</v>
      </c>
      <c r="DT104" t="str">
        <f t="shared" si="317"/>
        <v>HL</v>
      </c>
      <c r="DU104" t="str">
        <f t="shared" si="325"/>
        <v>LL</v>
      </c>
      <c r="DV104">
        <f t="shared" si="343"/>
        <v>0.88390022292778259</v>
      </c>
      <c r="DW104">
        <f t="shared" si="344"/>
        <v>0.65675032088089558</v>
      </c>
      <c r="DX104">
        <f t="shared" ref="DX104:DX135" si="372">IFERROR(((I104-$F104)/$F104)*100,0)</f>
        <v>1.037374180909282</v>
      </c>
      <c r="DY104">
        <f t="shared" si="270"/>
        <v>0.75385901506451469</v>
      </c>
      <c r="DZ104">
        <f t="shared" si="278"/>
        <v>1.4407974734851043</v>
      </c>
      <c r="EA104">
        <f t="shared" si="286"/>
        <v>1.0599625075998116</v>
      </c>
      <c r="EB104">
        <f t="shared" si="294"/>
        <v>1.0401185570492366</v>
      </c>
      <c r="EC104">
        <f t="shared" si="302"/>
        <v>1.902485982571098</v>
      </c>
      <c r="ED104">
        <f t="shared" si="310"/>
        <v>0.33016956022428579</v>
      </c>
      <c r="EE104">
        <f t="shared" si="318"/>
        <v>0.44247787610619549</v>
      </c>
      <c r="EF104">
        <f t="shared" si="326"/>
        <v>-0.76948084847665632</v>
      </c>
      <c r="EG104" s="13" t="str">
        <f t="shared" si="345"/>
        <v/>
      </c>
      <c r="EH104" s="13" t="str">
        <f t="shared" si="346"/>
        <v/>
      </c>
      <c r="EI104" s="13" t="str">
        <f t="shared" si="347"/>
        <v/>
      </c>
      <c r="EJ104" s="13" t="str">
        <f t="shared" si="348"/>
        <v/>
      </c>
      <c r="EK104" s="13" t="str">
        <f t="shared" si="349"/>
        <v/>
      </c>
      <c r="EL104" s="13" t="str">
        <f t="shared" si="350"/>
        <v/>
      </c>
      <c r="EM104" s="13" t="str">
        <f t="shared" si="351"/>
        <v/>
      </c>
      <c r="EN104" s="13" t="str">
        <f t="shared" si="352"/>
        <v/>
      </c>
      <c r="EO104" s="13" t="str">
        <f t="shared" si="353"/>
        <v/>
      </c>
      <c r="EP104" s="13" t="str">
        <f t="shared" si="354"/>
        <v/>
      </c>
      <c r="EQ104" s="13" t="str">
        <f t="shared" si="355"/>
        <v/>
      </c>
    </row>
    <row r="105" spans="1:147" ht="14.25" customHeight="1" x14ac:dyDescent="0.55000000000000004">
      <c r="A105">
        <v>1776649504</v>
      </c>
      <c r="B105" t="s">
        <v>16</v>
      </c>
      <c r="C105" t="s">
        <v>17</v>
      </c>
      <c r="D105">
        <v>4807.6000000000004</v>
      </c>
      <c r="E105" t="s">
        <v>20</v>
      </c>
      <c r="F105">
        <v>4814.28</v>
      </c>
      <c r="G105">
        <v>4889.21</v>
      </c>
      <c r="H105">
        <v>4805.97</v>
      </c>
      <c r="I105">
        <f t="shared" si="368"/>
        <v>4801.12</v>
      </c>
      <c r="J105">
        <f t="shared" si="266"/>
        <v>4798.58</v>
      </c>
      <c r="K105">
        <f t="shared" si="274"/>
        <v>4823.8100000000004</v>
      </c>
      <c r="L105">
        <f t="shared" si="282"/>
        <v>4838.38</v>
      </c>
      <c r="M105">
        <f t="shared" si="290"/>
        <v>4830.3900000000003</v>
      </c>
      <c r="N105">
        <f t="shared" si="298"/>
        <v>4871.22</v>
      </c>
      <c r="O105">
        <f t="shared" si="306"/>
        <v>4850.7700000000004</v>
      </c>
      <c r="P105">
        <f t="shared" si="314"/>
        <v>4796.16</v>
      </c>
      <c r="Q105">
        <f t="shared" si="322"/>
        <v>4777.24</v>
      </c>
      <c r="R105">
        <v>77.319999999999993</v>
      </c>
      <c r="S105">
        <f t="shared" si="356"/>
        <v>110.38000000000011</v>
      </c>
      <c r="T105">
        <f t="shared" si="357"/>
        <v>37.900000000000546</v>
      </c>
      <c r="U105">
        <f t="shared" ref="U105:U136" si="373">I105-I104</f>
        <v>15.019999999999527</v>
      </c>
      <c r="V105">
        <f t="shared" si="271"/>
        <v>25.909999999999854</v>
      </c>
      <c r="W105">
        <f t="shared" si="279"/>
        <v>18.600000000000364</v>
      </c>
      <c r="X105">
        <f t="shared" si="287"/>
        <v>51.210000000000036</v>
      </c>
      <c r="Y105">
        <f t="shared" si="295"/>
        <v>44.160000000000764</v>
      </c>
      <c r="Z105">
        <f t="shared" si="303"/>
        <v>44.140000000000327</v>
      </c>
      <c r="AA105">
        <f t="shared" si="311"/>
        <v>98.170000000000073</v>
      </c>
      <c r="AB105">
        <f t="shared" si="319"/>
        <v>38.239999999999782</v>
      </c>
      <c r="AC105">
        <f t="shared" si="327"/>
        <v>76.729999999999563</v>
      </c>
      <c r="AD105">
        <v>1.63</v>
      </c>
      <c r="AE105" s="14">
        <f t="shared" si="358"/>
        <v>2.3097703831272529</v>
      </c>
      <c r="AF105" s="14">
        <f t="shared" si="359"/>
        <v>0.79487088067080702</v>
      </c>
      <c r="AG105" s="14">
        <f t="shared" ref="AG105:AG136" si="374">(U105/I104)*100</f>
        <v>0.31382545287393759</v>
      </c>
      <c r="AH105" s="14">
        <f t="shared" si="272"/>
        <v>0.54288270506864822</v>
      </c>
      <c r="AI105" s="14">
        <f t="shared" si="280"/>
        <v>0.38707985707181092</v>
      </c>
      <c r="AJ105" s="14">
        <f t="shared" si="288"/>
        <v>1.0697343106678903</v>
      </c>
      <c r="AK105" s="14">
        <f t="shared" si="296"/>
        <v>0.92264684313124867</v>
      </c>
      <c r="AL105" s="14">
        <f t="shared" si="304"/>
        <v>0.91442445536432637</v>
      </c>
      <c r="AM105" s="14">
        <f t="shared" si="312"/>
        <v>2.065606194504062</v>
      </c>
      <c r="AN105" s="14">
        <f t="shared" si="320"/>
        <v>0.80371254665903979</v>
      </c>
      <c r="AO105" s="14">
        <f t="shared" si="328"/>
        <v>1.6323760613209961</v>
      </c>
      <c r="AP105">
        <v>0</v>
      </c>
      <c r="AQ105">
        <f t="shared" si="360"/>
        <v>0</v>
      </c>
      <c r="AR105">
        <f t="shared" si="364"/>
        <v>0</v>
      </c>
      <c r="AS105">
        <f t="shared" si="369"/>
        <v>0</v>
      </c>
      <c r="AT105">
        <f t="shared" si="267"/>
        <v>0</v>
      </c>
      <c r="AU105">
        <f t="shared" si="275"/>
        <v>0</v>
      </c>
      <c r="AV105">
        <f t="shared" si="283"/>
        <v>0</v>
      </c>
      <c r="AW105">
        <f t="shared" si="291"/>
        <v>0</v>
      </c>
      <c r="AX105">
        <f t="shared" si="299"/>
        <v>0</v>
      </c>
      <c r="AY105">
        <f t="shared" si="307"/>
        <v>0</v>
      </c>
      <c r="AZ105">
        <f t="shared" si="315"/>
        <v>0</v>
      </c>
      <c r="BA105">
        <f t="shared" si="323"/>
        <v>0</v>
      </c>
      <c r="BB105">
        <v>8</v>
      </c>
      <c r="BC105">
        <f t="shared" si="361"/>
        <v>21</v>
      </c>
      <c r="BD105">
        <f t="shared" si="365"/>
        <v>14</v>
      </c>
      <c r="BE105">
        <f t="shared" si="370"/>
        <v>3</v>
      </c>
      <c r="BF105">
        <f t="shared" si="268"/>
        <v>21</v>
      </c>
      <c r="BG105">
        <f t="shared" si="276"/>
        <v>12</v>
      </c>
      <c r="BH105">
        <f t="shared" si="284"/>
        <v>50</v>
      </c>
      <c r="BI105">
        <f t="shared" si="292"/>
        <v>18</v>
      </c>
      <c r="BJ105">
        <f t="shared" si="300"/>
        <v>3</v>
      </c>
      <c r="BK105">
        <f t="shared" si="308"/>
        <v>42</v>
      </c>
      <c r="BL105">
        <f t="shared" si="316"/>
        <v>6</v>
      </c>
      <c r="BM105">
        <f t="shared" si="324"/>
        <v>43</v>
      </c>
      <c r="BZ105" s="12">
        <f t="shared" si="330"/>
        <v>9.6649999999999991</v>
      </c>
      <c r="CA105" s="12">
        <f t="shared" si="362"/>
        <v>5.256190476190481</v>
      </c>
      <c r="CB105" s="12">
        <f t="shared" si="366"/>
        <v>2.7071428571428959</v>
      </c>
      <c r="CC105" s="12">
        <f t="shared" ref="CC105:CC136" si="375">IFERROR(U105/BE105,0)</f>
        <v>5.0066666666665087</v>
      </c>
      <c r="CD105" s="12">
        <f t="shared" si="273"/>
        <v>1.2338095238095168</v>
      </c>
      <c r="CE105" s="12">
        <f t="shared" si="281"/>
        <v>1.5500000000000302</v>
      </c>
      <c r="CF105" s="12">
        <f t="shared" si="289"/>
        <v>1.0242000000000007</v>
      </c>
      <c r="CG105" s="12">
        <f t="shared" si="297"/>
        <v>2.4533333333333758</v>
      </c>
      <c r="CH105" s="12">
        <f t="shared" si="305"/>
        <v>14.713333333333443</v>
      </c>
      <c r="CI105" s="12">
        <f t="shared" si="313"/>
        <v>2.3373809523809541</v>
      </c>
      <c r="CJ105" s="12">
        <f t="shared" si="321"/>
        <v>6.3733333333332967</v>
      </c>
      <c r="CK105" s="12">
        <f t="shared" si="329"/>
        <v>1.7844186046511525</v>
      </c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>
        <f t="shared" si="331"/>
        <v>84.092847611726668</v>
      </c>
      <c r="CY105" s="12">
        <f t="shared" si="332"/>
        <v>79.22810598462658</v>
      </c>
      <c r="CZ105" s="12">
        <f t="shared" si="333"/>
        <v>69.726115955861374</v>
      </c>
      <c r="DA105" s="12">
        <f t="shared" si="334"/>
        <v>78.704739940386773</v>
      </c>
      <c r="DB105" s="12">
        <f t="shared" si="335"/>
        <v>50.975306675896917</v>
      </c>
      <c r="DC105" s="12">
        <f t="shared" si="336"/>
        <v>57.171458208587985</v>
      </c>
      <c r="DD105" s="12">
        <f t="shared" si="337"/>
        <v>45.684957914023869</v>
      </c>
      <c r="DE105" s="12">
        <f t="shared" si="338"/>
        <v>67.823763658507573</v>
      </c>
      <c r="DF105" s="12">
        <f t="shared" si="339"/>
        <v>86.111839550133269</v>
      </c>
      <c r="DG105" s="12">
        <f t="shared" si="340"/>
        <v>66.837343085781896</v>
      </c>
      <c r="DH105" s="12">
        <f t="shared" si="341"/>
        <v>81.082779193084988</v>
      </c>
      <c r="DI105" s="12">
        <f t="shared" si="342"/>
        <v>60.733441015265882</v>
      </c>
      <c r="DJ105" t="s">
        <v>21</v>
      </c>
      <c r="DK105" t="str">
        <f t="shared" si="363"/>
        <v>HH</v>
      </c>
      <c r="DL105" t="str">
        <f t="shared" si="367"/>
        <v>HH</v>
      </c>
      <c r="DM105" t="str">
        <f t="shared" si="371"/>
        <v>HH</v>
      </c>
      <c r="DN105" t="str">
        <f t="shared" si="269"/>
        <v>LH</v>
      </c>
      <c r="DO105" t="str">
        <f t="shared" si="277"/>
        <v>LH</v>
      </c>
      <c r="DP105" t="str">
        <f t="shared" si="285"/>
        <v>HH</v>
      </c>
      <c r="DQ105" t="str">
        <f t="shared" si="293"/>
        <v>LH</v>
      </c>
      <c r="DR105" t="str">
        <f t="shared" si="301"/>
        <v>HH</v>
      </c>
      <c r="DS105" t="str">
        <f t="shared" si="309"/>
        <v>HH</v>
      </c>
      <c r="DT105" t="str">
        <f t="shared" si="317"/>
        <v>HH</v>
      </c>
      <c r="DU105" t="str">
        <f t="shared" si="325"/>
        <v>HH</v>
      </c>
      <c r="DV105">
        <f t="shared" si="343"/>
        <v>1.5564113429214814</v>
      </c>
      <c r="DW105">
        <f t="shared" si="344"/>
        <v>-0.17261148084447708</v>
      </c>
      <c r="DX105">
        <f t="shared" si="372"/>
        <v>-0.27335344018212182</v>
      </c>
      <c r="DY105">
        <f t="shared" si="270"/>
        <v>-0.32611314672183211</v>
      </c>
      <c r="DZ105">
        <f t="shared" si="278"/>
        <v>0.19795275721396877</v>
      </c>
      <c r="EA105">
        <f t="shared" si="286"/>
        <v>0.50059406598702949</v>
      </c>
      <c r="EB105">
        <f t="shared" si="294"/>
        <v>0.33462947730502968</v>
      </c>
      <c r="EC105">
        <f t="shared" si="302"/>
        <v>1.1827313741618792</v>
      </c>
      <c r="ED105">
        <f t="shared" si="310"/>
        <v>0.75795342190318582</v>
      </c>
      <c r="EE105">
        <f t="shared" si="318"/>
        <v>-0.37638026870061342</v>
      </c>
      <c r="EF105">
        <f t="shared" si="326"/>
        <v>-0.76937776780743883</v>
      </c>
      <c r="EG105" s="13" t="str">
        <f t="shared" si="345"/>
        <v/>
      </c>
      <c r="EH105" s="13" t="str">
        <f t="shared" si="346"/>
        <v>EQH</v>
      </c>
      <c r="EI105" s="13" t="str">
        <f t="shared" si="347"/>
        <v/>
      </c>
      <c r="EJ105" s="13" t="str">
        <f t="shared" si="348"/>
        <v/>
      </c>
      <c r="EK105" s="13" t="str">
        <f t="shared" si="349"/>
        <v/>
      </c>
      <c r="EL105" s="13" t="str">
        <f t="shared" si="350"/>
        <v/>
      </c>
      <c r="EM105" s="13" t="str">
        <f t="shared" si="351"/>
        <v/>
      </c>
      <c r="EN105" s="13" t="str">
        <f t="shared" si="352"/>
        <v/>
      </c>
      <c r="EO105" s="13" t="str">
        <f t="shared" si="353"/>
        <v/>
      </c>
      <c r="EP105" s="13" t="str">
        <f t="shared" si="354"/>
        <v/>
      </c>
      <c r="EQ105" s="13" t="str">
        <f t="shared" si="355"/>
        <v/>
      </c>
    </row>
    <row r="106" spans="1:147" ht="14.25" customHeight="1" x14ac:dyDescent="0.55000000000000004">
      <c r="A106">
        <v>1776663004</v>
      </c>
      <c r="B106" t="s">
        <v>16</v>
      </c>
      <c r="C106" t="s">
        <v>17</v>
      </c>
      <c r="D106">
        <v>4780.97</v>
      </c>
      <c r="E106" t="s">
        <v>18</v>
      </c>
      <c r="F106">
        <v>4779.8</v>
      </c>
      <c r="G106">
        <v>4736.96</v>
      </c>
      <c r="H106">
        <v>4778.83</v>
      </c>
      <c r="I106">
        <f t="shared" si="368"/>
        <v>4768.07</v>
      </c>
      <c r="J106">
        <f t="shared" ref="J106:J137" si="376">F98</f>
        <v>4786.1000000000004</v>
      </c>
      <c r="K106">
        <f t="shared" si="274"/>
        <v>4772.67</v>
      </c>
      <c r="L106">
        <f t="shared" si="282"/>
        <v>4805.21</v>
      </c>
      <c r="M106">
        <f t="shared" si="290"/>
        <v>4787.17</v>
      </c>
      <c r="N106">
        <f t="shared" si="298"/>
        <v>4786.2299999999996</v>
      </c>
      <c r="O106">
        <f t="shared" si="306"/>
        <v>4827.08</v>
      </c>
      <c r="P106">
        <f t="shared" si="314"/>
        <v>4752.6000000000004</v>
      </c>
      <c r="Q106">
        <f t="shared" si="322"/>
        <v>4757.92</v>
      </c>
      <c r="R106">
        <v>-34.479999999999997</v>
      </c>
      <c r="S106">
        <f t="shared" si="356"/>
        <v>-152.25</v>
      </c>
      <c r="T106">
        <f t="shared" si="357"/>
        <v>-27.140000000000327</v>
      </c>
      <c r="U106">
        <f t="shared" si="373"/>
        <v>-33.050000000000182</v>
      </c>
      <c r="V106">
        <f t="shared" si="271"/>
        <v>-12.479999999999563</v>
      </c>
      <c r="W106">
        <f t="shared" si="279"/>
        <v>-51.140000000000327</v>
      </c>
      <c r="X106">
        <f t="shared" si="287"/>
        <v>-33.170000000000073</v>
      </c>
      <c r="Y106">
        <f t="shared" si="295"/>
        <v>-43.220000000000255</v>
      </c>
      <c r="Z106">
        <f t="shared" si="303"/>
        <v>-84.990000000000691</v>
      </c>
      <c r="AA106">
        <f t="shared" si="311"/>
        <v>-23.690000000000509</v>
      </c>
      <c r="AB106">
        <f t="shared" si="319"/>
        <v>-43.559999999999491</v>
      </c>
      <c r="AC106">
        <f t="shared" si="327"/>
        <v>-19.319999999999709</v>
      </c>
      <c r="AD106">
        <v>-0.72</v>
      </c>
      <c r="AE106" s="14">
        <f t="shared" si="358"/>
        <v>-3.1140000122719211</v>
      </c>
      <c r="AF106" s="14">
        <f t="shared" si="359"/>
        <v>-0.56471430325200378</v>
      </c>
      <c r="AG106" s="14">
        <f t="shared" si="374"/>
        <v>-0.68838104442297177</v>
      </c>
      <c r="AH106" s="14">
        <f t="shared" si="272"/>
        <v>-0.260076939427905</v>
      </c>
      <c r="AI106" s="14">
        <f t="shared" si="280"/>
        <v>-1.060157842037732</v>
      </c>
      <c r="AJ106" s="14">
        <f t="shared" si="288"/>
        <v>-0.68556004282425254</v>
      </c>
      <c r="AK106" s="14">
        <f t="shared" si="296"/>
        <v>-0.89475176952586133</v>
      </c>
      <c r="AL106" s="14">
        <f t="shared" si="304"/>
        <v>-1.7447374579674226</v>
      </c>
      <c r="AM106" s="14">
        <f t="shared" si="312"/>
        <v>-0.48837607225245699</v>
      </c>
      <c r="AN106" s="14">
        <f t="shared" si="320"/>
        <v>-0.90822658126500144</v>
      </c>
      <c r="AO106" s="14">
        <f t="shared" si="328"/>
        <v>-0.40441761351742245</v>
      </c>
      <c r="AP106">
        <v>3</v>
      </c>
      <c r="AQ106">
        <f t="shared" si="360"/>
        <v>5</v>
      </c>
      <c r="AR106">
        <f t="shared" si="364"/>
        <v>3</v>
      </c>
      <c r="AS106">
        <f t="shared" si="369"/>
        <v>3</v>
      </c>
      <c r="AT106">
        <f t="shared" ref="AT106:AT137" si="377">AP98</f>
        <v>3</v>
      </c>
      <c r="AU106">
        <f t="shared" si="275"/>
        <v>3</v>
      </c>
      <c r="AV106">
        <f t="shared" si="283"/>
        <v>3</v>
      </c>
      <c r="AW106">
        <f t="shared" si="291"/>
        <v>3</v>
      </c>
      <c r="AX106">
        <f t="shared" si="299"/>
        <v>3</v>
      </c>
      <c r="AY106">
        <f t="shared" si="307"/>
        <v>3</v>
      </c>
      <c r="AZ106">
        <f t="shared" si="315"/>
        <v>3</v>
      </c>
      <c r="BA106">
        <f t="shared" si="323"/>
        <v>3</v>
      </c>
      <c r="BB106">
        <v>15</v>
      </c>
      <c r="BC106">
        <f t="shared" si="361"/>
        <v>39</v>
      </c>
      <c r="BD106">
        <f t="shared" si="365"/>
        <v>11</v>
      </c>
      <c r="BE106">
        <f t="shared" si="370"/>
        <v>3</v>
      </c>
      <c r="BF106">
        <f t="shared" ref="BF106:BF137" si="378">BB98</f>
        <v>13</v>
      </c>
      <c r="BG106">
        <f t="shared" si="276"/>
        <v>4</v>
      </c>
      <c r="BH106">
        <f t="shared" si="284"/>
        <v>22</v>
      </c>
      <c r="BI106">
        <f t="shared" si="292"/>
        <v>5</v>
      </c>
      <c r="BJ106">
        <f t="shared" si="300"/>
        <v>34</v>
      </c>
      <c r="BK106">
        <f t="shared" si="308"/>
        <v>10</v>
      </c>
      <c r="BL106">
        <f t="shared" si="316"/>
        <v>14</v>
      </c>
      <c r="BM106">
        <f t="shared" si="324"/>
        <v>11</v>
      </c>
      <c r="BZ106" s="12">
        <f t="shared" si="330"/>
        <v>-2.2986666666666666</v>
      </c>
      <c r="CA106" s="12">
        <f t="shared" si="362"/>
        <v>-3.9038461538461537</v>
      </c>
      <c r="CB106" s="12">
        <f t="shared" si="366"/>
        <v>-2.467272727272757</v>
      </c>
      <c r="CC106" s="12">
        <f t="shared" si="375"/>
        <v>-11.016666666666728</v>
      </c>
      <c r="CD106" s="12">
        <f t="shared" si="273"/>
        <v>-0.95999999999996644</v>
      </c>
      <c r="CE106" s="12">
        <f t="shared" si="281"/>
        <v>-12.785000000000082</v>
      </c>
      <c r="CF106" s="12">
        <f t="shared" si="289"/>
        <v>-1.5077272727272761</v>
      </c>
      <c r="CG106" s="12">
        <f t="shared" si="297"/>
        <v>-8.6440000000000516</v>
      </c>
      <c r="CH106" s="12">
        <f t="shared" si="305"/>
        <v>-2.4997058823529614</v>
      </c>
      <c r="CI106" s="12">
        <f t="shared" si="313"/>
        <v>-2.3690000000000508</v>
      </c>
      <c r="CJ106" s="12">
        <f t="shared" si="321"/>
        <v>-3.1114285714285352</v>
      </c>
      <c r="CK106" s="12">
        <f t="shared" si="329"/>
        <v>-1.7563636363636099</v>
      </c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>
        <f t="shared" si="331"/>
        <v>-66.489283030644856</v>
      </c>
      <c r="CY106" s="12">
        <f t="shared" si="332"/>
        <v>-75.63218743532633</v>
      </c>
      <c r="CZ106" s="12">
        <f t="shared" si="333"/>
        <v>-67.937000947295402</v>
      </c>
      <c r="DA106" s="12">
        <f t="shared" si="334"/>
        <v>-84.813386639824586</v>
      </c>
      <c r="DB106" s="12">
        <f t="shared" si="335"/>
        <v>-43.830860672091582</v>
      </c>
      <c r="DC106" s="12">
        <f t="shared" si="336"/>
        <v>-85.527621095731902</v>
      </c>
      <c r="DD106" s="12">
        <f t="shared" si="337"/>
        <v>-56.445675827003079</v>
      </c>
      <c r="DE106" s="12">
        <f t="shared" si="338"/>
        <v>-83.400947922053007</v>
      </c>
      <c r="DF106" s="12">
        <f t="shared" si="339"/>
        <v>-68.196265905494101</v>
      </c>
      <c r="DG106" s="12">
        <f t="shared" si="340"/>
        <v>-67.114466086461661</v>
      </c>
      <c r="DH106" s="12">
        <f t="shared" si="341"/>
        <v>-72.182814188131331</v>
      </c>
      <c r="DI106" s="12">
        <f t="shared" si="342"/>
        <v>-60.344623307017628</v>
      </c>
      <c r="DJ106" t="s">
        <v>22</v>
      </c>
      <c r="DK106" t="str">
        <f t="shared" si="363"/>
        <v>LL</v>
      </c>
      <c r="DL106" t="str">
        <f t="shared" si="367"/>
        <v>HL</v>
      </c>
      <c r="DM106" t="str">
        <f t="shared" si="371"/>
        <v>LL</v>
      </c>
      <c r="DN106" t="str">
        <f t="shared" ref="DN106:DN137" si="379">DJ98</f>
        <v>HL</v>
      </c>
      <c r="DO106" t="str">
        <f t="shared" si="277"/>
        <v>LL</v>
      </c>
      <c r="DP106" t="str">
        <f t="shared" si="285"/>
        <v>HL</v>
      </c>
      <c r="DQ106" t="str">
        <f t="shared" si="293"/>
        <v>HL</v>
      </c>
      <c r="DR106" t="str">
        <f t="shared" si="301"/>
        <v>LL</v>
      </c>
      <c r="DS106" t="str">
        <f t="shared" si="309"/>
        <v>HL</v>
      </c>
      <c r="DT106" t="str">
        <f t="shared" si="317"/>
        <v>LL</v>
      </c>
      <c r="DU106" t="str">
        <f t="shared" si="325"/>
        <v>HL</v>
      </c>
      <c r="DV106">
        <f t="shared" si="343"/>
        <v>-0.89627181053600868</v>
      </c>
      <c r="DW106">
        <f t="shared" si="344"/>
        <v>-2.0293736139592757E-2</v>
      </c>
      <c r="DX106">
        <f t="shared" si="372"/>
        <v>-0.24540775764677336</v>
      </c>
      <c r="DY106">
        <f t="shared" ref="DY106:DY137" si="380">IFERROR(((J106-$F106)/$F106)*100,0)</f>
        <v>0.13180467802000462</v>
      </c>
      <c r="DZ106">
        <f t="shared" si="278"/>
        <v>-0.14916942131470162</v>
      </c>
      <c r="EA106">
        <f t="shared" si="286"/>
        <v>0.53161220134733367</v>
      </c>
      <c r="EB106">
        <f t="shared" si="294"/>
        <v>0.1541905519059352</v>
      </c>
      <c r="EC106">
        <f t="shared" si="302"/>
        <v>0.13452445709024188</v>
      </c>
      <c r="ED106">
        <f t="shared" si="310"/>
        <v>0.98916272647390568</v>
      </c>
      <c r="EE106">
        <f t="shared" si="318"/>
        <v>-0.5690614670069839</v>
      </c>
      <c r="EF106">
        <f t="shared" si="326"/>
        <v>-0.45775973890121152</v>
      </c>
      <c r="EG106" s="13" t="str">
        <f t="shared" si="345"/>
        <v/>
      </c>
      <c r="EH106" s="13" t="str">
        <f t="shared" si="346"/>
        <v>EQL</v>
      </c>
      <c r="EI106" s="13" t="str">
        <f t="shared" si="347"/>
        <v/>
      </c>
      <c r="EJ106" s="13" t="str">
        <f t="shared" si="348"/>
        <v>EQL</v>
      </c>
      <c r="EK106" s="13" t="str">
        <f t="shared" si="349"/>
        <v/>
      </c>
      <c r="EL106" s="13" t="str">
        <f t="shared" si="350"/>
        <v/>
      </c>
      <c r="EM106" s="13" t="str">
        <f t="shared" si="351"/>
        <v/>
      </c>
      <c r="EN106" s="13" t="str">
        <f t="shared" si="352"/>
        <v/>
      </c>
      <c r="EO106" s="13" t="str">
        <f t="shared" si="353"/>
        <v/>
      </c>
      <c r="EP106" s="13" t="str">
        <f t="shared" si="354"/>
        <v/>
      </c>
      <c r="EQ106" s="13" t="str">
        <f t="shared" si="355"/>
        <v/>
      </c>
    </row>
    <row r="107" spans="1:147" ht="14.25" customHeight="1" x14ac:dyDescent="0.55000000000000004">
      <c r="A107">
        <v>1776669304</v>
      </c>
      <c r="B107" t="s">
        <v>16</v>
      </c>
      <c r="C107" t="s">
        <v>17</v>
      </c>
      <c r="D107">
        <v>4797.92</v>
      </c>
      <c r="E107" t="s">
        <v>20</v>
      </c>
      <c r="F107">
        <v>4805.79</v>
      </c>
      <c r="G107">
        <v>4814.28</v>
      </c>
      <c r="H107">
        <v>4889.21</v>
      </c>
      <c r="I107">
        <f t="shared" si="368"/>
        <v>4805.97</v>
      </c>
      <c r="J107">
        <f t="shared" si="376"/>
        <v>4801.12</v>
      </c>
      <c r="K107">
        <f t="shared" si="274"/>
        <v>4798.58</v>
      </c>
      <c r="L107">
        <f t="shared" si="282"/>
        <v>4823.8100000000004</v>
      </c>
      <c r="M107">
        <f t="shared" si="290"/>
        <v>4838.38</v>
      </c>
      <c r="N107">
        <f t="shared" si="298"/>
        <v>4830.3900000000003</v>
      </c>
      <c r="O107">
        <f t="shared" si="306"/>
        <v>4871.22</v>
      </c>
      <c r="P107">
        <f t="shared" si="314"/>
        <v>4850.7700000000004</v>
      </c>
      <c r="Q107">
        <f t="shared" si="322"/>
        <v>4796.16</v>
      </c>
      <c r="R107">
        <v>25.99</v>
      </c>
      <c r="S107">
        <f t="shared" si="356"/>
        <v>77.319999999999709</v>
      </c>
      <c r="T107">
        <f t="shared" si="357"/>
        <v>110.38000000000011</v>
      </c>
      <c r="U107">
        <f t="shared" si="373"/>
        <v>37.900000000000546</v>
      </c>
      <c r="V107">
        <f t="shared" ref="V107:V138" si="381">J107-J106</f>
        <v>15.019999999999527</v>
      </c>
      <c r="W107">
        <f t="shared" si="279"/>
        <v>25.909999999999854</v>
      </c>
      <c r="X107">
        <f t="shared" si="287"/>
        <v>18.600000000000364</v>
      </c>
      <c r="Y107">
        <f t="shared" si="295"/>
        <v>51.210000000000036</v>
      </c>
      <c r="Z107">
        <f t="shared" si="303"/>
        <v>44.160000000000764</v>
      </c>
      <c r="AA107">
        <f t="shared" si="311"/>
        <v>44.140000000000327</v>
      </c>
      <c r="AB107">
        <f t="shared" si="319"/>
        <v>98.170000000000073</v>
      </c>
      <c r="AC107">
        <f t="shared" si="327"/>
        <v>38.239999999999782</v>
      </c>
      <c r="AD107">
        <v>0.54</v>
      </c>
      <c r="AE107" s="14">
        <f t="shared" si="358"/>
        <v>1.6322704857123493</v>
      </c>
      <c r="AF107" s="14">
        <f t="shared" si="359"/>
        <v>2.3097703831272529</v>
      </c>
      <c r="AG107" s="14">
        <f t="shared" si="374"/>
        <v>0.79487088067080702</v>
      </c>
      <c r="AH107" s="14">
        <f t="shared" ref="AH107:AH138" si="382">(V107/J106)*100</f>
        <v>0.31382545287393759</v>
      </c>
      <c r="AI107" s="14">
        <f t="shared" si="280"/>
        <v>0.54288270506864822</v>
      </c>
      <c r="AJ107" s="14">
        <f t="shared" si="288"/>
        <v>0.38707985707181092</v>
      </c>
      <c r="AK107" s="14">
        <f t="shared" si="296"/>
        <v>1.0697343106678903</v>
      </c>
      <c r="AL107" s="14">
        <f t="shared" si="304"/>
        <v>0.92264684313124867</v>
      </c>
      <c r="AM107" s="14">
        <f t="shared" si="312"/>
        <v>0.91442445536432637</v>
      </c>
      <c r="AN107" s="14">
        <f t="shared" si="320"/>
        <v>2.065606194504062</v>
      </c>
      <c r="AO107" s="14">
        <f t="shared" si="328"/>
        <v>0.80371254665903979</v>
      </c>
      <c r="AP107">
        <v>0</v>
      </c>
      <c r="AQ107">
        <f t="shared" si="360"/>
        <v>0</v>
      </c>
      <c r="AR107">
        <f t="shared" si="364"/>
        <v>0</v>
      </c>
      <c r="AS107">
        <f t="shared" si="369"/>
        <v>0</v>
      </c>
      <c r="AT107">
        <f t="shared" si="377"/>
        <v>0</v>
      </c>
      <c r="AU107">
        <f t="shared" si="275"/>
        <v>0</v>
      </c>
      <c r="AV107">
        <f t="shared" si="283"/>
        <v>0</v>
      </c>
      <c r="AW107">
        <f t="shared" si="291"/>
        <v>0</v>
      </c>
      <c r="AX107">
        <f t="shared" si="299"/>
        <v>0</v>
      </c>
      <c r="AY107">
        <f t="shared" si="307"/>
        <v>0</v>
      </c>
      <c r="AZ107">
        <f t="shared" si="315"/>
        <v>0</v>
      </c>
      <c r="BA107">
        <f t="shared" si="323"/>
        <v>0</v>
      </c>
      <c r="BB107">
        <v>7</v>
      </c>
      <c r="BC107">
        <f t="shared" si="361"/>
        <v>8</v>
      </c>
      <c r="BD107">
        <f t="shared" si="365"/>
        <v>21</v>
      </c>
      <c r="BE107">
        <f t="shared" si="370"/>
        <v>14</v>
      </c>
      <c r="BF107">
        <f t="shared" si="378"/>
        <v>3</v>
      </c>
      <c r="BG107">
        <f t="shared" si="276"/>
        <v>21</v>
      </c>
      <c r="BH107">
        <f t="shared" si="284"/>
        <v>12</v>
      </c>
      <c r="BI107">
        <f t="shared" si="292"/>
        <v>50</v>
      </c>
      <c r="BJ107">
        <f t="shared" si="300"/>
        <v>18</v>
      </c>
      <c r="BK107">
        <f t="shared" si="308"/>
        <v>3</v>
      </c>
      <c r="BL107">
        <f t="shared" si="316"/>
        <v>42</v>
      </c>
      <c r="BM107">
        <f t="shared" si="324"/>
        <v>6</v>
      </c>
      <c r="BZ107" s="12">
        <f t="shared" si="330"/>
        <v>3.7128571428571426</v>
      </c>
      <c r="CA107" s="12">
        <f t="shared" si="362"/>
        <v>9.6649999999999636</v>
      </c>
      <c r="CB107" s="12">
        <f t="shared" si="366"/>
        <v>5.256190476190481</v>
      </c>
      <c r="CC107" s="12">
        <f t="shared" si="375"/>
        <v>2.7071428571428959</v>
      </c>
      <c r="CD107" s="12">
        <f t="shared" ref="CD107:CD138" si="383">IFERROR(V107/BF107,0)</f>
        <v>5.0066666666665087</v>
      </c>
      <c r="CE107" s="12">
        <f t="shared" si="281"/>
        <v>1.2338095238095168</v>
      </c>
      <c r="CF107" s="12">
        <f t="shared" si="289"/>
        <v>1.5500000000000302</v>
      </c>
      <c r="CG107" s="12">
        <f t="shared" si="297"/>
        <v>1.0242000000000007</v>
      </c>
      <c r="CH107" s="12">
        <f t="shared" si="305"/>
        <v>2.4533333333333758</v>
      </c>
      <c r="CI107" s="12">
        <f t="shared" si="313"/>
        <v>14.713333333333443</v>
      </c>
      <c r="CJ107" s="12">
        <f t="shared" si="321"/>
        <v>2.3373809523809541</v>
      </c>
      <c r="CK107" s="12">
        <f t="shared" si="329"/>
        <v>6.3733333333332967</v>
      </c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>
        <f t="shared" si="331"/>
        <v>74.92597784962355</v>
      </c>
      <c r="CY107" s="12">
        <f t="shared" si="332"/>
        <v>84.092847611726654</v>
      </c>
      <c r="CZ107" s="12">
        <f t="shared" si="333"/>
        <v>79.22810598462658</v>
      </c>
      <c r="DA107" s="12">
        <f t="shared" si="334"/>
        <v>69.726115955861374</v>
      </c>
      <c r="DB107" s="12">
        <f t="shared" si="335"/>
        <v>78.704739940386773</v>
      </c>
      <c r="DC107" s="12">
        <f t="shared" si="336"/>
        <v>50.975306675896917</v>
      </c>
      <c r="DD107" s="12">
        <f t="shared" si="337"/>
        <v>57.171458208587985</v>
      </c>
      <c r="DE107" s="12">
        <f t="shared" si="338"/>
        <v>45.684957914023869</v>
      </c>
      <c r="DF107" s="12">
        <f t="shared" si="339"/>
        <v>67.823763658507573</v>
      </c>
      <c r="DG107" s="12">
        <f t="shared" si="340"/>
        <v>86.111839550133269</v>
      </c>
      <c r="DH107" s="12">
        <f t="shared" si="341"/>
        <v>66.837343085781896</v>
      </c>
      <c r="DI107" s="12">
        <f t="shared" si="342"/>
        <v>81.082779193084988</v>
      </c>
      <c r="DJ107" t="s">
        <v>21</v>
      </c>
      <c r="DK107" t="str">
        <f t="shared" si="363"/>
        <v>LH</v>
      </c>
      <c r="DL107" t="str">
        <f t="shared" si="367"/>
        <v>HH</v>
      </c>
      <c r="DM107" t="str">
        <f t="shared" si="371"/>
        <v>HH</v>
      </c>
      <c r="DN107" t="str">
        <f t="shared" si="379"/>
        <v>HH</v>
      </c>
      <c r="DO107" t="str">
        <f t="shared" si="277"/>
        <v>LH</v>
      </c>
      <c r="DP107" t="str">
        <f t="shared" si="285"/>
        <v>LH</v>
      </c>
      <c r="DQ107" t="str">
        <f t="shared" si="293"/>
        <v>HH</v>
      </c>
      <c r="DR107" t="str">
        <f t="shared" si="301"/>
        <v>LH</v>
      </c>
      <c r="DS107" t="str">
        <f t="shared" si="309"/>
        <v>HH</v>
      </c>
      <c r="DT107" t="str">
        <f t="shared" si="317"/>
        <v>HH</v>
      </c>
      <c r="DU107" t="str">
        <f t="shared" si="325"/>
        <v>HH</v>
      </c>
      <c r="DV107">
        <f t="shared" si="343"/>
        <v>0.17666190158121312</v>
      </c>
      <c r="DW107">
        <f t="shared" si="344"/>
        <v>1.7358228303775252</v>
      </c>
      <c r="DX107">
        <f t="shared" si="372"/>
        <v>3.745482012328692E-3</v>
      </c>
      <c r="DY107">
        <f t="shared" si="380"/>
        <v>-9.7174449986372119E-2</v>
      </c>
      <c r="DZ107">
        <f t="shared" si="278"/>
        <v>-0.15002736282692411</v>
      </c>
      <c r="EA107">
        <f t="shared" si="286"/>
        <v>0.37496436590030852</v>
      </c>
      <c r="EB107">
        <f t="shared" si="294"/>
        <v>0.67814032656441803</v>
      </c>
      <c r="EC107">
        <f t="shared" si="302"/>
        <v>0.51188254168410108</v>
      </c>
      <c r="ED107">
        <f t="shared" si="310"/>
        <v>1.3614827114792842</v>
      </c>
      <c r="EE107">
        <f t="shared" si="318"/>
        <v>0.93595433841263298</v>
      </c>
      <c r="EF107">
        <f t="shared" si="326"/>
        <v>-0.20038328765926328</v>
      </c>
      <c r="EG107" s="13" t="str">
        <f t="shared" si="345"/>
        <v/>
      </c>
      <c r="EH107" s="13" t="str">
        <f t="shared" si="346"/>
        <v/>
      </c>
      <c r="EI107" s="13" t="str">
        <f t="shared" si="347"/>
        <v>EQH</v>
      </c>
      <c r="EJ107" s="13" t="str">
        <f t="shared" si="348"/>
        <v>EQH</v>
      </c>
      <c r="EK107" s="13" t="str">
        <f t="shared" si="349"/>
        <v>EQH</v>
      </c>
      <c r="EL107" s="13" t="str">
        <f t="shared" si="350"/>
        <v/>
      </c>
      <c r="EM107" s="13" t="str">
        <f t="shared" si="351"/>
        <v/>
      </c>
      <c r="EN107" s="13" t="str">
        <f t="shared" si="352"/>
        <v/>
      </c>
      <c r="EO107" s="13" t="str">
        <f t="shared" si="353"/>
        <v/>
      </c>
      <c r="EP107" s="13" t="str">
        <f t="shared" si="354"/>
        <v/>
      </c>
      <c r="EQ107" s="13" t="str">
        <f t="shared" si="355"/>
        <v>EQH</v>
      </c>
    </row>
    <row r="108" spans="1:147" ht="14.25" customHeight="1" x14ac:dyDescent="0.55000000000000004">
      <c r="A108">
        <v>1776677404</v>
      </c>
      <c r="B108" t="s">
        <v>16</v>
      </c>
      <c r="C108" t="s">
        <v>17</v>
      </c>
      <c r="D108">
        <v>4791.96</v>
      </c>
      <c r="E108" t="s">
        <v>18</v>
      </c>
      <c r="F108">
        <v>4783.51</v>
      </c>
      <c r="G108">
        <v>4779.8</v>
      </c>
      <c r="H108">
        <v>4736.96</v>
      </c>
      <c r="I108">
        <f t="shared" si="368"/>
        <v>4778.83</v>
      </c>
      <c r="J108">
        <f t="shared" si="376"/>
        <v>4768.07</v>
      </c>
      <c r="K108">
        <f t="shared" ref="K108:K139" si="384">F98</f>
        <v>4786.1000000000004</v>
      </c>
      <c r="L108">
        <f t="shared" si="282"/>
        <v>4772.67</v>
      </c>
      <c r="M108">
        <f t="shared" si="290"/>
        <v>4805.21</v>
      </c>
      <c r="N108">
        <f t="shared" si="298"/>
        <v>4787.17</v>
      </c>
      <c r="O108">
        <f t="shared" si="306"/>
        <v>4786.2299999999996</v>
      </c>
      <c r="P108">
        <f t="shared" si="314"/>
        <v>4827.08</v>
      </c>
      <c r="Q108">
        <f t="shared" si="322"/>
        <v>4752.6000000000004</v>
      </c>
      <c r="R108">
        <v>-22.28</v>
      </c>
      <c r="S108">
        <f t="shared" si="356"/>
        <v>-34.479999999999563</v>
      </c>
      <c r="T108">
        <f t="shared" si="357"/>
        <v>-152.25</v>
      </c>
      <c r="U108">
        <f t="shared" si="373"/>
        <v>-27.140000000000327</v>
      </c>
      <c r="V108">
        <f t="shared" si="381"/>
        <v>-33.050000000000182</v>
      </c>
      <c r="W108">
        <f t="shared" si="279"/>
        <v>-12.479999999999563</v>
      </c>
      <c r="X108">
        <f t="shared" si="287"/>
        <v>-51.140000000000327</v>
      </c>
      <c r="Y108">
        <f t="shared" si="295"/>
        <v>-33.170000000000073</v>
      </c>
      <c r="Z108">
        <f t="shared" si="303"/>
        <v>-43.220000000000255</v>
      </c>
      <c r="AA108">
        <f t="shared" si="311"/>
        <v>-84.990000000000691</v>
      </c>
      <c r="AB108">
        <f t="shared" si="319"/>
        <v>-23.690000000000509</v>
      </c>
      <c r="AC108">
        <f t="shared" si="327"/>
        <v>-43.559999999999491</v>
      </c>
      <c r="AD108">
        <v>-0.46</v>
      </c>
      <c r="AE108" s="14">
        <f t="shared" si="358"/>
        <v>-0.71620263050756428</v>
      </c>
      <c r="AF108" s="14">
        <f t="shared" si="359"/>
        <v>-3.1140000122719211</v>
      </c>
      <c r="AG108" s="14">
        <f t="shared" si="374"/>
        <v>-0.56471430325200378</v>
      </c>
      <c r="AH108" s="14">
        <f t="shared" si="382"/>
        <v>-0.68838104442297177</v>
      </c>
      <c r="AI108" s="14">
        <f t="shared" si="280"/>
        <v>-0.260076939427905</v>
      </c>
      <c r="AJ108" s="14">
        <f t="shared" si="288"/>
        <v>-1.060157842037732</v>
      </c>
      <c r="AK108" s="14">
        <f t="shared" si="296"/>
        <v>-0.68556004282425254</v>
      </c>
      <c r="AL108" s="14">
        <f t="shared" si="304"/>
        <v>-0.89475176952586133</v>
      </c>
      <c r="AM108" s="14">
        <f t="shared" si="312"/>
        <v>-1.7447374579674226</v>
      </c>
      <c r="AN108" s="14">
        <f t="shared" si="320"/>
        <v>-0.48837607225245699</v>
      </c>
      <c r="AO108" s="14">
        <f t="shared" si="328"/>
        <v>-0.90822658126500144</v>
      </c>
      <c r="AP108">
        <v>3</v>
      </c>
      <c r="AQ108">
        <f t="shared" si="360"/>
        <v>3</v>
      </c>
      <c r="AR108">
        <f t="shared" si="364"/>
        <v>5</v>
      </c>
      <c r="AS108">
        <f t="shared" si="369"/>
        <v>3</v>
      </c>
      <c r="AT108">
        <f t="shared" si="377"/>
        <v>3</v>
      </c>
      <c r="AU108">
        <f t="shared" ref="AU108:AU139" si="385">AP98</f>
        <v>3</v>
      </c>
      <c r="AV108">
        <f t="shared" si="283"/>
        <v>3</v>
      </c>
      <c r="AW108">
        <f t="shared" si="291"/>
        <v>3</v>
      </c>
      <c r="AX108">
        <f t="shared" si="299"/>
        <v>3</v>
      </c>
      <c r="AY108">
        <f t="shared" si="307"/>
        <v>3</v>
      </c>
      <c r="AZ108">
        <f t="shared" si="315"/>
        <v>3</v>
      </c>
      <c r="BA108">
        <f t="shared" si="323"/>
        <v>3</v>
      </c>
      <c r="BB108">
        <v>9</v>
      </c>
      <c r="BC108">
        <f t="shared" si="361"/>
        <v>15</v>
      </c>
      <c r="BD108">
        <f t="shared" si="365"/>
        <v>39</v>
      </c>
      <c r="BE108">
        <f t="shared" si="370"/>
        <v>11</v>
      </c>
      <c r="BF108">
        <f t="shared" si="378"/>
        <v>3</v>
      </c>
      <c r="BG108">
        <f t="shared" ref="BG108:BG139" si="386">BB98</f>
        <v>13</v>
      </c>
      <c r="BH108">
        <f t="shared" si="284"/>
        <v>4</v>
      </c>
      <c r="BI108">
        <f t="shared" si="292"/>
        <v>22</v>
      </c>
      <c r="BJ108">
        <f t="shared" si="300"/>
        <v>5</v>
      </c>
      <c r="BK108">
        <f t="shared" si="308"/>
        <v>34</v>
      </c>
      <c r="BL108">
        <f t="shared" si="316"/>
        <v>10</v>
      </c>
      <c r="BM108">
        <f t="shared" si="324"/>
        <v>14</v>
      </c>
      <c r="BZ108" s="12">
        <f t="shared" si="330"/>
        <v>-2.4755555555555557</v>
      </c>
      <c r="CA108" s="12">
        <f t="shared" si="362"/>
        <v>-2.2986666666666378</v>
      </c>
      <c r="CB108" s="12">
        <f t="shared" si="366"/>
        <v>-3.9038461538461537</v>
      </c>
      <c r="CC108" s="12">
        <f t="shared" si="375"/>
        <v>-2.467272727272757</v>
      </c>
      <c r="CD108" s="12">
        <f t="shared" si="383"/>
        <v>-11.016666666666728</v>
      </c>
      <c r="CE108" s="12">
        <f t="shared" si="281"/>
        <v>-0.95999999999996644</v>
      </c>
      <c r="CF108" s="12">
        <f t="shared" si="289"/>
        <v>-12.785000000000082</v>
      </c>
      <c r="CG108" s="12">
        <f t="shared" si="297"/>
        <v>-1.5077272727272761</v>
      </c>
      <c r="CH108" s="12">
        <f t="shared" si="305"/>
        <v>-8.6440000000000516</v>
      </c>
      <c r="CI108" s="12">
        <f t="shared" si="313"/>
        <v>-2.4997058823529614</v>
      </c>
      <c r="CJ108" s="12">
        <f t="shared" si="321"/>
        <v>-2.3690000000000508</v>
      </c>
      <c r="CK108" s="12">
        <f t="shared" si="329"/>
        <v>-3.1114285714285352</v>
      </c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>
        <f t="shared" si="331"/>
        <v>-68.003767902939686</v>
      </c>
      <c r="CY108" s="12">
        <f t="shared" si="332"/>
        <v>-66.4892830306446</v>
      </c>
      <c r="CZ108" s="12">
        <f t="shared" si="333"/>
        <v>-75.63218743532633</v>
      </c>
      <c r="DA108" s="12">
        <f t="shared" si="334"/>
        <v>-67.937000947295402</v>
      </c>
      <c r="DB108" s="12">
        <f t="shared" si="335"/>
        <v>-84.813386639824586</v>
      </c>
      <c r="DC108" s="12">
        <f t="shared" si="336"/>
        <v>-43.830860672091582</v>
      </c>
      <c r="DD108" s="12">
        <f t="shared" si="337"/>
        <v>-85.527621095731902</v>
      </c>
      <c r="DE108" s="12">
        <f t="shared" si="338"/>
        <v>-56.445675827003079</v>
      </c>
      <c r="DF108" s="12">
        <f t="shared" si="339"/>
        <v>-83.400947922053007</v>
      </c>
      <c r="DG108" s="12">
        <f t="shared" si="340"/>
        <v>-68.196265905494101</v>
      </c>
      <c r="DH108" s="12">
        <f t="shared" si="341"/>
        <v>-67.114466086461661</v>
      </c>
      <c r="DI108" s="12">
        <f t="shared" si="342"/>
        <v>-72.182814188131331</v>
      </c>
      <c r="DJ108" t="s">
        <v>22</v>
      </c>
      <c r="DK108" t="str">
        <f t="shared" si="363"/>
        <v>HL</v>
      </c>
      <c r="DL108" t="str">
        <f t="shared" si="367"/>
        <v>LL</v>
      </c>
      <c r="DM108" t="str">
        <f t="shared" si="371"/>
        <v>HL</v>
      </c>
      <c r="DN108" t="str">
        <f t="shared" si="379"/>
        <v>LL</v>
      </c>
      <c r="DO108" t="str">
        <f t="shared" ref="DO108:DO139" si="387">DJ98</f>
        <v>HL</v>
      </c>
      <c r="DP108" t="str">
        <f t="shared" si="285"/>
        <v>LL</v>
      </c>
      <c r="DQ108" t="str">
        <f t="shared" si="293"/>
        <v>HL</v>
      </c>
      <c r="DR108" t="str">
        <f t="shared" si="301"/>
        <v>HL</v>
      </c>
      <c r="DS108" t="str">
        <f t="shared" si="309"/>
        <v>LL</v>
      </c>
      <c r="DT108" t="str">
        <f t="shared" si="317"/>
        <v>HL</v>
      </c>
      <c r="DU108" t="str">
        <f t="shared" si="325"/>
        <v>LL</v>
      </c>
      <c r="DV108">
        <f t="shared" si="343"/>
        <v>-7.7558111094155474E-2</v>
      </c>
      <c r="DW108">
        <f t="shared" si="344"/>
        <v>-0.97313479014364301</v>
      </c>
      <c r="DX108">
        <f t="shared" si="372"/>
        <v>-9.7836107795327934E-2</v>
      </c>
      <c r="DY108">
        <f t="shared" si="380"/>
        <v>-0.32277553511961948</v>
      </c>
      <c r="DZ108">
        <f t="shared" ref="DZ108:DZ139" si="388">IFERROR(((K108-$F108)/$F108)*100,0)</f>
        <v>5.4144341707243124E-2</v>
      </c>
      <c r="EA108">
        <f t="shared" si="286"/>
        <v>-0.22661183942335536</v>
      </c>
      <c r="EB108">
        <f t="shared" si="294"/>
        <v>0.45364178187146714</v>
      </c>
      <c r="EC108">
        <f t="shared" si="302"/>
        <v>7.6512853532235831E-2</v>
      </c>
      <c r="ED108">
        <f t="shared" si="310"/>
        <v>5.6862011368207552E-2</v>
      </c>
      <c r="EE108">
        <f t="shared" si="318"/>
        <v>0.91083743945344964</v>
      </c>
      <c r="EF108">
        <f t="shared" si="326"/>
        <v>-0.646178224776364</v>
      </c>
      <c r="EG108" s="13" t="str">
        <f t="shared" si="345"/>
        <v/>
      </c>
      <c r="EH108" s="13" t="str">
        <f t="shared" si="346"/>
        <v/>
      </c>
      <c r="EI108" s="13" t="str">
        <f t="shared" si="347"/>
        <v>EQL</v>
      </c>
      <c r="EJ108" s="13" t="str">
        <f t="shared" si="348"/>
        <v/>
      </c>
      <c r="EK108" s="13" t="str">
        <f t="shared" si="349"/>
        <v>EQL</v>
      </c>
      <c r="EL108" s="13" t="str">
        <f t="shared" si="350"/>
        <v/>
      </c>
      <c r="EM108" s="13" t="str">
        <f t="shared" si="351"/>
        <v/>
      </c>
      <c r="EN108" s="13" t="str">
        <f t="shared" si="352"/>
        <v/>
      </c>
      <c r="EO108" s="13" t="str">
        <f t="shared" si="353"/>
        <v/>
      </c>
      <c r="EP108" s="13" t="str">
        <f t="shared" si="354"/>
        <v/>
      </c>
      <c r="EQ108" s="13" t="str">
        <f t="shared" si="355"/>
        <v/>
      </c>
    </row>
    <row r="109" spans="1:147" ht="14.25" customHeight="1" x14ac:dyDescent="0.55000000000000004">
      <c r="A109">
        <v>1776695404</v>
      </c>
      <c r="B109" t="s">
        <v>16</v>
      </c>
      <c r="C109" t="s">
        <v>17</v>
      </c>
      <c r="D109">
        <v>4814.18</v>
      </c>
      <c r="E109" t="s">
        <v>20</v>
      </c>
      <c r="F109">
        <v>4827.74</v>
      </c>
      <c r="G109">
        <v>4805.79</v>
      </c>
      <c r="H109">
        <v>4814.28</v>
      </c>
      <c r="I109">
        <f t="shared" si="368"/>
        <v>4889.21</v>
      </c>
      <c r="J109">
        <f t="shared" si="376"/>
        <v>4805.97</v>
      </c>
      <c r="K109">
        <f t="shared" si="384"/>
        <v>4801.12</v>
      </c>
      <c r="L109">
        <f t="shared" si="282"/>
        <v>4798.58</v>
      </c>
      <c r="M109">
        <f t="shared" si="290"/>
        <v>4823.8100000000004</v>
      </c>
      <c r="N109">
        <f t="shared" si="298"/>
        <v>4838.38</v>
      </c>
      <c r="O109">
        <f t="shared" si="306"/>
        <v>4830.3900000000003</v>
      </c>
      <c r="P109">
        <f t="shared" si="314"/>
        <v>4871.22</v>
      </c>
      <c r="Q109">
        <f t="shared" si="322"/>
        <v>4850.7700000000004</v>
      </c>
      <c r="R109">
        <v>44.23</v>
      </c>
      <c r="S109">
        <f t="shared" si="356"/>
        <v>25.989999999999782</v>
      </c>
      <c r="T109">
        <f t="shared" si="357"/>
        <v>77.319999999999709</v>
      </c>
      <c r="U109">
        <f t="shared" si="373"/>
        <v>110.38000000000011</v>
      </c>
      <c r="V109">
        <f t="shared" si="381"/>
        <v>37.900000000000546</v>
      </c>
      <c r="W109">
        <f t="shared" ref="W109:W140" si="389">K109-K108</f>
        <v>15.019999999999527</v>
      </c>
      <c r="X109">
        <f t="shared" si="287"/>
        <v>25.909999999999854</v>
      </c>
      <c r="Y109">
        <f t="shared" si="295"/>
        <v>18.600000000000364</v>
      </c>
      <c r="Z109">
        <f t="shared" si="303"/>
        <v>51.210000000000036</v>
      </c>
      <c r="AA109">
        <f t="shared" si="311"/>
        <v>44.160000000000764</v>
      </c>
      <c r="AB109">
        <f t="shared" si="319"/>
        <v>44.140000000000327</v>
      </c>
      <c r="AC109">
        <f t="shared" si="327"/>
        <v>98.170000000000073</v>
      </c>
      <c r="AD109">
        <v>0.92</v>
      </c>
      <c r="AE109" s="14">
        <f t="shared" si="358"/>
        <v>0.54374660027615762</v>
      </c>
      <c r="AF109" s="14">
        <f t="shared" si="359"/>
        <v>1.6322704857123493</v>
      </c>
      <c r="AG109" s="14">
        <f t="shared" si="374"/>
        <v>2.3097703831272529</v>
      </c>
      <c r="AH109" s="14">
        <f t="shared" si="382"/>
        <v>0.79487088067080702</v>
      </c>
      <c r="AI109" s="14">
        <f t="shared" ref="AI109:AI140" si="390">(W109/K108)*100</f>
        <v>0.31382545287393759</v>
      </c>
      <c r="AJ109" s="14">
        <f t="shared" si="288"/>
        <v>0.54288270506864822</v>
      </c>
      <c r="AK109" s="14">
        <f t="shared" si="296"/>
        <v>0.38707985707181092</v>
      </c>
      <c r="AL109" s="14">
        <f t="shared" si="304"/>
        <v>1.0697343106678903</v>
      </c>
      <c r="AM109" s="14">
        <f t="shared" si="312"/>
        <v>0.92264684313124867</v>
      </c>
      <c r="AN109" s="14">
        <f t="shared" si="320"/>
        <v>0.91442445536432637</v>
      </c>
      <c r="AO109" s="14">
        <f t="shared" si="328"/>
        <v>2.065606194504062</v>
      </c>
      <c r="AP109">
        <v>0</v>
      </c>
      <c r="AQ109">
        <f t="shared" si="360"/>
        <v>0</v>
      </c>
      <c r="AR109">
        <f t="shared" si="364"/>
        <v>0</v>
      </c>
      <c r="AS109">
        <f t="shared" si="369"/>
        <v>0</v>
      </c>
      <c r="AT109">
        <f t="shared" si="377"/>
        <v>0</v>
      </c>
      <c r="AU109">
        <f t="shared" si="385"/>
        <v>0</v>
      </c>
      <c r="AV109">
        <f t="shared" si="283"/>
        <v>0</v>
      </c>
      <c r="AW109">
        <f t="shared" si="291"/>
        <v>0</v>
      </c>
      <c r="AX109">
        <f t="shared" si="299"/>
        <v>0</v>
      </c>
      <c r="AY109">
        <f t="shared" si="307"/>
        <v>0</v>
      </c>
      <c r="AZ109">
        <f t="shared" si="315"/>
        <v>0</v>
      </c>
      <c r="BA109">
        <f t="shared" si="323"/>
        <v>0</v>
      </c>
      <c r="BB109">
        <v>20</v>
      </c>
      <c r="BC109">
        <f t="shared" si="361"/>
        <v>7</v>
      </c>
      <c r="BD109">
        <f t="shared" si="365"/>
        <v>8</v>
      </c>
      <c r="BE109">
        <f t="shared" si="370"/>
        <v>21</v>
      </c>
      <c r="BF109">
        <f t="shared" si="378"/>
        <v>14</v>
      </c>
      <c r="BG109">
        <f t="shared" si="386"/>
        <v>3</v>
      </c>
      <c r="BH109">
        <f t="shared" si="284"/>
        <v>21</v>
      </c>
      <c r="BI109">
        <f t="shared" si="292"/>
        <v>12</v>
      </c>
      <c r="BJ109">
        <f t="shared" si="300"/>
        <v>50</v>
      </c>
      <c r="BK109">
        <f t="shared" si="308"/>
        <v>18</v>
      </c>
      <c r="BL109">
        <f t="shared" si="316"/>
        <v>3</v>
      </c>
      <c r="BM109">
        <f t="shared" si="324"/>
        <v>42</v>
      </c>
      <c r="BZ109" s="12">
        <f t="shared" si="330"/>
        <v>2.2115</v>
      </c>
      <c r="CA109" s="12">
        <f t="shared" si="362"/>
        <v>3.7128571428571115</v>
      </c>
      <c r="CB109" s="12">
        <f t="shared" si="366"/>
        <v>9.6649999999999636</v>
      </c>
      <c r="CC109" s="12">
        <f t="shared" si="375"/>
        <v>5.256190476190481</v>
      </c>
      <c r="CD109" s="12">
        <f t="shared" si="383"/>
        <v>2.7071428571428959</v>
      </c>
      <c r="CE109" s="12">
        <f t="shared" ref="CE109:CE140" si="391">IFERROR(W109/BG109,0)</f>
        <v>5.0066666666665087</v>
      </c>
      <c r="CF109" s="12">
        <f t="shared" si="289"/>
        <v>1.2338095238095168</v>
      </c>
      <c r="CG109" s="12">
        <f t="shared" si="297"/>
        <v>1.5500000000000302</v>
      </c>
      <c r="CH109" s="12">
        <f t="shared" si="305"/>
        <v>1.0242000000000007</v>
      </c>
      <c r="CI109" s="12">
        <f t="shared" si="313"/>
        <v>2.4533333333333758</v>
      </c>
      <c r="CJ109" s="12">
        <f t="shared" si="321"/>
        <v>14.713333333333443</v>
      </c>
      <c r="CK109" s="12">
        <f t="shared" si="329"/>
        <v>2.3373809523809541</v>
      </c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>
        <f t="shared" si="331"/>
        <v>65.668383995105273</v>
      </c>
      <c r="CY109" s="12">
        <f t="shared" si="332"/>
        <v>74.925977849623436</v>
      </c>
      <c r="CZ109" s="12">
        <f t="shared" si="333"/>
        <v>84.092847611726654</v>
      </c>
      <c r="DA109" s="12">
        <f t="shared" si="334"/>
        <v>79.22810598462658</v>
      </c>
      <c r="DB109" s="12">
        <f t="shared" si="335"/>
        <v>69.726115955861374</v>
      </c>
      <c r="DC109" s="12">
        <f t="shared" si="336"/>
        <v>78.704739940386773</v>
      </c>
      <c r="DD109" s="12">
        <f t="shared" si="337"/>
        <v>50.975306675896917</v>
      </c>
      <c r="DE109" s="12">
        <f t="shared" si="338"/>
        <v>57.171458208587985</v>
      </c>
      <c r="DF109" s="12">
        <f t="shared" si="339"/>
        <v>45.684957914023869</v>
      </c>
      <c r="DG109" s="12">
        <f t="shared" si="340"/>
        <v>67.823763658507573</v>
      </c>
      <c r="DH109" s="12">
        <f t="shared" si="341"/>
        <v>86.111839550133269</v>
      </c>
      <c r="DI109" s="12">
        <f t="shared" si="342"/>
        <v>66.837343085781896</v>
      </c>
      <c r="DJ109" t="s">
        <v>23</v>
      </c>
      <c r="DK109" t="str">
        <f t="shared" si="363"/>
        <v>LH</v>
      </c>
      <c r="DL109" t="str">
        <f t="shared" si="367"/>
        <v>LH</v>
      </c>
      <c r="DM109" t="str">
        <f t="shared" si="371"/>
        <v>HH</v>
      </c>
      <c r="DN109" t="str">
        <f t="shared" si="379"/>
        <v>HH</v>
      </c>
      <c r="DO109" t="str">
        <f t="shared" si="387"/>
        <v>HH</v>
      </c>
      <c r="DP109" t="str">
        <f t="shared" si="285"/>
        <v>LH</v>
      </c>
      <c r="DQ109" t="str">
        <f t="shared" si="293"/>
        <v>LH</v>
      </c>
      <c r="DR109" t="str">
        <f t="shared" si="301"/>
        <v>HH</v>
      </c>
      <c r="DS109" t="str">
        <f t="shared" si="309"/>
        <v>LH</v>
      </c>
      <c r="DT109" t="str">
        <f t="shared" si="317"/>
        <v>HH</v>
      </c>
      <c r="DU109" t="str">
        <f t="shared" si="325"/>
        <v>HH</v>
      </c>
      <c r="DV109">
        <f t="shared" si="343"/>
        <v>-0.45466408712979195</v>
      </c>
      <c r="DW109">
        <f t="shared" si="344"/>
        <v>-0.27880540377070923</v>
      </c>
      <c r="DX109">
        <f t="shared" si="372"/>
        <v>1.2732665802218068</v>
      </c>
      <c r="DY109">
        <f t="shared" si="380"/>
        <v>-0.45093563447906326</v>
      </c>
      <c r="DZ109">
        <f t="shared" si="388"/>
        <v>-0.55139671979021021</v>
      </c>
      <c r="EA109">
        <f t="shared" si="286"/>
        <v>-0.60400932941707419</v>
      </c>
      <c r="EB109">
        <f t="shared" si="294"/>
        <v>-8.1404549540766105E-2</v>
      </c>
      <c r="EC109">
        <f t="shared" si="302"/>
        <v>0.22039297890939299</v>
      </c>
      <c r="ED109">
        <f t="shared" si="310"/>
        <v>5.4891108468984373E-2</v>
      </c>
      <c r="EE109">
        <f t="shared" si="318"/>
        <v>0.90062845140791503</v>
      </c>
      <c r="EF109">
        <f t="shared" si="326"/>
        <v>0.47703480303414547</v>
      </c>
      <c r="EG109" s="13" t="str">
        <f t="shared" si="345"/>
        <v/>
      </c>
      <c r="EH109" s="13" t="str">
        <f t="shared" si="346"/>
        <v/>
      </c>
      <c r="EI109" s="13" t="str">
        <f t="shared" si="347"/>
        <v/>
      </c>
      <c r="EJ109" s="13" t="str">
        <f t="shared" si="348"/>
        <v/>
      </c>
      <c r="EK109" s="13" t="str">
        <f t="shared" si="349"/>
        <v/>
      </c>
      <c r="EL109" s="13" t="str">
        <f t="shared" si="350"/>
        <v/>
      </c>
      <c r="EM109" s="13" t="str">
        <f t="shared" si="351"/>
        <v/>
      </c>
      <c r="EN109" s="13" t="str">
        <f t="shared" si="352"/>
        <v/>
      </c>
      <c r="EO109" s="13" t="str">
        <f t="shared" si="353"/>
        <v>EQH</v>
      </c>
      <c r="EP109" s="13" t="str">
        <f t="shared" si="354"/>
        <v/>
      </c>
      <c r="EQ109" s="13" t="str">
        <f t="shared" si="355"/>
        <v/>
      </c>
    </row>
    <row r="110" spans="1:147" ht="14.25" customHeight="1" x14ac:dyDescent="0.55000000000000004">
      <c r="A110">
        <v>1776696304</v>
      </c>
      <c r="B110" t="s">
        <v>16</v>
      </c>
      <c r="C110" t="s">
        <v>17</v>
      </c>
      <c r="D110">
        <v>4805.3100000000004</v>
      </c>
      <c r="E110" t="s">
        <v>18</v>
      </c>
      <c r="F110">
        <v>4792.42</v>
      </c>
      <c r="G110">
        <v>4783.51</v>
      </c>
      <c r="H110">
        <v>4779.8</v>
      </c>
      <c r="I110">
        <f t="shared" si="368"/>
        <v>4736.96</v>
      </c>
      <c r="J110">
        <f t="shared" si="376"/>
        <v>4778.83</v>
      </c>
      <c r="K110">
        <f t="shared" si="384"/>
        <v>4768.07</v>
      </c>
      <c r="L110">
        <f t="shared" ref="L110:L141" si="392">F98</f>
        <v>4786.1000000000004</v>
      </c>
      <c r="M110">
        <f t="shared" si="290"/>
        <v>4772.67</v>
      </c>
      <c r="N110">
        <f t="shared" si="298"/>
        <v>4805.21</v>
      </c>
      <c r="O110">
        <f t="shared" si="306"/>
        <v>4787.17</v>
      </c>
      <c r="P110">
        <f t="shared" si="314"/>
        <v>4786.2299999999996</v>
      </c>
      <c r="Q110">
        <f t="shared" si="322"/>
        <v>4827.08</v>
      </c>
      <c r="R110">
        <v>-35.32</v>
      </c>
      <c r="S110">
        <f t="shared" si="356"/>
        <v>-22.279999999999745</v>
      </c>
      <c r="T110">
        <f t="shared" si="357"/>
        <v>-34.479999999999563</v>
      </c>
      <c r="U110">
        <f t="shared" si="373"/>
        <v>-152.25</v>
      </c>
      <c r="V110">
        <f t="shared" si="381"/>
        <v>-27.140000000000327</v>
      </c>
      <c r="W110">
        <f t="shared" si="389"/>
        <v>-33.050000000000182</v>
      </c>
      <c r="X110">
        <f t="shared" si="287"/>
        <v>-12.479999999999563</v>
      </c>
      <c r="Y110">
        <f t="shared" si="295"/>
        <v>-51.140000000000327</v>
      </c>
      <c r="Z110">
        <f t="shared" si="303"/>
        <v>-33.170000000000073</v>
      </c>
      <c r="AA110">
        <f t="shared" si="311"/>
        <v>-43.220000000000255</v>
      </c>
      <c r="AB110">
        <f t="shared" si="319"/>
        <v>-84.990000000000691</v>
      </c>
      <c r="AC110">
        <f t="shared" si="327"/>
        <v>-23.690000000000509</v>
      </c>
      <c r="AD110">
        <v>-0.73</v>
      </c>
      <c r="AE110" s="14">
        <f t="shared" si="358"/>
        <v>-0.46360744019192984</v>
      </c>
      <c r="AF110" s="14">
        <f t="shared" si="359"/>
        <v>-0.71620263050756428</v>
      </c>
      <c r="AG110" s="14">
        <f t="shared" si="374"/>
        <v>-3.1140000122719211</v>
      </c>
      <c r="AH110" s="14">
        <f t="shared" si="382"/>
        <v>-0.56471430325200378</v>
      </c>
      <c r="AI110" s="14">
        <f t="shared" si="390"/>
        <v>-0.68838104442297177</v>
      </c>
      <c r="AJ110" s="14">
        <f t="shared" si="288"/>
        <v>-0.260076939427905</v>
      </c>
      <c r="AK110" s="14">
        <f t="shared" si="296"/>
        <v>-1.060157842037732</v>
      </c>
      <c r="AL110" s="14">
        <f t="shared" si="304"/>
        <v>-0.68556004282425254</v>
      </c>
      <c r="AM110" s="14">
        <f t="shared" si="312"/>
        <v>-0.89475176952586133</v>
      </c>
      <c r="AN110" s="14">
        <f t="shared" si="320"/>
        <v>-1.7447374579674226</v>
      </c>
      <c r="AO110" s="14">
        <f t="shared" si="328"/>
        <v>-0.48837607225245699</v>
      </c>
      <c r="AP110">
        <v>3</v>
      </c>
      <c r="AQ110">
        <f t="shared" si="360"/>
        <v>3</v>
      </c>
      <c r="AR110">
        <f t="shared" si="364"/>
        <v>3</v>
      </c>
      <c r="AS110">
        <f t="shared" si="369"/>
        <v>5</v>
      </c>
      <c r="AT110">
        <f t="shared" si="377"/>
        <v>3</v>
      </c>
      <c r="AU110">
        <f t="shared" si="385"/>
        <v>3</v>
      </c>
      <c r="AV110">
        <f t="shared" ref="AV110:AV141" si="393">AP98</f>
        <v>3</v>
      </c>
      <c r="AW110">
        <f t="shared" si="291"/>
        <v>3</v>
      </c>
      <c r="AX110">
        <f t="shared" si="299"/>
        <v>3</v>
      </c>
      <c r="AY110">
        <f t="shared" si="307"/>
        <v>3</v>
      </c>
      <c r="AZ110">
        <f t="shared" si="315"/>
        <v>3</v>
      </c>
      <c r="BA110">
        <f t="shared" si="323"/>
        <v>3</v>
      </c>
      <c r="BB110">
        <v>1</v>
      </c>
      <c r="BC110">
        <f t="shared" si="361"/>
        <v>9</v>
      </c>
      <c r="BD110">
        <f t="shared" si="365"/>
        <v>15</v>
      </c>
      <c r="BE110">
        <f t="shared" si="370"/>
        <v>39</v>
      </c>
      <c r="BF110">
        <f t="shared" si="378"/>
        <v>11</v>
      </c>
      <c r="BG110">
        <f t="shared" si="386"/>
        <v>3</v>
      </c>
      <c r="BH110">
        <f t="shared" ref="BH110:BH141" si="394">BB98</f>
        <v>13</v>
      </c>
      <c r="BI110">
        <f t="shared" si="292"/>
        <v>4</v>
      </c>
      <c r="BJ110">
        <f t="shared" si="300"/>
        <v>22</v>
      </c>
      <c r="BK110">
        <f t="shared" si="308"/>
        <v>5</v>
      </c>
      <c r="BL110">
        <f t="shared" si="316"/>
        <v>34</v>
      </c>
      <c r="BM110">
        <f t="shared" si="324"/>
        <v>10</v>
      </c>
      <c r="BZ110" s="12">
        <f t="shared" si="330"/>
        <v>-35.32</v>
      </c>
      <c r="CA110" s="12">
        <f t="shared" si="362"/>
        <v>-2.4755555555555273</v>
      </c>
      <c r="CB110" s="12">
        <f t="shared" si="366"/>
        <v>-2.2986666666666378</v>
      </c>
      <c r="CC110" s="12">
        <f t="shared" si="375"/>
        <v>-3.9038461538461537</v>
      </c>
      <c r="CD110" s="12">
        <f t="shared" si="383"/>
        <v>-2.467272727272757</v>
      </c>
      <c r="CE110" s="12">
        <f t="shared" si="391"/>
        <v>-11.016666666666728</v>
      </c>
      <c r="CF110" s="12">
        <f t="shared" si="289"/>
        <v>-0.95999999999996644</v>
      </c>
      <c r="CG110" s="12">
        <f t="shared" si="297"/>
        <v>-12.785000000000082</v>
      </c>
      <c r="CH110" s="12">
        <f t="shared" si="305"/>
        <v>-1.5077272727272761</v>
      </c>
      <c r="CI110" s="12">
        <f t="shared" si="313"/>
        <v>-8.6440000000000516</v>
      </c>
      <c r="CJ110" s="12">
        <f t="shared" si="321"/>
        <v>-2.4997058823529614</v>
      </c>
      <c r="CK110" s="12">
        <f t="shared" si="329"/>
        <v>-2.3690000000000508</v>
      </c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>
        <f t="shared" si="331"/>
        <v>-88.378242428990561</v>
      </c>
      <c r="CY110" s="12">
        <f t="shared" si="332"/>
        <v>-68.003767902939458</v>
      </c>
      <c r="CZ110" s="12">
        <f t="shared" si="333"/>
        <v>-66.4892830306446</v>
      </c>
      <c r="DA110" s="12">
        <f t="shared" si="334"/>
        <v>-75.63218743532633</v>
      </c>
      <c r="DB110" s="12">
        <f t="shared" si="335"/>
        <v>-67.937000947295402</v>
      </c>
      <c r="DC110" s="12">
        <f t="shared" si="336"/>
        <v>-84.813386639824586</v>
      </c>
      <c r="DD110" s="12">
        <f t="shared" si="337"/>
        <v>-43.830860672091582</v>
      </c>
      <c r="DE110" s="12">
        <f t="shared" si="338"/>
        <v>-85.527621095731902</v>
      </c>
      <c r="DF110" s="12">
        <f t="shared" si="339"/>
        <v>-56.445675827003079</v>
      </c>
      <c r="DG110" s="12">
        <f t="shared" si="340"/>
        <v>-83.400947922053007</v>
      </c>
      <c r="DH110" s="12">
        <f t="shared" si="341"/>
        <v>-68.196265905494101</v>
      </c>
      <c r="DI110" s="12">
        <f t="shared" si="342"/>
        <v>-67.114466086461661</v>
      </c>
      <c r="DJ110" t="s">
        <v>22</v>
      </c>
      <c r="DK110" t="str">
        <f t="shared" si="363"/>
        <v>HL</v>
      </c>
      <c r="DL110" t="str">
        <f t="shared" si="367"/>
        <v>HL</v>
      </c>
      <c r="DM110" t="str">
        <f t="shared" si="371"/>
        <v>LL</v>
      </c>
      <c r="DN110" t="str">
        <f t="shared" si="379"/>
        <v>HL</v>
      </c>
      <c r="DO110" t="str">
        <f t="shared" si="387"/>
        <v>LL</v>
      </c>
      <c r="DP110" t="str">
        <f t="shared" ref="DP110:DP141" si="395">DJ98</f>
        <v>HL</v>
      </c>
      <c r="DQ110" t="str">
        <f t="shared" si="293"/>
        <v>LL</v>
      </c>
      <c r="DR110" t="str">
        <f t="shared" si="301"/>
        <v>HL</v>
      </c>
      <c r="DS110" t="str">
        <f t="shared" si="309"/>
        <v>HL</v>
      </c>
      <c r="DT110" t="str">
        <f t="shared" si="317"/>
        <v>LL</v>
      </c>
      <c r="DU110" t="str">
        <f t="shared" si="325"/>
        <v>HL</v>
      </c>
      <c r="DV110">
        <f t="shared" si="343"/>
        <v>-0.1859185964502246</v>
      </c>
      <c r="DW110">
        <f t="shared" si="344"/>
        <v>-0.26333251259280049</v>
      </c>
      <c r="DX110">
        <f t="shared" si="372"/>
        <v>-1.1572441480504636</v>
      </c>
      <c r="DY110">
        <f t="shared" si="380"/>
        <v>-0.28357280872711793</v>
      </c>
      <c r="DZ110">
        <f t="shared" si="388"/>
        <v>-0.50809403182526502</v>
      </c>
      <c r="EA110">
        <f t="shared" ref="EA110:EA141" si="396">IFERROR(((L110-$F110)/$F110)*100,0)</f>
        <v>-0.13187491914314081</v>
      </c>
      <c r="EB110">
        <f t="shared" si="294"/>
        <v>-0.41210912232233404</v>
      </c>
      <c r="EC110">
        <f t="shared" si="302"/>
        <v>0.26687978098747528</v>
      </c>
      <c r="ED110">
        <f t="shared" si="310"/>
        <v>-0.10954799454137992</v>
      </c>
      <c r="EE110">
        <f t="shared" si="318"/>
        <v>-0.1291623021354662</v>
      </c>
      <c r="EF110">
        <f t="shared" si="326"/>
        <v>0.72322542681984991</v>
      </c>
      <c r="EG110" s="13" t="str">
        <f t="shared" si="345"/>
        <v/>
      </c>
      <c r="EH110" s="13" t="str">
        <f t="shared" si="346"/>
        <v/>
      </c>
      <c r="EI110" s="13" t="str">
        <f t="shared" si="347"/>
        <v/>
      </c>
      <c r="EJ110" s="13" t="str">
        <f t="shared" si="348"/>
        <v/>
      </c>
      <c r="EK110" s="13" t="str">
        <f t="shared" si="349"/>
        <v/>
      </c>
      <c r="EL110" s="13" t="str">
        <f t="shared" si="350"/>
        <v>EQL</v>
      </c>
      <c r="EM110" s="13" t="str">
        <f t="shared" si="351"/>
        <v/>
      </c>
      <c r="EN110" s="13" t="str">
        <f t="shared" si="352"/>
        <v/>
      </c>
      <c r="EO110" s="13" t="str">
        <f t="shared" si="353"/>
        <v/>
      </c>
      <c r="EP110" s="13" t="str">
        <f t="shared" si="354"/>
        <v/>
      </c>
      <c r="EQ110" s="13" t="str">
        <f t="shared" si="355"/>
        <v/>
      </c>
    </row>
    <row r="111" spans="1:147" ht="14.25" customHeight="1" x14ac:dyDescent="0.55000000000000004">
      <c r="A111">
        <v>1776723304</v>
      </c>
      <c r="B111" t="s">
        <v>16</v>
      </c>
      <c r="C111" t="s">
        <v>17</v>
      </c>
      <c r="D111">
        <v>4828.53</v>
      </c>
      <c r="E111" t="s">
        <v>20</v>
      </c>
      <c r="F111">
        <v>4833.25</v>
      </c>
      <c r="G111">
        <v>4827.74</v>
      </c>
      <c r="H111">
        <v>4805.79</v>
      </c>
      <c r="I111">
        <f t="shared" si="368"/>
        <v>4814.28</v>
      </c>
      <c r="J111">
        <f t="shared" si="376"/>
        <v>4889.21</v>
      </c>
      <c r="K111">
        <f t="shared" si="384"/>
        <v>4805.97</v>
      </c>
      <c r="L111">
        <f t="shared" si="392"/>
        <v>4801.12</v>
      </c>
      <c r="M111">
        <f t="shared" si="290"/>
        <v>4798.58</v>
      </c>
      <c r="N111">
        <f t="shared" si="298"/>
        <v>4823.8100000000004</v>
      </c>
      <c r="O111">
        <f t="shared" si="306"/>
        <v>4838.38</v>
      </c>
      <c r="P111">
        <f t="shared" si="314"/>
        <v>4830.3900000000003</v>
      </c>
      <c r="Q111">
        <f t="shared" si="322"/>
        <v>4871.22</v>
      </c>
      <c r="R111">
        <v>40.83</v>
      </c>
      <c r="S111">
        <f t="shared" si="356"/>
        <v>44.229999999999563</v>
      </c>
      <c r="T111">
        <f t="shared" si="357"/>
        <v>25.989999999999782</v>
      </c>
      <c r="U111">
        <f t="shared" si="373"/>
        <v>77.319999999999709</v>
      </c>
      <c r="V111">
        <f t="shared" si="381"/>
        <v>110.38000000000011</v>
      </c>
      <c r="W111">
        <f t="shared" si="389"/>
        <v>37.900000000000546</v>
      </c>
      <c r="X111">
        <f t="shared" ref="X111:X142" si="397">L111-L110</f>
        <v>15.019999999999527</v>
      </c>
      <c r="Y111">
        <f t="shared" si="295"/>
        <v>25.909999999999854</v>
      </c>
      <c r="Z111">
        <f t="shared" si="303"/>
        <v>18.600000000000364</v>
      </c>
      <c r="AA111">
        <f t="shared" si="311"/>
        <v>51.210000000000036</v>
      </c>
      <c r="AB111">
        <f t="shared" si="319"/>
        <v>44.160000000000764</v>
      </c>
      <c r="AC111">
        <f t="shared" si="327"/>
        <v>44.140000000000327</v>
      </c>
      <c r="AD111">
        <v>0.85</v>
      </c>
      <c r="AE111" s="14">
        <f t="shared" si="358"/>
        <v>0.92463483927073564</v>
      </c>
      <c r="AF111" s="14">
        <f t="shared" si="359"/>
        <v>0.54374660027615762</v>
      </c>
      <c r="AG111" s="14">
        <f t="shared" si="374"/>
        <v>1.6322704857123493</v>
      </c>
      <c r="AH111" s="14">
        <f t="shared" si="382"/>
        <v>2.3097703831272529</v>
      </c>
      <c r="AI111" s="14">
        <f t="shared" si="390"/>
        <v>0.79487088067080702</v>
      </c>
      <c r="AJ111" s="14">
        <f t="shared" ref="AJ111:AJ142" si="398">(X111/L110)*100</f>
        <v>0.31382545287393759</v>
      </c>
      <c r="AK111" s="14">
        <f t="shared" si="296"/>
        <v>0.54288270506864822</v>
      </c>
      <c r="AL111" s="14">
        <f t="shared" si="304"/>
        <v>0.38707985707181092</v>
      </c>
      <c r="AM111" s="14">
        <f t="shared" si="312"/>
        <v>1.0697343106678903</v>
      </c>
      <c r="AN111" s="14">
        <f t="shared" si="320"/>
        <v>0.92264684313124867</v>
      </c>
      <c r="AO111" s="14">
        <f t="shared" si="328"/>
        <v>0.91442445536432637</v>
      </c>
      <c r="AP111">
        <v>0</v>
      </c>
      <c r="AQ111">
        <f t="shared" si="360"/>
        <v>0</v>
      </c>
      <c r="AR111">
        <f t="shared" si="364"/>
        <v>0</v>
      </c>
      <c r="AS111">
        <f t="shared" si="369"/>
        <v>0</v>
      </c>
      <c r="AT111">
        <f t="shared" si="377"/>
        <v>0</v>
      </c>
      <c r="AU111">
        <f t="shared" si="385"/>
        <v>0</v>
      </c>
      <c r="AV111">
        <f t="shared" si="393"/>
        <v>0</v>
      </c>
      <c r="AW111">
        <f t="shared" si="291"/>
        <v>0</v>
      </c>
      <c r="AX111">
        <f t="shared" si="299"/>
        <v>0</v>
      </c>
      <c r="AY111">
        <f t="shared" si="307"/>
        <v>0</v>
      </c>
      <c r="AZ111">
        <f t="shared" si="315"/>
        <v>0</v>
      </c>
      <c r="BA111">
        <f t="shared" si="323"/>
        <v>0</v>
      </c>
      <c r="BB111">
        <v>26</v>
      </c>
      <c r="BC111">
        <f t="shared" si="361"/>
        <v>20</v>
      </c>
      <c r="BD111">
        <f t="shared" si="365"/>
        <v>7</v>
      </c>
      <c r="BE111">
        <f t="shared" si="370"/>
        <v>8</v>
      </c>
      <c r="BF111">
        <f t="shared" si="378"/>
        <v>21</v>
      </c>
      <c r="BG111">
        <f t="shared" si="386"/>
        <v>14</v>
      </c>
      <c r="BH111">
        <f t="shared" si="394"/>
        <v>3</v>
      </c>
      <c r="BI111">
        <f t="shared" si="292"/>
        <v>21</v>
      </c>
      <c r="BJ111">
        <f t="shared" si="300"/>
        <v>12</v>
      </c>
      <c r="BK111">
        <f t="shared" si="308"/>
        <v>50</v>
      </c>
      <c r="BL111">
        <f t="shared" si="316"/>
        <v>18</v>
      </c>
      <c r="BM111">
        <f t="shared" si="324"/>
        <v>3</v>
      </c>
      <c r="BZ111" s="12">
        <f t="shared" si="330"/>
        <v>1.5703846153846153</v>
      </c>
      <c r="CA111" s="12">
        <f t="shared" si="362"/>
        <v>2.2114999999999783</v>
      </c>
      <c r="CB111" s="12">
        <f t="shared" si="366"/>
        <v>3.7128571428571115</v>
      </c>
      <c r="CC111" s="12">
        <f t="shared" si="375"/>
        <v>9.6649999999999636</v>
      </c>
      <c r="CD111" s="12">
        <f t="shared" si="383"/>
        <v>5.256190476190481</v>
      </c>
      <c r="CE111" s="12">
        <f t="shared" si="391"/>
        <v>2.7071428571428959</v>
      </c>
      <c r="CF111" s="12">
        <f t="shared" ref="CF111:CF142" si="399">IFERROR(X111/BH111,0)</f>
        <v>5.0066666666665087</v>
      </c>
      <c r="CG111" s="12">
        <f t="shared" si="297"/>
        <v>1.2338095238095168</v>
      </c>
      <c r="CH111" s="12">
        <f t="shared" si="305"/>
        <v>1.5500000000000302</v>
      </c>
      <c r="CI111" s="12">
        <f t="shared" si="313"/>
        <v>1.0242000000000007</v>
      </c>
      <c r="CJ111" s="12">
        <f t="shared" si="321"/>
        <v>2.4533333333333758</v>
      </c>
      <c r="CK111" s="12">
        <f t="shared" si="329"/>
        <v>14.713333333333443</v>
      </c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>
        <f t="shared" si="331"/>
        <v>57.511558968355459</v>
      </c>
      <c r="CY111" s="12">
        <f t="shared" si="332"/>
        <v>65.668383995105074</v>
      </c>
      <c r="CZ111" s="12">
        <f t="shared" si="333"/>
        <v>74.925977849623436</v>
      </c>
      <c r="DA111" s="12">
        <f t="shared" si="334"/>
        <v>84.092847611726654</v>
      </c>
      <c r="DB111" s="12">
        <f t="shared" si="335"/>
        <v>79.22810598462658</v>
      </c>
      <c r="DC111" s="12">
        <f t="shared" si="336"/>
        <v>69.726115955861374</v>
      </c>
      <c r="DD111" s="12">
        <f t="shared" si="337"/>
        <v>78.704739940386773</v>
      </c>
      <c r="DE111" s="12">
        <f t="shared" si="338"/>
        <v>50.975306675896917</v>
      </c>
      <c r="DF111" s="12">
        <f t="shared" si="339"/>
        <v>57.171458208587985</v>
      </c>
      <c r="DG111" s="12">
        <f t="shared" si="340"/>
        <v>45.684957914023869</v>
      </c>
      <c r="DH111" s="12">
        <f t="shared" si="341"/>
        <v>67.823763658507573</v>
      </c>
      <c r="DI111" s="12">
        <f t="shared" si="342"/>
        <v>86.111839550133269</v>
      </c>
      <c r="DJ111" t="s">
        <v>23</v>
      </c>
      <c r="DK111" t="str">
        <f t="shared" si="363"/>
        <v>HH</v>
      </c>
      <c r="DL111" t="str">
        <f t="shared" si="367"/>
        <v>LH</v>
      </c>
      <c r="DM111" t="str">
        <f t="shared" si="371"/>
        <v>LH</v>
      </c>
      <c r="DN111" t="str">
        <f t="shared" si="379"/>
        <v>HH</v>
      </c>
      <c r="DO111" t="str">
        <f t="shared" si="387"/>
        <v>HH</v>
      </c>
      <c r="DP111" t="str">
        <f t="shared" si="395"/>
        <v>HH</v>
      </c>
      <c r="DQ111" t="str">
        <f t="shared" si="293"/>
        <v>LH</v>
      </c>
      <c r="DR111" t="str">
        <f t="shared" si="301"/>
        <v>LH</v>
      </c>
      <c r="DS111" t="str">
        <f t="shared" si="309"/>
        <v>HH</v>
      </c>
      <c r="DT111" t="str">
        <f t="shared" si="317"/>
        <v>LH</v>
      </c>
      <c r="DU111" t="str">
        <f t="shared" si="325"/>
        <v>HH</v>
      </c>
      <c r="DV111">
        <f t="shared" si="343"/>
        <v>-0.11400196555113472</v>
      </c>
      <c r="DW111">
        <f t="shared" si="344"/>
        <v>-0.56814772668494351</v>
      </c>
      <c r="DX111">
        <f t="shared" si="372"/>
        <v>-0.3924895256814826</v>
      </c>
      <c r="DY111">
        <f t="shared" si="380"/>
        <v>1.1578130657425136</v>
      </c>
      <c r="DZ111">
        <f t="shared" si="388"/>
        <v>-0.56442352454352129</v>
      </c>
      <c r="EA111">
        <f t="shared" si="396"/>
        <v>-0.66477008224279954</v>
      </c>
      <c r="EB111">
        <f t="shared" si="294"/>
        <v>-0.71732271246056112</v>
      </c>
      <c r="EC111">
        <f t="shared" si="302"/>
        <v>-0.19531371230537631</v>
      </c>
      <c r="ED111">
        <f t="shared" si="310"/>
        <v>0.10613976103036485</v>
      </c>
      <c r="EE111">
        <f t="shared" si="318"/>
        <v>-5.9173434024717787E-2</v>
      </c>
      <c r="EF111">
        <f t="shared" si="326"/>
        <v>0.78559975171986263</v>
      </c>
      <c r="EG111" s="13" t="str">
        <f t="shared" si="345"/>
        <v>EQH</v>
      </c>
      <c r="EH111" s="13" t="str">
        <f t="shared" si="346"/>
        <v/>
      </c>
      <c r="EI111" s="13" t="str">
        <f t="shared" si="347"/>
        <v/>
      </c>
      <c r="EJ111" s="13" t="str">
        <f t="shared" si="348"/>
        <v/>
      </c>
      <c r="EK111" s="13" t="str">
        <f t="shared" si="349"/>
        <v/>
      </c>
      <c r="EL111" s="13" t="str">
        <f t="shared" si="350"/>
        <v/>
      </c>
      <c r="EM111" s="13" t="str">
        <f t="shared" si="351"/>
        <v/>
      </c>
      <c r="EN111" s="13" t="str">
        <f t="shared" si="352"/>
        <v/>
      </c>
      <c r="EO111" s="13" t="str">
        <f t="shared" si="353"/>
        <v/>
      </c>
      <c r="EP111" s="13" t="str">
        <f t="shared" si="354"/>
        <v>EQH</v>
      </c>
      <c r="EQ111" s="13" t="str">
        <f t="shared" si="355"/>
        <v/>
      </c>
    </row>
    <row r="112" spans="1:147" ht="14.25" customHeight="1" x14ac:dyDescent="0.55000000000000004">
      <c r="A112">
        <v>1776754804</v>
      </c>
      <c r="B112" t="s">
        <v>16</v>
      </c>
      <c r="C112" t="s">
        <v>17</v>
      </c>
      <c r="D112">
        <v>4782.82</v>
      </c>
      <c r="E112" t="s">
        <v>18</v>
      </c>
      <c r="F112">
        <v>4772.78</v>
      </c>
      <c r="G112">
        <v>4792.42</v>
      </c>
      <c r="H112">
        <v>4783.51</v>
      </c>
      <c r="I112">
        <f t="shared" si="368"/>
        <v>4779.8</v>
      </c>
      <c r="J112">
        <f t="shared" si="376"/>
        <v>4736.96</v>
      </c>
      <c r="K112">
        <f t="shared" si="384"/>
        <v>4778.83</v>
      </c>
      <c r="L112">
        <f t="shared" si="392"/>
        <v>4768.07</v>
      </c>
      <c r="M112">
        <f t="shared" ref="M112:M143" si="400">F98</f>
        <v>4786.1000000000004</v>
      </c>
      <c r="N112">
        <f t="shared" si="298"/>
        <v>4772.67</v>
      </c>
      <c r="O112">
        <f t="shared" si="306"/>
        <v>4805.21</v>
      </c>
      <c r="P112">
        <f t="shared" si="314"/>
        <v>4787.17</v>
      </c>
      <c r="Q112">
        <f t="shared" si="322"/>
        <v>4786.2299999999996</v>
      </c>
      <c r="R112">
        <v>-60.47</v>
      </c>
      <c r="S112">
        <f t="shared" si="356"/>
        <v>-35.319999999999709</v>
      </c>
      <c r="T112">
        <f t="shared" si="357"/>
        <v>-22.279999999999745</v>
      </c>
      <c r="U112">
        <f t="shared" si="373"/>
        <v>-34.479999999999563</v>
      </c>
      <c r="V112">
        <f t="shared" si="381"/>
        <v>-152.25</v>
      </c>
      <c r="W112">
        <f t="shared" si="389"/>
        <v>-27.140000000000327</v>
      </c>
      <c r="X112">
        <f t="shared" si="397"/>
        <v>-33.050000000000182</v>
      </c>
      <c r="Y112">
        <f t="shared" si="295"/>
        <v>-12.479999999999563</v>
      </c>
      <c r="Z112">
        <f t="shared" si="303"/>
        <v>-51.140000000000327</v>
      </c>
      <c r="AA112">
        <f t="shared" si="311"/>
        <v>-33.170000000000073</v>
      </c>
      <c r="AB112">
        <f t="shared" si="319"/>
        <v>-43.220000000000255</v>
      </c>
      <c r="AC112">
        <f t="shared" si="327"/>
        <v>-84.990000000000691</v>
      </c>
      <c r="AD112">
        <v>-1.25</v>
      </c>
      <c r="AE112" s="14">
        <f t="shared" si="358"/>
        <v>-0.73160526457513686</v>
      </c>
      <c r="AF112" s="14">
        <f t="shared" si="359"/>
        <v>-0.46360744019192984</v>
      </c>
      <c r="AG112" s="14">
        <f t="shared" si="374"/>
        <v>-0.71620263050756428</v>
      </c>
      <c r="AH112" s="14">
        <f t="shared" si="382"/>
        <v>-3.1140000122719211</v>
      </c>
      <c r="AI112" s="14">
        <f t="shared" si="390"/>
        <v>-0.56471430325200378</v>
      </c>
      <c r="AJ112" s="14">
        <f t="shared" si="398"/>
        <v>-0.68838104442297177</v>
      </c>
      <c r="AK112" s="14">
        <f t="shared" si="296"/>
        <v>-0.260076939427905</v>
      </c>
      <c r="AL112" s="14">
        <f t="shared" si="304"/>
        <v>-1.060157842037732</v>
      </c>
      <c r="AM112" s="14">
        <f t="shared" si="312"/>
        <v>-0.68556004282425254</v>
      </c>
      <c r="AN112" s="14">
        <f t="shared" si="320"/>
        <v>-0.89475176952586133</v>
      </c>
      <c r="AO112" s="14">
        <f t="shared" si="328"/>
        <v>-1.7447374579674226</v>
      </c>
      <c r="AP112">
        <v>3</v>
      </c>
      <c r="AQ112">
        <f t="shared" si="360"/>
        <v>3</v>
      </c>
      <c r="AR112">
        <f t="shared" si="364"/>
        <v>3</v>
      </c>
      <c r="AS112">
        <f t="shared" si="369"/>
        <v>3</v>
      </c>
      <c r="AT112">
        <f t="shared" si="377"/>
        <v>5</v>
      </c>
      <c r="AU112">
        <f t="shared" si="385"/>
        <v>3</v>
      </c>
      <c r="AV112">
        <f t="shared" si="393"/>
        <v>3</v>
      </c>
      <c r="AW112">
        <f t="shared" ref="AW112:AW143" si="401">AP98</f>
        <v>3</v>
      </c>
      <c r="AX112">
        <f t="shared" si="299"/>
        <v>3</v>
      </c>
      <c r="AY112">
        <f t="shared" si="307"/>
        <v>3</v>
      </c>
      <c r="AZ112">
        <f t="shared" si="315"/>
        <v>3</v>
      </c>
      <c r="BA112">
        <f t="shared" si="323"/>
        <v>3</v>
      </c>
      <c r="BB112">
        <v>35</v>
      </c>
      <c r="BC112">
        <f t="shared" si="361"/>
        <v>1</v>
      </c>
      <c r="BD112">
        <f t="shared" si="365"/>
        <v>9</v>
      </c>
      <c r="BE112">
        <f t="shared" si="370"/>
        <v>15</v>
      </c>
      <c r="BF112">
        <f t="shared" si="378"/>
        <v>39</v>
      </c>
      <c r="BG112">
        <f t="shared" si="386"/>
        <v>11</v>
      </c>
      <c r="BH112">
        <f t="shared" si="394"/>
        <v>3</v>
      </c>
      <c r="BI112">
        <f t="shared" ref="BI112:BI143" si="402">BB98</f>
        <v>13</v>
      </c>
      <c r="BJ112">
        <f t="shared" si="300"/>
        <v>4</v>
      </c>
      <c r="BK112">
        <f t="shared" si="308"/>
        <v>22</v>
      </c>
      <c r="BL112">
        <f t="shared" si="316"/>
        <v>5</v>
      </c>
      <c r="BM112">
        <f t="shared" si="324"/>
        <v>34</v>
      </c>
      <c r="BZ112" s="12">
        <f t="shared" si="330"/>
        <v>-1.7277142857142858</v>
      </c>
      <c r="CA112" s="12">
        <f t="shared" si="362"/>
        <v>-35.319999999999709</v>
      </c>
      <c r="CB112" s="12">
        <f t="shared" si="366"/>
        <v>-2.4755555555555273</v>
      </c>
      <c r="CC112" s="12">
        <f t="shared" si="375"/>
        <v>-2.2986666666666378</v>
      </c>
      <c r="CD112" s="12">
        <f t="shared" si="383"/>
        <v>-3.9038461538461537</v>
      </c>
      <c r="CE112" s="12">
        <f t="shared" si="391"/>
        <v>-2.467272727272757</v>
      </c>
      <c r="CF112" s="12">
        <f t="shared" si="399"/>
        <v>-11.016666666666728</v>
      </c>
      <c r="CG112" s="12">
        <f t="shared" si="297"/>
        <v>-0.95999999999996644</v>
      </c>
      <c r="CH112" s="12">
        <f t="shared" si="305"/>
        <v>-12.785000000000082</v>
      </c>
      <c r="CI112" s="12">
        <f t="shared" si="313"/>
        <v>-1.5077272727272761</v>
      </c>
      <c r="CJ112" s="12">
        <f t="shared" si="321"/>
        <v>-8.6440000000000516</v>
      </c>
      <c r="CK112" s="12">
        <f t="shared" si="329"/>
        <v>-2.4997058823529614</v>
      </c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>
        <f t="shared" si="331"/>
        <v>-59.937767065340587</v>
      </c>
      <c r="CY112" s="12">
        <f t="shared" si="332"/>
        <v>-88.378242428990546</v>
      </c>
      <c r="CZ112" s="12">
        <f t="shared" si="333"/>
        <v>-68.003767902939458</v>
      </c>
      <c r="DA112" s="12">
        <f t="shared" si="334"/>
        <v>-66.4892830306446</v>
      </c>
      <c r="DB112" s="12">
        <f t="shared" si="335"/>
        <v>-75.63218743532633</v>
      </c>
      <c r="DC112" s="12">
        <f t="shared" si="336"/>
        <v>-67.937000947295402</v>
      </c>
      <c r="DD112" s="12">
        <f t="shared" si="337"/>
        <v>-84.813386639824586</v>
      </c>
      <c r="DE112" s="12">
        <f t="shared" si="338"/>
        <v>-43.830860672091582</v>
      </c>
      <c r="DF112" s="12">
        <f t="shared" si="339"/>
        <v>-85.527621095731902</v>
      </c>
      <c r="DG112" s="12">
        <f t="shared" si="340"/>
        <v>-56.445675827003079</v>
      </c>
      <c r="DH112" s="12">
        <f t="shared" si="341"/>
        <v>-83.400947922053007</v>
      </c>
      <c r="DI112" s="12">
        <f t="shared" si="342"/>
        <v>-68.196265905494101</v>
      </c>
      <c r="DJ112" t="s">
        <v>19</v>
      </c>
      <c r="DK112" t="str">
        <f t="shared" si="363"/>
        <v>HL</v>
      </c>
      <c r="DL112" t="str">
        <f t="shared" si="367"/>
        <v>HL</v>
      </c>
      <c r="DM112" t="str">
        <f t="shared" si="371"/>
        <v>HL</v>
      </c>
      <c r="DN112" t="str">
        <f t="shared" si="379"/>
        <v>LL</v>
      </c>
      <c r="DO112" t="str">
        <f t="shared" si="387"/>
        <v>HL</v>
      </c>
      <c r="DP112" t="str">
        <f t="shared" si="395"/>
        <v>LL</v>
      </c>
      <c r="DQ112" t="str">
        <f t="shared" ref="DQ112:DQ143" si="403">DJ98</f>
        <v>HL</v>
      </c>
      <c r="DR112" t="str">
        <f t="shared" si="301"/>
        <v>LL</v>
      </c>
      <c r="DS112" t="str">
        <f t="shared" si="309"/>
        <v>HL</v>
      </c>
      <c r="DT112" t="str">
        <f t="shared" si="317"/>
        <v>HL</v>
      </c>
      <c r="DU112" t="str">
        <f t="shared" si="325"/>
        <v>LL</v>
      </c>
      <c r="DV112">
        <f t="shared" si="343"/>
        <v>0.41150021580714652</v>
      </c>
      <c r="DW112">
        <f t="shared" si="344"/>
        <v>0.22481656393130364</v>
      </c>
      <c r="DX112">
        <f t="shared" si="372"/>
        <v>0.14708408935673625</v>
      </c>
      <c r="DY112">
        <f t="shared" si="380"/>
        <v>-0.75050599440996046</v>
      </c>
      <c r="DZ112">
        <f t="shared" si="388"/>
        <v>0.12676050436014613</v>
      </c>
      <c r="EA112">
        <f t="shared" si="396"/>
        <v>-9.8684624055582634E-2</v>
      </c>
      <c r="EB112">
        <f t="shared" ref="EB112:EB143" si="404">IFERROR(((M112-$F112)/$F112)*100,0)</f>
        <v>0.27908263108713616</v>
      </c>
      <c r="EC112">
        <f t="shared" si="302"/>
        <v>-2.3047364429048182E-3</v>
      </c>
      <c r="ED112">
        <f t="shared" si="310"/>
        <v>0.67947820766933087</v>
      </c>
      <c r="EE112">
        <f t="shared" si="318"/>
        <v>0.30150143103181642</v>
      </c>
      <c r="EF112">
        <f t="shared" si="326"/>
        <v>0.28180641051965144</v>
      </c>
      <c r="EG112" s="13" t="str">
        <f t="shared" si="345"/>
        <v/>
      </c>
      <c r="EH112" s="13" t="str">
        <f t="shared" si="346"/>
        <v/>
      </c>
      <c r="EI112" s="13" t="str">
        <f t="shared" si="347"/>
        <v/>
      </c>
      <c r="EJ112" s="13" t="str">
        <f t="shared" si="348"/>
        <v/>
      </c>
      <c r="EK112" s="13" t="str">
        <f t="shared" si="349"/>
        <v>EQL</v>
      </c>
      <c r="EL112" s="13" t="str">
        <f t="shared" si="350"/>
        <v/>
      </c>
      <c r="EM112" s="13" t="str">
        <f t="shared" si="351"/>
        <v/>
      </c>
      <c r="EN112" s="13" t="str">
        <f t="shared" si="352"/>
        <v/>
      </c>
      <c r="EO112" s="13" t="str">
        <f t="shared" si="353"/>
        <v/>
      </c>
      <c r="EP112" s="13" t="str">
        <f t="shared" si="354"/>
        <v/>
      </c>
      <c r="EQ112" s="13" t="str">
        <f t="shared" si="355"/>
        <v/>
      </c>
    </row>
    <row r="113" spans="1:147" ht="14.25" customHeight="1" x14ac:dyDescent="0.55000000000000004">
      <c r="A113">
        <v>1776771904</v>
      </c>
      <c r="B113" t="s">
        <v>16</v>
      </c>
      <c r="C113" t="s">
        <v>17</v>
      </c>
      <c r="D113">
        <v>4794.6099999999997</v>
      </c>
      <c r="E113" t="s">
        <v>20</v>
      </c>
      <c r="F113">
        <v>4797.91</v>
      </c>
      <c r="G113">
        <v>4833.25</v>
      </c>
      <c r="H113">
        <v>4827.74</v>
      </c>
      <c r="I113">
        <f t="shared" si="368"/>
        <v>4805.79</v>
      </c>
      <c r="J113">
        <f t="shared" si="376"/>
        <v>4814.28</v>
      </c>
      <c r="K113">
        <f t="shared" si="384"/>
        <v>4889.21</v>
      </c>
      <c r="L113">
        <f t="shared" si="392"/>
        <v>4805.97</v>
      </c>
      <c r="M113">
        <f t="shared" si="400"/>
        <v>4801.12</v>
      </c>
      <c r="N113">
        <f t="shared" si="298"/>
        <v>4798.58</v>
      </c>
      <c r="O113">
        <f t="shared" si="306"/>
        <v>4823.8100000000004</v>
      </c>
      <c r="P113">
        <f t="shared" si="314"/>
        <v>4838.38</v>
      </c>
      <c r="Q113">
        <f t="shared" si="322"/>
        <v>4830.3900000000003</v>
      </c>
      <c r="R113">
        <v>25.13</v>
      </c>
      <c r="S113">
        <f t="shared" si="356"/>
        <v>40.829999999999927</v>
      </c>
      <c r="T113">
        <f t="shared" si="357"/>
        <v>44.229999999999563</v>
      </c>
      <c r="U113">
        <f t="shared" si="373"/>
        <v>25.989999999999782</v>
      </c>
      <c r="V113">
        <f t="shared" si="381"/>
        <v>77.319999999999709</v>
      </c>
      <c r="W113">
        <f t="shared" si="389"/>
        <v>110.38000000000011</v>
      </c>
      <c r="X113">
        <f t="shared" si="397"/>
        <v>37.900000000000546</v>
      </c>
      <c r="Y113">
        <f t="shared" ref="Y113:Y144" si="405">M113-M112</f>
        <v>15.019999999999527</v>
      </c>
      <c r="Z113">
        <f t="shared" si="303"/>
        <v>25.909999999999854</v>
      </c>
      <c r="AA113">
        <f t="shared" si="311"/>
        <v>18.600000000000364</v>
      </c>
      <c r="AB113">
        <f t="shared" si="319"/>
        <v>51.210000000000036</v>
      </c>
      <c r="AC113">
        <f t="shared" si="327"/>
        <v>44.160000000000764</v>
      </c>
      <c r="AD113">
        <v>0.53</v>
      </c>
      <c r="AE113" s="14">
        <f t="shared" si="358"/>
        <v>0.85197040326181606</v>
      </c>
      <c r="AF113" s="14">
        <f t="shared" si="359"/>
        <v>0.92463483927073564</v>
      </c>
      <c r="AG113" s="14">
        <f t="shared" si="374"/>
        <v>0.54374660027615762</v>
      </c>
      <c r="AH113" s="14">
        <f t="shared" si="382"/>
        <v>1.6322704857123493</v>
      </c>
      <c r="AI113" s="14">
        <f t="shared" si="390"/>
        <v>2.3097703831272529</v>
      </c>
      <c r="AJ113" s="14">
        <f t="shared" si="398"/>
        <v>0.79487088067080702</v>
      </c>
      <c r="AK113" s="14">
        <f t="shared" ref="AK113:AK144" si="406">(Y113/M112)*100</f>
        <v>0.31382545287393759</v>
      </c>
      <c r="AL113" s="14">
        <f t="shared" si="304"/>
        <v>0.54288270506864822</v>
      </c>
      <c r="AM113" s="14">
        <f t="shared" si="312"/>
        <v>0.38707985707181092</v>
      </c>
      <c r="AN113" s="14">
        <f t="shared" si="320"/>
        <v>1.0697343106678903</v>
      </c>
      <c r="AO113" s="14">
        <f t="shared" si="328"/>
        <v>0.92264684313124867</v>
      </c>
      <c r="AP113">
        <v>0</v>
      </c>
      <c r="AQ113">
        <f t="shared" si="360"/>
        <v>0</v>
      </c>
      <c r="AR113">
        <f t="shared" si="364"/>
        <v>0</v>
      </c>
      <c r="AS113">
        <f t="shared" si="369"/>
        <v>0</v>
      </c>
      <c r="AT113">
        <f t="shared" si="377"/>
        <v>0</v>
      </c>
      <c r="AU113">
        <f t="shared" si="385"/>
        <v>0</v>
      </c>
      <c r="AV113">
        <f t="shared" si="393"/>
        <v>0</v>
      </c>
      <c r="AW113">
        <f t="shared" si="401"/>
        <v>0</v>
      </c>
      <c r="AX113">
        <f t="shared" si="299"/>
        <v>0</v>
      </c>
      <c r="AY113">
        <f t="shared" si="307"/>
        <v>0</v>
      </c>
      <c r="AZ113">
        <f t="shared" si="315"/>
        <v>0</v>
      </c>
      <c r="BA113">
        <f t="shared" si="323"/>
        <v>0</v>
      </c>
      <c r="BB113">
        <v>19</v>
      </c>
      <c r="BC113">
        <f t="shared" si="361"/>
        <v>26</v>
      </c>
      <c r="BD113">
        <f t="shared" si="365"/>
        <v>20</v>
      </c>
      <c r="BE113">
        <f t="shared" si="370"/>
        <v>7</v>
      </c>
      <c r="BF113">
        <f t="shared" si="378"/>
        <v>8</v>
      </c>
      <c r="BG113">
        <f t="shared" si="386"/>
        <v>21</v>
      </c>
      <c r="BH113">
        <f t="shared" si="394"/>
        <v>14</v>
      </c>
      <c r="BI113">
        <f t="shared" si="402"/>
        <v>3</v>
      </c>
      <c r="BJ113">
        <f t="shared" si="300"/>
        <v>21</v>
      </c>
      <c r="BK113">
        <f t="shared" si="308"/>
        <v>12</v>
      </c>
      <c r="BL113">
        <f t="shared" si="316"/>
        <v>50</v>
      </c>
      <c r="BM113">
        <f t="shared" si="324"/>
        <v>18</v>
      </c>
      <c r="BZ113" s="12">
        <f t="shared" si="330"/>
        <v>1.3226315789473684</v>
      </c>
      <c r="CA113" s="12">
        <f t="shared" si="362"/>
        <v>1.5703846153846126</v>
      </c>
      <c r="CB113" s="12">
        <f t="shared" si="366"/>
        <v>2.2114999999999783</v>
      </c>
      <c r="CC113" s="12">
        <f t="shared" si="375"/>
        <v>3.7128571428571115</v>
      </c>
      <c r="CD113" s="12">
        <f t="shared" si="383"/>
        <v>9.6649999999999636</v>
      </c>
      <c r="CE113" s="12">
        <f t="shared" si="391"/>
        <v>5.256190476190481</v>
      </c>
      <c r="CF113" s="12">
        <f t="shared" si="399"/>
        <v>2.7071428571428959</v>
      </c>
      <c r="CG113" s="12">
        <f t="shared" ref="CG113:CG144" si="407">IFERROR(Y113/BI113,0)</f>
        <v>5.0066666666665087</v>
      </c>
      <c r="CH113" s="12">
        <f t="shared" si="305"/>
        <v>1.2338095238095168</v>
      </c>
      <c r="CI113" s="12">
        <f t="shared" si="313"/>
        <v>1.5500000000000302</v>
      </c>
      <c r="CJ113" s="12">
        <f t="shared" si="321"/>
        <v>1.0242000000000007</v>
      </c>
      <c r="CK113" s="12">
        <f t="shared" si="329"/>
        <v>2.4533333333333758</v>
      </c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>
        <f t="shared" si="331"/>
        <v>52.908224174916114</v>
      </c>
      <c r="CY113" s="12">
        <f t="shared" si="332"/>
        <v>57.511558968355409</v>
      </c>
      <c r="CZ113" s="12">
        <f t="shared" si="333"/>
        <v>65.668383995105074</v>
      </c>
      <c r="DA113" s="12">
        <f t="shared" si="334"/>
        <v>74.925977849623436</v>
      </c>
      <c r="DB113" s="12">
        <f t="shared" si="335"/>
        <v>84.092847611726654</v>
      </c>
      <c r="DC113" s="12">
        <f t="shared" si="336"/>
        <v>79.22810598462658</v>
      </c>
      <c r="DD113" s="12">
        <f t="shared" si="337"/>
        <v>69.726115955861374</v>
      </c>
      <c r="DE113" s="12">
        <f t="shared" si="338"/>
        <v>78.704739940386773</v>
      </c>
      <c r="DF113" s="12">
        <f t="shared" si="339"/>
        <v>50.975306675896917</v>
      </c>
      <c r="DG113" s="12">
        <f t="shared" si="340"/>
        <v>57.171458208587985</v>
      </c>
      <c r="DH113" s="12">
        <f t="shared" si="341"/>
        <v>45.684957914023869</v>
      </c>
      <c r="DI113" s="12">
        <f t="shared" si="342"/>
        <v>67.823763658507573</v>
      </c>
      <c r="DJ113" t="s">
        <v>21</v>
      </c>
      <c r="DK113" t="str">
        <f t="shared" si="363"/>
        <v>HH</v>
      </c>
      <c r="DL113" t="str">
        <f t="shared" si="367"/>
        <v>HH</v>
      </c>
      <c r="DM113" t="str">
        <f t="shared" si="371"/>
        <v>LH</v>
      </c>
      <c r="DN113" t="str">
        <f t="shared" si="379"/>
        <v>LH</v>
      </c>
      <c r="DO113" t="str">
        <f t="shared" si="387"/>
        <v>HH</v>
      </c>
      <c r="DP113" t="str">
        <f t="shared" si="395"/>
        <v>HH</v>
      </c>
      <c r="DQ113" t="str">
        <f t="shared" si="403"/>
        <v>HH</v>
      </c>
      <c r="DR113" t="str">
        <f t="shared" si="301"/>
        <v>LH</v>
      </c>
      <c r="DS113" t="str">
        <f t="shared" si="309"/>
        <v>LH</v>
      </c>
      <c r="DT113" t="str">
        <f t="shared" si="317"/>
        <v>HH</v>
      </c>
      <c r="DU113" t="str">
        <f t="shared" si="325"/>
        <v>LH</v>
      </c>
      <c r="DV113">
        <f t="shared" si="343"/>
        <v>0.73657071516556472</v>
      </c>
      <c r="DW113">
        <f t="shared" si="344"/>
        <v>0.62172904452146716</v>
      </c>
      <c r="DX113">
        <f t="shared" si="372"/>
        <v>0.16423817870698093</v>
      </c>
      <c r="DY113">
        <f t="shared" si="380"/>
        <v>0.34119022657782017</v>
      </c>
      <c r="DZ113">
        <f t="shared" si="388"/>
        <v>1.9029118928866982</v>
      </c>
      <c r="EA113">
        <f t="shared" si="396"/>
        <v>0.16798981223075049</v>
      </c>
      <c r="EB113">
        <f t="shared" si="404"/>
        <v>6.6904131173782674E-2</v>
      </c>
      <c r="EC113">
        <f t="shared" si="302"/>
        <v>1.3964413671787773E-2</v>
      </c>
      <c r="ED113">
        <f t="shared" si="310"/>
        <v>0.53981837925264431</v>
      </c>
      <c r="EE113">
        <f t="shared" si="318"/>
        <v>0.84349227059282594</v>
      </c>
      <c r="EF113">
        <f t="shared" si="326"/>
        <v>0.6769614269546631</v>
      </c>
      <c r="EG113" s="13" t="str">
        <f t="shared" si="345"/>
        <v/>
      </c>
      <c r="EH113" s="13" t="str">
        <f t="shared" si="346"/>
        <v/>
      </c>
      <c r="EI113" s="13" t="str">
        <f t="shared" si="347"/>
        <v>EQH</v>
      </c>
      <c r="EJ113" s="13" t="str">
        <f t="shared" si="348"/>
        <v/>
      </c>
      <c r="EK113" s="13" t="str">
        <f t="shared" si="349"/>
        <v/>
      </c>
      <c r="EL113" s="13" t="str">
        <f t="shared" si="350"/>
        <v>EQH</v>
      </c>
      <c r="EM113" s="13" t="str">
        <f t="shared" si="351"/>
        <v>EQH</v>
      </c>
      <c r="EN113" s="13" t="str">
        <f t="shared" si="352"/>
        <v>EQH</v>
      </c>
      <c r="EO113" s="13" t="str">
        <f t="shared" si="353"/>
        <v/>
      </c>
      <c r="EP113" s="13" t="str">
        <f t="shared" si="354"/>
        <v/>
      </c>
      <c r="EQ113" s="13" t="str">
        <f t="shared" si="355"/>
        <v/>
      </c>
    </row>
    <row r="114" spans="1:147" ht="14.25" customHeight="1" x14ac:dyDescent="0.55000000000000004">
      <c r="A114">
        <v>1776799804</v>
      </c>
      <c r="B114" t="s">
        <v>16</v>
      </c>
      <c r="C114" t="s">
        <v>17</v>
      </c>
      <c r="D114">
        <v>4671.47</v>
      </c>
      <c r="E114" t="s">
        <v>18</v>
      </c>
      <c r="F114">
        <v>4668.6099999999997</v>
      </c>
      <c r="G114">
        <v>4772.78</v>
      </c>
      <c r="H114">
        <v>4792.42</v>
      </c>
      <c r="I114">
        <f t="shared" si="368"/>
        <v>4783.51</v>
      </c>
      <c r="J114">
        <f t="shared" si="376"/>
        <v>4779.8</v>
      </c>
      <c r="K114">
        <f t="shared" si="384"/>
        <v>4736.96</v>
      </c>
      <c r="L114">
        <f t="shared" si="392"/>
        <v>4778.83</v>
      </c>
      <c r="M114">
        <f t="shared" si="400"/>
        <v>4768.07</v>
      </c>
      <c r="N114">
        <f t="shared" ref="N114:N145" si="408">F98</f>
        <v>4786.1000000000004</v>
      </c>
      <c r="O114">
        <f t="shared" si="306"/>
        <v>4772.67</v>
      </c>
      <c r="P114">
        <f t="shared" si="314"/>
        <v>4805.21</v>
      </c>
      <c r="Q114">
        <f t="shared" si="322"/>
        <v>4787.17</v>
      </c>
      <c r="R114">
        <v>-129.30000000000001</v>
      </c>
      <c r="S114">
        <f t="shared" si="356"/>
        <v>-60.470000000000255</v>
      </c>
      <c r="T114">
        <f t="shared" si="357"/>
        <v>-35.319999999999709</v>
      </c>
      <c r="U114">
        <f t="shared" si="373"/>
        <v>-22.279999999999745</v>
      </c>
      <c r="V114">
        <f t="shared" si="381"/>
        <v>-34.479999999999563</v>
      </c>
      <c r="W114">
        <f t="shared" si="389"/>
        <v>-152.25</v>
      </c>
      <c r="X114">
        <f t="shared" si="397"/>
        <v>-27.140000000000327</v>
      </c>
      <c r="Y114">
        <f t="shared" si="405"/>
        <v>-33.050000000000182</v>
      </c>
      <c r="Z114">
        <f t="shared" si="303"/>
        <v>-12.479999999999563</v>
      </c>
      <c r="AA114">
        <f t="shared" si="311"/>
        <v>-51.140000000000327</v>
      </c>
      <c r="AB114">
        <f t="shared" si="319"/>
        <v>-33.170000000000073</v>
      </c>
      <c r="AC114">
        <f t="shared" si="327"/>
        <v>-43.220000000000255</v>
      </c>
      <c r="AD114">
        <v>-2.69</v>
      </c>
      <c r="AE114" s="14">
        <f t="shared" si="358"/>
        <v>-1.2511250193968915</v>
      </c>
      <c r="AF114" s="14">
        <f t="shared" si="359"/>
        <v>-0.73160526457513686</v>
      </c>
      <c r="AG114" s="14">
        <f t="shared" si="374"/>
        <v>-0.46360744019192984</v>
      </c>
      <c r="AH114" s="14">
        <f t="shared" si="382"/>
        <v>-0.71620263050756428</v>
      </c>
      <c r="AI114" s="14">
        <f t="shared" si="390"/>
        <v>-3.1140000122719211</v>
      </c>
      <c r="AJ114" s="14">
        <f t="shared" si="398"/>
        <v>-0.56471430325200378</v>
      </c>
      <c r="AK114" s="14">
        <f t="shared" si="406"/>
        <v>-0.68838104442297177</v>
      </c>
      <c r="AL114" s="14">
        <f t="shared" si="304"/>
        <v>-0.260076939427905</v>
      </c>
      <c r="AM114" s="14">
        <f t="shared" si="312"/>
        <v>-1.060157842037732</v>
      </c>
      <c r="AN114" s="14">
        <f t="shared" si="320"/>
        <v>-0.68556004282425254</v>
      </c>
      <c r="AO114" s="14">
        <f t="shared" si="328"/>
        <v>-0.89475176952586133</v>
      </c>
      <c r="AP114">
        <v>5</v>
      </c>
      <c r="AQ114">
        <f t="shared" si="360"/>
        <v>3</v>
      </c>
      <c r="AR114">
        <f t="shared" si="364"/>
        <v>3</v>
      </c>
      <c r="AS114">
        <f t="shared" si="369"/>
        <v>3</v>
      </c>
      <c r="AT114">
        <f t="shared" si="377"/>
        <v>3</v>
      </c>
      <c r="AU114">
        <f t="shared" si="385"/>
        <v>5</v>
      </c>
      <c r="AV114">
        <f t="shared" si="393"/>
        <v>3</v>
      </c>
      <c r="AW114">
        <f t="shared" si="401"/>
        <v>3</v>
      </c>
      <c r="AX114">
        <f t="shared" ref="AX114:AX145" si="409">AP98</f>
        <v>3</v>
      </c>
      <c r="AY114">
        <f t="shared" si="307"/>
        <v>3</v>
      </c>
      <c r="AZ114">
        <f t="shared" si="315"/>
        <v>3</v>
      </c>
      <c r="BA114">
        <f t="shared" si="323"/>
        <v>3</v>
      </c>
      <c r="BB114">
        <v>31</v>
      </c>
      <c r="BC114">
        <f t="shared" si="361"/>
        <v>35</v>
      </c>
      <c r="BD114">
        <f t="shared" si="365"/>
        <v>1</v>
      </c>
      <c r="BE114">
        <f t="shared" si="370"/>
        <v>9</v>
      </c>
      <c r="BF114">
        <f t="shared" si="378"/>
        <v>15</v>
      </c>
      <c r="BG114">
        <f t="shared" si="386"/>
        <v>39</v>
      </c>
      <c r="BH114">
        <f t="shared" si="394"/>
        <v>11</v>
      </c>
      <c r="BI114">
        <f t="shared" si="402"/>
        <v>3</v>
      </c>
      <c r="BJ114">
        <f t="shared" ref="BJ114:BJ145" si="410">BB98</f>
        <v>13</v>
      </c>
      <c r="BK114">
        <f t="shared" si="308"/>
        <v>4</v>
      </c>
      <c r="BL114">
        <f t="shared" si="316"/>
        <v>22</v>
      </c>
      <c r="BM114">
        <f t="shared" si="324"/>
        <v>5</v>
      </c>
      <c r="BZ114" s="12">
        <f t="shared" si="330"/>
        <v>-4.1709677419354838</v>
      </c>
      <c r="CA114" s="12">
        <f t="shared" si="362"/>
        <v>-1.7277142857142931</v>
      </c>
      <c r="CB114" s="12">
        <f t="shared" si="366"/>
        <v>-35.319999999999709</v>
      </c>
      <c r="CC114" s="12">
        <f t="shared" si="375"/>
        <v>-2.4755555555555273</v>
      </c>
      <c r="CD114" s="12">
        <f t="shared" si="383"/>
        <v>-2.2986666666666378</v>
      </c>
      <c r="CE114" s="12">
        <f t="shared" si="391"/>
        <v>-3.9038461538461537</v>
      </c>
      <c r="CF114" s="12">
        <f t="shared" si="399"/>
        <v>-2.467272727272757</v>
      </c>
      <c r="CG114" s="12">
        <f t="shared" si="407"/>
        <v>-11.016666666666728</v>
      </c>
      <c r="CH114" s="12">
        <f t="shared" si="305"/>
        <v>-0.95999999999996644</v>
      </c>
      <c r="CI114" s="12">
        <f t="shared" si="313"/>
        <v>-12.785000000000082</v>
      </c>
      <c r="CJ114" s="12">
        <f t="shared" si="321"/>
        <v>-1.5077272727272761</v>
      </c>
      <c r="CK114" s="12">
        <f t="shared" si="329"/>
        <v>-8.6440000000000516</v>
      </c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>
        <f t="shared" si="331"/>
        <v>-76.517675121361194</v>
      </c>
      <c r="CY114" s="12">
        <f t="shared" si="332"/>
        <v>-59.937767065340694</v>
      </c>
      <c r="CZ114" s="12">
        <f t="shared" si="333"/>
        <v>-88.378242428990546</v>
      </c>
      <c r="DA114" s="12">
        <f t="shared" si="334"/>
        <v>-68.003767902939458</v>
      </c>
      <c r="DB114" s="12">
        <f t="shared" si="335"/>
        <v>-66.4892830306446</v>
      </c>
      <c r="DC114" s="12">
        <f t="shared" si="336"/>
        <v>-75.63218743532633</v>
      </c>
      <c r="DD114" s="12">
        <f t="shared" si="337"/>
        <v>-67.937000947295402</v>
      </c>
      <c r="DE114" s="12">
        <f t="shared" si="338"/>
        <v>-84.813386639824586</v>
      </c>
      <c r="DF114" s="12">
        <f t="shared" si="339"/>
        <v>-43.830860672091582</v>
      </c>
      <c r="DG114" s="12">
        <f t="shared" si="340"/>
        <v>-85.527621095731902</v>
      </c>
      <c r="DH114" s="12">
        <f t="shared" si="341"/>
        <v>-56.445675827003079</v>
      </c>
      <c r="DI114" s="12">
        <f t="shared" si="342"/>
        <v>-83.400947922053007</v>
      </c>
      <c r="DJ114" t="s">
        <v>19</v>
      </c>
      <c r="DK114" t="str">
        <f t="shared" si="363"/>
        <v>LL</v>
      </c>
      <c r="DL114" t="str">
        <f t="shared" si="367"/>
        <v>HL</v>
      </c>
      <c r="DM114" t="str">
        <f t="shared" si="371"/>
        <v>HL</v>
      </c>
      <c r="DN114" t="str">
        <f t="shared" si="379"/>
        <v>HL</v>
      </c>
      <c r="DO114" t="str">
        <f t="shared" si="387"/>
        <v>LL</v>
      </c>
      <c r="DP114" t="str">
        <f t="shared" si="395"/>
        <v>HL</v>
      </c>
      <c r="DQ114" t="str">
        <f t="shared" si="403"/>
        <v>LL</v>
      </c>
      <c r="DR114" t="str">
        <f t="shared" ref="DR114:DR145" si="411">DJ98</f>
        <v>HL</v>
      </c>
      <c r="DS114" t="str">
        <f t="shared" si="309"/>
        <v>LL</v>
      </c>
      <c r="DT114" t="str">
        <f t="shared" si="317"/>
        <v>HL</v>
      </c>
      <c r="DU114" t="str">
        <f t="shared" si="325"/>
        <v>HL</v>
      </c>
      <c r="DV114">
        <f t="shared" si="343"/>
        <v>2.2312851148414645</v>
      </c>
      <c r="DW114">
        <f t="shared" si="344"/>
        <v>2.651967073711456</v>
      </c>
      <c r="DX114">
        <f t="shared" si="372"/>
        <v>2.4611179772994651</v>
      </c>
      <c r="DY114">
        <f t="shared" si="380"/>
        <v>2.3816510695903172</v>
      </c>
      <c r="DZ114">
        <f t="shared" si="388"/>
        <v>1.4640331918922413</v>
      </c>
      <c r="EA114">
        <f t="shared" si="396"/>
        <v>2.3608740074668964</v>
      </c>
      <c r="EB114">
        <f t="shared" si="404"/>
        <v>2.1303985554586919</v>
      </c>
      <c r="EC114">
        <f t="shared" ref="EC114:EC145" si="412">IFERROR(((N114-$F114)/$F114)*100,0)</f>
        <v>2.5165948751341554</v>
      </c>
      <c r="ED114">
        <f t="shared" si="310"/>
        <v>2.2289289531573728</v>
      </c>
      <c r="EE114">
        <f t="shared" si="318"/>
        <v>2.9259244186171123</v>
      </c>
      <c r="EF114">
        <f t="shared" si="326"/>
        <v>2.5395139024249276</v>
      </c>
      <c r="EG114" s="13" t="str">
        <f t="shared" si="345"/>
        <v/>
      </c>
      <c r="EH114" s="13" t="str">
        <f t="shared" si="346"/>
        <v/>
      </c>
      <c r="EI114" s="13" t="str">
        <f t="shared" si="347"/>
        <v/>
      </c>
      <c r="EJ114" s="13" t="str">
        <f t="shared" si="348"/>
        <v/>
      </c>
      <c r="EK114" s="13" t="str">
        <f t="shared" si="349"/>
        <v/>
      </c>
      <c r="EL114" s="13" t="str">
        <f t="shared" si="350"/>
        <v/>
      </c>
      <c r="EM114" s="13" t="str">
        <f t="shared" si="351"/>
        <v/>
      </c>
      <c r="EN114" s="13" t="str">
        <f t="shared" si="352"/>
        <v/>
      </c>
      <c r="EO114" s="13" t="str">
        <f t="shared" si="353"/>
        <v/>
      </c>
      <c r="EP114" s="13" t="str">
        <f t="shared" si="354"/>
        <v/>
      </c>
      <c r="EQ114" s="13" t="str">
        <f t="shared" si="355"/>
        <v/>
      </c>
    </row>
    <row r="115" spans="1:147" ht="14.25" customHeight="1" x14ac:dyDescent="0.55000000000000004">
      <c r="A115">
        <v>1776841204</v>
      </c>
      <c r="B115" t="s">
        <v>16</v>
      </c>
      <c r="C115" t="s">
        <v>17</v>
      </c>
      <c r="D115">
        <v>4765.67</v>
      </c>
      <c r="E115" t="s">
        <v>20</v>
      </c>
      <c r="F115">
        <v>4772.1499999999996</v>
      </c>
      <c r="G115">
        <v>4797.91</v>
      </c>
      <c r="H115">
        <v>4833.25</v>
      </c>
      <c r="I115">
        <f t="shared" si="368"/>
        <v>4827.74</v>
      </c>
      <c r="J115">
        <f t="shared" si="376"/>
        <v>4805.79</v>
      </c>
      <c r="K115">
        <f t="shared" si="384"/>
        <v>4814.28</v>
      </c>
      <c r="L115">
        <f t="shared" si="392"/>
        <v>4889.21</v>
      </c>
      <c r="M115">
        <f t="shared" si="400"/>
        <v>4805.97</v>
      </c>
      <c r="N115">
        <f t="shared" si="408"/>
        <v>4801.12</v>
      </c>
      <c r="O115">
        <f t="shared" si="306"/>
        <v>4798.58</v>
      </c>
      <c r="P115">
        <f t="shared" si="314"/>
        <v>4823.8100000000004</v>
      </c>
      <c r="Q115">
        <f t="shared" si="322"/>
        <v>4838.38</v>
      </c>
      <c r="R115">
        <v>103.54</v>
      </c>
      <c r="S115">
        <f t="shared" si="356"/>
        <v>25.130000000000109</v>
      </c>
      <c r="T115">
        <f t="shared" si="357"/>
        <v>40.829999999999927</v>
      </c>
      <c r="U115">
        <f t="shared" si="373"/>
        <v>44.229999999999563</v>
      </c>
      <c r="V115">
        <f t="shared" si="381"/>
        <v>25.989999999999782</v>
      </c>
      <c r="W115">
        <f t="shared" si="389"/>
        <v>77.319999999999709</v>
      </c>
      <c r="X115">
        <f t="shared" si="397"/>
        <v>110.38000000000011</v>
      </c>
      <c r="Y115">
        <f t="shared" si="405"/>
        <v>37.900000000000546</v>
      </c>
      <c r="Z115">
        <f t="shared" ref="Z115:Z146" si="413">N115-N114</f>
        <v>15.019999999999527</v>
      </c>
      <c r="AA115">
        <f t="shared" si="311"/>
        <v>25.909999999999854</v>
      </c>
      <c r="AB115">
        <f t="shared" si="319"/>
        <v>18.600000000000364</v>
      </c>
      <c r="AC115">
        <f t="shared" si="327"/>
        <v>51.210000000000036</v>
      </c>
      <c r="AD115">
        <v>2.2200000000000002</v>
      </c>
      <c r="AE115" s="14">
        <f t="shared" si="358"/>
        <v>0.52652751645791573</v>
      </c>
      <c r="AF115" s="14">
        <f t="shared" si="359"/>
        <v>0.85197040326181606</v>
      </c>
      <c r="AG115" s="14">
        <f t="shared" si="374"/>
        <v>0.92463483927073564</v>
      </c>
      <c r="AH115" s="14">
        <f t="shared" si="382"/>
        <v>0.54374660027615762</v>
      </c>
      <c r="AI115" s="14">
        <f t="shared" si="390"/>
        <v>1.6322704857123493</v>
      </c>
      <c r="AJ115" s="14">
        <f t="shared" si="398"/>
        <v>2.3097703831272529</v>
      </c>
      <c r="AK115" s="14">
        <f t="shared" si="406"/>
        <v>0.79487088067080702</v>
      </c>
      <c r="AL115" s="14">
        <f t="shared" ref="AL115:AL146" si="414">(Z115/N114)*100</f>
        <v>0.31382545287393759</v>
      </c>
      <c r="AM115" s="14">
        <f t="shared" si="312"/>
        <v>0.54288270506864822</v>
      </c>
      <c r="AN115" s="14">
        <f t="shared" si="320"/>
        <v>0.38707985707181092</v>
      </c>
      <c r="AO115" s="14">
        <f t="shared" si="328"/>
        <v>1.0697343106678903</v>
      </c>
      <c r="AP115">
        <v>0</v>
      </c>
      <c r="AQ115">
        <f t="shared" si="360"/>
        <v>0</v>
      </c>
      <c r="AR115">
        <f t="shared" si="364"/>
        <v>0</v>
      </c>
      <c r="AS115">
        <f t="shared" si="369"/>
        <v>0</v>
      </c>
      <c r="AT115">
        <f t="shared" si="377"/>
        <v>0</v>
      </c>
      <c r="AU115">
        <f t="shared" si="385"/>
        <v>0</v>
      </c>
      <c r="AV115">
        <f t="shared" si="393"/>
        <v>0</v>
      </c>
      <c r="AW115">
        <f t="shared" si="401"/>
        <v>0</v>
      </c>
      <c r="AX115">
        <f t="shared" si="409"/>
        <v>0</v>
      </c>
      <c r="AY115">
        <f t="shared" si="307"/>
        <v>0</v>
      </c>
      <c r="AZ115">
        <f t="shared" si="315"/>
        <v>0</v>
      </c>
      <c r="BA115">
        <f t="shared" si="323"/>
        <v>0</v>
      </c>
      <c r="BB115">
        <v>42</v>
      </c>
      <c r="BC115">
        <f t="shared" si="361"/>
        <v>19</v>
      </c>
      <c r="BD115">
        <f t="shared" si="365"/>
        <v>26</v>
      </c>
      <c r="BE115">
        <f t="shared" si="370"/>
        <v>20</v>
      </c>
      <c r="BF115">
        <f t="shared" si="378"/>
        <v>7</v>
      </c>
      <c r="BG115">
        <f t="shared" si="386"/>
        <v>8</v>
      </c>
      <c r="BH115">
        <f t="shared" si="394"/>
        <v>21</v>
      </c>
      <c r="BI115">
        <f t="shared" si="402"/>
        <v>14</v>
      </c>
      <c r="BJ115">
        <f t="shared" si="410"/>
        <v>3</v>
      </c>
      <c r="BK115">
        <f t="shared" si="308"/>
        <v>21</v>
      </c>
      <c r="BL115">
        <f t="shared" si="316"/>
        <v>12</v>
      </c>
      <c r="BM115">
        <f t="shared" si="324"/>
        <v>50</v>
      </c>
      <c r="BZ115" s="12">
        <f t="shared" si="330"/>
        <v>2.4652380952380955</v>
      </c>
      <c r="CA115" s="12">
        <f t="shared" si="362"/>
        <v>1.3226315789473742</v>
      </c>
      <c r="CB115" s="12">
        <f t="shared" si="366"/>
        <v>1.5703846153846126</v>
      </c>
      <c r="CC115" s="12">
        <f t="shared" si="375"/>
        <v>2.2114999999999783</v>
      </c>
      <c r="CD115" s="12">
        <f t="shared" si="383"/>
        <v>3.7128571428571115</v>
      </c>
      <c r="CE115" s="12">
        <f t="shared" si="391"/>
        <v>9.6649999999999636</v>
      </c>
      <c r="CF115" s="12">
        <f t="shared" si="399"/>
        <v>5.256190476190481</v>
      </c>
      <c r="CG115" s="12">
        <f t="shared" si="407"/>
        <v>2.7071428571428959</v>
      </c>
      <c r="CH115" s="12">
        <f t="shared" ref="CH115:CH146" si="415">IFERROR(Z115/BJ115,0)</f>
        <v>5.0066666666665087</v>
      </c>
      <c r="CI115" s="12">
        <f t="shared" si="313"/>
        <v>1.2338095238095168</v>
      </c>
      <c r="CJ115" s="12">
        <f t="shared" si="321"/>
        <v>1.5500000000000302</v>
      </c>
      <c r="CK115" s="12">
        <f t="shared" si="329"/>
        <v>1.0242000000000007</v>
      </c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>
        <f t="shared" si="331"/>
        <v>67.920541049100677</v>
      </c>
      <c r="CY115" s="12">
        <f t="shared" si="332"/>
        <v>52.908224174916235</v>
      </c>
      <c r="CZ115" s="12">
        <f t="shared" si="333"/>
        <v>57.511558968355409</v>
      </c>
      <c r="DA115" s="12">
        <f t="shared" si="334"/>
        <v>65.668383995105074</v>
      </c>
      <c r="DB115" s="12">
        <f t="shared" si="335"/>
        <v>74.925977849623436</v>
      </c>
      <c r="DC115" s="12">
        <f t="shared" si="336"/>
        <v>84.092847611726654</v>
      </c>
      <c r="DD115" s="12">
        <f t="shared" si="337"/>
        <v>79.22810598462658</v>
      </c>
      <c r="DE115" s="12">
        <f t="shared" si="338"/>
        <v>69.726115955861374</v>
      </c>
      <c r="DF115" s="12">
        <f t="shared" si="339"/>
        <v>78.704739940386773</v>
      </c>
      <c r="DG115" s="12">
        <f t="shared" si="340"/>
        <v>50.975306675896917</v>
      </c>
      <c r="DH115" s="12">
        <f t="shared" si="341"/>
        <v>57.171458208587985</v>
      </c>
      <c r="DI115" s="12">
        <f t="shared" si="342"/>
        <v>45.684957914023869</v>
      </c>
      <c r="DJ115" t="s">
        <v>21</v>
      </c>
      <c r="DK115" t="str">
        <f t="shared" si="363"/>
        <v>LH</v>
      </c>
      <c r="DL115" t="str">
        <f t="shared" si="367"/>
        <v>HH</v>
      </c>
      <c r="DM115" t="str">
        <f t="shared" si="371"/>
        <v>HH</v>
      </c>
      <c r="DN115" t="str">
        <f t="shared" si="379"/>
        <v>LH</v>
      </c>
      <c r="DO115" t="str">
        <f t="shared" si="387"/>
        <v>LH</v>
      </c>
      <c r="DP115" t="str">
        <f t="shared" si="395"/>
        <v>HH</v>
      </c>
      <c r="DQ115" t="str">
        <f t="shared" si="403"/>
        <v>HH</v>
      </c>
      <c r="DR115" t="str">
        <f t="shared" si="411"/>
        <v>HH</v>
      </c>
      <c r="DS115" t="str">
        <f t="shared" si="309"/>
        <v>LH</v>
      </c>
      <c r="DT115" t="str">
        <f t="shared" si="317"/>
        <v>LH</v>
      </c>
      <c r="DU115" t="str">
        <f t="shared" si="325"/>
        <v>HH</v>
      </c>
      <c r="DV115">
        <f t="shared" si="343"/>
        <v>0.5397986232620563</v>
      </c>
      <c r="DW115">
        <f t="shared" si="344"/>
        <v>1.2803453370074362</v>
      </c>
      <c r="DX115">
        <f t="shared" si="372"/>
        <v>1.1648837526062708</v>
      </c>
      <c r="DY115">
        <f t="shared" si="380"/>
        <v>0.70492335739656831</v>
      </c>
      <c r="DZ115">
        <f t="shared" si="388"/>
        <v>0.88283058998564823</v>
      </c>
      <c r="EA115">
        <f t="shared" si="396"/>
        <v>2.4529824083484466</v>
      </c>
      <c r="EB115">
        <f t="shared" si="404"/>
        <v>0.70869524218644897</v>
      </c>
      <c r="EC115">
        <f t="shared" si="412"/>
        <v>0.60706390201482052</v>
      </c>
      <c r="ED115">
        <f t="shared" si="310"/>
        <v>0.55383841664659095</v>
      </c>
      <c r="EE115">
        <f t="shared" si="318"/>
        <v>1.082530934694022</v>
      </c>
      <c r="EF115">
        <f t="shared" si="326"/>
        <v>1.3878440535188643</v>
      </c>
      <c r="EG115" s="13" t="str">
        <f t="shared" si="345"/>
        <v/>
      </c>
      <c r="EH115" s="13" t="str">
        <f t="shared" si="346"/>
        <v/>
      </c>
      <c r="EI115" s="13" t="str">
        <f t="shared" si="347"/>
        <v/>
      </c>
      <c r="EJ115" s="13" t="str">
        <f t="shared" si="348"/>
        <v/>
      </c>
      <c r="EK115" s="13" t="str">
        <f t="shared" si="349"/>
        <v/>
      </c>
      <c r="EL115" s="13" t="str">
        <f t="shared" si="350"/>
        <v/>
      </c>
      <c r="EM115" s="13" t="str">
        <f t="shared" si="351"/>
        <v/>
      </c>
      <c r="EN115" s="13" t="str">
        <f t="shared" si="352"/>
        <v/>
      </c>
      <c r="EO115" s="13" t="str">
        <f t="shared" si="353"/>
        <v/>
      </c>
      <c r="EP115" s="13" t="str">
        <f t="shared" si="354"/>
        <v/>
      </c>
      <c r="EQ115" s="13" t="str">
        <f t="shared" si="355"/>
        <v/>
      </c>
    </row>
    <row r="116" spans="1:147" ht="14.25" customHeight="1" x14ac:dyDescent="0.55000000000000004">
      <c r="A116">
        <v>1776875404</v>
      </c>
      <c r="B116" t="s">
        <v>16</v>
      </c>
      <c r="C116" t="s">
        <v>17</v>
      </c>
      <c r="D116">
        <v>4728.3</v>
      </c>
      <c r="E116" t="s">
        <v>18</v>
      </c>
      <c r="F116">
        <v>4724.03</v>
      </c>
      <c r="G116">
        <v>4668.6099999999997</v>
      </c>
      <c r="H116">
        <v>4772.78</v>
      </c>
      <c r="I116">
        <f t="shared" si="368"/>
        <v>4792.42</v>
      </c>
      <c r="J116">
        <f t="shared" si="376"/>
        <v>4783.51</v>
      </c>
      <c r="K116">
        <f t="shared" si="384"/>
        <v>4779.8</v>
      </c>
      <c r="L116">
        <f t="shared" si="392"/>
        <v>4736.96</v>
      </c>
      <c r="M116">
        <f t="shared" si="400"/>
        <v>4778.83</v>
      </c>
      <c r="N116">
        <f t="shared" si="408"/>
        <v>4768.07</v>
      </c>
      <c r="O116">
        <f t="shared" ref="O116:O147" si="416">F98</f>
        <v>4786.1000000000004</v>
      </c>
      <c r="P116">
        <f t="shared" si="314"/>
        <v>4772.67</v>
      </c>
      <c r="Q116">
        <f t="shared" si="322"/>
        <v>4805.21</v>
      </c>
      <c r="R116">
        <v>-48.12</v>
      </c>
      <c r="S116">
        <f t="shared" si="356"/>
        <v>-129.30000000000018</v>
      </c>
      <c r="T116">
        <f t="shared" si="357"/>
        <v>-60.470000000000255</v>
      </c>
      <c r="U116">
        <f t="shared" si="373"/>
        <v>-35.319999999999709</v>
      </c>
      <c r="V116">
        <f t="shared" si="381"/>
        <v>-22.279999999999745</v>
      </c>
      <c r="W116">
        <f t="shared" si="389"/>
        <v>-34.479999999999563</v>
      </c>
      <c r="X116">
        <f t="shared" si="397"/>
        <v>-152.25</v>
      </c>
      <c r="Y116">
        <f t="shared" si="405"/>
        <v>-27.140000000000327</v>
      </c>
      <c r="Z116">
        <f t="shared" si="413"/>
        <v>-33.050000000000182</v>
      </c>
      <c r="AA116">
        <f t="shared" si="311"/>
        <v>-12.479999999999563</v>
      </c>
      <c r="AB116">
        <f t="shared" si="319"/>
        <v>-51.140000000000327</v>
      </c>
      <c r="AC116">
        <f t="shared" si="327"/>
        <v>-33.170000000000073</v>
      </c>
      <c r="AD116">
        <v>-1.01</v>
      </c>
      <c r="AE116" s="14">
        <f t="shared" si="358"/>
        <v>-2.694923414570098</v>
      </c>
      <c r="AF116" s="14">
        <f t="shared" si="359"/>
        <v>-1.2511250193968915</v>
      </c>
      <c r="AG116" s="14">
        <f t="shared" si="374"/>
        <v>-0.73160526457513686</v>
      </c>
      <c r="AH116" s="14">
        <f t="shared" si="382"/>
        <v>-0.46360744019192984</v>
      </c>
      <c r="AI116" s="14">
        <f t="shared" si="390"/>
        <v>-0.71620263050756428</v>
      </c>
      <c r="AJ116" s="14">
        <f t="shared" si="398"/>
        <v>-3.1140000122719211</v>
      </c>
      <c r="AK116" s="14">
        <f t="shared" si="406"/>
        <v>-0.56471430325200378</v>
      </c>
      <c r="AL116" s="14">
        <f t="shared" si="414"/>
        <v>-0.68838104442297177</v>
      </c>
      <c r="AM116" s="14">
        <f t="shared" si="312"/>
        <v>-0.260076939427905</v>
      </c>
      <c r="AN116" s="14">
        <f t="shared" si="320"/>
        <v>-1.060157842037732</v>
      </c>
      <c r="AO116" s="14">
        <f t="shared" si="328"/>
        <v>-0.68556004282425254</v>
      </c>
      <c r="AP116">
        <v>3</v>
      </c>
      <c r="AQ116">
        <f t="shared" si="360"/>
        <v>5</v>
      </c>
      <c r="AR116">
        <f t="shared" si="364"/>
        <v>3</v>
      </c>
      <c r="AS116">
        <f t="shared" si="369"/>
        <v>3</v>
      </c>
      <c r="AT116">
        <f t="shared" si="377"/>
        <v>3</v>
      </c>
      <c r="AU116">
        <f t="shared" si="385"/>
        <v>3</v>
      </c>
      <c r="AV116">
        <f t="shared" si="393"/>
        <v>5</v>
      </c>
      <c r="AW116">
        <f t="shared" si="401"/>
        <v>3</v>
      </c>
      <c r="AX116">
        <f t="shared" si="409"/>
        <v>3</v>
      </c>
      <c r="AY116">
        <f t="shared" ref="AY116:AY147" si="417">AP98</f>
        <v>3</v>
      </c>
      <c r="AZ116">
        <f t="shared" si="315"/>
        <v>3</v>
      </c>
      <c r="BA116">
        <f t="shared" si="323"/>
        <v>3</v>
      </c>
      <c r="BB116">
        <v>38</v>
      </c>
      <c r="BC116">
        <f t="shared" si="361"/>
        <v>31</v>
      </c>
      <c r="BD116">
        <f t="shared" si="365"/>
        <v>35</v>
      </c>
      <c r="BE116">
        <f t="shared" si="370"/>
        <v>1</v>
      </c>
      <c r="BF116">
        <f t="shared" si="378"/>
        <v>9</v>
      </c>
      <c r="BG116">
        <f t="shared" si="386"/>
        <v>15</v>
      </c>
      <c r="BH116">
        <f t="shared" si="394"/>
        <v>39</v>
      </c>
      <c r="BI116">
        <f t="shared" si="402"/>
        <v>11</v>
      </c>
      <c r="BJ116">
        <f t="shared" si="410"/>
        <v>3</v>
      </c>
      <c r="BK116">
        <f t="shared" ref="BK116:BK147" si="418">BB98</f>
        <v>13</v>
      </c>
      <c r="BL116">
        <f t="shared" si="316"/>
        <v>4</v>
      </c>
      <c r="BM116">
        <f t="shared" si="324"/>
        <v>22</v>
      </c>
      <c r="BZ116" s="12">
        <f t="shared" si="330"/>
        <v>-1.2663157894736841</v>
      </c>
      <c r="CA116" s="12">
        <f t="shared" si="362"/>
        <v>-4.17096774193549</v>
      </c>
      <c r="CB116" s="12">
        <f t="shared" si="366"/>
        <v>-1.7277142857142931</v>
      </c>
      <c r="CC116" s="12">
        <f t="shared" si="375"/>
        <v>-35.319999999999709</v>
      </c>
      <c r="CD116" s="12">
        <f t="shared" si="383"/>
        <v>-2.4755555555555273</v>
      </c>
      <c r="CE116" s="12">
        <f t="shared" si="391"/>
        <v>-2.2986666666666378</v>
      </c>
      <c r="CF116" s="12">
        <f t="shared" si="399"/>
        <v>-3.9038461538461537</v>
      </c>
      <c r="CG116" s="12">
        <f t="shared" si="407"/>
        <v>-2.467272727272757</v>
      </c>
      <c r="CH116" s="12">
        <f t="shared" si="415"/>
        <v>-11.016666666666728</v>
      </c>
      <c r="CI116" s="12">
        <f t="shared" si="313"/>
        <v>-0.95999999999996644</v>
      </c>
      <c r="CJ116" s="12">
        <f t="shared" si="321"/>
        <v>-12.785000000000082</v>
      </c>
      <c r="CK116" s="12">
        <f t="shared" si="329"/>
        <v>-1.5077272727272761</v>
      </c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>
        <f t="shared" si="331"/>
        <v>-51.70211646130393</v>
      </c>
      <c r="CY116" s="12">
        <f t="shared" si="332"/>
        <v>-76.517675121361208</v>
      </c>
      <c r="CZ116" s="12">
        <f t="shared" si="333"/>
        <v>-59.937767065340694</v>
      </c>
      <c r="DA116" s="12">
        <f t="shared" si="334"/>
        <v>-88.378242428990546</v>
      </c>
      <c r="DB116" s="12">
        <f t="shared" si="335"/>
        <v>-68.003767902939458</v>
      </c>
      <c r="DC116" s="12">
        <f t="shared" si="336"/>
        <v>-66.4892830306446</v>
      </c>
      <c r="DD116" s="12">
        <f t="shared" si="337"/>
        <v>-75.63218743532633</v>
      </c>
      <c r="DE116" s="12">
        <f t="shared" si="338"/>
        <v>-67.937000947295402</v>
      </c>
      <c r="DF116" s="12">
        <f t="shared" si="339"/>
        <v>-84.813386639824586</v>
      </c>
      <c r="DG116" s="12">
        <f t="shared" si="340"/>
        <v>-43.830860672091582</v>
      </c>
      <c r="DH116" s="12">
        <f t="shared" si="341"/>
        <v>-85.527621095731902</v>
      </c>
      <c r="DI116" s="12">
        <f t="shared" si="342"/>
        <v>-56.445675827003079</v>
      </c>
      <c r="DJ116" t="s">
        <v>22</v>
      </c>
      <c r="DK116" t="str">
        <f t="shared" si="363"/>
        <v>LL</v>
      </c>
      <c r="DL116" t="str">
        <f t="shared" si="367"/>
        <v>LL</v>
      </c>
      <c r="DM116" t="str">
        <f t="shared" si="371"/>
        <v>HL</v>
      </c>
      <c r="DN116" t="str">
        <f t="shared" si="379"/>
        <v>HL</v>
      </c>
      <c r="DO116" t="str">
        <f t="shared" si="387"/>
        <v>HL</v>
      </c>
      <c r="DP116" t="str">
        <f t="shared" si="395"/>
        <v>LL</v>
      </c>
      <c r="DQ116" t="str">
        <f t="shared" si="403"/>
        <v>HL</v>
      </c>
      <c r="DR116" t="str">
        <f t="shared" si="411"/>
        <v>LL</v>
      </c>
      <c r="DS116" t="str">
        <f t="shared" ref="DS116:DS147" si="419">DJ98</f>
        <v>HL</v>
      </c>
      <c r="DT116" t="str">
        <f t="shared" si="317"/>
        <v>LL</v>
      </c>
      <c r="DU116" t="str">
        <f t="shared" si="325"/>
        <v>HL</v>
      </c>
      <c r="DV116">
        <f t="shared" si="343"/>
        <v>-1.1731508902356691</v>
      </c>
      <c r="DW116">
        <f t="shared" si="344"/>
        <v>1.0319578834173364</v>
      </c>
      <c r="DX116">
        <f t="shared" si="372"/>
        <v>1.4477046081417844</v>
      </c>
      <c r="DY116">
        <f t="shared" si="380"/>
        <v>1.2590944596033573</v>
      </c>
      <c r="DZ116">
        <f t="shared" si="388"/>
        <v>1.1805598186294424</v>
      </c>
      <c r="EA116">
        <f t="shared" si="396"/>
        <v>0.27370698323254283</v>
      </c>
      <c r="EB116">
        <f t="shared" si="404"/>
        <v>1.1600265027952867</v>
      </c>
      <c r="EC116">
        <f t="shared" si="412"/>
        <v>0.93225487560409159</v>
      </c>
      <c r="ED116">
        <f t="shared" ref="ED116:ED147" si="420">IFERROR(((O116-$F116)/$F116)*100,0)</f>
        <v>1.3139205297172249</v>
      </c>
      <c r="EE116">
        <f t="shared" si="318"/>
        <v>1.0296293630650171</v>
      </c>
      <c r="EF116">
        <f t="shared" si="326"/>
        <v>1.7184480200168142</v>
      </c>
      <c r="EG116" s="13" t="str">
        <f t="shared" si="345"/>
        <v/>
      </c>
      <c r="EH116" s="13" t="str">
        <f t="shared" si="346"/>
        <v/>
      </c>
      <c r="EI116" s="13" t="str">
        <f t="shared" si="347"/>
        <v/>
      </c>
      <c r="EJ116" s="13" t="str">
        <f t="shared" si="348"/>
        <v/>
      </c>
      <c r="EK116" s="13" t="str">
        <f t="shared" si="349"/>
        <v/>
      </c>
      <c r="EL116" s="13" t="str">
        <f t="shared" si="350"/>
        <v/>
      </c>
      <c r="EM116" s="13" t="str">
        <f t="shared" si="351"/>
        <v/>
      </c>
      <c r="EN116" s="13" t="str">
        <f t="shared" si="352"/>
        <v/>
      </c>
      <c r="EO116" s="13" t="str">
        <f t="shared" si="353"/>
        <v/>
      </c>
      <c r="EP116" s="13" t="str">
        <f t="shared" si="354"/>
        <v/>
      </c>
      <c r="EQ116" s="13" t="str">
        <f t="shared" si="355"/>
        <v/>
      </c>
    </row>
    <row r="117" spans="1:147" ht="14.25" customHeight="1" x14ac:dyDescent="0.55000000000000004">
      <c r="A117">
        <v>1776883504</v>
      </c>
      <c r="B117" t="s">
        <v>16</v>
      </c>
      <c r="C117" t="s">
        <v>17</v>
      </c>
      <c r="D117">
        <v>4741.6899999999996</v>
      </c>
      <c r="E117" t="s">
        <v>20</v>
      </c>
      <c r="F117">
        <v>4749.34</v>
      </c>
      <c r="G117">
        <v>4772.1499999999996</v>
      </c>
      <c r="H117">
        <v>4797.91</v>
      </c>
      <c r="I117">
        <f t="shared" si="368"/>
        <v>4833.25</v>
      </c>
      <c r="J117">
        <f t="shared" si="376"/>
        <v>4827.74</v>
      </c>
      <c r="K117">
        <f t="shared" si="384"/>
        <v>4805.79</v>
      </c>
      <c r="L117">
        <f t="shared" si="392"/>
        <v>4814.28</v>
      </c>
      <c r="M117">
        <f t="shared" si="400"/>
        <v>4889.21</v>
      </c>
      <c r="N117">
        <f t="shared" si="408"/>
        <v>4805.97</v>
      </c>
      <c r="O117">
        <f t="shared" si="416"/>
        <v>4801.12</v>
      </c>
      <c r="P117">
        <f t="shared" si="314"/>
        <v>4798.58</v>
      </c>
      <c r="Q117">
        <f t="shared" si="322"/>
        <v>4823.8100000000004</v>
      </c>
      <c r="R117">
        <v>25.31</v>
      </c>
      <c r="S117">
        <f t="shared" si="356"/>
        <v>103.53999999999996</v>
      </c>
      <c r="T117">
        <f t="shared" si="357"/>
        <v>25.130000000000109</v>
      </c>
      <c r="U117">
        <f t="shared" si="373"/>
        <v>40.829999999999927</v>
      </c>
      <c r="V117">
        <f t="shared" si="381"/>
        <v>44.229999999999563</v>
      </c>
      <c r="W117">
        <f t="shared" si="389"/>
        <v>25.989999999999782</v>
      </c>
      <c r="X117">
        <f t="shared" si="397"/>
        <v>77.319999999999709</v>
      </c>
      <c r="Y117">
        <f t="shared" si="405"/>
        <v>110.38000000000011</v>
      </c>
      <c r="Z117">
        <f t="shared" si="413"/>
        <v>37.900000000000546</v>
      </c>
      <c r="AA117">
        <f t="shared" ref="AA117:AA148" si="421">O117-O116</f>
        <v>15.019999999999527</v>
      </c>
      <c r="AB117">
        <f t="shared" si="319"/>
        <v>25.909999999999854</v>
      </c>
      <c r="AC117">
        <f t="shared" si="327"/>
        <v>18.600000000000364</v>
      </c>
      <c r="AD117">
        <v>0.54</v>
      </c>
      <c r="AE117" s="14">
        <f t="shared" si="358"/>
        <v>2.2177907342870782</v>
      </c>
      <c r="AF117" s="14">
        <f t="shared" si="359"/>
        <v>0.52652751645791573</v>
      </c>
      <c r="AG117" s="14">
        <f t="shared" si="374"/>
        <v>0.85197040326181606</v>
      </c>
      <c r="AH117" s="14">
        <f t="shared" si="382"/>
        <v>0.92463483927073564</v>
      </c>
      <c r="AI117" s="14">
        <f t="shared" si="390"/>
        <v>0.54374660027615762</v>
      </c>
      <c r="AJ117" s="14">
        <f t="shared" si="398"/>
        <v>1.6322704857123493</v>
      </c>
      <c r="AK117" s="14">
        <f t="shared" si="406"/>
        <v>2.3097703831272529</v>
      </c>
      <c r="AL117" s="14">
        <f t="shared" si="414"/>
        <v>0.79487088067080702</v>
      </c>
      <c r="AM117" s="14">
        <f t="shared" ref="AM117:AM148" si="422">(AA117/O116)*100</f>
        <v>0.31382545287393759</v>
      </c>
      <c r="AN117" s="14">
        <f t="shared" si="320"/>
        <v>0.54288270506864822</v>
      </c>
      <c r="AO117" s="14">
        <f t="shared" si="328"/>
        <v>0.38707985707181092</v>
      </c>
      <c r="AP117">
        <v>0</v>
      </c>
      <c r="AQ117">
        <f t="shared" si="360"/>
        <v>0</v>
      </c>
      <c r="AR117">
        <f t="shared" si="364"/>
        <v>0</v>
      </c>
      <c r="AS117">
        <f t="shared" si="369"/>
        <v>0</v>
      </c>
      <c r="AT117">
        <f t="shared" si="377"/>
        <v>0</v>
      </c>
      <c r="AU117">
        <f t="shared" si="385"/>
        <v>0</v>
      </c>
      <c r="AV117">
        <f t="shared" si="393"/>
        <v>0</v>
      </c>
      <c r="AW117">
        <f t="shared" si="401"/>
        <v>0</v>
      </c>
      <c r="AX117">
        <f t="shared" si="409"/>
        <v>0</v>
      </c>
      <c r="AY117">
        <f t="shared" si="417"/>
        <v>0</v>
      </c>
      <c r="AZ117">
        <f t="shared" si="315"/>
        <v>0</v>
      </c>
      <c r="BA117">
        <f t="shared" si="323"/>
        <v>0</v>
      </c>
      <c r="BB117">
        <v>9</v>
      </c>
      <c r="BC117">
        <f t="shared" si="361"/>
        <v>42</v>
      </c>
      <c r="BD117">
        <f t="shared" si="365"/>
        <v>19</v>
      </c>
      <c r="BE117">
        <f t="shared" si="370"/>
        <v>26</v>
      </c>
      <c r="BF117">
        <f t="shared" si="378"/>
        <v>20</v>
      </c>
      <c r="BG117">
        <f t="shared" si="386"/>
        <v>7</v>
      </c>
      <c r="BH117">
        <f t="shared" si="394"/>
        <v>8</v>
      </c>
      <c r="BI117">
        <f t="shared" si="402"/>
        <v>21</v>
      </c>
      <c r="BJ117">
        <f t="shared" si="410"/>
        <v>14</v>
      </c>
      <c r="BK117">
        <f t="shared" si="418"/>
        <v>3</v>
      </c>
      <c r="BL117">
        <f t="shared" si="316"/>
        <v>21</v>
      </c>
      <c r="BM117">
        <f t="shared" si="324"/>
        <v>12</v>
      </c>
      <c r="BZ117" s="12">
        <f t="shared" si="330"/>
        <v>2.8122222222222222</v>
      </c>
      <c r="CA117" s="12">
        <f t="shared" si="362"/>
        <v>2.4652380952380946</v>
      </c>
      <c r="CB117" s="12">
        <f t="shared" si="366"/>
        <v>1.3226315789473742</v>
      </c>
      <c r="CC117" s="12">
        <f t="shared" si="375"/>
        <v>1.5703846153846126</v>
      </c>
      <c r="CD117" s="12">
        <f t="shared" si="383"/>
        <v>2.2114999999999783</v>
      </c>
      <c r="CE117" s="12">
        <f t="shared" si="391"/>
        <v>3.7128571428571115</v>
      </c>
      <c r="CF117" s="12">
        <f t="shared" si="399"/>
        <v>9.6649999999999636</v>
      </c>
      <c r="CG117" s="12">
        <f t="shared" si="407"/>
        <v>5.256190476190481</v>
      </c>
      <c r="CH117" s="12">
        <f t="shared" si="415"/>
        <v>2.7071428571428959</v>
      </c>
      <c r="CI117" s="12">
        <f t="shared" ref="CI117:CI148" si="423">IFERROR(AA117/BK117,0)</f>
        <v>5.0066666666665087</v>
      </c>
      <c r="CJ117" s="12">
        <f t="shared" si="321"/>
        <v>1.2338095238095168</v>
      </c>
      <c r="CK117" s="12">
        <f t="shared" si="329"/>
        <v>1.5500000000000302</v>
      </c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>
        <f t="shared" si="331"/>
        <v>70.425087793519211</v>
      </c>
      <c r="CY117" s="12">
        <f t="shared" si="332"/>
        <v>67.920541049100663</v>
      </c>
      <c r="CZ117" s="12">
        <f t="shared" si="333"/>
        <v>52.908224174916235</v>
      </c>
      <c r="DA117" s="12">
        <f t="shared" si="334"/>
        <v>57.511558968355409</v>
      </c>
      <c r="DB117" s="12">
        <f t="shared" si="335"/>
        <v>65.668383995105074</v>
      </c>
      <c r="DC117" s="12">
        <f t="shared" si="336"/>
        <v>74.925977849623436</v>
      </c>
      <c r="DD117" s="12">
        <f t="shared" si="337"/>
        <v>84.092847611726654</v>
      </c>
      <c r="DE117" s="12">
        <f t="shared" si="338"/>
        <v>79.22810598462658</v>
      </c>
      <c r="DF117" s="12">
        <f t="shared" si="339"/>
        <v>69.726115955861374</v>
      </c>
      <c r="DG117" s="12">
        <f t="shared" si="340"/>
        <v>78.704739940386773</v>
      </c>
      <c r="DH117" s="12">
        <f t="shared" si="341"/>
        <v>50.975306675896917</v>
      </c>
      <c r="DI117" s="12">
        <f t="shared" si="342"/>
        <v>57.171458208587985</v>
      </c>
      <c r="DJ117" t="s">
        <v>21</v>
      </c>
      <c r="DK117" t="str">
        <f t="shared" si="363"/>
        <v>LH</v>
      </c>
      <c r="DL117" t="str">
        <f t="shared" si="367"/>
        <v>LH</v>
      </c>
      <c r="DM117" t="str">
        <f t="shared" si="371"/>
        <v>HH</v>
      </c>
      <c r="DN117" t="str">
        <f t="shared" si="379"/>
        <v>HH</v>
      </c>
      <c r="DO117" t="str">
        <f t="shared" si="387"/>
        <v>LH</v>
      </c>
      <c r="DP117" t="str">
        <f t="shared" si="395"/>
        <v>LH</v>
      </c>
      <c r="DQ117" t="str">
        <f t="shared" si="403"/>
        <v>HH</v>
      </c>
      <c r="DR117" t="str">
        <f t="shared" si="411"/>
        <v>HH</v>
      </c>
      <c r="DS117" t="str">
        <f t="shared" si="419"/>
        <v>HH</v>
      </c>
      <c r="DT117" t="str">
        <f t="shared" si="317"/>
        <v>LH</v>
      </c>
      <c r="DU117" t="str">
        <f t="shared" si="325"/>
        <v>LH</v>
      </c>
      <c r="DV117">
        <f t="shared" si="343"/>
        <v>0.48027725957710943</v>
      </c>
      <c r="DW117">
        <f t="shared" si="344"/>
        <v>1.0226684128742038</v>
      </c>
      <c r="DX117">
        <f t="shared" si="372"/>
        <v>1.7667718040822482</v>
      </c>
      <c r="DY117">
        <f t="shared" si="380"/>
        <v>1.6507556839476565</v>
      </c>
      <c r="DZ117">
        <f t="shared" si="388"/>
        <v>1.1885862035567007</v>
      </c>
      <c r="EA117">
        <f t="shared" si="396"/>
        <v>1.3673478841270492</v>
      </c>
      <c r="EB117">
        <f t="shared" si="404"/>
        <v>2.9450407846142812</v>
      </c>
      <c r="EC117">
        <f t="shared" si="412"/>
        <v>1.1923762038514849</v>
      </c>
      <c r="ED117">
        <f t="shared" si="420"/>
        <v>1.0902567514644086</v>
      </c>
      <c r="EE117">
        <f t="shared" si="318"/>
        <v>1.036775636193656</v>
      </c>
      <c r="EF117">
        <f t="shared" si="326"/>
        <v>1.5680073441783544</v>
      </c>
      <c r="EG117" s="13" t="str">
        <f t="shared" si="345"/>
        <v/>
      </c>
      <c r="EH117" s="13" t="str">
        <f t="shared" si="346"/>
        <v/>
      </c>
      <c r="EI117" s="13" t="str">
        <f t="shared" si="347"/>
        <v/>
      </c>
      <c r="EJ117" s="13" t="str">
        <f t="shared" si="348"/>
        <v/>
      </c>
      <c r="EK117" s="13" t="str">
        <f t="shared" si="349"/>
        <v/>
      </c>
      <c r="EL117" s="13" t="str">
        <f t="shared" si="350"/>
        <v/>
      </c>
      <c r="EM117" s="13" t="str">
        <f t="shared" si="351"/>
        <v/>
      </c>
      <c r="EN117" s="13" t="str">
        <f t="shared" si="352"/>
        <v/>
      </c>
      <c r="EO117" s="13" t="str">
        <f t="shared" si="353"/>
        <v/>
      </c>
      <c r="EP117" s="13" t="str">
        <f t="shared" si="354"/>
        <v/>
      </c>
      <c r="EQ117" s="13" t="str">
        <f t="shared" si="355"/>
        <v/>
      </c>
    </row>
    <row r="118" spans="1:147" ht="14.25" customHeight="1" x14ac:dyDescent="0.55000000000000004">
      <c r="A118">
        <v>1776903304</v>
      </c>
      <c r="B118" t="s">
        <v>16</v>
      </c>
      <c r="C118" t="s">
        <v>17</v>
      </c>
      <c r="D118">
        <v>4741.59</v>
      </c>
      <c r="E118" t="s">
        <v>18</v>
      </c>
      <c r="F118">
        <v>4694.34</v>
      </c>
      <c r="G118">
        <v>4724.03</v>
      </c>
      <c r="H118">
        <v>4668.6099999999997</v>
      </c>
      <c r="I118">
        <f t="shared" si="368"/>
        <v>4772.78</v>
      </c>
      <c r="J118">
        <f t="shared" si="376"/>
        <v>4792.42</v>
      </c>
      <c r="K118">
        <f t="shared" si="384"/>
        <v>4783.51</v>
      </c>
      <c r="L118">
        <f t="shared" si="392"/>
        <v>4779.8</v>
      </c>
      <c r="M118">
        <f t="shared" si="400"/>
        <v>4736.96</v>
      </c>
      <c r="N118">
        <f t="shared" si="408"/>
        <v>4778.83</v>
      </c>
      <c r="O118">
        <f t="shared" si="416"/>
        <v>4768.07</v>
      </c>
      <c r="P118">
        <f t="shared" ref="P118:P149" si="424">F98</f>
        <v>4786.1000000000004</v>
      </c>
      <c r="Q118">
        <f t="shared" si="322"/>
        <v>4772.67</v>
      </c>
      <c r="R118">
        <v>-55</v>
      </c>
      <c r="S118">
        <f t="shared" si="356"/>
        <v>-48.119999999999891</v>
      </c>
      <c r="T118">
        <f t="shared" si="357"/>
        <v>-129.30000000000018</v>
      </c>
      <c r="U118">
        <f t="shared" si="373"/>
        <v>-60.470000000000255</v>
      </c>
      <c r="V118">
        <f t="shared" si="381"/>
        <v>-35.319999999999709</v>
      </c>
      <c r="W118">
        <f t="shared" si="389"/>
        <v>-22.279999999999745</v>
      </c>
      <c r="X118">
        <f t="shared" si="397"/>
        <v>-34.479999999999563</v>
      </c>
      <c r="Y118">
        <f t="shared" si="405"/>
        <v>-152.25</v>
      </c>
      <c r="Z118">
        <f t="shared" si="413"/>
        <v>-27.140000000000327</v>
      </c>
      <c r="AA118">
        <f t="shared" si="421"/>
        <v>-33.050000000000182</v>
      </c>
      <c r="AB118">
        <f t="shared" si="319"/>
        <v>-12.479999999999563</v>
      </c>
      <c r="AC118">
        <f t="shared" si="327"/>
        <v>-51.140000000000327</v>
      </c>
      <c r="AD118">
        <v>-1.1599999999999999</v>
      </c>
      <c r="AE118" s="14">
        <f t="shared" si="358"/>
        <v>-1.00835053382647</v>
      </c>
      <c r="AF118" s="14">
        <f t="shared" si="359"/>
        <v>-2.694923414570098</v>
      </c>
      <c r="AG118" s="14">
        <f t="shared" si="374"/>
        <v>-1.2511250193968915</v>
      </c>
      <c r="AH118" s="14">
        <f t="shared" si="382"/>
        <v>-0.73160526457513686</v>
      </c>
      <c r="AI118" s="14">
        <f t="shared" si="390"/>
        <v>-0.46360744019192984</v>
      </c>
      <c r="AJ118" s="14">
        <f t="shared" si="398"/>
        <v>-0.71620263050756428</v>
      </c>
      <c r="AK118" s="14">
        <f t="shared" si="406"/>
        <v>-3.1140000122719211</v>
      </c>
      <c r="AL118" s="14">
        <f t="shared" si="414"/>
        <v>-0.56471430325200378</v>
      </c>
      <c r="AM118" s="14">
        <f t="shared" si="422"/>
        <v>-0.68838104442297177</v>
      </c>
      <c r="AN118" s="14">
        <f t="shared" si="320"/>
        <v>-0.260076939427905</v>
      </c>
      <c r="AO118" s="14">
        <f t="shared" si="328"/>
        <v>-1.060157842037732</v>
      </c>
      <c r="AP118">
        <v>3</v>
      </c>
      <c r="AQ118">
        <f t="shared" si="360"/>
        <v>3</v>
      </c>
      <c r="AR118">
        <f t="shared" si="364"/>
        <v>5</v>
      </c>
      <c r="AS118">
        <f t="shared" si="369"/>
        <v>3</v>
      </c>
      <c r="AT118">
        <f t="shared" si="377"/>
        <v>3</v>
      </c>
      <c r="AU118">
        <f t="shared" si="385"/>
        <v>3</v>
      </c>
      <c r="AV118">
        <f t="shared" si="393"/>
        <v>3</v>
      </c>
      <c r="AW118">
        <f t="shared" si="401"/>
        <v>5</v>
      </c>
      <c r="AX118">
        <f t="shared" si="409"/>
        <v>3</v>
      </c>
      <c r="AY118">
        <f t="shared" si="417"/>
        <v>3</v>
      </c>
      <c r="AZ118">
        <f t="shared" ref="AZ118:AZ149" si="425">AP98</f>
        <v>3</v>
      </c>
      <c r="BA118">
        <f t="shared" si="323"/>
        <v>3</v>
      </c>
      <c r="BB118">
        <v>18</v>
      </c>
      <c r="BC118">
        <f t="shared" si="361"/>
        <v>38</v>
      </c>
      <c r="BD118">
        <f t="shared" si="365"/>
        <v>31</v>
      </c>
      <c r="BE118">
        <f t="shared" si="370"/>
        <v>35</v>
      </c>
      <c r="BF118">
        <f t="shared" si="378"/>
        <v>1</v>
      </c>
      <c r="BG118">
        <f t="shared" si="386"/>
        <v>9</v>
      </c>
      <c r="BH118">
        <f t="shared" si="394"/>
        <v>15</v>
      </c>
      <c r="BI118">
        <f t="shared" si="402"/>
        <v>39</v>
      </c>
      <c r="BJ118">
        <f t="shared" si="410"/>
        <v>11</v>
      </c>
      <c r="BK118">
        <f t="shared" si="418"/>
        <v>3</v>
      </c>
      <c r="BL118">
        <f t="shared" ref="BL118:BL149" si="426">BB98</f>
        <v>13</v>
      </c>
      <c r="BM118">
        <f t="shared" si="324"/>
        <v>4</v>
      </c>
      <c r="BZ118" s="12">
        <f t="shared" si="330"/>
        <v>-3.0555555555555554</v>
      </c>
      <c r="CA118" s="12">
        <f t="shared" si="362"/>
        <v>-1.2663157894736814</v>
      </c>
      <c r="CB118" s="12">
        <f t="shared" si="366"/>
        <v>-4.17096774193549</v>
      </c>
      <c r="CC118" s="12">
        <f t="shared" si="375"/>
        <v>-1.7277142857142931</v>
      </c>
      <c r="CD118" s="12">
        <f t="shared" si="383"/>
        <v>-35.319999999999709</v>
      </c>
      <c r="CE118" s="12">
        <f t="shared" si="391"/>
        <v>-2.4755555555555273</v>
      </c>
      <c r="CF118" s="12">
        <f t="shared" si="399"/>
        <v>-2.2986666666666378</v>
      </c>
      <c r="CG118" s="12">
        <f t="shared" si="407"/>
        <v>-3.9038461538461537</v>
      </c>
      <c r="CH118" s="12">
        <f t="shared" si="415"/>
        <v>-2.467272727272757</v>
      </c>
      <c r="CI118" s="12">
        <f t="shared" si="423"/>
        <v>-11.016666666666728</v>
      </c>
      <c r="CJ118" s="12">
        <f t="shared" si="321"/>
        <v>-0.95999999999996644</v>
      </c>
      <c r="CK118" s="12">
        <f t="shared" si="329"/>
        <v>-12.785000000000082</v>
      </c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>
        <f t="shared" si="331"/>
        <v>-71.878139752098647</v>
      </c>
      <c r="CY118" s="12">
        <f t="shared" si="332"/>
        <v>-51.702116461303874</v>
      </c>
      <c r="CZ118" s="12">
        <f t="shared" si="333"/>
        <v>-76.517675121361208</v>
      </c>
      <c r="DA118" s="12">
        <f t="shared" si="334"/>
        <v>-59.937767065340694</v>
      </c>
      <c r="DB118" s="12">
        <f t="shared" si="335"/>
        <v>-88.378242428990546</v>
      </c>
      <c r="DC118" s="12">
        <f t="shared" si="336"/>
        <v>-68.003767902939458</v>
      </c>
      <c r="DD118" s="12">
        <f t="shared" si="337"/>
        <v>-66.4892830306446</v>
      </c>
      <c r="DE118" s="12">
        <f t="shared" si="338"/>
        <v>-75.63218743532633</v>
      </c>
      <c r="DF118" s="12">
        <f t="shared" si="339"/>
        <v>-67.937000947295402</v>
      </c>
      <c r="DG118" s="12">
        <f t="shared" si="340"/>
        <v>-84.813386639824586</v>
      </c>
      <c r="DH118" s="12">
        <f t="shared" si="341"/>
        <v>-43.830860672091582</v>
      </c>
      <c r="DI118" s="12">
        <f t="shared" si="342"/>
        <v>-85.527621095731902</v>
      </c>
      <c r="DJ118" t="s">
        <v>19</v>
      </c>
      <c r="DK118" t="str">
        <f t="shared" si="363"/>
        <v>HL</v>
      </c>
      <c r="DL118" t="str">
        <f t="shared" si="367"/>
        <v>LL</v>
      </c>
      <c r="DM118" t="str">
        <f t="shared" si="371"/>
        <v>LL</v>
      </c>
      <c r="DN118" t="str">
        <f t="shared" si="379"/>
        <v>HL</v>
      </c>
      <c r="DO118" t="str">
        <f t="shared" si="387"/>
        <v>HL</v>
      </c>
      <c r="DP118" t="str">
        <f t="shared" si="395"/>
        <v>HL</v>
      </c>
      <c r="DQ118" t="str">
        <f t="shared" si="403"/>
        <v>LL</v>
      </c>
      <c r="DR118" t="str">
        <f t="shared" si="411"/>
        <v>HL</v>
      </c>
      <c r="DS118" t="str">
        <f t="shared" si="419"/>
        <v>LL</v>
      </c>
      <c r="DT118" t="str">
        <f t="shared" ref="DT118:DT149" si="427">DJ98</f>
        <v>HL</v>
      </c>
      <c r="DU118" t="str">
        <f t="shared" si="325"/>
        <v>LL</v>
      </c>
      <c r="DV118">
        <f t="shared" si="343"/>
        <v>0.63246377552541144</v>
      </c>
      <c r="DW118">
        <f t="shared" si="344"/>
        <v>-0.54810686912325213</v>
      </c>
      <c r="DX118">
        <f t="shared" si="372"/>
        <v>1.6709484187340413</v>
      </c>
      <c r="DY118">
        <f t="shared" si="380"/>
        <v>2.0893245908903046</v>
      </c>
      <c r="DZ118">
        <f t="shared" si="388"/>
        <v>1.8995215514854071</v>
      </c>
      <c r="EA118">
        <f t="shared" si="396"/>
        <v>1.8204902073560933</v>
      </c>
      <c r="EB118">
        <f t="shared" si="404"/>
        <v>0.90790185627798348</v>
      </c>
      <c r="EC118">
        <f t="shared" si="412"/>
        <v>1.7998270257373727</v>
      </c>
      <c r="ED118">
        <f t="shared" si="420"/>
        <v>1.5706148255132681</v>
      </c>
      <c r="EE118">
        <f t="shared" ref="EE118:EE149" si="428">IFERROR(((P118-$F118)/$F118)*100,0)</f>
        <v>1.9546943766322895</v>
      </c>
      <c r="EF118">
        <f t="shared" si="326"/>
        <v>1.6686051713339878</v>
      </c>
      <c r="EG118" s="13" t="str">
        <f t="shared" si="345"/>
        <v/>
      </c>
      <c r="EH118" s="13" t="str">
        <f t="shared" si="346"/>
        <v/>
      </c>
      <c r="EI118" s="13" t="str">
        <f t="shared" si="347"/>
        <v/>
      </c>
      <c r="EJ118" s="13" t="str">
        <f t="shared" si="348"/>
        <v/>
      </c>
      <c r="EK118" s="13" t="str">
        <f t="shared" si="349"/>
        <v/>
      </c>
      <c r="EL118" s="13" t="str">
        <f t="shared" si="350"/>
        <v/>
      </c>
      <c r="EM118" s="13" t="str">
        <f t="shared" si="351"/>
        <v/>
      </c>
      <c r="EN118" s="13" t="str">
        <f t="shared" si="352"/>
        <v/>
      </c>
      <c r="EO118" s="13" t="str">
        <f t="shared" si="353"/>
        <v/>
      </c>
      <c r="EP118" s="13" t="str">
        <f t="shared" si="354"/>
        <v/>
      </c>
      <c r="EQ118" s="13" t="str">
        <f t="shared" si="355"/>
        <v/>
      </c>
    </row>
    <row r="119" spans="1:147" ht="14.25" customHeight="1" x14ac:dyDescent="0.55000000000000004">
      <c r="A119">
        <v>1776905104</v>
      </c>
      <c r="B119" t="s">
        <v>16</v>
      </c>
      <c r="C119" t="s">
        <v>17</v>
      </c>
      <c r="D119">
        <v>4748.05</v>
      </c>
      <c r="E119" t="s">
        <v>20</v>
      </c>
      <c r="F119">
        <v>4753.33</v>
      </c>
      <c r="G119">
        <v>4749.34</v>
      </c>
      <c r="H119">
        <v>4772.1499999999996</v>
      </c>
      <c r="I119">
        <f t="shared" si="368"/>
        <v>4797.91</v>
      </c>
      <c r="J119">
        <f t="shared" si="376"/>
        <v>4833.25</v>
      </c>
      <c r="K119">
        <f t="shared" si="384"/>
        <v>4827.74</v>
      </c>
      <c r="L119">
        <f t="shared" si="392"/>
        <v>4805.79</v>
      </c>
      <c r="M119">
        <f t="shared" si="400"/>
        <v>4814.28</v>
      </c>
      <c r="N119">
        <f t="shared" si="408"/>
        <v>4889.21</v>
      </c>
      <c r="O119">
        <f t="shared" si="416"/>
        <v>4805.97</v>
      </c>
      <c r="P119">
        <f t="shared" si="424"/>
        <v>4801.12</v>
      </c>
      <c r="Q119">
        <f t="shared" si="322"/>
        <v>4798.58</v>
      </c>
      <c r="R119">
        <v>58.99</v>
      </c>
      <c r="S119">
        <f t="shared" si="356"/>
        <v>25.3100000000004</v>
      </c>
      <c r="T119">
        <f t="shared" si="357"/>
        <v>103.53999999999996</v>
      </c>
      <c r="U119">
        <f t="shared" si="373"/>
        <v>25.130000000000109</v>
      </c>
      <c r="V119">
        <f t="shared" si="381"/>
        <v>40.829999999999927</v>
      </c>
      <c r="W119">
        <f t="shared" si="389"/>
        <v>44.229999999999563</v>
      </c>
      <c r="X119">
        <f t="shared" si="397"/>
        <v>25.989999999999782</v>
      </c>
      <c r="Y119">
        <f t="shared" si="405"/>
        <v>77.319999999999709</v>
      </c>
      <c r="Z119">
        <f t="shared" si="413"/>
        <v>110.38000000000011</v>
      </c>
      <c r="AA119">
        <f t="shared" si="421"/>
        <v>37.900000000000546</v>
      </c>
      <c r="AB119">
        <f t="shared" ref="AB119:AB150" si="429">P119-P118</f>
        <v>15.019999999999527</v>
      </c>
      <c r="AC119">
        <f t="shared" si="327"/>
        <v>25.909999999999854</v>
      </c>
      <c r="AD119">
        <v>1.26</v>
      </c>
      <c r="AE119" s="14">
        <f t="shared" si="358"/>
        <v>0.53577136470345021</v>
      </c>
      <c r="AF119" s="14">
        <f t="shared" si="359"/>
        <v>2.2177907342870782</v>
      </c>
      <c r="AG119" s="14">
        <f t="shared" si="374"/>
        <v>0.52652751645791573</v>
      </c>
      <c r="AH119" s="14">
        <f t="shared" si="382"/>
        <v>0.85197040326181606</v>
      </c>
      <c r="AI119" s="14">
        <f t="shared" si="390"/>
        <v>0.92463483927073564</v>
      </c>
      <c r="AJ119" s="14">
        <f t="shared" si="398"/>
        <v>0.54374660027615762</v>
      </c>
      <c r="AK119" s="14">
        <f t="shared" si="406"/>
        <v>1.6322704857123493</v>
      </c>
      <c r="AL119" s="14">
        <f t="shared" si="414"/>
        <v>2.3097703831272529</v>
      </c>
      <c r="AM119" s="14">
        <f t="shared" si="422"/>
        <v>0.79487088067080702</v>
      </c>
      <c r="AN119" s="14">
        <f t="shared" ref="AN119:AN150" si="430">(AB119/P118)*100</f>
        <v>0.31382545287393759</v>
      </c>
      <c r="AO119" s="14">
        <f t="shared" si="328"/>
        <v>0.54288270506864822</v>
      </c>
      <c r="AP119">
        <v>0</v>
      </c>
      <c r="AQ119">
        <f t="shared" si="360"/>
        <v>0</v>
      </c>
      <c r="AR119">
        <f t="shared" si="364"/>
        <v>0</v>
      </c>
      <c r="AS119">
        <f t="shared" si="369"/>
        <v>0</v>
      </c>
      <c r="AT119">
        <f t="shared" si="377"/>
        <v>0</v>
      </c>
      <c r="AU119">
        <f t="shared" si="385"/>
        <v>0</v>
      </c>
      <c r="AV119">
        <f t="shared" si="393"/>
        <v>0</v>
      </c>
      <c r="AW119">
        <f t="shared" si="401"/>
        <v>0</v>
      </c>
      <c r="AX119">
        <f t="shared" si="409"/>
        <v>0</v>
      </c>
      <c r="AY119">
        <f t="shared" si="417"/>
        <v>0</v>
      </c>
      <c r="AZ119">
        <f t="shared" si="425"/>
        <v>0</v>
      </c>
      <c r="BA119">
        <f t="shared" si="323"/>
        <v>0</v>
      </c>
      <c r="BB119">
        <v>2</v>
      </c>
      <c r="BC119">
        <f t="shared" si="361"/>
        <v>9</v>
      </c>
      <c r="BD119">
        <f t="shared" si="365"/>
        <v>42</v>
      </c>
      <c r="BE119">
        <f t="shared" si="370"/>
        <v>19</v>
      </c>
      <c r="BF119">
        <f t="shared" si="378"/>
        <v>26</v>
      </c>
      <c r="BG119">
        <f t="shared" si="386"/>
        <v>20</v>
      </c>
      <c r="BH119">
        <f t="shared" si="394"/>
        <v>7</v>
      </c>
      <c r="BI119">
        <f t="shared" si="402"/>
        <v>8</v>
      </c>
      <c r="BJ119">
        <f t="shared" si="410"/>
        <v>21</v>
      </c>
      <c r="BK119">
        <f t="shared" si="418"/>
        <v>14</v>
      </c>
      <c r="BL119">
        <f t="shared" si="426"/>
        <v>3</v>
      </c>
      <c r="BM119">
        <f t="shared" si="324"/>
        <v>21</v>
      </c>
      <c r="BZ119" s="12">
        <f t="shared" si="330"/>
        <v>29.495000000000001</v>
      </c>
      <c r="CA119" s="12">
        <f t="shared" si="362"/>
        <v>2.8122222222222666</v>
      </c>
      <c r="CB119" s="12">
        <f t="shared" si="366"/>
        <v>2.4652380952380946</v>
      </c>
      <c r="CC119" s="12">
        <f t="shared" si="375"/>
        <v>1.3226315789473742</v>
      </c>
      <c r="CD119" s="12">
        <f t="shared" si="383"/>
        <v>1.5703846153846126</v>
      </c>
      <c r="CE119" s="12">
        <f t="shared" si="391"/>
        <v>2.2114999999999783</v>
      </c>
      <c r="CF119" s="12">
        <f t="shared" si="399"/>
        <v>3.7128571428571115</v>
      </c>
      <c r="CG119" s="12">
        <f t="shared" si="407"/>
        <v>9.6649999999999636</v>
      </c>
      <c r="CH119" s="12">
        <f t="shared" si="415"/>
        <v>5.256190476190481</v>
      </c>
      <c r="CI119" s="12">
        <f t="shared" si="423"/>
        <v>2.7071428571428959</v>
      </c>
      <c r="CJ119" s="12">
        <f t="shared" ref="CJ119:CJ150" si="431">IFERROR(AB119/BL119,0)</f>
        <v>5.0066666666665087</v>
      </c>
      <c r="CK119" s="12">
        <f t="shared" si="329"/>
        <v>1.2338095238095168</v>
      </c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>
        <f t="shared" si="331"/>
        <v>88.058184739753301</v>
      </c>
      <c r="CY119" s="12">
        <f t="shared" si="332"/>
        <v>70.425087793519481</v>
      </c>
      <c r="CZ119" s="12">
        <f t="shared" si="333"/>
        <v>67.920541049100663</v>
      </c>
      <c r="DA119" s="12">
        <f t="shared" si="334"/>
        <v>52.908224174916235</v>
      </c>
      <c r="DB119" s="12">
        <f t="shared" si="335"/>
        <v>57.511558968355409</v>
      </c>
      <c r="DC119" s="12">
        <f t="shared" si="336"/>
        <v>65.668383995105074</v>
      </c>
      <c r="DD119" s="12">
        <f t="shared" si="337"/>
        <v>74.925977849623436</v>
      </c>
      <c r="DE119" s="12">
        <f t="shared" si="338"/>
        <v>84.092847611726654</v>
      </c>
      <c r="DF119" s="12">
        <f t="shared" si="339"/>
        <v>79.22810598462658</v>
      </c>
      <c r="DG119" s="12">
        <f t="shared" si="340"/>
        <v>69.726115955861374</v>
      </c>
      <c r="DH119" s="12">
        <f t="shared" si="341"/>
        <v>78.704739940386773</v>
      </c>
      <c r="DI119" s="12">
        <f t="shared" si="342"/>
        <v>50.975306675896917</v>
      </c>
      <c r="DJ119" t="s">
        <v>23</v>
      </c>
      <c r="DK119" t="str">
        <f t="shared" si="363"/>
        <v>LH</v>
      </c>
      <c r="DL119" t="str">
        <f t="shared" si="367"/>
        <v>LH</v>
      </c>
      <c r="DM119" t="str">
        <f t="shared" si="371"/>
        <v>LH</v>
      </c>
      <c r="DN119" t="str">
        <f t="shared" si="379"/>
        <v>HH</v>
      </c>
      <c r="DO119" t="str">
        <f t="shared" si="387"/>
        <v>HH</v>
      </c>
      <c r="DP119" t="str">
        <f t="shared" si="395"/>
        <v>LH</v>
      </c>
      <c r="DQ119" t="str">
        <f t="shared" si="403"/>
        <v>LH</v>
      </c>
      <c r="DR119" t="str">
        <f t="shared" si="411"/>
        <v>HH</v>
      </c>
      <c r="DS119" t="str">
        <f t="shared" si="419"/>
        <v>HH</v>
      </c>
      <c r="DT119" t="str">
        <f t="shared" si="427"/>
        <v>HH</v>
      </c>
      <c r="DU119" t="str">
        <f t="shared" si="325"/>
        <v>LH</v>
      </c>
      <c r="DV119">
        <f t="shared" si="343"/>
        <v>-8.3941152833903424E-2</v>
      </c>
      <c r="DW119">
        <f t="shared" si="344"/>
        <v>0.39593295647471788</v>
      </c>
      <c r="DX119">
        <f t="shared" si="372"/>
        <v>0.93786882038486541</v>
      </c>
      <c r="DY119">
        <f t="shared" si="380"/>
        <v>1.6813476026280538</v>
      </c>
      <c r="DZ119">
        <f t="shared" si="388"/>
        <v>1.5654288677621764</v>
      </c>
      <c r="EA119">
        <f t="shared" si="396"/>
        <v>1.1036473377611071</v>
      </c>
      <c r="EB119">
        <f t="shared" si="404"/>
        <v>1.2822589637159594</v>
      </c>
      <c r="EC119">
        <f t="shared" si="412"/>
        <v>2.8586275305943434</v>
      </c>
      <c r="ED119">
        <f t="shared" si="420"/>
        <v>1.1074341566859511</v>
      </c>
      <c r="EE119">
        <f t="shared" si="428"/>
        <v>1.0054004245444765</v>
      </c>
      <c r="EF119">
        <f t="shared" si="326"/>
        <v>0.95196420193843045</v>
      </c>
      <c r="EG119" s="13" t="str">
        <f t="shared" si="345"/>
        <v>EQH</v>
      </c>
      <c r="EH119" s="13" t="str">
        <f t="shared" si="346"/>
        <v/>
      </c>
      <c r="EI119" s="13" t="str">
        <f t="shared" si="347"/>
        <v/>
      </c>
      <c r="EJ119" s="13" t="str">
        <f t="shared" si="348"/>
        <v/>
      </c>
      <c r="EK119" s="13" t="str">
        <f t="shared" si="349"/>
        <v/>
      </c>
      <c r="EL119" s="13" t="str">
        <f t="shared" si="350"/>
        <v/>
      </c>
      <c r="EM119" s="13" t="str">
        <f t="shared" si="351"/>
        <v/>
      </c>
      <c r="EN119" s="13" t="str">
        <f t="shared" si="352"/>
        <v/>
      </c>
      <c r="EO119" s="13" t="str">
        <f t="shared" si="353"/>
        <v/>
      </c>
      <c r="EP119" s="13" t="str">
        <f t="shared" si="354"/>
        <v/>
      </c>
      <c r="EQ119" s="13" t="str">
        <f t="shared" si="355"/>
        <v/>
      </c>
    </row>
    <row r="120" spans="1:147" ht="14.25" customHeight="1" x14ac:dyDescent="0.55000000000000004">
      <c r="A120">
        <v>1776922204</v>
      </c>
      <c r="B120" t="s">
        <v>16</v>
      </c>
      <c r="C120" t="s">
        <v>17</v>
      </c>
      <c r="D120">
        <v>4701.58</v>
      </c>
      <c r="E120" t="s">
        <v>18</v>
      </c>
      <c r="F120">
        <v>4693.0600000000004</v>
      </c>
      <c r="G120">
        <v>4694.34</v>
      </c>
      <c r="H120">
        <v>4724.03</v>
      </c>
      <c r="I120">
        <f t="shared" si="368"/>
        <v>4668.6099999999997</v>
      </c>
      <c r="J120">
        <f t="shared" si="376"/>
        <v>4772.78</v>
      </c>
      <c r="K120">
        <f t="shared" si="384"/>
        <v>4792.42</v>
      </c>
      <c r="L120">
        <f t="shared" si="392"/>
        <v>4783.51</v>
      </c>
      <c r="M120">
        <f t="shared" si="400"/>
        <v>4779.8</v>
      </c>
      <c r="N120">
        <f t="shared" si="408"/>
        <v>4736.96</v>
      </c>
      <c r="O120">
        <f t="shared" si="416"/>
        <v>4778.83</v>
      </c>
      <c r="P120">
        <f t="shared" si="424"/>
        <v>4768.07</v>
      </c>
      <c r="Q120">
        <f t="shared" ref="Q120:Q151" si="432">F98</f>
        <v>4786.1000000000004</v>
      </c>
      <c r="R120">
        <v>-60.27</v>
      </c>
      <c r="S120">
        <f t="shared" si="356"/>
        <v>-55</v>
      </c>
      <c r="T120">
        <f t="shared" si="357"/>
        <v>-48.119999999999891</v>
      </c>
      <c r="U120">
        <f t="shared" si="373"/>
        <v>-129.30000000000018</v>
      </c>
      <c r="V120">
        <f t="shared" si="381"/>
        <v>-60.470000000000255</v>
      </c>
      <c r="W120">
        <f t="shared" si="389"/>
        <v>-35.319999999999709</v>
      </c>
      <c r="X120">
        <f t="shared" si="397"/>
        <v>-22.279999999999745</v>
      </c>
      <c r="Y120">
        <f t="shared" si="405"/>
        <v>-34.479999999999563</v>
      </c>
      <c r="Z120">
        <f t="shared" si="413"/>
        <v>-152.25</v>
      </c>
      <c r="AA120">
        <f t="shared" si="421"/>
        <v>-27.140000000000327</v>
      </c>
      <c r="AB120">
        <f t="shared" si="429"/>
        <v>-33.050000000000182</v>
      </c>
      <c r="AC120">
        <f t="shared" si="327"/>
        <v>-12.479999999999563</v>
      </c>
      <c r="AD120">
        <v>-1.27</v>
      </c>
      <c r="AE120" s="14">
        <f t="shared" si="358"/>
        <v>-1.1580556456265501</v>
      </c>
      <c r="AF120" s="14">
        <f t="shared" si="359"/>
        <v>-1.00835053382647</v>
      </c>
      <c r="AG120" s="14">
        <f t="shared" si="374"/>
        <v>-2.694923414570098</v>
      </c>
      <c r="AH120" s="14">
        <f t="shared" si="382"/>
        <v>-1.2511250193968915</v>
      </c>
      <c r="AI120" s="14">
        <f t="shared" si="390"/>
        <v>-0.73160526457513686</v>
      </c>
      <c r="AJ120" s="14">
        <f t="shared" si="398"/>
        <v>-0.46360744019192984</v>
      </c>
      <c r="AK120" s="14">
        <f t="shared" si="406"/>
        <v>-0.71620263050756428</v>
      </c>
      <c r="AL120" s="14">
        <f t="shared" si="414"/>
        <v>-3.1140000122719211</v>
      </c>
      <c r="AM120" s="14">
        <f t="shared" si="422"/>
        <v>-0.56471430325200378</v>
      </c>
      <c r="AN120" s="14">
        <f t="shared" si="430"/>
        <v>-0.68838104442297177</v>
      </c>
      <c r="AO120" s="14">
        <f t="shared" si="328"/>
        <v>-0.260076939427905</v>
      </c>
      <c r="AP120">
        <v>3</v>
      </c>
      <c r="AQ120">
        <f t="shared" si="360"/>
        <v>3</v>
      </c>
      <c r="AR120">
        <f t="shared" si="364"/>
        <v>3</v>
      </c>
      <c r="AS120">
        <f t="shared" si="369"/>
        <v>5</v>
      </c>
      <c r="AT120">
        <f t="shared" si="377"/>
        <v>3</v>
      </c>
      <c r="AU120">
        <f t="shared" si="385"/>
        <v>3</v>
      </c>
      <c r="AV120">
        <f t="shared" si="393"/>
        <v>3</v>
      </c>
      <c r="AW120">
        <f t="shared" si="401"/>
        <v>3</v>
      </c>
      <c r="AX120">
        <f t="shared" si="409"/>
        <v>5</v>
      </c>
      <c r="AY120">
        <f t="shared" si="417"/>
        <v>3</v>
      </c>
      <c r="AZ120">
        <f t="shared" si="425"/>
        <v>3</v>
      </c>
      <c r="BA120">
        <f t="shared" ref="BA120:BA151" si="433">AP98</f>
        <v>3</v>
      </c>
      <c r="BB120">
        <v>19</v>
      </c>
      <c r="BC120">
        <f t="shared" si="361"/>
        <v>18</v>
      </c>
      <c r="BD120">
        <f t="shared" si="365"/>
        <v>38</v>
      </c>
      <c r="BE120">
        <f t="shared" si="370"/>
        <v>31</v>
      </c>
      <c r="BF120">
        <f t="shared" si="378"/>
        <v>35</v>
      </c>
      <c r="BG120">
        <f t="shared" si="386"/>
        <v>1</v>
      </c>
      <c r="BH120">
        <f t="shared" si="394"/>
        <v>9</v>
      </c>
      <c r="BI120">
        <f t="shared" si="402"/>
        <v>15</v>
      </c>
      <c r="BJ120">
        <f t="shared" si="410"/>
        <v>39</v>
      </c>
      <c r="BK120">
        <f t="shared" si="418"/>
        <v>11</v>
      </c>
      <c r="BL120">
        <f t="shared" si="426"/>
        <v>3</v>
      </c>
      <c r="BM120">
        <f t="shared" ref="BM120:BM151" si="434">BB98</f>
        <v>13</v>
      </c>
      <c r="BZ120" s="12">
        <f t="shared" si="330"/>
        <v>-3.1721052631578948</v>
      </c>
      <c r="CA120" s="12">
        <f t="shared" si="362"/>
        <v>-3.0555555555555554</v>
      </c>
      <c r="CB120" s="12">
        <f t="shared" si="366"/>
        <v>-1.2663157894736814</v>
      </c>
      <c r="CC120" s="12">
        <f t="shared" si="375"/>
        <v>-4.17096774193549</v>
      </c>
      <c r="CD120" s="12">
        <f t="shared" si="383"/>
        <v>-1.7277142857142931</v>
      </c>
      <c r="CE120" s="12">
        <f t="shared" si="391"/>
        <v>-35.319999999999709</v>
      </c>
      <c r="CF120" s="12">
        <f t="shared" si="399"/>
        <v>-2.4755555555555273</v>
      </c>
      <c r="CG120" s="12">
        <f t="shared" si="407"/>
        <v>-2.2986666666666378</v>
      </c>
      <c r="CH120" s="12">
        <f t="shared" si="415"/>
        <v>-3.9038461538461537</v>
      </c>
      <c r="CI120" s="12">
        <f t="shared" si="423"/>
        <v>-2.467272727272757</v>
      </c>
      <c r="CJ120" s="12">
        <f t="shared" si="431"/>
        <v>-11.016666666666728</v>
      </c>
      <c r="CK120" s="12">
        <f t="shared" si="329"/>
        <v>-0.95999999999996644</v>
      </c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>
        <f t="shared" si="331"/>
        <v>-72.502644265501914</v>
      </c>
      <c r="CY120" s="12">
        <f t="shared" si="332"/>
        <v>-71.878139752098647</v>
      </c>
      <c r="CZ120" s="12">
        <f t="shared" si="333"/>
        <v>-51.702116461303874</v>
      </c>
      <c r="DA120" s="12">
        <f t="shared" si="334"/>
        <v>-76.517675121361208</v>
      </c>
      <c r="DB120" s="12">
        <f t="shared" si="335"/>
        <v>-59.937767065340694</v>
      </c>
      <c r="DC120" s="12">
        <f t="shared" si="336"/>
        <v>-88.378242428990546</v>
      </c>
      <c r="DD120" s="12">
        <f t="shared" si="337"/>
        <v>-68.003767902939458</v>
      </c>
      <c r="DE120" s="12">
        <f t="shared" si="338"/>
        <v>-66.4892830306446</v>
      </c>
      <c r="DF120" s="12">
        <f t="shared" si="339"/>
        <v>-75.63218743532633</v>
      </c>
      <c r="DG120" s="12">
        <f t="shared" si="340"/>
        <v>-67.937000947295402</v>
      </c>
      <c r="DH120" s="12">
        <f t="shared" si="341"/>
        <v>-84.813386639824586</v>
      </c>
      <c r="DI120" s="12">
        <f t="shared" si="342"/>
        <v>-43.830860672091582</v>
      </c>
      <c r="DJ120" t="s">
        <v>19</v>
      </c>
      <c r="DK120" t="str">
        <f t="shared" si="363"/>
        <v>LL</v>
      </c>
      <c r="DL120" t="str">
        <f t="shared" si="367"/>
        <v>HL</v>
      </c>
      <c r="DM120" t="str">
        <f t="shared" si="371"/>
        <v>LL</v>
      </c>
      <c r="DN120" t="str">
        <f t="shared" si="379"/>
        <v>LL</v>
      </c>
      <c r="DO120" t="str">
        <f t="shared" si="387"/>
        <v>HL</v>
      </c>
      <c r="DP120" t="str">
        <f t="shared" si="395"/>
        <v>HL</v>
      </c>
      <c r="DQ120" t="str">
        <f t="shared" si="403"/>
        <v>HL</v>
      </c>
      <c r="DR120" t="str">
        <f t="shared" si="411"/>
        <v>LL</v>
      </c>
      <c r="DS120" t="str">
        <f t="shared" si="419"/>
        <v>HL</v>
      </c>
      <c r="DT120" t="str">
        <f t="shared" si="427"/>
        <v>LL</v>
      </c>
      <c r="DU120" t="str">
        <f t="shared" ref="DU120:DU151" si="435">DJ98</f>
        <v>HL</v>
      </c>
      <c r="DV120">
        <f t="shared" si="343"/>
        <v>2.7274315691675481E-2</v>
      </c>
      <c r="DW120">
        <f t="shared" si="344"/>
        <v>0.65991059138385921</v>
      </c>
      <c r="DX120">
        <f t="shared" si="372"/>
        <v>-0.52098204582938901</v>
      </c>
      <c r="DY120">
        <f t="shared" si="380"/>
        <v>1.6986784741724874</v>
      </c>
      <c r="DZ120">
        <f t="shared" si="388"/>
        <v>2.1171687555667233</v>
      </c>
      <c r="EA120">
        <f t="shared" si="396"/>
        <v>1.9273139486816664</v>
      </c>
      <c r="EB120">
        <f t="shared" si="404"/>
        <v>1.8482610492940592</v>
      </c>
      <c r="EC120">
        <f t="shared" si="412"/>
        <v>0.93542379598811087</v>
      </c>
      <c r="ED120">
        <f t="shared" si="420"/>
        <v>1.8275922319339517</v>
      </c>
      <c r="EE120">
        <f t="shared" si="428"/>
        <v>1.5983175156507545</v>
      </c>
      <c r="EF120">
        <f t="shared" ref="EF120:EF151" si="436">IFERROR(((Q120-$F120)/$F120)*100,0)</f>
        <v>1.9825018218390549</v>
      </c>
      <c r="EG120" s="13" t="str">
        <f t="shared" si="345"/>
        <v>EQL</v>
      </c>
      <c r="EH120" s="13" t="str">
        <f t="shared" si="346"/>
        <v/>
      </c>
      <c r="EI120" s="13" t="str">
        <f t="shared" si="347"/>
        <v/>
      </c>
      <c r="EJ120" s="13" t="str">
        <f t="shared" si="348"/>
        <v/>
      </c>
      <c r="EK120" s="13" t="str">
        <f t="shared" si="349"/>
        <v/>
      </c>
      <c r="EL120" s="13" t="str">
        <f t="shared" si="350"/>
        <v/>
      </c>
      <c r="EM120" s="13" t="str">
        <f t="shared" si="351"/>
        <v/>
      </c>
      <c r="EN120" s="13" t="str">
        <f t="shared" si="352"/>
        <v/>
      </c>
      <c r="EO120" s="13" t="str">
        <f t="shared" si="353"/>
        <v/>
      </c>
      <c r="EP120" s="13" t="str">
        <f t="shared" si="354"/>
        <v/>
      </c>
      <c r="EQ120" s="13" t="str">
        <f t="shared" si="355"/>
        <v/>
      </c>
    </row>
    <row r="121" spans="1:147" ht="14.25" customHeight="1" x14ac:dyDescent="0.55000000000000004">
      <c r="A121">
        <v>1776931204</v>
      </c>
      <c r="B121" t="s">
        <v>16</v>
      </c>
      <c r="C121" t="s">
        <v>17</v>
      </c>
      <c r="D121">
        <v>4718.21</v>
      </c>
      <c r="E121" t="s">
        <v>20</v>
      </c>
      <c r="F121">
        <v>4724.8900000000003</v>
      </c>
      <c r="G121">
        <v>4753.33</v>
      </c>
      <c r="H121">
        <v>4749.34</v>
      </c>
      <c r="I121">
        <f t="shared" si="368"/>
        <v>4772.1499999999996</v>
      </c>
      <c r="J121">
        <f t="shared" si="376"/>
        <v>4797.91</v>
      </c>
      <c r="K121">
        <f t="shared" si="384"/>
        <v>4833.25</v>
      </c>
      <c r="L121">
        <f t="shared" si="392"/>
        <v>4827.74</v>
      </c>
      <c r="M121">
        <f t="shared" si="400"/>
        <v>4805.79</v>
      </c>
      <c r="N121">
        <f t="shared" si="408"/>
        <v>4814.28</v>
      </c>
      <c r="O121">
        <f t="shared" si="416"/>
        <v>4889.21</v>
      </c>
      <c r="P121">
        <f t="shared" si="424"/>
        <v>4805.97</v>
      </c>
      <c r="Q121">
        <f t="shared" si="432"/>
        <v>4801.12</v>
      </c>
      <c r="R121">
        <v>31.83</v>
      </c>
      <c r="S121">
        <f t="shared" si="356"/>
        <v>58.989999999999782</v>
      </c>
      <c r="T121">
        <f t="shared" si="357"/>
        <v>25.3100000000004</v>
      </c>
      <c r="U121">
        <f t="shared" si="373"/>
        <v>103.53999999999996</v>
      </c>
      <c r="V121">
        <f t="shared" si="381"/>
        <v>25.130000000000109</v>
      </c>
      <c r="W121">
        <f t="shared" si="389"/>
        <v>40.829999999999927</v>
      </c>
      <c r="X121">
        <f t="shared" si="397"/>
        <v>44.229999999999563</v>
      </c>
      <c r="Y121">
        <f t="shared" si="405"/>
        <v>25.989999999999782</v>
      </c>
      <c r="Z121">
        <f t="shared" si="413"/>
        <v>77.319999999999709</v>
      </c>
      <c r="AA121">
        <f t="shared" si="421"/>
        <v>110.38000000000011</v>
      </c>
      <c r="AB121">
        <f t="shared" si="429"/>
        <v>37.900000000000546</v>
      </c>
      <c r="AC121">
        <f t="shared" ref="AC121:AC152" si="437">Q121-Q120</f>
        <v>15.019999999999527</v>
      </c>
      <c r="AD121">
        <v>0.68</v>
      </c>
      <c r="AE121" s="14">
        <f t="shared" si="358"/>
        <v>1.2566196739051663</v>
      </c>
      <c r="AF121" s="14">
        <f t="shared" si="359"/>
        <v>0.53577136470345021</v>
      </c>
      <c r="AG121" s="14">
        <f t="shared" si="374"/>
        <v>2.2177907342870782</v>
      </c>
      <c r="AH121" s="14">
        <f t="shared" si="382"/>
        <v>0.52652751645791573</v>
      </c>
      <c r="AI121" s="14">
        <f t="shared" si="390"/>
        <v>0.85197040326181606</v>
      </c>
      <c r="AJ121" s="14">
        <f t="shared" si="398"/>
        <v>0.92463483927073564</v>
      </c>
      <c r="AK121" s="14">
        <f t="shared" si="406"/>
        <v>0.54374660027615762</v>
      </c>
      <c r="AL121" s="14">
        <f t="shared" si="414"/>
        <v>1.6322704857123493</v>
      </c>
      <c r="AM121" s="14">
        <f t="shared" si="422"/>
        <v>2.3097703831272529</v>
      </c>
      <c r="AN121" s="14">
        <f t="shared" si="430"/>
        <v>0.79487088067080702</v>
      </c>
      <c r="AO121" s="14">
        <f t="shared" ref="AO121:AO152" si="438">(AC121/Q120)*100</f>
        <v>0.31382545287393759</v>
      </c>
      <c r="AP121">
        <v>0</v>
      </c>
      <c r="AQ121">
        <f t="shared" si="360"/>
        <v>0</v>
      </c>
      <c r="AR121">
        <f t="shared" si="364"/>
        <v>0</v>
      </c>
      <c r="AS121">
        <f t="shared" si="369"/>
        <v>0</v>
      </c>
      <c r="AT121">
        <f t="shared" si="377"/>
        <v>0</v>
      </c>
      <c r="AU121">
        <f t="shared" si="385"/>
        <v>0</v>
      </c>
      <c r="AV121">
        <f t="shared" si="393"/>
        <v>0</v>
      </c>
      <c r="AW121">
        <f t="shared" si="401"/>
        <v>0</v>
      </c>
      <c r="AX121">
        <f t="shared" si="409"/>
        <v>0</v>
      </c>
      <c r="AY121">
        <f t="shared" si="417"/>
        <v>0</v>
      </c>
      <c r="AZ121">
        <f t="shared" si="425"/>
        <v>0</v>
      </c>
      <c r="BA121">
        <f t="shared" si="433"/>
        <v>0</v>
      </c>
      <c r="BB121">
        <v>10</v>
      </c>
      <c r="BC121">
        <f t="shared" si="361"/>
        <v>2</v>
      </c>
      <c r="BD121">
        <f t="shared" si="365"/>
        <v>9</v>
      </c>
      <c r="BE121">
        <f t="shared" si="370"/>
        <v>42</v>
      </c>
      <c r="BF121">
        <f t="shared" si="378"/>
        <v>19</v>
      </c>
      <c r="BG121">
        <f t="shared" si="386"/>
        <v>26</v>
      </c>
      <c r="BH121">
        <f t="shared" si="394"/>
        <v>20</v>
      </c>
      <c r="BI121">
        <f t="shared" si="402"/>
        <v>7</v>
      </c>
      <c r="BJ121">
        <f t="shared" si="410"/>
        <v>8</v>
      </c>
      <c r="BK121">
        <f t="shared" si="418"/>
        <v>21</v>
      </c>
      <c r="BL121">
        <f t="shared" si="426"/>
        <v>14</v>
      </c>
      <c r="BM121">
        <f t="shared" si="434"/>
        <v>3</v>
      </c>
      <c r="BZ121" s="12">
        <f t="shared" si="330"/>
        <v>3.1829999999999998</v>
      </c>
      <c r="CA121" s="12">
        <f t="shared" si="362"/>
        <v>29.494999999999891</v>
      </c>
      <c r="CB121" s="12">
        <f t="shared" si="366"/>
        <v>2.8122222222222666</v>
      </c>
      <c r="CC121" s="12">
        <f t="shared" si="375"/>
        <v>2.4652380952380946</v>
      </c>
      <c r="CD121" s="12">
        <f t="shared" si="383"/>
        <v>1.3226315789473742</v>
      </c>
      <c r="CE121" s="12">
        <f t="shared" si="391"/>
        <v>1.5703846153846126</v>
      </c>
      <c r="CF121" s="12">
        <f t="shared" si="399"/>
        <v>2.2114999999999783</v>
      </c>
      <c r="CG121" s="12">
        <f t="shared" si="407"/>
        <v>3.7128571428571115</v>
      </c>
      <c r="CH121" s="12">
        <f t="shared" si="415"/>
        <v>9.6649999999999636</v>
      </c>
      <c r="CI121" s="12">
        <f t="shared" si="423"/>
        <v>5.256190476190481</v>
      </c>
      <c r="CJ121" s="12">
        <f t="shared" si="431"/>
        <v>2.7071428571428959</v>
      </c>
      <c r="CK121" s="12">
        <f t="shared" ref="CK121:CK152" si="439">IFERROR(AC121/BM121,0)</f>
        <v>5.0066666666665087</v>
      </c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>
        <f t="shared" si="331"/>
        <v>72.55889666418048</v>
      </c>
      <c r="CY121" s="12">
        <f t="shared" si="332"/>
        <v>88.058184739753287</v>
      </c>
      <c r="CZ121" s="12">
        <f t="shared" si="333"/>
        <v>70.425087793519481</v>
      </c>
      <c r="DA121" s="12">
        <f t="shared" si="334"/>
        <v>67.920541049100663</v>
      </c>
      <c r="DB121" s="12">
        <f t="shared" si="335"/>
        <v>52.908224174916235</v>
      </c>
      <c r="DC121" s="12">
        <f t="shared" si="336"/>
        <v>57.511558968355409</v>
      </c>
      <c r="DD121" s="12">
        <f t="shared" si="337"/>
        <v>65.668383995105074</v>
      </c>
      <c r="DE121" s="12">
        <f t="shared" si="338"/>
        <v>74.925977849623436</v>
      </c>
      <c r="DF121" s="12">
        <f t="shared" si="339"/>
        <v>84.092847611726654</v>
      </c>
      <c r="DG121" s="12">
        <f t="shared" si="340"/>
        <v>79.22810598462658</v>
      </c>
      <c r="DH121" s="12">
        <f t="shared" si="341"/>
        <v>69.726115955861374</v>
      </c>
      <c r="DI121" s="12">
        <f t="shared" si="342"/>
        <v>78.704739940386773</v>
      </c>
      <c r="DJ121" t="s">
        <v>21</v>
      </c>
      <c r="DK121" t="str">
        <f t="shared" si="363"/>
        <v>HH</v>
      </c>
      <c r="DL121" t="str">
        <f t="shared" si="367"/>
        <v>LH</v>
      </c>
      <c r="DM121" t="str">
        <f t="shared" si="371"/>
        <v>LH</v>
      </c>
      <c r="DN121" t="str">
        <f t="shared" si="379"/>
        <v>LH</v>
      </c>
      <c r="DO121" t="str">
        <f t="shared" si="387"/>
        <v>HH</v>
      </c>
      <c r="DP121" t="str">
        <f t="shared" si="395"/>
        <v>HH</v>
      </c>
      <c r="DQ121" t="str">
        <f t="shared" si="403"/>
        <v>LH</v>
      </c>
      <c r="DR121" t="str">
        <f t="shared" si="411"/>
        <v>LH</v>
      </c>
      <c r="DS121" t="str">
        <f t="shared" si="419"/>
        <v>HH</v>
      </c>
      <c r="DT121" t="str">
        <f t="shared" si="427"/>
        <v>HH</v>
      </c>
      <c r="DU121" t="str">
        <f t="shared" si="435"/>
        <v>HH</v>
      </c>
      <c r="DV121">
        <f t="shared" si="343"/>
        <v>0.60191877482861189</v>
      </c>
      <c r="DW121">
        <f t="shared" si="344"/>
        <v>0.51747236443599365</v>
      </c>
      <c r="DX121">
        <f t="shared" si="372"/>
        <v>1.000234926104085</v>
      </c>
      <c r="DY121">
        <f t="shared" si="380"/>
        <v>1.5454328037266376</v>
      </c>
      <c r="DZ121">
        <f t="shared" si="388"/>
        <v>2.2933867243470147</v>
      </c>
      <c r="EA121">
        <f t="shared" si="396"/>
        <v>2.1767702528524357</v>
      </c>
      <c r="EB121">
        <f t="shared" si="404"/>
        <v>1.7122091731235995</v>
      </c>
      <c r="EC121">
        <f t="shared" si="412"/>
        <v>1.8918958959891006</v>
      </c>
      <c r="ED121">
        <f t="shared" si="420"/>
        <v>3.4777529212320224</v>
      </c>
      <c r="EE121">
        <f t="shared" si="428"/>
        <v>1.7160187856225209</v>
      </c>
      <c r="EF121">
        <f t="shared" si="436"/>
        <v>1.6133708932906281</v>
      </c>
      <c r="EG121" s="13" t="str">
        <f t="shared" si="345"/>
        <v/>
      </c>
      <c r="EH121" s="13" t="str">
        <f t="shared" si="346"/>
        <v/>
      </c>
      <c r="EI121" s="13" t="str">
        <f t="shared" si="347"/>
        <v/>
      </c>
      <c r="EJ121" s="13" t="str">
        <f t="shared" si="348"/>
        <v/>
      </c>
      <c r="EK121" s="13" t="str">
        <f t="shared" si="349"/>
        <v/>
      </c>
      <c r="EL121" s="13" t="str">
        <f t="shared" si="350"/>
        <v/>
      </c>
      <c r="EM121" s="13" t="str">
        <f t="shared" si="351"/>
        <v/>
      </c>
      <c r="EN121" s="13" t="str">
        <f t="shared" si="352"/>
        <v/>
      </c>
      <c r="EO121" s="13" t="str">
        <f t="shared" si="353"/>
        <v/>
      </c>
      <c r="EP121" s="13" t="str">
        <f t="shared" si="354"/>
        <v/>
      </c>
      <c r="EQ121" s="13" t="str">
        <f t="shared" si="355"/>
        <v/>
      </c>
    </row>
    <row r="122" spans="1:147" ht="14.25" customHeight="1" x14ac:dyDescent="0.55000000000000004">
      <c r="A122">
        <v>1776940204</v>
      </c>
      <c r="B122" t="s">
        <v>16</v>
      </c>
      <c r="C122" t="s">
        <v>17</v>
      </c>
      <c r="D122">
        <v>4690.7700000000004</v>
      </c>
      <c r="E122" t="s">
        <v>18</v>
      </c>
      <c r="F122">
        <v>4684.26</v>
      </c>
      <c r="G122">
        <v>4693.0600000000004</v>
      </c>
      <c r="H122">
        <v>4694.34</v>
      </c>
      <c r="I122">
        <f t="shared" si="368"/>
        <v>4724.03</v>
      </c>
      <c r="J122">
        <f t="shared" si="376"/>
        <v>4668.6099999999997</v>
      </c>
      <c r="K122">
        <f t="shared" si="384"/>
        <v>4772.78</v>
      </c>
      <c r="L122">
        <f t="shared" si="392"/>
        <v>4792.42</v>
      </c>
      <c r="M122">
        <f t="shared" si="400"/>
        <v>4783.51</v>
      </c>
      <c r="N122">
        <f t="shared" si="408"/>
        <v>4779.8</v>
      </c>
      <c r="O122">
        <f t="shared" si="416"/>
        <v>4736.96</v>
      </c>
      <c r="P122">
        <f t="shared" si="424"/>
        <v>4778.83</v>
      </c>
      <c r="Q122">
        <f t="shared" si="432"/>
        <v>4768.07</v>
      </c>
      <c r="R122">
        <v>-40.630000000000003</v>
      </c>
      <c r="S122">
        <f t="shared" si="356"/>
        <v>-60.269999999999527</v>
      </c>
      <c r="T122">
        <f t="shared" si="357"/>
        <v>-55</v>
      </c>
      <c r="U122">
        <f t="shared" si="373"/>
        <v>-48.119999999999891</v>
      </c>
      <c r="V122">
        <f t="shared" si="381"/>
        <v>-129.30000000000018</v>
      </c>
      <c r="W122">
        <f t="shared" si="389"/>
        <v>-60.470000000000255</v>
      </c>
      <c r="X122">
        <f t="shared" si="397"/>
        <v>-35.319999999999709</v>
      </c>
      <c r="Y122">
        <f t="shared" si="405"/>
        <v>-22.279999999999745</v>
      </c>
      <c r="Z122">
        <f t="shared" si="413"/>
        <v>-34.479999999999563</v>
      </c>
      <c r="AA122">
        <f t="shared" si="421"/>
        <v>-152.25</v>
      </c>
      <c r="AB122">
        <f t="shared" si="429"/>
        <v>-27.140000000000327</v>
      </c>
      <c r="AC122">
        <f t="shared" si="437"/>
        <v>-33.050000000000182</v>
      </c>
      <c r="AD122">
        <v>-0.86</v>
      </c>
      <c r="AE122" s="14">
        <f t="shared" si="358"/>
        <v>-1.2679532033332321</v>
      </c>
      <c r="AF122" s="14">
        <f t="shared" si="359"/>
        <v>-1.1580556456265501</v>
      </c>
      <c r="AG122" s="14">
        <f t="shared" si="374"/>
        <v>-1.00835053382647</v>
      </c>
      <c r="AH122" s="14">
        <f t="shared" si="382"/>
        <v>-2.694923414570098</v>
      </c>
      <c r="AI122" s="14">
        <f t="shared" si="390"/>
        <v>-1.2511250193968915</v>
      </c>
      <c r="AJ122" s="14">
        <f t="shared" si="398"/>
        <v>-0.73160526457513686</v>
      </c>
      <c r="AK122" s="14">
        <f t="shared" si="406"/>
        <v>-0.46360744019192984</v>
      </c>
      <c r="AL122" s="14">
        <f t="shared" si="414"/>
        <v>-0.71620263050756428</v>
      </c>
      <c r="AM122" s="14">
        <f t="shared" si="422"/>
        <v>-3.1140000122719211</v>
      </c>
      <c r="AN122" s="14">
        <f t="shared" si="430"/>
        <v>-0.56471430325200378</v>
      </c>
      <c r="AO122" s="14">
        <f t="shared" si="438"/>
        <v>-0.68838104442297177</v>
      </c>
      <c r="AP122">
        <v>3</v>
      </c>
      <c r="AQ122">
        <f t="shared" si="360"/>
        <v>3</v>
      </c>
      <c r="AR122">
        <f t="shared" si="364"/>
        <v>3</v>
      </c>
      <c r="AS122">
        <f t="shared" si="369"/>
        <v>3</v>
      </c>
      <c r="AT122">
        <f t="shared" si="377"/>
        <v>5</v>
      </c>
      <c r="AU122">
        <f t="shared" si="385"/>
        <v>3</v>
      </c>
      <c r="AV122">
        <f t="shared" si="393"/>
        <v>3</v>
      </c>
      <c r="AW122">
        <f t="shared" si="401"/>
        <v>3</v>
      </c>
      <c r="AX122">
        <f t="shared" si="409"/>
        <v>3</v>
      </c>
      <c r="AY122">
        <f t="shared" si="417"/>
        <v>5</v>
      </c>
      <c r="AZ122">
        <f t="shared" si="425"/>
        <v>3</v>
      </c>
      <c r="BA122">
        <f t="shared" si="433"/>
        <v>3</v>
      </c>
      <c r="BB122">
        <v>10</v>
      </c>
      <c r="BC122">
        <f t="shared" si="361"/>
        <v>19</v>
      </c>
      <c r="BD122">
        <f t="shared" si="365"/>
        <v>18</v>
      </c>
      <c r="BE122">
        <f t="shared" si="370"/>
        <v>38</v>
      </c>
      <c r="BF122">
        <f t="shared" si="378"/>
        <v>31</v>
      </c>
      <c r="BG122">
        <f t="shared" si="386"/>
        <v>35</v>
      </c>
      <c r="BH122">
        <f t="shared" si="394"/>
        <v>1</v>
      </c>
      <c r="BI122">
        <f t="shared" si="402"/>
        <v>9</v>
      </c>
      <c r="BJ122">
        <f t="shared" si="410"/>
        <v>15</v>
      </c>
      <c r="BK122">
        <f t="shared" si="418"/>
        <v>39</v>
      </c>
      <c r="BL122">
        <f t="shared" si="426"/>
        <v>11</v>
      </c>
      <c r="BM122">
        <f t="shared" si="434"/>
        <v>3</v>
      </c>
      <c r="BZ122" s="12">
        <f t="shared" si="330"/>
        <v>-4.0630000000000006</v>
      </c>
      <c r="CA122" s="12">
        <f t="shared" si="362"/>
        <v>-3.1721052631578699</v>
      </c>
      <c r="CB122" s="12">
        <f t="shared" si="366"/>
        <v>-3.0555555555555554</v>
      </c>
      <c r="CC122" s="12">
        <f t="shared" si="375"/>
        <v>-1.2663157894736814</v>
      </c>
      <c r="CD122" s="12">
        <f t="shared" si="383"/>
        <v>-4.17096774193549</v>
      </c>
      <c r="CE122" s="12">
        <f t="shared" si="391"/>
        <v>-1.7277142857142931</v>
      </c>
      <c r="CF122" s="12">
        <f t="shared" si="399"/>
        <v>-35.319999999999709</v>
      </c>
      <c r="CG122" s="12">
        <f t="shared" si="407"/>
        <v>-2.4755555555555273</v>
      </c>
      <c r="CH122" s="12">
        <f t="shared" si="415"/>
        <v>-2.2986666666666378</v>
      </c>
      <c r="CI122" s="12">
        <f t="shared" si="423"/>
        <v>-3.9038461538461537</v>
      </c>
      <c r="CJ122" s="12">
        <f t="shared" si="431"/>
        <v>-2.467272727272757</v>
      </c>
      <c r="CK122" s="12">
        <f t="shared" si="439"/>
        <v>-11.016666666666728</v>
      </c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>
        <f t="shared" si="331"/>
        <v>-76.172985494761321</v>
      </c>
      <c r="CY122" s="12">
        <f t="shared" si="332"/>
        <v>-72.502644265501786</v>
      </c>
      <c r="CZ122" s="12">
        <f t="shared" si="333"/>
        <v>-71.878139752098647</v>
      </c>
      <c r="DA122" s="12">
        <f t="shared" si="334"/>
        <v>-51.702116461303874</v>
      </c>
      <c r="DB122" s="12">
        <f t="shared" si="335"/>
        <v>-76.517675121361208</v>
      </c>
      <c r="DC122" s="12">
        <f t="shared" si="336"/>
        <v>-59.937767065340694</v>
      </c>
      <c r="DD122" s="12">
        <f t="shared" si="337"/>
        <v>-88.378242428990546</v>
      </c>
      <c r="DE122" s="12">
        <f t="shared" si="338"/>
        <v>-68.003767902939458</v>
      </c>
      <c r="DF122" s="12">
        <f t="shared" si="339"/>
        <v>-66.4892830306446</v>
      </c>
      <c r="DG122" s="12">
        <f t="shared" si="340"/>
        <v>-75.63218743532633</v>
      </c>
      <c r="DH122" s="12">
        <f t="shared" si="341"/>
        <v>-67.937000947295402</v>
      </c>
      <c r="DI122" s="12">
        <f t="shared" si="342"/>
        <v>-84.813386639824586</v>
      </c>
      <c r="DJ122" t="s">
        <v>19</v>
      </c>
      <c r="DK122" t="str">
        <f t="shared" si="363"/>
        <v>LL</v>
      </c>
      <c r="DL122" t="str">
        <f t="shared" si="367"/>
        <v>LL</v>
      </c>
      <c r="DM122" t="str">
        <f t="shared" si="371"/>
        <v>HL</v>
      </c>
      <c r="DN122" t="str">
        <f t="shared" si="379"/>
        <v>LL</v>
      </c>
      <c r="DO122" t="str">
        <f t="shared" si="387"/>
        <v>LL</v>
      </c>
      <c r="DP122" t="str">
        <f t="shared" si="395"/>
        <v>HL</v>
      </c>
      <c r="DQ122" t="str">
        <f t="shared" si="403"/>
        <v>HL</v>
      </c>
      <c r="DR122" t="str">
        <f t="shared" si="411"/>
        <v>HL</v>
      </c>
      <c r="DS122" t="str">
        <f t="shared" si="419"/>
        <v>LL</v>
      </c>
      <c r="DT122" t="str">
        <f t="shared" si="427"/>
        <v>HL</v>
      </c>
      <c r="DU122" t="str">
        <f t="shared" si="435"/>
        <v>LL</v>
      </c>
      <c r="DV122">
        <f t="shared" si="343"/>
        <v>0.18786318436637126</v>
      </c>
      <c r="DW122">
        <f t="shared" si="344"/>
        <v>0.21518873845601921</v>
      </c>
      <c r="DX122">
        <f t="shared" si="372"/>
        <v>0.84901350480117521</v>
      </c>
      <c r="DY122">
        <f t="shared" si="380"/>
        <v>-0.33409759492428998</v>
      </c>
      <c r="DZ122">
        <f t="shared" si="388"/>
        <v>1.8897328500125852</v>
      </c>
      <c r="EA122">
        <f t="shared" si="396"/>
        <v>2.3090093205757123</v>
      </c>
      <c r="EB122">
        <f t="shared" si="404"/>
        <v>2.1187978464047683</v>
      </c>
      <c r="EC122">
        <f t="shared" si="412"/>
        <v>2.0395964357230376</v>
      </c>
      <c r="ED122">
        <f t="shared" si="420"/>
        <v>1.1250442972849459</v>
      </c>
      <c r="EE122">
        <f t="shared" si="428"/>
        <v>2.0188887892644667</v>
      </c>
      <c r="EF122">
        <f t="shared" si="436"/>
        <v>1.7891833501983128</v>
      </c>
      <c r="EG122" s="13" t="str">
        <f t="shared" si="345"/>
        <v>EQL</v>
      </c>
      <c r="EH122" s="13" t="str">
        <f t="shared" si="346"/>
        <v>EQL</v>
      </c>
      <c r="EI122" s="13" t="str">
        <f t="shared" si="347"/>
        <v/>
      </c>
      <c r="EJ122" s="13" t="str">
        <f t="shared" si="348"/>
        <v/>
      </c>
      <c r="EK122" s="13" t="str">
        <f t="shared" si="349"/>
        <v/>
      </c>
      <c r="EL122" s="13" t="str">
        <f t="shared" si="350"/>
        <v/>
      </c>
      <c r="EM122" s="13" t="str">
        <f t="shared" si="351"/>
        <v/>
      </c>
      <c r="EN122" s="13" t="str">
        <f t="shared" si="352"/>
        <v/>
      </c>
      <c r="EO122" s="13" t="str">
        <f t="shared" si="353"/>
        <v/>
      </c>
      <c r="EP122" s="13" t="str">
        <f t="shared" si="354"/>
        <v/>
      </c>
      <c r="EQ122" s="13" t="str">
        <f t="shared" si="355"/>
        <v/>
      </c>
    </row>
    <row r="123" spans="1:147" ht="14.25" customHeight="1" x14ac:dyDescent="0.55000000000000004">
      <c r="A123">
        <v>1776948304</v>
      </c>
      <c r="B123" t="s">
        <v>16</v>
      </c>
      <c r="C123" t="s">
        <v>17</v>
      </c>
      <c r="D123">
        <v>4740.04</v>
      </c>
      <c r="E123" t="s">
        <v>20</v>
      </c>
      <c r="F123">
        <v>4743.22</v>
      </c>
      <c r="G123">
        <v>4724.8900000000003</v>
      </c>
      <c r="H123">
        <v>4753.33</v>
      </c>
      <c r="I123">
        <f t="shared" si="368"/>
        <v>4749.34</v>
      </c>
      <c r="J123">
        <f t="shared" si="376"/>
        <v>4772.1499999999996</v>
      </c>
      <c r="K123">
        <f t="shared" si="384"/>
        <v>4797.91</v>
      </c>
      <c r="L123">
        <f t="shared" si="392"/>
        <v>4833.25</v>
      </c>
      <c r="M123">
        <f t="shared" si="400"/>
        <v>4827.74</v>
      </c>
      <c r="N123">
        <f t="shared" si="408"/>
        <v>4805.79</v>
      </c>
      <c r="O123">
        <f t="shared" si="416"/>
        <v>4814.28</v>
      </c>
      <c r="P123">
        <f t="shared" si="424"/>
        <v>4889.21</v>
      </c>
      <c r="Q123">
        <f t="shared" si="432"/>
        <v>4805.97</v>
      </c>
      <c r="R123">
        <v>58.96</v>
      </c>
      <c r="S123">
        <f t="shared" si="356"/>
        <v>31.829999999999927</v>
      </c>
      <c r="T123">
        <f t="shared" si="357"/>
        <v>58.989999999999782</v>
      </c>
      <c r="U123">
        <f t="shared" si="373"/>
        <v>25.3100000000004</v>
      </c>
      <c r="V123">
        <f t="shared" si="381"/>
        <v>103.53999999999996</v>
      </c>
      <c r="W123">
        <f t="shared" si="389"/>
        <v>25.130000000000109</v>
      </c>
      <c r="X123">
        <f t="shared" si="397"/>
        <v>40.829999999999927</v>
      </c>
      <c r="Y123">
        <f t="shared" si="405"/>
        <v>44.229999999999563</v>
      </c>
      <c r="Z123">
        <f t="shared" si="413"/>
        <v>25.989999999999782</v>
      </c>
      <c r="AA123">
        <f t="shared" si="421"/>
        <v>77.319999999999709</v>
      </c>
      <c r="AB123">
        <f t="shared" si="429"/>
        <v>110.38000000000011</v>
      </c>
      <c r="AC123">
        <f t="shared" si="437"/>
        <v>37.900000000000546</v>
      </c>
      <c r="AD123">
        <v>1.26</v>
      </c>
      <c r="AE123" s="14">
        <f t="shared" si="358"/>
        <v>0.67823552223921968</v>
      </c>
      <c r="AF123" s="14">
        <f t="shared" si="359"/>
        <v>1.2566196739051663</v>
      </c>
      <c r="AG123" s="14">
        <f t="shared" si="374"/>
        <v>0.53577136470345021</v>
      </c>
      <c r="AH123" s="14">
        <f t="shared" si="382"/>
        <v>2.2177907342870782</v>
      </c>
      <c r="AI123" s="14">
        <f t="shared" si="390"/>
        <v>0.52652751645791573</v>
      </c>
      <c r="AJ123" s="14">
        <f t="shared" si="398"/>
        <v>0.85197040326181606</v>
      </c>
      <c r="AK123" s="14">
        <f t="shared" si="406"/>
        <v>0.92463483927073564</v>
      </c>
      <c r="AL123" s="14">
        <f t="shared" si="414"/>
        <v>0.54374660027615762</v>
      </c>
      <c r="AM123" s="14">
        <f t="shared" si="422"/>
        <v>1.6322704857123493</v>
      </c>
      <c r="AN123" s="14">
        <f t="shared" si="430"/>
        <v>2.3097703831272529</v>
      </c>
      <c r="AO123" s="14">
        <f t="shared" si="438"/>
        <v>0.79487088067080702</v>
      </c>
      <c r="AP123">
        <v>0</v>
      </c>
      <c r="AQ123">
        <f t="shared" si="360"/>
        <v>0</v>
      </c>
      <c r="AR123">
        <f t="shared" si="364"/>
        <v>0</v>
      </c>
      <c r="AS123">
        <f t="shared" si="369"/>
        <v>0</v>
      </c>
      <c r="AT123">
        <f t="shared" si="377"/>
        <v>0</v>
      </c>
      <c r="AU123">
        <f t="shared" si="385"/>
        <v>0</v>
      </c>
      <c r="AV123">
        <f t="shared" si="393"/>
        <v>0</v>
      </c>
      <c r="AW123">
        <f t="shared" si="401"/>
        <v>0</v>
      </c>
      <c r="AX123">
        <f t="shared" si="409"/>
        <v>0</v>
      </c>
      <c r="AY123">
        <f t="shared" si="417"/>
        <v>0</v>
      </c>
      <c r="AZ123">
        <f t="shared" si="425"/>
        <v>0</v>
      </c>
      <c r="BA123">
        <f t="shared" si="433"/>
        <v>0</v>
      </c>
      <c r="BB123">
        <v>9</v>
      </c>
      <c r="BC123">
        <f t="shared" si="361"/>
        <v>10</v>
      </c>
      <c r="BD123">
        <f t="shared" si="365"/>
        <v>2</v>
      </c>
      <c r="BE123">
        <f t="shared" si="370"/>
        <v>9</v>
      </c>
      <c r="BF123">
        <f t="shared" si="378"/>
        <v>42</v>
      </c>
      <c r="BG123">
        <f t="shared" si="386"/>
        <v>19</v>
      </c>
      <c r="BH123">
        <f t="shared" si="394"/>
        <v>26</v>
      </c>
      <c r="BI123">
        <f t="shared" si="402"/>
        <v>20</v>
      </c>
      <c r="BJ123">
        <f t="shared" si="410"/>
        <v>7</v>
      </c>
      <c r="BK123">
        <f t="shared" si="418"/>
        <v>8</v>
      </c>
      <c r="BL123">
        <f t="shared" si="426"/>
        <v>21</v>
      </c>
      <c r="BM123">
        <f t="shared" si="434"/>
        <v>14</v>
      </c>
      <c r="BZ123" s="12">
        <f t="shared" si="330"/>
        <v>6.5511111111111111</v>
      </c>
      <c r="CA123" s="12">
        <f t="shared" si="362"/>
        <v>3.1829999999999927</v>
      </c>
      <c r="CB123" s="12">
        <f t="shared" si="366"/>
        <v>29.494999999999891</v>
      </c>
      <c r="CC123" s="12">
        <f t="shared" si="375"/>
        <v>2.8122222222222666</v>
      </c>
      <c r="CD123" s="12">
        <f t="shared" si="383"/>
        <v>2.4652380952380946</v>
      </c>
      <c r="CE123" s="12">
        <f t="shared" si="391"/>
        <v>1.3226315789473742</v>
      </c>
      <c r="CF123" s="12">
        <f t="shared" si="399"/>
        <v>1.5703846153846126</v>
      </c>
      <c r="CG123" s="12">
        <f t="shared" si="407"/>
        <v>2.2114999999999783</v>
      </c>
      <c r="CH123" s="12">
        <f t="shared" si="415"/>
        <v>3.7128571428571115</v>
      </c>
      <c r="CI123" s="12">
        <f t="shared" si="423"/>
        <v>9.6649999999999636</v>
      </c>
      <c r="CJ123" s="12">
        <f t="shared" si="431"/>
        <v>5.256190476190481</v>
      </c>
      <c r="CK123" s="12">
        <f t="shared" si="439"/>
        <v>2.7071428571428959</v>
      </c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>
        <f t="shared" si="331"/>
        <v>81.32103141094349</v>
      </c>
      <c r="CY123" s="12">
        <f t="shared" si="332"/>
        <v>72.558896664180452</v>
      </c>
      <c r="CZ123" s="12">
        <f t="shared" si="333"/>
        <v>88.058184739753287</v>
      </c>
      <c r="DA123" s="12">
        <f t="shared" si="334"/>
        <v>70.425087793519481</v>
      </c>
      <c r="DB123" s="12">
        <f t="shared" si="335"/>
        <v>67.920541049100663</v>
      </c>
      <c r="DC123" s="12">
        <f t="shared" si="336"/>
        <v>52.908224174916235</v>
      </c>
      <c r="DD123" s="12">
        <f t="shared" si="337"/>
        <v>57.511558968355409</v>
      </c>
      <c r="DE123" s="12">
        <f t="shared" si="338"/>
        <v>65.668383995105074</v>
      </c>
      <c r="DF123" s="12">
        <f t="shared" si="339"/>
        <v>74.925977849623436</v>
      </c>
      <c r="DG123" s="12">
        <f t="shared" si="340"/>
        <v>84.092847611726654</v>
      </c>
      <c r="DH123" s="12">
        <f t="shared" si="341"/>
        <v>79.22810598462658</v>
      </c>
      <c r="DI123" s="12">
        <f t="shared" si="342"/>
        <v>69.726115955861374</v>
      </c>
      <c r="DJ123" t="s">
        <v>23</v>
      </c>
      <c r="DK123" t="str">
        <f t="shared" si="363"/>
        <v>LH</v>
      </c>
      <c r="DL123" t="str">
        <f t="shared" si="367"/>
        <v>HH</v>
      </c>
      <c r="DM123" t="str">
        <f t="shared" si="371"/>
        <v>LH</v>
      </c>
      <c r="DN123" t="str">
        <f t="shared" si="379"/>
        <v>LH</v>
      </c>
      <c r="DO123" t="str">
        <f t="shared" si="387"/>
        <v>LH</v>
      </c>
      <c r="DP123" t="str">
        <f t="shared" si="395"/>
        <v>HH</v>
      </c>
      <c r="DQ123" t="str">
        <f t="shared" si="403"/>
        <v>HH</v>
      </c>
      <c r="DR123" t="str">
        <f t="shared" si="411"/>
        <v>LH</v>
      </c>
      <c r="DS123" t="str">
        <f t="shared" si="419"/>
        <v>LH</v>
      </c>
      <c r="DT123" t="str">
        <f t="shared" si="427"/>
        <v>HH</v>
      </c>
      <c r="DU123" t="str">
        <f t="shared" si="435"/>
        <v>HH</v>
      </c>
      <c r="DV123">
        <f t="shared" si="343"/>
        <v>-0.38644633814159846</v>
      </c>
      <c r="DW123">
        <f t="shared" si="344"/>
        <v>0.21314634362310145</v>
      </c>
      <c r="DX123">
        <f t="shared" si="372"/>
        <v>0.12902627329113747</v>
      </c>
      <c r="DY123">
        <f t="shared" si="380"/>
        <v>0.60992321671774408</v>
      </c>
      <c r="DZ123">
        <f t="shared" si="388"/>
        <v>1.1530141971065984</v>
      </c>
      <c r="EA123">
        <f t="shared" si="396"/>
        <v>1.8980776771897516</v>
      </c>
      <c r="EB123">
        <f t="shared" si="404"/>
        <v>1.7819118657789332</v>
      </c>
      <c r="EC123">
        <f t="shared" si="412"/>
        <v>1.3191460653311402</v>
      </c>
      <c r="ED123">
        <f t="shared" si="420"/>
        <v>1.498138395436001</v>
      </c>
      <c r="EE123">
        <f t="shared" si="428"/>
        <v>3.07786693427671</v>
      </c>
      <c r="EF123">
        <f t="shared" si="436"/>
        <v>1.3229409557220622</v>
      </c>
      <c r="EG123" s="13" t="str">
        <f t="shared" si="345"/>
        <v/>
      </c>
      <c r="EH123" s="13" t="str">
        <f t="shared" si="346"/>
        <v/>
      </c>
      <c r="EI123" s="13" t="str">
        <f t="shared" si="347"/>
        <v>EQH</v>
      </c>
      <c r="EJ123" s="13" t="str">
        <f t="shared" si="348"/>
        <v/>
      </c>
      <c r="EK123" s="13" t="str">
        <f t="shared" si="349"/>
        <v/>
      </c>
      <c r="EL123" s="13" t="str">
        <f t="shared" si="350"/>
        <v/>
      </c>
      <c r="EM123" s="13" t="str">
        <f t="shared" si="351"/>
        <v/>
      </c>
      <c r="EN123" s="13" t="str">
        <f t="shared" si="352"/>
        <v/>
      </c>
      <c r="EO123" s="13" t="str">
        <f t="shared" si="353"/>
        <v/>
      </c>
      <c r="EP123" s="13" t="str">
        <f t="shared" si="354"/>
        <v/>
      </c>
      <c r="EQ123" s="13" t="str">
        <f t="shared" si="355"/>
        <v/>
      </c>
    </row>
    <row r="124" spans="1:147" ht="14.25" customHeight="1" x14ac:dyDescent="0.55000000000000004">
      <c r="A124">
        <v>1776966304</v>
      </c>
      <c r="B124" t="s">
        <v>16</v>
      </c>
      <c r="C124" t="s">
        <v>17</v>
      </c>
      <c r="D124">
        <v>4709.41</v>
      </c>
      <c r="E124" t="s">
        <v>18</v>
      </c>
      <c r="F124">
        <v>4664.3</v>
      </c>
      <c r="G124">
        <v>4684.26</v>
      </c>
      <c r="H124">
        <v>4693.0600000000004</v>
      </c>
      <c r="I124">
        <f t="shared" si="368"/>
        <v>4694.34</v>
      </c>
      <c r="J124">
        <f t="shared" si="376"/>
        <v>4724.03</v>
      </c>
      <c r="K124">
        <f t="shared" si="384"/>
        <v>4668.6099999999997</v>
      </c>
      <c r="L124">
        <f t="shared" si="392"/>
        <v>4772.78</v>
      </c>
      <c r="M124">
        <f t="shared" si="400"/>
        <v>4792.42</v>
      </c>
      <c r="N124">
        <f t="shared" si="408"/>
        <v>4783.51</v>
      </c>
      <c r="O124">
        <f t="shared" si="416"/>
        <v>4779.8</v>
      </c>
      <c r="P124">
        <f t="shared" si="424"/>
        <v>4736.96</v>
      </c>
      <c r="Q124">
        <f t="shared" si="432"/>
        <v>4778.83</v>
      </c>
      <c r="R124">
        <v>-78.92</v>
      </c>
      <c r="S124">
        <f t="shared" si="356"/>
        <v>-40.630000000000109</v>
      </c>
      <c r="T124">
        <f t="shared" si="357"/>
        <v>-60.269999999999527</v>
      </c>
      <c r="U124">
        <f t="shared" si="373"/>
        <v>-55</v>
      </c>
      <c r="V124">
        <f t="shared" si="381"/>
        <v>-48.119999999999891</v>
      </c>
      <c r="W124">
        <f t="shared" si="389"/>
        <v>-129.30000000000018</v>
      </c>
      <c r="X124">
        <f t="shared" si="397"/>
        <v>-60.470000000000255</v>
      </c>
      <c r="Y124">
        <f t="shared" si="405"/>
        <v>-35.319999999999709</v>
      </c>
      <c r="Z124">
        <f t="shared" si="413"/>
        <v>-22.279999999999745</v>
      </c>
      <c r="AA124">
        <f t="shared" si="421"/>
        <v>-34.479999999999563</v>
      </c>
      <c r="AB124">
        <f t="shared" si="429"/>
        <v>-152.25</v>
      </c>
      <c r="AC124">
        <f t="shared" si="437"/>
        <v>-27.140000000000327</v>
      </c>
      <c r="AD124">
        <v>-1.66</v>
      </c>
      <c r="AE124" s="14">
        <f t="shared" si="358"/>
        <v>-0.8599141990607212</v>
      </c>
      <c r="AF124" s="14">
        <f t="shared" si="359"/>
        <v>-1.2679532033332321</v>
      </c>
      <c r="AG124" s="14">
        <f t="shared" si="374"/>
        <v>-1.1580556456265501</v>
      </c>
      <c r="AH124" s="14">
        <f t="shared" si="382"/>
        <v>-1.00835053382647</v>
      </c>
      <c r="AI124" s="14">
        <f t="shared" si="390"/>
        <v>-2.694923414570098</v>
      </c>
      <c r="AJ124" s="14">
        <f t="shared" si="398"/>
        <v>-1.2511250193968915</v>
      </c>
      <c r="AK124" s="14">
        <f t="shared" si="406"/>
        <v>-0.73160526457513686</v>
      </c>
      <c r="AL124" s="14">
        <f t="shared" si="414"/>
        <v>-0.46360744019192984</v>
      </c>
      <c r="AM124" s="14">
        <f t="shared" si="422"/>
        <v>-0.71620263050756428</v>
      </c>
      <c r="AN124" s="14">
        <f t="shared" si="430"/>
        <v>-3.1140000122719211</v>
      </c>
      <c r="AO124" s="14">
        <f t="shared" si="438"/>
        <v>-0.56471430325200378</v>
      </c>
      <c r="AP124">
        <v>3</v>
      </c>
      <c r="AQ124">
        <f t="shared" si="360"/>
        <v>3</v>
      </c>
      <c r="AR124">
        <f t="shared" si="364"/>
        <v>3</v>
      </c>
      <c r="AS124">
        <f t="shared" si="369"/>
        <v>3</v>
      </c>
      <c r="AT124">
        <f t="shared" si="377"/>
        <v>3</v>
      </c>
      <c r="AU124">
        <f t="shared" si="385"/>
        <v>5</v>
      </c>
      <c r="AV124">
        <f t="shared" si="393"/>
        <v>3</v>
      </c>
      <c r="AW124">
        <f t="shared" si="401"/>
        <v>3</v>
      </c>
      <c r="AX124">
        <f t="shared" si="409"/>
        <v>3</v>
      </c>
      <c r="AY124">
        <f t="shared" si="417"/>
        <v>3</v>
      </c>
      <c r="AZ124">
        <f t="shared" si="425"/>
        <v>5</v>
      </c>
      <c r="BA124">
        <f t="shared" si="433"/>
        <v>3</v>
      </c>
      <c r="BB124">
        <v>20</v>
      </c>
      <c r="BC124">
        <f t="shared" si="361"/>
        <v>10</v>
      </c>
      <c r="BD124">
        <f t="shared" si="365"/>
        <v>19</v>
      </c>
      <c r="BE124">
        <f t="shared" si="370"/>
        <v>18</v>
      </c>
      <c r="BF124">
        <f t="shared" si="378"/>
        <v>38</v>
      </c>
      <c r="BG124">
        <f t="shared" si="386"/>
        <v>31</v>
      </c>
      <c r="BH124">
        <f t="shared" si="394"/>
        <v>35</v>
      </c>
      <c r="BI124">
        <f t="shared" si="402"/>
        <v>1</v>
      </c>
      <c r="BJ124">
        <f t="shared" si="410"/>
        <v>9</v>
      </c>
      <c r="BK124">
        <f t="shared" si="418"/>
        <v>15</v>
      </c>
      <c r="BL124">
        <f t="shared" si="426"/>
        <v>39</v>
      </c>
      <c r="BM124">
        <f t="shared" si="434"/>
        <v>11</v>
      </c>
      <c r="BZ124" s="12">
        <f t="shared" si="330"/>
        <v>-3.9460000000000002</v>
      </c>
      <c r="CA124" s="12">
        <f t="shared" si="362"/>
        <v>-4.0630000000000113</v>
      </c>
      <c r="CB124" s="12">
        <f t="shared" si="366"/>
        <v>-3.1721052631578699</v>
      </c>
      <c r="CC124" s="12">
        <f t="shared" si="375"/>
        <v>-3.0555555555555554</v>
      </c>
      <c r="CD124" s="12">
        <f t="shared" si="383"/>
        <v>-1.2663157894736814</v>
      </c>
      <c r="CE124" s="12">
        <f t="shared" si="391"/>
        <v>-4.17096774193549</v>
      </c>
      <c r="CF124" s="12">
        <f t="shared" si="399"/>
        <v>-1.7277142857142931</v>
      </c>
      <c r="CG124" s="12">
        <f t="shared" si="407"/>
        <v>-35.319999999999709</v>
      </c>
      <c r="CH124" s="12">
        <f t="shared" si="415"/>
        <v>-2.4755555555555273</v>
      </c>
      <c r="CI124" s="12">
        <f t="shared" si="423"/>
        <v>-2.2986666666666378</v>
      </c>
      <c r="CJ124" s="12">
        <f t="shared" si="431"/>
        <v>-3.9038461538461537</v>
      </c>
      <c r="CK124" s="12">
        <f t="shared" si="439"/>
        <v>-2.467272727272757</v>
      </c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>
        <f t="shared" si="331"/>
        <v>-75.779416600103374</v>
      </c>
      <c r="CY124" s="12">
        <f t="shared" si="332"/>
        <v>-76.172985494761349</v>
      </c>
      <c r="CZ124" s="12">
        <f t="shared" si="333"/>
        <v>-72.502644265501786</v>
      </c>
      <c r="DA124" s="12">
        <f t="shared" si="334"/>
        <v>-71.878139752098647</v>
      </c>
      <c r="DB124" s="12">
        <f t="shared" si="335"/>
        <v>-51.702116461303874</v>
      </c>
      <c r="DC124" s="12">
        <f t="shared" si="336"/>
        <v>-76.517675121361208</v>
      </c>
      <c r="DD124" s="12">
        <f t="shared" si="337"/>
        <v>-59.937767065340694</v>
      </c>
      <c r="DE124" s="12">
        <f t="shared" si="338"/>
        <v>-88.378242428990546</v>
      </c>
      <c r="DF124" s="12">
        <f t="shared" si="339"/>
        <v>-68.003767902939458</v>
      </c>
      <c r="DG124" s="12">
        <f t="shared" si="340"/>
        <v>-66.4892830306446</v>
      </c>
      <c r="DH124" s="12">
        <f t="shared" si="341"/>
        <v>-75.63218743532633</v>
      </c>
      <c r="DI124" s="12">
        <f t="shared" si="342"/>
        <v>-67.937000947295402</v>
      </c>
      <c r="DJ124" t="s">
        <v>19</v>
      </c>
      <c r="DK124" t="str">
        <f t="shared" si="363"/>
        <v>LL</v>
      </c>
      <c r="DL124" t="str">
        <f t="shared" si="367"/>
        <v>LL</v>
      </c>
      <c r="DM124" t="str">
        <f t="shared" si="371"/>
        <v>LL</v>
      </c>
      <c r="DN124" t="str">
        <f t="shared" si="379"/>
        <v>HL</v>
      </c>
      <c r="DO124" t="str">
        <f t="shared" si="387"/>
        <v>LL</v>
      </c>
      <c r="DP124" t="str">
        <f t="shared" si="395"/>
        <v>LL</v>
      </c>
      <c r="DQ124" t="str">
        <f t="shared" si="403"/>
        <v>HL</v>
      </c>
      <c r="DR124" t="str">
        <f t="shared" si="411"/>
        <v>HL</v>
      </c>
      <c r="DS124" t="str">
        <f t="shared" si="419"/>
        <v>HL</v>
      </c>
      <c r="DT124" t="str">
        <f t="shared" si="427"/>
        <v>LL</v>
      </c>
      <c r="DU124" t="str">
        <f t="shared" si="435"/>
        <v>HL</v>
      </c>
      <c r="DV124">
        <f t="shared" si="343"/>
        <v>0.42793130802049684</v>
      </c>
      <c r="DW124">
        <f t="shared" si="344"/>
        <v>0.61659841776901603</v>
      </c>
      <c r="DX124">
        <f t="shared" si="372"/>
        <v>0.6440409064597038</v>
      </c>
      <c r="DY124">
        <f t="shared" si="380"/>
        <v>1.2805780074180384</v>
      </c>
      <c r="DZ124">
        <f t="shared" si="388"/>
        <v>9.2404004888182373E-2</v>
      </c>
      <c r="EA124">
        <f t="shared" si="396"/>
        <v>2.3257509165362342</v>
      </c>
      <c r="EB124">
        <f t="shared" si="404"/>
        <v>2.7468216023840637</v>
      </c>
      <c r="EC124">
        <f t="shared" si="412"/>
        <v>2.5557961537636951</v>
      </c>
      <c r="ED124">
        <f t="shared" si="420"/>
        <v>2.4762558154492633</v>
      </c>
      <c r="EE124">
        <f t="shared" si="428"/>
        <v>1.5577900220826244</v>
      </c>
      <c r="EF124">
        <f t="shared" si="436"/>
        <v>2.4554595544883422</v>
      </c>
      <c r="EG124" s="13" t="str">
        <f t="shared" si="345"/>
        <v/>
      </c>
      <c r="EH124" s="13" t="str">
        <f t="shared" si="346"/>
        <v/>
      </c>
      <c r="EI124" s="13" t="str">
        <f t="shared" si="347"/>
        <v/>
      </c>
      <c r="EJ124" s="13" t="str">
        <f t="shared" si="348"/>
        <v/>
      </c>
      <c r="EK124" s="13" t="str">
        <f t="shared" si="349"/>
        <v/>
      </c>
      <c r="EL124" s="13" t="str">
        <f t="shared" si="350"/>
        <v/>
      </c>
      <c r="EM124" s="13" t="str">
        <f t="shared" si="351"/>
        <v/>
      </c>
      <c r="EN124" s="13" t="str">
        <f t="shared" si="352"/>
        <v/>
      </c>
      <c r="EO124" s="13" t="str">
        <f t="shared" si="353"/>
        <v/>
      </c>
      <c r="EP124" s="13" t="str">
        <f t="shared" si="354"/>
        <v/>
      </c>
      <c r="EQ124" s="13" t="str">
        <f t="shared" si="355"/>
        <v/>
      </c>
    </row>
    <row r="125" spans="1:147" ht="14.25" customHeight="1" x14ac:dyDescent="0.55000000000000004">
      <c r="A125">
        <v>1776993304</v>
      </c>
      <c r="B125" t="s">
        <v>16</v>
      </c>
      <c r="C125" t="s">
        <v>17</v>
      </c>
      <c r="D125">
        <v>4698.41</v>
      </c>
      <c r="E125" t="s">
        <v>20</v>
      </c>
      <c r="F125">
        <v>4711.2299999999996</v>
      </c>
      <c r="G125">
        <v>4743.22</v>
      </c>
      <c r="H125">
        <v>4724.8900000000003</v>
      </c>
      <c r="I125">
        <f t="shared" si="368"/>
        <v>4753.33</v>
      </c>
      <c r="J125">
        <f t="shared" si="376"/>
        <v>4749.34</v>
      </c>
      <c r="K125">
        <f t="shared" si="384"/>
        <v>4772.1499999999996</v>
      </c>
      <c r="L125">
        <f t="shared" si="392"/>
        <v>4797.91</v>
      </c>
      <c r="M125">
        <f t="shared" si="400"/>
        <v>4833.25</v>
      </c>
      <c r="N125">
        <f t="shared" si="408"/>
        <v>4827.74</v>
      </c>
      <c r="O125">
        <f t="shared" si="416"/>
        <v>4805.79</v>
      </c>
      <c r="P125">
        <f t="shared" si="424"/>
        <v>4814.28</v>
      </c>
      <c r="Q125">
        <f t="shared" si="432"/>
        <v>4889.21</v>
      </c>
      <c r="R125">
        <v>46.93</v>
      </c>
      <c r="S125">
        <f t="shared" si="356"/>
        <v>58.960000000000036</v>
      </c>
      <c r="T125">
        <f t="shared" si="357"/>
        <v>31.829999999999927</v>
      </c>
      <c r="U125">
        <f t="shared" si="373"/>
        <v>58.989999999999782</v>
      </c>
      <c r="V125">
        <f t="shared" si="381"/>
        <v>25.3100000000004</v>
      </c>
      <c r="W125">
        <f t="shared" si="389"/>
        <v>103.53999999999996</v>
      </c>
      <c r="X125">
        <f t="shared" si="397"/>
        <v>25.130000000000109</v>
      </c>
      <c r="Y125">
        <f t="shared" si="405"/>
        <v>40.829999999999927</v>
      </c>
      <c r="Z125">
        <f t="shared" si="413"/>
        <v>44.229999999999563</v>
      </c>
      <c r="AA125">
        <f t="shared" si="421"/>
        <v>25.989999999999782</v>
      </c>
      <c r="AB125">
        <f t="shared" si="429"/>
        <v>77.319999999999709</v>
      </c>
      <c r="AC125">
        <f t="shared" si="437"/>
        <v>110.38000000000011</v>
      </c>
      <c r="AD125">
        <v>1.01</v>
      </c>
      <c r="AE125" s="14">
        <f t="shared" si="358"/>
        <v>1.258683335254662</v>
      </c>
      <c r="AF125" s="14">
        <f t="shared" si="359"/>
        <v>0.67823552223921968</v>
      </c>
      <c r="AG125" s="14">
        <f t="shared" si="374"/>
        <v>1.2566196739051663</v>
      </c>
      <c r="AH125" s="14">
        <f t="shared" si="382"/>
        <v>0.53577136470345021</v>
      </c>
      <c r="AI125" s="14">
        <f t="shared" si="390"/>
        <v>2.2177907342870782</v>
      </c>
      <c r="AJ125" s="14">
        <f t="shared" si="398"/>
        <v>0.52652751645791573</v>
      </c>
      <c r="AK125" s="14">
        <f t="shared" si="406"/>
        <v>0.85197040326181606</v>
      </c>
      <c r="AL125" s="14">
        <f t="shared" si="414"/>
        <v>0.92463483927073564</v>
      </c>
      <c r="AM125" s="14">
        <f t="shared" si="422"/>
        <v>0.54374660027615762</v>
      </c>
      <c r="AN125" s="14">
        <f t="shared" si="430"/>
        <v>1.6322704857123493</v>
      </c>
      <c r="AO125" s="14">
        <f t="shared" si="438"/>
        <v>2.3097703831272529</v>
      </c>
      <c r="AP125">
        <v>0</v>
      </c>
      <c r="AQ125">
        <f t="shared" si="360"/>
        <v>0</v>
      </c>
      <c r="AR125">
        <f t="shared" si="364"/>
        <v>0</v>
      </c>
      <c r="AS125">
        <f t="shared" si="369"/>
        <v>0</v>
      </c>
      <c r="AT125">
        <f t="shared" si="377"/>
        <v>0</v>
      </c>
      <c r="AU125">
        <f t="shared" si="385"/>
        <v>0</v>
      </c>
      <c r="AV125">
        <f t="shared" si="393"/>
        <v>0</v>
      </c>
      <c r="AW125">
        <f t="shared" si="401"/>
        <v>0</v>
      </c>
      <c r="AX125">
        <f t="shared" si="409"/>
        <v>0</v>
      </c>
      <c r="AY125">
        <f t="shared" si="417"/>
        <v>0</v>
      </c>
      <c r="AZ125">
        <f t="shared" si="425"/>
        <v>0</v>
      </c>
      <c r="BA125">
        <f t="shared" si="433"/>
        <v>0</v>
      </c>
      <c r="BB125">
        <v>26</v>
      </c>
      <c r="BC125">
        <f t="shared" si="361"/>
        <v>9</v>
      </c>
      <c r="BD125">
        <f t="shared" si="365"/>
        <v>10</v>
      </c>
      <c r="BE125">
        <f t="shared" si="370"/>
        <v>2</v>
      </c>
      <c r="BF125">
        <f t="shared" si="378"/>
        <v>9</v>
      </c>
      <c r="BG125">
        <f t="shared" si="386"/>
        <v>42</v>
      </c>
      <c r="BH125">
        <f t="shared" si="394"/>
        <v>19</v>
      </c>
      <c r="BI125">
        <f t="shared" si="402"/>
        <v>26</v>
      </c>
      <c r="BJ125">
        <f t="shared" si="410"/>
        <v>20</v>
      </c>
      <c r="BK125">
        <f t="shared" si="418"/>
        <v>7</v>
      </c>
      <c r="BL125">
        <f t="shared" si="426"/>
        <v>8</v>
      </c>
      <c r="BM125">
        <f t="shared" si="434"/>
        <v>21</v>
      </c>
      <c r="BZ125" s="12">
        <f t="shared" si="330"/>
        <v>1.8049999999999999</v>
      </c>
      <c r="CA125" s="12">
        <f t="shared" si="362"/>
        <v>6.5511111111111155</v>
      </c>
      <c r="CB125" s="12">
        <f t="shared" si="366"/>
        <v>3.1829999999999927</v>
      </c>
      <c r="CC125" s="12">
        <f t="shared" si="375"/>
        <v>29.494999999999891</v>
      </c>
      <c r="CD125" s="12">
        <f t="shared" si="383"/>
        <v>2.8122222222222666</v>
      </c>
      <c r="CE125" s="12">
        <f t="shared" si="391"/>
        <v>2.4652380952380946</v>
      </c>
      <c r="CF125" s="12">
        <f t="shared" si="399"/>
        <v>1.3226315789473742</v>
      </c>
      <c r="CG125" s="12">
        <f t="shared" si="407"/>
        <v>1.5703846153846126</v>
      </c>
      <c r="CH125" s="12">
        <f t="shared" si="415"/>
        <v>2.2114999999999783</v>
      </c>
      <c r="CI125" s="12">
        <f t="shared" si="423"/>
        <v>3.7128571428571115</v>
      </c>
      <c r="CJ125" s="12">
        <f t="shared" si="431"/>
        <v>9.6649999999999636</v>
      </c>
      <c r="CK125" s="12">
        <f t="shared" si="439"/>
        <v>5.256190476190481</v>
      </c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>
        <f t="shared" si="331"/>
        <v>61.012818533385335</v>
      </c>
      <c r="CY125" s="12">
        <f t="shared" si="332"/>
        <v>81.321031410943505</v>
      </c>
      <c r="CZ125" s="12">
        <f t="shared" si="333"/>
        <v>72.558896664180452</v>
      </c>
      <c r="DA125" s="12">
        <f t="shared" si="334"/>
        <v>88.058184739753287</v>
      </c>
      <c r="DB125" s="12">
        <f t="shared" si="335"/>
        <v>70.425087793519481</v>
      </c>
      <c r="DC125" s="12">
        <f t="shared" si="336"/>
        <v>67.920541049100663</v>
      </c>
      <c r="DD125" s="12">
        <f t="shared" si="337"/>
        <v>52.908224174916235</v>
      </c>
      <c r="DE125" s="12">
        <f t="shared" si="338"/>
        <v>57.511558968355409</v>
      </c>
      <c r="DF125" s="12">
        <f t="shared" si="339"/>
        <v>65.668383995105074</v>
      </c>
      <c r="DG125" s="12">
        <f t="shared" si="340"/>
        <v>74.925977849623436</v>
      </c>
      <c r="DH125" s="12">
        <f t="shared" si="341"/>
        <v>84.092847611726654</v>
      </c>
      <c r="DI125" s="12">
        <f t="shared" si="342"/>
        <v>79.22810598462658</v>
      </c>
      <c r="DJ125" t="s">
        <v>21</v>
      </c>
      <c r="DK125" t="str">
        <f t="shared" si="363"/>
        <v>HH</v>
      </c>
      <c r="DL125" t="str">
        <f t="shared" si="367"/>
        <v>LH</v>
      </c>
      <c r="DM125" t="str">
        <f t="shared" si="371"/>
        <v>HH</v>
      </c>
      <c r="DN125" t="str">
        <f t="shared" si="379"/>
        <v>LH</v>
      </c>
      <c r="DO125" t="str">
        <f t="shared" si="387"/>
        <v>LH</v>
      </c>
      <c r="DP125" t="str">
        <f t="shared" si="395"/>
        <v>LH</v>
      </c>
      <c r="DQ125" t="str">
        <f t="shared" si="403"/>
        <v>HH</v>
      </c>
      <c r="DR125" t="str">
        <f t="shared" si="411"/>
        <v>HH</v>
      </c>
      <c r="DS125" t="str">
        <f t="shared" si="419"/>
        <v>LH</v>
      </c>
      <c r="DT125" t="str">
        <f t="shared" si="427"/>
        <v>LH</v>
      </c>
      <c r="DU125" t="str">
        <f t="shared" si="435"/>
        <v>HH</v>
      </c>
      <c r="DV125">
        <f t="shared" si="343"/>
        <v>0.67901588332560059</v>
      </c>
      <c r="DW125">
        <f t="shared" si="344"/>
        <v>0.28994551316749051</v>
      </c>
      <c r="DX125">
        <f t="shared" si="372"/>
        <v>0.89360952447663056</v>
      </c>
      <c r="DY125">
        <f t="shared" si="380"/>
        <v>0.80891826550604806</v>
      </c>
      <c r="DZ125">
        <f t="shared" si="388"/>
        <v>1.2930805755609487</v>
      </c>
      <c r="EA125">
        <f t="shared" si="396"/>
        <v>1.8398592299675518</v>
      </c>
      <c r="EB125">
        <f t="shared" si="404"/>
        <v>2.5899818094213285</v>
      </c>
      <c r="EC125">
        <f t="shared" si="412"/>
        <v>2.4730272137000364</v>
      </c>
      <c r="ED125">
        <f t="shared" si="420"/>
        <v>2.0071191599646041</v>
      </c>
      <c r="EE125">
        <f t="shared" si="428"/>
        <v>2.1873268764208116</v>
      </c>
      <c r="EF125">
        <f t="shared" si="436"/>
        <v>3.777782022953676</v>
      </c>
      <c r="EG125" s="13" t="str">
        <f t="shared" si="345"/>
        <v/>
      </c>
      <c r="EH125" s="13" t="str">
        <f t="shared" si="346"/>
        <v/>
      </c>
      <c r="EI125" s="13" t="str">
        <f t="shared" si="347"/>
        <v/>
      </c>
      <c r="EJ125" s="13" t="str">
        <f t="shared" si="348"/>
        <v/>
      </c>
      <c r="EK125" s="13" t="str">
        <f t="shared" si="349"/>
        <v/>
      </c>
      <c r="EL125" s="13" t="str">
        <f t="shared" si="350"/>
        <v/>
      </c>
      <c r="EM125" s="13" t="str">
        <f t="shared" si="351"/>
        <v/>
      </c>
      <c r="EN125" s="13" t="str">
        <f t="shared" si="352"/>
        <v/>
      </c>
      <c r="EO125" s="13" t="str">
        <f t="shared" si="353"/>
        <v/>
      </c>
      <c r="EP125" s="13" t="str">
        <f t="shared" si="354"/>
        <v/>
      </c>
      <c r="EQ125" s="13" t="str">
        <f t="shared" si="355"/>
        <v/>
      </c>
    </row>
    <row r="126" spans="1:147" ht="14.25" customHeight="1" x14ac:dyDescent="0.55000000000000004">
      <c r="A126">
        <v>1777005004</v>
      </c>
      <c r="B126" t="s">
        <v>16</v>
      </c>
      <c r="C126" t="s">
        <v>17</v>
      </c>
      <c r="D126">
        <v>4668.58</v>
      </c>
      <c r="E126" t="s">
        <v>18</v>
      </c>
      <c r="F126">
        <v>4658.17</v>
      </c>
      <c r="G126">
        <v>4664.3</v>
      </c>
      <c r="H126">
        <v>4684.26</v>
      </c>
      <c r="I126">
        <f t="shared" si="368"/>
        <v>4693.0600000000004</v>
      </c>
      <c r="J126">
        <f t="shared" si="376"/>
        <v>4694.34</v>
      </c>
      <c r="K126">
        <f t="shared" si="384"/>
        <v>4724.03</v>
      </c>
      <c r="L126">
        <f t="shared" si="392"/>
        <v>4668.6099999999997</v>
      </c>
      <c r="M126">
        <f t="shared" si="400"/>
        <v>4772.78</v>
      </c>
      <c r="N126">
        <f t="shared" si="408"/>
        <v>4792.42</v>
      </c>
      <c r="O126">
        <f t="shared" si="416"/>
        <v>4783.51</v>
      </c>
      <c r="P126">
        <f t="shared" si="424"/>
        <v>4779.8</v>
      </c>
      <c r="Q126">
        <f t="shared" si="432"/>
        <v>4736.96</v>
      </c>
      <c r="R126">
        <v>-53.06</v>
      </c>
      <c r="S126">
        <f t="shared" si="356"/>
        <v>-78.920000000000073</v>
      </c>
      <c r="T126">
        <f t="shared" si="357"/>
        <v>-40.630000000000109</v>
      </c>
      <c r="U126">
        <f t="shared" si="373"/>
        <v>-60.269999999999527</v>
      </c>
      <c r="V126">
        <f t="shared" si="381"/>
        <v>-55</v>
      </c>
      <c r="W126">
        <f t="shared" si="389"/>
        <v>-48.119999999999891</v>
      </c>
      <c r="X126">
        <f t="shared" si="397"/>
        <v>-129.30000000000018</v>
      </c>
      <c r="Y126">
        <f t="shared" si="405"/>
        <v>-60.470000000000255</v>
      </c>
      <c r="Z126">
        <f t="shared" si="413"/>
        <v>-35.319999999999709</v>
      </c>
      <c r="AA126">
        <f t="shared" si="421"/>
        <v>-22.279999999999745</v>
      </c>
      <c r="AB126">
        <f t="shared" si="429"/>
        <v>-34.479999999999563</v>
      </c>
      <c r="AC126">
        <f t="shared" si="437"/>
        <v>-152.25</v>
      </c>
      <c r="AD126">
        <v>-1.1299999999999999</v>
      </c>
      <c r="AE126" s="14">
        <f t="shared" si="358"/>
        <v>-1.6638486091726732</v>
      </c>
      <c r="AF126" s="14">
        <f t="shared" si="359"/>
        <v>-0.8599141990607212</v>
      </c>
      <c r="AG126" s="14">
        <f t="shared" si="374"/>
        <v>-1.2679532033332321</v>
      </c>
      <c r="AH126" s="14">
        <f t="shared" si="382"/>
        <v>-1.1580556456265501</v>
      </c>
      <c r="AI126" s="14">
        <f t="shared" si="390"/>
        <v>-1.00835053382647</v>
      </c>
      <c r="AJ126" s="14">
        <f t="shared" si="398"/>
        <v>-2.694923414570098</v>
      </c>
      <c r="AK126" s="14">
        <f t="shared" si="406"/>
        <v>-1.2511250193968915</v>
      </c>
      <c r="AL126" s="14">
        <f t="shared" si="414"/>
        <v>-0.73160526457513686</v>
      </c>
      <c r="AM126" s="14">
        <f t="shared" si="422"/>
        <v>-0.46360744019192984</v>
      </c>
      <c r="AN126" s="14">
        <f t="shared" si="430"/>
        <v>-0.71620263050756428</v>
      </c>
      <c r="AO126" s="14">
        <f t="shared" si="438"/>
        <v>-3.1140000122719211</v>
      </c>
      <c r="AP126">
        <v>3</v>
      </c>
      <c r="AQ126">
        <f t="shared" si="360"/>
        <v>3</v>
      </c>
      <c r="AR126">
        <f t="shared" si="364"/>
        <v>3</v>
      </c>
      <c r="AS126">
        <f t="shared" si="369"/>
        <v>3</v>
      </c>
      <c r="AT126">
        <f t="shared" si="377"/>
        <v>3</v>
      </c>
      <c r="AU126">
        <f t="shared" si="385"/>
        <v>3</v>
      </c>
      <c r="AV126">
        <f t="shared" si="393"/>
        <v>5</v>
      </c>
      <c r="AW126">
        <f t="shared" si="401"/>
        <v>3</v>
      </c>
      <c r="AX126">
        <f t="shared" si="409"/>
        <v>3</v>
      </c>
      <c r="AY126">
        <f t="shared" si="417"/>
        <v>3</v>
      </c>
      <c r="AZ126">
        <f t="shared" si="425"/>
        <v>3</v>
      </c>
      <c r="BA126">
        <f t="shared" si="433"/>
        <v>5</v>
      </c>
      <c r="BB126">
        <v>13</v>
      </c>
      <c r="BC126">
        <f t="shared" si="361"/>
        <v>20</v>
      </c>
      <c r="BD126">
        <f t="shared" si="365"/>
        <v>10</v>
      </c>
      <c r="BE126">
        <f t="shared" si="370"/>
        <v>19</v>
      </c>
      <c r="BF126">
        <f t="shared" si="378"/>
        <v>18</v>
      </c>
      <c r="BG126">
        <f t="shared" si="386"/>
        <v>38</v>
      </c>
      <c r="BH126">
        <f t="shared" si="394"/>
        <v>31</v>
      </c>
      <c r="BI126">
        <f t="shared" si="402"/>
        <v>35</v>
      </c>
      <c r="BJ126">
        <f t="shared" si="410"/>
        <v>1</v>
      </c>
      <c r="BK126">
        <f t="shared" si="418"/>
        <v>9</v>
      </c>
      <c r="BL126">
        <f t="shared" si="426"/>
        <v>15</v>
      </c>
      <c r="BM126">
        <f t="shared" si="434"/>
        <v>39</v>
      </c>
      <c r="BZ126" s="12">
        <f t="shared" si="330"/>
        <v>-4.0815384615384618</v>
      </c>
      <c r="CA126" s="12">
        <f t="shared" si="362"/>
        <v>-3.9460000000000037</v>
      </c>
      <c r="CB126" s="12">
        <f t="shared" si="366"/>
        <v>-4.0630000000000113</v>
      </c>
      <c r="CC126" s="12">
        <f t="shared" si="375"/>
        <v>-3.1721052631578699</v>
      </c>
      <c r="CD126" s="12">
        <f t="shared" si="383"/>
        <v>-3.0555555555555554</v>
      </c>
      <c r="CE126" s="12">
        <f t="shared" si="391"/>
        <v>-1.2663157894736814</v>
      </c>
      <c r="CF126" s="12">
        <f t="shared" si="399"/>
        <v>-4.17096774193549</v>
      </c>
      <c r="CG126" s="12">
        <f t="shared" si="407"/>
        <v>-1.7277142857142931</v>
      </c>
      <c r="CH126" s="12">
        <f t="shared" si="415"/>
        <v>-35.319999999999709</v>
      </c>
      <c r="CI126" s="12">
        <f t="shared" si="423"/>
        <v>-2.4755555555555273</v>
      </c>
      <c r="CJ126" s="12">
        <f t="shared" si="431"/>
        <v>-2.2986666666666378</v>
      </c>
      <c r="CK126" s="12">
        <f t="shared" si="439"/>
        <v>-3.9038461538461537</v>
      </c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>
        <f t="shared" si="331"/>
        <v>-76.233393709878143</v>
      </c>
      <c r="CY126" s="12">
        <f t="shared" si="332"/>
        <v>-75.779416600103389</v>
      </c>
      <c r="CZ126" s="12">
        <f t="shared" si="333"/>
        <v>-76.172985494761349</v>
      </c>
      <c r="DA126" s="12">
        <f t="shared" si="334"/>
        <v>-72.502644265501786</v>
      </c>
      <c r="DB126" s="12">
        <f t="shared" si="335"/>
        <v>-71.878139752098647</v>
      </c>
      <c r="DC126" s="12">
        <f t="shared" si="336"/>
        <v>-51.702116461303874</v>
      </c>
      <c r="DD126" s="12">
        <f t="shared" si="337"/>
        <v>-76.517675121361208</v>
      </c>
      <c r="DE126" s="12">
        <f t="shared" si="338"/>
        <v>-59.937767065340694</v>
      </c>
      <c r="DF126" s="12">
        <f t="shared" si="339"/>
        <v>-88.378242428990546</v>
      </c>
      <c r="DG126" s="12">
        <f t="shared" si="340"/>
        <v>-68.003767902939458</v>
      </c>
      <c r="DH126" s="12">
        <f t="shared" si="341"/>
        <v>-66.4892830306446</v>
      </c>
      <c r="DI126" s="12">
        <f t="shared" si="342"/>
        <v>-75.63218743532633</v>
      </c>
      <c r="DJ126" t="s">
        <v>19</v>
      </c>
      <c r="DK126" t="str">
        <f t="shared" si="363"/>
        <v>LL</v>
      </c>
      <c r="DL126" t="str">
        <f t="shared" si="367"/>
        <v>LL</v>
      </c>
      <c r="DM126" t="str">
        <f t="shared" si="371"/>
        <v>LL</v>
      </c>
      <c r="DN126" t="str">
        <f t="shared" si="379"/>
        <v>LL</v>
      </c>
      <c r="DO126" t="str">
        <f t="shared" si="387"/>
        <v>HL</v>
      </c>
      <c r="DP126" t="str">
        <f t="shared" si="395"/>
        <v>LL</v>
      </c>
      <c r="DQ126" t="str">
        <f t="shared" si="403"/>
        <v>LL</v>
      </c>
      <c r="DR126" t="str">
        <f t="shared" si="411"/>
        <v>HL</v>
      </c>
      <c r="DS126" t="str">
        <f t="shared" si="419"/>
        <v>HL</v>
      </c>
      <c r="DT126" t="str">
        <f t="shared" si="427"/>
        <v>HL</v>
      </c>
      <c r="DU126" t="str">
        <f t="shared" si="435"/>
        <v>LL</v>
      </c>
      <c r="DV126">
        <f t="shared" si="343"/>
        <v>0.13159674292694576</v>
      </c>
      <c r="DW126">
        <f t="shared" si="344"/>
        <v>0.56009119461076229</v>
      </c>
      <c r="DX126">
        <f t="shared" si="372"/>
        <v>0.74900658413068499</v>
      </c>
      <c r="DY126">
        <f t="shared" si="380"/>
        <v>0.77648518624266771</v>
      </c>
      <c r="DZ126">
        <f t="shared" si="388"/>
        <v>1.413859949293385</v>
      </c>
      <c r="EA126">
        <f t="shared" si="396"/>
        <v>0.22412234847589504</v>
      </c>
      <c r="EB126">
        <f t="shared" si="404"/>
        <v>2.460408271917935</v>
      </c>
      <c r="EC126">
        <f t="shared" si="412"/>
        <v>2.8820330730737607</v>
      </c>
      <c r="ED126">
        <f t="shared" si="420"/>
        <v>2.6907562411848462</v>
      </c>
      <c r="EE126">
        <f t="shared" si="428"/>
        <v>2.6111112303758794</v>
      </c>
      <c r="EF126">
        <f t="shared" si="436"/>
        <v>1.691436765940272</v>
      </c>
      <c r="EG126" s="13" t="str">
        <f t="shared" si="345"/>
        <v>EQL</v>
      </c>
      <c r="EH126" s="13" t="str">
        <f t="shared" si="346"/>
        <v/>
      </c>
      <c r="EI126" s="13" t="str">
        <f t="shared" si="347"/>
        <v/>
      </c>
      <c r="EJ126" s="13" t="str">
        <f t="shared" si="348"/>
        <v/>
      </c>
      <c r="EK126" s="13" t="str">
        <f t="shared" si="349"/>
        <v/>
      </c>
      <c r="EL126" s="13" t="str">
        <f t="shared" si="350"/>
        <v/>
      </c>
      <c r="EM126" s="13" t="str">
        <f t="shared" si="351"/>
        <v/>
      </c>
      <c r="EN126" s="13" t="str">
        <f t="shared" si="352"/>
        <v/>
      </c>
      <c r="EO126" s="13" t="str">
        <f t="shared" si="353"/>
        <v/>
      </c>
      <c r="EP126" s="13" t="str">
        <f t="shared" si="354"/>
        <v/>
      </c>
      <c r="EQ126" s="13" t="str">
        <f t="shared" si="355"/>
        <v/>
      </c>
    </row>
    <row r="127" spans="1:147" ht="14.25" customHeight="1" x14ac:dyDescent="0.55000000000000004">
      <c r="A127">
        <v>1777018504</v>
      </c>
      <c r="B127" t="s">
        <v>16</v>
      </c>
      <c r="C127" t="s">
        <v>17</v>
      </c>
      <c r="D127">
        <v>4687.83</v>
      </c>
      <c r="E127" t="s">
        <v>20</v>
      </c>
      <c r="F127">
        <v>4697.42</v>
      </c>
      <c r="G127">
        <v>4711.2299999999996</v>
      </c>
      <c r="H127">
        <v>4743.22</v>
      </c>
      <c r="I127">
        <f t="shared" si="368"/>
        <v>4724.8900000000003</v>
      </c>
      <c r="J127">
        <f t="shared" si="376"/>
        <v>4753.33</v>
      </c>
      <c r="K127">
        <f t="shared" si="384"/>
        <v>4749.34</v>
      </c>
      <c r="L127">
        <f t="shared" si="392"/>
        <v>4772.1499999999996</v>
      </c>
      <c r="M127">
        <f t="shared" si="400"/>
        <v>4797.91</v>
      </c>
      <c r="N127">
        <f t="shared" si="408"/>
        <v>4833.25</v>
      </c>
      <c r="O127">
        <f t="shared" si="416"/>
        <v>4827.74</v>
      </c>
      <c r="P127">
        <f t="shared" si="424"/>
        <v>4805.79</v>
      </c>
      <c r="Q127">
        <f t="shared" si="432"/>
        <v>4814.28</v>
      </c>
      <c r="R127">
        <v>39.25</v>
      </c>
      <c r="S127">
        <f t="shared" si="356"/>
        <v>46.929999999999382</v>
      </c>
      <c r="T127">
        <f t="shared" si="357"/>
        <v>58.960000000000036</v>
      </c>
      <c r="U127">
        <f t="shared" si="373"/>
        <v>31.829999999999927</v>
      </c>
      <c r="V127">
        <f t="shared" si="381"/>
        <v>58.989999999999782</v>
      </c>
      <c r="W127">
        <f t="shared" si="389"/>
        <v>25.3100000000004</v>
      </c>
      <c r="X127">
        <f t="shared" si="397"/>
        <v>103.53999999999996</v>
      </c>
      <c r="Y127">
        <f t="shared" si="405"/>
        <v>25.130000000000109</v>
      </c>
      <c r="Z127">
        <f t="shared" si="413"/>
        <v>40.829999999999927</v>
      </c>
      <c r="AA127">
        <f t="shared" si="421"/>
        <v>44.229999999999563</v>
      </c>
      <c r="AB127">
        <f t="shared" si="429"/>
        <v>25.989999999999782</v>
      </c>
      <c r="AC127">
        <f t="shared" si="437"/>
        <v>77.319999999999709</v>
      </c>
      <c r="AD127">
        <v>0.84</v>
      </c>
      <c r="AE127" s="14">
        <f t="shared" si="358"/>
        <v>1.0061531205111032</v>
      </c>
      <c r="AF127" s="14">
        <f t="shared" si="359"/>
        <v>1.258683335254662</v>
      </c>
      <c r="AG127" s="14">
        <f t="shared" si="374"/>
        <v>0.67823552223921968</v>
      </c>
      <c r="AH127" s="14">
        <f t="shared" si="382"/>
        <v>1.2566196739051663</v>
      </c>
      <c r="AI127" s="14">
        <f t="shared" si="390"/>
        <v>0.53577136470345021</v>
      </c>
      <c r="AJ127" s="14">
        <f t="shared" si="398"/>
        <v>2.2177907342870782</v>
      </c>
      <c r="AK127" s="14">
        <f t="shared" si="406"/>
        <v>0.52652751645791573</v>
      </c>
      <c r="AL127" s="14">
        <f t="shared" si="414"/>
        <v>0.85197040326181606</v>
      </c>
      <c r="AM127" s="14">
        <f t="shared" si="422"/>
        <v>0.92463483927073564</v>
      </c>
      <c r="AN127" s="14">
        <f t="shared" si="430"/>
        <v>0.54374660027615762</v>
      </c>
      <c r="AO127" s="14">
        <f t="shared" si="438"/>
        <v>1.6322704857123493</v>
      </c>
      <c r="AP127">
        <v>0</v>
      </c>
      <c r="AQ127">
        <f t="shared" si="360"/>
        <v>0</v>
      </c>
      <c r="AR127">
        <f t="shared" si="364"/>
        <v>0</v>
      </c>
      <c r="AS127">
        <f t="shared" si="369"/>
        <v>0</v>
      </c>
      <c r="AT127">
        <f t="shared" si="377"/>
        <v>0</v>
      </c>
      <c r="AU127">
        <f t="shared" si="385"/>
        <v>0</v>
      </c>
      <c r="AV127">
        <f t="shared" si="393"/>
        <v>0</v>
      </c>
      <c r="AW127">
        <f t="shared" si="401"/>
        <v>0</v>
      </c>
      <c r="AX127">
        <f t="shared" si="409"/>
        <v>0</v>
      </c>
      <c r="AY127">
        <f t="shared" si="417"/>
        <v>0</v>
      </c>
      <c r="AZ127">
        <f t="shared" si="425"/>
        <v>0</v>
      </c>
      <c r="BA127">
        <f t="shared" si="433"/>
        <v>0</v>
      </c>
      <c r="BB127">
        <v>15</v>
      </c>
      <c r="BC127">
        <f t="shared" si="361"/>
        <v>26</v>
      </c>
      <c r="BD127">
        <f t="shared" si="365"/>
        <v>9</v>
      </c>
      <c r="BE127">
        <f t="shared" si="370"/>
        <v>10</v>
      </c>
      <c r="BF127">
        <f t="shared" si="378"/>
        <v>2</v>
      </c>
      <c r="BG127">
        <f t="shared" si="386"/>
        <v>9</v>
      </c>
      <c r="BH127">
        <f t="shared" si="394"/>
        <v>42</v>
      </c>
      <c r="BI127">
        <f t="shared" si="402"/>
        <v>19</v>
      </c>
      <c r="BJ127">
        <f t="shared" si="410"/>
        <v>26</v>
      </c>
      <c r="BK127">
        <f t="shared" si="418"/>
        <v>20</v>
      </c>
      <c r="BL127">
        <f t="shared" si="426"/>
        <v>7</v>
      </c>
      <c r="BM127">
        <f t="shared" si="434"/>
        <v>8</v>
      </c>
      <c r="BZ127" s="12">
        <f t="shared" si="330"/>
        <v>2.6166666666666667</v>
      </c>
      <c r="CA127" s="12">
        <f t="shared" si="362"/>
        <v>1.8049999999999762</v>
      </c>
      <c r="CB127" s="12">
        <f t="shared" si="366"/>
        <v>6.5511111111111155</v>
      </c>
      <c r="CC127" s="12">
        <f t="shared" si="375"/>
        <v>3.1829999999999927</v>
      </c>
      <c r="CD127" s="12">
        <f t="shared" si="383"/>
        <v>29.494999999999891</v>
      </c>
      <c r="CE127" s="12">
        <f t="shared" si="391"/>
        <v>2.8122222222222666</v>
      </c>
      <c r="CF127" s="12">
        <f t="shared" si="399"/>
        <v>2.4652380952380946</v>
      </c>
      <c r="CG127" s="12">
        <f t="shared" si="407"/>
        <v>1.3226315789473742</v>
      </c>
      <c r="CH127" s="12">
        <f t="shared" si="415"/>
        <v>1.5703846153846126</v>
      </c>
      <c r="CI127" s="12">
        <f t="shared" si="423"/>
        <v>2.2114999999999783</v>
      </c>
      <c r="CJ127" s="12">
        <f t="shared" si="431"/>
        <v>3.7128571428571115</v>
      </c>
      <c r="CK127" s="12">
        <f t="shared" si="439"/>
        <v>9.6649999999999636</v>
      </c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>
        <f t="shared" si="331"/>
        <v>69.084863370966843</v>
      </c>
      <c r="CY127" s="12">
        <f t="shared" si="332"/>
        <v>61.012818533385015</v>
      </c>
      <c r="CZ127" s="12">
        <f t="shared" si="333"/>
        <v>81.321031410943505</v>
      </c>
      <c r="DA127" s="12">
        <f t="shared" si="334"/>
        <v>72.558896664180452</v>
      </c>
      <c r="DB127" s="12">
        <f t="shared" si="335"/>
        <v>88.058184739753287</v>
      </c>
      <c r="DC127" s="12">
        <f t="shared" si="336"/>
        <v>70.425087793519481</v>
      </c>
      <c r="DD127" s="12">
        <f t="shared" si="337"/>
        <v>67.920541049100663</v>
      </c>
      <c r="DE127" s="12">
        <f t="shared" si="338"/>
        <v>52.908224174916235</v>
      </c>
      <c r="DF127" s="12">
        <f t="shared" si="339"/>
        <v>57.511558968355409</v>
      </c>
      <c r="DG127" s="12">
        <f t="shared" si="340"/>
        <v>65.668383995105074</v>
      </c>
      <c r="DH127" s="12">
        <f t="shared" si="341"/>
        <v>74.925977849623436</v>
      </c>
      <c r="DI127" s="12">
        <f t="shared" si="342"/>
        <v>84.092847611726654</v>
      </c>
      <c r="DJ127" t="s">
        <v>21</v>
      </c>
      <c r="DK127" t="str">
        <f t="shared" si="363"/>
        <v>LH</v>
      </c>
      <c r="DL127" t="str">
        <f t="shared" si="367"/>
        <v>HH</v>
      </c>
      <c r="DM127" t="str">
        <f t="shared" si="371"/>
        <v>LH</v>
      </c>
      <c r="DN127" t="str">
        <f t="shared" si="379"/>
        <v>HH</v>
      </c>
      <c r="DO127" t="str">
        <f t="shared" si="387"/>
        <v>LH</v>
      </c>
      <c r="DP127" t="str">
        <f t="shared" si="395"/>
        <v>LH</v>
      </c>
      <c r="DQ127" t="str">
        <f t="shared" si="403"/>
        <v>LH</v>
      </c>
      <c r="DR127" t="str">
        <f t="shared" si="411"/>
        <v>HH</v>
      </c>
      <c r="DS127" t="str">
        <f t="shared" si="419"/>
        <v>HH</v>
      </c>
      <c r="DT127" t="str">
        <f t="shared" si="427"/>
        <v>LH</v>
      </c>
      <c r="DU127" t="str">
        <f t="shared" si="435"/>
        <v>LH</v>
      </c>
      <c r="DV127">
        <f t="shared" si="343"/>
        <v>0.29399116962075972</v>
      </c>
      <c r="DW127">
        <f t="shared" si="344"/>
        <v>0.97500329968365995</v>
      </c>
      <c r="DX127">
        <f t="shared" si="372"/>
        <v>0.58478909699367421</v>
      </c>
      <c r="DY127">
        <f t="shared" si="380"/>
        <v>1.1902278271902418</v>
      </c>
      <c r="DZ127">
        <f t="shared" si="388"/>
        <v>1.1052875833968447</v>
      </c>
      <c r="EA127">
        <f t="shared" si="396"/>
        <v>1.590873287889939</v>
      </c>
      <c r="EB127">
        <f t="shared" si="404"/>
        <v>2.1392594232578688</v>
      </c>
      <c r="EC127">
        <f t="shared" si="412"/>
        <v>2.8915872968565708</v>
      </c>
      <c r="ED127">
        <f t="shared" si="420"/>
        <v>2.7742888649513926</v>
      </c>
      <c r="EE127">
        <f t="shared" si="428"/>
        <v>2.3070110826794261</v>
      </c>
      <c r="EF127">
        <f t="shared" si="436"/>
        <v>2.4877485939089898</v>
      </c>
      <c r="EG127" s="13" t="str">
        <f t="shared" si="345"/>
        <v/>
      </c>
      <c r="EH127" s="13" t="str">
        <f t="shared" si="346"/>
        <v/>
      </c>
      <c r="EI127" s="13" t="str">
        <f t="shared" si="347"/>
        <v/>
      </c>
      <c r="EJ127" s="13" t="str">
        <f t="shared" si="348"/>
        <v/>
      </c>
      <c r="EK127" s="13" t="str">
        <f t="shared" si="349"/>
        <v/>
      </c>
      <c r="EL127" s="13" t="str">
        <f t="shared" si="350"/>
        <v/>
      </c>
      <c r="EM127" s="13" t="str">
        <f t="shared" si="351"/>
        <v/>
      </c>
      <c r="EN127" s="13" t="str">
        <f t="shared" si="352"/>
        <v/>
      </c>
      <c r="EO127" s="13" t="str">
        <f t="shared" si="353"/>
        <v/>
      </c>
      <c r="EP127" s="13" t="str">
        <f t="shared" si="354"/>
        <v/>
      </c>
      <c r="EQ127" s="13" t="str">
        <f t="shared" si="355"/>
        <v/>
      </c>
    </row>
    <row r="128" spans="1:147" ht="14.25" customHeight="1" x14ac:dyDescent="0.55000000000000004">
      <c r="A128">
        <v>1777026604</v>
      </c>
      <c r="B128" t="s">
        <v>16</v>
      </c>
      <c r="C128" t="s">
        <v>17</v>
      </c>
      <c r="D128">
        <v>4679.01</v>
      </c>
      <c r="E128" t="s">
        <v>18</v>
      </c>
      <c r="F128">
        <v>4674.72</v>
      </c>
      <c r="G128">
        <v>4658.17</v>
      </c>
      <c r="H128">
        <v>4664.3</v>
      </c>
      <c r="I128">
        <f t="shared" si="368"/>
        <v>4684.26</v>
      </c>
      <c r="J128">
        <f t="shared" si="376"/>
        <v>4693.0600000000004</v>
      </c>
      <c r="K128">
        <f t="shared" si="384"/>
        <v>4694.34</v>
      </c>
      <c r="L128">
        <f t="shared" si="392"/>
        <v>4724.03</v>
      </c>
      <c r="M128">
        <f t="shared" si="400"/>
        <v>4668.6099999999997</v>
      </c>
      <c r="N128">
        <f t="shared" si="408"/>
        <v>4772.78</v>
      </c>
      <c r="O128">
        <f t="shared" si="416"/>
        <v>4792.42</v>
      </c>
      <c r="P128">
        <f t="shared" si="424"/>
        <v>4783.51</v>
      </c>
      <c r="Q128">
        <f t="shared" si="432"/>
        <v>4779.8</v>
      </c>
      <c r="R128">
        <v>-22.7</v>
      </c>
      <c r="S128">
        <f t="shared" si="356"/>
        <v>-53.059999999999491</v>
      </c>
      <c r="T128">
        <f t="shared" si="357"/>
        <v>-78.920000000000073</v>
      </c>
      <c r="U128">
        <f t="shared" si="373"/>
        <v>-40.630000000000109</v>
      </c>
      <c r="V128">
        <f t="shared" si="381"/>
        <v>-60.269999999999527</v>
      </c>
      <c r="W128">
        <f t="shared" si="389"/>
        <v>-55</v>
      </c>
      <c r="X128">
        <f t="shared" si="397"/>
        <v>-48.119999999999891</v>
      </c>
      <c r="Y128">
        <f t="shared" si="405"/>
        <v>-129.30000000000018</v>
      </c>
      <c r="Z128">
        <f t="shared" si="413"/>
        <v>-60.470000000000255</v>
      </c>
      <c r="AA128">
        <f t="shared" si="421"/>
        <v>-35.319999999999709</v>
      </c>
      <c r="AB128">
        <f t="shared" si="429"/>
        <v>-22.279999999999745</v>
      </c>
      <c r="AC128">
        <f t="shared" si="437"/>
        <v>-34.479999999999563</v>
      </c>
      <c r="AD128">
        <v>-0.48</v>
      </c>
      <c r="AE128" s="14">
        <f t="shared" si="358"/>
        <v>-1.1262451631527117</v>
      </c>
      <c r="AF128" s="14">
        <f t="shared" si="359"/>
        <v>-1.6638486091726732</v>
      </c>
      <c r="AG128" s="14">
        <f t="shared" si="374"/>
        <v>-0.8599141990607212</v>
      </c>
      <c r="AH128" s="14">
        <f t="shared" si="382"/>
        <v>-1.2679532033332321</v>
      </c>
      <c r="AI128" s="14">
        <f t="shared" si="390"/>
        <v>-1.1580556456265501</v>
      </c>
      <c r="AJ128" s="14">
        <f t="shared" si="398"/>
        <v>-1.00835053382647</v>
      </c>
      <c r="AK128" s="14">
        <f t="shared" si="406"/>
        <v>-2.694923414570098</v>
      </c>
      <c r="AL128" s="14">
        <f t="shared" si="414"/>
        <v>-1.2511250193968915</v>
      </c>
      <c r="AM128" s="14">
        <f t="shared" si="422"/>
        <v>-0.73160526457513686</v>
      </c>
      <c r="AN128" s="14">
        <f t="shared" si="430"/>
        <v>-0.46360744019192984</v>
      </c>
      <c r="AO128" s="14">
        <f t="shared" si="438"/>
        <v>-0.71620263050756428</v>
      </c>
      <c r="AP128">
        <v>3</v>
      </c>
      <c r="AQ128">
        <f t="shared" si="360"/>
        <v>3</v>
      </c>
      <c r="AR128">
        <f t="shared" si="364"/>
        <v>3</v>
      </c>
      <c r="AS128">
        <f t="shared" si="369"/>
        <v>3</v>
      </c>
      <c r="AT128">
        <f t="shared" si="377"/>
        <v>3</v>
      </c>
      <c r="AU128">
        <f t="shared" si="385"/>
        <v>3</v>
      </c>
      <c r="AV128">
        <f t="shared" si="393"/>
        <v>3</v>
      </c>
      <c r="AW128">
        <f t="shared" si="401"/>
        <v>5</v>
      </c>
      <c r="AX128">
        <f t="shared" si="409"/>
        <v>3</v>
      </c>
      <c r="AY128">
        <f t="shared" si="417"/>
        <v>3</v>
      </c>
      <c r="AZ128">
        <f t="shared" si="425"/>
        <v>3</v>
      </c>
      <c r="BA128">
        <f t="shared" si="433"/>
        <v>3</v>
      </c>
      <c r="BB128">
        <v>9</v>
      </c>
      <c r="BC128">
        <f t="shared" si="361"/>
        <v>13</v>
      </c>
      <c r="BD128">
        <f t="shared" si="365"/>
        <v>20</v>
      </c>
      <c r="BE128">
        <f t="shared" si="370"/>
        <v>10</v>
      </c>
      <c r="BF128">
        <f t="shared" si="378"/>
        <v>19</v>
      </c>
      <c r="BG128">
        <f t="shared" si="386"/>
        <v>18</v>
      </c>
      <c r="BH128">
        <f t="shared" si="394"/>
        <v>38</v>
      </c>
      <c r="BI128">
        <f t="shared" si="402"/>
        <v>31</v>
      </c>
      <c r="BJ128">
        <f t="shared" si="410"/>
        <v>35</v>
      </c>
      <c r="BK128">
        <f t="shared" si="418"/>
        <v>1</v>
      </c>
      <c r="BL128">
        <f t="shared" si="426"/>
        <v>9</v>
      </c>
      <c r="BM128">
        <f t="shared" si="434"/>
        <v>15</v>
      </c>
      <c r="BZ128" s="12">
        <f t="shared" si="330"/>
        <v>-2.5222222222222221</v>
      </c>
      <c r="CA128" s="12">
        <f t="shared" si="362"/>
        <v>-4.0815384615384227</v>
      </c>
      <c r="CB128" s="12">
        <f t="shared" si="366"/>
        <v>-3.9460000000000037</v>
      </c>
      <c r="CC128" s="12">
        <f t="shared" si="375"/>
        <v>-4.0630000000000113</v>
      </c>
      <c r="CD128" s="12">
        <f t="shared" si="383"/>
        <v>-3.1721052631578699</v>
      </c>
      <c r="CE128" s="12">
        <f t="shared" si="391"/>
        <v>-3.0555555555555554</v>
      </c>
      <c r="CF128" s="12">
        <f t="shared" si="399"/>
        <v>-1.2663157894736814</v>
      </c>
      <c r="CG128" s="12">
        <f t="shared" si="407"/>
        <v>-4.17096774193549</v>
      </c>
      <c r="CH128" s="12">
        <f t="shared" si="415"/>
        <v>-1.7277142857142931</v>
      </c>
      <c r="CI128" s="12">
        <f t="shared" si="423"/>
        <v>-35.319999999999709</v>
      </c>
      <c r="CJ128" s="12">
        <f t="shared" si="431"/>
        <v>-2.4755555555555273</v>
      </c>
      <c r="CK128" s="12">
        <f t="shared" si="439"/>
        <v>-2.2986666666666378</v>
      </c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>
        <f t="shared" si="331"/>
        <v>-68.372873716083205</v>
      </c>
      <c r="CY128" s="12">
        <f t="shared" si="332"/>
        <v>-76.233393709878015</v>
      </c>
      <c r="CZ128" s="12">
        <f t="shared" si="333"/>
        <v>-75.779416600103389</v>
      </c>
      <c r="DA128" s="12">
        <f t="shared" si="334"/>
        <v>-76.172985494761349</v>
      </c>
      <c r="DB128" s="12">
        <f t="shared" si="335"/>
        <v>-72.502644265501786</v>
      </c>
      <c r="DC128" s="12">
        <f t="shared" si="336"/>
        <v>-71.878139752098647</v>
      </c>
      <c r="DD128" s="12">
        <f t="shared" si="337"/>
        <v>-51.702116461303874</v>
      </c>
      <c r="DE128" s="12">
        <f t="shared" si="338"/>
        <v>-76.517675121361208</v>
      </c>
      <c r="DF128" s="12">
        <f t="shared" si="339"/>
        <v>-59.937767065340694</v>
      </c>
      <c r="DG128" s="12">
        <f t="shared" si="340"/>
        <v>-88.378242428990546</v>
      </c>
      <c r="DH128" s="12">
        <f t="shared" si="341"/>
        <v>-68.003767902939458</v>
      </c>
      <c r="DI128" s="12">
        <f t="shared" si="342"/>
        <v>-66.4892830306446</v>
      </c>
      <c r="DJ128" t="s">
        <v>22</v>
      </c>
      <c r="DK128" t="str">
        <f t="shared" si="363"/>
        <v>LL</v>
      </c>
      <c r="DL128" t="str">
        <f t="shared" si="367"/>
        <v>LL</v>
      </c>
      <c r="DM128" t="str">
        <f t="shared" si="371"/>
        <v>LL</v>
      </c>
      <c r="DN128" t="str">
        <f t="shared" si="379"/>
        <v>LL</v>
      </c>
      <c r="DO128" t="str">
        <f t="shared" si="387"/>
        <v>LL</v>
      </c>
      <c r="DP128" t="str">
        <f t="shared" si="395"/>
        <v>HL</v>
      </c>
      <c r="DQ128" t="str">
        <f t="shared" si="403"/>
        <v>LL</v>
      </c>
      <c r="DR128" t="str">
        <f t="shared" si="411"/>
        <v>LL</v>
      </c>
      <c r="DS128" t="str">
        <f t="shared" si="419"/>
        <v>HL</v>
      </c>
      <c r="DT128" t="str">
        <f t="shared" si="427"/>
        <v>HL</v>
      </c>
      <c r="DU128" t="str">
        <f t="shared" si="435"/>
        <v>HL</v>
      </c>
      <c r="DV128">
        <f t="shared" si="343"/>
        <v>-0.3540318992367496</v>
      </c>
      <c r="DW128">
        <f t="shared" si="344"/>
        <v>-0.2229010507581218</v>
      </c>
      <c r="DX128">
        <f t="shared" si="372"/>
        <v>0.2040763938802744</v>
      </c>
      <c r="DY128">
        <f t="shared" si="380"/>
        <v>0.39232296265872918</v>
      </c>
      <c r="DZ128">
        <f t="shared" si="388"/>
        <v>0.41970428175377111</v>
      </c>
      <c r="EA128">
        <f t="shared" si="396"/>
        <v>1.0548225348256044</v>
      </c>
      <c r="EB128">
        <f t="shared" si="404"/>
        <v>-0.13070301536777779</v>
      </c>
      <c r="EC128">
        <f t="shared" si="412"/>
        <v>2.0976657425471363</v>
      </c>
      <c r="ED128">
        <f t="shared" si="420"/>
        <v>2.5177978574117765</v>
      </c>
      <c r="EE128">
        <f t="shared" si="428"/>
        <v>2.3271982065235983</v>
      </c>
      <c r="EF128">
        <f t="shared" si="436"/>
        <v>2.2478351644590462</v>
      </c>
      <c r="EG128" s="13" t="str">
        <f t="shared" si="345"/>
        <v/>
      </c>
      <c r="EH128" s="13" t="str">
        <f t="shared" si="346"/>
        <v>EQL</v>
      </c>
      <c r="EI128" s="13" t="str">
        <f t="shared" si="347"/>
        <v>EQL</v>
      </c>
      <c r="EJ128" s="13" t="str">
        <f t="shared" si="348"/>
        <v/>
      </c>
      <c r="EK128" s="13" t="str">
        <f t="shared" si="349"/>
        <v/>
      </c>
      <c r="EL128" s="13" t="str">
        <f t="shared" si="350"/>
        <v/>
      </c>
      <c r="EM128" s="13" t="str">
        <f t="shared" si="351"/>
        <v/>
      </c>
      <c r="EN128" s="13" t="str">
        <f t="shared" si="352"/>
        <v/>
      </c>
      <c r="EO128" s="13" t="str">
        <f t="shared" si="353"/>
        <v/>
      </c>
      <c r="EP128" s="13" t="str">
        <f t="shared" si="354"/>
        <v/>
      </c>
      <c r="EQ128" s="13" t="str">
        <f t="shared" si="355"/>
        <v/>
      </c>
    </row>
    <row r="129" spans="1:147" ht="14.25" customHeight="1" x14ac:dyDescent="0.55000000000000004">
      <c r="A129">
        <v>1777039204</v>
      </c>
      <c r="B129" t="s">
        <v>16</v>
      </c>
      <c r="C129" t="s">
        <v>17</v>
      </c>
      <c r="D129">
        <v>4731.95</v>
      </c>
      <c r="E129" t="s">
        <v>20</v>
      </c>
      <c r="F129">
        <v>4740.49</v>
      </c>
      <c r="G129">
        <v>4697.42</v>
      </c>
      <c r="H129">
        <v>4711.2299999999996</v>
      </c>
      <c r="I129">
        <f t="shared" si="368"/>
        <v>4743.22</v>
      </c>
      <c r="J129">
        <f t="shared" si="376"/>
        <v>4724.8900000000003</v>
      </c>
      <c r="K129">
        <f t="shared" si="384"/>
        <v>4753.33</v>
      </c>
      <c r="L129">
        <f t="shared" si="392"/>
        <v>4749.34</v>
      </c>
      <c r="M129">
        <f t="shared" si="400"/>
        <v>4772.1499999999996</v>
      </c>
      <c r="N129">
        <f t="shared" si="408"/>
        <v>4797.91</v>
      </c>
      <c r="O129">
        <f t="shared" si="416"/>
        <v>4833.25</v>
      </c>
      <c r="P129">
        <f t="shared" si="424"/>
        <v>4827.74</v>
      </c>
      <c r="Q129">
        <f t="shared" si="432"/>
        <v>4805.79</v>
      </c>
      <c r="R129">
        <v>65.77</v>
      </c>
      <c r="S129">
        <f t="shared" si="356"/>
        <v>39.25</v>
      </c>
      <c r="T129">
        <f t="shared" si="357"/>
        <v>46.929999999999382</v>
      </c>
      <c r="U129">
        <f t="shared" si="373"/>
        <v>58.960000000000036</v>
      </c>
      <c r="V129">
        <f t="shared" si="381"/>
        <v>31.829999999999927</v>
      </c>
      <c r="W129">
        <f t="shared" si="389"/>
        <v>58.989999999999782</v>
      </c>
      <c r="X129">
        <f t="shared" si="397"/>
        <v>25.3100000000004</v>
      </c>
      <c r="Y129">
        <f t="shared" si="405"/>
        <v>103.53999999999996</v>
      </c>
      <c r="Z129">
        <f t="shared" si="413"/>
        <v>25.130000000000109</v>
      </c>
      <c r="AA129">
        <f t="shared" si="421"/>
        <v>40.829999999999927</v>
      </c>
      <c r="AB129">
        <f t="shared" si="429"/>
        <v>44.229999999999563</v>
      </c>
      <c r="AC129">
        <f t="shared" si="437"/>
        <v>25.989999999999782</v>
      </c>
      <c r="AD129">
        <v>1.41</v>
      </c>
      <c r="AE129" s="14">
        <f t="shared" si="358"/>
        <v>0.84260557257463764</v>
      </c>
      <c r="AF129" s="14">
        <f t="shared" si="359"/>
        <v>1.0061531205111032</v>
      </c>
      <c r="AG129" s="14">
        <f t="shared" si="374"/>
        <v>1.258683335254662</v>
      </c>
      <c r="AH129" s="14">
        <f t="shared" si="382"/>
        <v>0.67823552223921968</v>
      </c>
      <c r="AI129" s="14">
        <f t="shared" si="390"/>
        <v>1.2566196739051663</v>
      </c>
      <c r="AJ129" s="14">
        <f t="shared" si="398"/>
        <v>0.53577136470345021</v>
      </c>
      <c r="AK129" s="14">
        <f t="shared" si="406"/>
        <v>2.2177907342870782</v>
      </c>
      <c r="AL129" s="14">
        <f t="shared" si="414"/>
        <v>0.52652751645791573</v>
      </c>
      <c r="AM129" s="14">
        <f t="shared" si="422"/>
        <v>0.85197040326181606</v>
      </c>
      <c r="AN129" s="14">
        <f t="shared" si="430"/>
        <v>0.92463483927073564</v>
      </c>
      <c r="AO129" s="14">
        <f t="shared" si="438"/>
        <v>0.54374660027615762</v>
      </c>
      <c r="AP129">
        <v>0</v>
      </c>
      <c r="AQ129">
        <f t="shared" si="360"/>
        <v>0</v>
      </c>
      <c r="AR129">
        <f t="shared" si="364"/>
        <v>0</v>
      </c>
      <c r="AS129">
        <f t="shared" si="369"/>
        <v>0</v>
      </c>
      <c r="AT129">
        <f t="shared" si="377"/>
        <v>0</v>
      </c>
      <c r="AU129">
        <f t="shared" si="385"/>
        <v>0</v>
      </c>
      <c r="AV129">
        <f t="shared" si="393"/>
        <v>0</v>
      </c>
      <c r="AW129">
        <f t="shared" si="401"/>
        <v>0</v>
      </c>
      <c r="AX129">
        <f t="shared" si="409"/>
        <v>0</v>
      </c>
      <c r="AY129">
        <f t="shared" si="417"/>
        <v>0</v>
      </c>
      <c r="AZ129">
        <f t="shared" si="425"/>
        <v>0</v>
      </c>
      <c r="BA129">
        <f t="shared" si="433"/>
        <v>0</v>
      </c>
      <c r="BB129">
        <v>14</v>
      </c>
      <c r="BC129">
        <f t="shared" si="361"/>
        <v>15</v>
      </c>
      <c r="BD129">
        <f t="shared" si="365"/>
        <v>26</v>
      </c>
      <c r="BE129">
        <f t="shared" si="370"/>
        <v>9</v>
      </c>
      <c r="BF129">
        <f t="shared" si="378"/>
        <v>10</v>
      </c>
      <c r="BG129">
        <f t="shared" si="386"/>
        <v>2</v>
      </c>
      <c r="BH129">
        <f t="shared" si="394"/>
        <v>9</v>
      </c>
      <c r="BI129">
        <f t="shared" si="402"/>
        <v>42</v>
      </c>
      <c r="BJ129">
        <f t="shared" si="410"/>
        <v>19</v>
      </c>
      <c r="BK129">
        <f t="shared" si="418"/>
        <v>26</v>
      </c>
      <c r="BL129">
        <f t="shared" si="426"/>
        <v>20</v>
      </c>
      <c r="BM129">
        <f t="shared" si="434"/>
        <v>7</v>
      </c>
      <c r="BZ129" s="12">
        <f t="shared" si="330"/>
        <v>4.697857142857143</v>
      </c>
      <c r="CA129" s="12">
        <f t="shared" si="362"/>
        <v>2.6166666666666667</v>
      </c>
      <c r="CB129" s="12">
        <f t="shared" si="366"/>
        <v>1.8049999999999762</v>
      </c>
      <c r="CC129" s="12">
        <f t="shared" si="375"/>
        <v>6.5511111111111155</v>
      </c>
      <c r="CD129" s="12">
        <f t="shared" si="383"/>
        <v>3.1829999999999927</v>
      </c>
      <c r="CE129" s="12">
        <f t="shared" si="391"/>
        <v>29.494999999999891</v>
      </c>
      <c r="CF129" s="12">
        <f t="shared" si="399"/>
        <v>2.8122222222222666</v>
      </c>
      <c r="CG129" s="12">
        <f t="shared" si="407"/>
        <v>2.4652380952380946</v>
      </c>
      <c r="CH129" s="12">
        <f t="shared" si="415"/>
        <v>1.3226315789473742</v>
      </c>
      <c r="CI129" s="12">
        <f t="shared" si="423"/>
        <v>1.5703846153846126</v>
      </c>
      <c r="CJ129" s="12">
        <f t="shared" si="431"/>
        <v>2.2114999999999783</v>
      </c>
      <c r="CK129" s="12">
        <f t="shared" si="439"/>
        <v>3.7128571428571115</v>
      </c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>
        <f t="shared" si="331"/>
        <v>77.983201984084914</v>
      </c>
      <c r="CY129" s="12">
        <f t="shared" si="332"/>
        <v>69.084863370966843</v>
      </c>
      <c r="CZ129" s="12">
        <f t="shared" si="333"/>
        <v>61.012818533385015</v>
      </c>
      <c r="DA129" s="12">
        <f t="shared" si="334"/>
        <v>81.321031410943505</v>
      </c>
      <c r="DB129" s="12">
        <f t="shared" si="335"/>
        <v>72.558896664180452</v>
      </c>
      <c r="DC129" s="12">
        <f t="shared" si="336"/>
        <v>88.058184739753287</v>
      </c>
      <c r="DD129" s="12">
        <f t="shared" si="337"/>
        <v>70.425087793519481</v>
      </c>
      <c r="DE129" s="12">
        <f t="shared" si="338"/>
        <v>67.920541049100663</v>
      </c>
      <c r="DF129" s="12">
        <f t="shared" si="339"/>
        <v>52.908224174916235</v>
      </c>
      <c r="DG129" s="12">
        <f t="shared" si="340"/>
        <v>57.511558968355409</v>
      </c>
      <c r="DH129" s="12">
        <f t="shared" si="341"/>
        <v>65.668383995105074</v>
      </c>
      <c r="DI129" s="12">
        <f t="shared" si="342"/>
        <v>74.925977849623436</v>
      </c>
      <c r="DJ129" t="s">
        <v>23</v>
      </c>
      <c r="DK129" t="str">
        <f t="shared" si="363"/>
        <v>LH</v>
      </c>
      <c r="DL129" t="str">
        <f t="shared" si="367"/>
        <v>LH</v>
      </c>
      <c r="DM129" t="str">
        <f t="shared" si="371"/>
        <v>HH</v>
      </c>
      <c r="DN129" t="str">
        <f t="shared" si="379"/>
        <v>LH</v>
      </c>
      <c r="DO129" t="str">
        <f t="shared" si="387"/>
        <v>HH</v>
      </c>
      <c r="DP129" t="str">
        <f t="shared" si="395"/>
        <v>LH</v>
      </c>
      <c r="DQ129" t="str">
        <f t="shared" si="403"/>
        <v>LH</v>
      </c>
      <c r="DR129" t="str">
        <f t="shared" si="411"/>
        <v>LH</v>
      </c>
      <c r="DS129" t="str">
        <f t="shared" si="419"/>
        <v>HH</v>
      </c>
      <c r="DT129" t="str">
        <f t="shared" si="427"/>
        <v>HH</v>
      </c>
      <c r="DU129" t="str">
        <f t="shared" si="435"/>
        <v>LH</v>
      </c>
      <c r="DV129">
        <f t="shared" si="343"/>
        <v>-0.90855586658762522</v>
      </c>
      <c r="DW129">
        <f t="shared" si="344"/>
        <v>-0.61723577098570448</v>
      </c>
      <c r="DX129">
        <f t="shared" si="372"/>
        <v>5.7588983417336037E-2</v>
      </c>
      <c r="DY129">
        <f t="shared" si="380"/>
        <v>-0.32907990524185171</v>
      </c>
      <c r="DZ129">
        <f t="shared" si="388"/>
        <v>0.27085807585292127</v>
      </c>
      <c r="EA129">
        <f t="shared" si="396"/>
        <v>0.18668956162760314</v>
      </c>
      <c r="EB129">
        <f t="shared" si="404"/>
        <v>0.66786344871521419</v>
      </c>
      <c r="EC129">
        <f t="shared" si="412"/>
        <v>1.2112671896787057</v>
      </c>
      <c r="ED129">
        <f t="shared" si="420"/>
        <v>1.9567597442458526</v>
      </c>
      <c r="EE129">
        <f t="shared" si="428"/>
        <v>1.8405270341251643</v>
      </c>
      <c r="EF129">
        <f t="shared" si="436"/>
        <v>1.3774947315572903</v>
      </c>
      <c r="EG129" s="13" t="str">
        <f t="shared" si="345"/>
        <v/>
      </c>
      <c r="EH129" s="13" t="str">
        <f t="shared" si="346"/>
        <v/>
      </c>
      <c r="EI129" s="13" t="str">
        <f t="shared" si="347"/>
        <v/>
      </c>
      <c r="EJ129" s="13" t="str">
        <f t="shared" si="348"/>
        <v/>
      </c>
      <c r="EK129" s="13" t="str">
        <f t="shared" si="349"/>
        <v/>
      </c>
      <c r="EL129" s="13" t="str">
        <f t="shared" si="350"/>
        <v>EQH</v>
      </c>
      <c r="EM129" s="13" t="str">
        <f t="shared" si="351"/>
        <v/>
      </c>
      <c r="EN129" s="13" t="str">
        <f t="shared" si="352"/>
        <v/>
      </c>
      <c r="EO129" s="13" t="str">
        <f t="shared" si="353"/>
        <v/>
      </c>
      <c r="EP129" s="13" t="str">
        <f t="shared" si="354"/>
        <v/>
      </c>
      <c r="EQ129" s="13" t="str">
        <f t="shared" si="355"/>
        <v/>
      </c>
    </row>
    <row r="130" spans="1:147" ht="14.25" customHeight="1" x14ac:dyDescent="0.55000000000000004">
      <c r="A130">
        <v>1777248004</v>
      </c>
      <c r="B130" t="s">
        <v>16</v>
      </c>
      <c r="C130" t="s">
        <v>17</v>
      </c>
      <c r="D130">
        <v>4679.8599999999997</v>
      </c>
      <c r="E130" t="s">
        <v>18</v>
      </c>
      <c r="F130">
        <v>4672.3500000000004</v>
      </c>
      <c r="G130">
        <v>4674.72</v>
      </c>
      <c r="H130">
        <v>4658.17</v>
      </c>
      <c r="I130">
        <f t="shared" si="368"/>
        <v>4664.3</v>
      </c>
      <c r="J130">
        <f t="shared" si="376"/>
        <v>4684.26</v>
      </c>
      <c r="K130">
        <f t="shared" si="384"/>
        <v>4693.0600000000004</v>
      </c>
      <c r="L130">
        <f t="shared" si="392"/>
        <v>4694.34</v>
      </c>
      <c r="M130">
        <f t="shared" si="400"/>
        <v>4724.03</v>
      </c>
      <c r="N130">
        <f t="shared" si="408"/>
        <v>4668.6099999999997</v>
      </c>
      <c r="O130">
        <f t="shared" si="416"/>
        <v>4772.78</v>
      </c>
      <c r="P130">
        <f t="shared" si="424"/>
        <v>4792.42</v>
      </c>
      <c r="Q130">
        <f t="shared" si="432"/>
        <v>4783.51</v>
      </c>
      <c r="R130">
        <v>-68.14</v>
      </c>
      <c r="S130">
        <f t="shared" si="356"/>
        <v>-22.699999999999818</v>
      </c>
      <c r="T130">
        <f t="shared" si="357"/>
        <v>-53.059999999999491</v>
      </c>
      <c r="U130">
        <f t="shared" si="373"/>
        <v>-78.920000000000073</v>
      </c>
      <c r="V130">
        <f t="shared" si="381"/>
        <v>-40.630000000000109</v>
      </c>
      <c r="W130">
        <f t="shared" si="389"/>
        <v>-60.269999999999527</v>
      </c>
      <c r="X130">
        <f t="shared" si="397"/>
        <v>-55</v>
      </c>
      <c r="Y130">
        <f t="shared" si="405"/>
        <v>-48.119999999999891</v>
      </c>
      <c r="Z130">
        <f t="shared" si="413"/>
        <v>-129.30000000000018</v>
      </c>
      <c r="AA130">
        <f t="shared" si="421"/>
        <v>-60.470000000000255</v>
      </c>
      <c r="AB130">
        <f t="shared" si="429"/>
        <v>-35.319999999999709</v>
      </c>
      <c r="AC130">
        <f t="shared" si="437"/>
        <v>-22.279999999999745</v>
      </c>
      <c r="AD130">
        <v>-1.44</v>
      </c>
      <c r="AE130" s="14">
        <f t="shared" si="358"/>
        <v>-0.48324399351132785</v>
      </c>
      <c r="AF130" s="14">
        <f t="shared" si="359"/>
        <v>-1.1262451631527117</v>
      </c>
      <c r="AG130" s="14">
        <f t="shared" si="374"/>
        <v>-1.6638486091726732</v>
      </c>
      <c r="AH130" s="14">
        <f t="shared" si="382"/>
        <v>-0.8599141990607212</v>
      </c>
      <c r="AI130" s="14">
        <f t="shared" si="390"/>
        <v>-1.2679532033332321</v>
      </c>
      <c r="AJ130" s="14">
        <f t="shared" si="398"/>
        <v>-1.1580556456265501</v>
      </c>
      <c r="AK130" s="14">
        <f t="shared" si="406"/>
        <v>-1.00835053382647</v>
      </c>
      <c r="AL130" s="14">
        <f t="shared" si="414"/>
        <v>-2.694923414570098</v>
      </c>
      <c r="AM130" s="14">
        <f t="shared" si="422"/>
        <v>-1.2511250193968915</v>
      </c>
      <c r="AN130" s="14">
        <f t="shared" si="430"/>
        <v>-0.73160526457513686</v>
      </c>
      <c r="AO130" s="14">
        <f t="shared" si="438"/>
        <v>-0.46360744019192984</v>
      </c>
      <c r="AP130">
        <v>3</v>
      </c>
      <c r="AQ130">
        <f t="shared" si="360"/>
        <v>3</v>
      </c>
      <c r="AR130">
        <f t="shared" si="364"/>
        <v>3</v>
      </c>
      <c r="AS130">
        <f t="shared" si="369"/>
        <v>3</v>
      </c>
      <c r="AT130">
        <f t="shared" si="377"/>
        <v>3</v>
      </c>
      <c r="AU130">
        <f t="shared" si="385"/>
        <v>3</v>
      </c>
      <c r="AV130">
        <f t="shared" si="393"/>
        <v>3</v>
      </c>
      <c r="AW130">
        <f t="shared" si="401"/>
        <v>3</v>
      </c>
      <c r="AX130">
        <f t="shared" si="409"/>
        <v>5</v>
      </c>
      <c r="AY130">
        <f t="shared" si="417"/>
        <v>3</v>
      </c>
      <c r="AZ130">
        <f t="shared" si="425"/>
        <v>3</v>
      </c>
      <c r="BA130">
        <f t="shared" si="433"/>
        <v>3</v>
      </c>
      <c r="BB130">
        <v>36</v>
      </c>
      <c r="BC130">
        <f t="shared" si="361"/>
        <v>9</v>
      </c>
      <c r="BD130">
        <f t="shared" si="365"/>
        <v>13</v>
      </c>
      <c r="BE130">
        <f t="shared" si="370"/>
        <v>20</v>
      </c>
      <c r="BF130">
        <f t="shared" si="378"/>
        <v>10</v>
      </c>
      <c r="BG130">
        <f t="shared" si="386"/>
        <v>19</v>
      </c>
      <c r="BH130">
        <f t="shared" si="394"/>
        <v>18</v>
      </c>
      <c r="BI130">
        <f t="shared" si="402"/>
        <v>38</v>
      </c>
      <c r="BJ130">
        <f t="shared" si="410"/>
        <v>31</v>
      </c>
      <c r="BK130">
        <f t="shared" si="418"/>
        <v>35</v>
      </c>
      <c r="BL130">
        <f t="shared" si="426"/>
        <v>1</v>
      </c>
      <c r="BM130">
        <f t="shared" si="434"/>
        <v>9</v>
      </c>
      <c r="BZ130" s="12">
        <f t="shared" ref="BZ130:BZ161" si="440">IFERROR(R130/BB130,0)</f>
        <v>-1.8927777777777779</v>
      </c>
      <c r="CA130" s="12">
        <f t="shared" si="362"/>
        <v>-2.5222222222222022</v>
      </c>
      <c r="CB130" s="12">
        <f t="shared" si="366"/>
        <v>-4.0815384615384227</v>
      </c>
      <c r="CC130" s="12">
        <f t="shared" si="375"/>
        <v>-3.9460000000000037</v>
      </c>
      <c r="CD130" s="12">
        <f t="shared" si="383"/>
        <v>-4.0630000000000113</v>
      </c>
      <c r="CE130" s="12">
        <f t="shared" si="391"/>
        <v>-3.1721052631578699</v>
      </c>
      <c r="CF130" s="12">
        <f t="shared" si="399"/>
        <v>-3.0555555555555554</v>
      </c>
      <c r="CG130" s="12">
        <f t="shared" si="407"/>
        <v>-1.2663157894736814</v>
      </c>
      <c r="CH130" s="12">
        <f t="shared" si="415"/>
        <v>-4.17096774193549</v>
      </c>
      <c r="CI130" s="12">
        <f t="shared" si="423"/>
        <v>-1.7277142857142931</v>
      </c>
      <c r="CJ130" s="12">
        <f t="shared" si="431"/>
        <v>-35.319999999999709</v>
      </c>
      <c r="CK130" s="12">
        <f t="shared" si="439"/>
        <v>-2.4755555555555273</v>
      </c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>
        <f t="shared" ref="CX130:CX161" si="441">IF(BZ130="","",DEGREES(ATAN(BZ130)))</f>
        <v>-62.1514294809324</v>
      </c>
      <c r="CY130" s="12">
        <f t="shared" ref="CY130:CY161" si="442">IF(CA130="","",DEGREES(ATAN(CA130)))</f>
        <v>-68.372873716083049</v>
      </c>
      <c r="CZ130" s="12">
        <f t="shared" ref="CZ130:CZ161" si="443">IF(CB130="","",DEGREES(ATAN(CB130)))</f>
        <v>-76.233393709878015</v>
      </c>
      <c r="DA130" s="12">
        <f t="shared" ref="DA130:DA161" si="444">IF(CC130="","",DEGREES(ATAN(CC130)))</f>
        <v>-75.779416600103389</v>
      </c>
      <c r="DB130" s="12">
        <f t="shared" ref="DB130:DB161" si="445">IF(CD130="","",DEGREES(ATAN(CD130)))</f>
        <v>-76.172985494761349</v>
      </c>
      <c r="DC130" s="12">
        <f t="shared" ref="DC130:DC161" si="446">IF(CE130="","",DEGREES(ATAN(CE130)))</f>
        <v>-72.502644265501786</v>
      </c>
      <c r="DD130" s="12">
        <f t="shared" ref="DD130:DD161" si="447">IF(CF130="","",DEGREES(ATAN(CF130)))</f>
        <v>-71.878139752098647</v>
      </c>
      <c r="DE130" s="12">
        <f t="shared" ref="DE130:DE161" si="448">IF(CG130="","",DEGREES(ATAN(CG130)))</f>
        <v>-51.702116461303874</v>
      </c>
      <c r="DF130" s="12">
        <f t="shared" ref="DF130:DF161" si="449">IF(CH130="","",DEGREES(ATAN(CH130)))</f>
        <v>-76.517675121361208</v>
      </c>
      <c r="DG130" s="12">
        <f t="shared" ref="DG130:DG161" si="450">IF(CI130="","",DEGREES(ATAN(CI130)))</f>
        <v>-59.937767065340694</v>
      </c>
      <c r="DH130" s="12">
        <f t="shared" ref="DH130:DH161" si="451">IF(CJ130="","",DEGREES(ATAN(CJ130)))</f>
        <v>-88.378242428990546</v>
      </c>
      <c r="DI130" s="12">
        <f t="shared" ref="DI130:DI161" si="452">IF(CK130="","",DEGREES(ATAN(CK130)))</f>
        <v>-68.003767902939458</v>
      </c>
      <c r="DJ130" t="s">
        <v>19</v>
      </c>
      <c r="DK130" t="str">
        <f t="shared" si="363"/>
        <v>HL</v>
      </c>
      <c r="DL130" t="str">
        <f t="shared" si="367"/>
        <v>LL</v>
      </c>
      <c r="DM130" t="str">
        <f t="shared" si="371"/>
        <v>LL</v>
      </c>
      <c r="DN130" t="str">
        <f t="shared" si="379"/>
        <v>LL</v>
      </c>
      <c r="DO130" t="str">
        <f t="shared" si="387"/>
        <v>LL</v>
      </c>
      <c r="DP130" t="str">
        <f t="shared" si="395"/>
        <v>LL</v>
      </c>
      <c r="DQ130" t="str">
        <f t="shared" si="403"/>
        <v>HL</v>
      </c>
      <c r="DR130" t="str">
        <f t="shared" si="411"/>
        <v>LL</v>
      </c>
      <c r="DS130" t="str">
        <f t="shared" si="419"/>
        <v>LL</v>
      </c>
      <c r="DT130" t="str">
        <f t="shared" si="427"/>
        <v>HL</v>
      </c>
      <c r="DU130" t="str">
        <f t="shared" si="435"/>
        <v>HL</v>
      </c>
      <c r="DV130">
        <f t="shared" ref="DV130:DV161" si="453">IFERROR(((G130-$F130)/$F130)*100,0)</f>
        <v>5.0723939773345113E-2</v>
      </c>
      <c r="DW130">
        <f t="shared" ref="DW130:DW161" si="454">IFERROR(((H130-$F130)/$F130)*100,0)</f>
        <v>-0.30348753839075177</v>
      </c>
      <c r="DX130">
        <f t="shared" si="372"/>
        <v>-0.17229017517951742</v>
      </c>
      <c r="DY130">
        <f t="shared" si="380"/>
        <v>0.25490384924074294</v>
      </c>
      <c r="DZ130">
        <f t="shared" si="388"/>
        <v>0.44324590409537029</v>
      </c>
      <c r="EA130">
        <f t="shared" si="396"/>
        <v>0.47064111207421921</v>
      </c>
      <c r="EB130">
        <f t="shared" si="404"/>
        <v>1.1060815221462299</v>
      </c>
      <c r="EC130">
        <f t="shared" si="412"/>
        <v>-8.0045373313229765E-2</v>
      </c>
      <c r="ED130">
        <f t="shared" si="420"/>
        <v>2.149453701028377</v>
      </c>
      <c r="EE130">
        <f t="shared" si="428"/>
        <v>2.5697989234539298</v>
      </c>
      <c r="EF130">
        <f t="shared" si="436"/>
        <v>2.3791025929136267</v>
      </c>
      <c r="EG130" s="13" t="str">
        <f t="shared" ref="EG130:EG161" si="455">IF(DV130="","",IF(AND(ABS(DV130)&lt;=0.25,$E130="Bottom",DJ130="LL"),"EQL",IF(AND(ABS(DV130)&lt;=0.25,$E130="Peak",DJ130="HH"),"EQH","")))</f>
        <v>EQL</v>
      </c>
      <c r="EH130" s="13" t="str">
        <f t="shared" ref="EH130:EH161" si="456">IF(DW130="","",IF(AND(ABS(DW130)&lt;=0.25,$E130="Bottom",DK130="LL"),"EQL",IF(AND(ABS(DW130)&lt;=0.25,$E130="Peak",DK130="HH"),"EQH","")))</f>
        <v/>
      </c>
      <c r="EI130" s="13" t="str">
        <f t="shared" ref="EI130:EI161" si="457">IF(DX130="","",IF(AND(ABS(DX130)&lt;=0.25,$E130="Bottom",DL130="LL"),"EQL",IF(AND(ABS(DX130)&lt;=0.25,$E130="Peak",DL130="HH"),"EQH","")))</f>
        <v>EQL</v>
      </c>
      <c r="EJ130" s="13" t="str">
        <f t="shared" ref="EJ130:EJ161" si="458">IF(DY130="","",IF(AND(ABS(DY130)&lt;=0.25,$E130="Bottom",DM130="LL"),"EQL",IF(AND(ABS(DY130)&lt;=0.25,$E130="Peak",DM130="HH"),"EQH","")))</f>
        <v/>
      </c>
      <c r="EK130" s="13" t="str">
        <f t="shared" ref="EK130:EK161" si="459">IF(DZ130="","",IF(AND(ABS(DZ130)&lt;=0.25,$E130="Bottom",DN130="LL"),"EQL",IF(AND(ABS(DZ130)&lt;=0.25,$E130="Peak",DN130="HH"),"EQH","")))</f>
        <v/>
      </c>
      <c r="EL130" s="13" t="str">
        <f t="shared" ref="EL130:EL161" si="460">IF(EA130="","",IF(AND(ABS(EA130)&lt;=0.25,$E130="Bottom",DO130="LL"),"EQL",IF(AND(ABS(EA130)&lt;=0.25,$E130="Peak",DO130="HH"),"EQH","")))</f>
        <v/>
      </c>
      <c r="EM130" s="13" t="str">
        <f t="shared" ref="EM130:EM161" si="461">IF(EB130="","",IF(AND(ABS(EB130)&lt;=0.25,$E130="Bottom",DP130="LL"),"EQL",IF(AND(ABS(EB130)&lt;=0.25,$E130="Peak",DP130="HH"),"EQH","")))</f>
        <v/>
      </c>
      <c r="EN130" s="13" t="str">
        <f t="shared" ref="EN130:EN161" si="462">IF(EC130="","",IF(AND(ABS(EC130)&lt;=0.25,$E130="Bottom",DQ130="LL"),"EQL",IF(AND(ABS(EC130)&lt;=0.25,$E130="Peak",DQ130="HH"),"EQH","")))</f>
        <v/>
      </c>
      <c r="EO130" s="13" t="str">
        <f t="shared" ref="EO130:EO161" si="463">IF(ED130="","",IF(AND(ABS(ED130)&lt;=0.25,$E130="Bottom",DR130="LL"),"EQL",IF(AND(ABS(ED130)&lt;=0.25,$E130="Peak",DR130="HH"),"EQH","")))</f>
        <v/>
      </c>
      <c r="EP130" s="13" t="str">
        <f t="shared" ref="EP130:EP161" si="464">IF(EE130="","",IF(AND(ABS(EE130)&lt;=0.25,$E130="Bottom",DS130="LL"),"EQL",IF(AND(ABS(EE130)&lt;=0.25,$E130="Peak",DS130="HH"),"EQH","")))</f>
        <v/>
      </c>
      <c r="EQ130" s="13" t="str">
        <f t="shared" ref="EQ130:EQ161" si="465">IF(EF130="","",IF(AND(ABS(EF130)&lt;=0.25,$E130="Bottom",DT130="LL"),"EQL",IF(AND(ABS(EF130)&lt;=0.25,$E130="Peak",DT130="HH"),"EQH","")))</f>
        <v/>
      </c>
    </row>
    <row r="131" spans="1:147" ht="14.25" customHeight="1" x14ac:dyDescent="0.55000000000000004">
      <c r="A131">
        <v>1777264204</v>
      </c>
      <c r="B131" t="s">
        <v>16</v>
      </c>
      <c r="C131" t="s">
        <v>17</v>
      </c>
      <c r="D131">
        <v>4726.18</v>
      </c>
      <c r="E131" t="s">
        <v>20</v>
      </c>
      <c r="F131">
        <v>4729.92</v>
      </c>
      <c r="G131">
        <v>4740.49</v>
      </c>
      <c r="H131">
        <v>4697.42</v>
      </c>
      <c r="I131">
        <f t="shared" si="368"/>
        <v>4711.2299999999996</v>
      </c>
      <c r="J131">
        <f t="shared" si="376"/>
        <v>4743.22</v>
      </c>
      <c r="K131">
        <f t="shared" si="384"/>
        <v>4724.8900000000003</v>
      </c>
      <c r="L131">
        <f t="shared" si="392"/>
        <v>4753.33</v>
      </c>
      <c r="M131">
        <f t="shared" si="400"/>
        <v>4749.34</v>
      </c>
      <c r="N131">
        <f t="shared" si="408"/>
        <v>4772.1499999999996</v>
      </c>
      <c r="O131">
        <f t="shared" si="416"/>
        <v>4797.91</v>
      </c>
      <c r="P131">
        <f t="shared" si="424"/>
        <v>4833.25</v>
      </c>
      <c r="Q131">
        <f t="shared" si="432"/>
        <v>4827.74</v>
      </c>
      <c r="R131">
        <v>57.57</v>
      </c>
      <c r="S131">
        <f t="shared" ref="S131:S162" si="466">G131-G130</f>
        <v>65.769999999999527</v>
      </c>
      <c r="T131">
        <f t="shared" ref="T131:T162" si="467">H131-H130</f>
        <v>39.25</v>
      </c>
      <c r="U131">
        <f t="shared" si="373"/>
        <v>46.929999999999382</v>
      </c>
      <c r="V131">
        <f t="shared" si="381"/>
        <v>58.960000000000036</v>
      </c>
      <c r="W131">
        <f t="shared" si="389"/>
        <v>31.829999999999927</v>
      </c>
      <c r="X131">
        <f t="shared" si="397"/>
        <v>58.989999999999782</v>
      </c>
      <c r="Y131">
        <f t="shared" si="405"/>
        <v>25.3100000000004</v>
      </c>
      <c r="Z131">
        <f t="shared" si="413"/>
        <v>103.53999999999996</v>
      </c>
      <c r="AA131">
        <f t="shared" si="421"/>
        <v>25.130000000000109</v>
      </c>
      <c r="AB131">
        <f t="shared" si="429"/>
        <v>40.829999999999927</v>
      </c>
      <c r="AC131">
        <f t="shared" si="437"/>
        <v>44.229999999999563</v>
      </c>
      <c r="AD131">
        <v>1.23</v>
      </c>
      <c r="AE131" s="14">
        <f t="shared" ref="AE131:AE162" si="468">(S131/G130)*100</f>
        <v>1.4069291850634802</v>
      </c>
      <c r="AF131" s="14">
        <f t="shared" ref="AF131:AF162" si="469">(T131/H130)*100</f>
        <v>0.84260557257463764</v>
      </c>
      <c r="AG131" s="14">
        <f t="shared" si="374"/>
        <v>1.0061531205111032</v>
      </c>
      <c r="AH131" s="14">
        <f t="shared" si="382"/>
        <v>1.258683335254662</v>
      </c>
      <c r="AI131" s="14">
        <f t="shared" si="390"/>
        <v>0.67823552223921968</v>
      </c>
      <c r="AJ131" s="14">
        <f t="shared" si="398"/>
        <v>1.2566196739051663</v>
      </c>
      <c r="AK131" s="14">
        <f t="shared" si="406"/>
        <v>0.53577136470345021</v>
      </c>
      <c r="AL131" s="14">
        <f t="shared" si="414"/>
        <v>2.2177907342870782</v>
      </c>
      <c r="AM131" s="14">
        <f t="shared" si="422"/>
        <v>0.52652751645791573</v>
      </c>
      <c r="AN131" s="14">
        <f t="shared" si="430"/>
        <v>0.85197040326181606</v>
      </c>
      <c r="AO131" s="14">
        <f t="shared" si="438"/>
        <v>0.92463483927073564</v>
      </c>
      <c r="AP131">
        <v>0</v>
      </c>
      <c r="AQ131">
        <f t="shared" si="360"/>
        <v>0</v>
      </c>
      <c r="AR131">
        <f t="shared" si="364"/>
        <v>0</v>
      </c>
      <c r="AS131">
        <f t="shared" si="369"/>
        <v>0</v>
      </c>
      <c r="AT131">
        <f t="shared" si="377"/>
        <v>0</v>
      </c>
      <c r="AU131">
        <f t="shared" si="385"/>
        <v>0</v>
      </c>
      <c r="AV131">
        <f t="shared" si="393"/>
        <v>0</v>
      </c>
      <c r="AW131">
        <f t="shared" si="401"/>
        <v>0</v>
      </c>
      <c r="AX131">
        <f t="shared" si="409"/>
        <v>0</v>
      </c>
      <c r="AY131">
        <f t="shared" si="417"/>
        <v>0</v>
      </c>
      <c r="AZ131">
        <f t="shared" si="425"/>
        <v>0</v>
      </c>
      <c r="BA131">
        <f t="shared" si="433"/>
        <v>0</v>
      </c>
      <c r="BB131">
        <v>18</v>
      </c>
      <c r="BC131">
        <f t="shared" si="361"/>
        <v>14</v>
      </c>
      <c r="BD131">
        <f t="shared" si="365"/>
        <v>15</v>
      </c>
      <c r="BE131">
        <f t="shared" si="370"/>
        <v>26</v>
      </c>
      <c r="BF131">
        <f t="shared" si="378"/>
        <v>9</v>
      </c>
      <c r="BG131">
        <f t="shared" si="386"/>
        <v>10</v>
      </c>
      <c r="BH131">
        <f t="shared" si="394"/>
        <v>2</v>
      </c>
      <c r="BI131">
        <f t="shared" si="402"/>
        <v>9</v>
      </c>
      <c r="BJ131">
        <f t="shared" si="410"/>
        <v>42</v>
      </c>
      <c r="BK131">
        <f t="shared" si="418"/>
        <v>19</v>
      </c>
      <c r="BL131">
        <f t="shared" si="426"/>
        <v>26</v>
      </c>
      <c r="BM131">
        <f t="shared" si="434"/>
        <v>20</v>
      </c>
      <c r="BZ131" s="12">
        <f t="shared" si="440"/>
        <v>3.1983333333333333</v>
      </c>
      <c r="CA131" s="12">
        <f t="shared" si="362"/>
        <v>4.6978571428571092</v>
      </c>
      <c r="CB131" s="12">
        <f t="shared" si="366"/>
        <v>2.6166666666666667</v>
      </c>
      <c r="CC131" s="12">
        <f t="shared" si="375"/>
        <v>1.8049999999999762</v>
      </c>
      <c r="CD131" s="12">
        <f t="shared" si="383"/>
        <v>6.5511111111111155</v>
      </c>
      <c r="CE131" s="12">
        <f t="shared" si="391"/>
        <v>3.1829999999999927</v>
      </c>
      <c r="CF131" s="12">
        <f t="shared" si="399"/>
        <v>29.494999999999891</v>
      </c>
      <c r="CG131" s="12">
        <f t="shared" si="407"/>
        <v>2.8122222222222666</v>
      </c>
      <c r="CH131" s="12">
        <f t="shared" si="415"/>
        <v>2.4652380952380946</v>
      </c>
      <c r="CI131" s="12">
        <f t="shared" si="423"/>
        <v>1.3226315789473742</v>
      </c>
      <c r="CJ131" s="12">
        <f t="shared" si="431"/>
        <v>1.5703846153846126</v>
      </c>
      <c r="CK131" s="12">
        <f t="shared" si="439"/>
        <v>2.2114999999999783</v>
      </c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>
        <f t="shared" si="441"/>
        <v>72.63747551519063</v>
      </c>
      <c r="CY131" s="12">
        <f t="shared" si="442"/>
        <v>77.983201984084829</v>
      </c>
      <c r="CZ131" s="12">
        <f t="shared" si="443"/>
        <v>69.084863370966843</v>
      </c>
      <c r="DA131" s="12">
        <f t="shared" si="444"/>
        <v>61.012818533385015</v>
      </c>
      <c r="DB131" s="12">
        <f t="shared" si="445"/>
        <v>81.321031410943505</v>
      </c>
      <c r="DC131" s="12">
        <f t="shared" si="446"/>
        <v>72.558896664180452</v>
      </c>
      <c r="DD131" s="12">
        <f t="shared" si="447"/>
        <v>88.058184739753287</v>
      </c>
      <c r="DE131" s="12">
        <f t="shared" si="448"/>
        <v>70.425087793519481</v>
      </c>
      <c r="DF131" s="12">
        <f t="shared" si="449"/>
        <v>67.920541049100663</v>
      </c>
      <c r="DG131" s="12">
        <f t="shared" si="450"/>
        <v>52.908224174916235</v>
      </c>
      <c r="DH131" s="12">
        <f t="shared" si="451"/>
        <v>57.511558968355409</v>
      </c>
      <c r="DI131" s="12">
        <f t="shared" si="452"/>
        <v>65.668383995105074</v>
      </c>
      <c r="DJ131" t="s">
        <v>21</v>
      </c>
      <c r="DK131" t="str">
        <f t="shared" si="363"/>
        <v>HH</v>
      </c>
      <c r="DL131" t="str">
        <f t="shared" si="367"/>
        <v>LH</v>
      </c>
      <c r="DM131" t="str">
        <f t="shared" si="371"/>
        <v>LH</v>
      </c>
      <c r="DN131" t="str">
        <f t="shared" si="379"/>
        <v>HH</v>
      </c>
      <c r="DO131" t="str">
        <f t="shared" si="387"/>
        <v>LH</v>
      </c>
      <c r="DP131" t="str">
        <f t="shared" si="395"/>
        <v>HH</v>
      </c>
      <c r="DQ131" t="str">
        <f t="shared" si="403"/>
        <v>LH</v>
      </c>
      <c r="DR131" t="str">
        <f t="shared" si="411"/>
        <v>LH</v>
      </c>
      <c r="DS131" t="str">
        <f t="shared" si="419"/>
        <v>LH</v>
      </c>
      <c r="DT131" t="str">
        <f t="shared" si="427"/>
        <v>HH</v>
      </c>
      <c r="DU131" t="str">
        <f t="shared" si="435"/>
        <v>HH</v>
      </c>
      <c r="DV131">
        <f t="shared" si="453"/>
        <v>0.22347101008050263</v>
      </c>
      <c r="DW131">
        <f t="shared" si="454"/>
        <v>-0.68711521547933152</v>
      </c>
      <c r="DX131">
        <f t="shared" si="372"/>
        <v>-0.39514410391720173</v>
      </c>
      <c r="DY131">
        <f t="shared" si="380"/>
        <v>0.28118868818077641</v>
      </c>
      <c r="DZ131">
        <f t="shared" si="388"/>
        <v>-0.10634429334956501</v>
      </c>
      <c r="EA131">
        <f t="shared" si="396"/>
        <v>0.49493437521141698</v>
      </c>
      <c r="EB131">
        <f t="shared" si="404"/>
        <v>0.41057776875718982</v>
      </c>
      <c r="EC131">
        <f t="shared" si="412"/>
        <v>0.8928269399905191</v>
      </c>
      <c r="ED131">
        <f t="shared" si="420"/>
        <v>1.4374450307827569</v>
      </c>
      <c r="EE131">
        <f t="shared" si="428"/>
        <v>2.1846035450916701</v>
      </c>
      <c r="EF131">
        <f t="shared" si="436"/>
        <v>2.0681110885596312</v>
      </c>
      <c r="EG131" s="13" t="str">
        <f t="shared" si="455"/>
        <v/>
      </c>
      <c r="EH131" s="13" t="str">
        <f t="shared" si="456"/>
        <v/>
      </c>
      <c r="EI131" s="13" t="str">
        <f t="shared" si="457"/>
        <v/>
      </c>
      <c r="EJ131" s="13" t="str">
        <f t="shared" si="458"/>
        <v/>
      </c>
      <c r="EK131" s="13" t="str">
        <f t="shared" si="459"/>
        <v>EQH</v>
      </c>
      <c r="EL131" s="13" t="str">
        <f t="shared" si="460"/>
        <v/>
      </c>
      <c r="EM131" s="13" t="str">
        <f t="shared" si="461"/>
        <v/>
      </c>
      <c r="EN131" s="13" t="str">
        <f t="shared" si="462"/>
        <v/>
      </c>
      <c r="EO131" s="13" t="str">
        <f t="shared" si="463"/>
        <v/>
      </c>
      <c r="EP131" s="13" t="str">
        <f t="shared" si="464"/>
        <v/>
      </c>
      <c r="EQ131" s="13" t="str">
        <f t="shared" si="465"/>
        <v/>
      </c>
    </row>
    <row r="132" spans="1:147" ht="14.25" customHeight="1" x14ac:dyDescent="0.55000000000000004">
      <c r="A132">
        <v>1777282204</v>
      </c>
      <c r="B132" t="s">
        <v>16</v>
      </c>
      <c r="C132" t="s">
        <v>17</v>
      </c>
      <c r="D132">
        <v>4704.6400000000003</v>
      </c>
      <c r="E132" t="s">
        <v>18</v>
      </c>
      <c r="F132">
        <v>4699.29</v>
      </c>
      <c r="G132">
        <v>4672.3500000000004</v>
      </c>
      <c r="H132">
        <v>4674.72</v>
      </c>
      <c r="I132">
        <f t="shared" si="368"/>
        <v>4658.17</v>
      </c>
      <c r="J132">
        <f t="shared" si="376"/>
        <v>4664.3</v>
      </c>
      <c r="K132">
        <f t="shared" si="384"/>
        <v>4684.26</v>
      </c>
      <c r="L132">
        <f t="shared" si="392"/>
        <v>4693.0600000000004</v>
      </c>
      <c r="M132">
        <f t="shared" si="400"/>
        <v>4694.34</v>
      </c>
      <c r="N132">
        <f t="shared" si="408"/>
        <v>4724.03</v>
      </c>
      <c r="O132">
        <f t="shared" si="416"/>
        <v>4668.6099999999997</v>
      </c>
      <c r="P132">
        <f t="shared" si="424"/>
        <v>4772.78</v>
      </c>
      <c r="Q132">
        <f t="shared" si="432"/>
        <v>4792.42</v>
      </c>
      <c r="R132">
        <v>-30.63</v>
      </c>
      <c r="S132">
        <f t="shared" si="466"/>
        <v>-68.139999999999418</v>
      </c>
      <c r="T132">
        <f t="shared" si="467"/>
        <v>-22.699999999999818</v>
      </c>
      <c r="U132">
        <f t="shared" si="373"/>
        <v>-53.059999999999491</v>
      </c>
      <c r="V132">
        <f t="shared" si="381"/>
        <v>-78.920000000000073</v>
      </c>
      <c r="W132">
        <f t="shared" si="389"/>
        <v>-40.630000000000109</v>
      </c>
      <c r="X132">
        <f t="shared" si="397"/>
        <v>-60.269999999999527</v>
      </c>
      <c r="Y132">
        <f t="shared" si="405"/>
        <v>-55</v>
      </c>
      <c r="Z132">
        <f t="shared" si="413"/>
        <v>-48.119999999999891</v>
      </c>
      <c r="AA132">
        <f t="shared" si="421"/>
        <v>-129.30000000000018</v>
      </c>
      <c r="AB132">
        <f t="shared" si="429"/>
        <v>-60.470000000000255</v>
      </c>
      <c r="AC132">
        <f t="shared" si="437"/>
        <v>-35.319999999999709</v>
      </c>
      <c r="AD132">
        <v>-0.65</v>
      </c>
      <c r="AE132" s="14">
        <f t="shared" si="468"/>
        <v>-1.4374041502038697</v>
      </c>
      <c r="AF132" s="14">
        <f t="shared" si="469"/>
        <v>-0.48324399351132785</v>
      </c>
      <c r="AG132" s="14">
        <f t="shared" si="374"/>
        <v>-1.1262451631527117</v>
      </c>
      <c r="AH132" s="14">
        <f t="shared" si="382"/>
        <v>-1.6638486091726732</v>
      </c>
      <c r="AI132" s="14">
        <f t="shared" si="390"/>
        <v>-0.8599141990607212</v>
      </c>
      <c r="AJ132" s="14">
        <f t="shared" si="398"/>
        <v>-1.2679532033332321</v>
      </c>
      <c r="AK132" s="14">
        <f t="shared" si="406"/>
        <v>-1.1580556456265501</v>
      </c>
      <c r="AL132" s="14">
        <f t="shared" si="414"/>
        <v>-1.00835053382647</v>
      </c>
      <c r="AM132" s="14">
        <f t="shared" si="422"/>
        <v>-2.694923414570098</v>
      </c>
      <c r="AN132" s="14">
        <f t="shared" si="430"/>
        <v>-1.2511250193968915</v>
      </c>
      <c r="AO132" s="14">
        <f t="shared" si="438"/>
        <v>-0.73160526457513686</v>
      </c>
      <c r="AP132">
        <v>3</v>
      </c>
      <c r="AQ132">
        <f t="shared" ref="AQ132:AQ163" si="470">AP130</f>
        <v>3</v>
      </c>
      <c r="AR132">
        <f t="shared" si="364"/>
        <v>3</v>
      </c>
      <c r="AS132">
        <f t="shared" si="369"/>
        <v>3</v>
      </c>
      <c r="AT132">
        <f t="shared" si="377"/>
        <v>3</v>
      </c>
      <c r="AU132">
        <f t="shared" si="385"/>
        <v>3</v>
      </c>
      <c r="AV132">
        <f t="shared" si="393"/>
        <v>3</v>
      </c>
      <c r="AW132">
        <f t="shared" si="401"/>
        <v>3</v>
      </c>
      <c r="AX132">
        <f t="shared" si="409"/>
        <v>3</v>
      </c>
      <c r="AY132">
        <f t="shared" si="417"/>
        <v>5</v>
      </c>
      <c r="AZ132">
        <f t="shared" si="425"/>
        <v>3</v>
      </c>
      <c r="BA132">
        <f t="shared" si="433"/>
        <v>3</v>
      </c>
      <c r="BB132">
        <v>20</v>
      </c>
      <c r="BC132">
        <f t="shared" ref="BC132:BC163" si="471">BB130</f>
        <v>36</v>
      </c>
      <c r="BD132">
        <f t="shared" si="365"/>
        <v>9</v>
      </c>
      <c r="BE132">
        <f t="shared" si="370"/>
        <v>13</v>
      </c>
      <c r="BF132">
        <f t="shared" si="378"/>
        <v>20</v>
      </c>
      <c r="BG132">
        <f t="shared" si="386"/>
        <v>10</v>
      </c>
      <c r="BH132">
        <f t="shared" si="394"/>
        <v>19</v>
      </c>
      <c r="BI132">
        <f t="shared" si="402"/>
        <v>18</v>
      </c>
      <c r="BJ132">
        <f t="shared" si="410"/>
        <v>38</v>
      </c>
      <c r="BK132">
        <f t="shared" si="418"/>
        <v>31</v>
      </c>
      <c r="BL132">
        <f t="shared" si="426"/>
        <v>35</v>
      </c>
      <c r="BM132">
        <f t="shared" si="434"/>
        <v>1</v>
      </c>
      <c r="BZ132" s="12">
        <f t="shared" si="440"/>
        <v>-1.5314999999999999</v>
      </c>
      <c r="CA132" s="12">
        <f t="shared" ref="CA132:CA163" si="472">IFERROR(S132/BC132,0)</f>
        <v>-1.8927777777777617</v>
      </c>
      <c r="CB132" s="12">
        <f t="shared" si="366"/>
        <v>-2.5222222222222022</v>
      </c>
      <c r="CC132" s="12">
        <f t="shared" si="375"/>
        <v>-4.0815384615384227</v>
      </c>
      <c r="CD132" s="12">
        <f t="shared" si="383"/>
        <v>-3.9460000000000037</v>
      </c>
      <c r="CE132" s="12">
        <f t="shared" si="391"/>
        <v>-4.0630000000000113</v>
      </c>
      <c r="CF132" s="12">
        <f t="shared" si="399"/>
        <v>-3.1721052631578699</v>
      </c>
      <c r="CG132" s="12">
        <f t="shared" si="407"/>
        <v>-3.0555555555555554</v>
      </c>
      <c r="CH132" s="12">
        <f t="shared" si="415"/>
        <v>-1.2663157894736814</v>
      </c>
      <c r="CI132" s="12">
        <f t="shared" si="423"/>
        <v>-4.17096774193549</v>
      </c>
      <c r="CJ132" s="12">
        <f t="shared" si="431"/>
        <v>-1.7277142857142931</v>
      </c>
      <c r="CK132" s="12">
        <f t="shared" si="439"/>
        <v>-35.319999999999709</v>
      </c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>
        <f t="shared" si="441"/>
        <v>-56.857286223499386</v>
      </c>
      <c r="CY132" s="12">
        <f t="shared" si="442"/>
        <v>-62.151429480932208</v>
      </c>
      <c r="CZ132" s="12">
        <f t="shared" si="443"/>
        <v>-68.372873716083049</v>
      </c>
      <c r="DA132" s="12">
        <f t="shared" si="444"/>
        <v>-76.233393709878015</v>
      </c>
      <c r="DB132" s="12">
        <f t="shared" si="445"/>
        <v>-75.779416600103389</v>
      </c>
      <c r="DC132" s="12">
        <f t="shared" si="446"/>
        <v>-76.172985494761349</v>
      </c>
      <c r="DD132" s="12">
        <f t="shared" si="447"/>
        <v>-72.502644265501786</v>
      </c>
      <c r="DE132" s="12">
        <f t="shared" si="448"/>
        <v>-71.878139752098647</v>
      </c>
      <c r="DF132" s="12">
        <f t="shared" si="449"/>
        <v>-51.702116461303874</v>
      </c>
      <c r="DG132" s="12">
        <f t="shared" si="450"/>
        <v>-76.517675121361208</v>
      </c>
      <c r="DH132" s="12">
        <f t="shared" si="451"/>
        <v>-59.937767065340694</v>
      </c>
      <c r="DI132" s="12">
        <f t="shared" si="452"/>
        <v>-88.378242428990546</v>
      </c>
      <c r="DJ132" t="s">
        <v>22</v>
      </c>
      <c r="DK132" t="str">
        <f t="shared" ref="DK132:DK163" si="473">DJ130</f>
        <v>LL</v>
      </c>
      <c r="DL132" t="str">
        <f t="shared" si="367"/>
        <v>HL</v>
      </c>
      <c r="DM132" t="str">
        <f t="shared" si="371"/>
        <v>LL</v>
      </c>
      <c r="DN132" t="str">
        <f t="shared" si="379"/>
        <v>LL</v>
      </c>
      <c r="DO132" t="str">
        <f t="shared" si="387"/>
        <v>LL</v>
      </c>
      <c r="DP132" t="str">
        <f t="shared" si="395"/>
        <v>LL</v>
      </c>
      <c r="DQ132" t="str">
        <f t="shared" si="403"/>
        <v>LL</v>
      </c>
      <c r="DR132" t="str">
        <f t="shared" si="411"/>
        <v>HL</v>
      </c>
      <c r="DS132" t="str">
        <f t="shared" si="419"/>
        <v>LL</v>
      </c>
      <c r="DT132" t="str">
        <f t="shared" si="427"/>
        <v>LL</v>
      </c>
      <c r="DU132" t="str">
        <f t="shared" si="435"/>
        <v>HL</v>
      </c>
      <c r="DV132">
        <f t="shared" si="453"/>
        <v>-0.57327809094564497</v>
      </c>
      <c r="DW132">
        <f t="shared" si="454"/>
        <v>-0.52284494040588492</v>
      </c>
      <c r="DX132">
        <f t="shared" si="372"/>
        <v>-0.8750258017700524</v>
      </c>
      <c r="DY132">
        <f t="shared" si="380"/>
        <v>-0.74458056429800634</v>
      </c>
      <c r="DZ132">
        <f t="shared" si="388"/>
        <v>-0.31983554962557631</v>
      </c>
      <c r="EA132">
        <f t="shared" si="396"/>
        <v>-0.13257321850746737</v>
      </c>
      <c r="EB132">
        <f t="shared" si="404"/>
        <v>-0.10533506125393023</v>
      </c>
      <c r="EC132">
        <f t="shared" si="412"/>
        <v>0.52646250816612261</v>
      </c>
      <c r="ED132">
        <f t="shared" si="420"/>
        <v>-0.65286458167085437</v>
      </c>
      <c r="EE132">
        <f t="shared" si="428"/>
        <v>1.5638532629397159</v>
      </c>
      <c r="EF132">
        <f t="shared" si="436"/>
        <v>1.9817887382987665</v>
      </c>
      <c r="EG132" s="13" t="str">
        <f t="shared" si="455"/>
        <v/>
      </c>
      <c r="EH132" s="13" t="str">
        <f t="shared" si="456"/>
        <v/>
      </c>
      <c r="EI132" s="13" t="str">
        <f t="shared" si="457"/>
        <v/>
      </c>
      <c r="EJ132" s="13" t="str">
        <f t="shared" si="458"/>
        <v/>
      </c>
      <c r="EK132" s="13" t="str">
        <f t="shared" si="459"/>
        <v/>
      </c>
      <c r="EL132" s="13" t="str">
        <f t="shared" si="460"/>
        <v>EQL</v>
      </c>
      <c r="EM132" s="13" t="str">
        <f t="shared" si="461"/>
        <v>EQL</v>
      </c>
      <c r="EN132" s="13" t="str">
        <f t="shared" si="462"/>
        <v/>
      </c>
      <c r="EO132" s="13" t="str">
        <f t="shared" si="463"/>
        <v/>
      </c>
      <c r="EP132" s="13" t="str">
        <f t="shared" si="464"/>
        <v/>
      </c>
      <c r="EQ132" s="13" t="str">
        <f t="shared" si="465"/>
        <v/>
      </c>
    </row>
    <row r="133" spans="1:147" ht="14.25" customHeight="1" x14ac:dyDescent="0.55000000000000004">
      <c r="A133">
        <v>1777292104</v>
      </c>
      <c r="B133" t="s">
        <v>16</v>
      </c>
      <c r="C133" t="s">
        <v>17</v>
      </c>
      <c r="D133">
        <v>4707.09</v>
      </c>
      <c r="E133" t="s">
        <v>20</v>
      </c>
      <c r="F133">
        <v>4712.59</v>
      </c>
      <c r="G133">
        <v>4729.92</v>
      </c>
      <c r="H133">
        <v>4740.49</v>
      </c>
      <c r="I133">
        <f t="shared" si="368"/>
        <v>4697.42</v>
      </c>
      <c r="J133">
        <f t="shared" si="376"/>
        <v>4711.2299999999996</v>
      </c>
      <c r="K133">
        <f t="shared" si="384"/>
        <v>4743.22</v>
      </c>
      <c r="L133">
        <f t="shared" si="392"/>
        <v>4724.8900000000003</v>
      </c>
      <c r="M133">
        <f t="shared" si="400"/>
        <v>4753.33</v>
      </c>
      <c r="N133">
        <f t="shared" si="408"/>
        <v>4749.34</v>
      </c>
      <c r="O133">
        <f t="shared" si="416"/>
        <v>4772.1499999999996</v>
      </c>
      <c r="P133">
        <f t="shared" si="424"/>
        <v>4797.91</v>
      </c>
      <c r="Q133">
        <f t="shared" si="432"/>
        <v>4833.25</v>
      </c>
      <c r="R133">
        <v>13.3</v>
      </c>
      <c r="S133">
        <f t="shared" si="466"/>
        <v>57.569999999999709</v>
      </c>
      <c r="T133">
        <f t="shared" si="467"/>
        <v>65.769999999999527</v>
      </c>
      <c r="U133">
        <f t="shared" si="373"/>
        <v>39.25</v>
      </c>
      <c r="V133">
        <f t="shared" si="381"/>
        <v>46.929999999999382</v>
      </c>
      <c r="W133">
        <f t="shared" si="389"/>
        <v>58.960000000000036</v>
      </c>
      <c r="X133">
        <f t="shared" si="397"/>
        <v>31.829999999999927</v>
      </c>
      <c r="Y133">
        <f t="shared" si="405"/>
        <v>58.989999999999782</v>
      </c>
      <c r="Z133">
        <f t="shared" si="413"/>
        <v>25.3100000000004</v>
      </c>
      <c r="AA133">
        <f t="shared" si="421"/>
        <v>103.53999999999996</v>
      </c>
      <c r="AB133">
        <f t="shared" si="429"/>
        <v>25.130000000000109</v>
      </c>
      <c r="AC133">
        <f t="shared" si="437"/>
        <v>40.829999999999927</v>
      </c>
      <c r="AD133">
        <v>0.28000000000000003</v>
      </c>
      <c r="AE133" s="14">
        <f t="shared" si="468"/>
        <v>1.2321422838614338</v>
      </c>
      <c r="AF133" s="14">
        <f t="shared" si="469"/>
        <v>1.4069291850634802</v>
      </c>
      <c r="AG133" s="14">
        <f t="shared" si="374"/>
        <v>0.84260557257463764</v>
      </c>
      <c r="AH133" s="14">
        <f t="shared" si="382"/>
        <v>1.0061531205111032</v>
      </c>
      <c r="AI133" s="14">
        <f t="shared" si="390"/>
        <v>1.258683335254662</v>
      </c>
      <c r="AJ133" s="14">
        <f t="shared" si="398"/>
        <v>0.67823552223921968</v>
      </c>
      <c r="AK133" s="14">
        <f t="shared" si="406"/>
        <v>1.2566196739051663</v>
      </c>
      <c r="AL133" s="14">
        <f t="shared" si="414"/>
        <v>0.53577136470345021</v>
      </c>
      <c r="AM133" s="14">
        <f t="shared" si="422"/>
        <v>2.2177907342870782</v>
      </c>
      <c r="AN133" s="14">
        <f t="shared" si="430"/>
        <v>0.52652751645791573</v>
      </c>
      <c r="AO133" s="14">
        <f t="shared" si="438"/>
        <v>0.85197040326181606</v>
      </c>
      <c r="AP133">
        <v>0</v>
      </c>
      <c r="AQ133">
        <f t="shared" si="470"/>
        <v>0</v>
      </c>
      <c r="AR133">
        <f t="shared" si="364"/>
        <v>0</v>
      </c>
      <c r="AS133">
        <f t="shared" si="369"/>
        <v>0</v>
      </c>
      <c r="AT133">
        <f t="shared" si="377"/>
        <v>0</v>
      </c>
      <c r="AU133">
        <f t="shared" si="385"/>
        <v>0</v>
      </c>
      <c r="AV133">
        <f t="shared" si="393"/>
        <v>0</v>
      </c>
      <c r="AW133">
        <f t="shared" si="401"/>
        <v>0</v>
      </c>
      <c r="AX133">
        <f t="shared" si="409"/>
        <v>0</v>
      </c>
      <c r="AY133">
        <f t="shared" si="417"/>
        <v>0</v>
      </c>
      <c r="AZ133">
        <f t="shared" si="425"/>
        <v>0</v>
      </c>
      <c r="BA133">
        <f t="shared" si="433"/>
        <v>0</v>
      </c>
      <c r="BB133">
        <v>11</v>
      </c>
      <c r="BC133">
        <f t="shared" si="471"/>
        <v>18</v>
      </c>
      <c r="BD133">
        <f t="shared" si="365"/>
        <v>14</v>
      </c>
      <c r="BE133">
        <f t="shared" si="370"/>
        <v>15</v>
      </c>
      <c r="BF133">
        <f t="shared" si="378"/>
        <v>26</v>
      </c>
      <c r="BG133">
        <f t="shared" si="386"/>
        <v>9</v>
      </c>
      <c r="BH133">
        <f t="shared" si="394"/>
        <v>10</v>
      </c>
      <c r="BI133">
        <f t="shared" si="402"/>
        <v>2</v>
      </c>
      <c r="BJ133">
        <f t="shared" si="410"/>
        <v>9</v>
      </c>
      <c r="BK133">
        <f t="shared" si="418"/>
        <v>42</v>
      </c>
      <c r="BL133">
        <f t="shared" si="426"/>
        <v>19</v>
      </c>
      <c r="BM133">
        <f t="shared" si="434"/>
        <v>26</v>
      </c>
      <c r="BZ133" s="12">
        <f t="shared" si="440"/>
        <v>1.2090909090909092</v>
      </c>
      <c r="CA133" s="12">
        <f t="shared" si="472"/>
        <v>3.1983333333333173</v>
      </c>
      <c r="CB133" s="12">
        <f t="shared" si="366"/>
        <v>4.6978571428571092</v>
      </c>
      <c r="CC133" s="12">
        <f t="shared" si="375"/>
        <v>2.6166666666666667</v>
      </c>
      <c r="CD133" s="12">
        <f t="shared" si="383"/>
        <v>1.8049999999999762</v>
      </c>
      <c r="CE133" s="12">
        <f t="shared" si="391"/>
        <v>6.5511111111111155</v>
      </c>
      <c r="CF133" s="12">
        <f t="shared" si="399"/>
        <v>3.1829999999999927</v>
      </c>
      <c r="CG133" s="12">
        <f t="shared" si="407"/>
        <v>29.494999999999891</v>
      </c>
      <c r="CH133" s="12">
        <f t="shared" si="415"/>
        <v>2.8122222222222666</v>
      </c>
      <c r="CI133" s="12">
        <f t="shared" si="423"/>
        <v>2.4652380952380946</v>
      </c>
      <c r="CJ133" s="12">
        <f t="shared" si="431"/>
        <v>1.3226315789473742</v>
      </c>
      <c r="CK133" s="12">
        <f t="shared" si="439"/>
        <v>1.5703846153846126</v>
      </c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>
        <f t="shared" si="441"/>
        <v>50.406949370471573</v>
      </c>
      <c r="CY133" s="12">
        <f t="shared" si="442"/>
        <v>72.63747551519053</v>
      </c>
      <c r="CZ133" s="12">
        <f t="shared" si="443"/>
        <v>77.983201984084829</v>
      </c>
      <c r="DA133" s="12">
        <f t="shared" si="444"/>
        <v>69.084863370966843</v>
      </c>
      <c r="DB133" s="12">
        <f t="shared" si="445"/>
        <v>61.012818533385015</v>
      </c>
      <c r="DC133" s="12">
        <f t="shared" si="446"/>
        <v>81.321031410943505</v>
      </c>
      <c r="DD133" s="12">
        <f t="shared" si="447"/>
        <v>72.558896664180452</v>
      </c>
      <c r="DE133" s="12">
        <f t="shared" si="448"/>
        <v>88.058184739753287</v>
      </c>
      <c r="DF133" s="12">
        <f t="shared" si="449"/>
        <v>70.425087793519481</v>
      </c>
      <c r="DG133" s="12">
        <f t="shared" si="450"/>
        <v>67.920541049100663</v>
      </c>
      <c r="DH133" s="12">
        <f t="shared" si="451"/>
        <v>52.908224174916235</v>
      </c>
      <c r="DI133" s="12">
        <f t="shared" si="452"/>
        <v>57.511558968355409</v>
      </c>
      <c r="DJ133" t="s">
        <v>21</v>
      </c>
      <c r="DK133" t="str">
        <f t="shared" si="473"/>
        <v>LH</v>
      </c>
      <c r="DL133" t="str">
        <f t="shared" si="367"/>
        <v>HH</v>
      </c>
      <c r="DM133" t="str">
        <f t="shared" si="371"/>
        <v>LH</v>
      </c>
      <c r="DN133" t="str">
        <f t="shared" si="379"/>
        <v>LH</v>
      </c>
      <c r="DO133" t="str">
        <f t="shared" si="387"/>
        <v>HH</v>
      </c>
      <c r="DP133" t="str">
        <f t="shared" si="395"/>
        <v>LH</v>
      </c>
      <c r="DQ133" t="str">
        <f t="shared" si="403"/>
        <v>HH</v>
      </c>
      <c r="DR133" t="str">
        <f t="shared" si="411"/>
        <v>LH</v>
      </c>
      <c r="DS133" t="str">
        <f t="shared" si="419"/>
        <v>LH</v>
      </c>
      <c r="DT133" t="str">
        <f t="shared" si="427"/>
        <v>LH</v>
      </c>
      <c r="DU133" t="str">
        <f t="shared" si="435"/>
        <v>HH</v>
      </c>
      <c r="DV133">
        <f t="shared" si="453"/>
        <v>0.36773833497078945</v>
      </c>
      <c r="DW133">
        <f t="shared" si="454"/>
        <v>0.59203113362290449</v>
      </c>
      <c r="DX133">
        <f t="shared" si="372"/>
        <v>-0.32190366656127672</v>
      </c>
      <c r="DY133">
        <f t="shared" si="380"/>
        <v>-2.885886529489266E-2</v>
      </c>
      <c r="DZ133">
        <f t="shared" si="388"/>
        <v>0.64996106175160806</v>
      </c>
      <c r="EA133">
        <f t="shared" si="396"/>
        <v>0.26100297288752428</v>
      </c>
      <c r="EB133">
        <f t="shared" si="404"/>
        <v>0.86449277361280696</v>
      </c>
      <c r="EC133">
        <f t="shared" si="412"/>
        <v>0.77982595557856715</v>
      </c>
      <c r="ED133">
        <f t="shared" si="420"/>
        <v>1.2638485418846004</v>
      </c>
      <c r="EE133">
        <f t="shared" si="428"/>
        <v>1.8104694021758672</v>
      </c>
      <c r="EF133">
        <f t="shared" si="436"/>
        <v>2.5603755047648926</v>
      </c>
      <c r="EG133" s="13" t="str">
        <f t="shared" si="455"/>
        <v/>
      </c>
      <c r="EH133" s="13" t="str">
        <f t="shared" si="456"/>
        <v/>
      </c>
      <c r="EI133" s="13" t="str">
        <f t="shared" si="457"/>
        <v/>
      </c>
      <c r="EJ133" s="13" t="str">
        <f t="shared" si="458"/>
        <v/>
      </c>
      <c r="EK133" s="13" t="str">
        <f t="shared" si="459"/>
        <v/>
      </c>
      <c r="EL133" s="13" t="str">
        <f t="shared" si="460"/>
        <v/>
      </c>
      <c r="EM133" s="13" t="str">
        <f t="shared" si="461"/>
        <v/>
      </c>
      <c r="EN133" s="13" t="str">
        <f t="shared" si="462"/>
        <v/>
      </c>
      <c r="EO133" s="13" t="str">
        <f t="shared" si="463"/>
        <v/>
      </c>
      <c r="EP133" s="13" t="str">
        <f t="shared" si="464"/>
        <v/>
      </c>
      <c r="EQ133" s="13" t="str">
        <f t="shared" si="465"/>
        <v/>
      </c>
    </row>
    <row r="134" spans="1:147" ht="14.25" customHeight="1" x14ac:dyDescent="0.55000000000000004">
      <c r="A134">
        <v>1777302004</v>
      </c>
      <c r="B134" t="s">
        <v>16</v>
      </c>
      <c r="C134" t="s">
        <v>17</v>
      </c>
      <c r="D134">
        <v>4674.6499999999996</v>
      </c>
      <c r="E134" t="s">
        <v>18</v>
      </c>
      <c r="F134">
        <v>4667.32</v>
      </c>
      <c r="G134">
        <v>4699.29</v>
      </c>
      <c r="H134">
        <v>4672.3500000000004</v>
      </c>
      <c r="I134">
        <f t="shared" si="368"/>
        <v>4674.72</v>
      </c>
      <c r="J134">
        <f t="shared" si="376"/>
        <v>4658.17</v>
      </c>
      <c r="K134">
        <f t="shared" si="384"/>
        <v>4664.3</v>
      </c>
      <c r="L134">
        <f t="shared" si="392"/>
        <v>4684.26</v>
      </c>
      <c r="M134">
        <f t="shared" si="400"/>
        <v>4693.0600000000004</v>
      </c>
      <c r="N134">
        <f t="shared" si="408"/>
        <v>4694.34</v>
      </c>
      <c r="O134">
        <f t="shared" si="416"/>
        <v>4724.03</v>
      </c>
      <c r="P134">
        <f t="shared" si="424"/>
        <v>4668.6099999999997</v>
      </c>
      <c r="Q134">
        <f t="shared" si="432"/>
        <v>4772.78</v>
      </c>
      <c r="R134">
        <v>-45.27</v>
      </c>
      <c r="S134">
        <f t="shared" si="466"/>
        <v>-30.630000000000109</v>
      </c>
      <c r="T134">
        <f t="shared" si="467"/>
        <v>-68.139999999999418</v>
      </c>
      <c r="U134">
        <f t="shared" si="373"/>
        <v>-22.699999999999818</v>
      </c>
      <c r="V134">
        <f t="shared" si="381"/>
        <v>-53.059999999999491</v>
      </c>
      <c r="W134">
        <f t="shared" si="389"/>
        <v>-78.920000000000073</v>
      </c>
      <c r="X134">
        <f t="shared" si="397"/>
        <v>-40.630000000000109</v>
      </c>
      <c r="Y134">
        <f t="shared" si="405"/>
        <v>-60.269999999999527</v>
      </c>
      <c r="Z134">
        <f t="shared" si="413"/>
        <v>-55</v>
      </c>
      <c r="AA134">
        <f t="shared" si="421"/>
        <v>-48.119999999999891</v>
      </c>
      <c r="AB134">
        <f t="shared" si="429"/>
        <v>-129.30000000000018</v>
      </c>
      <c r="AC134">
        <f t="shared" si="437"/>
        <v>-60.470000000000255</v>
      </c>
      <c r="AD134">
        <v>-0.96</v>
      </c>
      <c r="AE134" s="14">
        <f t="shared" si="468"/>
        <v>-0.64757966308098458</v>
      </c>
      <c r="AF134" s="14">
        <f t="shared" si="469"/>
        <v>-1.4374041502038697</v>
      </c>
      <c r="AG134" s="14">
        <f t="shared" si="374"/>
        <v>-0.48324399351132785</v>
      </c>
      <c r="AH134" s="14">
        <f t="shared" si="382"/>
        <v>-1.1262451631527117</v>
      </c>
      <c r="AI134" s="14">
        <f t="shared" si="390"/>
        <v>-1.6638486091726732</v>
      </c>
      <c r="AJ134" s="14">
        <f t="shared" si="398"/>
        <v>-0.8599141990607212</v>
      </c>
      <c r="AK134" s="14">
        <f t="shared" si="406"/>
        <v>-1.2679532033332321</v>
      </c>
      <c r="AL134" s="14">
        <f t="shared" si="414"/>
        <v>-1.1580556456265501</v>
      </c>
      <c r="AM134" s="14">
        <f t="shared" si="422"/>
        <v>-1.00835053382647</v>
      </c>
      <c r="AN134" s="14">
        <f t="shared" si="430"/>
        <v>-2.694923414570098</v>
      </c>
      <c r="AO134" s="14">
        <f t="shared" si="438"/>
        <v>-1.2511250193968915</v>
      </c>
      <c r="AP134">
        <v>3</v>
      </c>
      <c r="AQ134">
        <f t="shared" si="470"/>
        <v>3</v>
      </c>
      <c r="AR134">
        <f t="shared" ref="AR134:AR165" si="474">AP130</f>
        <v>3</v>
      </c>
      <c r="AS134">
        <f t="shared" si="369"/>
        <v>3</v>
      </c>
      <c r="AT134">
        <f t="shared" si="377"/>
        <v>3</v>
      </c>
      <c r="AU134">
        <f t="shared" si="385"/>
        <v>3</v>
      </c>
      <c r="AV134">
        <f t="shared" si="393"/>
        <v>3</v>
      </c>
      <c r="AW134">
        <f t="shared" si="401"/>
        <v>3</v>
      </c>
      <c r="AX134">
        <f t="shared" si="409"/>
        <v>3</v>
      </c>
      <c r="AY134">
        <f t="shared" si="417"/>
        <v>3</v>
      </c>
      <c r="AZ134">
        <f t="shared" si="425"/>
        <v>5</v>
      </c>
      <c r="BA134">
        <f t="shared" si="433"/>
        <v>3</v>
      </c>
      <c r="BB134">
        <v>11</v>
      </c>
      <c r="BC134">
        <f t="shared" si="471"/>
        <v>20</v>
      </c>
      <c r="BD134">
        <f t="shared" ref="BD134:BD165" si="475">BB130</f>
        <v>36</v>
      </c>
      <c r="BE134">
        <f t="shared" si="370"/>
        <v>9</v>
      </c>
      <c r="BF134">
        <f t="shared" si="378"/>
        <v>13</v>
      </c>
      <c r="BG134">
        <f t="shared" si="386"/>
        <v>20</v>
      </c>
      <c r="BH134">
        <f t="shared" si="394"/>
        <v>10</v>
      </c>
      <c r="BI134">
        <f t="shared" si="402"/>
        <v>19</v>
      </c>
      <c r="BJ134">
        <f t="shared" si="410"/>
        <v>18</v>
      </c>
      <c r="BK134">
        <f t="shared" si="418"/>
        <v>38</v>
      </c>
      <c r="BL134">
        <f t="shared" si="426"/>
        <v>31</v>
      </c>
      <c r="BM134">
        <f t="shared" si="434"/>
        <v>35</v>
      </c>
      <c r="BZ134" s="12">
        <f t="shared" si="440"/>
        <v>-4.1154545454545461</v>
      </c>
      <c r="CA134" s="12">
        <f t="shared" si="472"/>
        <v>-1.5315000000000054</v>
      </c>
      <c r="CB134" s="12">
        <f t="shared" ref="CB134:CB170" si="476">IFERROR(T134/BD134,0)</f>
        <v>-1.8927777777777617</v>
      </c>
      <c r="CC134" s="12">
        <f t="shared" si="375"/>
        <v>-2.5222222222222022</v>
      </c>
      <c r="CD134" s="12">
        <f t="shared" si="383"/>
        <v>-4.0815384615384227</v>
      </c>
      <c r="CE134" s="12">
        <f t="shared" si="391"/>
        <v>-3.9460000000000037</v>
      </c>
      <c r="CF134" s="12">
        <f t="shared" si="399"/>
        <v>-4.0630000000000113</v>
      </c>
      <c r="CG134" s="12">
        <f t="shared" si="407"/>
        <v>-3.1721052631578699</v>
      </c>
      <c r="CH134" s="12">
        <f t="shared" si="415"/>
        <v>-3.0555555555555554</v>
      </c>
      <c r="CI134" s="12">
        <f t="shared" si="423"/>
        <v>-1.2663157894736814</v>
      </c>
      <c r="CJ134" s="12">
        <f t="shared" si="431"/>
        <v>-4.17096774193549</v>
      </c>
      <c r="CK134" s="12">
        <f t="shared" si="439"/>
        <v>-1.7277142857142931</v>
      </c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>
        <f t="shared" si="441"/>
        <v>-76.342580874336406</v>
      </c>
      <c r="CY134" s="12">
        <f t="shared" si="442"/>
        <v>-56.857286223499479</v>
      </c>
      <c r="CZ134" s="12">
        <f t="shared" si="443"/>
        <v>-62.151429480932208</v>
      </c>
      <c r="DA134" s="12">
        <f t="shared" si="444"/>
        <v>-68.372873716083049</v>
      </c>
      <c r="DB134" s="12">
        <f t="shared" si="445"/>
        <v>-76.233393709878015</v>
      </c>
      <c r="DC134" s="12">
        <f t="shared" si="446"/>
        <v>-75.779416600103389</v>
      </c>
      <c r="DD134" s="12">
        <f t="shared" si="447"/>
        <v>-76.172985494761349</v>
      </c>
      <c r="DE134" s="12">
        <f t="shared" si="448"/>
        <v>-72.502644265501786</v>
      </c>
      <c r="DF134" s="12">
        <f t="shared" si="449"/>
        <v>-71.878139752098647</v>
      </c>
      <c r="DG134" s="12">
        <f t="shared" si="450"/>
        <v>-51.702116461303874</v>
      </c>
      <c r="DH134" s="12">
        <f t="shared" si="451"/>
        <v>-76.517675121361208</v>
      </c>
      <c r="DI134" s="12">
        <f t="shared" si="452"/>
        <v>-59.937767065340694</v>
      </c>
      <c r="DJ134" t="s">
        <v>19</v>
      </c>
      <c r="DK134" t="str">
        <f t="shared" si="473"/>
        <v>HL</v>
      </c>
      <c r="DL134" t="str">
        <f t="shared" ref="DL134:DL165" si="477">DJ130</f>
        <v>LL</v>
      </c>
      <c r="DM134" t="str">
        <f t="shared" si="371"/>
        <v>HL</v>
      </c>
      <c r="DN134" t="str">
        <f t="shared" si="379"/>
        <v>LL</v>
      </c>
      <c r="DO134" t="str">
        <f t="shared" si="387"/>
        <v>LL</v>
      </c>
      <c r="DP134" t="str">
        <f t="shared" si="395"/>
        <v>LL</v>
      </c>
      <c r="DQ134" t="str">
        <f t="shared" si="403"/>
        <v>LL</v>
      </c>
      <c r="DR134" t="str">
        <f t="shared" si="411"/>
        <v>LL</v>
      </c>
      <c r="DS134" t="str">
        <f t="shared" si="419"/>
        <v>HL</v>
      </c>
      <c r="DT134" t="str">
        <f t="shared" si="427"/>
        <v>LL</v>
      </c>
      <c r="DU134" t="str">
        <f t="shared" si="435"/>
        <v>LL</v>
      </c>
      <c r="DV134">
        <f t="shared" si="453"/>
        <v>0.68497553199695449</v>
      </c>
      <c r="DW134">
        <f t="shared" si="454"/>
        <v>0.1077706263980326</v>
      </c>
      <c r="DX134">
        <f t="shared" si="372"/>
        <v>0.1585492316790052</v>
      </c>
      <c r="DY134">
        <f t="shared" si="380"/>
        <v>-0.19604398241388285</v>
      </c>
      <c r="DZ134">
        <f t="shared" si="388"/>
        <v>-6.4705226982498032E-2</v>
      </c>
      <c r="EA134">
        <f t="shared" si="396"/>
        <v>0.36294918711381502</v>
      </c>
      <c r="EB134">
        <f t="shared" si="404"/>
        <v>0.55149421938073007</v>
      </c>
      <c r="EC134">
        <f t="shared" si="412"/>
        <v>0.57891895134682081</v>
      </c>
      <c r="ED134">
        <f t="shared" si="420"/>
        <v>1.2150441795291524</v>
      </c>
      <c r="EE134">
        <f t="shared" si="428"/>
        <v>2.7638987684580524E-2</v>
      </c>
      <c r="EF134">
        <f t="shared" si="436"/>
        <v>2.2595408071441438</v>
      </c>
      <c r="EG134" s="13" t="str">
        <f t="shared" si="455"/>
        <v/>
      </c>
      <c r="EH134" s="13" t="str">
        <f t="shared" si="456"/>
        <v/>
      </c>
      <c r="EI134" s="13" t="str">
        <f t="shared" si="457"/>
        <v>EQL</v>
      </c>
      <c r="EJ134" s="13" t="str">
        <f t="shared" si="458"/>
        <v/>
      </c>
      <c r="EK134" s="13" t="str">
        <f t="shared" si="459"/>
        <v>EQL</v>
      </c>
      <c r="EL134" s="13" t="str">
        <f t="shared" si="460"/>
        <v/>
      </c>
      <c r="EM134" s="13" t="str">
        <f t="shared" si="461"/>
        <v/>
      </c>
      <c r="EN134" s="13" t="str">
        <f t="shared" si="462"/>
        <v/>
      </c>
      <c r="EO134" s="13" t="str">
        <f t="shared" si="463"/>
        <v/>
      </c>
      <c r="EP134" s="13" t="str">
        <f t="shared" si="464"/>
        <v/>
      </c>
      <c r="EQ134" s="13" t="str">
        <f t="shared" si="465"/>
        <v/>
      </c>
    </row>
    <row r="135" spans="1:147" ht="14.25" customHeight="1" x14ac:dyDescent="0.55000000000000004">
      <c r="A135">
        <v>1777334404</v>
      </c>
      <c r="B135" t="s">
        <v>16</v>
      </c>
      <c r="C135" t="s">
        <v>17</v>
      </c>
      <c r="D135">
        <v>4697.91</v>
      </c>
      <c r="E135" t="s">
        <v>20</v>
      </c>
      <c r="F135">
        <v>4701.1400000000003</v>
      </c>
      <c r="G135">
        <v>4712.59</v>
      </c>
      <c r="H135">
        <v>4729.92</v>
      </c>
      <c r="I135">
        <f t="shared" si="368"/>
        <v>4740.49</v>
      </c>
      <c r="J135">
        <f t="shared" si="376"/>
        <v>4697.42</v>
      </c>
      <c r="K135">
        <f t="shared" si="384"/>
        <v>4711.2299999999996</v>
      </c>
      <c r="L135">
        <f t="shared" si="392"/>
        <v>4743.22</v>
      </c>
      <c r="M135">
        <f t="shared" si="400"/>
        <v>4724.8900000000003</v>
      </c>
      <c r="N135">
        <f t="shared" si="408"/>
        <v>4753.33</v>
      </c>
      <c r="O135">
        <f t="shared" si="416"/>
        <v>4749.34</v>
      </c>
      <c r="P135">
        <f t="shared" si="424"/>
        <v>4772.1499999999996</v>
      </c>
      <c r="Q135">
        <f t="shared" si="432"/>
        <v>4797.91</v>
      </c>
      <c r="R135">
        <v>33.82</v>
      </c>
      <c r="S135">
        <f t="shared" si="466"/>
        <v>13.300000000000182</v>
      </c>
      <c r="T135">
        <f t="shared" si="467"/>
        <v>57.569999999999709</v>
      </c>
      <c r="U135">
        <f t="shared" si="373"/>
        <v>65.769999999999527</v>
      </c>
      <c r="V135">
        <f t="shared" si="381"/>
        <v>39.25</v>
      </c>
      <c r="W135">
        <f t="shared" si="389"/>
        <v>46.929999999999382</v>
      </c>
      <c r="X135">
        <f t="shared" si="397"/>
        <v>58.960000000000036</v>
      </c>
      <c r="Y135">
        <f t="shared" si="405"/>
        <v>31.829999999999927</v>
      </c>
      <c r="Z135">
        <f t="shared" si="413"/>
        <v>58.989999999999782</v>
      </c>
      <c r="AA135">
        <f t="shared" si="421"/>
        <v>25.3100000000004</v>
      </c>
      <c r="AB135">
        <f t="shared" si="429"/>
        <v>103.53999999999996</v>
      </c>
      <c r="AC135">
        <f t="shared" si="437"/>
        <v>25.130000000000109</v>
      </c>
      <c r="AD135">
        <v>0.72</v>
      </c>
      <c r="AE135" s="14">
        <f t="shared" si="468"/>
        <v>0.2830214777125945</v>
      </c>
      <c r="AF135" s="14">
        <f t="shared" si="469"/>
        <v>1.2321422838614338</v>
      </c>
      <c r="AG135" s="14">
        <f t="shared" si="374"/>
        <v>1.4069291850634802</v>
      </c>
      <c r="AH135" s="14">
        <f t="shared" si="382"/>
        <v>0.84260557257463764</v>
      </c>
      <c r="AI135" s="14">
        <f t="shared" si="390"/>
        <v>1.0061531205111032</v>
      </c>
      <c r="AJ135" s="14">
        <f t="shared" si="398"/>
        <v>1.258683335254662</v>
      </c>
      <c r="AK135" s="14">
        <f t="shared" si="406"/>
        <v>0.67823552223921968</v>
      </c>
      <c r="AL135" s="14">
        <f t="shared" si="414"/>
        <v>1.2566196739051663</v>
      </c>
      <c r="AM135" s="14">
        <f t="shared" si="422"/>
        <v>0.53577136470345021</v>
      </c>
      <c r="AN135" s="14">
        <f t="shared" si="430"/>
        <v>2.2177907342870782</v>
      </c>
      <c r="AO135" s="14">
        <f t="shared" si="438"/>
        <v>0.52652751645791573</v>
      </c>
      <c r="AP135">
        <v>0</v>
      </c>
      <c r="AQ135">
        <f t="shared" si="470"/>
        <v>0</v>
      </c>
      <c r="AR135">
        <f t="shared" si="474"/>
        <v>0</v>
      </c>
      <c r="AS135">
        <f t="shared" si="369"/>
        <v>0</v>
      </c>
      <c r="AT135">
        <f t="shared" si="377"/>
        <v>0</v>
      </c>
      <c r="AU135">
        <f t="shared" si="385"/>
        <v>0</v>
      </c>
      <c r="AV135">
        <f t="shared" si="393"/>
        <v>0</v>
      </c>
      <c r="AW135">
        <f t="shared" si="401"/>
        <v>0</v>
      </c>
      <c r="AX135">
        <f t="shared" si="409"/>
        <v>0</v>
      </c>
      <c r="AY135">
        <f t="shared" si="417"/>
        <v>0</v>
      </c>
      <c r="AZ135">
        <f t="shared" si="425"/>
        <v>0</v>
      </c>
      <c r="BA135">
        <f t="shared" si="433"/>
        <v>0</v>
      </c>
      <c r="BB135">
        <v>32</v>
      </c>
      <c r="BC135">
        <f t="shared" si="471"/>
        <v>11</v>
      </c>
      <c r="BD135">
        <f t="shared" si="475"/>
        <v>18</v>
      </c>
      <c r="BE135">
        <f t="shared" si="370"/>
        <v>14</v>
      </c>
      <c r="BF135">
        <f t="shared" si="378"/>
        <v>15</v>
      </c>
      <c r="BG135">
        <f t="shared" si="386"/>
        <v>26</v>
      </c>
      <c r="BH135">
        <f t="shared" si="394"/>
        <v>9</v>
      </c>
      <c r="BI135">
        <f t="shared" si="402"/>
        <v>10</v>
      </c>
      <c r="BJ135">
        <f t="shared" si="410"/>
        <v>2</v>
      </c>
      <c r="BK135">
        <f t="shared" si="418"/>
        <v>9</v>
      </c>
      <c r="BL135">
        <f t="shared" si="426"/>
        <v>42</v>
      </c>
      <c r="BM135">
        <f t="shared" si="434"/>
        <v>19</v>
      </c>
      <c r="BZ135" s="12">
        <f t="shared" si="440"/>
        <v>1.056875</v>
      </c>
      <c r="CA135" s="12">
        <f t="shared" si="472"/>
        <v>1.2090909090909256</v>
      </c>
      <c r="CB135" s="12">
        <f t="shared" si="476"/>
        <v>3.1983333333333173</v>
      </c>
      <c r="CC135" s="12">
        <f t="shared" si="375"/>
        <v>4.6978571428571092</v>
      </c>
      <c r="CD135" s="12">
        <f t="shared" si="383"/>
        <v>2.6166666666666667</v>
      </c>
      <c r="CE135" s="12">
        <f t="shared" si="391"/>
        <v>1.8049999999999762</v>
      </c>
      <c r="CF135" s="12">
        <f t="shared" si="399"/>
        <v>6.5511111111111155</v>
      </c>
      <c r="CG135" s="12">
        <f t="shared" si="407"/>
        <v>3.1829999999999927</v>
      </c>
      <c r="CH135" s="12">
        <f t="shared" si="415"/>
        <v>29.494999999999891</v>
      </c>
      <c r="CI135" s="12">
        <f t="shared" si="423"/>
        <v>2.8122222222222666</v>
      </c>
      <c r="CJ135" s="12">
        <f t="shared" si="431"/>
        <v>2.4652380952380946</v>
      </c>
      <c r="CK135" s="12">
        <f t="shared" si="439"/>
        <v>1.3226315789473742</v>
      </c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>
        <f t="shared" si="441"/>
        <v>46.583891739241253</v>
      </c>
      <c r="CY135" s="12">
        <f t="shared" si="442"/>
        <v>50.406949370471956</v>
      </c>
      <c r="CZ135" s="12">
        <f t="shared" si="443"/>
        <v>72.63747551519053</v>
      </c>
      <c r="DA135" s="12">
        <f t="shared" si="444"/>
        <v>77.983201984084829</v>
      </c>
      <c r="DB135" s="12">
        <f t="shared" si="445"/>
        <v>69.084863370966843</v>
      </c>
      <c r="DC135" s="12">
        <f t="shared" si="446"/>
        <v>61.012818533385015</v>
      </c>
      <c r="DD135" s="12">
        <f t="shared" si="447"/>
        <v>81.321031410943505</v>
      </c>
      <c r="DE135" s="12">
        <f t="shared" si="448"/>
        <v>72.558896664180452</v>
      </c>
      <c r="DF135" s="12">
        <f t="shared" si="449"/>
        <v>88.058184739753287</v>
      </c>
      <c r="DG135" s="12">
        <f t="shared" si="450"/>
        <v>70.425087793519481</v>
      </c>
      <c r="DH135" s="12">
        <f t="shared" si="451"/>
        <v>67.920541049100663</v>
      </c>
      <c r="DI135" s="12">
        <f t="shared" si="452"/>
        <v>52.908224174916235</v>
      </c>
      <c r="DJ135" t="s">
        <v>21</v>
      </c>
      <c r="DK135" t="str">
        <f t="shared" si="473"/>
        <v>LH</v>
      </c>
      <c r="DL135" t="str">
        <f t="shared" si="477"/>
        <v>LH</v>
      </c>
      <c r="DM135" t="str">
        <f t="shared" si="371"/>
        <v>HH</v>
      </c>
      <c r="DN135" t="str">
        <f t="shared" si="379"/>
        <v>LH</v>
      </c>
      <c r="DO135" t="str">
        <f t="shared" si="387"/>
        <v>LH</v>
      </c>
      <c r="DP135" t="str">
        <f t="shared" si="395"/>
        <v>HH</v>
      </c>
      <c r="DQ135" t="str">
        <f t="shared" si="403"/>
        <v>LH</v>
      </c>
      <c r="DR135" t="str">
        <f t="shared" si="411"/>
        <v>HH</v>
      </c>
      <c r="DS135" t="str">
        <f t="shared" si="419"/>
        <v>LH</v>
      </c>
      <c r="DT135" t="str">
        <f t="shared" si="427"/>
        <v>LH</v>
      </c>
      <c r="DU135" t="str">
        <f t="shared" si="435"/>
        <v>LH</v>
      </c>
      <c r="DV135">
        <f t="shared" si="453"/>
        <v>0.24355794551959351</v>
      </c>
      <c r="DW135">
        <f t="shared" si="454"/>
        <v>0.61219193642392578</v>
      </c>
      <c r="DX135">
        <f t="shared" si="372"/>
        <v>0.83703101800838631</v>
      </c>
      <c r="DY135">
        <f t="shared" si="380"/>
        <v>-7.9129742998512151E-2</v>
      </c>
      <c r="DZ135">
        <f t="shared" si="388"/>
        <v>0.21462879216528832</v>
      </c>
      <c r="EA135">
        <f t="shared" si="396"/>
        <v>0.89510203907988117</v>
      </c>
      <c r="EB135">
        <f t="shared" si="404"/>
        <v>0.5051966118856277</v>
      </c>
      <c r="EC135">
        <f t="shared" si="412"/>
        <v>1.1101562599709771</v>
      </c>
      <c r="ED135">
        <f t="shared" si="420"/>
        <v>1.0252832291741965</v>
      </c>
      <c r="EE135">
        <f t="shared" si="428"/>
        <v>1.5104846909472873</v>
      </c>
      <c r="EF135">
        <f t="shared" si="436"/>
        <v>2.0584368897756611</v>
      </c>
      <c r="EG135" s="13" t="str">
        <f t="shared" si="455"/>
        <v/>
      </c>
      <c r="EH135" s="13" t="str">
        <f t="shared" si="456"/>
        <v/>
      </c>
      <c r="EI135" s="13" t="str">
        <f t="shared" si="457"/>
        <v/>
      </c>
      <c r="EJ135" s="13" t="str">
        <f t="shared" si="458"/>
        <v>EQH</v>
      </c>
      <c r="EK135" s="13" t="str">
        <f t="shared" si="459"/>
        <v/>
      </c>
      <c r="EL135" s="13" t="str">
        <f t="shared" si="460"/>
        <v/>
      </c>
      <c r="EM135" s="13" t="str">
        <f t="shared" si="461"/>
        <v/>
      </c>
      <c r="EN135" s="13" t="str">
        <f t="shared" si="462"/>
        <v/>
      </c>
      <c r="EO135" s="13" t="str">
        <f t="shared" si="463"/>
        <v/>
      </c>
      <c r="EP135" s="13" t="str">
        <f t="shared" si="464"/>
        <v/>
      </c>
      <c r="EQ135" s="13" t="str">
        <f t="shared" si="465"/>
        <v/>
      </c>
    </row>
    <row r="136" spans="1:147" ht="14.25" customHeight="1" x14ac:dyDescent="0.55000000000000004">
      <c r="A136">
        <v>1777377604</v>
      </c>
      <c r="B136" t="s">
        <v>16</v>
      </c>
      <c r="C136" t="s">
        <v>17</v>
      </c>
      <c r="D136">
        <v>4581.7299999999996</v>
      </c>
      <c r="E136" t="s">
        <v>18</v>
      </c>
      <c r="F136">
        <v>4555.12</v>
      </c>
      <c r="G136">
        <v>4667.32</v>
      </c>
      <c r="H136">
        <v>4699.29</v>
      </c>
      <c r="I136">
        <f t="shared" ref="I136:I167" si="478">F130</f>
        <v>4672.3500000000004</v>
      </c>
      <c r="J136">
        <f t="shared" si="376"/>
        <v>4674.72</v>
      </c>
      <c r="K136">
        <f t="shared" si="384"/>
        <v>4658.17</v>
      </c>
      <c r="L136">
        <f t="shared" si="392"/>
        <v>4664.3</v>
      </c>
      <c r="M136">
        <f t="shared" si="400"/>
        <v>4684.26</v>
      </c>
      <c r="N136">
        <f t="shared" si="408"/>
        <v>4693.0600000000004</v>
      </c>
      <c r="O136">
        <f t="shared" si="416"/>
        <v>4694.34</v>
      </c>
      <c r="P136">
        <f t="shared" si="424"/>
        <v>4724.03</v>
      </c>
      <c r="Q136">
        <f t="shared" si="432"/>
        <v>4668.6099999999997</v>
      </c>
      <c r="R136">
        <v>-146.02000000000001</v>
      </c>
      <c r="S136">
        <f t="shared" si="466"/>
        <v>-45.270000000000437</v>
      </c>
      <c r="T136">
        <f t="shared" si="467"/>
        <v>-30.630000000000109</v>
      </c>
      <c r="U136">
        <f t="shared" si="373"/>
        <v>-68.139999999999418</v>
      </c>
      <c r="V136">
        <f t="shared" si="381"/>
        <v>-22.699999999999818</v>
      </c>
      <c r="W136">
        <f t="shared" si="389"/>
        <v>-53.059999999999491</v>
      </c>
      <c r="X136">
        <f t="shared" si="397"/>
        <v>-78.920000000000073</v>
      </c>
      <c r="Y136">
        <f t="shared" si="405"/>
        <v>-40.630000000000109</v>
      </c>
      <c r="Z136">
        <f t="shared" si="413"/>
        <v>-60.269999999999527</v>
      </c>
      <c r="AA136">
        <f t="shared" si="421"/>
        <v>-55</v>
      </c>
      <c r="AB136">
        <f t="shared" si="429"/>
        <v>-48.119999999999891</v>
      </c>
      <c r="AC136">
        <f t="shared" si="437"/>
        <v>-129.30000000000018</v>
      </c>
      <c r="AD136">
        <v>-3.11</v>
      </c>
      <c r="AE136" s="14">
        <f t="shared" si="468"/>
        <v>-0.96061825874944429</v>
      </c>
      <c r="AF136" s="14">
        <f t="shared" si="469"/>
        <v>-0.64757966308098458</v>
      </c>
      <c r="AG136" s="14">
        <f t="shared" si="374"/>
        <v>-1.4374041502038697</v>
      </c>
      <c r="AH136" s="14">
        <f t="shared" si="382"/>
        <v>-0.48324399351132785</v>
      </c>
      <c r="AI136" s="14">
        <f t="shared" si="390"/>
        <v>-1.1262451631527117</v>
      </c>
      <c r="AJ136" s="14">
        <f t="shared" si="398"/>
        <v>-1.6638486091726732</v>
      </c>
      <c r="AK136" s="14">
        <f t="shared" si="406"/>
        <v>-0.8599141990607212</v>
      </c>
      <c r="AL136" s="14">
        <f t="shared" si="414"/>
        <v>-1.2679532033332321</v>
      </c>
      <c r="AM136" s="14">
        <f t="shared" si="422"/>
        <v>-1.1580556456265501</v>
      </c>
      <c r="AN136" s="14">
        <f t="shared" si="430"/>
        <v>-1.00835053382647</v>
      </c>
      <c r="AO136" s="14">
        <f t="shared" si="438"/>
        <v>-2.694923414570098</v>
      </c>
      <c r="AP136">
        <v>5</v>
      </c>
      <c r="AQ136">
        <f t="shared" si="470"/>
        <v>3</v>
      </c>
      <c r="AR136">
        <f t="shared" si="474"/>
        <v>3</v>
      </c>
      <c r="AS136">
        <f t="shared" ref="AS136:AS167" si="479">AP130</f>
        <v>3</v>
      </c>
      <c r="AT136">
        <f t="shared" si="377"/>
        <v>3</v>
      </c>
      <c r="AU136">
        <f t="shared" si="385"/>
        <v>3</v>
      </c>
      <c r="AV136">
        <f t="shared" si="393"/>
        <v>3</v>
      </c>
      <c r="AW136">
        <f t="shared" si="401"/>
        <v>3</v>
      </c>
      <c r="AX136">
        <f t="shared" si="409"/>
        <v>3</v>
      </c>
      <c r="AY136">
        <f t="shared" si="417"/>
        <v>3</v>
      </c>
      <c r="AZ136">
        <f t="shared" si="425"/>
        <v>3</v>
      </c>
      <c r="BA136">
        <f t="shared" si="433"/>
        <v>5</v>
      </c>
      <c r="BB136">
        <v>48</v>
      </c>
      <c r="BC136">
        <f t="shared" si="471"/>
        <v>11</v>
      </c>
      <c r="BD136">
        <f t="shared" si="475"/>
        <v>20</v>
      </c>
      <c r="BE136">
        <f t="shared" ref="BE136:BE167" si="480">BB130</f>
        <v>36</v>
      </c>
      <c r="BF136">
        <f t="shared" si="378"/>
        <v>9</v>
      </c>
      <c r="BG136">
        <f t="shared" si="386"/>
        <v>13</v>
      </c>
      <c r="BH136">
        <f t="shared" si="394"/>
        <v>20</v>
      </c>
      <c r="BI136">
        <f t="shared" si="402"/>
        <v>10</v>
      </c>
      <c r="BJ136">
        <f t="shared" si="410"/>
        <v>19</v>
      </c>
      <c r="BK136">
        <f t="shared" si="418"/>
        <v>18</v>
      </c>
      <c r="BL136">
        <f t="shared" si="426"/>
        <v>38</v>
      </c>
      <c r="BM136">
        <f t="shared" si="434"/>
        <v>31</v>
      </c>
      <c r="BZ136" s="12">
        <f t="shared" si="440"/>
        <v>-3.0420833333333337</v>
      </c>
      <c r="CA136" s="12">
        <f t="shared" si="472"/>
        <v>-4.1154545454545852</v>
      </c>
      <c r="CB136" s="12">
        <f t="shared" si="476"/>
        <v>-1.5315000000000054</v>
      </c>
      <c r="CC136" s="12">
        <f t="shared" si="375"/>
        <v>-1.8927777777777617</v>
      </c>
      <c r="CD136" s="12">
        <f t="shared" si="383"/>
        <v>-2.5222222222222022</v>
      </c>
      <c r="CE136" s="12">
        <f t="shared" si="391"/>
        <v>-4.0815384615384227</v>
      </c>
      <c r="CF136" s="12">
        <f t="shared" si="399"/>
        <v>-3.9460000000000037</v>
      </c>
      <c r="CG136" s="12">
        <f t="shared" si="407"/>
        <v>-4.0630000000000113</v>
      </c>
      <c r="CH136" s="12">
        <f t="shared" si="415"/>
        <v>-3.1721052631578699</v>
      </c>
      <c r="CI136" s="12">
        <f t="shared" si="423"/>
        <v>-3.0555555555555554</v>
      </c>
      <c r="CJ136" s="12">
        <f t="shared" si="431"/>
        <v>-1.2663157894736814</v>
      </c>
      <c r="CK136" s="12">
        <f t="shared" si="439"/>
        <v>-4.17096774193549</v>
      </c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>
        <f t="shared" si="441"/>
        <v>-71.803163361405581</v>
      </c>
      <c r="CY136" s="12">
        <f t="shared" si="442"/>
        <v>-76.34258087433652</v>
      </c>
      <c r="CZ136" s="12">
        <f t="shared" si="443"/>
        <v>-56.857286223499479</v>
      </c>
      <c r="DA136" s="12">
        <f t="shared" si="444"/>
        <v>-62.151429480932208</v>
      </c>
      <c r="DB136" s="12">
        <f t="shared" si="445"/>
        <v>-68.372873716083049</v>
      </c>
      <c r="DC136" s="12">
        <f t="shared" si="446"/>
        <v>-76.233393709878015</v>
      </c>
      <c r="DD136" s="12">
        <f t="shared" si="447"/>
        <v>-75.779416600103389</v>
      </c>
      <c r="DE136" s="12">
        <f t="shared" si="448"/>
        <v>-76.172985494761349</v>
      </c>
      <c r="DF136" s="12">
        <f t="shared" si="449"/>
        <v>-72.502644265501786</v>
      </c>
      <c r="DG136" s="12">
        <f t="shared" si="450"/>
        <v>-71.878139752098647</v>
      </c>
      <c r="DH136" s="12">
        <f t="shared" si="451"/>
        <v>-51.702116461303874</v>
      </c>
      <c r="DI136" s="12">
        <f t="shared" si="452"/>
        <v>-76.517675121361208</v>
      </c>
      <c r="DJ136" t="s">
        <v>19</v>
      </c>
      <c r="DK136" t="str">
        <f t="shared" si="473"/>
        <v>LL</v>
      </c>
      <c r="DL136" t="str">
        <f t="shared" si="477"/>
        <v>HL</v>
      </c>
      <c r="DM136" t="str">
        <f t="shared" ref="DM136:DM167" si="481">DJ130</f>
        <v>LL</v>
      </c>
      <c r="DN136" t="str">
        <f t="shared" si="379"/>
        <v>HL</v>
      </c>
      <c r="DO136" t="str">
        <f t="shared" si="387"/>
        <v>LL</v>
      </c>
      <c r="DP136" t="str">
        <f t="shared" si="395"/>
        <v>LL</v>
      </c>
      <c r="DQ136" t="str">
        <f t="shared" si="403"/>
        <v>LL</v>
      </c>
      <c r="DR136" t="str">
        <f t="shared" si="411"/>
        <v>LL</v>
      </c>
      <c r="DS136" t="str">
        <f t="shared" si="419"/>
        <v>LL</v>
      </c>
      <c r="DT136" t="str">
        <f t="shared" si="427"/>
        <v>HL</v>
      </c>
      <c r="DU136" t="str">
        <f t="shared" si="435"/>
        <v>LL</v>
      </c>
      <c r="DV136">
        <f t="shared" si="453"/>
        <v>2.4631623316180433</v>
      </c>
      <c r="DW136">
        <f t="shared" si="454"/>
        <v>3.1650099228999471</v>
      </c>
      <c r="DX136">
        <f t="shared" ref="DX136:DX170" si="482">IFERROR(((I136-$F136)/$F136)*100,0)</f>
        <v>2.5735875234900609</v>
      </c>
      <c r="DY136">
        <f t="shared" si="380"/>
        <v>2.6256168882488358</v>
      </c>
      <c r="DZ136">
        <f t="shared" si="388"/>
        <v>2.262289467675938</v>
      </c>
      <c r="EA136">
        <f t="shared" si="396"/>
        <v>2.3968633098579244</v>
      </c>
      <c r="EB136">
        <f t="shared" si="404"/>
        <v>2.8350515463917598</v>
      </c>
      <c r="EC136">
        <f t="shared" si="412"/>
        <v>3.0282407488716108</v>
      </c>
      <c r="ED136">
        <f t="shared" si="420"/>
        <v>3.0563409965050372</v>
      </c>
      <c r="EE136">
        <f t="shared" si="428"/>
        <v>3.7081350216898756</v>
      </c>
      <c r="EF136">
        <f t="shared" si="436"/>
        <v>2.4914821124361111</v>
      </c>
      <c r="EG136" s="13" t="str">
        <f t="shared" si="455"/>
        <v/>
      </c>
      <c r="EH136" s="13" t="str">
        <f t="shared" si="456"/>
        <v/>
      </c>
      <c r="EI136" s="13" t="str">
        <f t="shared" si="457"/>
        <v/>
      </c>
      <c r="EJ136" s="13" t="str">
        <f t="shared" si="458"/>
        <v/>
      </c>
      <c r="EK136" s="13" t="str">
        <f t="shared" si="459"/>
        <v/>
      </c>
      <c r="EL136" s="13" t="str">
        <f t="shared" si="460"/>
        <v/>
      </c>
      <c r="EM136" s="13" t="str">
        <f t="shared" si="461"/>
        <v/>
      </c>
      <c r="EN136" s="13" t="str">
        <f t="shared" si="462"/>
        <v/>
      </c>
      <c r="EO136" s="13" t="str">
        <f t="shared" si="463"/>
        <v/>
      </c>
      <c r="EP136" s="13" t="str">
        <f t="shared" si="464"/>
        <v/>
      </c>
      <c r="EQ136" s="13" t="str">
        <f t="shared" si="465"/>
        <v/>
      </c>
    </row>
    <row r="137" spans="1:147" ht="14.25" customHeight="1" x14ac:dyDescent="0.55000000000000004">
      <c r="A137">
        <v>1777397404</v>
      </c>
      <c r="B137" t="s">
        <v>16</v>
      </c>
      <c r="C137" t="s">
        <v>17</v>
      </c>
      <c r="D137">
        <v>4599.0200000000004</v>
      </c>
      <c r="E137" t="s">
        <v>20</v>
      </c>
      <c r="F137">
        <v>4601.49</v>
      </c>
      <c r="G137">
        <v>4701.1400000000003</v>
      </c>
      <c r="H137">
        <v>4712.59</v>
      </c>
      <c r="I137">
        <f t="shared" si="478"/>
        <v>4729.92</v>
      </c>
      <c r="J137">
        <f t="shared" si="376"/>
        <v>4740.49</v>
      </c>
      <c r="K137">
        <f t="shared" si="384"/>
        <v>4697.42</v>
      </c>
      <c r="L137">
        <f t="shared" si="392"/>
        <v>4711.2299999999996</v>
      </c>
      <c r="M137">
        <f t="shared" si="400"/>
        <v>4743.22</v>
      </c>
      <c r="N137">
        <f t="shared" si="408"/>
        <v>4724.8900000000003</v>
      </c>
      <c r="O137">
        <f t="shared" si="416"/>
        <v>4753.33</v>
      </c>
      <c r="P137">
        <f t="shared" si="424"/>
        <v>4749.34</v>
      </c>
      <c r="Q137">
        <f t="shared" si="432"/>
        <v>4772.1499999999996</v>
      </c>
      <c r="R137">
        <v>46.37</v>
      </c>
      <c r="S137">
        <f t="shared" si="466"/>
        <v>33.820000000000618</v>
      </c>
      <c r="T137">
        <f t="shared" si="467"/>
        <v>13.300000000000182</v>
      </c>
      <c r="U137">
        <f t="shared" ref="U137:U170" si="483">I137-I136</f>
        <v>57.569999999999709</v>
      </c>
      <c r="V137">
        <f t="shared" si="381"/>
        <v>65.769999999999527</v>
      </c>
      <c r="W137">
        <f t="shared" si="389"/>
        <v>39.25</v>
      </c>
      <c r="X137">
        <f t="shared" si="397"/>
        <v>46.929999999999382</v>
      </c>
      <c r="Y137">
        <f t="shared" si="405"/>
        <v>58.960000000000036</v>
      </c>
      <c r="Z137">
        <f t="shared" si="413"/>
        <v>31.829999999999927</v>
      </c>
      <c r="AA137">
        <f t="shared" si="421"/>
        <v>58.989999999999782</v>
      </c>
      <c r="AB137">
        <f t="shared" si="429"/>
        <v>25.3100000000004</v>
      </c>
      <c r="AC137">
        <f t="shared" si="437"/>
        <v>103.53999999999996</v>
      </c>
      <c r="AD137">
        <v>1.02</v>
      </c>
      <c r="AE137" s="14">
        <f t="shared" si="468"/>
        <v>0.72461283991671066</v>
      </c>
      <c r="AF137" s="14">
        <f t="shared" si="469"/>
        <v>0.2830214777125945</v>
      </c>
      <c r="AG137" s="14">
        <f t="shared" ref="AG137:AG170" si="484">(U137/I136)*100</f>
        <v>1.2321422838614338</v>
      </c>
      <c r="AH137" s="14">
        <f t="shared" si="382"/>
        <v>1.4069291850634802</v>
      </c>
      <c r="AI137" s="14">
        <f t="shared" si="390"/>
        <v>0.84260557257463764</v>
      </c>
      <c r="AJ137" s="14">
        <f t="shared" si="398"/>
        <v>1.0061531205111032</v>
      </c>
      <c r="AK137" s="14">
        <f t="shared" si="406"/>
        <v>1.258683335254662</v>
      </c>
      <c r="AL137" s="14">
        <f t="shared" si="414"/>
        <v>0.67823552223921968</v>
      </c>
      <c r="AM137" s="14">
        <f t="shared" si="422"/>
        <v>1.2566196739051663</v>
      </c>
      <c r="AN137" s="14">
        <f t="shared" si="430"/>
        <v>0.53577136470345021</v>
      </c>
      <c r="AO137" s="14">
        <f t="shared" si="438"/>
        <v>2.2177907342870782</v>
      </c>
      <c r="AP137">
        <v>0</v>
      </c>
      <c r="AQ137">
        <f t="shared" si="470"/>
        <v>0</v>
      </c>
      <c r="AR137">
        <f t="shared" si="474"/>
        <v>0</v>
      </c>
      <c r="AS137">
        <f t="shared" si="479"/>
        <v>0</v>
      </c>
      <c r="AT137">
        <f t="shared" si="377"/>
        <v>0</v>
      </c>
      <c r="AU137">
        <f t="shared" si="385"/>
        <v>0</v>
      </c>
      <c r="AV137">
        <f t="shared" si="393"/>
        <v>0</v>
      </c>
      <c r="AW137">
        <f t="shared" si="401"/>
        <v>0</v>
      </c>
      <c r="AX137">
        <f t="shared" si="409"/>
        <v>0</v>
      </c>
      <c r="AY137">
        <f t="shared" si="417"/>
        <v>0</v>
      </c>
      <c r="AZ137">
        <f t="shared" si="425"/>
        <v>0</v>
      </c>
      <c r="BA137">
        <f t="shared" si="433"/>
        <v>0</v>
      </c>
      <c r="BB137">
        <v>22</v>
      </c>
      <c r="BC137">
        <f t="shared" si="471"/>
        <v>32</v>
      </c>
      <c r="BD137">
        <f t="shared" si="475"/>
        <v>11</v>
      </c>
      <c r="BE137">
        <f t="shared" si="480"/>
        <v>18</v>
      </c>
      <c r="BF137">
        <f t="shared" si="378"/>
        <v>14</v>
      </c>
      <c r="BG137">
        <f t="shared" si="386"/>
        <v>15</v>
      </c>
      <c r="BH137">
        <f t="shared" si="394"/>
        <v>26</v>
      </c>
      <c r="BI137">
        <f t="shared" si="402"/>
        <v>9</v>
      </c>
      <c r="BJ137">
        <f t="shared" si="410"/>
        <v>10</v>
      </c>
      <c r="BK137">
        <f t="shared" si="418"/>
        <v>2</v>
      </c>
      <c r="BL137">
        <f t="shared" si="426"/>
        <v>9</v>
      </c>
      <c r="BM137">
        <f t="shared" si="434"/>
        <v>42</v>
      </c>
      <c r="BZ137" s="12">
        <f t="shared" si="440"/>
        <v>2.1077272727272724</v>
      </c>
      <c r="CA137" s="12">
        <f t="shared" si="472"/>
        <v>1.0568750000000193</v>
      </c>
      <c r="CB137" s="12">
        <f t="shared" si="476"/>
        <v>1.2090909090909256</v>
      </c>
      <c r="CC137" s="12">
        <f t="shared" ref="CC137:CC170" si="485">IFERROR(U137/BE137,0)</f>
        <v>3.1983333333333173</v>
      </c>
      <c r="CD137" s="12">
        <f t="shared" si="383"/>
        <v>4.6978571428571092</v>
      </c>
      <c r="CE137" s="12">
        <f t="shared" si="391"/>
        <v>2.6166666666666667</v>
      </c>
      <c r="CF137" s="12">
        <f t="shared" si="399"/>
        <v>1.8049999999999762</v>
      </c>
      <c r="CG137" s="12">
        <f t="shared" si="407"/>
        <v>6.5511111111111155</v>
      </c>
      <c r="CH137" s="12">
        <f t="shared" si="415"/>
        <v>3.1829999999999927</v>
      </c>
      <c r="CI137" s="12">
        <f t="shared" si="423"/>
        <v>29.494999999999891</v>
      </c>
      <c r="CJ137" s="12">
        <f t="shared" si="431"/>
        <v>2.8122222222222666</v>
      </c>
      <c r="CK137" s="12">
        <f t="shared" si="439"/>
        <v>2.4652380952380946</v>
      </c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>
        <f t="shared" si="441"/>
        <v>64.618247505649549</v>
      </c>
      <c r="CY137" s="12">
        <f t="shared" si="442"/>
        <v>46.583891739241778</v>
      </c>
      <c r="CZ137" s="12">
        <f t="shared" si="443"/>
        <v>50.406949370471956</v>
      </c>
      <c r="DA137" s="12">
        <f t="shared" si="444"/>
        <v>72.63747551519053</v>
      </c>
      <c r="DB137" s="12">
        <f t="shared" si="445"/>
        <v>77.983201984084829</v>
      </c>
      <c r="DC137" s="12">
        <f t="shared" si="446"/>
        <v>69.084863370966843</v>
      </c>
      <c r="DD137" s="12">
        <f t="shared" si="447"/>
        <v>61.012818533385015</v>
      </c>
      <c r="DE137" s="12">
        <f t="shared" si="448"/>
        <v>81.321031410943505</v>
      </c>
      <c r="DF137" s="12">
        <f t="shared" si="449"/>
        <v>72.558896664180452</v>
      </c>
      <c r="DG137" s="12">
        <f t="shared" si="450"/>
        <v>88.058184739753287</v>
      </c>
      <c r="DH137" s="12">
        <f t="shared" si="451"/>
        <v>70.425087793519481</v>
      </c>
      <c r="DI137" s="12">
        <f t="shared" si="452"/>
        <v>67.920541049100663</v>
      </c>
      <c r="DJ137" t="s">
        <v>21</v>
      </c>
      <c r="DK137" t="str">
        <f t="shared" si="473"/>
        <v>LH</v>
      </c>
      <c r="DL137" t="str">
        <f t="shared" si="477"/>
        <v>LH</v>
      </c>
      <c r="DM137" t="str">
        <f t="shared" si="481"/>
        <v>LH</v>
      </c>
      <c r="DN137" t="str">
        <f t="shared" si="379"/>
        <v>HH</v>
      </c>
      <c r="DO137" t="str">
        <f t="shared" si="387"/>
        <v>LH</v>
      </c>
      <c r="DP137" t="str">
        <f t="shared" si="395"/>
        <v>LH</v>
      </c>
      <c r="DQ137" t="str">
        <f t="shared" si="403"/>
        <v>HH</v>
      </c>
      <c r="DR137" t="str">
        <f t="shared" si="411"/>
        <v>LH</v>
      </c>
      <c r="DS137" t="str">
        <f t="shared" si="419"/>
        <v>HH</v>
      </c>
      <c r="DT137" t="str">
        <f t="shared" si="427"/>
        <v>LH</v>
      </c>
      <c r="DU137" t="str">
        <f t="shared" si="435"/>
        <v>LH</v>
      </c>
      <c r="DV137">
        <f t="shared" si="453"/>
        <v>2.1656028808060115</v>
      </c>
      <c r="DW137">
        <f t="shared" si="454"/>
        <v>2.4144353242102095</v>
      </c>
      <c r="DX137">
        <f t="shared" si="482"/>
        <v>2.7910524634411962</v>
      </c>
      <c r="DY137">
        <f t="shared" si="380"/>
        <v>3.0207606666536275</v>
      </c>
      <c r="DZ137">
        <f t="shared" si="388"/>
        <v>2.0847595018135494</v>
      </c>
      <c r="EA137">
        <f t="shared" si="396"/>
        <v>2.3848796802774705</v>
      </c>
      <c r="EB137">
        <f t="shared" si="404"/>
        <v>3.0800892754303604</v>
      </c>
      <c r="EC137">
        <f t="shared" si="412"/>
        <v>2.681740045072369</v>
      </c>
      <c r="ED137">
        <f t="shared" si="420"/>
        <v>3.2998007167243686</v>
      </c>
      <c r="EE137">
        <f t="shared" si="428"/>
        <v>3.2130896731276253</v>
      </c>
      <c r="EF137">
        <f t="shared" si="436"/>
        <v>3.7087986717345873</v>
      </c>
      <c r="EG137" s="13" t="str">
        <f t="shared" si="455"/>
        <v/>
      </c>
      <c r="EH137" s="13" t="str">
        <f t="shared" si="456"/>
        <v/>
      </c>
      <c r="EI137" s="13" t="str">
        <f t="shared" si="457"/>
        <v/>
      </c>
      <c r="EJ137" s="13" t="str">
        <f t="shared" si="458"/>
        <v/>
      </c>
      <c r="EK137" s="13" t="str">
        <f t="shared" si="459"/>
        <v/>
      </c>
      <c r="EL137" s="13" t="str">
        <f t="shared" si="460"/>
        <v/>
      </c>
      <c r="EM137" s="13" t="str">
        <f t="shared" si="461"/>
        <v/>
      </c>
      <c r="EN137" s="13" t="str">
        <f t="shared" si="462"/>
        <v/>
      </c>
      <c r="EO137" s="13" t="str">
        <f t="shared" si="463"/>
        <v/>
      </c>
      <c r="EP137" s="13" t="str">
        <f t="shared" si="464"/>
        <v/>
      </c>
      <c r="EQ137" s="13" t="str">
        <f t="shared" si="465"/>
        <v/>
      </c>
    </row>
    <row r="138" spans="1:147" ht="14.25" customHeight="1" x14ac:dyDescent="0.55000000000000004">
      <c r="A138">
        <v>1777419004</v>
      </c>
      <c r="B138" t="s">
        <v>16</v>
      </c>
      <c r="C138" t="s">
        <v>17</v>
      </c>
      <c r="D138">
        <v>4589.91</v>
      </c>
      <c r="E138" t="s">
        <v>18</v>
      </c>
      <c r="F138">
        <v>4587.93</v>
      </c>
      <c r="G138">
        <v>4555.12</v>
      </c>
      <c r="H138">
        <v>4667.32</v>
      </c>
      <c r="I138">
        <f t="shared" si="478"/>
        <v>4699.29</v>
      </c>
      <c r="J138">
        <f t="shared" ref="J138:J169" si="486">F130</f>
        <v>4672.3500000000004</v>
      </c>
      <c r="K138">
        <f t="shared" si="384"/>
        <v>4674.72</v>
      </c>
      <c r="L138">
        <f t="shared" si="392"/>
        <v>4658.17</v>
      </c>
      <c r="M138">
        <f t="shared" si="400"/>
        <v>4664.3</v>
      </c>
      <c r="N138">
        <f t="shared" si="408"/>
        <v>4684.26</v>
      </c>
      <c r="O138">
        <f t="shared" si="416"/>
        <v>4693.0600000000004</v>
      </c>
      <c r="P138">
        <f t="shared" si="424"/>
        <v>4694.34</v>
      </c>
      <c r="Q138">
        <f t="shared" si="432"/>
        <v>4724.03</v>
      </c>
      <c r="R138">
        <v>-13.56</v>
      </c>
      <c r="S138">
        <f t="shared" si="466"/>
        <v>-146.02000000000044</v>
      </c>
      <c r="T138">
        <f t="shared" si="467"/>
        <v>-45.270000000000437</v>
      </c>
      <c r="U138">
        <f t="shared" si="483"/>
        <v>-30.630000000000109</v>
      </c>
      <c r="V138">
        <f t="shared" si="381"/>
        <v>-68.139999999999418</v>
      </c>
      <c r="W138">
        <f t="shared" si="389"/>
        <v>-22.699999999999818</v>
      </c>
      <c r="X138">
        <f t="shared" si="397"/>
        <v>-53.059999999999491</v>
      </c>
      <c r="Y138">
        <f t="shared" si="405"/>
        <v>-78.920000000000073</v>
      </c>
      <c r="Z138">
        <f t="shared" si="413"/>
        <v>-40.630000000000109</v>
      </c>
      <c r="AA138">
        <f t="shared" si="421"/>
        <v>-60.269999999999527</v>
      </c>
      <c r="AB138">
        <f t="shared" si="429"/>
        <v>-55</v>
      </c>
      <c r="AC138">
        <f t="shared" si="437"/>
        <v>-48.119999999999891</v>
      </c>
      <c r="AD138">
        <v>-0.28999999999999998</v>
      </c>
      <c r="AE138" s="14">
        <f t="shared" si="468"/>
        <v>-3.1060551270542978</v>
      </c>
      <c r="AF138" s="14">
        <f t="shared" si="469"/>
        <v>-0.96061825874944429</v>
      </c>
      <c r="AG138" s="14">
        <f t="shared" si="484"/>
        <v>-0.64757966308098458</v>
      </c>
      <c r="AH138" s="14">
        <f t="shared" si="382"/>
        <v>-1.4374041502038697</v>
      </c>
      <c r="AI138" s="14">
        <f t="shared" si="390"/>
        <v>-0.48324399351132785</v>
      </c>
      <c r="AJ138" s="14">
        <f t="shared" si="398"/>
        <v>-1.1262451631527117</v>
      </c>
      <c r="AK138" s="14">
        <f t="shared" si="406"/>
        <v>-1.6638486091726732</v>
      </c>
      <c r="AL138" s="14">
        <f t="shared" si="414"/>
        <v>-0.8599141990607212</v>
      </c>
      <c r="AM138" s="14">
        <f t="shared" si="422"/>
        <v>-1.2679532033332321</v>
      </c>
      <c r="AN138" s="14">
        <f t="shared" si="430"/>
        <v>-1.1580556456265501</v>
      </c>
      <c r="AO138" s="14">
        <f t="shared" si="438"/>
        <v>-1.00835053382647</v>
      </c>
      <c r="AP138">
        <v>3</v>
      </c>
      <c r="AQ138">
        <f t="shared" si="470"/>
        <v>5</v>
      </c>
      <c r="AR138">
        <f t="shared" si="474"/>
        <v>3</v>
      </c>
      <c r="AS138">
        <f t="shared" si="479"/>
        <v>3</v>
      </c>
      <c r="AT138">
        <f t="shared" ref="AT138:AT169" si="487">AP130</f>
        <v>3</v>
      </c>
      <c r="AU138">
        <f t="shared" si="385"/>
        <v>3</v>
      </c>
      <c r="AV138">
        <f t="shared" si="393"/>
        <v>3</v>
      </c>
      <c r="AW138">
        <f t="shared" si="401"/>
        <v>3</v>
      </c>
      <c r="AX138">
        <f t="shared" si="409"/>
        <v>3</v>
      </c>
      <c r="AY138">
        <f t="shared" si="417"/>
        <v>3</v>
      </c>
      <c r="AZ138">
        <f t="shared" si="425"/>
        <v>3</v>
      </c>
      <c r="BA138">
        <f t="shared" si="433"/>
        <v>3</v>
      </c>
      <c r="BB138">
        <v>20</v>
      </c>
      <c r="BC138">
        <f t="shared" si="471"/>
        <v>48</v>
      </c>
      <c r="BD138">
        <f t="shared" si="475"/>
        <v>11</v>
      </c>
      <c r="BE138">
        <f t="shared" si="480"/>
        <v>20</v>
      </c>
      <c r="BF138">
        <f t="shared" ref="BF138:BF169" si="488">BB130</f>
        <v>36</v>
      </c>
      <c r="BG138">
        <f t="shared" si="386"/>
        <v>9</v>
      </c>
      <c r="BH138">
        <f t="shared" si="394"/>
        <v>13</v>
      </c>
      <c r="BI138">
        <f t="shared" si="402"/>
        <v>20</v>
      </c>
      <c r="BJ138">
        <f t="shared" si="410"/>
        <v>10</v>
      </c>
      <c r="BK138">
        <f t="shared" si="418"/>
        <v>19</v>
      </c>
      <c r="BL138">
        <f t="shared" si="426"/>
        <v>18</v>
      </c>
      <c r="BM138">
        <f t="shared" si="434"/>
        <v>38</v>
      </c>
      <c r="BZ138" s="12">
        <f t="shared" si="440"/>
        <v>-0.67800000000000005</v>
      </c>
      <c r="CA138" s="12">
        <f t="shared" si="472"/>
        <v>-3.0420833333333426</v>
      </c>
      <c r="CB138" s="12">
        <f t="shared" si="476"/>
        <v>-4.1154545454545852</v>
      </c>
      <c r="CC138" s="12">
        <f t="shared" si="485"/>
        <v>-1.5315000000000054</v>
      </c>
      <c r="CD138" s="12">
        <f t="shared" si="383"/>
        <v>-1.8927777777777617</v>
      </c>
      <c r="CE138" s="12">
        <f t="shared" si="391"/>
        <v>-2.5222222222222022</v>
      </c>
      <c r="CF138" s="12">
        <f t="shared" si="399"/>
        <v>-4.0815384615384227</v>
      </c>
      <c r="CG138" s="12">
        <f t="shared" si="407"/>
        <v>-3.9460000000000037</v>
      </c>
      <c r="CH138" s="12">
        <f t="shared" si="415"/>
        <v>-4.0630000000000113</v>
      </c>
      <c r="CI138" s="12">
        <f t="shared" si="423"/>
        <v>-3.1721052631578699</v>
      </c>
      <c r="CJ138" s="12">
        <f t="shared" si="431"/>
        <v>-3.0555555555555554</v>
      </c>
      <c r="CK138" s="12">
        <f t="shared" si="439"/>
        <v>-1.2663157894736814</v>
      </c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>
        <f t="shared" si="441"/>
        <v>-34.137270681244907</v>
      </c>
      <c r="CY138" s="12">
        <f t="shared" si="442"/>
        <v>-71.803163361405623</v>
      </c>
      <c r="CZ138" s="12">
        <f t="shared" si="443"/>
        <v>-76.34258087433652</v>
      </c>
      <c r="DA138" s="12">
        <f t="shared" si="444"/>
        <v>-56.857286223499479</v>
      </c>
      <c r="DB138" s="12">
        <f t="shared" si="445"/>
        <v>-62.151429480932208</v>
      </c>
      <c r="DC138" s="12">
        <f t="shared" si="446"/>
        <v>-68.372873716083049</v>
      </c>
      <c r="DD138" s="12">
        <f t="shared" si="447"/>
        <v>-76.233393709878015</v>
      </c>
      <c r="DE138" s="12">
        <f t="shared" si="448"/>
        <v>-75.779416600103389</v>
      </c>
      <c r="DF138" s="12">
        <f t="shared" si="449"/>
        <v>-76.172985494761349</v>
      </c>
      <c r="DG138" s="12">
        <f t="shared" si="450"/>
        <v>-72.502644265501786</v>
      </c>
      <c r="DH138" s="12">
        <f t="shared" si="451"/>
        <v>-71.878139752098647</v>
      </c>
      <c r="DI138" s="12">
        <f t="shared" si="452"/>
        <v>-51.702116461303874</v>
      </c>
      <c r="DJ138" t="s">
        <v>22</v>
      </c>
      <c r="DK138" t="str">
        <f t="shared" si="473"/>
        <v>LL</v>
      </c>
      <c r="DL138" t="str">
        <f t="shared" si="477"/>
        <v>LL</v>
      </c>
      <c r="DM138" t="str">
        <f t="shared" si="481"/>
        <v>HL</v>
      </c>
      <c r="DN138" t="str">
        <f t="shared" ref="DN138:DN169" si="489">DJ130</f>
        <v>LL</v>
      </c>
      <c r="DO138" t="str">
        <f t="shared" si="387"/>
        <v>HL</v>
      </c>
      <c r="DP138" t="str">
        <f t="shared" si="395"/>
        <v>LL</v>
      </c>
      <c r="DQ138" t="str">
        <f t="shared" si="403"/>
        <v>LL</v>
      </c>
      <c r="DR138" t="str">
        <f t="shared" si="411"/>
        <v>LL</v>
      </c>
      <c r="DS138" t="str">
        <f t="shared" si="419"/>
        <v>LL</v>
      </c>
      <c r="DT138" t="str">
        <f t="shared" si="427"/>
        <v>LL</v>
      </c>
      <c r="DU138" t="str">
        <f t="shared" si="435"/>
        <v>HL</v>
      </c>
      <c r="DV138">
        <f t="shared" si="453"/>
        <v>-0.71513732772732796</v>
      </c>
      <c r="DW138">
        <f t="shared" si="454"/>
        <v>1.7304100106147962</v>
      </c>
      <c r="DX138">
        <f t="shared" si="482"/>
        <v>2.4272384277876879</v>
      </c>
      <c r="DY138">
        <f t="shared" ref="DY138:DY170" si="490">IFERROR(((J138-$F138)/$F138)*100,0)</f>
        <v>1.8400455107205222</v>
      </c>
      <c r="DZ138">
        <f t="shared" si="388"/>
        <v>1.8917027940705278</v>
      </c>
      <c r="EA138">
        <f t="shared" si="396"/>
        <v>1.5309736635040154</v>
      </c>
      <c r="EB138">
        <f t="shared" si="404"/>
        <v>1.6645851179072018</v>
      </c>
      <c r="EC138">
        <f t="shared" si="412"/>
        <v>2.0996397067958736</v>
      </c>
      <c r="ED138">
        <f t="shared" si="420"/>
        <v>2.2914473411756524</v>
      </c>
      <c r="EE138">
        <f t="shared" si="428"/>
        <v>2.3193466334490687</v>
      </c>
      <c r="EF138">
        <f t="shared" si="436"/>
        <v>2.9664794362599132</v>
      </c>
      <c r="EG138" s="13" t="str">
        <f t="shared" si="455"/>
        <v/>
      </c>
      <c r="EH138" s="13" t="str">
        <f t="shared" si="456"/>
        <v/>
      </c>
      <c r="EI138" s="13" t="str">
        <f t="shared" si="457"/>
        <v/>
      </c>
      <c r="EJ138" s="13" t="str">
        <f t="shared" si="458"/>
        <v/>
      </c>
      <c r="EK138" s="13" t="str">
        <f t="shared" si="459"/>
        <v/>
      </c>
      <c r="EL138" s="13" t="str">
        <f t="shared" si="460"/>
        <v/>
      </c>
      <c r="EM138" s="13" t="str">
        <f t="shared" si="461"/>
        <v/>
      </c>
      <c r="EN138" s="13" t="str">
        <f t="shared" si="462"/>
        <v/>
      </c>
      <c r="EO138" s="13" t="str">
        <f t="shared" si="463"/>
        <v/>
      </c>
      <c r="EP138" s="13" t="str">
        <f t="shared" si="464"/>
        <v/>
      </c>
      <c r="EQ138" s="13" t="str">
        <f t="shared" si="465"/>
        <v/>
      </c>
    </row>
    <row r="139" spans="1:147" ht="14.25" customHeight="1" x14ac:dyDescent="0.55000000000000004">
      <c r="A139">
        <v>1777420804</v>
      </c>
      <c r="B139" t="s">
        <v>16</v>
      </c>
      <c r="C139" t="s">
        <v>17</v>
      </c>
      <c r="D139">
        <v>4607.37</v>
      </c>
      <c r="E139" t="s">
        <v>20</v>
      </c>
      <c r="F139">
        <v>4610.1499999999996</v>
      </c>
      <c r="G139">
        <v>4601.49</v>
      </c>
      <c r="H139">
        <v>4701.1400000000003</v>
      </c>
      <c r="I139">
        <f t="shared" si="478"/>
        <v>4712.59</v>
      </c>
      <c r="J139">
        <f t="shared" si="486"/>
        <v>4729.92</v>
      </c>
      <c r="K139">
        <f t="shared" si="384"/>
        <v>4740.49</v>
      </c>
      <c r="L139">
        <f t="shared" si="392"/>
        <v>4697.42</v>
      </c>
      <c r="M139">
        <f t="shared" si="400"/>
        <v>4711.2299999999996</v>
      </c>
      <c r="N139">
        <f t="shared" si="408"/>
        <v>4743.22</v>
      </c>
      <c r="O139">
        <f t="shared" si="416"/>
        <v>4724.8900000000003</v>
      </c>
      <c r="P139">
        <f t="shared" si="424"/>
        <v>4753.33</v>
      </c>
      <c r="Q139">
        <f t="shared" si="432"/>
        <v>4749.34</v>
      </c>
      <c r="R139">
        <v>22.22</v>
      </c>
      <c r="S139">
        <f t="shared" si="466"/>
        <v>46.369999999999891</v>
      </c>
      <c r="T139">
        <f t="shared" si="467"/>
        <v>33.820000000000618</v>
      </c>
      <c r="U139">
        <f t="shared" si="483"/>
        <v>13.300000000000182</v>
      </c>
      <c r="V139">
        <f t="shared" ref="V139:V170" si="491">J139-J138</f>
        <v>57.569999999999709</v>
      </c>
      <c r="W139">
        <f t="shared" si="389"/>
        <v>65.769999999999527</v>
      </c>
      <c r="X139">
        <f t="shared" si="397"/>
        <v>39.25</v>
      </c>
      <c r="Y139">
        <f t="shared" si="405"/>
        <v>46.929999999999382</v>
      </c>
      <c r="Z139">
        <f t="shared" si="413"/>
        <v>58.960000000000036</v>
      </c>
      <c r="AA139">
        <f t="shared" si="421"/>
        <v>31.829999999999927</v>
      </c>
      <c r="AB139">
        <f t="shared" si="429"/>
        <v>58.989999999999782</v>
      </c>
      <c r="AC139">
        <f t="shared" si="437"/>
        <v>25.3100000000004</v>
      </c>
      <c r="AD139">
        <v>0.48</v>
      </c>
      <c r="AE139" s="14">
        <f t="shared" si="468"/>
        <v>1.0179753771580087</v>
      </c>
      <c r="AF139" s="14">
        <f t="shared" si="469"/>
        <v>0.72461283991671066</v>
      </c>
      <c r="AG139" s="14">
        <f t="shared" si="484"/>
        <v>0.2830214777125945</v>
      </c>
      <c r="AH139" s="14">
        <f t="shared" ref="AH139:AH170" si="492">(V139/J138)*100</f>
        <v>1.2321422838614338</v>
      </c>
      <c r="AI139" s="14">
        <f t="shared" si="390"/>
        <v>1.4069291850634802</v>
      </c>
      <c r="AJ139" s="14">
        <f t="shared" si="398"/>
        <v>0.84260557257463764</v>
      </c>
      <c r="AK139" s="14">
        <f t="shared" si="406"/>
        <v>1.0061531205111032</v>
      </c>
      <c r="AL139" s="14">
        <f t="shared" si="414"/>
        <v>1.258683335254662</v>
      </c>
      <c r="AM139" s="14">
        <f t="shared" si="422"/>
        <v>0.67823552223921968</v>
      </c>
      <c r="AN139" s="14">
        <f t="shared" si="430"/>
        <v>1.2566196739051663</v>
      </c>
      <c r="AO139" s="14">
        <f t="shared" si="438"/>
        <v>0.53577136470345021</v>
      </c>
      <c r="AP139">
        <v>0</v>
      </c>
      <c r="AQ139">
        <f t="shared" si="470"/>
        <v>0</v>
      </c>
      <c r="AR139">
        <f t="shared" si="474"/>
        <v>0</v>
      </c>
      <c r="AS139">
        <f t="shared" si="479"/>
        <v>0</v>
      </c>
      <c r="AT139">
        <f t="shared" si="487"/>
        <v>0</v>
      </c>
      <c r="AU139">
        <f t="shared" si="385"/>
        <v>0</v>
      </c>
      <c r="AV139">
        <f t="shared" si="393"/>
        <v>0</v>
      </c>
      <c r="AW139">
        <f t="shared" si="401"/>
        <v>0</v>
      </c>
      <c r="AX139">
        <f t="shared" si="409"/>
        <v>0</v>
      </c>
      <c r="AY139">
        <f t="shared" si="417"/>
        <v>0</v>
      </c>
      <c r="AZ139">
        <f t="shared" si="425"/>
        <v>0</v>
      </c>
      <c r="BA139">
        <f t="shared" si="433"/>
        <v>0</v>
      </c>
      <c r="BB139">
        <v>2</v>
      </c>
      <c r="BC139">
        <f t="shared" si="471"/>
        <v>22</v>
      </c>
      <c r="BD139">
        <f t="shared" si="475"/>
        <v>32</v>
      </c>
      <c r="BE139">
        <f t="shared" si="480"/>
        <v>11</v>
      </c>
      <c r="BF139">
        <f t="shared" si="488"/>
        <v>18</v>
      </c>
      <c r="BG139">
        <f t="shared" si="386"/>
        <v>14</v>
      </c>
      <c r="BH139">
        <f t="shared" si="394"/>
        <v>15</v>
      </c>
      <c r="BI139">
        <f t="shared" si="402"/>
        <v>26</v>
      </c>
      <c r="BJ139">
        <f t="shared" si="410"/>
        <v>9</v>
      </c>
      <c r="BK139">
        <f t="shared" si="418"/>
        <v>10</v>
      </c>
      <c r="BL139">
        <f t="shared" si="426"/>
        <v>2</v>
      </c>
      <c r="BM139">
        <f t="shared" si="434"/>
        <v>9</v>
      </c>
      <c r="BZ139" s="12">
        <f t="shared" si="440"/>
        <v>11.11</v>
      </c>
      <c r="CA139" s="12">
        <f t="shared" si="472"/>
        <v>2.1077272727272676</v>
      </c>
      <c r="CB139" s="12">
        <f t="shared" si="476"/>
        <v>1.0568750000000193</v>
      </c>
      <c r="CC139" s="12">
        <f t="shared" si="485"/>
        <v>1.2090909090909256</v>
      </c>
      <c r="CD139" s="12">
        <f t="shared" ref="CD139:CD170" si="493">IFERROR(V139/BF139,0)</f>
        <v>3.1983333333333173</v>
      </c>
      <c r="CE139" s="12">
        <f t="shared" si="391"/>
        <v>4.6978571428571092</v>
      </c>
      <c r="CF139" s="12">
        <f t="shared" si="399"/>
        <v>2.6166666666666667</v>
      </c>
      <c r="CG139" s="12">
        <f t="shared" si="407"/>
        <v>1.8049999999999762</v>
      </c>
      <c r="CH139" s="12">
        <f t="shared" si="415"/>
        <v>6.5511111111111155</v>
      </c>
      <c r="CI139" s="12">
        <f t="shared" si="423"/>
        <v>3.1829999999999927</v>
      </c>
      <c r="CJ139" s="12">
        <f t="shared" si="431"/>
        <v>29.494999999999891</v>
      </c>
      <c r="CK139" s="12">
        <f t="shared" si="439"/>
        <v>2.8122222222222666</v>
      </c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>
        <f t="shared" si="441"/>
        <v>84.856723872655834</v>
      </c>
      <c r="CY139" s="12">
        <f t="shared" si="442"/>
        <v>64.618247505649492</v>
      </c>
      <c r="CZ139" s="12">
        <f t="shared" si="443"/>
        <v>46.583891739241778</v>
      </c>
      <c r="DA139" s="12">
        <f t="shared" si="444"/>
        <v>50.406949370471956</v>
      </c>
      <c r="DB139" s="12">
        <f t="shared" si="445"/>
        <v>72.63747551519053</v>
      </c>
      <c r="DC139" s="12">
        <f t="shared" si="446"/>
        <v>77.983201984084829</v>
      </c>
      <c r="DD139" s="12">
        <f t="shared" si="447"/>
        <v>69.084863370966843</v>
      </c>
      <c r="DE139" s="12">
        <f t="shared" si="448"/>
        <v>61.012818533385015</v>
      </c>
      <c r="DF139" s="12">
        <f t="shared" si="449"/>
        <v>81.321031410943505</v>
      </c>
      <c r="DG139" s="12">
        <f t="shared" si="450"/>
        <v>72.558896664180452</v>
      </c>
      <c r="DH139" s="12">
        <f t="shared" si="451"/>
        <v>88.058184739753287</v>
      </c>
      <c r="DI139" s="12">
        <f t="shared" si="452"/>
        <v>70.425087793519481</v>
      </c>
      <c r="DJ139" t="s">
        <v>23</v>
      </c>
      <c r="DK139" t="str">
        <f t="shared" si="473"/>
        <v>LH</v>
      </c>
      <c r="DL139" t="str">
        <f t="shared" si="477"/>
        <v>LH</v>
      </c>
      <c r="DM139" t="str">
        <f t="shared" si="481"/>
        <v>LH</v>
      </c>
      <c r="DN139" t="str">
        <f t="shared" si="489"/>
        <v>LH</v>
      </c>
      <c r="DO139" t="str">
        <f t="shared" si="387"/>
        <v>HH</v>
      </c>
      <c r="DP139" t="str">
        <f t="shared" si="395"/>
        <v>LH</v>
      </c>
      <c r="DQ139" t="str">
        <f t="shared" si="403"/>
        <v>LH</v>
      </c>
      <c r="DR139" t="str">
        <f t="shared" si="411"/>
        <v>HH</v>
      </c>
      <c r="DS139" t="str">
        <f t="shared" si="419"/>
        <v>LH</v>
      </c>
      <c r="DT139" t="str">
        <f t="shared" si="427"/>
        <v>HH</v>
      </c>
      <c r="DU139" t="str">
        <f t="shared" si="435"/>
        <v>LH</v>
      </c>
      <c r="DV139">
        <f t="shared" si="453"/>
        <v>-0.18784638243874613</v>
      </c>
      <c r="DW139">
        <f t="shared" si="454"/>
        <v>1.9736884916976825</v>
      </c>
      <c r="DX139">
        <f t="shared" si="482"/>
        <v>2.2220535123586114</v>
      </c>
      <c r="DY139">
        <f t="shared" si="490"/>
        <v>2.5979631899179081</v>
      </c>
      <c r="DZ139">
        <f t="shared" si="388"/>
        <v>2.82723989458044</v>
      </c>
      <c r="EA139">
        <f t="shared" si="396"/>
        <v>1.8929969740680987</v>
      </c>
      <c r="EB139">
        <f t="shared" si="404"/>
        <v>2.1925533876338066</v>
      </c>
      <c r="EC139">
        <f t="shared" si="412"/>
        <v>2.8864570567118344</v>
      </c>
      <c r="ED139">
        <f t="shared" si="420"/>
        <v>2.4888561109725433</v>
      </c>
      <c r="EE139">
        <f t="shared" si="428"/>
        <v>3.1057557780115679</v>
      </c>
      <c r="EF139">
        <f t="shared" si="436"/>
        <v>3.0192076179733962</v>
      </c>
      <c r="EG139" s="13" t="str">
        <f t="shared" si="455"/>
        <v>EQH</v>
      </c>
      <c r="EH139" s="13" t="str">
        <f t="shared" si="456"/>
        <v/>
      </c>
      <c r="EI139" s="13" t="str">
        <f t="shared" si="457"/>
        <v/>
      </c>
      <c r="EJ139" s="13" t="str">
        <f t="shared" si="458"/>
        <v/>
      </c>
      <c r="EK139" s="13" t="str">
        <f t="shared" si="459"/>
        <v/>
      </c>
      <c r="EL139" s="13" t="str">
        <f t="shared" si="460"/>
        <v/>
      </c>
      <c r="EM139" s="13" t="str">
        <f t="shared" si="461"/>
        <v/>
      </c>
      <c r="EN139" s="13" t="str">
        <f t="shared" si="462"/>
        <v/>
      </c>
      <c r="EO139" s="13" t="str">
        <f t="shared" si="463"/>
        <v/>
      </c>
      <c r="EP139" s="13" t="str">
        <f t="shared" si="464"/>
        <v/>
      </c>
      <c r="EQ139" s="13" t="str">
        <f t="shared" si="465"/>
        <v/>
      </c>
    </row>
    <row r="140" spans="1:147" ht="14.25" customHeight="1" x14ac:dyDescent="0.55000000000000004">
      <c r="A140">
        <v>1777424404</v>
      </c>
      <c r="B140" t="s">
        <v>16</v>
      </c>
      <c r="C140" t="s">
        <v>17</v>
      </c>
      <c r="D140">
        <v>4582.6499999999996</v>
      </c>
      <c r="E140" t="s">
        <v>18</v>
      </c>
      <c r="F140">
        <v>4575.84</v>
      </c>
      <c r="G140">
        <v>4587.93</v>
      </c>
      <c r="H140">
        <v>4555.12</v>
      </c>
      <c r="I140">
        <f t="shared" si="478"/>
        <v>4667.32</v>
      </c>
      <c r="J140">
        <f t="shared" si="486"/>
        <v>4699.29</v>
      </c>
      <c r="K140">
        <f t="shared" ref="K140:K170" si="494">F130</f>
        <v>4672.3500000000004</v>
      </c>
      <c r="L140">
        <f t="shared" si="392"/>
        <v>4674.72</v>
      </c>
      <c r="M140">
        <f t="shared" si="400"/>
        <v>4658.17</v>
      </c>
      <c r="N140">
        <f t="shared" si="408"/>
        <v>4664.3</v>
      </c>
      <c r="O140">
        <f t="shared" si="416"/>
        <v>4684.26</v>
      </c>
      <c r="P140">
        <f t="shared" si="424"/>
        <v>4693.0600000000004</v>
      </c>
      <c r="Q140">
        <f t="shared" si="432"/>
        <v>4694.34</v>
      </c>
      <c r="R140">
        <v>-34.31</v>
      </c>
      <c r="S140">
        <f t="shared" si="466"/>
        <v>-13.559999999999491</v>
      </c>
      <c r="T140">
        <f t="shared" si="467"/>
        <v>-146.02000000000044</v>
      </c>
      <c r="U140">
        <f t="shared" si="483"/>
        <v>-45.270000000000437</v>
      </c>
      <c r="V140">
        <f t="shared" si="491"/>
        <v>-30.630000000000109</v>
      </c>
      <c r="W140">
        <f t="shared" si="389"/>
        <v>-68.139999999999418</v>
      </c>
      <c r="X140">
        <f t="shared" si="397"/>
        <v>-22.699999999999818</v>
      </c>
      <c r="Y140">
        <f t="shared" si="405"/>
        <v>-53.059999999999491</v>
      </c>
      <c r="Z140">
        <f t="shared" si="413"/>
        <v>-78.920000000000073</v>
      </c>
      <c r="AA140">
        <f t="shared" si="421"/>
        <v>-40.630000000000109</v>
      </c>
      <c r="AB140">
        <f t="shared" si="429"/>
        <v>-60.269999999999527</v>
      </c>
      <c r="AC140">
        <f t="shared" si="437"/>
        <v>-55</v>
      </c>
      <c r="AD140">
        <v>-0.74</v>
      </c>
      <c r="AE140" s="14">
        <f t="shared" si="468"/>
        <v>-0.29468715568217013</v>
      </c>
      <c r="AF140" s="14">
        <f t="shared" si="469"/>
        <v>-3.1060551270542978</v>
      </c>
      <c r="AG140" s="14">
        <f t="shared" si="484"/>
        <v>-0.96061825874944429</v>
      </c>
      <c r="AH140" s="14">
        <f t="shared" si="492"/>
        <v>-0.64757966308098458</v>
      </c>
      <c r="AI140" s="14">
        <f t="shared" si="390"/>
        <v>-1.4374041502038697</v>
      </c>
      <c r="AJ140" s="14">
        <f t="shared" si="398"/>
        <v>-0.48324399351132785</v>
      </c>
      <c r="AK140" s="14">
        <f t="shared" si="406"/>
        <v>-1.1262451631527117</v>
      </c>
      <c r="AL140" s="14">
        <f t="shared" si="414"/>
        <v>-1.6638486091726732</v>
      </c>
      <c r="AM140" s="14">
        <f t="shared" si="422"/>
        <v>-0.8599141990607212</v>
      </c>
      <c r="AN140" s="14">
        <f t="shared" si="430"/>
        <v>-1.2679532033332321</v>
      </c>
      <c r="AO140" s="14">
        <f t="shared" si="438"/>
        <v>-1.1580556456265501</v>
      </c>
      <c r="AP140">
        <v>3</v>
      </c>
      <c r="AQ140">
        <f t="shared" si="470"/>
        <v>3</v>
      </c>
      <c r="AR140">
        <f t="shared" si="474"/>
        <v>5</v>
      </c>
      <c r="AS140">
        <f t="shared" si="479"/>
        <v>3</v>
      </c>
      <c r="AT140">
        <f t="shared" si="487"/>
        <v>3</v>
      </c>
      <c r="AU140">
        <f t="shared" ref="AU140:AU170" si="495">AP130</f>
        <v>3</v>
      </c>
      <c r="AV140">
        <f t="shared" si="393"/>
        <v>3</v>
      </c>
      <c r="AW140">
        <f t="shared" si="401"/>
        <v>3</v>
      </c>
      <c r="AX140">
        <f t="shared" si="409"/>
        <v>3</v>
      </c>
      <c r="AY140">
        <f t="shared" si="417"/>
        <v>3</v>
      </c>
      <c r="AZ140">
        <f t="shared" si="425"/>
        <v>3</v>
      </c>
      <c r="BA140">
        <f t="shared" si="433"/>
        <v>3</v>
      </c>
      <c r="BB140">
        <v>4</v>
      </c>
      <c r="BC140">
        <f t="shared" si="471"/>
        <v>20</v>
      </c>
      <c r="BD140">
        <f t="shared" si="475"/>
        <v>48</v>
      </c>
      <c r="BE140">
        <f t="shared" si="480"/>
        <v>11</v>
      </c>
      <c r="BF140">
        <f t="shared" si="488"/>
        <v>20</v>
      </c>
      <c r="BG140">
        <f t="shared" ref="BG140:BG170" si="496">BB130</f>
        <v>36</v>
      </c>
      <c r="BH140">
        <f t="shared" si="394"/>
        <v>9</v>
      </c>
      <c r="BI140">
        <f t="shared" si="402"/>
        <v>13</v>
      </c>
      <c r="BJ140">
        <f t="shared" si="410"/>
        <v>20</v>
      </c>
      <c r="BK140">
        <f t="shared" si="418"/>
        <v>10</v>
      </c>
      <c r="BL140">
        <f t="shared" si="426"/>
        <v>19</v>
      </c>
      <c r="BM140">
        <f t="shared" si="434"/>
        <v>18</v>
      </c>
      <c r="BZ140" s="12">
        <f t="shared" si="440"/>
        <v>-8.5775000000000006</v>
      </c>
      <c r="CA140" s="12">
        <f t="shared" si="472"/>
        <v>-0.67799999999997451</v>
      </c>
      <c r="CB140" s="12">
        <f t="shared" si="476"/>
        <v>-3.0420833333333426</v>
      </c>
      <c r="CC140" s="12">
        <f t="shared" si="485"/>
        <v>-4.1154545454545852</v>
      </c>
      <c r="CD140" s="12">
        <f t="shared" si="493"/>
        <v>-1.5315000000000054</v>
      </c>
      <c r="CE140" s="12">
        <f t="shared" si="391"/>
        <v>-1.8927777777777617</v>
      </c>
      <c r="CF140" s="12">
        <f t="shared" si="399"/>
        <v>-2.5222222222222022</v>
      </c>
      <c r="CG140" s="12">
        <f t="shared" si="407"/>
        <v>-4.0815384615384227</v>
      </c>
      <c r="CH140" s="12">
        <f t="shared" si="415"/>
        <v>-3.9460000000000037</v>
      </c>
      <c r="CI140" s="12">
        <f t="shared" si="423"/>
        <v>-4.0630000000000113</v>
      </c>
      <c r="CJ140" s="12">
        <f t="shared" si="431"/>
        <v>-3.1721052631578699</v>
      </c>
      <c r="CK140" s="12">
        <f t="shared" si="439"/>
        <v>-3.0555555555555554</v>
      </c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>
        <f t="shared" si="441"/>
        <v>-83.350242970142006</v>
      </c>
      <c r="CY140" s="12">
        <f t="shared" si="442"/>
        <v>-34.137270681243898</v>
      </c>
      <c r="CZ140" s="12">
        <f t="shared" si="443"/>
        <v>-71.803163361405623</v>
      </c>
      <c r="DA140" s="12">
        <f t="shared" si="444"/>
        <v>-76.34258087433652</v>
      </c>
      <c r="DB140" s="12">
        <f t="shared" si="445"/>
        <v>-56.857286223499479</v>
      </c>
      <c r="DC140" s="12">
        <f t="shared" si="446"/>
        <v>-62.151429480932208</v>
      </c>
      <c r="DD140" s="12">
        <f t="shared" si="447"/>
        <v>-68.372873716083049</v>
      </c>
      <c r="DE140" s="12">
        <f t="shared" si="448"/>
        <v>-76.233393709878015</v>
      </c>
      <c r="DF140" s="12">
        <f t="shared" si="449"/>
        <v>-75.779416600103389</v>
      </c>
      <c r="DG140" s="12">
        <f t="shared" si="450"/>
        <v>-76.172985494761349</v>
      </c>
      <c r="DH140" s="12">
        <f t="shared" si="451"/>
        <v>-72.502644265501786</v>
      </c>
      <c r="DI140" s="12">
        <f t="shared" si="452"/>
        <v>-71.878139752098647</v>
      </c>
      <c r="DJ140" t="s">
        <v>19</v>
      </c>
      <c r="DK140" t="str">
        <f t="shared" si="473"/>
        <v>HL</v>
      </c>
      <c r="DL140" t="str">
        <f t="shared" si="477"/>
        <v>LL</v>
      </c>
      <c r="DM140" t="str">
        <f t="shared" si="481"/>
        <v>LL</v>
      </c>
      <c r="DN140" t="str">
        <f t="shared" si="489"/>
        <v>HL</v>
      </c>
      <c r="DO140" t="str">
        <f t="shared" ref="DO140:DO170" si="497">DJ130</f>
        <v>LL</v>
      </c>
      <c r="DP140" t="str">
        <f t="shared" si="395"/>
        <v>HL</v>
      </c>
      <c r="DQ140" t="str">
        <f t="shared" si="403"/>
        <v>LL</v>
      </c>
      <c r="DR140" t="str">
        <f t="shared" si="411"/>
        <v>LL</v>
      </c>
      <c r="DS140" t="str">
        <f t="shared" si="419"/>
        <v>LL</v>
      </c>
      <c r="DT140" t="str">
        <f t="shared" si="427"/>
        <v>LL</v>
      </c>
      <c r="DU140" t="str">
        <f t="shared" si="435"/>
        <v>LL</v>
      </c>
      <c r="DV140">
        <f t="shared" si="453"/>
        <v>0.26421378369873388</v>
      </c>
      <c r="DW140">
        <f t="shared" si="454"/>
        <v>-0.45281303542082441</v>
      </c>
      <c r="DX140">
        <f t="shared" si="482"/>
        <v>1.9991957760760768</v>
      </c>
      <c r="DY140">
        <f t="shared" si="490"/>
        <v>2.6978653099758692</v>
      </c>
      <c r="DZ140">
        <f t="shared" ref="DZ140:DZ170" si="498">IFERROR(((K140-$F140)/$F140)*100,0)</f>
        <v>2.1091209482849096</v>
      </c>
      <c r="EA140">
        <f t="shared" si="396"/>
        <v>2.16091471729781</v>
      </c>
      <c r="EB140">
        <f t="shared" si="404"/>
        <v>1.7992324906465245</v>
      </c>
      <c r="EC140">
        <f t="shared" si="412"/>
        <v>1.9331969649288443</v>
      </c>
      <c r="ED140">
        <f t="shared" si="420"/>
        <v>2.369401028007974</v>
      </c>
      <c r="EE140">
        <f t="shared" si="428"/>
        <v>2.5617154445959702</v>
      </c>
      <c r="EF140">
        <f t="shared" si="436"/>
        <v>2.5896884506451276</v>
      </c>
      <c r="EG140" s="13" t="str">
        <f t="shared" si="455"/>
        <v/>
      </c>
      <c r="EH140" s="13" t="str">
        <f t="shared" si="456"/>
        <v/>
      </c>
      <c r="EI140" s="13" t="str">
        <f t="shared" si="457"/>
        <v/>
      </c>
      <c r="EJ140" s="13" t="str">
        <f t="shared" si="458"/>
        <v/>
      </c>
      <c r="EK140" s="13" t="str">
        <f t="shared" si="459"/>
        <v/>
      </c>
      <c r="EL140" s="13" t="str">
        <f t="shared" si="460"/>
        <v/>
      </c>
      <c r="EM140" s="13" t="str">
        <f t="shared" si="461"/>
        <v/>
      </c>
      <c r="EN140" s="13" t="str">
        <f t="shared" si="462"/>
        <v/>
      </c>
      <c r="EO140" s="13" t="str">
        <f t="shared" si="463"/>
        <v/>
      </c>
      <c r="EP140" s="13" t="str">
        <f t="shared" si="464"/>
        <v/>
      </c>
      <c r="EQ140" s="13" t="str">
        <f t="shared" si="465"/>
        <v/>
      </c>
    </row>
    <row r="141" spans="1:147" ht="14.25" customHeight="1" x14ac:dyDescent="0.55000000000000004">
      <c r="A141">
        <v>1777438804</v>
      </c>
      <c r="B141" t="s">
        <v>16</v>
      </c>
      <c r="C141" t="s">
        <v>17</v>
      </c>
      <c r="D141">
        <v>4601.1499999999996</v>
      </c>
      <c r="E141" t="s">
        <v>20</v>
      </c>
      <c r="F141">
        <v>4607.7700000000004</v>
      </c>
      <c r="G141">
        <v>4610.1499999999996</v>
      </c>
      <c r="H141">
        <v>4601.49</v>
      </c>
      <c r="I141">
        <f t="shared" si="478"/>
        <v>4701.1400000000003</v>
      </c>
      <c r="J141">
        <f t="shared" si="486"/>
        <v>4712.59</v>
      </c>
      <c r="K141">
        <f t="shared" si="494"/>
        <v>4729.92</v>
      </c>
      <c r="L141">
        <f t="shared" si="392"/>
        <v>4740.49</v>
      </c>
      <c r="M141">
        <f t="shared" si="400"/>
        <v>4697.42</v>
      </c>
      <c r="N141">
        <f t="shared" si="408"/>
        <v>4711.2299999999996</v>
      </c>
      <c r="O141">
        <f t="shared" si="416"/>
        <v>4743.22</v>
      </c>
      <c r="P141">
        <f t="shared" si="424"/>
        <v>4724.8900000000003</v>
      </c>
      <c r="Q141">
        <f t="shared" si="432"/>
        <v>4753.33</v>
      </c>
      <c r="R141">
        <v>31.93</v>
      </c>
      <c r="S141">
        <f t="shared" si="466"/>
        <v>22.219999999999345</v>
      </c>
      <c r="T141">
        <f t="shared" si="467"/>
        <v>46.369999999999891</v>
      </c>
      <c r="U141">
        <f t="shared" si="483"/>
        <v>33.820000000000618</v>
      </c>
      <c r="V141">
        <f t="shared" si="491"/>
        <v>13.300000000000182</v>
      </c>
      <c r="W141">
        <f t="shared" ref="W141:W170" si="499">K141-K140</f>
        <v>57.569999999999709</v>
      </c>
      <c r="X141">
        <f t="shared" si="397"/>
        <v>65.769999999999527</v>
      </c>
      <c r="Y141">
        <f t="shared" si="405"/>
        <v>39.25</v>
      </c>
      <c r="Z141">
        <f t="shared" si="413"/>
        <v>46.929999999999382</v>
      </c>
      <c r="AA141">
        <f t="shared" si="421"/>
        <v>58.960000000000036</v>
      </c>
      <c r="AB141">
        <f t="shared" si="429"/>
        <v>31.829999999999927</v>
      </c>
      <c r="AC141">
        <f t="shared" si="437"/>
        <v>58.989999999999782</v>
      </c>
      <c r="AD141">
        <v>0.7</v>
      </c>
      <c r="AE141" s="14">
        <f t="shared" si="468"/>
        <v>0.48431427680891692</v>
      </c>
      <c r="AF141" s="14">
        <f t="shared" si="469"/>
        <v>1.0179753771580087</v>
      </c>
      <c r="AG141" s="14">
        <f t="shared" si="484"/>
        <v>0.72461283991671066</v>
      </c>
      <c r="AH141" s="14">
        <f t="shared" si="492"/>
        <v>0.2830214777125945</v>
      </c>
      <c r="AI141" s="14">
        <f t="shared" ref="AI141:AI170" si="500">(W141/K140)*100</f>
        <v>1.2321422838614338</v>
      </c>
      <c r="AJ141" s="14">
        <f t="shared" si="398"/>
        <v>1.4069291850634802</v>
      </c>
      <c r="AK141" s="14">
        <f t="shared" si="406"/>
        <v>0.84260557257463764</v>
      </c>
      <c r="AL141" s="14">
        <f t="shared" si="414"/>
        <v>1.0061531205111032</v>
      </c>
      <c r="AM141" s="14">
        <f t="shared" si="422"/>
        <v>1.258683335254662</v>
      </c>
      <c r="AN141" s="14">
        <f t="shared" si="430"/>
        <v>0.67823552223921968</v>
      </c>
      <c r="AO141" s="14">
        <f t="shared" si="438"/>
        <v>1.2566196739051663</v>
      </c>
      <c r="AP141">
        <v>0</v>
      </c>
      <c r="AQ141">
        <f t="shared" si="470"/>
        <v>0</v>
      </c>
      <c r="AR141">
        <f t="shared" si="474"/>
        <v>0</v>
      </c>
      <c r="AS141">
        <f t="shared" si="479"/>
        <v>0</v>
      </c>
      <c r="AT141">
        <f t="shared" si="487"/>
        <v>0</v>
      </c>
      <c r="AU141">
        <f t="shared" si="495"/>
        <v>0</v>
      </c>
      <c r="AV141">
        <f t="shared" si="393"/>
        <v>0</v>
      </c>
      <c r="AW141">
        <f t="shared" si="401"/>
        <v>0</v>
      </c>
      <c r="AX141">
        <f t="shared" si="409"/>
        <v>0</v>
      </c>
      <c r="AY141">
        <f t="shared" si="417"/>
        <v>0</v>
      </c>
      <c r="AZ141">
        <f t="shared" si="425"/>
        <v>0</v>
      </c>
      <c r="BA141">
        <f t="shared" si="433"/>
        <v>0</v>
      </c>
      <c r="BB141">
        <v>16</v>
      </c>
      <c r="BC141">
        <f t="shared" si="471"/>
        <v>2</v>
      </c>
      <c r="BD141">
        <f t="shared" si="475"/>
        <v>22</v>
      </c>
      <c r="BE141">
        <f t="shared" si="480"/>
        <v>32</v>
      </c>
      <c r="BF141">
        <f t="shared" si="488"/>
        <v>11</v>
      </c>
      <c r="BG141">
        <f t="shared" si="496"/>
        <v>18</v>
      </c>
      <c r="BH141">
        <f t="shared" si="394"/>
        <v>14</v>
      </c>
      <c r="BI141">
        <f t="shared" si="402"/>
        <v>15</v>
      </c>
      <c r="BJ141">
        <f t="shared" si="410"/>
        <v>26</v>
      </c>
      <c r="BK141">
        <f t="shared" si="418"/>
        <v>9</v>
      </c>
      <c r="BL141">
        <f t="shared" si="426"/>
        <v>10</v>
      </c>
      <c r="BM141">
        <f t="shared" si="434"/>
        <v>2</v>
      </c>
      <c r="BZ141" s="12">
        <f t="shared" si="440"/>
        <v>1.995625</v>
      </c>
      <c r="CA141" s="12">
        <f t="shared" si="472"/>
        <v>11.109999999999673</v>
      </c>
      <c r="CB141" s="12">
        <f t="shared" si="476"/>
        <v>2.1077272727272676</v>
      </c>
      <c r="CC141" s="12">
        <f t="shared" si="485"/>
        <v>1.0568750000000193</v>
      </c>
      <c r="CD141" s="12">
        <f t="shared" si="493"/>
        <v>1.2090909090909256</v>
      </c>
      <c r="CE141" s="12">
        <f t="shared" ref="CE141:CE170" si="501">IFERROR(W141/BG141,0)</f>
        <v>3.1983333333333173</v>
      </c>
      <c r="CF141" s="12">
        <f t="shared" si="399"/>
        <v>4.6978571428571092</v>
      </c>
      <c r="CG141" s="12">
        <f t="shared" si="407"/>
        <v>2.6166666666666667</v>
      </c>
      <c r="CH141" s="12">
        <f t="shared" si="415"/>
        <v>1.8049999999999762</v>
      </c>
      <c r="CI141" s="12">
        <f t="shared" si="423"/>
        <v>6.5511111111111155</v>
      </c>
      <c r="CJ141" s="12">
        <f t="shared" si="431"/>
        <v>3.1829999999999927</v>
      </c>
      <c r="CK141" s="12">
        <f t="shared" si="439"/>
        <v>29.494999999999891</v>
      </c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>
        <f t="shared" si="441"/>
        <v>63.384727140743706</v>
      </c>
      <c r="CY141" s="12">
        <f t="shared" si="442"/>
        <v>84.856723872655692</v>
      </c>
      <c r="CZ141" s="12">
        <f t="shared" si="443"/>
        <v>64.618247505649492</v>
      </c>
      <c r="DA141" s="12">
        <f t="shared" si="444"/>
        <v>46.583891739241778</v>
      </c>
      <c r="DB141" s="12">
        <f t="shared" si="445"/>
        <v>50.406949370471956</v>
      </c>
      <c r="DC141" s="12">
        <f t="shared" si="446"/>
        <v>72.63747551519053</v>
      </c>
      <c r="DD141" s="12">
        <f t="shared" si="447"/>
        <v>77.983201984084829</v>
      </c>
      <c r="DE141" s="12">
        <f t="shared" si="448"/>
        <v>69.084863370966843</v>
      </c>
      <c r="DF141" s="12">
        <f t="shared" si="449"/>
        <v>61.012818533385015</v>
      </c>
      <c r="DG141" s="12">
        <f t="shared" si="450"/>
        <v>81.321031410943505</v>
      </c>
      <c r="DH141" s="12">
        <f t="shared" si="451"/>
        <v>72.558896664180452</v>
      </c>
      <c r="DI141" s="12">
        <f t="shared" si="452"/>
        <v>88.058184739753287</v>
      </c>
      <c r="DJ141" t="s">
        <v>21</v>
      </c>
      <c r="DK141" t="str">
        <f t="shared" si="473"/>
        <v>HH</v>
      </c>
      <c r="DL141" t="str">
        <f t="shared" si="477"/>
        <v>LH</v>
      </c>
      <c r="DM141" t="str">
        <f t="shared" si="481"/>
        <v>LH</v>
      </c>
      <c r="DN141" t="str">
        <f t="shared" si="489"/>
        <v>LH</v>
      </c>
      <c r="DO141" t="str">
        <f t="shared" si="497"/>
        <v>LH</v>
      </c>
      <c r="DP141" t="str">
        <f t="shared" si="395"/>
        <v>HH</v>
      </c>
      <c r="DQ141" t="str">
        <f t="shared" si="403"/>
        <v>LH</v>
      </c>
      <c r="DR141" t="str">
        <f t="shared" si="411"/>
        <v>LH</v>
      </c>
      <c r="DS141" t="str">
        <f t="shared" si="419"/>
        <v>HH</v>
      </c>
      <c r="DT141" t="str">
        <f t="shared" si="427"/>
        <v>LH</v>
      </c>
      <c r="DU141" t="str">
        <f t="shared" si="435"/>
        <v>HH</v>
      </c>
      <c r="DV141">
        <f t="shared" si="453"/>
        <v>5.1651883666051029E-2</v>
      </c>
      <c r="DW141">
        <f t="shared" si="454"/>
        <v>-0.13629152496762326</v>
      </c>
      <c r="DX141">
        <f t="shared" si="482"/>
        <v>2.0263598226473953</v>
      </c>
      <c r="DY141">
        <f t="shared" si="490"/>
        <v>2.274853128519863</v>
      </c>
      <c r="DZ141">
        <f t="shared" si="498"/>
        <v>2.6509569705085023</v>
      </c>
      <c r="EA141">
        <f t="shared" si="396"/>
        <v>2.8803521009078001</v>
      </c>
      <c r="EB141">
        <f t="shared" si="404"/>
        <v>1.945626626328997</v>
      </c>
      <c r="EC141">
        <f t="shared" si="412"/>
        <v>2.2453377664249543</v>
      </c>
      <c r="ED141">
        <f t="shared" si="420"/>
        <v>2.9395998498188884</v>
      </c>
      <c r="EE141">
        <f t="shared" si="428"/>
        <v>2.541793535701649</v>
      </c>
      <c r="EF141">
        <f t="shared" si="436"/>
        <v>3.1590118430390293</v>
      </c>
      <c r="EG141" s="13" t="str">
        <f t="shared" si="455"/>
        <v/>
      </c>
      <c r="EH141" s="13" t="str">
        <f t="shared" si="456"/>
        <v>EQH</v>
      </c>
      <c r="EI141" s="13" t="str">
        <f t="shared" si="457"/>
        <v/>
      </c>
      <c r="EJ141" s="13" t="str">
        <f t="shared" si="458"/>
        <v/>
      </c>
      <c r="EK141" s="13" t="str">
        <f t="shared" si="459"/>
        <v/>
      </c>
      <c r="EL141" s="13" t="str">
        <f t="shared" si="460"/>
        <v/>
      </c>
      <c r="EM141" s="13" t="str">
        <f t="shared" si="461"/>
        <v/>
      </c>
      <c r="EN141" s="13" t="str">
        <f t="shared" si="462"/>
        <v/>
      </c>
      <c r="EO141" s="13" t="str">
        <f t="shared" si="463"/>
        <v/>
      </c>
      <c r="EP141" s="13" t="str">
        <f t="shared" si="464"/>
        <v/>
      </c>
      <c r="EQ141" s="13" t="str">
        <f t="shared" si="465"/>
        <v/>
      </c>
    </row>
    <row r="142" spans="1:147" ht="14.25" customHeight="1" x14ac:dyDescent="0.55000000000000004">
      <c r="A142">
        <v>1777470304</v>
      </c>
      <c r="B142" t="s">
        <v>16</v>
      </c>
      <c r="C142" t="s">
        <v>17</v>
      </c>
      <c r="D142">
        <v>4521.71</v>
      </c>
      <c r="E142" t="s">
        <v>18</v>
      </c>
      <c r="F142">
        <v>4510.28</v>
      </c>
      <c r="G142">
        <v>4575.84</v>
      </c>
      <c r="H142">
        <v>4587.93</v>
      </c>
      <c r="I142">
        <f t="shared" si="478"/>
        <v>4555.12</v>
      </c>
      <c r="J142">
        <f t="shared" si="486"/>
        <v>4667.32</v>
      </c>
      <c r="K142">
        <f t="shared" si="494"/>
        <v>4699.29</v>
      </c>
      <c r="L142">
        <f t="shared" ref="L142:L170" si="502">F130</f>
        <v>4672.3500000000004</v>
      </c>
      <c r="M142">
        <f t="shared" si="400"/>
        <v>4674.72</v>
      </c>
      <c r="N142">
        <f t="shared" si="408"/>
        <v>4658.17</v>
      </c>
      <c r="O142">
        <f t="shared" si="416"/>
        <v>4664.3</v>
      </c>
      <c r="P142">
        <f t="shared" si="424"/>
        <v>4684.26</v>
      </c>
      <c r="Q142">
        <f t="shared" si="432"/>
        <v>4693.0600000000004</v>
      </c>
      <c r="R142">
        <v>-97.49</v>
      </c>
      <c r="S142">
        <f t="shared" si="466"/>
        <v>-34.309999999999491</v>
      </c>
      <c r="T142">
        <f t="shared" si="467"/>
        <v>-13.559999999999491</v>
      </c>
      <c r="U142">
        <f t="shared" si="483"/>
        <v>-146.02000000000044</v>
      </c>
      <c r="V142">
        <f t="shared" si="491"/>
        <v>-45.270000000000437</v>
      </c>
      <c r="W142">
        <f t="shared" si="499"/>
        <v>-30.630000000000109</v>
      </c>
      <c r="X142">
        <f t="shared" si="397"/>
        <v>-68.139999999999418</v>
      </c>
      <c r="Y142">
        <f t="shared" si="405"/>
        <v>-22.699999999999818</v>
      </c>
      <c r="Z142">
        <f t="shared" si="413"/>
        <v>-53.059999999999491</v>
      </c>
      <c r="AA142">
        <f t="shared" si="421"/>
        <v>-78.920000000000073</v>
      </c>
      <c r="AB142">
        <f t="shared" si="429"/>
        <v>-40.630000000000109</v>
      </c>
      <c r="AC142">
        <f t="shared" si="437"/>
        <v>-60.269999999999527</v>
      </c>
      <c r="AD142">
        <v>-2.12</v>
      </c>
      <c r="AE142" s="14">
        <f t="shared" si="468"/>
        <v>-0.74422741125558811</v>
      </c>
      <c r="AF142" s="14">
        <f t="shared" si="469"/>
        <v>-0.29468715568217013</v>
      </c>
      <c r="AG142" s="14">
        <f t="shared" si="484"/>
        <v>-3.1060551270542978</v>
      </c>
      <c r="AH142" s="14">
        <f t="shared" si="492"/>
        <v>-0.96061825874944429</v>
      </c>
      <c r="AI142" s="14">
        <f t="shared" si="500"/>
        <v>-0.64757966308098458</v>
      </c>
      <c r="AJ142" s="14">
        <f t="shared" si="398"/>
        <v>-1.4374041502038697</v>
      </c>
      <c r="AK142" s="14">
        <f t="shared" si="406"/>
        <v>-0.48324399351132785</v>
      </c>
      <c r="AL142" s="14">
        <f t="shared" si="414"/>
        <v>-1.1262451631527117</v>
      </c>
      <c r="AM142" s="14">
        <f t="shared" si="422"/>
        <v>-1.6638486091726732</v>
      </c>
      <c r="AN142" s="14">
        <f t="shared" si="430"/>
        <v>-0.8599141990607212</v>
      </c>
      <c r="AO142" s="14">
        <f t="shared" si="438"/>
        <v>-1.2679532033332321</v>
      </c>
      <c r="AP142">
        <v>3</v>
      </c>
      <c r="AQ142">
        <f t="shared" si="470"/>
        <v>3</v>
      </c>
      <c r="AR142">
        <f t="shared" si="474"/>
        <v>3</v>
      </c>
      <c r="AS142">
        <f t="shared" si="479"/>
        <v>5</v>
      </c>
      <c r="AT142">
        <f t="shared" si="487"/>
        <v>3</v>
      </c>
      <c r="AU142">
        <f t="shared" si="495"/>
        <v>3</v>
      </c>
      <c r="AV142">
        <f t="shared" ref="AV142:AV170" si="503">AP130</f>
        <v>3</v>
      </c>
      <c r="AW142">
        <f t="shared" si="401"/>
        <v>3</v>
      </c>
      <c r="AX142">
        <f t="shared" si="409"/>
        <v>3</v>
      </c>
      <c r="AY142">
        <f t="shared" si="417"/>
        <v>3</v>
      </c>
      <c r="AZ142">
        <f t="shared" si="425"/>
        <v>3</v>
      </c>
      <c r="BA142">
        <f t="shared" si="433"/>
        <v>3</v>
      </c>
      <c r="BB142">
        <v>35</v>
      </c>
      <c r="BC142">
        <f t="shared" si="471"/>
        <v>4</v>
      </c>
      <c r="BD142">
        <f t="shared" si="475"/>
        <v>20</v>
      </c>
      <c r="BE142">
        <f t="shared" si="480"/>
        <v>48</v>
      </c>
      <c r="BF142">
        <f t="shared" si="488"/>
        <v>11</v>
      </c>
      <c r="BG142">
        <f t="shared" si="496"/>
        <v>20</v>
      </c>
      <c r="BH142">
        <f t="shared" ref="BH142:BH170" si="504">BB130</f>
        <v>36</v>
      </c>
      <c r="BI142">
        <f t="shared" si="402"/>
        <v>9</v>
      </c>
      <c r="BJ142">
        <f t="shared" si="410"/>
        <v>13</v>
      </c>
      <c r="BK142">
        <f t="shared" si="418"/>
        <v>20</v>
      </c>
      <c r="BL142">
        <f t="shared" si="426"/>
        <v>10</v>
      </c>
      <c r="BM142">
        <f t="shared" si="434"/>
        <v>19</v>
      </c>
      <c r="BZ142" s="12">
        <f t="shared" si="440"/>
        <v>-2.7854285714285711</v>
      </c>
      <c r="CA142" s="12">
        <f t="shared" si="472"/>
        <v>-8.5774999999998727</v>
      </c>
      <c r="CB142" s="12">
        <f t="shared" si="476"/>
        <v>-0.67799999999997451</v>
      </c>
      <c r="CC142" s="12">
        <f t="shared" si="485"/>
        <v>-3.0420833333333426</v>
      </c>
      <c r="CD142" s="12">
        <f t="shared" si="493"/>
        <v>-4.1154545454545852</v>
      </c>
      <c r="CE142" s="12">
        <f t="shared" si="501"/>
        <v>-1.5315000000000054</v>
      </c>
      <c r="CF142" s="12">
        <f t="shared" si="399"/>
        <v>-1.8927777777777617</v>
      </c>
      <c r="CG142" s="12">
        <f t="shared" si="407"/>
        <v>-2.5222222222222022</v>
      </c>
      <c r="CH142" s="12">
        <f t="shared" si="415"/>
        <v>-4.0815384615384227</v>
      </c>
      <c r="CI142" s="12">
        <f t="shared" si="423"/>
        <v>-3.9460000000000037</v>
      </c>
      <c r="CJ142" s="12">
        <f t="shared" si="431"/>
        <v>-4.0630000000000113</v>
      </c>
      <c r="CK142" s="12">
        <f t="shared" si="439"/>
        <v>-3.1721052631578699</v>
      </c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>
        <f t="shared" si="441"/>
        <v>-70.251294521425478</v>
      </c>
      <c r="CY142" s="12">
        <f t="shared" si="442"/>
        <v>-83.350242970141906</v>
      </c>
      <c r="CZ142" s="12">
        <f t="shared" si="443"/>
        <v>-34.137270681243898</v>
      </c>
      <c r="DA142" s="12">
        <f t="shared" si="444"/>
        <v>-71.803163361405623</v>
      </c>
      <c r="DB142" s="12">
        <f t="shared" si="445"/>
        <v>-76.34258087433652</v>
      </c>
      <c r="DC142" s="12">
        <f t="shared" si="446"/>
        <v>-56.857286223499479</v>
      </c>
      <c r="DD142" s="12">
        <f t="shared" si="447"/>
        <v>-62.151429480932208</v>
      </c>
      <c r="DE142" s="12">
        <f t="shared" si="448"/>
        <v>-68.372873716083049</v>
      </c>
      <c r="DF142" s="12">
        <f t="shared" si="449"/>
        <v>-76.233393709878015</v>
      </c>
      <c r="DG142" s="12">
        <f t="shared" si="450"/>
        <v>-75.779416600103389</v>
      </c>
      <c r="DH142" s="12">
        <f t="shared" si="451"/>
        <v>-76.172985494761349</v>
      </c>
      <c r="DI142" s="12">
        <f t="shared" si="452"/>
        <v>-72.502644265501786</v>
      </c>
      <c r="DJ142" t="s">
        <v>19</v>
      </c>
      <c r="DK142" t="str">
        <f t="shared" si="473"/>
        <v>LL</v>
      </c>
      <c r="DL142" t="str">
        <f t="shared" si="477"/>
        <v>HL</v>
      </c>
      <c r="DM142" t="str">
        <f t="shared" si="481"/>
        <v>LL</v>
      </c>
      <c r="DN142" t="str">
        <f t="shared" si="489"/>
        <v>LL</v>
      </c>
      <c r="DO142" t="str">
        <f t="shared" si="497"/>
        <v>HL</v>
      </c>
      <c r="DP142" t="str">
        <f t="shared" ref="DP142:DP170" si="505">DJ130</f>
        <v>LL</v>
      </c>
      <c r="DQ142" t="str">
        <f t="shared" si="403"/>
        <v>HL</v>
      </c>
      <c r="DR142" t="str">
        <f t="shared" si="411"/>
        <v>LL</v>
      </c>
      <c r="DS142" t="str">
        <f t="shared" si="419"/>
        <v>LL</v>
      </c>
      <c r="DT142" t="str">
        <f t="shared" si="427"/>
        <v>LL</v>
      </c>
      <c r="DU142" t="str">
        <f t="shared" si="435"/>
        <v>LL</v>
      </c>
      <c r="DV142">
        <f t="shared" si="453"/>
        <v>1.453568292877613</v>
      </c>
      <c r="DW142">
        <f t="shared" si="454"/>
        <v>1.7216226043616039</v>
      </c>
      <c r="DX142">
        <f t="shared" si="482"/>
        <v>0.99417331074789472</v>
      </c>
      <c r="DY142">
        <f t="shared" si="490"/>
        <v>3.4818237448672802</v>
      </c>
      <c r="DZ142">
        <f t="shared" si="498"/>
        <v>4.190648917583836</v>
      </c>
      <c r="EA142">
        <f t="shared" ref="EA142:EA170" si="506">IFERROR(((L142-$F142)/$F142)*100,0)</f>
        <v>3.593346754525232</v>
      </c>
      <c r="EB142">
        <f t="shared" si="404"/>
        <v>3.6458933813421899</v>
      </c>
      <c r="EC142">
        <f t="shared" si="412"/>
        <v>3.2789538565233278</v>
      </c>
      <c r="ED142">
        <f t="shared" si="420"/>
        <v>3.4148655959275356</v>
      </c>
      <c r="EE142">
        <f t="shared" si="428"/>
        <v>3.8574101829598271</v>
      </c>
      <c r="EF142">
        <f t="shared" si="436"/>
        <v>4.052520020929979</v>
      </c>
      <c r="EG142" s="13" t="str">
        <f t="shared" si="455"/>
        <v/>
      </c>
      <c r="EH142" s="13" t="str">
        <f t="shared" si="456"/>
        <v/>
      </c>
      <c r="EI142" s="13" t="str">
        <f t="shared" si="457"/>
        <v/>
      </c>
      <c r="EJ142" s="13" t="str">
        <f t="shared" si="458"/>
        <v/>
      </c>
      <c r="EK142" s="13" t="str">
        <f t="shared" si="459"/>
        <v/>
      </c>
      <c r="EL142" s="13" t="str">
        <f t="shared" si="460"/>
        <v/>
      </c>
      <c r="EM142" s="13" t="str">
        <f t="shared" si="461"/>
        <v/>
      </c>
      <c r="EN142" s="13" t="str">
        <f t="shared" si="462"/>
        <v/>
      </c>
      <c r="EO142" s="13" t="str">
        <f t="shared" si="463"/>
        <v/>
      </c>
      <c r="EP142" s="13" t="str">
        <f t="shared" si="464"/>
        <v/>
      </c>
      <c r="EQ142" s="13" t="str">
        <f t="shared" si="465"/>
        <v/>
      </c>
    </row>
    <row r="143" spans="1:147" ht="14.25" customHeight="1" x14ac:dyDescent="0.55000000000000004">
      <c r="A143">
        <v>1777478404</v>
      </c>
      <c r="B143" t="s">
        <v>16</v>
      </c>
      <c r="C143" t="s">
        <v>17</v>
      </c>
      <c r="D143">
        <v>4559.1000000000004</v>
      </c>
      <c r="E143" t="s">
        <v>20</v>
      </c>
      <c r="F143">
        <v>4564.75</v>
      </c>
      <c r="G143">
        <v>4607.7700000000004</v>
      </c>
      <c r="H143">
        <v>4610.1499999999996</v>
      </c>
      <c r="I143">
        <f t="shared" si="478"/>
        <v>4601.49</v>
      </c>
      <c r="J143">
        <f t="shared" si="486"/>
        <v>4701.1400000000003</v>
      </c>
      <c r="K143">
        <f t="shared" si="494"/>
        <v>4712.59</v>
      </c>
      <c r="L143">
        <f t="shared" si="502"/>
        <v>4729.92</v>
      </c>
      <c r="M143">
        <f t="shared" si="400"/>
        <v>4740.49</v>
      </c>
      <c r="N143">
        <f t="shared" si="408"/>
        <v>4697.42</v>
      </c>
      <c r="O143">
        <f t="shared" si="416"/>
        <v>4711.2299999999996</v>
      </c>
      <c r="P143">
        <f t="shared" si="424"/>
        <v>4743.22</v>
      </c>
      <c r="Q143">
        <f t="shared" si="432"/>
        <v>4724.8900000000003</v>
      </c>
      <c r="R143">
        <v>54.47</v>
      </c>
      <c r="S143">
        <f t="shared" si="466"/>
        <v>31.930000000000291</v>
      </c>
      <c r="T143">
        <f t="shared" si="467"/>
        <v>22.219999999999345</v>
      </c>
      <c r="U143">
        <f t="shared" si="483"/>
        <v>46.369999999999891</v>
      </c>
      <c r="V143">
        <f t="shared" si="491"/>
        <v>33.820000000000618</v>
      </c>
      <c r="W143">
        <f t="shared" si="499"/>
        <v>13.300000000000182</v>
      </c>
      <c r="X143">
        <f t="shared" ref="X143:X170" si="507">L143-L142</f>
        <v>57.569999999999709</v>
      </c>
      <c r="Y143">
        <f t="shared" si="405"/>
        <v>65.769999999999527</v>
      </c>
      <c r="Z143">
        <f t="shared" si="413"/>
        <v>39.25</v>
      </c>
      <c r="AA143">
        <f t="shared" si="421"/>
        <v>46.929999999999382</v>
      </c>
      <c r="AB143">
        <f t="shared" si="429"/>
        <v>58.960000000000036</v>
      </c>
      <c r="AC143">
        <f t="shared" si="437"/>
        <v>31.829999999999927</v>
      </c>
      <c r="AD143">
        <v>1.21</v>
      </c>
      <c r="AE143" s="14">
        <f t="shared" si="468"/>
        <v>0.69779537746075671</v>
      </c>
      <c r="AF143" s="14">
        <f t="shared" si="469"/>
        <v>0.48431427680891692</v>
      </c>
      <c r="AG143" s="14">
        <f t="shared" si="484"/>
        <v>1.0179753771580087</v>
      </c>
      <c r="AH143" s="14">
        <f t="shared" si="492"/>
        <v>0.72461283991671066</v>
      </c>
      <c r="AI143" s="14">
        <f t="shared" si="500"/>
        <v>0.2830214777125945</v>
      </c>
      <c r="AJ143" s="14">
        <f t="shared" ref="AJ143:AJ170" si="508">(X143/L142)*100</f>
        <v>1.2321422838614338</v>
      </c>
      <c r="AK143" s="14">
        <f t="shared" si="406"/>
        <v>1.4069291850634802</v>
      </c>
      <c r="AL143" s="14">
        <f t="shared" si="414"/>
        <v>0.84260557257463764</v>
      </c>
      <c r="AM143" s="14">
        <f t="shared" si="422"/>
        <v>1.0061531205111032</v>
      </c>
      <c r="AN143" s="14">
        <f t="shared" si="430"/>
        <v>1.258683335254662</v>
      </c>
      <c r="AO143" s="14">
        <f t="shared" si="438"/>
        <v>0.67823552223921968</v>
      </c>
      <c r="AP143">
        <v>0</v>
      </c>
      <c r="AQ143">
        <f t="shared" si="470"/>
        <v>0</v>
      </c>
      <c r="AR143">
        <f t="shared" si="474"/>
        <v>0</v>
      </c>
      <c r="AS143">
        <f t="shared" si="479"/>
        <v>0</v>
      </c>
      <c r="AT143">
        <f t="shared" si="487"/>
        <v>0</v>
      </c>
      <c r="AU143">
        <f t="shared" si="495"/>
        <v>0</v>
      </c>
      <c r="AV143">
        <f t="shared" si="503"/>
        <v>0</v>
      </c>
      <c r="AW143">
        <f t="shared" si="401"/>
        <v>0</v>
      </c>
      <c r="AX143">
        <f t="shared" si="409"/>
        <v>0</v>
      </c>
      <c r="AY143">
        <f t="shared" si="417"/>
        <v>0</v>
      </c>
      <c r="AZ143">
        <f t="shared" si="425"/>
        <v>0</v>
      </c>
      <c r="BA143">
        <f t="shared" si="433"/>
        <v>0</v>
      </c>
      <c r="BB143">
        <v>9</v>
      </c>
      <c r="BC143">
        <f t="shared" si="471"/>
        <v>16</v>
      </c>
      <c r="BD143">
        <f t="shared" si="475"/>
        <v>2</v>
      </c>
      <c r="BE143">
        <f t="shared" si="480"/>
        <v>22</v>
      </c>
      <c r="BF143">
        <f t="shared" si="488"/>
        <v>32</v>
      </c>
      <c r="BG143">
        <f t="shared" si="496"/>
        <v>11</v>
      </c>
      <c r="BH143">
        <f t="shared" si="504"/>
        <v>18</v>
      </c>
      <c r="BI143">
        <f t="shared" si="402"/>
        <v>14</v>
      </c>
      <c r="BJ143">
        <f t="shared" si="410"/>
        <v>15</v>
      </c>
      <c r="BK143">
        <f t="shared" si="418"/>
        <v>26</v>
      </c>
      <c r="BL143">
        <f t="shared" si="426"/>
        <v>9</v>
      </c>
      <c r="BM143">
        <f t="shared" si="434"/>
        <v>10</v>
      </c>
      <c r="BZ143" s="12">
        <f t="shared" si="440"/>
        <v>6.0522222222222224</v>
      </c>
      <c r="CA143" s="12">
        <f t="shared" si="472"/>
        <v>1.9956250000000182</v>
      </c>
      <c r="CB143" s="12">
        <f t="shared" si="476"/>
        <v>11.109999999999673</v>
      </c>
      <c r="CC143" s="12">
        <f t="shared" si="485"/>
        <v>2.1077272727272676</v>
      </c>
      <c r="CD143" s="12">
        <f t="shared" si="493"/>
        <v>1.0568750000000193</v>
      </c>
      <c r="CE143" s="12">
        <f t="shared" si="501"/>
        <v>1.2090909090909256</v>
      </c>
      <c r="CF143" s="12">
        <f t="shared" ref="CF143:CF170" si="509">IFERROR(X143/BH143,0)</f>
        <v>3.1983333333333173</v>
      </c>
      <c r="CG143" s="12">
        <f t="shared" si="407"/>
        <v>4.6978571428571092</v>
      </c>
      <c r="CH143" s="12">
        <f t="shared" si="415"/>
        <v>2.6166666666666667</v>
      </c>
      <c r="CI143" s="12">
        <f t="shared" si="423"/>
        <v>1.8049999999999762</v>
      </c>
      <c r="CJ143" s="12">
        <f t="shared" si="431"/>
        <v>6.5511111111111155</v>
      </c>
      <c r="CK143" s="12">
        <f t="shared" si="439"/>
        <v>3.1829999999999927</v>
      </c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>
        <f t="shared" si="441"/>
        <v>80.617866579981708</v>
      </c>
      <c r="CY143" s="12">
        <f t="shared" si="442"/>
        <v>63.384727140743927</v>
      </c>
      <c r="CZ143" s="12">
        <f t="shared" si="443"/>
        <v>84.856723872655692</v>
      </c>
      <c r="DA143" s="12">
        <f t="shared" si="444"/>
        <v>64.618247505649492</v>
      </c>
      <c r="DB143" s="12">
        <f t="shared" si="445"/>
        <v>46.583891739241778</v>
      </c>
      <c r="DC143" s="12">
        <f t="shared" si="446"/>
        <v>50.406949370471956</v>
      </c>
      <c r="DD143" s="12">
        <f t="shared" si="447"/>
        <v>72.63747551519053</v>
      </c>
      <c r="DE143" s="12">
        <f t="shared" si="448"/>
        <v>77.983201984084829</v>
      </c>
      <c r="DF143" s="12">
        <f t="shared" si="449"/>
        <v>69.084863370966843</v>
      </c>
      <c r="DG143" s="12">
        <f t="shared" si="450"/>
        <v>61.012818533385015</v>
      </c>
      <c r="DH143" s="12">
        <f t="shared" si="451"/>
        <v>81.321031410943505</v>
      </c>
      <c r="DI143" s="12">
        <f t="shared" si="452"/>
        <v>72.558896664180452</v>
      </c>
      <c r="DJ143" t="s">
        <v>21</v>
      </c>
      <c r="DK143" t="str">
        <f t="shared" si="473"/>
        <v>LH</v>
      </c>
      <c r="DL143" t="str">
        <f t="shared" si="477"/>
        <v>HH</v>
      </c>
      <c r="DM143" t="str">
        <f t="shared" si="481"/>
        <v>LH</v>
      </c>
      <c r="DN143" t="str">
        <f t="shared" si="489"/>
        <v>LH</v>
      </c>
      <c r="DO143" t="str">
        <f t="shared" si="497"/>
        <v>LH</v>
      </c>
      <c r="DP143" t="str">
        <f t="shared" si="505"/>
        <v>LH</v>
      </c>
      <c r="DQ143" t="str">
        <f t="shared" si="403"/>
        <v>HH</v>
      </c>
      <c r="DR143" t="str">
        <f t="shared" si="411"/>
        <v>LH</v>
      </c>
      <c r="DS143" t="str">
        <f t="shared" si="419"/>
        <v>LH</v>
      </c>
      <c r="DT143" t="str">
        <f t="shared" si="427"/>
        <v>HH</v>
      </c>
      <c r="DU143" t="str">
        <f t="shared" si="435"/>
        <v>LH</v>
      </c>
      <c r="DV143">
        <f t="shared" si="453"/>
        <v>0.94243934498056714</v>
      </c>
      <c r="DW143">
        <f t="shared" si="454"/>
        <v>0.99457801632071052</v>
      </c>
      <c r="DX143">
        <f t="shared" si="482"/>
        <v>0.80486335505777495</v>
      </c>
      <c r="DY143">
        <f t="shared" si="490"/>
        <v>2.9878963798674696</v>
      </c>
      <c r="DZ143">
        <f t="shared" si="498"/>
        <v>3.2387315844241225</v>
      </c>
      <c r="EA143">
        <f t="shared" si="506"/>
        <v>3.6183799769976468</v>
      </c>
      <c r="EB143">
        <f t="shared" si="404"/>
        <v>3.8499370173612961</v>
      </c>
      <c r="EC143">
        <f t="shared" si="412"/>
        <v>2.9064023221425068</v>
      </c>
      <c r="ED143">
        <f t="shared" si="420"/>
        <v>3.2089380579440179</v>
      </c>
      <c r="EE143">
        <f t="shared" si="428"/>
        <v>3.9097431403691387</v>
      </c>
      <c r="EF143">
        <f t="shared" si="436"/>
        <v>3.5081877430308412</v>
      </c>
      <c r="EG143" s="13" t="str">
        <f t="shared" si="455"/>
        <v/>
      </c>
      <c r="EH143" s="13" t="str">
        <f t="shared" si="456"/>
        <v/>
      </c>
      <c r="EI143" s="13" t="str">
        <f t="shared" si="457"/>
        <v/>
      </c>
      <c r="EJ143" s="13" t="str">
        <f t="shared" si="458"/>
        <v/>
      </c>
      <c r="EK143" s="13" t="str">
        <f t="shared" si="459"/>
        <v/>
      </c>
      <c r="EL143" s="13" t="str">
        <f t="shared" si="460"/>
        <v/>
      </c>
      <c r="EM143" s="13" t="str">
        <f t="shared" si="461"/>
        <v/>
      </c>
      <c r="EN143" s="13" t="str">
        <f t="shared" si="462"/>
        <v/>
      </c>
      <c r="EO143" s="13" t="str">
        <f t="shared" si="463"/>
        <v/>
      </c>
      <c r="EP143" s="13" t="str">
        <f t="shared" si="464"/>
        <v/>
      </c>
      <c r="EQ143" s="13" t="str">
        <f t="shared" si="465"/>
        <v/>
      </c>
    </row>
    <row r="144" spans="1:147" ht="14.25" customHeight="1" x14ac:dyDescent="0.55000000000000004">
      <c r="A144">
        <v>1777488304</v>
      </c>
      <c r="B144" t="s">
        <v>16</v>
      </c>
      <c r="C144" t="s">
        <v>17</v>
      </c>
      <c r="D144">
        <v>4538.1899999999996</v>
      </c>
      <c r="E144" t="s">
        <v>18</v>
      </c>
      <c r="F144">
        <v>4518.41</v>
      </c>
      <c r="G144">
        <v>4510.28</v>
      </c>
      <c r="H144">
        <v>4575.84</v>
      </c>
      <c r="I144">
        <f t="shared" si="478"/>
        <v>4587.93</v>
      </c>
      <c r="J144">
        <f t="shared" si="486"/>
        <v>4555.12</v>
      </c>
      <c r="K144">
        <f t="shared" si="494"/>
        <v>4667.32</v>
      </c>
      <c r="L144">
        <f t="shared" si="502"/>
        <v>4699.29</v>
      </c>
      <c r="M144">
        <f t="shared" ref="M144:M170" si="510">F130</f>
        <v>4672.3500000000004</v>
      </c>
      <c r="N144">
        <f t="shared" si="408"/>
        <v>4674.72</v>
      </c>
      <c r="O144">
        <f t="shared" si="416"/>
        <v>4658.17</v>
      </c>
      <c r="P144">
        <f t="shared" si="424"/>
        <v>4664.3</v>
      </c>
      <c r="Q144">
        <f t="shared" si="432"/>
        <v>4684.26</v>
      </c>
      <c r="R144">
        <v>-46.34</v>
      </c>
      <c r="S144">
        <f t="shared" si="466"/>
        <v>-97.490000000000691</v>
      </c>
      <c r="T144">
        <f t="shared" si="467"/>
        <v>-34.309999999999491</v>
      </c>
      <c r="U144">
        <f t="shared" si="483"/>
        <v>-13.559999999999491</v>
      </c>
      <c r="V144">
        <f t="shared" si="491"/>
        <v>-146.02000000000044</v>
      </c>
      <c r="W144">
        <f t="shared" si="499"/>
        <v>-45.270000000000437</v>
      </c>
      <c r="X144">
        <f t="shared" si="507"/>
        <v>-30.630000000000109</v>
      </c>
      <c r="Y144">
        <f t="shared" si="405"/>
        <v>-68.139999999999418</v>
      </c>
      <c r="Z144">
        <f t="shared" si="413"/>
        <v>-22.699999999999818</v>
      </c>
      <c r="AA144">
        <f t="shared" si="421"/>
        <v>-53.059999999999491</v>
      </c>
      <c r="AB144">
        <f t="shared" si="429"/>
        <v>-78.920000000000073</v>
      </c>
      <c r="AC144">
        <f t="shared" si="437"/>
        <v>-40.630000000000109</v>
      </c>
      <c r="AD144">
        <v>-1.02</v>
      </c>
      <c r="AE144" s="14">
        <f t="shared" si="468"/>
        <v>-2.1157740078172451</v>
      </c>
      <c r="AF144" s="14">
        <f t="shared" si="469"/>
        <v>-0.74422741125558811</v>
      </c>
      <c r="AG144" s="14">
        <f t="shared" si="484"/>
        <v>-0.29468715568217013</v>
      </c>
      <c r="AH144" s="14">
        <f t="shared" si="492"/>
        <v>-3.1060551270542978</v>
      </c>
      <c r="AI144" s="14">
        <f t="shared" si="500"/>
        <v>-0.96061825874944429</v>
      </c>
      <c r="AJ144" s="14">
        <f t="shared" si="508"/>
        <v>-0.64757966308098458</v>
      </c>
      <c r="AK144" s="14">
        <f t="shared" si="406"/>
        <v>-1.4374041502038697</v>
      </c>
      <c r="AL144" s="14">
        <f t="shared" si="414"/>
        <v>-0.48324399351132785</v>
      </c>
      <c r="AM144" s="14">
        <f t="shared" si="422"/>
        <v>-1.1262451631527117</v>
      </c>
      <c r="AN144" s="14">
        <f t="shared" si="430"/>
        <v>-1.6638486091726732</v>
      </c>
      <c r="AO144" s="14">
        <f t="shared" si="438"/>
        <v>-0.8599141990607212</v>
      </c>
      <c r="AP144">
        <v>3</v>
      </c>
      <c r="AQ144">
        <f t="shared" si="470"/>
        <v>3</v>
      </c>
      <c r="AR144">
        <f t="shared" si="474"/>
        <v>3</v>
      </c>
      <c r="AS144">
        <f t="shared" si="479"/>
        <v>3</v>
      </c>
      <c r="AT144">
        <f t="shared" si="487"/>
        <v>5</v>
      </c>
      <c r="AU144">
        <f t="shared" si="495"/>
        <v>3</v>
      </c>
      <c r="AV144">
        <f t="shared" si="503"/>
        <v>3</v>
      </c>
      <c r="AW144">
        <f t="shared" ref="AW144:AW170" si="511">AP130</f>
        <v>3</v>
      </c>
      <c r="AX144">
        <f t="shared" si="409"/>
        <v>3</v>
      </c>
      <c r="AY144">
        <f t="shared" si="417"/>
        <v>3</v>
      </c>
      <c r="AZ144">
        <f t="shared" si="425"/>
        <v>3</v>
      </c>
      <c r="BA144">
        <f t="shared" si="433"/>
        <v>3</v>
      </c>
      <c r="BB144">
        <v>11</v>
      </c>
      <c r="BC144">
        <f t="shared" si="471"/>
        <v>35</v>
      </c>
      <c r="BD144">
        <f t="shared" si="475"/>
        <v>4</v>
      </c>
      <c r="BE144">
        <f t="shared" si="480"/>
        <v>20</v>
      </c>
      <c r="BF144">
        <f t="shared" si="488"/>
        <v>48</v>
      </c>
      <c r="BG144">
        <f t="shared" si="496"/>
        <v>11</v>
      </c>
      <c r="BH144">
        <f t="shared" si="504"/>
        <v>20</v>
      </c>
      <c r="BI144">
        <f t="shared" ref="BI144:BI170" si="512">BB130</f>
        <v>36</v>
      </c>
      <c r="BJ144">
        <f t="shared" si="410"/>
        <v>9</v>
      </c>
      <c r="BK144">
        <f t="shared" si="418"/>
        <v>13</v>
      </c>
      <c r="BL144">
        <f t="shared" si="426"/>
        <v>20</v>
      </c>
      <c r="BM144">
        <f t="shared" si="434"/>
        <v>10</v>
      </c>
      <c r="BZ144" s="12">
        <f t="shared" si="440"/>
        <v>-4.2127272727272729</v>
      </c>
      <c r="CA144" s="12">
        <f t="shared" si="472"/>
        <v>-2.7854285714285911</v>
      </c>
      <c r="CB144" s="12">
        <f t="shared" si="476"/>
        <v>-8.5774999999998727</v>
      </c>
      <c r="CC144" s="12">
        <f t="shared" si="485"/>
        <v>-0.67799999999997451</v>
      </c>
      <c r="CD144" s="12">
        <f t="shared" si="493"/>
        <v>-3.0420833333333426</v>
      </c>
      <c r="CE144" s="12">
        <f t="shared" si="501"/>
        <v>-4.1154545454545852</v>
      </c>
      <c r="CF144" s="12">
        <f t="shared" si="509"/>
        <v>-1.5315000000000054</v>
      </c>
      <c r="CG144" s="12">
        <f t="shared" si="407"/>
        <v>-1.8927777777777617</v>
      </c>
      <c r="CH144" s="12">
        <f t="shared" si="415"/>
        <v>-2.5222222222222022</v>
      </c>
      <c r="CI144" s="12">
        <f t="shared" si="423"/>
        <v>-4.0815384615384227</v>
      </c>
      <c r="CJ144" s="12">
        <f t="shared" si="431"/>
        <v>-3.9460000000000037</v>
      </c>
      <c r="CK144" s="12">
        <f t="shared" si="439"/>
        <v>-4.0630000000000113</v>
      </c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>
        <f t="shared" si="441"/>
        <v>-76.646511563522836</v>
      </c>
      <c r="CY144" s="12">
        <f t="shared" si="442"/>
        <v>-70.251294521425621</v>
      </c>
      <c r="CZ144" s="12">
        <f t="shared" si="443"/>
        <v>-83.350242970141906</v>
      </c>
      <c r="DA144" s="12">
        <f t="shared" si="444"/>
        <v>-34.137270681243898</v>
      </c>
      <c r="DB144" s="12">
        <f t="shared" si="445"/>
        <v>-71.803163361405623</v>
      </c>
      <c r="DC144" s="12">
        <f t="shared" si="446"/>
        <v>-76.34258087433652</v>
      </c>
      <c r="DD144" s="12">
        <f t="shared" si="447"/>
        <v>-56.857286223499479</v>
      </c>
      <c r="DE144" s="12">
        <f t="shared" si="448"/>
        <v>-62.151429480932208</v>
      </c>
      <c r="DF144" s="12">
        <f t="shared" si="449"/>
        <v>-68.372873716083049</v>
      </c>
      <c r="DG144" s="12">
        <f t="shared" si="450"/>
        <v>-76.233393709878015</v>
      </c>
      <c r="DH144" s="12">
        <f t="shared" si="451"/>
        <v>-75.779416600103389</v>
      </c>
      <c r="DI144" s="12">
        <f t="shared" si="452"/>
        <v>-76.172985494761349</v>
      </c>
      <c r="DJ144" t="s">
        <v>22</v>
      </c>
      <c r="DK144" t="str">
        <f t="shared" si="473"/>
        <v>LL</v>
      </c>
      <c r="DL144" t="str">
        <f t="shared" si="477"/>
        <v>LL</v>
      </c>
      <c r="DM144" t="str">
        <f t="shared" si="481"/>
        <v>HL</v>
      </c>
      <c r="DN144" t="str">
        <f t="shared" si="489"/>
        <v>LL</v>
      </c>
      <c r="DO144" t="str">
        <f t="shared" si="497"/>
        <v>LL</v>
      </c>
      <c r="DP144" t="str">
        <f t="shared" si="505"/>
        <v>HL</v>
      </c>
      <c r="DQ144" t="str">
        <f t="shared" ref="DQ144:DQ170" si="513">DJ130</f>
        <v>LL</v>
      </c>
      <c r="DR144" t="str">
        <f t="shared" si="411"/>
        <v>HL</v>
      </c>
      <c r="DS144" t="str">
        <f t="shared" si="419"/>
        <v>LL</v>
      </c>
      <c r="DT144" t="str">
        <f t="shared" si="427"/>
        <v>LL</v>
      </c>
      <c r="DU144" t="str">
        <f t="shared" si="435"/>
        <v>LL</v>
      </c>
      <c r="DV144">
        <f t="shared" si="453"/>
        <v>-0.17993055079109929</v>
      </c>
      <c r="DW144">
        <f t="shared" si="454"/>
        <v>1.2710223286510143</v>
      </c>
      <c r="DX144">
        <f t="shared" si="482"/>
        <v>1.5385943285359327</v>
      </c>
      <c r="DY144">
        <f t="shared" si="490"/>
        <v>0.81245393844294866</v>
      </c>
      <c r="DZ144">
        <f t="shared" si="498"/>
        <v>3.2956283294344662</v>
      </c>
      <c r="EA144">
        <f t="shared" si="506"/>
        <v>4.0031781091136063</v>
      </c>
      <c r="EB144">
        <f t="shared" ref="EB144:EB170" si="514">IFERROR(((M144-$F144)/$F144)*100,0)</f>
        <v>3.4069506751268812</v>
      </c>
      <c r="EC144">
        <f t="shared" si="412"/>
        <v>3.4594027545087855</v>
      </c>
      <c r="ED144">
        <f t="shared" si="420"/>
        <v>3.093123465998</v>
      </c>
      <c r="EE144">
        <f t="shared" si="428"/>
        <v>3.2287906586609081</v>
      </c>
      <c r="EF144">
        <f t="shared" si="436"/>
        <v>3.670538972780256</v>
      </c>
      <c r="EG144" s="13" t="str">
        <f t="shared" si="455"/>
        <v/>
      </c>
      <c r="EH144" s="13" t="str">
        <f t="shared" si="456"/>
        <v/>
      </c>
      <c r="EI144" s="13" t="str">
        <f t="shared" si="457"/>
        <v/>
      </c>
      <c r="EJ144" s="13" t="str">
        <f t="shared" si="458"/>
        <v/>
      </c>
      <c r="EK144" s="13" t="str">
        <f t="shared" si="459"/>
        <v/>
      </c>
      <c r="EL144" s="13" t="str">
        <f t="shared" si="460"/>
        <v/>
      </c>
      <c r="EM144" s="13" t="str">
        <f t="shared" si="461"/>
        <v/>
      </c>
      <c r="EN144" s="13" t="str">
        <f t="shared" si="462"/>
        <v/>
      </c>
      <c r="EO144" s="13" t="str">
        <f t="shared" si="463"/>
        <v/>
      </c>
      <c r="EP144" s="13" t="str">
        <f t="shared" si="464"/>
        <v/>
      </c>
      <c r="EQ144" s="13" t="str">
        <f t="shared" si="465"/>
        <v/>
      </c>
    </row>
    <row r="145" spans="1:147" ht="14.25" customHeight="1" x14ac:dyDescent="0.55000000000000004">
      <c r="A145">
        <v>1777513504</v>
      </c>
      <c r="B145" t="s">
        <v>16</v>
      </c>
      <c r="C145" t="s">
        <v>17</v>
      </c>
      <c r="D145">
        <v>4579.13</v>
      </c>
      <c r="E145" t="s">
        <v>20</v>
      </c>
      <c r="F145">
        <v>4582.32</v>
      </c>
      <c r="G145">
        <v>4564.75</v>
      </c>
      <c r="H145">
        <v>4607.7700000000004</v>
      </c>
      <c r="I145">
        <f t="shared" si="478"/>
        <v>4610.1499999999996</v>
      </c>
      <c r="J145">
        <f t="shared" si="486"/>
        <v>4601.49</v>
      </c>
      <c r="K145">
        <f t="shared" si="494"/>
        <v>4701.1400000000003</v>
      </c>
      <c r="L145">
        <f t="shared" si="502"/>
        <v>4712.59</v>
      </c>
      <c r="M145">
        <f t="shared" si="510"/>
        <v>4729.92</v>
      </c>
      <c r="N145">
        <f t="shared" si="408"/>
        <v>4740.49</v>
      </c>
      <c r="O145">
        <f t="shared" si="416"/>
        <v>4697.42</v>
      </c>
      <c r="P145">
        <f t="shared" si="424"/>
        <v>4711.2299999999996</v>
      </c>
      <c r="Q145">
        <f t="shared" si="432"/>
        <v>4743.22</v>
      </c>
      <c r="R145">
        <v>63.91</v>
      </c>
      <c r="S145">
        <f t="shared" si="466"/>
        <v>54.470000000000255</v>
      </c>
      <c r="T145">
        <f t="shared" si="467"/>
        <v>31.930000000000291</v>
      </c>
      <c r="U145">
        <f t="shared" si="483"/>
        <v>22.219999999999345</v>
      </c>
      <c r="V145">
        <f t="shared" si="491"/>
        <v>46.369999999999891</v>
      </c>
      <c r="W145">
        <f t="shared" si="499"/>
        <v>33.820000000000618</v>
      </c>
      <c r="X145">
        <f t="shared" si="507"/>
        <v>13.300000000000182</v>
      </c>
      <c r="Y145">
        <f t="shared" ref="Y145:Y170" si="515">M145-M144</f>
        <v>57.569999999999709</v>
      </c>
      <c r="Z145">
        <f t="shared" si="413"/>
        <v>65.769999999999527</v>
      </c>
      <c r="AA145">
        <f t="shared" si="421"/>
        <v>39.25</v>
      </c>
      <c r="AB145">
        <f t="shared" si="429"/>
        <v>46.929999999999382</v>
      </c>
      <c r="AC145">
        <f t="shared" si="437"/>
        <v>58.960000000000036</v>
      </c>
      <c r="AD145">
        <v>1.41</v>
      </c>
      <c r="AE145" s="14">
        <f t="shared" si="468"/>
        <v>1.2076855538902298</v>
      </c>
      <c r="AF145" s="14">
        <f t="shared" si="469"/>
        <v>0.69779537746075671</v>
      </c>
      <c r="AG145" s="14">
        <f t="shared" si="484"/>
        <v>0.48431427680891692</v>
      </c>
      <c r="AH145" s="14">
        <f t="shared" si="492"/>
        <v>1.0179753771580087</v>
      </c>
      <c r="AI145" s="14">
        <f t="shared" si="500"/>
        <v>0.72461283991671066</v>
      </c>
      <c r="AJ145" s="14">
        <f t="shared" si="508"/>
        <v>0.2830214777125945</v>
      </c>
      <c r="AK145" s="14">
        <f t="shared" ref="AK145:AK170" si="516">(Y145/M144)*100</f>
        <v>1.2321422838614338</v>
      </c>
      <c r="AL145" s="14">
        <f t="shared" si="414"/>
        <v>1.4069291850634802</v>
      </c>
      <c r="AM145" s="14">
        <f t="shared" si="422"/>
        <v>0.84260557257463764</v>
      </c>
      <c r="AN145" s="14">
        <f t="shared" si="430"/>
        <v>1.0061531205111032</v>
      </c>
      <c r="AO145" s="14">
        <f t="shared" si="438"/>
        <v>1.258683335254662</v>
      </c>
      <c r="AP145">
        <v>0</v>
      </c>
      <c r="AQ145">
        <f t="shared" si="470"/>
        <v>0</v>
      </c>
      <c r="AR145">
        <f t="shared" si="474"/>
        <v>0</v>
      </c>
      <c r="AS145">
        <f t="shared" si="479"/>
        <v>0</v>
      </c>
      <c r="AT145">
        <f t="shared" si="487"/>
        <v>0</v>
      </c>
      <c r="AU145">
        <f t="shared" si="495"/>
        <v>0</v>
      </c>
      <c r="AV145">
        <f t="shared" si="503"/>
        <v>0</v>
      </c>
      <c r="AW145">
        <f t="shared" si="511"/>
        <v>0</v>
      </c>
      <c r="AX145">
        <f t="shared" si="409"/>
        <v>0</v>
      </c>
      <c r="AY145">
        <f t="shared" si="417"/>
        <v>0</v>
      </c>
      <c r="AZ145">
        <f t="shared" si="425"/>
        <v>0</v>
      </c>
      <c r="BA145">
        <f t="shared" si="433"/>
        <v>0</v>
      </c>
      <c r="BB145">
        <v>24</v>
      </c>
      <c r="BC145">
        <f t="shared" si="471"/>
        <v>9</v>
      </c>
      <c r="BD145">
        <f t="shared" si="475"/>
        <v>16</v>
      </c>
      <c r="BE145">
        <f t="shared" si="480"/>
        <v>2</v>
      </c>
      <c r="BF145">
        <f t="shared" si="488"/>
        <v>22</v>
      </c>
      <c r="BG145">
        <f t="shared" si="496"/>
        <v>32</v>
      </c>
      <c r="BH145">
        <f t="shared" si="504"/>
        <v>11</v>
      </c>
      <c r="BI145">
        <f t="shared" si="512"/>
        <v>18</v>
      </c>
      <c r="BJ145">
        <f t="shared" si="410"/>
        <v>14</v>
      </c>
      <c r="BK145">
        <f t="shared" si="418"/>
        <v>15</v>
      </c>
      <c r="BL145">
        <f t="shared" si="426"/>
        <v>26</v>
      </c>
      <c r="BM145">
        <f t="shared" si="434"/>
        <v>9</v>
      </c>
      <c r="BZ145" s="12">
        <f t="shared" si="440"/>
        <v>2.6629166666666664</v>
      </c>
      <c r="CA145" s="12">
        <f t="shared" si="472"/>
        <v>6.0522222222222508</v>
      </c>
      <c r="CB145" s="12">
        <f t="shared" si="476"/>
        <v>1.9956250000000182</v>
      </c>
      <c r="CC145" s="12">
        <f t="shared" si="485"/>
        <v>11.109999999999673</v>
      </c>
      <c r="CD145" s="12">
        <f t="shared" si="493"/>
        <v>2.1077272727272676</v>
      </c>
      <c r="CE145" s="12">
        <f t="shared" si="501"/>
        <v>1.0568750000000193</v>
      </c>
      <c r="CF145" s="12">
        <f t="shared" si="509"/>
        <v>1.2090909090909256</v>
      </c>
      <c r="CG145" s="12">
        <f t="shared" ref="CG145:CG170" si="517">IFERROR(Y145/BI145,0)</f>
        <v>3.1983333333333173</v>
      </c>
      <c r="CH145" s="12">
        <f t="shared" si="415"/>
        <v>4.6978571428571092</v>
      </c>
      <c r="CI145" s="12">
        <f t="shared" si="423"/>
        <v>2.6166666666666667</v>
      </c>
      <c r="CJ145" s="12">
        <f t="shared" si="431"/>
        <v>1.8049999999999762</v>
      </c>
      <c r="CK145" s="12">
        <f t="shared" si="439"/>
        <v>6.5511111111111155</v>
      </c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>
        <f t="shared" si="441"/>
        <v>69.417432596622149</v>
      </c>
      <c r="CY145" s="12">
        <f t="shared" si="442"/>
        <v>80.617866579981765</v>
      </c>
      <c r="CZ145" s="12">
        <f t="shared" si="443"/>
        <v>63.384727140743927</v>
      </c>
      <c r="DA145" s="12">
        <f t="shared" si="444"/>
        <v>84.856723872655692</v>
      </c>
      <c r="DB145" s="12">
        <f t="shared" si="445"/>
        <v>64.618247505649492</v>
      </c>
      <c r="DC145" s="12">
        <f t="shared" si="446"/>
        <v>46.583891739241778</v>
      </c>
      <c r="DD145" s="12">
        <f t="shared" si="447"/>
        <v>50.406949370471956</v>
      </c>
      <c r="DE145" s="12">
        <f t="shared" si="448"/>
        <v>72.63747551519053</v>
      </c>
      <c r="DF145" s="12">
        <f t="shared" si="449"/>
        <v>77.983201984084829</v>
      </c>
      <c r="DG145" s="12">
        <f t="shared" si="450"/>
        <v>69.084863370966843</v>
      </c>
      <c r="DH145" s="12">
        <f t="shared" si="451"/>
        <v>61.012818533385015</v>
      </c>
      <c r="DI145" s="12">
        <f t="shared" si="452"/>
        <v>81.321031410943505</v>
      </c>
      <c r="DJ145" t="s">
        <v>23</v>
      </c>
      <c r="DK145" t="str">
        <f t="shared" si="473"/>
        <v>LH</v>
      </c>
      <c r="DL145" t="str">
        <f t="shared" si="477"/>
        <v>LH</v>
      </c>
      <c r="DM145" t="str">
        <f t="shared" si="481"/>
        <v>HH</v>
      </c>
      <c r="DN145" t="str">
        <f t="shared" si="489"/>
        <v>LH</v>
      </c>
      <c r="DO145" t="str">
        <f t="shared" si="497"/>
        <v>LH</v>
      </c>
      <c r="DP145" t="str">
        <f t="shared" si="505"/>
        <v>LH</v>
      </c>
      <c r="DQ145" t="str">
        <f t="shared" si="513"/>
        <v>LH</v>
      </c>
      <c r="DR145" t="str">
        <f t="shared" si="411"/>
        <v>HH</v>
      </c>
      <c r="DS145" t="str">
        <f t="shared" si="419"/>
        <v>LH</v>
      </c>
      <c r="DT145" t="str">
        <f t="shared" si="427"/>
        <v>LH</v>
      </c>
      <c r="DU145" t="str">
        <f t="shared" si="435"/>
        <v>HH</v>
      </c>
      <c r="DV145">
        <f t="shared" si="453"/>
        <v>-0.38343022748301536</v>
      </c>
      <c r="DW145">
        <f t="shared" si="454"/>
        <v>0.55539552017320326</v>
      </c>
      <c r="DX145">
        <f t="shared" si="482"/>
        <v>0.60733427608722057</v>
      </c>
      <c r="DY145">
        <f t="shared" si="490"/>
        <v>0.41834703818153413</v>
      </c>
      <c r="DZ145">
        <f t="shared" si="498"/>
        <v>2.593009654498172</v>
      </c>
      <c r="EA145">
        <f t="shared" si="506"/>
        <v>2.8428830810593859</v>
      </c>
      <c r="EB145">
        <f t="shared" si="514"/>
        <v>3.2210757869376292</v>
      </c>
      <c r="EC145">
        <f t="shared" si="412"/>
        <v>3.4517449676146597</v>
      </c>
      <c r="ED145">
        <f t="shared" si="420"/>
        <v>2.5118280696241286</v>
      </c>
      <c r="EE145">
        <f t="shared" si="428"/>
        <v>2.813203791965639</v>
      </c>
      <c r="EF145">
        <f t="shared" si="436"/>
        <v>3.5113217758690043</v>
      </c>
      <c r="EG145" s="13" t="str">
        <f t="shared" si="455"/>
        <v/>
      </c>
      <c r="EH145" s="13" t="str">
        <f t="shared" si="456"/>
        <v/>
      </c>
      <c r="EI145" s="13" t="str">
        <f t="shared" si="457"/>
        <v/>
      </c>
      <c r="EJ145" s="13" t="str">
        <f t="shared" si="458"/>
        <v/>
      </c>
      <c r="EK145" s="13" t="str">
        <f t="shared" si="459"/>
        <v/>
      </c>
      <c r="EL145" s="13" t="str">
        <f t="shared" si="460"/>
        <v/>
      </c>
      <c r="EM145" s="13" t="str">
        <f t="shared" si="461"/>
        <v/>
      </c>
      <c r="EN145" s="13" t="str">
        <f t="shared" si="462"/>
        <v/>
      </c>
      <c r="EO145" s="13" t="str">
        <f t="shared" si="463"/>
        <v/>
      </c>
      <c r="EP145" s="13" t="str">
        <f t="shared" si="464"/>
        <v/>
      </c>
      <c r="EQ145" s="13" t="str">
        <f t="shared" si="465"/>
        <v/>
      </c>
    </row>
    <row r="146" spans="1:147" ht="14.25" customHeight="1" x14ac:dyDescent="0.55000000000000004">
      <c r="A146">
        <v>1777523404</v>
      </c>
      <c r="B146" t="s">
        <v>16</v>
      </c>
      <c r="C146" t="s">
        <v>17</v>
      </c>
      <c r="D146">
        <v>4544.74</v>
      </c>
      <c r="E146" t="s">
        <v>18</v>
      </c>
      <c r="F146">
        <v>4540.82</v>
      </c>
      <c r="G146">
        <v>4518.41</v>
      </c>
      <c r="H146">
        <v>4510.28</v>
      </c>
      <c r="I146">
        <f t="shared" si="478"/>
        <v>4575.84</v>
      </c>
      <c r="J146">
        <f t="shared" si="486"/>
        <v>4587.93</v>
      </c>
      <c r="K146">
        <f t="shared" si="494"/>
        <v>4555.12</v>
      </c>
      <c r="L146">
        <f t="shared" si="502"/>
        <v>4667.32</v>
      </c>
      <c r="M146">
        <f t="shared" si="510"/>
        <v>4699.29</v>
      </c>
      <c r="N146">
        <f t="shared" ref="N146:N170" si="518">F130</f>
        <v>4672.3500000000004</v>
      </c>
      <c r="O146">
        <f t="shared" si="416"/>
        <v>4674.72</v>
      </c>
      <c r="P146">
        <f t="shared" si="424"/>
        <v>4658.17</v>
      </c>
      <c r="Q146">
        <f t="shared" si="432"/>
        <v>4664.3</v>
      </c>
      <c r="R146">
        <v>-41.5</v>
      </c>
      <c r="S146">
        <f t="shared" si="466"/>
        <v>-46.340000000000146</v>
      </c>
      <c r="T146">
        <f t="shared" si="467"/>
        <v>-97.490000000000691</v>
      </c>
      <c r="U146">
        <f t="shared" si="483"/>
        <v>-34.309999999999491</v>
      </c>
      <c r="V146">
        <f t="shared" si="491"/>
        <v>-13.559999999999491</v>
      </c>
      <c r="W146">
        <f t="shared" si="499"/>
        <v>-146.02000000000044</v>
      </c>
      <c r="X146">
        <f t="shared" si="507"/>
        <v>-45.270000000000437</v>
      </c>
      <c r="Y146">
        <f t="shared" si="515"/>
        <v>-30.630000000000109</v>
      </c>
      <c r="Z146">
        <f t="shared" si="413"/>
        <v>-68.139999999999418</v>
      </c>
      <c r="AA146">
        <f t="shared" si="421"/>
        <v>-22.699999999999818</v>
      </c>
      <c r="AB146">
        <f t="shared" si="429"/>
        <v>-53.059999999999491</v>
      </c>
      <c r="AC146">
        <f t="shared" si="437"/>
        <v>-78.920000000000073</v>
      </c>
      <c r="AD146">
        <v>-0.91</v>
      </c>
      <c r="AE146" s="14">
        <f t="shared" si="468"/>
        <v>-1.0151706007996089</v>
      </c>
      <c r="AF146" s="14">
        <f t="shared" si="469"/>
        <v>-2.1157740078172451</v>
      </c>
      <c r="AG146" s="14">
        <f t="shared" si="484"/>
        <v>-0.74422741125558811</v>
      </c>
      <c r="AH146" s="14">
        <f t="shared" si="492"/>
        <v>-0.29468715568217013</v>
      </c>
      <c r="AI146" s="14">
        <f t="shared" si="500"/>
        <v>-3.1060551270542978</v>
      </c>
      <c r="AJ146" s="14">
        <f t="shared" si="508"/>
        <v>-0.96061825874944429</v>
      </c>
      <c r="AK146" s="14">
        <f t="shared" si="516"/>
        <v>-0.64757966308098458</v>
      </c>
      <c r="AL146" s="14">
        <f t="shared" si="414"/>
        <v>-1.4374041502038697</v>
      </c>
      <c r="AM146" s="14">
        <f t="shared" si="422"/>
        <v>-0.48324399351132785</v>
      </c>
      <c r="AN146" s="14">
        <f t="shared" si="430"/>
        <v>-1.1262451631527117</v>
      </c>
      <c r="AO146" s="14">
        <f t="shared" si="438"/>
        <v>-1.6638486091726732</v>
      </c>
      <c r="AP146">
        <v>3</v>
      </c>
      <c r="AQ146">
        <f t="shared" si="470"/>
        <v>3</v>
      </c>
      <c r="AR146">
        <f t="shared" si="474"/>
        <v>3</v>
      </c>
      <c r="AS146">
        <f t="shared" si="479"/>
        <v>3</v>
      </c>
      <c r="AT146">
        <f t="shared" si="487"/>
        <v>3</v>
      </c>
      <c r="AU146">
        <f t="shared" si="495"/>
        <v>5</v>
      </c>
      <c r="AV146">
        <f t="shared" si="503"/>
        <v>3</v>
      </c>
      <c r="AW146">
        <f t="shared" si="511"/>
        <v>3</v>
      </c>
      <c r="AX146">
        <f t="shared" ref="AX146:AX170" si="519">AP130</f>
        <v>3</v>
      </c>
      <c r="AY146">
        <f t="shared" si="417"/>
        <v>3</v>
      </c>
      <c r="AZ146">
        <f t="shared" si="425"/>
        <v>3</v>
      </c>
      <c r="BA146">
        <f t="shared" si="433"/>
        <v>3</v>
      </c>
      <c r="BB146">
        <v>11</v>
      </c>
      <c r="BC146">
        <f t="shared" si="471"/>
        <v>11</v>
      </c>
      <c r="BD146">
        <f t="shared" si="475"/>
        <v>35</v>
      </c>
      <c r="BE146">
        <f t="shared" si="480"/>
        <v>4</v>
      </c>
      <c r="BF146">
        <f t="shared" si="488"/>
        <v>20</v>
      </c>
      <c r="BG146">
        <f t="shared" si="496"/>
        <v>48</v>
      </c>
      <c r="BH146">
        <f t="shared" si="504"/>
        <v>11</v>
      </c>
      <c r="BI146">
        <f t="shared" si="512"/>
        <v>20</v>
      </c>
      <c r="BJ146">
        <f t="shared" ref="BJ146:BJ170" si="520">BB130</f>
        <v>36</v>
      </c>
      <c r="BK146">
        <f t="shared" si="418"/>
        <v>9</v>
      </c>
      <c r="BL146">
        <f t="shared" si="426"/>
        <v>13</v>
      </c>
      <c r="BM146">
        <f t="shared" si="434"/>
        <v>20</v>
      </c>
      <c r="BZ146" s="12">
        <f t="shared" si="440"/>
        <v>-3.7727272727272729</v>
      </c>
      <c r="CA146" s="12">
        <f t="shared" si="472"/>
        <v>-4.2127272727272862</v>
      </c>
      <c r="CB146" s="12">
        <f t="shared" si="476"/>
        <v>-2.7854285714285911</v>
      </c>
      <c r="CC146" s="12">
        <f t="shared" si="485"/>
        <v>-8.5774999999998727</v>
      </c>
      <c r="CD146" s="12">
        <f t="shared" si="493"/>
        <v>-0.67799999999997451</v>
      </c>
      <c r="CE146" s="12">
        <f t="shared" si="501"/>
        <v>-3.0420833333333426</v>
      </c>
      <c r="CF146" s="12">
        <f t="shared" si="509"/>
        <v>-4.1154545454545852</v>
      </c>
      <c r="CG146" s="12">
        <f t="shared" si="517"/>
        <v>-1.5315000000000054</v>
      </c>
      <c r="CH146" s="12">
        <f t="shared" si="415"/>
        <v>-1.8927777777777617</v>
      </c>
      <c r="CI146" s="12">
        <f t="shared" si="423"/>
        <v>-2.5222222222222022</v>
      </c>
      <c r="CJ146" s="12">
        <f t="shared" si="431"/>
        <v>-4.0815384615384227</v>
      </c>
      <c r="CK146" s="12">
        <f t="shared" si="439"/>
        <v>-3.9460000000000037</v>
      </c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>
        <f t="shared" si="441"/>
        <v>-75.154547917916176</v>
      </c>
      <c r="CY146" s="12">
        <f t="shared" si="442"/>
        <v>-76.646511563522878</v>
      </c>
      <c r="CZ146" s="12">
        <f t="shared" si="443"/>
        <v>-70.251294521425621</v>
      </c>
      <c r="DA146" s="12">
        <f t="shared" si="444"/>
        <v>-83.350242970141906</v>
      </c>
      <c r="DB146" s="12">
        <f t="shared" si="445"/>
        <v>-34.137270681243898</v>
      </c>
      <c r="DC146" s="12">
        <f t="shared" si="446"/>
        <v>-71.803163361405623</v>
      </c>
      <c r="DD146" s="12">
        <f t="shared" si="447"/>
        <v>-76.34258087433652</v>
      </c>
      <c r="DE146" s="12">
        <f t="shared" si="448"/>
        <v>-56.857286223499479</v>
      </c>
      <c r="DF146" s="12">
        <f t="shared" si="449"/>
        <v>-62.151429480932208</v>
      </c>
      <c r="DG146" s="12">
        <f t="shared" si="450"/>
        <v>-68.372873716083049</v>
      </c>
      <c r="DH146" s="12">
        <f t="shared" si="451"/>
        <v>-76.233393709878015</v>
      </c>
      <c r="DI146" s="12">
        <f t="shared" si="452"/>
        <v>-75.779416600103389</v>
      </c>
      <c r="DJ146" t="s">
        <v>22</v>
      </c>
      <c r="DK146" t="str">
        <f t="shared" si="473"/>
        <v>HL</v>
      </c>
      <c r="DL146" t="str">
        <f t="shared" si="477"/>
        <v>LL</v>
      </c>
      <c r="DM146" t="str">
        <f t="shared" si="481"/>
        <v>LL</v>
      </c>
      <c r="DN146" t="str">
        <f t="shared" si="489"/>
        <v>HL</v>
      </c>
      <c r="DO146" t="str">
        <f t="shared" si="497"/>
        <v>LL</v>
      </c>
      <c r="DP146" t="str">
        <f t="shared" si="505"/>
        <v>LL</v>
      </c>
      <c r="DQ146" t="str">
        <f t="shared" si="513"/>
        <v>HL</v>
      </c>
      <c r="DR146" t="str">
        <f t="shared" ref="DR146:DR170" si="521">DJ130</f>
        <v>LL</v>
      </c>
      <c r="DS146" t="str">
        <f t="shared" si="419"/>
        <v>HL</v>
      </c>
      <c r="DT146" t="str">
        <f t="shared" si="427"/>
        <v>LL</v>
      </c>
      <c r="DU146" t="str">
        <f t="shared" si="435"/>
        <v>LL</v>
      </c>
      <c r="DV146">
        <f t="shared" si="453"/>
        <v>-0.49352319625089425</v>
      </c>
      <c r="DW146">
        <f t="shared" si="454"/>
        <v>-0.67256574803669744</v>
      </c>
      <c r="DX146">
        <f t="shared" si="482"/>
        <v>0.77122634237869891</v>
      </c>
      <c r="DY146">
        <f t="shared" si="490"/>
        <v>1.037477812377513</v>
      </c>
      <c r="DZ146">
        <f t="shared" si="498"/>
        <v>0.3149210935469845</v>
      </c>
      <c r="EA146">
        <f t="shared" si="506"/>
        <v>2.785840442915597</v>
      </c>
      <c r="EB146">
        <f t="shared" si="514"/>
        <v>3.489898300306999</v>
      </c>
      <c r="EC146">
        <f t="shared" ref="EC146:EC170" si="522">IFERROR(((N146-$F146)/$F146)*100,0)</f>
        <v>2.8966133870094097</v>
      </c>
      <c r="ED146">
        <f t="shared" si="420"/>
        <v>2.9488066032126481</v>
      </c>
      <c r="EE146">
        <f t="shared" si="428"/>
        <v>2.5843349879537256</v>
      </c>
      <c r="EF146">
        <f t="shared" si="436"/>
        <v>2.7193326315511404</v>
      </c>
      <c r="EG146" s="13" t="str">
        <f t="shared" si="455"/>
        <v/>
      </c>
      <c r="EH146" s="13" t="str">
        <f t="shared" si="456"/>
        <v/>
      </c>
      <c r="EI146" s="13" t="str">
        <f t="shared" si="457"/>
        <v/>
      </c>
      <c r="EJ146" s="13" t="str">
        <f t="shared" si="458"/>
        <v/>
      </c>
      <c r="EK146" s="13" t="str">
        <f t="shared" si="459"/>
        <v/>
      </c>
      <c r="EL146" s="13" t="str">
        <f t="shared" si="460"/>
        <v/>
      </c>
      <c r="EM146" s="13" t="str">
        <f t="shared" si="461"/>
        <v/>
      </c>
      <c r="EN146" s="13" t="str">
        <f t="shared" si="462"/>
        <v/>
      </c>
      <c r="EO146" s="13" t="str">
        <f t="shared" si="463"/>
        <v/>
      </c>
      <c r="EP146" s="13" t="str">
        <f t="shared" si="464"/>
        <v/>
      </c>
      <c r="EQ146" s="13" t="str">
        <f t="shared" si="465"/>
        <v/>
      </c>
    </row>
    <row r="147" spans="1:147" ht="14.25" customHeight="1" x14ac:dyDescent="0.55000000000000004">
      <c r="A147">
        <v>1777545004</v>
      </c>
      <c r="B147" t="s">
        <v>16</v>
      </c>
      <c r="C147" t="s">
        <v>17</v>
      </c>
      <c r="D147">
        <v>4636.62</v>
      </c>
      <c r="E147" t="s">
        <v>20</v>
      </c>
      <c r="F147">
        <v>4647.1000000000004</v>
      </c>
      <c r="G147">
        <v>4582.32</v>
      </c>
      <c r="H147">
        <v>4564.75</v>
      </c>
      <c r="I147">
        <f t="shared" si="478"/>
        <v>4607.7700000000004</v>
      </c>
      <c r="J147">
        <f t="shared" si="486"/>
        <v>4610.1499999999996</v>
      </c>
      <c r="K147">
        <f t="shared" si="494"/>
        <v>4601.49</v>
      </c>
      <c r="L147">
        <f t="shared" si="502"/>
        <v>4701.1400000000003</v>
      </c>
      <c r="M147">
        <f t="shared" si="510"/>
        <v>4712.59</v>
      </c>
      <c r="N147">
        <f t="shared" si="518"/>
        <v>4729.92</v>
      </c>
      <c r="O147">
        <f t="shared" si="416"/>
        <v>4740.49</v>
      </c>
      <c r="P147">
        <f t="shared" si="424"/>
        <v>4697.42</v>
      </c>
      <c r="Q147">
        <f t="shared" si="432"/>
        <v>4711.2299999999996</v>
      </c>
      <c r="R147">
        <v>106.28</v>
      </c>
      <c r="S147">
        <f t="shared" si="466"/>
        <v>63.909999999999854</v>
      </c>
      <c r="T147">
        <f t="shared" si="467"/>
        <v>54.470000000000255</v>
      </c>
      <c r="U147">
        <f t="shared" si="483"/>
        <v>31.930000000000291</v>
      </c>
      <c r="V147">
        <f t="shared" si="491"/>
        <v>22.219999999999345</v>
      </c>
      <c r="W147">
        <f t="shared" si="499"/>
        <v>46.369999999999891</v>
      </c>
      <c r="X147">
        <f t="shared" si="507"/>
        <v>33.820000000000618</v>
      </c>
      <c r="Y147">
        <f t="shared" si="515"/>
        <v>13.300000000000182</v>
      </c>
      <c r="Z147">
        <f t="shared" ref="Z147:Z170" si="523">N147-N146</f>
        <v>57.569999999999709</v>
      </c>
      <c r="AA147">
        <f t="shared" si="421"/>
        <v>65.769999999999527</v>
      </c>
      <c r="AB147">
        <f t="shared" si="429"/>
        <v>39.25</v>
      </c>
      <c r="AC147">
        <f t="shared" si="437"/>
        <v>46.929999999999382</v>
      </c>
      <c r="AD147">
        <v>2.34</v>
      </c>
      <c r="AE147" s="14">
        <f t="shared" si="468"/>
        <v>1.4144356089863439</v>
      </c>
      <c r="AF147" s="14">
        <f t="shared" si="469"/>
        <v>1.2076855538902298</v>
      </c>
      <c r="AG147" s="14">
        <f t="shared" si="484"/>
        <v>0.69779537746075671</v>
      </c>
      <c r="AH147" s="14">
        <f t="shared" si="492"/>
        <v>0.48431427680891692</v>
      </c>
      <c r="AI147" s="14">
        <f t="shared" si="500"/>
        <v>1.0179753771580087</v>
      </c>
      <c r="AJ147" s="14">
        <f t="shared" si="508"/>
        <v>0.72461283991671066</v>
      </c>
      <c r="AK147" s="14">
        <f t="shared" si="516"/>
        <v>0.2830214777125945</v>
      </c>
      <c r="AL147" s="14">
        <f t="shared" ref="AL147:AL170" si="524">(Z147/N146)*100</f>
        <v>1.2321422838614338</v>
      </c>
      <c r="AM147" s="14">
        <f t="shared" si="422"/>
        <v>1.4069291850634802</v>
      </c>
      <c r="AN147" s="14">
        <f t="shared" si="430"/>
        <v>0.84260557257463764</v>
      </c>
      <c r="AO147" s="14">
        <f t="shared" si="438"/>
        <v>1.0061531205111032</v>
      </c>
      <c r="AP147">
        <v>0</v>
      </c>
      <c r="AQ147">
        <f t="shared" si="470"/>
        <v>0</v>
      </c>
      <c r="AR147">
        <f t="shared" si="474"/>
        <v>0</v>
      </c>
      <c r="AS147">
        <f t="shared" si="479"/>
        <v>0</v>
      </c>
      <c r="AT147">
        <f t="shared" si="487"/>
        <v>0</v>
      </c>
      <c r="AU147">
        <f t="shared" si="495"/>
        <v>0</v>
      </c>
      <c r="AV147">
        <f t="shared" si="503"/>
        <v>0</v>
      </c>
      <c r="AW147">
        <f t="shared" si="511"/>
        <v>0</v>
      </c>
      <c r="AX147">
        <f t="shared" si="519"/>
        <v>0</v>
      </c>
      <c r="AY147">
        <f t="shared" si="417"/>
        <v>0</v>
      </c>
      <c r="AZ147">
        <f t="shared" si="425"/>
        <v>0</v>
      </c>
      <c r="BA147">
        <f t="shared" si="433"/>
        <v>0</v>
      </c>
      <c r="BB147">
        <v>24</v>
      </c>
      <c r="BC147">
        <f t="shared" si="471"/>
        <v>24</v>
      </c>
      <c r="BD147">
        <f t="shared" si="475"/>
        <v>9</v>
      </c>
      <c r="BE147">
        <f t="shared" si="480"/>
        <v>16</v>
      </c>
      <c r="BF147">
        <f t="shared" si="488"/>
        <v>2</v>
      </c>
      <c r="BG147">
        <f t="shared" si="496"/>
        <v>22</v>
      </c>
      <c r="BH147">
        <f t="shared" si="504"/>
        <v>32</v>
      </c>
      <c r="BI147">
        <f t="shared" si="512"/>
        <v>11</v>
      </c>
      <c r="BJ147">
        <f t="shared" si="520"/>
        <v>18</v>
      </c>
      <c r="BK147">
        <f t="shared" si="418"/>
        <v>14</v>
      </c>
      <c r="BL147">
        <f t="shared" si="426"/>
        <v>15</v>
      </c>
      <c r="BM147">
        <f t="shared" si="434"/>
        <v>26</v>
      </c>
      <c r="BZ147" s="12">
        <f t="shared" si="440"/>
        <v>4.4283333333333337</v>
      </c>
      <c r="CA147" s="12">
        <f t="shared" si="472"/>
        <v>2.6629166666666606</v>
      </c>
      <c r="CB147" s="12">
        <f t="shared" si="476"/>
        <v>6.0522222222222508</v>
      </c>
      <c r="CC147" s="12">
        <f t="shared" si="485"/>
        <v>1.9956250000000182</v>
      </c>
      <c r="CD147" s="12">
        <f t="shared" si="493"/>
        <v>11.109999999999673</v>
      </c>
      <c r="CE147" s="12">
        <f t="shared" si="501"/>
        <v>2.1077272727272676</v>
      </c>
      <c r="CF147" s="12">
        <f t="shared" si="509"/>
        <v>1.0568750000000193</v>
      </c>
      <c r="CG147" s="12">
        <f t="shared" si="517"/>
        <v>1.2090909090909256</v>
      </c>
      <c r="CH147" s="12">
        <f t="shared" ref="CH147:CH170" si="525">IFERROR(Z147/BJ147,0)</f>
        <v>3.1983333333333173</v>
      </c>
      <c r="CI147" s="12">
        <f t="shared" si="423"/>
        <v>4.6978571428571092</v>
      </c>
      <c r="CJ147" s="12">
        <f t="shared" si="431"/>
        <v>2.6166666666666667</v>
      </c>
      <c r="CK147" s="12">
        <f t="shared" si="439"/>
        <v>1.8049999999999762</v>
      </c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>
        <f t="shared" si="441"/>
        <v>77.274982448283197</v>
      </c>
      <c r="CY147" s="12">
        <f t="shared" si="442"/>
        <v>69.417432596622106</v>
      </c>
      <c r="CZ147" s="12">
        <f t="shared" si="443"/>
        <v>80.617866579981765</v>
      </c>
      <c r="DA147" s="12">
        <f t="shared" si="444"/>
        <v>63.384727140743927</v>
      </c>
      <c r="DB147" s="12">
        <f t="shared" si="445"/>
        <v>84.856723872655692</v>
      </c>
      <c r="DC147" s="12">
        <f t="shared" si="446"/>
        <v>64.618247505649492</v>
      </c>
      <c r="DD147" s="12">
        <f t="shared" si="447"/>
        <v>46.583891739241778</v>
      </c>
      <c r="DE147" s="12">
        <f t="shared" si="448"/>
        <v>50.406949370471956</v>
      </c>
      <c r="DF147" s="12">
        <f t="shared" si="449"/>
        <v>72.63747551519053</v>
      </c>
      <c r="DG147" s="12">
        <f t="shared" si="450"/>
        <v>77.983201984084829</v>
      </c>
      <c r="DH147" s="12">
        <f t="shared" si="451"/>
        <v>69.084863370966843</v>
      </c>
      <c r="DI147" s="12">
        <f t="shared" si="452"/>
        <v>61.012818533385015</v>
      </c>
      <c r="DJ147" t="s">
        <v>23</v>
      </c>
      <c r="DK147" t="str">
        <f t="shared" si="473"/>
        <v>HH</v>
      </c>
      <c r="DL147" t="str">
        <f t="shared" si="477"/>
        <v>LH</v>
      </c>
      <c r="DM147" t="str">
        <f t="shared" si="481"/>
        <v>LH</v>
      </c>
      <c r="DN147" t="str">
        <f t="shared" si="489"/>
        <v>HH</v>
      </c>
      <c r="DO147" t="str">
        <f t="shared" si="497"/>
        <v>LH</v>
      </c>
      <c r="DP147" t="str">
        <f t="shared" si="505"/>
        <v>LH</v>
      </c>
      <c r="DQ147" t="str">
        <f t="shared" si="513"/>
        <v>LH</v>
      </c>
      <c r="DR147" t="str">
        <f t="shared" si="521"/>
        <v>LH</v>
      </c>
      <c r="DS147" t="str">
        <f t="shared" si="419"/>
        <v>HH</v>
      </c>
      <c r="DT147" t="str">
        <f t="shared" si="427"/>
        <v>LH</v>
      </c>
      <c r="DU147" t="str">
        <f t="shared" si="435"/>
        <v>LH</v>
      </c>
      <c r="DV147">
        <f t="shared" si="453"/>
        <v>-1.3939876482107261</v>
      </c>
      <c r="DW147">
        <f t="shared" si="454"/>
        <v>-1.7720729056831217</v>
      </c>
      <c r="DX147">
        <f t="shared" si="482"/>
        <v>-0.8463342729874529</v>
      </c>
      <c r="DY147">
        <f t="shared" si="490"/>
        <v>-0.79511953691551118</v>
      </c>
      <c r="DZ147">
        <f t="shared" si="498"/>
        <v>-0.98147231606809804</v>
      </c>
      <c r="EA147">
        <f t="shared" si="506"/>
        <v>1.1628757719868297</v>
      </c>
      <c r="EB147">
        <f t="shared" si="514"/>
        <v>1.4092659938456193</v>
      </c>
      <c r="EC147">
        <f t="shared" si="522"/>
        <v>1.7821867401174862</v>
      </c>
      <c r="ED147">
        <f t="shared" si="420"/>
        <v>2.0096404209076502</v>
      </c>
      <c r="EE147">
        <f t="shared" si="428"/>
        <v>1.0828258483785522</v>
      </c>
      <c r="EF147">
        <f t="shared" si="436"/>
        <v>1.3800004303759161</v>
      </c>
      <c r="EG147" s="13" t="str">
        <f t="shared" si="455"/>
        <v/>
      </c>
      <c r="EH147" s="13" t="str">
        <f t="shared" si="456"/>
        <v/>
      </c>
      <c r="EI147" s="13" t="str">
        <f t="shared" si="457"/>
        <v/>
      </c>
      <c r="EJ147" s="13" t="str">
        <f t="shared" si="458"/>
        <v/>
      </c>
      <c r="EK147" s="13" t="str">
        <f t="shared" si="459"/>
        <v/>
      </c>
      <c r="EL147" s="13" t="str">
        <f t="shared" si="460"/>
        <v/>
      </c>
      <c r="EM147" s="13" t="str">
        <f t="shared" si="461"/>
        <v/>
      </c>
      <c r="EN147" s="13" t="str">
        <f t="shared" si="462"/>
        <v/>
      </c>
      <c r="EO147" s="13" t="str">
        <f t="shared" si="463"/>
        <v/>
      </c>
      <c r="EP147" s="13" t="str">
        <f t="shared" si="464"/>
        <v/>
      </c>
      <c r="EQ147" s="13" t="str">
        <f t="shared" si="465"/>
        <v/>
      </c>
    </row>
    <row r="148" spans="1:147" ht="14.25" customHeight="1" x14ac:dyDescent="0.55000000000000004">
      <c r="A148">
        <v>1777567504</v>
      </c>
      <c r="B148" t="s">
        <v>16</v>
      </c>
      <c r="C148" t="s">
        <v>17</v>
      </c>
      <c r="D148">
        <v>4607.62</v>
      </c>
      <c r="E148" t="s">
        <v>18</v>
      </c>
      <c r="F148">
        <v>4605.5600000000004</v>
      </c>
      <c r="G148">
        <v>4540.82</v>
      </c>
      <c r="H148">
        <v>4518.41</v>
      </c>
      <c r="I148">
        <f t="shared" si="478"/>
        <v>4510.28</v>
      </c>
      <c r="J148">
        <f t="shared" si="486"/>
        <v>4575.84</v>
      </c>
      <c r="K148">
        <f t="shared" si="494"/>
        <v>4587.93</v>
      </c>
      <c r="L148">
        <f t="shared" si="502"/>
        <v>4555.12</v>
      </c>
      <c r="M148">
        <f t="shared" si="510"/>
        <v>4667.32</v>
      </c>
      <c r="N148">
        <f t="shared" si="518"/>
        <v>4699.29</v>
      </c>
      <c r="O148">
        <f t="shared" ref="O148:O170" si="526">F130</f>
        <v>4672.3500000000004</v>
      </c>
      <c r="P148">
        <f t="shared" si="424"/>
        <v>4674.72</v>
      </c>
      <c r="Q148">
        <f t="shared" si="432"/>
        <v>4658.17</v>
      </c>
      <c r="R148">
        <v>-41.54</v>
      </c>
      <c r="S148">
        <f t="shared" si="466"/>
        <v>-41.5</v>
      </c>
      <c r="T148">
        <f t="shared" si="467"/>
        <v>-46.340000000000146</v>
      </c>
      <c r="U148">
        <f t="shared" si="483"/>
        <v>-97.490000000000691</v>
      </c>
      <c r="V148">
        <f t="shared" si="491"/>
        <v>-34.309999999999491</v>
      </c>
      <c r="W148">
        <f t="shared" si="499"/>
        <v>-13.559999999999491</v>
      </c>
      <c r="X148">
        <f t="shared" si="507"/>
        <v>-146.02000000000044</v>
      </c>
      <c r="Y148">
        <f t="shared" si="515"/>
        <v>-45.270000000000437</v>
      </c>
      <c r="Z148">
        <f t="shared" si="523"/>
        <v>-30.630000000000109</v>
      </c>
      <c r="AA148">
        <f t="shared" si="421"/>
        <v>-68.139999999999418</v>
      </c>
      <c r="AB148">
        <f t="shared" si="429"/>
        <v>-22.699999999999818</v>
      </c>
      <c r="AC148">
        <f t="shared" si="437"/>
        <v>-53.059999999999491</v>
      </c>
      <c r="AD148">
        <v>-0.89</v>
      </c>
      <c r="AE148" s="14">
        <f t="shared" si="468"/>
        <v>-0.90565477749262391</v>
      </c>
      <c r="AF148" s="14">
        <f t="shared" si="469"/>
        <v>-1.0151706007996089</v>
      </c>
      <c r="AG148" s="14">
        <f t="shared" si="484"/>
        <v>-2.1157740078172451</v>
      </c>
      <c r="AH148" s="14">
        <f t="shared" si="492"/>
        <v>-0.74422741125558811</v>
      </c>
      <c r="AI148" s="14">
        <f t="shared" si="500"/>
        <v>-0.29468715568217013</v>
      </c>
      <c r="AJ148" s="14">
        <f t="shared" si="508"/>
        <v>-3.1060551270542978</v>
      </c>
      <c r="AK148" s="14">
        <f t="shared" si="516"/>
        <v>-0.96061825874944429</v>
      </c>
      <c r="AL148" s="14">
        <f t="shared" si="524"/>
        <v>-0.64757966308098458</v>
      </c>
      <c r="AM148" s="14">
        <f t="shared" si="422"/>
        <v>-1.4374041502038697</v>
      </c>
      <c r="AN148" s="14">
        <f t="shared" si="430"/>
        <v>-0.48324399351132785</v>
      </c>
      <c r="AO148" s="14">
        <f t="shared" si="438"/>
        <v>-1.1262451631527117</v>
      </c>
      <c r="AP148">
        <v>3</v>
      </c>
      <c r="AQ148">
        <f t="shared" si="470"/>
        <v>3</v>
      </c>
      <c r="AR148">
        <f t="shared" si="474"/>
        <v>3</v>
      </c>
      <c r="AS148">
        <f t="shared" si="479"/>
        <v>3</v>
      </c>
      <c r="AT148">
        <f t="shared" si="487"/>
        <v>3</v>
      </c>
      <c r="AU148">
        <f t="shared" si="495"/>
        <v>3</v>
      </c>
      <c r="AV148">
        <f t="shared" si="503"/>
        <v>5</v>
      </c>
      <c r="AW148">
        <f t="shared" si="511"/>
        <v>3</v>
      </c>
      <c r="AX148">
        <f t="shared" si="519"/>
        <v>3</v>
      </c>
      <c r="AY148">
        <f t="shared" ref="AY148:AY170" si="527">AP130</f>
        <v>3</v>
      </c>
      <c r="AZ148">
        <f t="shared" si="425"/>
        <v>3</v>
      </c>
      <c r="BA148">
        <f t="shared" si="433"/>
        <v>3</v>
      </c>
      <c r="BB148">
        <v>25</v>
      </c>
      <c r="BC148">
        <f t="shared" si="471"/>
        <v>11</v>
      </c>
      <c r="BD148">
        <f t="shared" si="475"/>
        <v>11</v>
      </c>
      <c r="BE148">
        <f t="shared" si="480"/>
        <v>35</v>
      </c>
      <c r="BF148">
        <f t="shared" si="488"/>
        <v>4</v>
      </c>
      <c r="BG148">
        <f t="shared" si="496"/>
        <v>20</v>
      </c>
      <c r="BH148">
        <f t="shared" si="504"/>
        <v>48</v>
      </c>
      <c r="BI148">
        <f t="shared" si="512"/>
        <v>11</v>
      </c>
      <c r="BJ148">
        <f t="shared" si="520"/>
        <v>20</v>
      </c>
      <c r="BK148">
        <f t="shared" ref="BK148:BK170" si="528">BB130</f>
        <v>36</v>
      </c>
      <c r="BL148">
        <f t="shared" si="426"/>
        <v>9</v>
      </c>
      <c r="BM148">
        <f t="shared" si="434"/>
        <v>13</v>
      </c>
      <c r="BZ148" s="12">
        <f t="shared" si="440"/>
        <v>-1.6616</v>
      </c>
      <c r="CA148" s="12">
        <f t="shared" si="472"/>
        <v>-3.7727272727272729</v>
      </c>
      <c r="CB148" s="12">
        <f t="shared" si="476"/>
        <v>-4.2127272727272862</v>
      </c>
      <c r="CC148" s="12">
        <f t="shared" si="485"/>
        <v>-2.7854285714285911</v>
      </c>
      <c r="CD148" s="12">
        <f t="shared" si="493"/>
        <v>-8.5774999999998727</v>
      </c>
      <c r="CE148" s="12">
        <f t="shared" si="501"/>
        <v>-0.67799999999997451</v>
      </c>
      <c r="CF148" s="12">
        <f t="shared" si="509"/>
        <v>-3.0420833333333426</v>
      </c>
      <c r="CG148" s="12">
        <f t="shared" si="517"/>
        <v>-4.1154545454545852</v>
      </c>
      <c r="CH148" s="12">
        <f t="shared" si="525"/>
        <v>-1.5315000000000054</v>
      </c>
      <c r="CI148" s="12">
        <f t="shared" si="423"/>
        <v>-1.8927777777777617</v>
      </c>
      <c r="CJ148" s="12">
        <f t="shared" si="431"/>
        <v>-2.5222222222222022</v>
      </c>
      <c r="CK148" s="12">
        <f t="shared" si="439"/>
        <v>-4.0815384615384227</v>
      </c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>
        <f t="shared" si="441"/>
        <v>-58.959227609765769</v>
      </c>
      <c r="CY148" s="12">
        <f t="shared" si="442"/>
        <v>-75.154547917916176</v>
      </c>
      <c r="CZ148" s="12">
        <f t="shared" si="443"/>
        <v>-76.646511563522878</v>
      </c>
      <c r="DA148" s="12">
        <f t="shared" si="444"/>
        <v>-70.251294521425621</v>
      </c>
      <c r="DB148" s="12">
        <f t="shared" si="445"/>
        <v>-83.350242970141906</v>
      </c>
      <c r="DC148" s="12">
        <f t="shared" si="446"/>
        <v>-34.137270681243898</v>
      </c>
      <c r="DD148" s="12">
        <f t="shared" si="447"/>
        <v>-71.803163361405623</v>
      </c>
      <c r="DE148" s="12">
        <f t="shared" si="448"/>
        <v>-76.34258087433652</v>
      </c>
      <c r="DF148" s="12">
        <f t="shared" si="449"/>
        <v>-56.857286223499479</v>
      </c>
      <c r="DG148" s="12">
        <f t="shared" si="450"/>
        <v>-62.151429480932208</v>
      </c>
      <c r="DH148" s="12">
        <f t="shared" si="451"/>
        <v>-68.372873716083049</v>
      </c>
      <c r="DI148" s="12">
        <f t="shared" si="452"/>
        <v>-76.233393709878015</v>
      </c>
      <c r="DJ148" t="s">
        <v>22</v>
      </c>
      <c r="DK148" t="str">
        <f t="shared" si="473"/>
        <v>HL</v>
      </c>
      <c r="DL148" t="str">
        <f t="shared" si="477"/>
        <v>HL</v>
      </c>
      <c r="DM148" t="str">
        <f t="shared" si="481"/>
        <v>LL</v>
      </c>
      <c r="DN148" t="str">
        <f t="shared" si="489"/>
        <v>LL</v>
      </c>
      <c r="DO148" t="str">
        <f t="shared" si="497"/>
        <v>HL</v>
      </c>
      <c r="DP148" t="str">
        <f t="shared" si="505"/>
        <v>LL</v>
      </c>
      <c r="DQ148" t="str">
        <f t="shared" si="513"/>
        <v>LL</v>
      </c>
      <c r="DR148" t="str">
        <f t="shared" si="521"/>
        <v>HL</v>
      </c>
      <c r="DS148" t="str">
        <f t="shared" ref="DS148:DS170" si="529">DJ130</f>
        <v>LL</v>
      </c>
      <c r="DT148" t="str">
        <f t="shared" si="427"/>
        <v>HL</v>
      </c>
      <c r="DU148" t="str">
        <f t="shared" si="435"/>
        <v>LL</v>
      </c>
      <c r="DV148">
        <f t="shared" si="453"/>
        <v>-1.4056922502366853</v>
      </c>
      <c r="DW148">
        <f t="shared" si="454"/>
        <v>-1.8922780291647603</v>
      </c>
      <c r="DX148">
        <f t="shared" si="482"/>
        <v>-2.0688037936754848</v>
      </c>
      <c r="DY148">
        <f t="shared" si="490"/>
        <v>-0.64530697678458759</v>
      </c>
      <c r="DZ148">
        <f t="shared" si="498"/>
        <v>-0.38279818306568819</v>
      </c>
      <c r="EA148">
        <f t="shared" si="506"/>
        <v>-1.0951979780960515</v>
      </c>
      <c r="EB148">
        <f t="shared" si="514"/>
        <v>1.3409878494688876</v>
      </c>
      <c r="EC148">
        <f t="shared" si="522"/>
        <v>2.0351488201217562</v>
      </c>
      <c r="ED148">
        <f t="shared" ref="ED148:ED170" si="530">IFERROR(((O148-$F148)/$F148)*100,0)</f>
        <v>1.4502036668722145</v>
      </c>
      <c r="EE148">
        <f t="shared" si="428"/>
        <v>1.5016632070801346</v>
      </c>
      <c r="EF148">
        <f t="shared" si="436"/>
        <v>1.1423149410712197</v>
      </c>
      <c r="EG148" s="13" t="str">
        <f t="shared" si="455"/>
        <v/>
      </c>
      <c r="EH148" s="13" t="str">
        <f t="shared" si="456"/>
        <v/>
      </c>
      <c r="EI148" s="13" t="str">
        <f t="shared" si="457"/>
        <v/>
      </c>
      <c r="EJ148" s="13" t="str">
        <f t="shared" si="458"/>
        <v/>
      </c>
      <c r="EK148" s="13" t="str">
        <f t="shared" si="459"/>
        <v/>
      </c>
      <c r="EL148" s="13" t="str">
        <f t="shared" si="460"/>
        <v/>
      </c>
      <c r="EM148" s="13" t="str">
        <f t="shared" si="461"/>
        <v/>
      </c>
      <c r="EN148" s="13" t="str">
        <f t="shared" si="462"/>
        <v/>
      </c>
      <c r="EO148" s="13" t="str">
        <f t="shared" si="463"/>
        <v/>
      </c>
      <c r="EP148" s="13" t="str">
        <f t="shared" si="464"/>
        <v/>
      </c>
      <c r="EQ148" s="13" t="str">
        <f t="shared" si="465"/>
        <v/>
      </c>
    </row>
    <row r="149" spans="1:147" ht="14.25" customHeight="1" x14ac:dyDescent="0.55000000000000004">
      <c r="A149">
        <v>1777591804</v>
      </c>
      <c r="B149" t="s">
        <v>16</v>
      </c>
      <c r="C149" t="s">
        <v>17</v>
      </c>
      <c r="D149">
        <v>4631.3100000000004</v>
      </c>
      <c r="E149" t="s">
        <v>20</v>
      </c>
      <c r="F149">
        <v>4634.1400000000003</v>
      </c>
      <c r="G149">
        <v>4647.1000000000004</v>
      </c>
      <c r="H149">
        <v>4582.32</v>
      </c>
      <c r="I149">
        <f t="shared" si="478"/>
        <v>4564.75</v>
      </c>
      <c r="J149">
        <f t="shared" si="486"/>
        <v>4607.7700000000004</v>
      </c>
      <c r="K149">
        <f t="shared" si="494"/>
        <v>4610.1499999999996</v>
      </c>
      <c r="L149">
        <f t="shared" si="502"/>
        <v>4601.49</v>
      </c>
      <c r="M149">
        <f t="shared" si="510"/>
        <v>4701.1400000000003</v>
      </c>
      <c r="N149">
        <f t="shared" si="518"/>
        <v>4712.59</v>
      </c>
      <c r="O149">
        <f t="shared" si="526"/>
        <v>4729.92</v>
      </c>
      <c r="P149">
        <f t="shared" si="424"/>
        <v>4740.49</v>
      </c>
      <c r="Q149">
        <f t="shared" si="432"/>
        <v>4697.42</v>
      </c>
      <c r="R149">
        <v>28.58</v>
      </c>
      <c r="S149">
        <f t="shared" si="466"/>
        <v>106.28000000000065</v>
      </c>
      <c r="T149">
        <f t="shared" si="467"/>
        <v>63.909999999999854</v>
      </c>
      <c r="U149">
        <f t="shared" si="483"/>
        <v>54.470000000000255</v>
      </c>
      <c r="V149">
        <f t="shared" si="491"/>
        <v>31.930000000000291</v>
      </c>
      <c r="W149">
        <f t="shared" si="499"/>
        <v>22.219999999999345</v>
      </c>
      <c r="X149">
        <f t="shared" si="507"/>
        <v>46.369999999999891</v>
      </c>
      <c r="Y149">
        <f t="shared" si="515"/>
        <v>33.820000000000618</v>
      </c>
      <c r="Z149">
        <f t="shared" si="523"/>
        <v>13.300000000000182</v>
      </c>
      <c r="AA149">
        <f t="shared" ref="AA149:AA170" si="531">O149-O148</f>
        <v>57.569999999999709</v>
      </c>
      <c r="AB149">
        <f t="shared" si="429"/>
        <v>65.769999999999527</v>
      </c>
      <c r="AC149">
        <f t="shared" si="437"/>
        <v>39.25</v>
      </c>
      <c r="AD149">
        <v>0.62</v>
      </c>
      <c r="AE149" s="14">
        <f t="shared" si="468"/>
        <v>2.3405464211309996</v>
      </c>
      <c r="AF149" s="14">
        <f t="shared" si="469"/>
        <v>1.4144356089863439</v>
      </c>
      <c r="AG149" s="14">
        <f t="shared" si="484"/>
        <v>1.2076855538902298</v>
      </c>
      <c r="AH149" s="14">
        <f t="shared" si="492"/>
        <v>0.69779537746075671</v>
      </c>
      <c r="AI149" s="14">
        <f t="shared" si="500"/>
        <v>0.48431427680891692</v>
      </c>
      <c r="AJ149" s="14">
        <f t="shared" si="508"/>
        <v>1.0179753771580087</v>
      </c>
      <c r="AK149" s="14">
        <f t="shared" si="516"/>
        <v>0.72461283991671066</v>
      </c>
      <c r="AL149" s="14">
        <f t="shared" si="524"/>
        <v>0.2830214777125945</v>
      </c>
      <c r="AM149" s="14">
        <f t="shared" ref="AM149:AM170" si="532">(AA149/O148)*100</f>
        <v>1.2321422838614338</v>
      </c>
      <c r="AN149" s="14">
        <f t="shared" si="430"/>
        <v>1.4069291850634802</v>
      </c>
      <c r="AO149" s="14">
        <f t="shared" si="438"/>
        <v>0.84260557257463764</v>
      </c>
      <c r="AP149">
        <v>0</v>
      </c>
      <c r="AQ149">
        <f t="shared" si="470"/>
        <v>0</v>
      </c>
      <c r="AR149">
        <f t="shared" si="474"/>
        <v>0</v>
      </c>
      <c r="AS149">
        <f t="shared" si="479"/>
        <v>0</v>
      </c>
      <c r="AT149">
        <f t="shared" si="487"/>
        <v>0</v>
      </c>
      <c r="AU149">
        <f t="shared" si="495"/>
        <v>0</v>
      </c>
      <c r="AV149">
        <f t="shared" si="503"/>
        <v>0</v>
      </c>
      <c r="AW149">
        <f t="shared" si="511"/>
        <v>0</v>
      </c>
      <c r="AX149">
        <f t="shared" si="519"/>
        <v>0</v>
      </c>
      <c r="AY149">
        <f t="shared" si="527"/>
        <v>0</v>
      </c>
      <c r="AZ149">
        <f t="shared" si="425"/>
        <v>0</v>
      </c>
      <c r="BA149">
        <f t="shared" si="433"/>
        <v>0</v>
      </c>
      <c r="BB149">
        <v>23</v>
      </c>
      <c r="BC149">
        <f t="shared" si="471"/>
        <v>24</v>
      </c>
      <c r="BD149">
        <f t="shared" si="475"/>
        <v>24</v>
      </c>
      <c r="BE149">
        <f t="shared" si="480"/>
        <v>9</v>
      </c>
      <c r="BF149">
        <f t="shared" si="488"/>
        <v>16</v>
      </c>
      <c r="BG149">
        <f t="shared" si="496"/>
        <v>2</v>
      </c>
      <c r="BH149">
        <f t="shared" si="504"/>
        <v>22</v>
      </c>
      <c r="BI149">
        <f t="shared" si="512"/>
        <v>32</v>
      </c>
      <c r="BJ149">
        <f t="shared" si="520"/>
        <v>11</v>
      </c>
      <c r="BK149">
        <f t="shared" si="528"/>
        <v>18</v>
      </c>
      <c r="BL149">
        <f t="shared" si="426"/>
        <v>14</v>
      </c>
      <c r="BM149">
        <f t="shared" si="434"/>
        <v>15</v>
      </c>
      <c r="BZ149" s="12">
        <f t="shared" si="440"/>
        <v>1.2426086956521738</v>
      </c>
      <c r="CA149" s="12">
        <f t="shared" si="472"/>
        <v>4.4283333333333603</v>
      </c>
      <c r="CB149" s="12">
        <f t="shared" si="476"/>
        <v>2.6629166666666606</v>
      </c>
      <c r="CC149" s="12">
        <f t="shared" si="485"/>
        <v>6.0522222222222508</v>
      </c>
      <c r="CD149" s="12">
        <f t="shared" si="493"/>
        <v>1.9956250000000182</v>
      </c>
      <c r="CE149" s="12">
        <f t="shared" si="501"/>
        <v>11.109999999999673</v>
      </c>
      <c r="CF149" s="12">
        <f t="shared" si="509"/>
        <v>2.1077272727272676</v>
      </c>
      <c r="CG149" s="12">
        <f t="shared" si="517"/>
        <v>1.0568750000000193</v>
      </c>
      <c r="CH149" s="12">
        <f t="shared" si="525"/>
        <v>1.2090909090909256</v>
      </c>
      <c r="CI149" s="12">
        <f t="shared" ref="CI149:CI170" si="533">IFERROR(AA149/BK149,0)</f>
        <v>3.1983333333333173</v>
      </c>
      <c r="CJ149" s="12">
        <f t="shared" si="431"/>
        <v>4.6978571428571092</v>
      </c>
      <c r="CK149" s="12">
        <f t="shared" si="439"/>
        <v>2.6166666666666667</v>
      </c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>
        <f t="shared" si="441"/>
        <v>51.174329586539663</v>
      </c>
      <c r="CY149" s="12">
        <f t="shared" si="442"/>
        <v>77.274982448283268</v>
      </c>
      <c r="CZ149" s="12">
        <f t="shared" si="443"/>
        <v>69.417432596622106</v>
      </c>
      <c r="DA149" s="12">
        <f t="shared" si="444"/>
        <v>80.617866579981765</v>
      </c>
      <c r="DB149" s="12">
        <f t="shared" si="445"/>
        <v>63.384727140743927</v>
      </c>
      <c r="DC149" s="12">
        <f t="shared" si="446"/>
        <v>84.856723872655692</v>
      </c>
      <c r="DD149" s="12">
        <f t="shared" si="447"/>
        <v>64.618247505649492</v>
      </c>
      <c r="DE149" s="12">
        <f t="shared" si="448"/>
        <v>46.583891739241778</v>
      </c>
      <c r="DF149" s="12">
        <f t="shared" si="449"/>
        <v>50.406949370471956</v>
      </c>
      <c r="DG149" s="12">
        <f t="shared" si="450"/>
        <v>72.63747551519053</v>
      </c>
      <c r="DH149" s="12">
        <f t="shared" si="451"/>
        <v>77.983201984084829</v>
      </c>
      <c r="DI149" s="12">
        <f t="shared" si="452"/>
        <v>69.084863370966843</v>
      </c>
      <c r="DJ149" t="s">
        <v>21</v>
      </c>
      <c r="DK149" t="str">
        <f t="shared" si="473"/>
        <v>HH</v>
      </c>
      <c r="DL149" t="str">
        <f t="shared" si="477"/>
        <v>HH</v>
      </c>
      <c r="DM149" t="str">
        <f t="shared" si="481"/>
        <v>LH</v>
      </c>
      <c r="DN149" t="str">
        <f t="shared" si="489"/>
        <v>LH</v>
      </c>
      <c r="DO149" t="str">
        <f t="shared" si="497"/>
        <v>HH</v>
      </c>
      <c r="DP149" t="str">
        <f t="shared" si="505"/>
        <v>LH</v>
      </c>
      <c r="DQ149" t="str">
        <f t="shared" si="513"/>
        <v>LH</v>
      </c>
      <c r="DR149" t="str">
        <f t="shared" si="521"/>
        <v>LH</v>
      </c>
      <c r="DS149" t="str">
        <f t="shared" si="529"/>
        <v>LH</v>
      </c>
      <c r="DT149" t="str">
        <f t="shared" si="427"/>
        <v>HH</v>
      </c>
      <c r="DU149" t="str">
        <f t="shared" si="435"/>
        <v>LH</v>
      </c>
      <c r="DV149">
        <f t="shared" si="453"/>
        <v>0.27966354059221421</v>
      </c>
      <c r="DW149">
        <f t="shared" si="454"/>
        <v>-1.1182225828309162</v>
      </c>
      <c r="DX149">
        <f t="shared" si="482"/>
        <v>-1.4973652069208163</v>
      </c>
      <c r="DY149">
        <f t="shared" si="490"/>
        <v>-0.56903762078832076</v>
      </c>
      <c r="DZ149">
        <f t="shared" si="498"/>
        <v>-0.51767965577217545</v>
      </c>
      <c r="EA149">
        <f t="shared" si="506"/>
        <v>-0.70455359570493215</v>
      </c>
      <c r="EB149">
        <f t="shared" si="514"/>
        <v>1.4457914521356712</v>
      </c>
      <c r="EC149">
        <f t="shared" si="522"/>
        <v>1.6928707376125844</v>
      </c>
      <c r="ED149">
        <f t="shared" si="530"/>
        <v>2.0668344072470779</v>
      </c>
      <c r="EE149">
        <f t="shared" si="428"/>
        <v>2.2949241930541469</v>
      </c>
      <c r="EF149">
        <f t="shared" si="436"/>
        <v>1.3655176580767896</v>
      </c>
      <c r="EG149" s="13" t="str">
        <f t="shared" si="455"/>
        <v/>
      </c>
      <c r="EH149" s="13" t="str">
        <f t="shared" si="456"/>
        <v/>
      </c>
      <c r="EI149" s="13" t="str">
        <f t="shared" si="457"/>
        <v/>
      </c>
      <c r="EJ149" s="13" t="str">
        <f t="shared" si="458"/>
        <v/>
      </c>
      <c r="EK149" s="13" t="str">
        <f t="shared" si="459"/>
        <v/>
      </c>
      <c r="EL149" s="13" t="str">
        <f t="shared" si="460"/>
        <v/>
      </c>
      <c r="EM149" s="13" t="str">
        <f t="shared" si="461"/>
        <v/>
      </c>
      <c r="EN149" s="13" t="str">
        <f t="shared" si="462"/>
        <v/>
      </c>
      <c r="EO149" s="13" t="str">
        <f t="shared" si="463"/>
        <v/>
      </c>
      <c r="EP149" s="13" t="str">
        <f t="shared" si="464"/>
        <v/>
      </c>
      <c r="EQ149" s="13" t="str">
        <f t="shared" si="465"/>
        <v/>
      </c>
    </row>
    <row r="150" spans="1:147" ht="14.25" customHeight="1" x14ac:dyDescent="0.55000000000000004">
      <c r="A150">
        <v>1777598104</v>
      </c>
      <c r="B150" t="s">
        <v>16</v>
      </c>
      <c r="C150" t="s">
        <v>17</v>
      </c>
      <c r="D150">
        <v>4616.68</v>
      </c>
      <c r="E150" t="s">
        <v>18</v>
      </c>
      <c r="F150">
        <v>4614.2700000000004</v>
      </c>
      <c r="G150">
        <v>4605.5600000000004</v>
      </c>
      <c r="H150">
        <v>4540.82</v>
      </c>
      <c r="I150">
        <f t="shared" si="478"/>
        <v>4518.41</v>
      </c>
      <c r="J150">
        <f t="shared" si="486"/>
        <v>4510.28</v>
      </c>
      <c r="K150">
        <f t="shared" si="494"/>
        <v>4575.84</v>
      </c>
      <c r="L150">
        <f t="shared" si="502"/>
        <v>4587.93</v>
      </c>
      <c r="M150">
        <f t="shared" si="510"/>
        <v>4555.12</v>
      </c>
      <c r="N150">
        <f t="shared" si="518"/>
        <v>4667.32</v>
      </c>
      <c r="O150">
        <f t="shared" si="526"/>
        <v>4699.29</v>
      </c>
      <c r="P150">
        <f t="shared" ref="P150:P170" si="534">F130</f>
        <v>4672.3500000000004</v>
      </c>
      <c r="Q150">
        <f t="shared" si="432"/>
        <v>4674.72</v>
      </c>
      <c r="R150">
        <v>-19.87</v>
      </c>
      <c r="S150">
        <f t="shared" si="466"/>
        <v>-41.539999999999964</v>
      </c>
      <c r="T150">
        <f t="shared" si="467"/>
        <v>-41.5</v>
      </c>
      <c r="U150">
        <f t="shared" si="483"/>
        <v>-46.340000000000146</v>
      </c>
      <c r="V150">
        <f t="shared" si="491"/>
        <v>-97.490000000000691</v>
      </c>
      <c r="W150">
        <f t="shared" si="499"/>
        <v>-34.309999999999491</v>
      </c>
      <c r="X150">
        <f t="shared" si="507"/>
        <v>-13.559999999999491</v>
      </c>
      <c r="Y150">
        <f t="shared" si="515"/>
        <v>-146.02000000000044</v>
      </c>
      <c r="Z150">
        <f t="shared" si="523"/>
        <v>-45.270000000000437</v>
      </c>
      <c r="AA150">
        <f t="shared" si="531"/>
        <v>-30.630000000000109</v>
      </c>
      <c r="AB150">
        <f t="shared" si="429"/>
        <v>-68.139999999999418</v>
      </c>
      <c r="AC150">
        <f t="shared" si="437"/>
        <v>-22.699999999999818</v>
      </c>
      <c r="AD150">
        <v>-0.43</v>
      </c>
      <c r="AE150" s="14">
        <f t="shared" si="468"/>
        <v>-0.89389081362570111</v>
      </c>
      <c r="AF150" s="14">
        <f t="shared" si="469"/>
        <v>-0.90565477749262391</v>
      </c>
      <c r="AG150" s="14">
        <f t="shared" si="484"/>
        <v>-1.0151706007996089</v>
      </c>
      <c r="AH150" s="14">
        <f t="shared" si="492"/>
        <v>-2.1157740078172451</v>
      </c>
      <c r="AI150" s="14">
        <f t="shared" si="500"/>
        <v>-0.74422741125558811</v>
      </c>
      <c r="AJ150" s="14">
        <f t="shared" si="508"/>
        <v>-0.29468715568217013</v>
      </c>
      <c r="AK150" s="14">
        <f t="shared" si="516"/>
        <v>-3.1060551270542978</v>
      </c>
      <c r="AL150" s="14">
        <f t="shared" si="524"/>
        <v>-0.96061825874944429</v>
      </c>
      <c r="AM150" s="14">
        <f t="shared" si="532"/>
        <v>-0.64757966308098458</v>
      </c>
      <c r="AN150" s="14">
        <f t="shared" si="430"/>
        <v>-1.4374041502038697</v>
      </c>
      <c r="AO150" s="14">
        <f t="shared" si="438"/>
        <v>-0.48324399351132785</v>
      </c>
      <c r="AP150">
        <v>3</v>
      </c>
      <c r="AQ150">
        <f t="shared" si="470"/>
        <v>3</v>
      </c>
      <c r="AR150">
        <f t="shared" si="474"/>
        <v>3</v>
      </c>
      <c r="AS150">
        <f t="shared" si="479"/>
        <v>3</v>
      </c>
      <c r="AT150">
        <f t="shared" si="487"/>
        <v>3</v>
      </c>
      <c r="AU150">
        <f t="shared" si="495"/>
        <v>3</v>
      </c>
      <c r="AV150">
        <f t="shared" si="503"/>
        <v>3</v>
      </c>
      <c r="AW150">
        <f t="shared" si="511"/>
        <v>5</v>
      </c>
      <c r="AX150">
        <f t="shared" si="519"/>
        <v>3</v>
      </c>
      <c r="AY150">
        <f t="shared" si="527"/>
        <v>3</v>
      </c>
      <c r="AZ150">
        <f t="shared" ref="AZ150:AZ170" si="535">AP130</f>
        <v>3</v>
      </c>
      <c r="BA150">
        <f t="shared" si="433"/>
        <v>3</v>
      </c>
      <c r="BB150">
        <v>7</v>
      </c>
      <c r="BC150">
        <f t="shared" si="471"/>
        <v>25</v>
      </c>
      <c r="BD150">
        <f t="shared" si="475"/>
        <v>11</v>
      </c>
      <c r="BE150">
        <f t="shared" si="480"/>
        <v>11</v>
      </c>
      <c r="BF150">
        <f t="shared" si="488"/>
        <v>35</v>
      </c>
      <c r="BG150">
        <f t="shared" si="496"/>
        <v>4</v>
      </c>
      <c r="BH150">
        <f t="shared" si="504"/>
        <v>20</v>
      </c>
      <c r="BI150">
        <f t="shared" si="512"/>
        <v>48</v>
      </c>
      <c r="BJ150">
        <f t="shared" si="520"/>
        <v>11</v>
      </c>
      <c r="BK150">
        <f t="shared" si="528"/>
        <v>20</v>
      </c>
      <c r="BL150">
        <f t="shared" ref="BL150:BL170" si="536">BB130</f>
        <v>36</v>
      </c>
      <c r="BM150">
        <f t="shared" si="434"/>
        <v>9</v>
      </c>
      <c r="BZ150" s="12">
        <f t="shared" si="440"/>
        <v>-2.8385714285714285</v>
      </c>
      <c r="CA150" s="12">
        <f t="shared" si="472"/>
        <v>-1.6615999999999986</v>
      </c>
      <c r="CB150" s="12">
        <f t="shared" si="476"/>
        <v>-3.7727272727272729</v>
      </c>
      <c r="CC150" s="12">
        <f t="shared" si="485"/>
        <v>-4.2127272727272862</v>
      </c>
      <c r="CD150" s="12">
        <f t="shared" si="493"/>
        <v>-2.7854285714285911</v>
      </c>
      <c r="CE150" s="12">
        <f t="shared" si="501"/>
        <v>-8.5774999999998727</v>
      </c>
      <c r="CF150" s="12">
        <f t="shared" si="509"/>
        <v>-0.67799999999997451</v>
      </c>
      <c r="CG150" s="12">
        <f t="shared" si="517"/>
        <v>-3.0420833333333426</v>
      </c>
      <c r="CH150" s="12">
        <f t="shared" si="525"/>
        <v>-4.1154545454545852</v>
      </c>
      <c r="CI150" s="12">
        <f t="shared" si="533"/>
        <v>-1.5315000000000054</v>
      </c>
      <c r="CJ150" s="12">
        <f t="shared" si="431"/>
        <v>-1.8927777777777617</v>
      </c>
      <c r="CK150" s="12">
        <f t="shared" si="439"/>
        <v>-2.5222222222222022</v>
      </c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>
        <f t="shared" si="441"/>
        <v>-70.593154750493596</v>
      </c>
      <c r="CY150" s="12">
        <f t="shared" si="442"/>
        <v>-58.959227609765762</v>
      </c>
      <c r="CZ150" s="12">
        <f t="shared" si="443"/>
        <v>-75.154547917916176</v>
      </c>
      <c r="DA150" s="12">
        <f t="shared" si="444"/>
        <v>-76.646511563522878</v>
      </c>
      <c r="DB150" s="12">
        <f t="shared" si="445"/>
        <v>-70.251294521425621</v>
      </c>
      <c r="DC150" s="12">
        <f t="shared" si="446"/>
        <v>-83.350242970141906</v>
      </c>
      <c r="DD150" s="12">
        <f t="shared" si="447"/>
        <v>-34.137270681243898</v>
      </c>
      <c r="DE150" s="12">
        <f t="shared" si="448"/>
        <v>-71.803163361405623</v>
      </c>
      <c r="DF150" s="12">
        <f t="shared" si="449"/>
        <v>-76.34258087433652</v>
      </c>
      <c r="DG150" s="12">
        <f t="shared" si="450"/>
        <v>-56.857286223499479</v>
      </c>
      <c r="DH150" s="12">
        <f t="shared" si="451"/>
        <v>-62.151429480932208</v>
      </c>
      <c r="DI150" s="12">
        <f t="shared" si="452"/>
        <v>-68.372873716083049</v>
      </c>
      <c r="DJ150" t="s">
        <v>22</v>
      </c>
      <c r="DK150" t="str">
        <f t="shared" si="473"/>
        <v>HL</v>
      </c>
      <c r="DL150" t="str">
        <f t="shared" si="477"/>
        <v>HL</v>
      </c>
      <c r="DM150" t="str">
        <f t="shared" si="481"/>
        <v>HL</v>
      </c>
      <c r="DN150" t="str">
        <f t="shared" si="489"/>
        <v>LL</v>
      </c>
      <c r="DO150" t="str">
        <f t="shared" si="497"/>
        <v>LL</v>
      </c>
      <c r="DP150" t="str">
        <f t="shared" si="505"/>
        <v>HL</v>
      </c>
      <c r="DQ150" t="str">
        <f t="shared" si="513"/>
        <v>LL</v>
      </c>
      <c r="DR150" t="str">
        <f t="shared" si="521"/>
        <v>LL</v>
      </c>
      <c r="DS150" t="str">
        <f t="shared" si="529"/>
        <v>HL</v>
      </c>
      <c r="DT150" t="str">
        <f t="shared" ref="DT150:DT170" si="537">DJ130</f>
        <v>LL</v>
      </c>
      <c r="DU150" t="str">
        <f t="shared" si="435"/>
        <v>HL</v>
      </c>
      <c r="DV150">
        <f t="shared" si="453"/>
        <v>-0.18876225275070674</v>
      </c>
      <c r="DW150">
        <f t="shared" si="454"/>
        <v>-1.5918010866291032</v>
      </c>
      <c r="DX150">
        <f t="shared" si="482"/>
        <v>-2.0774683752793091</v>
      </c>
      <c r="DY150">
        <f t="shared" si="490"/>
        <v>-2.2536609257802573</v>
      </c>
      <c r="DZ150">
        <f t="shared" si="498"/>
        <v>-0.83285113354875828</v>
      </c>
      <c r="EA150">
        <f t="shared" si="506"/>
        <v>-0.57083785734255132</v>
      </c>
      <c r="EB150">
        <f t="shared" si="514"/>
        <v>-1.2818929104712238</v>
      </c>
      <c r="EC150">
        <f t="shared" si="522"/>
        <v>1.1496943178444101</v>
      </c>
      <c r="ED150">
        <f t="shared" si="530"/>
        <v>1.842544974611358</v>
      </c>
      <c r="EE150">
        <f t="shared" ref="EE150:EE170" si="538">IFERROR(((P150-$F150)/$F150)*100,0)</f>
        <v>1.2587039770104465</v>
      </c>
      <c r="EF150">
        <f t="shared" si="436"/>
        <v>1.3100663810310149</v>
      </c>
      <c r="EG150" s="13" t="str">
        <f t="shared" si="455"/>
        <v/>
      </c>
      <c r="EH150" s="13" t="str">
        <f t="shared" si="456"/>
        <v/>
      </c>
      <c r="EI150" s="13" t="str">
        <f t="shared" si="457"/>
        <v/>
      </c>
      <c r="EJ150" s="13" t="str">
        <f t="shared" si="458"/>
        <v/>
      </c>
      <c r="EK150" s="13" t="str">
        <f t="shared" si="459"/>
        <v/>
      </c>
      <c r="EL150" s="13" t="str">
        <f t="shared" si="460"/>
        <v/>
      </c>
      <c r="EM150" s="13" t="str">
        <f t="shared" si="461"/>
        <v/>
      </c>
      <c r="EN150" s="13" t="str">
        <f t="shared" si="462"/>
        <v/>
      </c>
      <c r="EO150" s="13" t="str">
        <f t="shared" si="463"/>
        <v/>
      </c>
      <c r="EP150" s="13" t="str">
        <f t="shared" si="464"/>
        <v/>
      </c>
      <c r="EQ150" s="13" t="str">
        <f t="shared" si="465"/>
        <v/>
      </c>
    </row>
    <row r="151" spans="1:147" ht="14.25" customHeight="1" x14ac:dyDescent="0.55000000000000004">
      <c r="A151">
        <v>1777601704</v>
      </c>
      <c r="B151" t="s">
        <v>16</v>
      </c>
      <c r="C151" t="s">
        <v>17</v>
      </c>
      <c r="D151">
        <v>4629.3900000000003</v>
      </c>
      <c r="E151" t="s">
        <v>20</v>
      </c>
      <c r="F151">
        <v>4635.83</v>
      </c>
      <c r="G151">
        <v>4634.1400000000003</v>
      </c>
      <c r="H151">
        <v>4647.1000000000004</v>
      </c>
      <c r="I151">
        <f t="shared" si="478"/>
        <v>4582.32</v>
      </c>
      <c r="J151">
        <f t="shared" si="486"/>
        <v>4564.75</v>
      </c>
      <c r="K151">
        <f t="shared" si="494"/>
        <v>4607.7700000000004</v>
      </c>
      <c r="L151">
        <f t="shared" si="502"/>
        <v>4610.1499999999996</v>
      </c>
      <c r="M151">
        <f t="shared" si="510"/>
        <v>4601.49</v>
      </c>
      <c r="N151">
        <f t="shared" si="518"/>
        <v>4701.1400000000003</v>
      </c>
      <c r="O151">
        <f t="shared" si="526"/>
        <v>4712.59</v>
      </c>
      <c r="P151">
        <f t="shared" si="534"/>
        <v>4729.92</v>
      </c>
      <c r="Q151">
        <f t="shared" si="432"/>
        <v>4740.49</v>
      </c>
      <c r="R151">
        <v>21.56</v>
      </c>
      <c r="S151">
        <f t="shared" si="466"/>
        <v>28.579999999999927</v>
      </c>
      <c r="T151">
        <f t="shared" si="467"/>
        <v>106.28000000000065</v>
      </c>
      <c r="U151">
        <f t="shared" si="483"/>
        <v>63.909999999999854</v>
      </c>
      <c r="V151">
        <f t="shared" si="491"/>
        <v>54.470000000000255</v>
      </c>
      <c r="W151">
        <f t="shared" si="499"/>
        <v>31.930000000000291</v>
      </c>
      <c r="X151">
        <f t="shared" si="507"/>
        <v>22.219999999999345</v>
      </c>
      <c r="Y151">
        <f t="shared" si="515"/>
        <v>46.369999999999891</v>
      </c>
      <c r="Z151">
        <f t="shared" si="523"/>
        <v>33.820000000000618</v>
      </c>
      <c r="AA151">
        <f t="shared" si="531"/>
        <v>13.300000000000182</v>
      </c>
      <c r="AB151">
        <f t="shared" ref="AB151:AB170" si="539">P151-P150</f>
        <v>57.569999999999709</v>
      </c>
      <c r="AC151">
        <f t="shared" si="437"/>
        <v>65.769999999999527</v>
      </c>
      <c r="AD151">
        <v>0.47</v>
      </c>
      <c r="AE151" s="14">
        <f t="shared" si="468"/>
        <v>0.62055428655798484</v>
      </c>
      <c r="AF151" s="14">
        <f t="shared" si="469"/>
        <v>2.3405464211309996</v>
      </c>
      <c r="AG151" s="14">
        <f t="shared" si="484"/>
        <v>1.4144356089863439</v>
      </c>
      <c r="AH151" s="14">
        <f t="shared" si="492"/>
        <v>1.2076855538902298</v>
      </c>
      <c r="AI151" s="14">
        <f t="shared" si="500"/>
        <v>0.69779537746075671</v>
      </c>
      <c r="AJ151" s="14">
        <f t="shared" si="508"/>
        <v>0.48431427680891692</v>
      </c>
      <c r="AK151" s="14">
        <f t="shared" si="516"/>
        <v>1.0179753771580087</v>
      </c>
      <c r="AL151" s="14">
        <f t="shared" si="524"/>
        <v>0.72461283991671066</v>
      </c>
      <c r="AM151" s="14">
        <f t="shared" si="532"/>
        <v>0.2830214777125945</v>
      </c>
      <c r="AN151" s="14">
        <f t="shared" ref="AN151:AN170" si="540">(AB151/P150)*100</f>
        <v>1.2321422838614338</v>
      </c>
      <c r="AO151" s="14">
        <f t="shared" si="438"/>
        <v>1.4069291850634802</v>
      </c>
      <c r="AP151">
        <v>0</v>
      </c>
      <c r="AQ151">
        <f t="shared" si="470"/>
        <v>0</v>
      </c>
      <c r="AR151">
        <f t="shared" si="474"/>
        <v>0</v>
      </c>
      <c r="AS151">
        <f t="shared" si="479"/>
        <v>0</v>
      </c>
      <c r="AT151">
        <f t="shared" si="487"/>
        <v>0</v>
      </c>
      <c r="AU151">
        <f t="shared" si="495"/>
        <v>0</v>
      </c>
      <c r="AV151">
        <f t="shared" si="503"/>
        <v>0</v>
      </c>
      <c r="AW151">
        <f t="shared" si="511"/>
        <v>0</v>
      </c>
      <c r="AX151">
        <f t="shared" si="519"/>
        <v>0</v>
      </c>
      <c r="AY151">
        <f t="shared" si="527"/>
        <v>0</v>
      </c>
      <c r="AZ151">
        <f t="shared" si="535"/>
        <v>0</v>
      </c>
      <c r="BA151">
        <f t="shared" si="433"/>
        <v>0</v>
      </c>
      <c r="BB151">
        <v>4</v>
      </c>
      <c r="BC151">
        <f t="shared" si="471"/>
        <v>23</v>
      </c>
      <c r="BD151">
        <f t="shared" si="475"/>
        <v>24</v>
      </c>
      <c r="BE151">
        <f t="shared" si="480"/>
        <v>24</v>
      </c>
      <c r="BF151">
        <f t="shared" si="488"/>
        <v>9</v>
      </c>
      <c r="BG151">
        <f t="shared" si="496"/>
        <v>16</v>
      </c>
      <c r="BH151">
        <f t="shared" si="504"/>
        <v>2</v>
      </c>
      <c r="BI151">
        <f t="shared" si="512"/>
        <v>22</v>
      </c>
      <c r="BJ151">
        <f t="shared" si="520"/>
        <v>32</v>
      </c>
      <c r="BK151">
        <f t="shared" si="528"/>
        <v>11</v>
      </c>
      <c r="BL151">
        <f t="shared" si="536"/>
        <v>18</v>
      </c>
      <c r="BM151">
        <f t="shared" si="434"/>
        <v>14</v>
      </c>
      <c r="BZ151" s="12">
        <f t="shared" si="440"/>
        <v>5.39</v>
      </c>
      <c r="CA151" s="12">
        <f t="shared" si="472"/>
        <v>1.2426086956521707</v>
      </c>
      <c r="CB151" s="12">
        <f t="shared" si="476"/>
        <v>4.4283333333333603</v>
      </c>
      <c r="CC151" s="12">
        <f t="shared" si="485"/>
        <v>2.6629166666666606</v>
      </c>
      <c r="CD151" s="12">
        <f t="shared" si="493"/>
        <v>6.0522222222222508</v>
      </c>
      <c r="CE151" s="12">
        <f t="shared" si="501"/>
        <v>1.9956250000000182</v>
      </c>
      <c r="CF151" s="12">
        <f t="shared" si="509"/>
        <v>11.109999999999673</v>
      </c>
      <c r="CG151" s="12">
        <f t="shared" si="517"/>
        <v>2.1077272727272676</v>
      </c>
      <c r="CH151" s="12">
        <f t="shared" si="525"/>
        <v>1.0568750000000193</v>
      </c>
      <c r="CI151" s="12">
        <f t="shared" si="533"/>
        <v>1.2090909090909256</v>
      </c>
      <c r="CJ151" s="12">
        <f t="shared" ref="CJ151:CJ170" si="541">IFERROR(AB151/BL151,0)</f>
        <v>3.1983333333333173</v>
      </c>
      <c r="CK151" s="12">
        <f t="shared" si="439"/>
        <v>4.6978571428571092</v>
      </c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>
        <f t="shared" si="441"/>
        <v>79.489491639297327</v>
      </c>
      <c r="CY151" s="12">
        <f t="shared" si="442"/>
        <v>51.174329586539592</v>
      </c>
      <c r="CZ151" s="12">
        <f t="shared" si="443"/>
        <v>77.274982448283268</v>
      </c>
      <c r="DA151" s="12">
        <f t="shared" si="444"/>
        <v>69.417432596622106</v>
      </c>
      <c r="DB151" s="12">
        <f t="shared" si="445"/>
        <v>80.617866579981765</v>
      </c>
      <c r="DC151" s="12">
        <f t="shared" si="446"/>
        <v>63.384727140743927</v>
      </c>
      <c r="DD151" s="12">
        <f t="shared" si="447"/>
        <v>84.856723872655692</v>
      </c>
      <c r="DE151" s="12">
        <f t="shared" si="448"/>
        <v>64.618247505649492</v>
      </c>
      <c r="DF151" s="12">
        <f t="shared" si="449"/>
        <v>46.583891739241778</v>
      </c>
      <c r="DG151" s="12">
        <f t="shared" si="450"/>
        <v>50.406949370471956</v>
      </c>
      <c r="DH151" s="12">
        <f t="shared" si="451"/>
        <v>72.63747551519053</v>
      </c>
      <c r="DI151" s="12">
        <f t="shared" si="452"/>
        <v>77.983201984084829</v>
      </c>
      <c r="DJ151" t="s">
        <v>23</v>
      </c>
      <c r="DK151" t="str">
        <f t="shared" si="473"/>
        <v>LH</v>
      </c>
      <c r="DL151" t="str">
        <f t="shared" si="477"/>
        <v>HH</v>
      </c>
      <c r="DM151" t="str">
        <f t="shared" si="481"/>
        <v>HH</v>
      </c>
      <c r="DN151" t="str">
        <f t="shared" si="489"/>
        <v>LH</v>
      </c>
      <c r="DO151" t="str">
        <f t="shared" si="497"/>
        <v>LH</v>
      </c>
      <c r="DP151" t="str">
        <f t="shared" si="505"/>
        <v>HH</v>
      </c>
      <c r="DQ151" t="str">
        <f t="shared" si="513"/>
        <v>LH</v>
      </c>
      <c r="DR151" t="str">
        <f t="shared" si="521"/>
        <v>LH</v>
      </c>
      <c r="DS151" t="str">
        <f t="shared" si="529"/>
        <v>LH</v>
      </c>
      <c r="DT151" t="str">
        <f t="shared" si="537"/>
        <v>LH</v>
      </c>
      <c r="DU151" t="str">
        <f t="shared" si="435"/>
        <v>HH</v>
      </c>
      <c r="DV151">
        <f t="shared" si="453"/>
        <v>-3.6455176311460946E-2</v>
      </c>
      <c r="DW151">
        <f t="shared" si="454"/>
        <v>0.24310641244395148</v>
      </c>
      <c r="DX151">
        <f t="shared" si="482"/>
        <v>-1.1542701091282515</v>
      </c>
      <c r="DY151">
        <f t="shared" si="490"/>
        <v>-1.5332745161060679</v>
      </c>
      <c r="DZ151">
        <f t="shared" si="498"/>
        <v>-0.60528535343184486</v>
      </c>
      <c r="EA151">
        <f t="shared" si="506"/>
        <v>-0.553946111052396</v>
      </c>
      <c r="EB151">
        <f t="shared" si="514"/>
        <v>-0.74075192576087012</v>
      </c>
      <c r="EC151">
        <f t="shared" si="522"/>
        <v>1.4088092100012382</v>
      </c>
      <c r="ED151">
        <f t="shared" si="530"/>
        <v>1.6557984222890016</v>
      </c>
      <c r="EE151">
        <f t="shared" si="538"/>
        <v>2.0296257628083891</v>
      </c>
      <c r="EF151">
        <f t="shared" si="436"/>
        <v>2.2576323980818938</v>
      </c>
      <c r="EG151" s="13" t="str">
        <f t="shared" si="455"/>
        <v>EQH</v>
      </c>
      <c r="EH151" s="13" t="str">
        <f t="shared" si="456"/>
        <v/>
      </c>
      <c r="EI151" s="13" t="str">
        <f t="shared" si="457"/>
        <v/>
      </c>
      <c r="EJ151" s="13" t="str">
        <f t="shared" si="458"/>
        <v/>
      </c>
      <c r="EK151" s="13" t="str">
        <f t="shared" si="459"/>
        <v/>
      </c>
      <c r="EL151" s="13" t="str">
        <f t="shared" si="460"/>
        <v/>
      </c>
      <c r="EM151" s="13" t="str">
        <f t="shared" si="461"/>
        <v/>
      </c>
      <c r="EN151" s="13" t="str">
        <f t="shared" si="462"/>
        <v/>
      </c>
      <c r="EO151" s="13" t="str">
        <f t="shared" si="463"/>
        <v/>
      </c>
      <c r="EP151" s="13" t="str">
        <f t="shared" si="464"/>
        <v/>
      </c>
      <c r="EQ151" s="13" t="str">
        <f t="shared" si="465"/>
        <v/>
      </c>
    </row>
    <row r="152" spans="1:147" ht="14.25" customHeight="1" x14ac:dyDescent="0.55000000000000004">
      <c r="A152">
        <v>1777628704</v>
      </c>
      <c r="B152" t="s">
        <v>16</v>
      </c>
      <c r="C152" t="s">
        <v>17</v>
      </c>
      <c r="D152">
        <v>4563.12</v>
      </c>
      <c r="E152" t="s">
        <v>18</v>
      </c>
      <c r="F152">
        <v>4560.4399999999996</v>
      </c>
      <c r="G152">
        <v>4614.2700000000004</v>
      </c>
      <c r="H152">
        <v>4605.5600000000004</v>
      </c>
      <c r="I152">
        <f t="shared" si="478"/>
        <v>4540.82</v>
      </c>
      <c r="J152">
        <f t="shared" si="486"/>
        <v>4518.41</v>
      </c>
      <c r="K152">
        <f t="shared" si="494"/>
        <v>4510.28</v>
      </c>
      <c r="L152">
        <f t="shared" si="502"/>
        <v>4575.84</v>
      </c>
      <c r="M152">
        <f t="shared" si="510"/>
        <v>4587.93</v>
      </c>
      <c r="N152">
        <f t="shared" si="518"/>
        <v>4555.12</v>
      </c>
      <c r="O152">
        <f t="shared" si="526"/>
        <v>4667.32</v>
      </c>
      <c r="P152">
        <f t="shared" si="534"/>
        <v>4699.29</v>
      </c>
      <c r="Q152">
        <f t="shared" ref="Q152:Q170" si="542">F130</f>
        <v>4672.3500000000004</v>
      </c>
      <c r="R152">
        <v>-75.39</v>
      </c>
      <c r="S152">
        <f t="shared" si="466"/>
        <v>-19.869999999999891</v>
      </c>
      <c r="T152">
        <f t="shared" si="467"/>
        <v>-41.539999999999964</v>
      </c>
      <c r="U152">
        <f t="shared" si="483"/>
        <v>-41.5</v>
      </c>
      <c r="V152">
        <f t="shared" si="491"/>
        <v>-46.340000000000146</v>
      </c>
      <c r="W152">
        <f t="shared" si="499"/>
        <v>-97.490000000000691</v>
      </c>
      <c r="X152">
        <f t="shared" si="507"/>
        <v>-34.309999999999491</v>
      </c>
      <c r="Y152">
        <f t="shared" si="515"/>
        <v>-13.559999999999491</v>
      </c>
      <c r="Z152">
        <f t="shared" si="523"/>
        <v>-146.02000000000044</v>
      </c>
      <c r="AA152">
        <f t="shared" si="531"/>
        <v>-45.270000000000437</v>
      </c>
      <c r="AB152">
        <f t="shared" si="539"/>
        <v>-30.630000000000109</v>
      </c>
      <c r="AC152">
        <f t="shared" si="437"/>
        <v>-68.139999999999418</v>
      </c>
      <c r="AD152">
        <v>-1.63</v>
      </c>
      <c r="AE152" s="14">
        <f t="shared" si="468"/>
        <v>-0.42877427095426313</v>
      </c>
      <c r="AF152" s="14">
        <f t="shared" si="469"/>
        <v>-0.89389081362570111</v>
      </c>
      <c r="AG152" s="14">
        <f t="shared" si="484"/>
        <v>-0.90565477749262391</v>
      </c>
      <c r="AH152" s="14">
        <f t="shared" si="492"/>
        <v>-1.0151706007996089</v>
      </c>
      <c r="AI152" s="14">
        <f t="shared" si="500"/>
        <v>-2.1157740078172451</v>
      </c>
      <c r="AJ152" s="14">
        <f t="shared" si="508"/>
        <v>-0.74422741125558811</v>
      </c>
      <c r="AK152" s="14">
        <f t="shared" si="516"/>
        <v>-0.29468715568217013</v>
      </c>
      <c r="AL152" s="14">
        <f t="shared" si="524"/>
        <v>-3.1060551270542978</v>
      </c>
      <c r="AM152" s="14">
        <f t="shared" si="532"/>
        <v>-0.96061825874944429</v>
      </c>
      <c r="AN152" s="14">
        <f t="shared" si="540"/>
        <v>-0.64757966308098458</v>
      </c>
      <c r="AO152" s="14">
        <f t="shared" si="438"/>
        <v>-1.4374041502038697</v>
      </c>
      <c r="AP152">
        <v>3</v>
      </c>
      <c r="AQ152">
        <f t="shared" si="470"/>
        <v>3</v>
      </c>
      <c r="AR152">
        <f t="shared" si="474"/>
        <v>3</v>
      </c>
      <c r="AS152">
        <f t="shared" si="479"/>
        <v>3</v>
      </c>
      <c r="AT152">
        <f t="shared" si="487"/>
        <v>3</v>
      </c>
      <c r="AU152">
        <f t="shared" si="495"/>
        <v>3</v>
      </c>
      <c r="AV152">
        <f t="shared" si="503"/>
        <v>3</v>
      </c>
      <c r="AW152">
        <f t="shared" si="511"/>
        <v>3</v>
      </c>
      <c r="AX152">
        <f t="shared" si="519"/>
        <v>5</v>
      </c>
      <c r="AY152">
        <f t="shared" si="527"/>
        <v>3</v>
      </c>
      <c r="AZ152">
        <f t="shared" si="535"/>
        <v>3</v>
      </c>
      <c r="BA152">
        <f t="shared" ref="BA152:BA170" si="543">AP130</f>
        <v>3</v>
      </c>
      <c r="BB152">
        <v>30</v>
      </c>
      <c r="BC152">
        <f t="shared" si="471"/>
        <v>7</v>
      </c>
      <c r="BD152">
        <f t="shared" si="475"/>
        <v>25</v>
      </c>
      <c r="BE152">
        <f t="shared" si="480"/>
        <v>11</v>
      </c>
      <c r="BF152">
        <f t="shared" si="488"/>
        <v>11</v>
      </c>
      <c r="BG152">
        <f t="shared" si="496"/>
        <v>35</v>
      </c>
      <c r="BH152">
        <f t="shared" si="504"/>
        <v>4</v>
      </c>
      <c r="BI152">
        <f t="shared" si="512"/>
        <v>20</v>
      </c>
      <c r="BJ152">
        <f t="shared" si="520"/>
        <v>48</v>
      </c>
      <c r="BK152">
        <f t="shared" si="528"/>
        <v>11</v>
      </c>
      <c r="BL152">
        <f t="shared" si="536"/>
        <v>20</v>
      </c>
      <c r="BM152">
        <f t="shared" ref="BM152:BM170" si="544">BB130</f>
        <v>36</v>
      </c>
      <c r="BZ152" s="12">
        <f t="shared" si="440"/>
        <v>-2.5129999999999999</v>
      </c>
      <c r="CA152" s="12">
        <f t="shared" si="472"/>
        <v>-2.838571428571413</v>
      </c>
      <c r="CB152" s="12">
        <f t="shared" si="476"/>
        <v>-1.6615999999999986</v>
      </c>
      <c r="CC152" s="12">
        <f t="shared" si="485"/>
        <v>-3.7727272727272729</v>
      </c>
      <c r="CD152" s="12">
        <f t="shared" si="493"/>
        <v>-4.2127272727272862</v>
      </c>
      <c r="CE152" s="12">
        <f t="shared" si="501"/>
        <v>-2.7854285714285911</v>
      </c>
      <c r="CF152" s="12">
        <f t="shared" si="509"/>
        <v>-8.5774999999998727</v>
      </c>
      <c r="CG152" s="12">
        <f t="shared" si="517"/>
        <v>-0.67799999999997451</v>
      </c>
      <c r="CH152" s="12">
        <f t="shared" si="525"/>
        <v>-3.0420833333333426</v>
      </c>
      <c r="CI152" s="12">
        <f t="shared" si="533"/>
        <v>-4.1154545454545852</v>
      </c>
      <c r="CJ152" s="12">
        <f t="shared" si="541"/>
        <v>-1.5315000000000054</v>
      </c>
      <c r="CK152" s="12">
        <f t="shared" si="439"/>
        <v>-1.8927777777777617</v>
      </c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>
        <f t="shared" si="441"/>
        <v>-68.300869173792435</v>
      </c>
      <c r="CY152" s="12">
        <f t="shared" si="442"/>
        <v>-70.593154750493497</v>
      </c>
      <c r="CZ152" s="12">
        <f t="shared" si="443"/>
        <v>-58.959227609765762</v>
      </c>
      <c r="DA152" s="12">
        <f t="shared" si="444"/>
        <v>-75.154547917916176</v>
      </c>
      <c r="DB152" s="12">
        <f t="shared" si="445"/>
        <v>-76.646511563522878</v>
      </c>
      <c r="DC152" s="12">
        <f t="shared" si="446"/>
        <v>-70.251294521425621</v>
      </c>
      <c r="DD152" s="12">
        <f t="shared" si="447"/>
        <v>-83.350242970141906</v>
      </c>
      <c r="DE152" s="12">
        <f t="shared" si="448"/>
        <v>-34.137270681243898</v>
      </c>
      <c r="DF152" s="12">
        <f t="shared" si="449"/>
        <v>-71.803163361405623</v>
      </c>
      <c r="DG152" s="12">
        <f t="shared" si="450"/>
        <v>-76.34258087433652</v>
      </c>
      <c r="DH152" s="12">
        <f t="shared" si="451"/>
        <v>-56.857286223499479</v>
      </c>
      <c r="DI152" s="12">
        <f t="shared" si="452"/>
        <v>-62.151429480932208</v>
      </c>
      <c r="DJ152" t="s">
        <v>19</v>
      </c>
      <c r="DK152" t="str">
        <f t="shared" si="473"/>
        <v>HL</v>
      </c>
      <c r="DL152" t="str">
        <f t="shared" si="477"/>
        <v>HL</v>
      </c>
      <c r="DM152" t="str">
        <f t="shared" si="481"/>
        <v>HL</v>
      </c>
      <c r="DN152" t="str">
        <f t="shared" si="489"/>
        <v>HL</v>
      </c>
      <c r="DO152" t="str">
        <f t="shared" si="497"/>
        <v>LL</v>
      </c>
      <c r="DP152" t="str">
        <f t="shared" si="505"/>
        <v>LL</v>
      </c>
      <c r="DQ152" t="str">
        <f t="shared" si="513"/>
        <v>HL</v>
      </c>
      <c r="DR152" t="str">
        <f t="shared" si="521"/>
        <v>LL</v>
      </c>
      <c r="DS152" t="str">
        <f t="shared" si="529"/>
        <v>LL</v>
      </c>
      <c r="DT152" t="str">
        <f t="shared" si="537"/>
        <v>HL</v>
      </c>
      <c r="DU152" t="str">
        <f t="shared" ref="DU152:DU170" si="545">DJ130</f>
        <v>LL</v>
      </c>
      <c r="DV152">
        <f t="shared" si="453"/>
        <v>1.1803685609283501</v>
      </c>
      <c r="DW152">
        <f t="shared" si="454"/>
        <v>0.98937821789127378</v>
      </c>
      <c r="DX152">
        <f t="shared" si="482"/>
        <v>-0.43022164527983908</v>
      </c>
      <c r="DY152">
        <f t="shared" si="490"/>
        <v>-0.92162159791598497</v>
      </c>
      <c r="DZ152">
        <f t="shared" si="498"/>
        <v>-1.0998938698897442</v>
      </c>
      <c r="EA152">
        <f t="shared" si="506"/>
        <v>0.33768671443984677</v>
      </c>
      <c r="EB152">
        <f t="shared" si="514"/>
        <v>0.60279271298385007</v>
      </c>
      <c r="EC152">
        <f t="shared" si="522"/>
        <v>-0.11665541044284564</v>
      </c>
      <c r="ED152">
        <f t="shared" si="530"/>
        <v>2.3436335090473754</v>
      </c>
      <c r="EE152">
        <f t="shared" si="538"/>
        <v>3.0446623571409859</v>
      </c>
      <c r="EF152">
        <f t="shared" ref="EF152:EF170" si="546">IFERROR(((Q152-$F152)/$F152)*100,0)</f>
        <v>2.4539298839585824</v>
      </c>
      <c r="EG152" s="13" t="str">
        <f t="shared" si="455"/>
        <v/>
      </c>
      <c r="EH152" s="13" t="str">
        <f t="shared" si="456"/>
        <v/>
      </c>
      <c r="EI152" s="13" t="str">
        <f t="shared" si="457"/>
        <v/>
      </c>
      <c r="EJ152" s="13" t="str">
        <f t="shared" si="458"/>
        <v/>
      </c>
      <c r="EK152" s="13" t="str">
        <f t="shared" si="459"/>
        <v/>
      </c>
      <c r="EL152" s="13" t="str">
        <f t="shared" si="460"/>
        <v/>
      </c>
      <c r="EM152" s="13" t="str">
        <f t="shared" si="461"/>
        <v/>
      </c>
      <c r="EN152" s="13" t="str">
        <f t="shared" si="462"/>
        <v/>
      </c>
      <c r="EO152" s="13" t="str">
        <f t="shared" si="463"/>
        <v/>
      </c>
      <c r="EP152" s="13" t="str">
        <f t="shared" si="464"/>
        <v/>
      </c>
      <c r="EQ152" s="13" t="str">
        <f t="shared" si="465"/>
        <v/>
      </c>
    </row>
    <row r="153" spans="1:147" ht="14.25" customHeight="1" x14ac:dyDescent="0.55000000000000004">
      <c r="A153">
        <v>1777644904</v>
      </c>
      <c r="B153" t="s">
        <v>16</v>
      </c>
      <c r="C153" t="s">
        <v>17</v>
      </c>
      <c r="D153">
        <v>4644.67</v>
      </c>
      <c r="E153" t="s">
        <v>20</v>
      </c>
      <c r="F153">
        <v>4660.32</v>
      </c>
      <c r="G153">
        <v>4635.83</v>
      </c>
      <c r="H153">
        <v>4634.1400000000003</v>
      </c>
      <c r="I153">
        <f t="shared" si="478"/>
        <v>4647.1000000000004</v>
      </c>
      <c r="J153">
        <f t="shared" si="486"/>
        <v>4582.32</v>
      </c>
      <c r="K153">
        <f t="shared" si="494"/>
        <v>4564.75</v>
      </c>
      <c r="L153">
        <f t="shared" si="502"/>
        <v>4607.7700000000004</v>
      </c>
      <c r="M153">
        <f t="shared" si="510"/>
        <v>4610.1499999999996</v>
      </c>
      <c r="N153">
        <f t="shared" si="518"/>
        <v>4601.49</v>
      </c>
      <c r="O153">
        <f t="shared" si="526"/>
        <v>4701.1400000000003</v>
      </c>
      <c r="P153">
        <f t="shared" si="534"/>
        <v>4712.59</v>
      </c>
      <c r="Q153">
        <f t="shared" si="542"/>
        <v>4729.92</v>
      </c>
      <c r="R153">
        <v>99.88</v>
      </c>
      <c r="S153">
        <f t="shared" si="466"/>
        <v>21.559999999999491</v>
      </c>
      <c r="T153">
        <f t="shared" si="467"/>
        <v>28.579999999999927</v>
      </c>
      <c r="U153">
        <f t="shared" si="483"/>
        <v>106.28000000000065</v>
      </c>
      <c r="V153">
        <f t="shared" si="491"/>
        <v>63.909999999999854</v>
      </c>
      <c r="W153">
        <f t="shared" si="499"/>
        <v>54.470000000000255</v>
      </c>
      <c r="X153">
        <f t="shared" si="507"/>
        <v>31.930000000000291</v>
      </c>
      <c r="Y153">
        <f t="shared" si="515"/>
        <v>22.219999999999345</v>
      </c>
      <c r="Z153">
        <f t="shared" si="523"/>
        <v>46.369999999999891</v>
      </c>
      <c r="AA153">
        <f t="shared" si="531"/>
        <v>33.820000000000618</v>
      </c>
      <c r="AB153">
        <f t="shared" si="539"/>
        <v>13.300000000000182</v>
      </c>
      <c r="AC153">
        <f t="shared" ref="AC153:AC170" si="547">Q153-Q152</f>
        <v>57.569999999999709</v>
      </c>
      <c r="AD153">
        <v>2.19</v>
      </c>
      <c r="AE153" s="14">
        <f t="shared" si="468"/>
        <v>0.4672461732841704</v>
      </c>
      <c r="AF153" s="14">
        <f t="shared" si="469"/>
        <v>0.62055428655798484</v>
      </c>
      <c r="AG153" s="14">
        <f t="shared" si="484"/>
        <v>2.3405464211309996</v>
      </c>
      <c r="AH153" s="14">
        <f t="shared" si="492"/>
        <v>1.4144356089863439</v>
      </c>
      <c r="AI153" s="14">
        <f t="shared" si="500"/>
        <v>1.2076855538902298</v>
      </c>
      <c r="AJ153" s="14">
        <f t="shared" si="508"/>
        <v>0.69779537746075671</v>
      </c>
      <c r="AK153" s="14">
        <f t="shared" si="516"/>
        <v>0.48431427680891692</v>
      </c>
      <c r="AL153" s="14">
        <f t="shared" si="524"/>
        <v>1.0179753771580087</v>
      </c>
      <c r="AM153" s="14">
        <f t="shared" si="532"/>
        <v>0.72461283991671066</v>
      </c>
      <c r="AN153" s="14">
        <f t="shared" si="540"/>
        <v>0.2830214777125945</v>
      </c>
      <c r="AO153" s="14">
        <f t="shared" ref="AO153:AO170" si="548">(AC153/Q152)*100</f>
        <v>1.2321422838614338</v>
      </c>
      <c r="AP153">
        <v>0</v>
      </c>
      <c r="AQ153">
        <f t="shared" si="470"/>
        <v>0</v>
      </c>
      <c r="AR153">
        <f t="shared" si="474"/>
        <v>0</v>
      </c>
      <c r="AS153">
        <f t="shared" si="479"/>
        <v>0</v>
      </c>
      <c r="AT153">
        <f t="shared" si="487"/>
        <v>0</v>
      </c>
      <c r="AU153">
        <f t="shared" si="495"/>
        <v>0</v>
      </c>
      <c r="AV153">
        <f t="shared" si="503"/>
        <v>0</v>
      </c>
      <c r="AW153">
        <f t="shared" si="511"/>
        <v>0</v>
      </c>
      <c r="AX153">
        <f t="shared" si="519"/>
        <v>0</v>
      </c>
      <c r="AY153">
        <f t="shared" si="527"/>
        <v>0</v>
      </c>
      <c r="AZ153">
        <f t="shared" si="535"/>
        <v>0</v>
      </c>
      <c r="BA153">
        <f t="shared" si="543"/>
        <v>0</v>
      </c>
      <c r="BB153">
        <v>18</v>
      </c>
      <c r="BC153">
        <f t="shared" si="471"/>
        <v>4</v>
      </c>
      <c r="BD153">
        <f t="shared" si="475"/>
        <v>23</v>
      </c>
      <c r="BE153">
        <f t="shared" si="480"/>
        <v>24</v>
      </c>
      <c r="BF153">
        <f t="shared" si="488"/>
        <v>24</v>
      </c>
      <c r="BG153">
        <f t="shared" si="496"/>
        <v>9</v>
      </c>
      <c r="BH153">
        <f t="shared" si="504"/>
        <v>16</v>
      </c>
      <c r="BI153">
        <f t="shared" si="512"/>
        <v>2</v>
      </c>
      <c r="BJ153">
        <f t="shared" si="520"/>
        <v>22</v>
      </c>
      <c r="BK153">
        <f t="shared" si="528"/>
        <v>32</v>
      </c>
      <c r="BL153">
        <f t="shared" si="536"/>
        <v>11</v>
      </c>
      <c r="BM153">
        <f t="shared" si="544"/>
        <v>18</v>
      </c>
      <c r="BZ153" s="12">
        <f t="shared" si="440"/>
        <v>5.5488888888888885</v>
      </c>
      <c r="CA153" s="12">
        <f t="shared" si="472"/>
        <v>5.3899999999998727</v>
      </c>
      <c r="CB153" s="12">
        <f t="shared" si="476"/>
        <v>1.2426086956521707</v>
      </c>
      <c r="CC153" s="12">
        <f t="shared" si="485"/>
        <v>4.4283333333333603</v>
      </c>
      <c r="CD153" s="12">
        <f t="shared" si="493"/>
        <v>2.6629166666666606</v>
      </c>
      <c r="CE153" s="12">
        <f t="shared" si="501"/>
        <v>6.0522222222222508</v>
      </c>
      <c r="CF153" s="12">
        <f t="shared" si="509"/>
        <v>1.9956250000000182</v>
      </c>
      <c r="CG153" s="12">
        <f t="shared" si="517"/>
        <v>11.109999999999673</v>
      </c>
      <c r="CH153" s="12">
        <f t="shared" si="525"/>
        <v>2.1077272727272676</v>
      </c>
      <c r="CI153" s="12">
        <f t="shared" si="533"/>
        <v>1.0568750000000193</v>
      </c>
      <c r="CJ153" s="12">
        <f t="shared" si="541"/>
        <v>1.2090909090909256</v>
      </c>
      <c r="CK153" s="12">
        <f t="shared" ref="CK153:CK170" si="549">IFERROR(AC153/BM153,0)</f>
        <v>3.1983333333333173</v>
      </c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>
        <f t="shared" si="441"/>
        <v>79.784024835101306</v>
      </c>
      <c r="CY153" s="12">
        <f t="shared" si="442"/>
        <v>79.489491639297086</v>
      </c>
      <c r="CZ153" s="12">
        <f t="shared" si="443"/>
        <v>51.174329586539592</v>
      </c>
      <c r="DA153" s="12">
        <f t="shared" si="444"/>
        <v>77.274982448283268</v>
      </c>
      <c r="DB153" s="12">
        <f t="shared" si="445"/>
        <v>69.417432596622106</v>
      </c>
      <c r="DC153" s="12">
        <f t="shared" si="446"/>
        <v>80.617866579981765</v>
      </c>
      <c r="DD153" s="12">
        <f t="shared" si="447"/>
        <v>63.384727140743927</v>
      </c>
      <c r="DE153" s="12">
        <f t="shared" si="448"/>
        <v>84.856723872655692</v>
      </c>
      <c r="DF153" s="12">
        <f t="shared" si="449"/>
        <v>64.618247505649492</v>
      </c>
      <c r="DG153" s="12">
        <f t="shared" si="450"/>
        <v>46.583891739241778</v>
      </c>
      <c r="DH153" s="12">
        <f t="shared" si="451"/>
        <v>50.406949370471956</v>
      </c>
      <c r="DI153" s="12">
        <f t="shared" si="452"/>
        <v>72.63747551519053</v>
      </c>
      <c r="DJ153" t="s">
        <v>23</v>
      </c>
      <c r="DK153" t="str">
        <f t="shared" si="473"/>
        <v>HH</v>
      </c>
      <c r="DL153" t="str">
        <f t="shared" si="477"/>
        <v>LH</v>
      </c>
      <c r="DM153" t="str">
        <f t="shared" si="481"/>
        <v>HH</v>
      </c>
      <c r="DN153" t="str">
        <f t="shared" si="489"/>
        <v>HH</v>
      </c>
      <c r="DO153" t="str">
        <f t="shared" si="497"/>
        <v>LH</v>
      </c>
      <c r="DP153" t="str">
        <f t="shared" si="505"/>
        <v>LH</v>
      </c>
      <c r="DQ153" t="str">
        <f t="shared" si="513"/>
        <v>HH</v>
      </c>
      <c r="DR153" t="str">
        <f t="shared" si="521"/>
        <v>LH</v>
      </c>
      <c r="DS153" t="str">
        <f t="shared" si="529"/>
        <v>LH</v>
      </c>
      <c r="DT153" t="str">
        <f t="shared" si="537"/>
        <v>LH</v>
      </c>
      <c r="DU153" t="str">
        <f t="shared" si="545"/>
        <v>LH</v>
      </c>
      <c r="DV153">
        <f t="shared" si="453"/>
        <v>-0.52550039482266853</v>
      </c>
      <c r="DW153">
        <f t="shared" si="454"/>
        <v>-0.56176399903867935</v>
      </c>
      <c r="DX153">
        <f t="shared" si="482"/>
        <v>-0.28367150753594916</v>
      </c>
      <c r="DY153">
        <f t="shared" si="490"/>
        <v>-1.673704809970131</v>
      </c>
      <c r="DZ153">
        <f t="shared" si="498"/>
        <v>-2.0507175472928836</v>
      </c>
      <c r="EA153">
        <f t="shared" si="506"/>
        <v>-1.1276049713324252</v>
      </c>
      <c r="EB153">
        <f t="shared" si="514"/>
        <v>-1.0765355168743793</v>
      </c>
      <c r="EC153">
        <f t="shared" si="522"/>
        <v>-1.2623596662890086</v>
      </c>
      <c r="ED153">
        <f t="shared" si="530"/>
        <v>0.87590551721771515</v>
      </c>
      <c r="EE153">
        <f t="shared" si="538"/>
        <v>1.121596800219737</v>
      </c>
      <c r="EF153">
        <f t="shared" si="546"/>
        <v>1.49345967658874</v>
      </c>
      <c r="EG153" s="13" t="str">
        <f t="shared" si="455"/>
        <v/>
      </c>
      <c r="EH153" s="13" t="str">
        <f t="shared" si="456"/>
        <v/>
      </c>
      <c r="EI153" s="13" t="str">
        <f t="shared" si="457"/>
        <v/>
      </c>
      <c r="EJ153" s="13" t="str">
        <f t="shared" si="458"/>
        <v/>
      </c>
      <c r="EK153" s="13" t="str">
        <f t="shared" si="459"/>
        <v/>
      </c>
      <c r="EL153" s="13" t="str">
        <f t="shared" si="460"/>
        <v/>
      </c>
      <c r="EM153" s="13" t="str">
        <f t="shared" si="461"/>
        <v/>
      </c>
      <c r="EN153" s="13" t="str">
        <f t="shared" si="462"/>
        <v/>
      </c>
      <c r="EO153" s="13" t="str">
        <f t="shared" si="463"/>
        <v/>
      </c>
      <c r="EP153" s="13" t="str">
        <f t="shared" si="464"/>
        <v/>
      </c>
      <c r="EQ153" s="13" t="str">
        <f t="shared" si="465"/>
        <v/>
      </c>
    </row>
    <row r="154" spans="1:147" ht="14.25" customHeight="1" x14ac:dyDescent="0.55000000000000004">
      <c r="A154">
        <v>1777665604</v>
      </c>
      <c r="B154" t="s">
        <v>16</v>
      </c>
      <c r="C154" t="s">
        <v>17</v>
      </c>
      <c r="D154">
        <v>4611.41</v>
      </c>
      <c r="E154" t="s">
        <v>18</v>
      </c>
      <c r="F154">
        <v>4607.09</v>
      </c>
      <c r="G154">
        <v>4560.4399999999996</v>
      </c>
      <c r="H154">
        <v>4614.2700000000004</v>
      </c>
      <c r="I154">
        <f t="shared" si="478"/>
        <v>4605.5600000000004</v>
      </c>
      <c r="J154">
        <f t="shared" si="486"/>
        <v>4540.82</v>
      </c>
      <c r="K154">
        <f t="shared" si="494"/>
        <v>4518.41</v>
      </c>
      <c r="L154">
        <f t="shared" si="502"/>
        <v>4510.28</v>
      </c>
      <c r="M154">
        <f t="shared" si="510"/>
        <v>4575.84</v>
      </c>
      <c r="N154">
        <f t="shared" si="518"/>
        <v>4587.93</v>
      </c>
      <c r="O154">
        <f t="shared" si="526"/>
        <v>4555.12</v>
      </c>
      <c r="P154">
        <f t="shared" si="534"/>
        <v>4667.32</v>
      </c>
      <c r="Q154">
        <f t="shared" si="542"/>
        <v>4699.29</v>
      </c>
      <c r="R154">
        <v>-53.23</v>
      </c>
      <c r="S154">
        <f t="shared" si="466"/>
        <v>-75.390000000000327</v>
      </c>
      <c r="T154">
        <f t="shared" si="467"/>
        <v>-19.869999999999891</v>
      </c>
      <c r="U154">
        <f t="shared" si="483"/>
        <v>-41.539999999999964</v>
      </c>
      <c r="V154">
        <f t="shared" si="491"/>
        <v>-41.5</v>
      </c>
      <c r="W154">
        <f t="shared" si="499"/>
        <v>-46.340000000000146</v>
      </c>
      <c r="X154">
        <f t="shared" si="507"/>
        <v>-97.490000000000691</v>
      </c>
      <c r="Y154">
        <f t="shared" si="515"/>
        <v>-34.309999999999491</v>
      </c>
      <c r="Z154">
        <f t="shared" si="523"/>
        <v>-13.559999999999491</v>
      </c>
      <c r="AA154">
        <f t="shared" si="531"/>
        <v>-146.02000000000044</v>
      </c>
      <c r="AB154">
        <f t="shared" si="539"/>
        <v>-45.270000000000437</v>
      </c>
      <c r="AC154">
        <f t="shared" si="547"/>
        <v>-30.630000000000109</v>
      </c>
      <c r="AD154">
        <v>-1.1399999999999999</v>
      </c>
      <c r="AE154" s="14">
        <f t="shared" si="468"/>
        <v>-1.6262460012554456</v>
      </c>
      <c r="AF154" s="14">
        <f t="shared" si="469"/>
        <v>-0.42877427095426313</v>
      </c>
      <c r="AG154" s="14">
        <f t="shared" si="484"/>
        <v>-0.89389081362570111</v>
      </c>
      <c r="AH154" s="14">
        <f t="shared" si="492"/>
        <v>-0.90565477749262391</v>
      </c>
      <c r="AI154" s="14">
        <f t="shared" si="500"/>
        <v>-1.0151706007996089</v>
      </c>
      <c r="AJ154" s="14">
        <f t="shared" si="508"/>
        <v>-2.1157740078172451</v>
      </c>
      <c r="AK154" s="14">
        <f t="shared" si="516"/>
        <v>-0.74422741125558811</v>
      </c>
      <c r="AL154" s="14">
        <f t="shared" si="524"/>
        <v>-0.29468715568217013</v>
      </c>
      <c r="AM154" s="14">
        <f t="shared" si="532"/>
        <v>-3.1060551270542978</v>
      </c>
      <c r="AN154" s="14">
        <f t="shared" si="540"/>
        <v>-0.96061825874944429</v>
      </c>
      <c r="AO154" s="14">
        <f t="shared" si="548"/>
        <v>-0.64757966308098458</v>
      </c>
      <c r="AP154">
        <v>3</v>
      </c>
      <c r="AQ154">
        <f t="shared" si="470"/>
        <v>3</v>
      </c>
      <c r="AR154">
        <f t="shared" si="474"/>
        <v>3</v>
      </c>
      <c r="AS154">
        <f t="shared" si="479"/>
        <v>3</v>
      </c>
      <c r="AT154">
        <f t="shared" si="487"/>
        <v>3</v>
      </c>
      <c r="AU154">
        <f t="shared" si="495"/>
        <v>3</v>
      </c>
      <c r="AV154">
        <f t="shared" si="503"/>
        <v>3</v>
      </c>
      <c r="AW154">
        <f t="shared" si="511"/>
        <v>3</v>
      </c>
      <c r="AX154">
        <f t="shared" si="519"/>
        <v>3</v>
      </c>
      <c r="AY154">
        <f t="shared" si="527"/>
        <v>5</v>
      </c>
      <c r="AZ154">
        <f t="shared" si="535"/>
        <v>3</v>
      </c>
      <c r="BA154">
        <f t="shared" si="543"/>
        <v>3</v>
      </c>
      <c r="BB154">
        <v>23</v>
      </c>
      <c r="BC154">
        <f t="shared" si="471"/>
        <v>30</v>
      </c>
      <c r="BD154">
        <f t="shared" si="475"/>
        <v>7</v>
      </c>
      <c r="BE154">
        <f t="shared" si="480"/>
        <v>25</v>
      </c>
      <c r="BF154">
        <f t="shared" si="488"/>
        <v>11</v>
      </c>
      <c r="BG154">
        <f t="shared" si="496"/>
        <v>11</v>
      </c>
      <c r="BH154">
        <f t="shared" si="504"/>
        <v>35</v>
      </c>
      <c r="BI154">
        <f t="shared" si="512"/>
        <v>4</v>
      </c>
      <c r="BJ154">
        <f t="shared" si="520"/>
        <v>20</v>
      </c>
      <c r="BK154">
        <f t="shared" si="528"/>
        <v>48</v>
      </c>
      <c r="BL154">
        <f t="shared" si="536"/>
        <v>11</v>
      </c>
      <c r="BM154">
        <f t="shared" si="544"/>
        <v>20</v>
      </c>
      <c r="BZ154" s="12">
        <f t="shared" si="440"/>
        <v>-2.3143478260869563</v>
      </c>
      <c r="CA154" s="12">
        <f t="shared" si="472"/>
        <v>-2.513000000000011</v>
      </c>
      <c r="CB154" s="12">
        <f t="shared" si="476"/>
        <v>-2.838571428571413</v>
      </c>
      <c r="CC154" s="12">
        <f t="shared" si="485"/>
        <v>-1.6615999999999986</v>
      </c>
      <c r="CD154" s="12">
        <f t="shared" si="493"/>
        <v>-3.7727272727272729</v>
      </c>
      <c r="CE154" s="12">
        <f t="shared" si="501"/>
        <v>-4.2127272727272862</v>
      </c>
      <c r="CF154" s="12">
        <f t="shared" si="509"/>
        <v>-2.7854285714285911</v>
      </c>
      <c r="CG154" s="12">
        <f t="shared" si="517"/>
        <v>-8.5774999999998727</v>
      </c>
      <c r="CH154" s="12">
        <f t="shared" si="525"/>
        <v>-0.67799999999997451</v>
      </c>
      <c r="CI154" s="12">
        <f t="shared" si="533"/>
        <v>-3.0420833333333426</v>
      </c>
      <c r="CJ154" s="12">
        <f t="shared" si="541"/>
        <v>-4.1154545454545852</v>
      </c>
      <c r="CK154" s="12">
        <f t="shared" si="549"/>
        <v>-1.5315000000000054</v>
      </c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>
        <f t="shared" si="441"/>
        <v>-66.631446734141079</v>
      </c>
      <c r="CY154" s="12">
        <f t="shared" si="442"/>
        <v>-68.30086917379252</v>
      </c>
      <c r="CZ154" s="12">
        <f t="shared" si="443"/>
        <v>-70.593154750493497</v>
      </c>
      <c r="DA154" s="12">
        <f t="shared" si="444"/>
        <v>-58.959227609765762</v>
      </c>
      <c r="DB154" s="12">
        <f t="shared" si="445"/>
        <v>-75.154547917916176</v>
      </c>
      <c r="DC154" s="12">
        <f t="shared" si="446"/>
        <v>-76.646511563522878</v>
      </c>
      <c r="DD154" s="12">
        <f t="shared" si="447"/>
        <v>-70.251294521425621</v>
      </c>
      <c r="DE154" s="12">
        <f t="shared" si="448"/>
        <v>-83.350242970141906</v>
      </c>
      <c r="DF154" s="12">
        <f t="shared" si="449"/>
        <v>-34.137270681243898</v>
      </c>
      <c r="DG154" s="12">
        <f t="shared" si="450"/>
        <v>-71.803163361405623</v>
      </c>
      <c r="DH154" s="12">
        <f t="shared" si="451"/>
        <v>-76.34258087433652</v>
      </c>
      <c r="DI154" s="12">
        <f t="shared" si="452"/>
        <v>-56.857286223499479</v>
      </c>
      <c r="DJ154" t="s">
        <v>22</v>
      </c>
      <c r="DK154" t="str">
        <f t="shared" si="473"/>
        <v>LL</v>
      </c>
      <c r="DL154" t="str">
        <f t="shared" si="477"/>
        <v>HL</v>
      </c>
      <c r="DM154" t="str">
        <f t="shared" si="481"/>
        <v>HL</v>
      </c>
      <c r="DN154" t="str">
        <f t="shared" si="489"/>
        <v>HL</v>
      </c>
      <c r="DO154" t="str">
        <f t="shared" si="497"/>
        <v>HL</v>
      </c>
      <c r="DP154" t="str">
        <f t="shared" si="505"/>
        <v>LL</v>
      </c>
      <c r="DQ154" t="str">
        <f t="shared" si="513"/>
        <v>LL</v>
      </c>
      <c r="DR154" t="str">
        <f t="shared" si="521"/>
        <v>HL</v>
      </c>
      <c r="DS154" t="str">
        <f t="shared" si="529"/>
        <v>LL</v>
      </c>
      <c r="DT154" t="str">
        <f t="shared" si="537"/>
        <v>LL</v>
      </c>
      <c r="DU154" t="str">
        <f t="shared" si="545"/>
        <v>HL</v>
      </c>
      <c r="DV154">
        <f t="shared" si="453"/>
        <v>-1.0125697566142737</v>
      </c>
      <c r="DW154">
        <f t="shared" si="454"/>
        <v>0.15584674924953257</v>
      </c>
      <c r="DX154">
        <f t="shared" si="482"/>
        <v>-3.3209683335896308E-2</v>
      </c>
      <c r="DY154">
        <f t="shared" si="490"/>
        <v>-1.4384351076276007</v>
      </c>
      <c r="DZ154">
        <f t="shared" si="498"/>
        <v>-1.9248592929593362</v>
      </c>
      <c r="EA154">
        <f t="shared" si="506"/>
        <v>-2.1013264338226603</v>
      </c>
      <c r="EB154">
        <f t="shared" si="514"/>
        <v>-0.6783023557169493</v>
      </c>
      <c r="EC154">
        <f t="shared" si="522"/>
        <v>-0.41588074033717282</v>
      </c>
      <c r="ED154">
        <f t="shared" si="530"/>
        <v>-1.1280439496515209</v>
      </c>
      <c r="EE154">
        <f t="shared" si="538"/>
        <v>1.30733282831461</v>
      </c>
      <c r="EF154">
        <f t="shared" si="546"/>
        <v>2.001263270307283</v>
      </c>
      <c r="EG154" s="13" t="str">
        <f t="shared" si="455"/>
        <v/>
      </c>
      <c r="EH154" s="13" t="str">
        <f t="shared" si="456"/>
        <v>EQL</v>
      </c>
      <c r="EI154" s="13" t="str">
        <f t="shared" si="457"/>
        <v/>
      </c>
      <c r="EJ154" s="13" t="str">
        <f t="shared" si="458"/>
        <v/>
      </c>
      <c r="EK154" s="13" t="str">
        <f t="shared" si="459"/>
        <v/>
      </c>
      <c r="EL154" s="13" t="str">
        <f t="shared" si="460"/>
        <v/>
      </c>
      <c r="EM154" s="13" t="str">
        <f t="shared" si="461"/>
        <v/>
      </c>
      <c r="EN154" s="13" t="str">
        <f t="shared" si="462"/>
        <v/>
      </c>
      <c r="EO154" s="13" t="str">
        <f t="shared" si="463"/>
        <v/>
      </c>
      <c r="EP154" s="13" t="str">
        <f t="shared" si="464"/>
        <v/>
      </c>
      <c r="EQ154" s="13" t="str">
        <f t="shared" si="465"/>
        <v/>
      </c>
    </row>
    <row r="155" spans="1:147" ht="14.25" customHeight="1" x14ac:dyDescent="0.55000000000000004">
      <c r="A155">
        <v>1777845604</v>
      </c>
      <c r="B155" t="s">
        <v>16</v>
      </c>
      <c r="C155" t="s">
        <v>17</v>
      </c>
      <c r="D155">
        <v>4623.1099999999997</v>
      </c>
      <c r="E155" t="s">
        <v>20</v>
      </c>
      <c r="F155">
        <v>4632.1099999999997</v>
      </c>
      <c r="G155">
        <v>4660.32</v>
      </c>
      <c r="H155">
        <v>4635.83</v>
      </c>
      <c r="I155">
        <f t="shared" si="478"/>
        <v>4634.1400000000003</v>
      </c>
      <c r="J155">
        <f t="shared" si="486"/>
        <v>4647.1000000000004</v>
      </c>
      <c r="K155">
        <f t="shared" si="494"/>
        <v>4582.32</v>
      </c>
      <c r="L155">
        <f t="shared" si="502"/>
        <v>4564.75</v>
      </c>
      <c r="M155">
        <f t="shared" si="510"/>
        <v>4607.7700000000004</v>
      </c>
      <c r="N155">
        <f t="shared" si="518"/>
        <v>4610.1499999999996</v>
      </c>
      <c r="O155">
        <f t="shared" si="526"/>
        <v>4601.49</v>
      </c>
      <c r="P155">
        <f t="shared" si="534"/>
        <v>4701.1400000000003</v>
      </c>
      <c r="Q155">
        <f t="shared" si="542"/>
        <v>4712.59</v>
      </c>
      <c r="R155">
        <v>25.02</v>
      </c>
      <c r="S155">
        <f t="shared" si="466"/>
        <v>99.880000000000109</v>
      </c>
      <c r="T155">
        <f t="shared" si="467"/>
        <v>21.559999999999491</v>
      </c>
      <c r="U155">
        <f t="shared" si="483"/>
        <v>28.579999999999927</v>
      </c>
      <c r="V155">
        <f t="shared" si="491"/>
        <v>106.28000000000065</v>
      </c>
      <c r="W155">
        <f t="shared" si="499"/>
        <v>63.909999999999854</v>
      </c>
      <c r="X155">
        <f t="shared" si="507"/>
        <v>54.470000000000255</v>
      </c>
      <c r="Y155">
        <f t="shared" si="515"/>
        <v>31.930000000000291</v>
      </c>
      <c r="Z155">
        <f t="shared" si="523"/>
        <v>22.219999999999345</v>
      </c>
      <c r="AA155">
        <f t="shared" si="531"/>
        <v>46.369999999999891</v>
      </c>
      <c r="AB155">
        <f t="shared" si="539"/>
        <v>33.820000000000618</v>
      </c>
      <c r="AC155">
        <f t="shared" si="547"/>
        <v>13.300000000000182</v>
      </c>
      <c r="AD155">
        <v>0.54</v>
      </c>
      <c r="AE155" s="14">
        <f t="shared" si="468"/>
        <v>2.1901395479383594</v>
      </c>
      <c r="AF155" s="14">
        <f t="shared" si="469"/>
        <v>0.4672461732841704</v>
      </c>
      <c r="AG155" s="14">
        <f t="shared" si="484"/>
        <v>0.62055428655798484</v>
      </c>
      <c r="AH155" s="14">
        <f t="shared" si="492"/>
        <v>2.3405464211309996</v>
      </c>
      <c r="AI155" s="14">
        <f t="shared" si="500"/>
        <v>1.4144356089863439</v>
      </c>
      <c r="AJ155" s="14">
        <f t="shared" si="508"/>
        <v>1.2076855538902298</v>
      </c>
      <c r="AK155" s="14">
        <f t="shared" si="516"/>
        <v>0.69779537746075671</v>
      </c>
      <c r="AL155" s="14">
        <f t="shared" si="524"/>
        <v>0.48431427680891692</v>
      </c>
      <c r="AM155" s="14">
        <f t="shared" si="532"/>
        <v>1.0179753771580087</v>
      </c>
      <c r="AN155" s="14">
        <f t="shared" si="540"/>
        <v>0.72461283991671066</v>
      </c>
      <c r="AO155" s="14">
        <f t="shared" si="548"/>
        <v>0.2830214777125945</v>
      </c>
      <c r="AP155">
        <v>0</v>
      </c>
      <c r="AQ155">
        <f t="shared" si="470"/>
        <v>0</v>
      </c>
      <c r="AR155">
        <f t="shared" si="474"/>
        <v>0</v>
      </c>
      <c r="AS155">
        <f t="shared" si="479"/>
        <v>0</v>
      </c>
      <c r="AT155">
        <f t="shared" si="487"/>
        <v>0</v>
      </c>
      <c r="AU155">
        <f t="shared" si="495"/>
        <v>0</v>
      </c>
      <c r="AV155">
        <f t="shared" si="503"/>
        <v>0</v>
      </c>
      <c r="AW155">
        <f t="shared" si="511"/>
        <v>0</v>
      </c>
      <c r="AX155">
        <f t="shared" si="519"/>
        <v>0</v>
      </c>
      <c r="AY155">
        <f t="shared" si="527"/>
        <v>0</v>
      </c>
      <c r="AZ155">
        <f t="shared" si="535"/>
        <v>0</v>
      </c>
      <c r="BA155">
        <f t="shared" si="543"/>
        <v>0</v>
      </c>
      <c r="BB155">
        <v>4</v>
      </c>
      <c r="BC155">
        <f t="shared" si="471"/>
        <v>18</v>
      </c>
      <c r="BD155">
        <f t="shared" si="475"/>
        <v>4</v>
      </c>
      <c r="BE155">
        <f t="shared" si="480"/>
        <v>23</v>
      </c>
      <c r="BF155">
        <f t="shared" si="488"/>
        <v>24</v>
      </c>
      <c r="BG155">
        <f t="shared" si="496"/>
        <v>24</v>
      </c>
      <c r="BH155">
        <f t="shared" si="504"/>
        <v>9</v>
      </c>
      <c r="BI155">
        <f t="shared" si="512"/>
        <v>16</v>
      </c>
      <c r="BJ155">
        <f t="shared" si="520"/>
        <v>2</v>
      </c>
      <c r="BK155">
        <f t="shared" si="528"/>
        <v>22</v>
      </c>
      <c r="BL155">
        <f t="shared" si="536"/>
        <v>32</v>
      </c>
      <c r="BM155">
        <f t="shared" si="544"/>
        <v>11</v>
      </c>
      <c r="BZ155" s="12">
        <f t="shared" si="440"/>
        <v>6.2549999999999999</v>
      </c>
      <c r="CA155" s="12">
        <f t="shared" si="472"/>
        <v>5.5488888888888948</v>
      </c>
      <c r="CB155" s="12">
        <f t="shared" si="476"/>
        <v>5.3899999999998727</v>
      </c>
      <c r="CC155" s="12">
        <f t="shared" si="485"/>
        <v>1.2426086956521707</v>
      </c>
      <c r="CD155" s="12">
        <f t="shared" si="493"/>
        <v>4.4283333333333603</v>
      </c>
      <c r="CE155" s="12">
        <f t="shared" si="501"/>
        <v>2.6629166666666606</v>
      </c>
      <c r="CF155" s="12">
        <f t="shared" si="509"/>
        <v>6.0522222222222508</v>
      </c>
      <c r="CG155" s="12">
        <f t="shared" si="517"/>
        <v>1.9956250000000182</v>
      </c>
      <c r="CH155" s="12">
        <f t="shared" si="525"/>
        <v>11.109999999999673</v>
      </c>
      <c r="CI155" s="12">
        <f t="shared" si="533"/>
        <v>2.1077272727272676</v>
      </c>
      <c r="CJ155" s="12">
        <f t="shared" si="541"/>
        <v>1.0568750000000193</v>
      </c>
      <c r="CK155" s="12">
        <f t="shared" si="549"/>
        <v>1.2090909090909256</v>
      </c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>
        <f t="shared" si="441"/>
        <v>80.916868304956779</v>
      </c>
      <c r="CY155" s="12">
        <f t="shared" si="442"/>
        <v>79.78402483510132</v>
      </c>
      <c r="CZ155" s="12">
        <f t="shared" si="443"/>
        <v>79.489491639297086</v>
      </c>
      <c r="DA155" s="12">
        <f t="shared" si="444"/>
        <v>51.174329586539592</v>
      </c>
      <c r="DB155" s="12">
        <f t="shared" si="445"/>
        <v>77.274982448283268</v>
      </c>
      <c r="DC155" s="12">
        <f t="shared" si="446"/>
        <v>69.417432596622106</v>
      </c>
      <c r="DD155" s="12">
        <f t="shared" si="447"/>
        <v>80.617866579981765</v>
      </c>
      <c r="DE155" s="12">
        <f t="shared" si="448"/>
        <v>63.384727140743927</v>
      </c>
      <c r="DF155" s="12">
        <f t="shared" si="449"/>
        <v>84.856723872655692</v>
      </c>
      <c r="DG155" s="12">
        <f t="shared" si="450"/>
        <v>64.618247505649492</v>
      </c>
      <c r="DH155" s="12">
        <f t="shared" si="451"/>
        <v>46.583891739241778</v>
      </c>
      <c r="DI155" s="12">
        <f t="shared" si="452"/>
        <v>50.406949370471956</v>
      </c>
      <c r="DJ155" t="s">
        <v>21</v>
      </c>
      <c r="DK155" t="str">
        <f t="shared" si="473"/>
        <v>HH</v>
      </c>
      <c r="DL155" t="str">
        <f t="shared" si="477"/>
        <v>HH</v>
      </c>
      <c r="DM155" t="str">
        <f t="shared" si="481"/>
        <v>LH</v>
      </c>
      <c r="DN155" t="str">
        <f t="shared" si="489"/>
        <v>HH</v>
      </c>
      <c r="DO155" t="str">
        <f t="shared" si="497"/>
        <v>HH</v>
      </c>
      <c r="DP155" t="str">
        <f t="shared" si="505"/>
        <v>LH</v>
      </c>
      <c r="DQ155" t="str">
        <f t="shared" si="513"/>
        <v>LH</v>
      </c>
      <c r="DR155" t="str">
        <f t="shared" si="521"/>
        <v>HH</v>
      </c>
      <c r="DS155" t="str">
        <f t="shared" si="529"/>
        <v>LH</v>
      </c>
      <c r="DT155" t="str">
        <f t="shared" si="537"/>
        <v>LH</v>
      </c>
      <c r="DU155" t="str">
        <f t="shared" si="545"/>
        <v>LH</v>
      </c>
      <c r="DV155">
        <f t="shared" si="453"/>
        <v>0.6090097169540456</v>
      </c>
      <c r="DW155">
        <f t="shared" si="454"/>
        <v>8.0308973664275141E-2</v>
      </c>
      <c r="DX155">
        <f t="shared" si="482"/>
        <v>4.3824520574870955E-2</v>
      </c>
      <c r="DY155">
        <f t="shared" si="490"/>
        <v>0.32361062237297245</v>
      </c>
      <c r="DZ155">
        <f t="shared" si="498"/>
        <v>-1.0748881179419307</v>
      </c>
      <c r="EA155">
        <f t="shared" si="506"/>
        <v>-1.4541968994691334</v>
      </c>
      <c r="EB155">
        <f t="shared" si="514"/>
        <v>-0.52546247822265091</v>
      </c>
      <c r="EC155">
        <f t="shared" si="522"/>
        <v>-0.47408200582456028</v>
      </c>
      <c r="ED155">
        <f t="shared" si="530"/>
        <v>-0.66103784236557195</v>
      </c>
      <c r="EE155">
        <f t="shared" si="538"/>
        <v>1.4902495838829533</v>
      </c>
      <c r="EF155">
        <f t="shared" si="546"/>
        <v>1.737437150672166</v>
      </c>
      <c r="EG155" s="13" t="str">
        <f t="shared" si="455"/>
        <v/>
      </c>
      <c r="EH155" s="13" t="str">
        <f t="shared" si="456"/>
        <v>EQH</v>
      </c>
      <c r="EI155" s="13" t="str">
        <f t="shared" si="457"/>
        <v>EQH</v>
      </c>
      <c r="EJ155" s="13" t="str">
        <f t="shared" si="458"/>
        <v/>
      </c>
      <c r="EK155" s="13" t="str">
        <f t="shared" si="459"/>
        <v/>
      </c>
      <c r="EL155" s="13" t="str">
        <f t="shared" si="460"/>
        <v/>
      </c>
      <c r="EM155" s="13" t="str">
        <f t="shared" si="461"/>
        <v/>
      </c>
      <c r="EN155" s="13" t="str">
        <f t="shared" si="462"/>
        <v/>
      </c>
      <c r="EO155" s="13" t="str">
        <f t="shared" si="463"/>
        <v/>
      </c>
      <c r="EP155" s="13" t="str">
        <f t="shared" si="464"/>
        <v/>
      </c>
      <c r="EQ155" s="13" t="str">
        <f t="shared" si="465"/>
        <v/>
      </c>
    </row>
    <row r="156" spans="1:147" ht="14.25" customHeight="1" x14ac:dyDescent="0.55000000000000004">
      <c r="A156">
        <v>1777858204</v>
      </c>
      <c r="B156" t="s">
        <v>16</v>
      </c>
      <c r="C156" t="s">
        <v>17</v>
      </c>
      <c r="D156">
        <v>4601.59</v>
      </c>
      <c r="E156" t="s">
        <v>18</v>
      </c>
      <c r="F156">
        <v>4592.93</v>
      </c>
      <c r="G156">
        <v>4607.09</v>
      </c>
      <c r="H156">
        <v>4560.4399999999996</v>
      </c>
      <c r="I156">
        <f t="shared" si="478"/>
        <v>4614.2700000000004</v>
      </c>
      <c r="J156">
        <f t="shared" si="486"/>
        <v>4605.5600000000004</v>
      </c>
      <c r="K156">
        <f t="shared" si="494"/>
        <v>4540.82</v>
      </c>
      <c r="L156">
        <f t="shared" si="502"/>
        <v>4518.41</v>
      </c>
      <c r="M156">
        <f t="shared" si="510"/>
        <v>4510.28</v>
      </c>
      <c r="N156">
        <f t="shared" si="518"/>
        <v>4575.84</v>
      </c>
      <c r="O156">
        <f t="shared" si="526"/>
        <v>4587.93</v>
      </c>
      <c r="P156">
        <f t="shared" si="534"/>
        <v>4555.12</v>
      </c>
      <c r="Q156">
        <f t="shared" si="542"/>
        <v>4667.32</v>
      </c>
      <c r="R156">
        <v>-39.18</v>
      </c>
      <c r="S156">
        <f t="shared" si="466"/>
        <v>-53.229999999999563</v>
      </c>
      <c r="T156">
        <f t="shared" si="467"/>
        <v>-75.390000000000327</v>
      </c>
      <c r="U156">
        <f t="shared" si="483"/>
        <v>-19.869999999999891</v>
      </c>
      <c r="V156">
        <f t="shared" si="491"/>
        <v>-41.539999999999964</v>
      </c>
      <c r="W156">
        <f t="shared" si="499"/>
        <v>-41.5</v>
      </c>
      <c r="X156">
        <f t="shared" si="507"/>
        <v>-46.340000000000146</v>
      </c>
      <c r="Y156">
        <f t="shared" si="515"/>
        <v>-97.490000000000691</v>
      </c>
      <c r="Z156">
        <f t="shared" si="523"/>
        <v>-34.309999999999491</v>
      </c>
      <c r="AA156">
        <f t="shared" si="531"/>
        <v>-13.559999999999491</v>
      </c>
      <c r="AB156">
        <f t="shared" si="539"/>
        <v>-146.02000000000044</v>
      </c>
      <c r="AC156">
        <f t="shared" si="547"/>
        <v>-45.270000000000437</v>
      </c>
      <c r="AD156">
        <v>-0.85</v>
      </c>
      <c r="AE156" s="14">
        <f t="shared" si="468"/>
        <v>-1.1421962440347351</v>
      </c>
      <c r="AF156" s="14">
        <f t="shared" si="469"/>
        <v>-1.6262460012554456</v>
      </c>
      <c r="AG156" s="14">
        <f t="shared" si="484"/>
        <v>-0.42877427095426313</v>
      </c>
      <c r="AH156" s="14">
        <f t="shared" si="492"/>
        <v>-0.89389081362570111</v>
      </c>
      <c r="AI156" s="14">
        <f t="shared" si="500"/>
        <v>-0.90565477749262391</v>
      </c>
      <c r="AJ156" s="14">
        <f t="shared" si="508"/>
        <v>-1.0151706007996089</v>
      </c>
      <c r="AK156" s="14">
        <f t="shared" si="516"/>
        <v>-2.1157740078172451</v>
      </c>
      <c r="AL156" s="14">
        <f t="shared" si="524"/>
        <v>-0.74422741125558811</v>
      </c>
      <c r="AM156" s="14">
        <f t="shared" si="532"/>
        <v>-0.29468715568217013</v>
      </c>
      <c r="AN156" s="14">
        <f t="shared" si="540"/>
        <v>-3.1060551270542978</v>
      </c>
      <c r="AO156" s="14">
        <f t="shared" si="548"/>
        <v>-0.96061825874944429</v>
      </c>
      <c r="AP156">
        <v>3</v>
      </c>
      <c r="AQ156">
        <f t="shared" si="470"/>
        <v>3</v>
      </c>
      <c r="AR156">
        <f t="shared" si="474"/>
        <v>3</v>
      </c>
      <c r="AS156">
        <f t="shared" si="479"/>
        <v>3</v>
      </c>
      <c r="AT156">
        <f t="shared" si="487"/>
        <v>3</v>
      </c>
      <c r="AU156">
        <f t="shared" si="495"/>
        <v>3</v>
      </c>
      <c r="AV156">
        <f t="shared" si="503"/>
        <v>3</v>
      </c>
      <c r="AW156">
        <f t="shared" si="511"/>
        <v>3</v>
      </c>
      <c r="AX156">
        <f t="shared" si="519"/>
        <v>3</v>
      </c>
      <c r="AY156">
        <f t="shared" si="527"/>
        <v>3</v>
      </c>
      <c r="AZ156">
        <f t="shared" si="535"/>
        <v>5</v>
      </c>
      <c r="BA156">
        <f t="shared" si="543"/>
        <v>3</v>
      </c>
      <c r="BB156">
        <v>14</v>
      </c>
      <c r="BC156">
        <f t="shared" si="471"/>
        <v>23</v>
      </c>
      <c r="BD156">
        <f t="shared" si="475"/>
        <v>30</v>
      </c>
      <c r="BE156">
        <f t="shared" si="480"/>
        <v>7</v>
      </c>
      <c r="BF156">
        <f t="shared" si="488"/>
        <v>25</v>
      </c>
      <c r="BG156">
        <f t="shared" si="496"/>
        <v>11</v>
      </c>
      <c r="BH156">
        <f t="shared" si="504"/>
        <v>11</v>
      </c>
      <c r="BI156">
        <f t="shared" si="512"/>
        <v>35</v>
      </c>
      <c r="BJ156">
        <f t="shared" si="520"/>
        <v>4</v>
      </c>
      <c r="BK156">
        <f t="shared" si="528"/>
        <v>20</v>
      </c>
      <c r="BL156">
        <f t="shared" si="536"/>
        <v>48</v>
      </c>
      <c r="BM156">
        <f t="shared" si="544"/>
        <v>11</v>
      </c>
      <c r="BZ156" s="12">
        <f t="shared" si="440"/>
        <v>-2.7985714285714285</v>
      </c>
      <c r="CA156" s="12">
        <f t="shared" si="472"/>
        <v>-2.3143478260869377</v>
      </c>
      <c r="CB156" s="12">
        <f t="shared" si="476"/>
        <v>-2.513000000000011</v>
      </c>
      <c r="CC156" s="12">
        <f t="shared" si="485"/>
        <v>-2.838571428571413</v>
      </c>
      <c r="CD156" s="12">
        <f t="shared" si="493"/>
        <v>-1.6615999999999986</v>
      </c>
      <c r="CE156" s="12">
        <f t="shared" si="501"/>
        <v>-3.7727272727272729</v>
      </c>
      <c r="CF156" s="12">
        <f t="shared" si="509"/>
        <v>-4.2127272727272862</v>
      </c>
      <c r="CG156" s="12">
        <f t="shared" si="517"/>
        <v>-2.7854285714285911</v>
      </c>
      <c r="CH156" s="12">
        <f t="shared" si="525"/>
        <v>-8.5774999999998727</v>
      </c>
      <c r="CI156" s="12">
        <f t="shared" si="533"/>
        <v>-0.67799999999997451</v>
      </c>
      <c r="CJ156" s="12">
        <f t="shared" si="541"/>
        <v>-3.0420833333333426</v>
      </c>
      <c r="CK156" s="12">
        <f t="shared" si="549"/>
        <v>-4.1154545454545852</v>
      </c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>
        <f t="shared" si="441"/>
        <v>-70.336912574712997</v>
      </c>
      <c r="CY156" s="12">
        <f t="shared" si="442"/>
        <v>-66.631446734140908</v>
      </c>
      <c r="CZ156" s="12">
        <f t="shared" si="443"/>
        <v>-68.30086917379252</v>
      </c>
      <c r="DA156" s="12">
        <f t="shared" si="444"/>
        <v>-70.593154750493497</v>
      </c>
      <c r="DB156" s="12">
        <f t="shared" si="445"/>
        <v>-58.959227609765762</v>
      </c>
      <c r="DC156" s="12">
        <f t="shared" si="446"/>
        <v>-75.154547917916176</v>
      </c>
      <c r="DD156" s="12">
        <f t="shared" si="447"/>
        <v>-76.646511563522878</v>
      </c>
      <c r="DE156" s="12">
        <f t="shared" si="448"/>
        <v>-70.251294521425621</v>
      </c>
      <c r="DF156" s="12">
        <f t="shared" si="449"/>
        <v>-83.350242970141906</v>
      </c>
      <c r="DG156" s="12">
        <f t="shared" si="450"/>
        <v>-34.137270681243898</v>
      </c>
      <c r="DH156" s="12">
        <f t="shared" si="451"/>
        <v>-71.803163361405623</v>
      </c>
      <c r="DI156" s="12">
        <f t="shared" si="452"/>
        <v>-76.34258087433652</v>
      </c>
      <c r="DJ156" t="s">
        <v>19</v>
      </c>
      <c r="DK156" t="str">
        <f t="shared" si="473"/>
        <v>HL</v>
      </c>
      <c r="DL156" t="str">
        <f t="shared" si="477"/>
        <v>LL</v>
      </c>
      <c r="DM156" t="str">
        <f t="shared" si="481"/>
        <v>HL</v>
      </c>
      <c r="DN156" t="str">
        <f t="shared" si="489"/>
        <v>HL</v>
      </c>
      <c r="DO156" t="str">
        <f t="shared" si="497"/>
        <v>HL</v>
      </c>
      <c r="DP156" t="str">
        <f t="shared" si="505"/>
        <v>HL</v>
      </c>
      <c r="DQ156" t="str">
        <f t="shared" si="513"/>
        <v>LL</v>
      </c>
      <c r="DR156" t="str">
        <f t="shared" si="521"/>
        <v>LL</v>
      </c>
      <c r="DS156" t="str">
        <f t="shared" si="529"/>
        <v>HL</v>
      </c>
      <c r="DT156" t="str">
        <f t="shared" si="537"/>
        <v>LL</v>
      </c>
      <c r="DU156" t="str">
        <f t="shared" si="545"/>
        <v>LL</v>
      </c>
      <c r="DV156">
        <f t="shared" si="453"/>
        <v>0.3082999305454221</v>
      </c>
      <c r="DW156">
        <f t="shared" si="454"/>
        <v>-0.70739157792521745</v>
      </c>
      <c r="DX156">
        <f t="shared" si="482"/>
        <v>0.46462715521464826</v>
      </c>
      <c r="DY156">
        <f t="shared" si="490"/>
        <v>0.2749878617788668</v>
      </c>
      <c r="DZ156">
        <f t="shared" si="498"/>
        <v>-1.1345698715199355</v>
      </c>
      <c r="EA156">
        <f t="shared" si="506"/>
        <v>-1.622493702277205</v>
      </c>
      <c r="EB156">
        <f t="shared" si="514"/>
        <v>-1.7995048912132459</v>
      </c>
      <c r="EC156">
        <f t="shared" si="522"/>
        <v>-0.37209363086309055</v>
      </c>
      <c r="ED156">
        <f t="shared" si="530"/>
        <v>-0.108862969825362</v>
      </c>
      <c r="EE156">
        <f t="shared" si="538"/>
        <v>-0.82322177781939621</v>
      </c>
      <c r="EF156">
        <f t="shared" si="546"/>
        <v>1.6196632650617233</v>
      </c>
      <c r="EG156" s="13" t="str">
        <f t="shared" si="455"/>
        <v/>
      </c>
      <c r="EH156" s="13" t="str">
        <f t="shared" si="456"/>
        <v/>
      </c>
      <c r="EI156" s="13" t="str">
        <f t="shared" si="457"/>
        <v/>
      </c>
      <c r="EJ156" s="13" t="str">
        <f t="shared" si="458"/>
        <v/>
      </c>
      <c r="EK156" s="13" t="str">
        <f t="shared" si="459"/>
        <v/>
      </c>
      <c r="EL156" s="13" t="str">
        <f t="shared" si="460"/>
        <v/>
      </c>
      <c r="EM156" s="13" t="str">
        <f t="shared" si="461"/>
        <v/>
      </c>
      <c r="EN156" s="13" t="str">
        <f t="shared" si="462"/>
        <v/>
      </c>
      <c r="EO156" s="13" t="str">
        <f t="shared" si="463"/>
        <v>EQL</v>
      </c>
      <c r="EP156" s="13" t="str">
        <f t="shared" si="464"/>
        <v/>
      </c>
      <c r="EQ156" s="13" t="str">
        <f t="shared" si="465"/>
        <v/>
      </c>
    </row>
    <row r="157" spans="1:147" ht="14.25" customHeight="1" x14ac:dyDescent="0.55000000000000004">
      <c r="A157">
        <v>1777860004</v>
      </c>
      <c r="B157" t="s">
        <v>16</v>
      </c>
      <c r="C157" t="s">
        <v>17</v>
      </c>
      <c r="D157">
        <v>4608.34</v>
      </c>
      <c r="E157" t="s">
        <v>20</v>
      </c>
      <c r="F157">
        <v>4618.59</v>
      </c>
      <c r="G157">
        <v>4632.1099999999997</v>
      </c>
      <c r="H157">
        <v>4660.32</v>
      </c>
      <c r="I157">
        <f t="shared" si="478"/>
        <v>4635.83</v>
      </c>
      <c r="J157">
        <f t="shared" si="486"/>
        <v>4634.1400000000003</v>
      </c>
      <c r="K157">
        <f t="shared" si="494"/>
        <v>4647.1000000000004</v>
      </c>
      <c r="L157">
        <f t="shared" si="502"/>
        <v>4582.32</v>
      </c>
      <c r="M157">
        <f t="shared" si="510"/>
        <v>4564.75</v>
      </c>
      <c r="N157">
        <f t="shared" si="518"/>
        <v>4607.7700000000004</v>
      </c>
      <c r="O157">
        <f t="shared" si="526"/>
        <v>4610.1499999999996</v>
      </c>
      <c r="P157">
        <f t="shared" si="534"/>
        <v>4601.49</v>
      </c>
      <c r="Q157">
        <f t="shared" si="542"/>
        <v>4701.1400000000003</v>
      </c>
      <c r="R157">
        <v>25.66</v>
      </c>
      <c r="S157">
        <f t="shared" si="466"/>
        <v>25.019999999999527</v>
      </c>
      <c r="T157">
        <f t="shared" si="467"/>
        <v>99.880000000000109</v>
      </c>
      <c r="U157">
        <f t="shared" si="483"/>
        <v>21.559999999999491</v>
      </c>
      <c r="V157">
        <f t="shared" si="491"/>
        <v>28.579999999999927</v>
      </c>
      <c r="W157">
        <f t="shared" si="499"/>
        <v>106.28000000000065</v>
      </c>
      <c r="X157">
        <f t="shared" si="507"/>
        <v>63.909999999999854</v>
      </c>
      <c r="Y157">
        <f t="shared" si="515"/>
        <v>54.470000000000255</v>
      </c>
      <c r="Z157">
        <f t="shared" si="523"/>
        <v>31.930000000000291</v>
      </c>
      <c r="AA157">
        <f t="shared" si="531"/>
        <v>22.219999999999345</v>
      </c>
      <c r="AB157">
        <f t="shared" si="539"/>
        <v>46.369999999999891</v>
      </c>
      <c r="AC157">
        <f t="shared" si="547"/>
        <v>33.820000000000618</v>
      </c>
      <c r="AD157">
        <v>0.56000000000000005</v>
      </c>
      <c r="AE157" s="14">
        <f t="shared" si="468"/>
        <v>0.54307599808120799</v>
      </c>
      <c r="AF157" s="14">
        <f t="shared" si="469"/>
        <v>2.1901395479383594</v>
      </c>
      <c r="AG157" s="14">
        <f t="shared" si="484"/>
        <v>0.4672461732841704</v>
      </c>
      <c r="AH157" s="14">
        <f t="shared" si="492"/>
        <v>0.62055428655798484</v>
      </c>
      <c r="AI157" s="14">
        <f t="shared" si="500"/>
        <v>2.3405464211309996</v>
      </c>
      <c r="AJ157" s="14">
        <f t="shared" si="508"/>
        <v>1.4144356089863439</v>
      </c>
      <c r="AK157" s="14">
        <f t="shared" si="516"/>
        <v>1.2076855538902298</v>
      </c>
      <c r="AL157" s="14">
        <f t="shared" si="524"/>
        <v>0.69779537746075671</v>
      </c>
      <c r="AM157" s="14">
        <f t="shared" si="532"/>
        <v>0.48431427680891692</v>
      </c>
      <c r="AN157" s="14">
        <f t="shared" si="540"/>
        <v>1.0179753771580087</v>
      </c>
      <c r="AO157" s="14">
        <f t="shared" si="548"/>
        <v>0.72461283991671066</v>
      </c>
      <c r="AP157">
        <v>0</v>
      </c>
      <c r="AQ157">
        <f t="shared" si="470"/>
        <v>0</v>
      </c>
      <c r="AR157">
        <f t="shared" si="474"/>
        <v>0</v>
      </c>
      <c r="AS157">
        <f t="shared" si="479"/>
        <v>0</v>
      </c>
      <c r="AT157">
        <f t="shared" si="487"/>
        <v>0</v>
      </c>
      <c r="AU157">
        <f t="shared" si="495"/>
        <v>0</v>
      </c>
      <c r="AV157">
        <f t="shared" si="503"/>
        <v>0</v>
      </c>
      <c r="AW157">
        <f t="shared" si="511"/>
        <v>0</v>
      </c>
      <c r="AX157">
        <f t="shared" si="519"/>
        <v>0</v>
      </c>
      <c r="AY157">
        <f t="shared" si="527"/>
        <v>0</v>
      </c>
      <c r="AZ157">
        <f t="shared" si="535"/>
        <v>0</v>
      </c>
      <c r="BA157">
        <f t="shared" si="543"/>
        <v>0</v>
      </c>
      <c r="BB157">
        <v>2</v>
      </c>
      <c r="BC157">
        <f t="shared" si="471"/>
        <v>4</v>
      </c>
      <c r="BD157">
        <f t="shared" si="475"/>
        <v>18</v>
      </c>
      <c r="BE157">
        <f t="shared" si="480"/>
        <v>4</v>
      </c>
      <c r="BF157">
        <f t="shared" si="488"/>
        <v>23</v>
      </c>
      <c r="BG157">
        <f t="shared" si="496"/>
        <v>24</v>
      </c>
      <c r="BH157">
        <f t="shared" si="504"/>
        <v>24</v>
      </c>
      <c r="BI157">
        <f t="shared" si="512"/>
        <v>9</v>
      </c>
      <c r="BJ157">
        <f t="shared" si="520"/>
        <v>16</v>
      </c>
      <c r="BK157">
        <f t="shared" si="528"/>
        <v>2</v>
      </c>
      <c r="BL157">
        <f t="shared" si="536"/>
        <v>22</v>
      </c>
      <c r="BM157">
        <f t="shared" si="544"/>
        <v>32</v>
      </c>
      <c r="BZ157" s="12">
        <f t="shared" si="440"/>
        <v>12.83</v>
      </c>
      <c r="CA157" s="12">
        <f t="shared" si="472"/>
        <v>6.2549999999998818</v>
      </c>
      <c r="CB157" s="12">
        <f t="shared" si="476"/>
        <v>5.5488888888888948</v>
      </c>
      <c r="CC157" s="12">
        <f t="shared" si="485"/>
        <v>5.3899999999998727</v>
      </c>
      <c r="CD157" s="12">
        <f t="shared" si="493"/>
        <v>1.2426086956521707</v>
      </c>
      <c r="CE157" s="12">
        <f t="shared" si="501"/>
        <v>4.4283333333333603</v>
      </c>
      <c r="CF157" s="12">
        <f t="shared" si="509"/>
        <v>2.6629166666666606</v>
      </c>
      <c r="CG157" s="12">
        <f t="shared" si="517"/>
        <v>6.0522222222222508</v>
      </c>
      <c r="CH157" s="12">
        <f t="shared" si="525"/>
        <v>1.9956250000000182</v>
      </c>
      <c r="CI157" s="12">
        <f t="shared" si="533"/>
        <v>11.109999999999673</v>
      </c>
      <c r="CJ157" s="12">
        <f t="shared" si="541"/>
        <v>2.1077272727272676</v>
      </c>
      <c r="CK157" s="12">
        <f t="shared" si="549"/>
        <v>1.0568750000000193</v>
      </c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>
        <f t="shared" si="441"/>
        <v>85.543244229697393</v>
      </c>
      <c r="CY157" s="12">
        <f t="shared" si="442"/>
        <v>80.916868304956594</v>
      </c>
      <c r="CZ157" s="12">
        <f t="shared" si="443"/>
        <v>79.78402483510132</v>
      </c>
      <c r="DA157" s="12">
        <f t="shared" si="444"/>
        <v>79.489491639297086</v>
      </c>
      <c r="DB157" s="12">
        <f t="shared" si="445"/>
        <v>51.174329586539592</v>
      </c>
      <c r="DC157" s="12">
        <f t="shared" si="446"/>
        <v>77.274982448283268</v>
      </c>
      <c r="DD157" s="12">
        <f t="shared" si="447"/>
        <v>69.417432596622106</v>
      </c>
      <c r="DE157" s="12">
        <f t="shared" si="448"/>
        <v>80.617866579981765</v>
      </c>
      <c r="DF157" s="12">
        <f t="shared" si="449"/>
        <v>63.384727140743927</v>
      </c>
      <c r="DG157" s="12">
        <f t="shared" si="450"/>
        <v>84.856723872655692</v>
      </c>
      <c r="DH157" s="12">
        <f t="shared" si="451"/>
        <v>64.618247505649492</v>
      </c>
      <c r="DI157" s="12">
        <f t="shared" si="452"/>
        <v>46.583891739241778</v>
      </c>
      <c r="DJ157" t="s">
        <v>21</v>
      </c>
      <c r="DK157" t="str">
        <f t="shared" si="473"/>
        <v>LH</v>
      </c>
      <c r="DL157" t="str">
        <f t="shared" si="477"/>
        <v>HH</v>
      </c>
      <c r="DM157" t="str">
        <f t="shared" si="481"/>
        <v>HH</v>
      </c>
      <c r="DN157" t="str">
        <f t="shared" si="489"/>
        <v>LH</v>
      </c>
      <c r="DO157" t="str">
        <f t="shared" si="497"/>
        <v>HH</v>
      </c>
      <c r="DP157" t="str">
        <f t="shared" si="505"/>
        <v>HH</v>
      </c>
      <c r="DQ157" t="str">
        <f t="shared" si="513"/>
        <v>LH</v>
      </c>
      <c r="DR157" t="str">
        <f t="shared" si="521"/>
        <v>LH</v>
      </c>
      <c r="DS157" t="str">
        <f t="shared" si="529"/>
        <v>HH</v>
      </c>
      <c r="DT157" t="str">
        <f t="shared" si="537"/>
        <v>LH</v>
      </c>
      <c r="DU157" t="str">
        <f t="shared" si="545"/>
        <v>LH</v>
      </c>
      <c r="DV157">
        <f t="shared" si="453"/>
        <v>0.29273003232587275</v>
      </c>
      <c r="DW157">
        <f t="shared" si="454"/>
        <v>0.90352250362122566</v>
      </c>
      <c r="DX157">
        <f t="shared" si="482"/>
        <v>0.37327409447471588</v>
      </c>
      <c r="DY157">
        <f t="shared" si="490"/>
        <v>0.33668284043398922</v>
      </c>
      <c r="DZ157">
        <f t="shared" si="498"/>
        <v>0.61728796017832754</v>
      </c>
      <c r="EA157">
        <f t="shared" si="506"/>
        <v>-0.78530460595117646</v>
      </c>
      <c r="EB157">
        <f t="shared" si="514"/>
        <v>-1.1657237381971586</v>
      </c>
      <c r="EC157">
        <f t="shared" si="522"/>
        <v>-0.2342706323791397</v>
      </c>
      <c r="ED157">
        <f t="shared" si="530"/>
        <v>-0.18273975390758887</v>
      </c>
      <c r="EE157">
        <f t="shared" si="538"/>
        <v>-0.37024286632934211</v>
      </c>
      <c r="EF157">
        <f t="shared" si="546"/>
        <v>1.7873420242974627</v>
      </c>
      <c r="EG157" s="13" t="str">
        <f t="shared" si="455"/>
        <v/>
      </c>
      <c r="EH157" s="13" t="str">
        <f t="shared" si="456"/>
        <v/>
      </c>
      <c r="EI157" s="13" t="str">
        <f t="shared" si="457"/>
        <v/>
      </c>
      <c r="EJ157" s="13" t="str">
        <f t="shared" si="458"/>
        <v/>
      </c>
      <c r="EK157" s="13" t="str">
        <f t="shared" si="459"/>
        <v/>
      </c>
      <c r="EL157" s="13" t="str">
        <f t="shared" si="460"/>
        <v/>
      </c>
      <c r="EM157" s="13" t="str">
        <f t="shared" si="461"/>
        <v/>
      </c>
      <c r="EN157" s="13" t="str">
        <f t="shared" si="462"/>
        <v/>
      </c>
      <c r="EO157" s="13" t="str">
        <f t="shared" si="463"/>
        <v/>
      </c>
      <c r="EP157" s="13" t="str">
        <f t="shared" si="464"/>
        <v/>
      </c>
      <c r="EQ157" s="13" t="str">
        <f t="shared" si="465"/>
        <v/>
      </c>
    </row>
    <row r="158" spans="1:147" ht="14.25" customHeight="1" x14ac:dyDescent="0.55000000000000004">
      <c r="A158">
        <v>1777889704</v>
      </c>
      <c r="B158" t="s">
        <v>16</v>
      </c>
      <c r="C158" t="s">
        <v>17</v>
      </c>
      <c r="D158">
        <v>4545</v>
      </c>
      <c r="E158" t="s">
        <v>18</v>
      </c>
      <c r="F158">
        <v>4526.3999999999996</v>
      </c>
      <c r="G158">
        <v>4592.93</v>
      </c>
      <c r="H158">
        <v>4607.09</v>
      </c>
      <c r="I158">
        <f t="shared" si="478"/>
        <v>4560.4399999999996</v>
      </c>
      <c r="J158">
        <f t="shared" si="486"/>
        <v>4614.2700000000004</v>
      </c>
      <c r="K158">
        <f t="shared" si="494"/>
        <v>4605.5600000000004</v>
      </c>
      <c r="L158">
        <f t="shared" si="502"/>
        <v>4540.82</v>
      </c>
      <c r="M158">
        <f t="shared" si="510"/>
        <v>4518.41</v>
      </c>
      <c r="N158">
        <f t="shared" si="518"/>
        <v>4510.28</v>
      </c>
      <c r="O158">
        <f t="shared" si="526"/>
        <v>4575.84</v>
      </c>
      <c r="P158">
        <f t="shared" si="534"/>
        <v>4587.93</v>
      </c>
      <c r="Q158">
        <f t="shared" si="542"/>
        <v>4555.12</v>
      </c>
      <c r="R158">
        <v>-92.19</v>
      </c>
      <c r="S158">
        <f t="shared" si="466"/>
        <v>-39.179999999999382</v>
      </c>
      <c r="T158">
        <f t="shared" si="467"/>
        <v>-53.229999999999563</v>
      </c>
      <c r="U158">
        <f t="shared" si="483"/>
        <v>-75.390000000000327</v>
      </c>
      <c r="V158">
        <f t="shared" si="491"/>
        <v>-19.869999999999891</v>
      </c>
      <c r="W158">
        <f t="shared" si="499"/>
        <v>-41.539999999999964</v>
      </c>
      <c r="X158">
        <f t="shared" si="507"/>
        <v>-41.5</v>
      </c>
      <c r="Y158">
        <f t="shared" si="515"/>
        <v>-46.340000000000146</v>
      </c>
      <c r="Z158">
        <f t="shared" si="523"/>
        <v>-97.490000000000691</v>
      </c>
      <c r="AA158">
        <f t="shared" si="531"/>
        <v>-34.309999999999491</v>
      </c>
      <c r="AB158">
        <f t="shared" si="539"/>
        <v>-13.559999999999491</v>
      </c>
      <c r="AC158">
        <f t="shared" si="547"/>
        <v>-146.02000000000044</v>
      </c>
      <c r="AD158">
        <v>-2</v>
      </c>
      <c r="AE158" s="14">
        <f t="shared" si="468"/>
        <v>-0.84583483552850403</v>
      </c>
      <c r="AF158" s="14">
        <f t="shared" si="469"/>
        <v>-1.1421962440347351</v>
      </c>
      <c r="AG158" s="14">
        <f t="shared" si="484"/>
        <v>-1.6262460012554456</v>
      </c>
      <c r="AH158" s="14">
        <f t="shared" si="492"/>
        <v>-0.42877427095426313</v>
      </c>
      <c r="AI158" s="14">
        <f t="shared" si="500"/>
        <v>-0.89389081362570111</v>
      </c>
      <c r="AJ158" s="14">
        <f t="shared" si="508"/>
        <v>-0.90565477749262391</v>
      </c>
      <c r="AK158" s="14">
        <f t="shared" si="516"/>
        <v>-1.0151706007996089</v>
      </c>
      <c r="AL158" s="14">
        <f t="shared" si="524"/>
        <v>-2.1157740078172451</v>
      </c>
      <c r="AM158" s="14">
        <f t="shared" si="532"/>
        <v>-0.74422741125558811</v>
      </c>
      <c r="AN158" s="14">
        <f t="shared" si="540"/>
        <v>-0.29468715568217013</v>
      </c>
      <c r="AO158" s="14">
        <f t="shared" si="548"/>
        <v>-3.1060551270542978</v>
      </c>
      <c r="AP158">
        <v>3</v>
      </c>
      <c r="AQ158">
        <f t="shared" si="470"/>
        <v>3</v>
      </c>
      <c r="AR158">
        <f t="shared" si="474"/>
        <v>3</v>
      </c>
      <c r="AS158">
        <f t="shared" si="479"/>
        <v>3</v>
      </c>
      <c r="AT158">
        <f t="shared" si="487"/>
        <v>3</v>
      </c>
      <c r="AU158">
        <f t="shared" si="495"/>
        <v>3</v>
      </c>
      <c r="AV158">
        <f t="shared" si="503"/>
        <v>3</v>
      </c>
      <c r="AW158">
        <f t="shared" si="511"/>
        <v>3</v>
      </c>
      <c r="AX158">
        <f t="shared" si="519"/>
        <v>3</v>
      </c>
      <c r="AY158">
        <f t="shared" si="527"/>
        <v>3</v>
      </c>
      <c r="AZ158">
        <f t="shared" si="535"/>
        <v>3</v>
      </c>
      <c r="BA158">
        <f t="shared" si="543"/>
        <v>5</v>
      </c>
      <c r="BB158">
        <v>33</v>
      </c>
      <c r="BC158">
        <f t="shared" si="471"/>
        <v>14</v>
      </c>
      <c r="BD158">
        <f t="shared" si="475"/>
        <v>23</v>
      </c>
      <c r="BE158">
        <f t="shared" si="480"/>
        <v>30</v>
      </c>
      <c r="BF158">
        <f t="shared" si="488"/>
        <v>7</v>
      </c>
      <c r="BG158">
        <f t="shared" si="496"/>
        <v>25</v>
      </c>
      <c r="BH158">
        <f t="shared" si="504"/>
        <v>11</v>
      </c>
      <c r="BI158">
        <f t="shared" si="512"/>
        <v>11</v>
      </c>
      <c r="BJ158">
        <f t="shared" si="520"/>
        <v>35</v>
      </c>
      <c r="BK158">
        <f t="shared" si="528"/>
        <v>4</v>
      </c>
      <c r="BL158">
        <f t="shared" si="536"/>
        <v>20</v>
      </c>
      <c r="BM158">
        <f t="shared" si="544"/>
        <v>48</v>
      </c>
      <c r="BZ158" s="12">
        <f t="shared" si="440"/>
        <v>-2.7936363636363635</v>
      </c>
      <c r="CA158" s="12">
        <f t="shared" si="472"/>
        <v>-2.7985714285713845</v>
      </c>
      <c r="CB158" s="12">
        <f t="shared" si="476"/>
        <v>-2.3143478260869377</v>
      </c>
      <c r="CC158" s="12">
        <f t="shared" si="485"/>
        <v>-2.513000000000011</v>
      </c>
      <c r="CD158" s="12">
        <f t="shared" si="493"/>
        <v>-2.838571428571413</v>
      </c>
      <c r="CE158" s="12">
        <f t="shared" si="501"/>
        <v>-1.6615999999999986</v>
      </c>
      <c r="CF158" s="12">
        <f t="shared" si="509"/>
        <v>-3.7727272727272729</v>
      </c>
      <c r="CG158" s="12">
        <f t="shared" si="517"/>
        <v>-4.2127272727272862</v>
      </c>
      <c r="CH158" s="12">
        <f t="shared" si="525"/>
        <v>-2.7854285714285911</v>
      </c>
      <c r="CI158" s="12">
        <f t="shared" si="533"/>
        <v>-8.5774999999998727</v>
      </c>
      <c r="CJ158" s="12">
        <f t="shared" si="541"/>
        <v>-0.67799999999997451</v>
      </c>
      <c r="CK158" s="12">
        <f t="shared" si="549"/>
        <v>-3.0420833333333426</v>
      </c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>
        <f t="shared" si="441"/>
        <v>-70.304847226412306</v>
      </c>
      <c r="CY158" s="12">
        <f t="shared" si="442"/>
        <v>-70.336912574712713</v>
      </c>
      <c r="CZ158" s="12">
        <f t="shared" si="443"/>
        <v>-66.631446734140908</v>
      </c>
      <c r="DA158" s="12">
        <f t="shared" si="444"/>
        <v>-68.30086917379252</v>
      </c>
      <c r="DB158" s="12">
        <f t="shared" si="445"/>
        <v>-70.593154750493497</v>
      </c>
      <c r="DC158" s="12">
        <f t="shared" si="446"/>
        <v>-58.959227609765762</v>
      </c>
      <c r="DD158" s="12">
        <f t="shared" si="447"/>
        <v>-75.154547917916176</v>
      </c>
      <c r="DE158" s="12">
        <f t="shared" si="448"/>
        <v>-76.646511563522878</v>
      </c>
      <c r="DF158" s="12">
        <f t="shared" si="449"/>
        <v>-70.251294521425621</v>
      </c>
      <c r="DG158" s="12">
        <f t="shared" si="450"/>
        <v>-83.350242970141906</v>
      </c>
      <c r="DH158" s="12">
        <f t="shared" si="451"/>
        <v>-34.137270681243898</v>
      </c>
      <c r="DI158" s="12">
        <f t="shared" si="452"/>
        <v>-71.803163361405623</v>
      </c>
      <c r="DJ158" t="s">
        <v>19</v>
      </c>
      <c r="DK158" t="str">
        <f t="shared" si="473"/>
        <v>LL</v>
      </c>
      <c r="DL158" t="str">
        <f t="shared" si="477"/>
        <v>HL</v>
      </c>
      <c r="DM158" t="str">
        <f t="shared" si="481"/>
        <v>LL</v>
      </c>
      <c r="DN158" t="str">
        <f t="shared" si="489"/>
        <v>HL</v>
      </c>
      <c r="DO158" t="str">
        <f t="shared" si="497"/>
        <v>HL</v>
      </c>
      <c r="DP158" t="str">
        <f t="shared" si="505"/>
        <v>HL</v>
      </c>
      <c r="DQ158" t="str">
        <f t="shared" si="513"/>
        <v>HL</v>
      </c>
      <c r="DR158" t="str">
        <f t="shared" si="521"/>
        <v>LL</v>
      </c>
      <c r="DS158" t="str">
        <f t="shared" si="529"/>
        <v>LL</v>
      </c>
      <c r="DT158" t="str">
        <f t="shared" si="537"/>
        <v>HL</v>
      </c>
      <c r="DU158" t="str">
        <f t="shared" si="545"/>
        <v>LL</v>
      </c>
      <c r="DV158">
        <f t="shared" si="453"/>
        <v>1.4698214916931924</v>
      </c>
      <c r="DW158">
        <f t="shared" si="454"/>
        <v>1.7826528808766462</v>
      </c>
      <c r="DX158">
        <f t="shared" si="482"/>
        <v>0.75203252032520251</v>
      </c>
      <c r="DY158">
        <f t="shared" si="490"/>
        <v>1.9412778366914283</v>
      </c>
      <c r="DZ158">
        <f t="shared" si="498"/>
        <v>1.7488511841640326</v>
      </c>
      <c r="EA158">
        <f t="shared" si="506"/>
        <v>0.31857546836338091</v>
      </c>
      <c r="EB158">
        <f t="shared" si="514"/>
        <v>-0.17651997172145154</v>
      </c>
      <c r="EC158">
        <f t="shared" si="522"/>
        <v>-0.35613290915517615</v>
      </c>
      <c r="ED158">
        <f t="shared" si="530"/>
        <v>1.0922587486744546</v>
      </c>
      <c r="EE158">
        <f t="shared" si="538"/>
        <v>1.3593584305408417</v>
      </c>
      <c r="EF158">
        <f t="shared" si="546"/>
        <v>0.63449982325910781</v>
      </c>
      <c r="EG158" s="13" t="str">
        <f t="shared" si="455"/>
        <v/>
      </c>
      <c r="EH158" s="13" t="str">
        <f t="shared" si="456"/>
        <v/>
      </c>
      <c r="EI158" s="13" t="str">
        <f t="shared" si="457"/>
        <v/>
      </c>
      <c r="EJ158" s="13" t="str">
        <f t="shared" si="458"/>
        <v/>
      </c>
      <c r="EK158" s="13" t="str">
        <f t="shared" si="459"/>
        <v/>
      </c>
      <c r="EL158" s="13" t="str">
        <f t="shared" si="460"/>
        <v/>
      </c>
      <c r="EM158" s="13" t="str">
        <f t="shared" si="461"/>
        <v/>
      </c>
      <c r="EN158" s="13" t="str">
        <f t="shared" si="462"/>
        <v/>
      </c>
      <c r="EO158" s="13" t="str">
        <f t="shared" si="463"/>
        <v/>
      </c>
      <c r="EP158" s="13" t="str">
        <f t="shared" si="464"/>
        <v/>
      </c>
      <c r="EQ158" s="13" t="str">
        <f t="shared" si="465"/>
        <v/>
      </c>
    </row>
    <row r="159" spans="1:147" ht="14.25" customHeight="1" x14ac:dyDescent="0.55000000000000004">
      <c r="A159">
        <v>1777905004</v>
      </c>
      <c r="B159" t="s">
        <v>16</v>
      </c>
      <c r="C159" t="s">
        <v>17</v>
      </c>
      <c r="D159">
        <v>4574.38</v>
      </c>
      <c r="E159" t="s">
        <v>20</v>
      </c>
      <c r="F159">
        <v>4583.16</v>
      </c>
      <c r="G159">
        <v>4618.59</v>
      </c>
      <c r="H159">
        <v>4632.1099999999997</v>
      </c>
      <c r="I159">
        <f t="shared" si="478"/>
        <v>4660.32</v>
      </c>
      <c r="J159">
        <f t="shared" si="486"/>
        <v>4635.83</v>
      </c>
      <c r="K159">
        <f t="shared" si="494"/>
        <v>4634.1400000000003</v>
      </c>
      <c r="L159">
        <f t="shared" si="502"/>
        <v>4647.1000000000004</v>
      </c>
      <c r="M159">
        <f t="shared" si="510"/>
        <v>4582.32</v>
      </c>
      <c r="N159">
        <f t="shared" si="518"/>
        <v>4564.75</v>
      </c>
      <c r="O159">
        <f t="shared" si="526"/>
        <v>4607.7700000000004</v>
      </c>
      <c r="P159">
        <f t="shared" si="534"/>
        <v>4610.1499999999996</v>
      </c>
      <c r="Q159">
        <f t="shared" si="542"/>
        <v>4601.49</v>
      </c>
      <c r="R159">
        <v>56.76</v>
      </c>
      <c r="S159">
        <f t="shared" si="466"/>
        <v>25.659999999999854</v>
      </c>
      <c r="T159">
        <f t="shared" si="467"/>
        <v>25.019999999999527</v>
      </c>
      <c r="U159">
        <f t="shared" si="483"/>
        <v>99.880000000000109</v>
      </c>
      <c r="V159">
        <f t="shared" si="491"/>
        <v>21.559999999999491</v>
      </c>
      <c r="W159">
        <f t="shared" si="499"/>
        <v>28.579999999999927</v>
      </c>
      <c r="X159">
        <f t="shared" si="507"/>
        <v>106.28000000000065</v>
      </c>
      <c r="Y159">
        <f t="shared" si="515"/>
        <v>63.909999999999854</v>
      </c>
      <c r="Z159">
        <f t="shared" si="523"/>
        <v>54.470000000000255</v>
      </c>
      <c r="AA159">
        <f t="shared" si="531"/>
        <v>31.930000000000291</v>
      </c>
      <c r="AB159">
        <f t="shared" si="539"/>
        <v>22.219999999999345</v>
      </c>
      <c r="AC159">
        <f t="shared" si="547"/>
        <v>46.369999999999891</v>
      </c>
      <c r="AD159">
        <v>1.25</v>
      </c>
      <c r="AE159" s="14">
        <f t="shared" si="468"/>
        <v>0.55868476114375476</v>
      </c>
      <c r="AF159" s="14">
        <f t="shared" si="469"/>
        <v>0.54307599808120799</v>
      </c>
      <c r="AG159" s="14">
        <f t="shared" si="484"/>
        <v>2.1901395479383594</v>
      </c>
      <c r="AH159" s="14">
        <f t="shared" si="492"/>
        <v>0.4672461732841704</v>
      </c>
      <c r="AI159" s="14">
        <f t="shared" si="500"/>
        <v>0.62055428655798484</v>
      </c>
      <c r="AJ159" s="14">
        <f t="shared" si="508"/>
        <v>2.3405464211309996</v>
      </c>
      <c r="AK159" s="14">
        <f t="shared" si="516"/>
        <v>1.4144356089863439</v>
      </c>
      <c r="AL159" s="14">
        <f t="shared" si="524"/>
        <v>1.2076855538902298</v>
      </c>
      <c r="AM159" s="14">
        <f t="shared" si="532"/>
        <v>0.69779537746075671</v>
      </c>
      <c r="AN159" s="14">
        <f t="shared" si="540"/>
        <v>0.48431427680891692</v>
      </c>
      <c r="AO159" s="14">
        <f t="shared" si="548"/>
        <v>1.0179753771580087</v>
      </c>
      <c r="AP159">
        <v>0</v>
      </c>
      <c r="AQ159">
        <f t="shared" si="470"/>
        <v>0</v>
      </c>
      <c r="AR159">
        <f t="shared" si="474"/>
        <v>0</v>
      </c>
      <c r="AS159">
        <f t="shared" si="479"/>
        <v>0</v>
      </c>
      <c r="AT159">
        <f t="shared" si="487"/>
        <v>0</v>
      </c>
      <c r="AU159">
        <f t="shared" si="495"/>
        <v>0</v>
      </c>
      <c r="AV159">
        <f t="shared" si="503"/>
        <v>0</v>
      </c>
      <c r="AW159">
        <f t="shared" si="511"/>
        <v>0</v>
      </c>
      <c r="AX159">
        <f t="shared" si="519"/>
        <v>0</v>
      </c>
      <c r="AY159">
        <f t="shared" si="527"/>
        <v>0</v>
      </c>
      <c r="AZ159">
        <f t="shared" si="535"/>
        <v>0</v>
      </c>
      <c r="BA159">
        <f t="shared" si="543"/>
        <v>0</v>
      </c>
      <c r="BB159">
        <v>17</v>
      </c>
      <c r="BC159">
        <f t="shared" si="471"/>
        <v>2</v>
      </c>
      <c r="BD159">
        <f t="shared" si="475"/>
        <v>4</v>
      </c>
      <c r="BE159">
        <f t="shared" si="480"/>
        <v>18</v>
      </c>
      <c r="BF159">
        <f t="shared" si="488"/>
        <v>4</v>
      </c>
      <c r="BG159">
        <f t="shared" si="496"/>
        <v>23</v>
      </c>
      <c r="BH159">
        <f t="shared" si="504"/>
        <v>24</v>
      </c>
      <c r="BI159">
        <f t="shared" si="512"/>
        <v>24</v>
      </c>
      <c r="BJ159">
        <f t="shared" si="520"/>
        <v>9</v>
      </c>
      <c r="BK159">
        <f t="shared" si="528"/>
        <v>16</v>
      </c>
      <c r="BL159">
        <f t="shared" si="536"/>
        <v>2</v>
      </c>
      <c r="BM159">
        <f t="shared" si="544"/>
        <v>22</v>
      </c>
      <c r="BZ159" s="12">
        <f t="shared" si="440"/>
        <v>3.3388235294117647</v>
      </c>
      <c r="CA159" s="12">
        <f t="shared" si="472"/>
        <v>12.829999999999927</v>
      </c>
      <c r="CB159" s="12">
        <f t="shared" si="476"/>
        <v>6.2549999999998818</v>
      </c>
      <c r="CC159" s="12">
        <f t="shared" si="485"/>
        <v>5.5488888888888948</v>
      </c>
      <c r="CD159" s="12">
        <f t="shared" si="493"/>
        <v>5.3899999999998727</v>
      </c>
      <c r="CE159" s="12">
        <f t="shared" si="501"/>
        <v>1.2426086956521707</v>
      </c>
      <c r="CF159" s="12">
        <f t="shared" si="509"/>
        <v>4.4283333333333603</v>
      </c>
      <c r="CG159" s="12">
        <f t="shared" si="517"/>
        <v>2.6629166666666606</v>
      </c>
      <c r="CH159" s="12">
        <f t="shared" si="525"/>
        <v>6.0522222222222508</v>
      </c>
      <c r="CI159" s="12">
        <f t="shared" si="533"/>
        <v>1.9956250000000182</v>
      </c>
      <c r="CJ159" s="12">
        <f t="shared" si="541"/>
        <v>11.109999999999673</v>
      </c>
      <c r="CK159" s="12">
        <f t="shared" si="549"/>
        <v>2.1077272727272676</v>
      </c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>
        <f t="shared" si="441"/>
        <v>73.326689838376339</v>
      </c>
      <c r="CY159" s="12">
        <f t="shared" si="442"/>
        <v>85.543244229697365</v>
      </c>
      <c r="CZ159" s="12">
        <f t="shared" si="443"/>
        <v>80.916868304956594</v>
      </c>
      <c r="DA159" s="12">
        <f t="shared" si="444"/>
        <v>79.78402483510132</v>
      </c>
      <c r="DB159" s="12">
        <f t="shared" si="445"/>
        <v>79.489491639297086</v>
      </c>
      <c r="DC159" s="12">
        <f t="shared" si="446"/>
        <v>51.174329586539592</v>
      </c>
      <c r="DD159" s="12">
        <f t="shared" si="447"/>
        <v>77.274982448283268</v>
      </c>
      <c r="DE159" s="12">
        <f t="shared" si="448"/>
        <v>69.417432596622106</v>
      </c>
      <c r="DF159" s="12">
        <f t="shared" si="449"/>
        <v>80.617866579981765</v>
      </c>
      <c r="DG159" s="12">
        <f t="shared" si="450"/>
        <v>63.384727140743927</v>
      </c>
      <c r="DH159" s="12">
        <f t="shared" si="451"/>
        <v>84.856723872655692</v>
      </c>
      <c r="DI159" s="12">
        <f t="shared" si="452"/>
        <v>64.618247505649492</v>
      </c>
      <c r="DJ159" t="s">
        <v>21</v>
      </c>
      <c r="DK159" t="str">
        <f t="shared" si="473"/>
        <v>LH</v>
      </c>
      <c r="DL159" t="str">
        <f t="shared" si="477"/>
        <v>LH</v>
      </c>
      <c r="DM159" t="str">
        <f t="shared" si="481"/>
        <v>HH</v>
      </c>
      <c r="DN159" t="str">
        <f t="shared" si="489"/>
        <v>HH</v>
      </c>
      <c r="DO159" t="str">
        <f t="shared" si="497"/>
        <v>LH</v>
      </c>
      <c r="DP159" t="str">
        <f t="shared" si="505"/>
        <v>HH</v>
      </c>
      <c r="DQ159" t="str">
        <f t="shared" si="513"/>
        <v>HH</v>
      </c>
      <c r="DR159" t="str">
        <f t="shared" si="521"/>
        <v>LH</v>
      </c>
      <c r="DS159" t="str">
        <f t="shared" si="529"/>
        <v>LH</v>
      </c>
      <c r="DT159" t="str">
        <f t="shared" si="537"/>
        <v>HH</v>
      </c>
      <c r="DU159" t="str">
        <f t="shared" si="545"/>
        <v>LH</v>
      </c>
      <c r="DV159">
        <f t="shared" si="453"/>
        <v>0.77304741706596092</v>
      </c>
      <c r="DW159">
        <f t="shared" si="454"/>
        <v>1.0680403913457051</v>
      </c>
      <c r="DX159">
        <f t="shared" si="482"/>
        <v>1.68355457806404</v>
      </c>
      <c r="DY159">
        <f t="shared" si="490"/>
        <v>1.14920709728659</v>
      </c>
      <c r="DZ159">
        <f t="shared" si="498"/>
        <v>1.1123329755016294</v>
      </c>
      <c r="EA159">
        <f t="shared" si="506"/>
        <v>1.3951073058763062</v>
      </c>
      <c r="EB159">
        <f t="shared" si="514"/>
        <v>-1.8327965857621063E-2</v>
      </c>
      <c r="EC159">
        <f t="shared" si="522"/>
        <v>-0.4016879183794555</v>
      </c>
      <c r="ED159">
        <f t="shared" si="530"/>
        <v>0.53696576161427012</v>
      </c>
      <c r="EE159">
        <f t="shared" si="538"/>
        <v>0.58889499821083668</v>
      </c>
      <c r="EF159">
        <f t="shared" si="546"/>
        <v>0.3999423978215888</v>
      </c>
      <c r="EG159" s="13" t="str">
        <f t="shared" si="455"/>
        <v/>
      </c>
      <c r="EH159" s="13" t="str">
        <f t="shared" si="456"/>
        <v/>
      </c>
      <c r="EI159" s="13" t="str">
        <f t="shared" si="457"/>
        <v/>
      </c>
      <c r="EJ159" s="13" t="str">
        <f t="shared" si="458"/>
        <v/>
      </c>
      <c r="EK159" s="13" t="str">
        <f t="shared" si="459"/>
        <v/>
      </c>
      <c r="EL159" s="13" t="str">
        <f t="shared" si="460"/>
        <v/>
      </c>
      <c r="EM159" s="13" t="str">
        <f t="shared" si="461"/>
        <v>EQH</v>
      </c>
      <c r="EN159" s="13" t="str">
        <f t="shared" si="462"/>
        <v/>
      </c>
      <c r="EO159" s="13" t="str">
        <f t="shared" si="463"/>
        <v/>
      </c>
      <c r="EP159" s="13" t="str">
        <f t="shared" si="464"/>
        <v/>
      </c>
      <c r="EQ159" s="13" t="str">
        <f t="shared" si="465"/>
        <v/>
      </c>
    </row>
    <row r="160" spans="1:147" ht="14.25" customHeight="1" x14ac:dyDescent="0.55000000000000004">
      <c r="A160">
        <v>1777910404</v>
      </c>
      <c r="B160" t="s">
        <v>16</v>
      </c>
      <c r="C160" t="s">
        <v>17</v>
      </c>
      <c r="D160">
        <v>4509.88</v>
      </c>
      <c r="E160" t="s">
        <v>18</v>
      </c>
      <c r="F160">
        <v>4500.8599999999997</v>
      </c>
      <c r="G160">
        <v>4526.3999999999996</v>
      </c>
      <c r="H160">
        <v>4592.93</v>
      </c>
      <c r="I160">
        <f t="shared" si="478"/>
        <v>4607.09</v>
      </c>
      <c r="J160">
        <f t="shared" si="486"/>
        <v>4560.4399999999996</v>
      </c>
      <c r="K160">
        <f t="shared" si="494"/>
        <v>4614.2700000000004</v>
      </c>
      <c r="L160">
        <f t="shared" si="502"/>
        <v>4605.5600000000004</v>
      </c>
      <c r="M160">
        <f t="shared" si="510"/>
        <v>4540.82</v>
      </c>
      <c r="N160">
        <f t="shared" si="518"/>
        <v>4518.41</v>
      </c>
      <c r="O160">
        <f t="shared" si="526"/>
        <v>4510.28</v>
      </c>
      <c r="P160">
        <f t="shared" si="534"/>
        <v>4575.84</v>
      </c>
      <c r="Q160">
        <f t="shared" si="542"/>
        <v>4587.93</v>
      </c>
      <c r="R160">
        <v>-82.3</v>
      </c>
      <c r="S160">
        <f t="shared" si="466"/>
        <v>-92.190000000000509</v>
      </c>
      <c r="T160">
        <f t="shared" si="467"/>
        <v>-39.179999999999382</v>
      </c>
      <c r="U160">
        <f t="shared" si="483"/>
        <v>-53.229999999999563</v>
      </c>
      <c r="V160">
        <f t="shared" si="491"/>
        <v>-75.390000000000327</v>
      </c>
      <c r="W160">
        <f t="shared" si="499"/>
        <v>-19.869999999999891</v>
      </c>
      <c r="X160">
        <f t="shared" si="507"/>
        <v>-41.539999999999964</v>
      </c>
      <c r="Y160">
        <f t="shared" si="515"/>
        <v>-41.5</v>
      </c>
      <c r="Z160">
        <f t="shared" si="523"/>
        <v>-46.340000000000146</v>
      </c>
      <c r="AA160">
        <f t="shared" si="531"/>
        <v>-97.490000000000691</v>
      </c>
      <c r="AB160">
        <f t="shared" si="539"/>
        <v>-34.309999999999491</v>
      </c>
      <c r="AC160">
        <f t="shared" si="547"/>
        <v>-13.559999999999491</v>
      </c>
      <c r="AD160">
        <v>-1.8</v>
      </c>
      <c r="AE160" s="14">
        <f t="shared" si="468"/>
        <v>-1.9960637337369307</v>
      </c>
      <c r="AF160" s="14">
        <f t="shared" si="469"/>
        <v>-0.84583483552850403</v>
      </c>
      <c r="AG160" s="14">
        <f t="shared" si="484"/>
        <v>-1.1421962440347351</v>
      </c>
      <c r="AH160" s="14">
        <f t="shared" si="492"/>
        <v>-1.6262460012554456</v>
      </c>
      <c r="AI160" s="14">
        <f t="shared" si="500"/>
        <v>-0.42877427095426313</v>
      </c>
      <c r="AJ160" s="14">
        <f t="shared" si="508"/>
        <v>-0.89389081362570111</v>
      </c>
      <c r="AK160" s="14">
        <f t="shared" si="516"/>
        <v>-0.90565477749262391</v>
      </c>
      <c r="AL160" s="14">
        <f t="shared" si="524"/>
        <v>-1.0151706007996089</v>
      </c>
      <c r="AM160" s="14">
        <f t="shared" si="532"/>
        <v>-2.1157740078172451</v>
      </c>
      <c r="AN160" s="14">
        <f t="shared" si="540"/>
        <v>-0.74422741125558811</v>
      </c>
      <c r="AO160" s="14">
        <f t="shared" si="548"/>
        <v>-0.29468715568217013</v>
      </c>
      <c r="AP160">
        <v>3</v>
      </c>
      <c r="AQ160">
        <f t="shared" si="470"/>
        <v>3</v>
      </c>
      <c r="AR160">
        <f t="shared" si="474"/>
        <v>3</v>
      </c>
      <c r="AS160">
        <f t="shared" si="479"/>
        <v>3</v>
      </c>
      <c r="AT160">
        <f t="shared" si="487"/>
        <v>3</v>
      </c>
      <c r="AU160">
        <f t="shared" si="495"/>
        <v>3</v>
      </c>
      <c r="AV160">
        <f t="shared" si="503"/>
        <v>3</v>
      </c>
      <c r="AW160">
        <f t="shared" si="511"/>
        <v>3</v>
      </c>
      <c r="AX160">
        <f t="shared" si="519"/>
        <v>3</v>
      </c>
      <c r="AY160">
        <f t="shared" si="527"/>
        <v>3</v>
      </c>
      <c r="AZ160">
        <f t="shared" si="535"/>
        <v>3</v>
      </c>
      <c r="BA160">
        <f t="shared" si="543"/>
        <v>3</v>
      </c>
      <c r="BB160">
        <v>6</v>
      </c>
      <c r="BC160">
        <f t="shared" si="471"/>
        <v>33</v>
      </c>
      <c r="BD160">
        <f t="shared" si="475"/>
        <v>14</v>
      </c>
      <c r="BE160">
        <f t="shared" si="480"/>
        <v>23</v>
      </c>
      <c r="BF160">
        <f t="shared" si="488"/>
        <v>30</v>
      </c>
      <c r="BG160">
        <f t="shared" si="496"/>
        <v>7</v>
      </c>
      <c r="BH160">
        <f t="shared" si="504"/>
        <v>25</v>
      </c>
      <c r="BI160">
        <f t="shared" si="512"/>
        <v>11</v>
      </c>
      <c r="BJ160">
        <f t="shared" si="520"/>
        <v>11</v>
      </c>
      <c r="BK160">
        <f t="shared" si="528"/>
        <v>35</v>
      </c>
      <c r="BL160">
        <f t="shared" si="536"/>
        <v>4</v>
      </c>
      <c r="BM160">
        <f t="shared" si="544"/>
        <v>20</v>
      </c>
      <c r="BZ160" s="12">
        <f t="shared" si="440"/>
        <v>-13.716666666666667</v>
      </c>
      <c r="CA160" s="12">
        <f t="shared" si="472"/>
        <v>-2.793636363636379</v>
      </c>
      <c r="CB160" s="12">
        <f t="shared" si="476"/>
        <v>-2.7985714285713845</v>
      </c>
      <c r="CC160" s="12">
        <f t="shared" si="485"/>
        <v>-2.3143478260869377</v>
      </c>
      <c r="CD160" s="12">
        <f t="shared" si="493"/>
        <v>-2.513000000000011</v>
      </c>
      <c r="CE160" s="12">
        <f t="shared" si="501"/>
        <v>-2.838571428571413</v>
      </c>
      <c r="CF160" s="12">
        <f t="shared" si="509"/>
        <v>-1.6615999999999986</v>
      </c>
      <c r="CG160" s="12">
        <f t="shared" si="517"/>
        <v>-3.7727272727272729</v>
      </c>
      <c r="CH160" s="12">
        <f t="shared" si="525"/>
        <v>-4.2127272727272862</v>
      </c>
      <c r="CI160" s="12">
        <f t="shared" si="533"/>
        <v>-2.7854285714285911</v>
      </c>
      <c r="CJ160" s="12">
        <f t="shared" si="541"/>
        <v>-8.5774999999998727</v>
      </c>
      <c r="CK160" s="12">
        <f t="shared" si="549"/>
        <v>-0.67799999999997451</v>
      </c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>
        <f t="shared" si="441"/>
        <v>-85.830284830089525</v>
      </c>
      <c r="CY160" s="12">
        <f t="shared" si="442"/>
        <v>-70.304847226412406</v>
      </c>
      <c r="CZ160" s="12">
        <f t="shared" si="443"/>
        <v>-70.336912574712713</v>
      </c>
      <c r="DA160" s="12">
        <f t="shared" si="444"/>
        <v>-66.631446734140908</v>
      </c>
      <c r="DB160" s="12">
        <f t="shared" si="445"/>
        <v>-68.30086917379252</v>
      </c>
      <c r="DC160" s="12">
        <f t="shared" si="446"/>
        <v>-70.593154750493497</v>
      </c>
      <c r="DD160" s="12">
        <f t="shared" si="447"/>
        <v>-58.959227609765762</v>
      </c>
      <c r="DE160" s="12">
        <f t="shared" si="448"/>
        <v>-75.154547917916176</v>
      </c>
      <c r="DF160" s="12">
        <f t="shared" si="449"/>
        <v>-76.646511563522878</v>
      </c>
      <c r="DG160" s="12">
        <f t="shared" si="450"/>
        <v>-70.251294521425621</v>
      </c>
      <c r="DH160" s="12">
        <f t="shared" si="451"/>
        <v>-83.350242970141906</v>
      </c>
      <c r="DI160" s="12">
        <f t="shared" si="452"/>
        <v>-34.137270681243898</v>
      </c>
      <c r="DJ160" t="s">
        <v>19</v>
      </c>
      <c r="DK160" t="str">
        <f t="shared" si="473"/>
        <v>LL</v>
      </c>
      <c r="DL160" t="str">
        <f t="shared" si="477"/>
        <v>LL</v>
      </c>
      <c r="DM160" t="str">
        <f t="shared" si="481"/>
        <v>HL</v>
      </c>
      <c r="DN160" t="str">
        <f t="shared" si="489"/>
        <v>LL</v>
      </c>
      <c r="DO160" t="str">
        <f t="shared" si="497"/>
        <v>HL</v>
      </c>
      <c r="DP160" t="str">
        <f t="shared" si="505"/>
        <v>HL</v>
      </c>
      <c r="DQ160" t="str">
        <f t="shared" si="513"/>
        <v>HL</v>
      </c>
      <c r="DR160" t="str">
        <f t="shared" si="521"/>
        <v>HL</v>
      </c>
      <c r="DS160" t="str">
        <f t="shared" si="529"/>
        <v>LL</v>
      </c>
      <c r="DT160" t="str">
        <f t="shared" si="537"/>
        <v>LL</v>
      </c>
      <c r="DU160" t="str">
        <f t="shared" si="545"/>
        <v>HL</v>
      </c>
      <c r="DV160">
        <f t="shared" si="453"/>
        <v>0.56744711010784532</v>
      </c>
      <c r="DW160">
        <f t="shared" si="454"/>
        <v>2.0456090613793947</v>
      </c>
      <c r="DX160">
        <f t="shared" si="482"/>
        <v>2.3602156032402801</v>
      </c>
      <c r="DY160">
        <f t="shared" si="490"/>
        <v>1.3237470172367043</v>
      </c>
      <c r="DZ160">
        <f t="shared" si="498"/>
        <v>2.5197406717827433</v>
      </c>
      <c r="EA160">
        <f t="shared" si="506"/>
        <v>2.3262220997765035</v>
      </c>
      <c r="EB160">
        <f t="shared" si="514"/>
        <v>0.88783032575996679</v>
      </c>
      <c r="EC160">
        <f t="shared" si="522"/>
        <v>0.3899254809080972</v>
      </c>
      <c r="ED160">
        <f t="shared" si="530"/>
        <v>0.20929333505152514</v>
      </c>
      <c r="EE160">
        <f t="shared" si="538"/>
        <v>1.6659038494865532</v>
      </c>
      <c r="EF160">
        <f t="shared" si="546"/>
        <v>1.9345191807787983</v>
      </c>
      <c r="EG160" s="13" t="str">
        <f t="shared" si="455"/>
        <v/>
      </c>
      <c r="EH160" s="13" t="str">
        <f t="shared" si="456"/>
        <v/>
      </c>
      <c r="EI160" s="13" t="str">
        <f t="shared" si="457"/>
        <v/>
      </c>
      <c r="EJ160" s="13" t="str">
        <f t="shared" si="458"/>
        <v/>
      </c>
      <c r="EK160" s="13" t="str">
        <f t="shared" si="459"/>
        <v/>
      </c>
      <c r="EL160" s="13" t="str">
        <f t="shared" si="460"/>
        <v/>
      </c>
      <c r="EM160" s="13" t="str">
        <f t="shared" si="461"/>
        <v/>
      </c>
      <c r="EN160" s="13" t="str">
        <f t="shared" si="462"/>
        <v/>
      </c>
      <c r="EO160" s="13" t="str">
        <f t="shared" si="463"/>
        <v/>
      </c>
      <c r="EP160" s="13" t="str">
        <f t="shared" si="464"/>
        <v/>
      </c>
      <c r="EQ160" s="13" t="str">
        <f t="shared" si="465"/>
        <v/>
      </c>
    </row>
    <row r="161" spans="1:147" ht="14.25" customHeight="1" x14ac:dyDescent="0.55000000000000004">
      <c r="A161">
        <v>1777939204</v>
      </c>
      <c r="B161" t="s">
        <v>16</v>
      </c>
      <c r="C161" t="s">
        <v>17</v>
      </c>
      <c r="D161">
        <v>4527.7700000000004</v>
      </c>
      <c r="E161" t="s">
        <v>20</v>
      </c>
      <c r="F161">
        <v>4528.57</v>
      </c>
      <c r="G161">
        <v>4583.16</v>
      </c>
      <c r="H161">
        <v>4618.59</v>
      </c>
      <c r="I161">
        <f t="shared" si="478"/>
        <v>4632.1099999999997</v>
      </c>
      <c r="J161">
        <f t="shared" si="486"/>
        <v>4660.32</v>
      </c>
      <c r="K161">
        <f t="shared" si="494"/>
        <v>4635.83</v>
      </c>
      <c r="L161">
        <f t="shared" si="502"/>
        <v>4634.1400000000003</v>
      </c>
      <c r="M161">
        <f t="shared" si="510"/>
        <v>4647.1000000000004</v>
      </c>
      <c r="N161">
        <f t="shared" si="518"/>
        <v>4582.32</v>
      </c>
      <c r="O161">
        <f t="shared" si="526"/>
        <v>4564.75</v>
      </c>
      <c r="P161">
        <f t="shared" si="534"/>
        <v>4607.7700000000004</v>
      </c>
      <c r="Q161">
        <f t="shared" si="542"/>
        <v>4610.1499999999996</v>
      </c>
      <c r="R161">
        <v>27.71</v>
      </c>
      <c r="S161">
        <f t="shared" si="466"/>
        <v>56.760000000000218</v>
      </c>
      <c r="T161">
        <f t="shared" si="467"/>
        <v>25.659999999999854</v>
      </c>
      <c r="U161">
        <f t="shared" si="483"/>
        <v>25.019999999999527</v>
      </c>
      <c r="V161">
        <f t="shared" si="491"/>
        <v>99.880000000000109</v>
      </c>
      <c r="W161">
        <f t="shared" si="499"/>
        <v>21.559999999999491</v>
      </c>
      <c r="X161">
        <f t="shared" si="507"/>
        <v>28.579999999999927</v>
      </c>
      <c r="Y161">
        <f t="shared" si="515"/>
        <v>106.28000000000065</v>
      </c>
      <c r="Z161">
        <f t="shared" si="523"/>
        <v>63.909999999999854</v>
      </c>
      <c r="AA161">
        <f t="shared" si="531"/>
        <v>54.470000000000255</v>
      </c>
      <c r="AB161">
        <f t="shared" si="539"/>
        <v>31.930000000000291</v>
      </c>
      <c r="AC161">
        <f t="shared" si="547"/>
        <v>22.219999999999345</v>
      </c>
      <c r="AD161">
        <v>0.62</v>
      </c>
      <c r="AE161" s="14">
        <f t="shared" si="468"/>
        <v>1.2539766702014894</v>
      </c>
      <c r="AF161" s="14">
        <f t="shared" si="469"/>
        <v>0.55868476114375476</v>
      </c>
      <c r="AG161" s="14">
        <f t="shared" si="484"/>
        <v>0.54307599808120799</v>
      </c>
      <c r="AH161" s="14">
        <f t="shared" si="492"/>
        <v>2.1901395479383594</v>
      </c>
      <c r="AI161" s="14">
        <f t="shared" si="500"/>
        <v>0.4672461732841704</v>
      </c>
      <c r="AJ161" s="14">
        <f t="shared" si="508"/>
        <v>0.62055428655798484</v>
      </c>
      <c r="AK161" s="14">
        <f t="shared" si="516"/>
        <v>2.3405464211309996</v>
      </c>
      <c r="AL161" s="14">
        <f t="shared" si="524"/>
        <v>1.4144356089863439</v>
      </c>
      <c r="AM161" s="14">
        <f t="shared" si="532"/>
        <v>1.2076855538902298</v>
      </c>
      <c r="AN161" s="14">
        <f t="shared" si="540"/>
        <v>0.69779537746075671</v>
      </c>
      <c r="AO161" s="14">
        <f t="shared" si="548"/>
        <v>0.48431427680891692</v>
      </c>
      <c r="AP161">
        <v>0</v>
      </c>
      <c r="AQ161">
        <f t="shared" si="470"/>
        <v>0</v>
      </c>
      <c r="AR161">
        <f t="shared" si="474"/>
        <v>0</v>
      </c>
      <c r="AS161">
        <f t="shared" si="479"/>
        <v>0</v>
      </c>
      <c r="AT161">
        <f t="shared" si="487"/>
        <v>0</v>
      </c>
      <c r="AU161">
        <f t="shared" si="495"/>
        <v>0</v>
      </c>
      <c r="AV161">
        <f t="shared" si="503"/>
        <v>0</v>
      </c>
      <c r="AW161">
        <f t="shared" si="511"/>
        <v>0</v>
      </c>
      <c r="AX161">
        <f t="shared" si="519"/>
        <v>0</v>
      </c>
      <c r="AY161">
        <f t="shared" si="527"/>
        <v>0</v>
      </c>
      <c r="AZ161">
        <f t="shared" si="535"/>
        <v>0</v>
      </c>
      <c r="BA161">
        <f t="shared" si="543"/>
        <v>0</v>
      </c>
      <c r="BB161">
        <v>28</v>
      </c>
      <c r="BC161">
        <f t="shared" si="471"/>
        <v>17</v>
      </c>
      <c r="BD161">
        <f t="shared" si="475"/>
        <v>2</v>
      </c>
      <c r="BE161">
        <f t="shared" si="480"/>
        <v>4</v>
      </c>
      <c r="BF161">
        <f t="shared" si="488"/>
        <v>18</v>
      </c>
      <c r="BG161">
        <f t="shared" si="496"/>
        <v>4</v>
      </c>
      <c r="BH161">
        <f t="shared" si="504"/>
        <v>23</v>
      </c>
      <c r="BI161">
        <f t="shared" si="512"/>
        <v>24</v>
      </c>
      <c r="BJ161">
        <f t="shared" si="520"/>
        <v>24</v>
      </c>
      <c r="BK161">
        <f t="shared" si="528"/>
        <v>9</v>
      </c>
      <c r="BL161">
        <f t="shared" si="536"/>
        <v>16</v>
      </c>
      <c r="BM161">
        <f t="shared" si="544"/>
        <v>2</v>
      </c>
      <c r="BZ161" s="12">
        <f t="shared" si="440"/>
        <v>0.98964285714285716</v>
      </c>
      <c r="CA161" s="12">
        <f t="shared" si="472"/>
        <v>3.3388235294117776</v>
      </c>
      <c r="CB161" s="12">
        <f t="shared" si="476"/>
        <v>12.829999999999927</v>
      </c>
      <c r="CC161" s="12">
        <f t="shared" si="485"/>
        <v>6.2549999999998818</v>
      </c>
      <c r="CD161" s="12">
        <f t="shared" si="493"/>
        <v>5.5488888888888948</v>
      </c>
      <c r="CE161" s="12">
        <f t="shared" si="501"/>
        <v>5.3899999999998727</v>
      </c>
      <c r="CF161" s="12">
        <f t="shared" si="509"/>
        <v>1.2426086956521707</v>
      </c>
      <c r="CG161" s="12">
        <f t="shared" si="517"/>
        <v>4.4283333333333603</v>
      </c>
      <c r="CH161" s="12">
        <f t="shared" si="525"/>
        <v>2.6629166666666606</v>
      </c>
      <c r="CI161" s="12">
        <f t="shared" si="533"/>
        <v>6.0522222222222508</v>
      </c>
      <c r="CJ161" s="12">
        <f t="shared" si="541"/>
        <v>1.9956250000000182</v>
      </c>
      <c r="CK161" s="12">
        <f t="shared" si="549"/>
        <v>11.109999999999673</v>
      </c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>
        <f t="shared" si="441"/>
        <v>44.701747873288824</v>
      </c>
      <c r="CY161" s="12">
        <f t="shared" si="442"/>
        <v>73.326689838376396</v>
      </c>
      <c r="CZ161" s="12">
        <f t="shared" si="443"/>
        <v>85.543244229697365</v>
      </c>
      <c r="DA161" s="12">
        <f t="shared" si="444"/>
        <v>80.916868304956594</v>
      </c>
      <c r="DB161" s="12">
        <f t="shared" si="445"/>
        <v>79.78402483510132</v>
      </c>
      <c r="DC161" s="12">
        <f t="shared" si="446"/>
        <v>79.489491639297086</v>
      </c>
      <c r="DD161" s="12">
        <f t="shared" si="447"/>
        <v>51.174329586539592</v>
      </c>
      <c r="DE161" s="12">
        <f t="shared" si="448"/>
        <v>77.274982448283268</v>
      </c>
      <c r="DF161" s="12">
        <f t="shared" si="449"/>
        <v>69.417432596622106</v>
      </c>
      <c r="DG161" s="12">
        <f t="shared" si="450"/>
        <v>80.617866579981765</v>
      </c>
      <c r="DH161" s="12">
        <f t="shared" si="451"/>
        <v>63.384727140743927</v>
      </c>
      <c r="DI161" s="12">
        <f t="shared" si="452"/>
        <v>84.856723872655692</v>
      </c>
      <c r="DJ161" t="s">
        <v>21</v>
      </c>
      <c r="DK161" t="str">
        <f t="shared" si="473"/>
        <v>LH</v>
      </c>
      <c r="DL161" t="str">
        <f t="shared" si="477"/>
        <v>LH</v>
      </c>
      <c r="DM161" t="str">
        <f t="shared" si="481"/>
        <v>LH</v>
      </c>
      <c r="DN161" t="str">
        <f t="shared" si="489"/>
        <v>HH</v>
      </c>
      <c r="DO161" t="str">
        <f t="shared" si="497"/>
        <v>HH</v>
      </c>
      <c r="DP161" t="str">
        <f t="shared" si="505"/>
        <v>LH</v>
      </c>
      <c r="DQ161" t="str">
        <f t="shared" si="513"/>
        <v>HH</v>
      </c>
      <c r="DR161" t="str">
        <f t="shared" si="521"/>
        <v>HH</v>
      </c>
      <c r="DS161" t="str">
        <f t="shared" si="529"/>
        <v>LH</v>
      </c>
      <c r="DT161" t="str">
        <f t="shared" si="537"/>
        <v>LH</v>
      </c>
      <c r="DU161" t="str">
        <f t="shared" si="545"/>
        <v>HH</v>
      </c>
      <c r="DV161">
        <f t="shared" si="453"/>
        <v>1.2054577935198119</v>
      </c>
      <c r="DW161">
        <f t="shared" si="454"/>
        <v>1.9878239709223982</v>
      </c>
      <c r="DX161">
        <f t="shared" si="482"/>
        <v>2.2863729610009336</v>
      </c>
      <c r="DY161">
        <f t="shared" si="490"/>
        <v>2.9093069114532843</v>
      </c>
      <c r="DZ161">
        <f t="shared" si="498"/>
        <v>2.3685180973243258</v>
      </c>
      <c r="EA161">
        <f t="shared" si="506"/>
        <v>2.3311994735645167</v>
      </c>
      <c r="EB161">
        <f t="shared" si="514"/>
        <v>2.6173825291427684</v>
      </c>
      <c r="EC161">
        <f t="shared" si="522"/>
        <v>1.1869088917693666</v>
      </c>
      <c r="ED161">
        <f t="shared" si="530"/>
        <v>0.79892769682262366</v>
      </c>
      <c r="EE161">
        <f t="shared" si="538"/>
        <v>1.7488964507559945</v>
      </c>
      <c r="EF161">
        <f t="shared" si="546"/>
        <v>1.8014516723822296</v>
      </c>
      <c r="EG161" s="13" t="str">
        <f t="shared" si="455"/>
        <v/>
      </c>
      <c r="EH161" s="13" t="str">
        <f t="shared" si="456"/>
        <v/>
      </c>
      <c r="EI161" s="13" t="str">
        <f t="shared" si="457"/>
        <v/>
      </c>
      <c r="EJ161" s="13" t="str">
        <f t="shared" si="458"/>
        <v/>
      </c>
      <c r="EK161" s="13" t="str">
        <f t="shared" si="459"/>
        <v/>
      </c>
      <c r="EL161" s="13" t="str">
        <f t="shared" si="460"/>
        <v/>
      </c>
      <c r="EM161" s="13" t="str">
        <f t="shared" si="461"/>
        <v/>
      </c>
      <c r="EN161" s="13" t="str">
        <f t="shared" si="462"/>
        <v/>
      </c>
      <c r="EO161" s="13" t="str">
        <f t="shared" si="463"/>
        <v/>
      </c>
      <c r="EP161" s="13" t="str">
        <f t="shared" si="464"/>
        <v/>
      </c>
      <c r="EQ161" s="13" t="str">
        <f t="shared" si="465"/>
        <v/>
      </c>
    </row>
    <row r="162" spans="1:147" ht="14.25" customHeight="1" x14ac:dyDescent="0.55000000000000004">
      <c r="A162">
        <v>1777940104</v>
      </c>
      <c r="B162" t="s">
        <v>16</v>
      </c>
      <c r="C162" t="s">
        <v>17</v>
      </c>
      <c r="D162">
        <v>4517.12</v>
      </c>
      <c r="E162" t="s">
        <v>18</v>
      </c>
      <c r="F162">
        <v>4513.5600000000004</v>
      </c>
      <c r="G162">
        <v>4500.8599999999997</v>
      </c>
      <c r="H162">
        <v>4526.3999999999996</v>
      </c>
      <c r="I162">
        <f t="shared" si="478"/>
        <v>4592.93</v>
      </c>
      <c r="J162">
        <f t="shared" si="486"/>
        <v>4607.09</v>
      </c>
      <c r="K162">
        <f t="shared" si="494"/>
        <v>4560.4399999999996</v>
      </c>
      <c r="L162">
        <f t="shared" si="502"/>
        <v>4614.2700000000004</v>
      </c>
      <c r="M162">
        <f t="shared" si="510"/>
        <v>4605.5600000000004</v>
      </c>
      <c r="N162">
        <f t="shared" si="518"/>
        <v>4540.82</v>
      </c>
      <c r="O162">
        <f t="shared" si="526"/>
        <v>4518.41</v>
      </c>
      <c r="P162">
        <f t="shared" si="534"/>
        <v>4510.28</v>
      </c>
      <c r="Q162">
        <f t="shared" si="542"/>
        <v>4575.84</v>
      </c>
      <c r="R162" s="1">
        <v>-15.01</v>
      </c>
      <c r="S162">
        <f t="shared" si="466"/>
        <v>-82.300000000000182</v>
      </c>
      <c r="T162">
        <f t="shared" si="467"/>
        <v>-92.190000000000509</v>
      </c>
      <c r="U162">
        <f t="shared" si="483"/>
        <v>-39.179999999999382</v>
      </c>
      <c r="V162">
        <f t="shared" si="491"/>
        <v>-53.229999999999563</v>
      </c>
      <c r="W162">
        <f t="shared" si="499"/>
        <v>-75.390000000000327</v>
      </c>
      <c r="X162">
        <f t="shared" si="507"/>
        <v>-19.869999999999891</v>
      </c>
      <c r="Y162">
        <f t="shared" si="515"/>
        <v>-41.539999999999964</v>
      </c>
      <c r="Z162">
        <f t="shared" si="523"/>
        <v>-41.5</v>
      </c>
      <c r="AA162">
        <f t="shared" si="531"/>
        <v>-46.340000000000146</v>
      </c>
      <c r="AB162">
        <f t="shared" si="539"/>
        <v>-97.490000000000691</v>
      </c>
      <c r="AC162">
        <f t="shared" si="547"/>
        <v>-34.309999999999491</v>
      </c>
      <c r="AD162">
        <v>-0.33</v>
      </c>
      <c r="AE162" s="14">
        <f t="shared" si="468"/>
        <v>-1.7957042739070901</v>
      </c>
      <c r="AF162" s="14">
        <f t="shared" si="469"/>
        <v>-1.9960637337369307</v>
      </c>
      <c r="AG162" s="14">
        <f t="shared" si="484"/>
        <v>-0.84583483552850403</v>
      </c>
      <c r="AH162" s="14">
        <f t="shared" si="492"/>
        <v>-1.1421962440347351</v>
      </c>
      <c r="AI162" s="14">
        <f t="shared" si="500"/>
        <v>-1.6262460012554456</v>
      </c>
      <c r="AJ162" s="14">
        <f t="shared" si="508"/>
        <v>-0.42877427095426313</v>
      </c>
      <c r="AK162" s="14">
        <f t="shared" si="516"/>
        <v>-0.89389081362570111</v>
      </c>
      <c r="AL162" s="14">
        <f t="shared" si="524"/>
        <v>-0.90565477749262391</v>
      </c>
      <c r="AM162" s="14">
        <f t="shared" si="532"/>
        <v>-1.0151706007996089</v>
      </c>
      <c r="AN162" s="14">
        <f t="shared" si="540"/>
        <v>-2.1157740078172451</v>
      </c>
      <c r="AO162" s="14">
        <f t="shared" si="548"/>
        <v>-0.74422741125558811</v>
      </c>
      <c r="AP162">
        <v>3</v>
      </c>
      <c r="AQ162">
        <f t="shared" si="470"/>
        <v>3</v>
      </c>
      <c r="AR162">
        <f t="shared" si="474"/>
        <v>3</v>
      </c>
      <c r="AS162">
        <f t="shared" si="479"/>
        <v>3</v>
      </c>
      <c r="AT162">
        <f t="shared" si="487"/>
        <v>3</v>
      </c>
      <c r="AU162">
        <f t="shared" si="495"/>
        <v>3</v>
      </c>
      <c r="AV162">
        <f t="shared" si="503"/>
        <v>3</v>
      </c>
      <c r="AW162">
        <f t="shared" si="511"/>
        <v>3</v>
      </c>
      <c r="AX162">
        <f t="shared" si="519"/>
        <v>3</v>
      </c>
      <c r="AY162">
        <f t="shared" si="527"/>
        <v>3</v>
      </c>
      <c r="AZ162">
        <f t="shared" si="535"/>
        <v>3</v>
      </c>
      <c r="BA162">
        <f t="shared" si="543"/>
        <v>3</v>
      </c>
      <c r="BB162">
        <v>1</v>
      </c>
      <c r="BC162">
        <f t="shared" si="471"/>
        <v>6</v>
      </c>
      <c r="BD162">
        <f t="shared" si="475"/>
        <v>33</v>
      </c>
      <c r="BE162">
        <f t="shared" si="480"/>
        <v>14</v>
      </c>
      <c r="BF162">
        <f t="shared" si="488"/>
        <v>23</v>
      </c>
      <c r="BG162">
        <f t="shared" si="496"/>
        <v>30</v>
      </c>
      <c r="BH162">
        <f t="shared" si="504"/>
        <v>7</v>
      </c>
      <c r="BI162">
        <f t="shared" si="512"/>
        <v>25</v>
      </c>
      <c r="BJ162">
        <f t="shared" si="520"/>
        <v>11</v>
      </c>
      <c r="BK162">
        <f t="shared" si="528"/>
        <v>11</v>
      </c>
      <c r="BL162">
        <f t="shared" si="536"/>
        <v>35</v>
      </c>
      <c r="BM162">
        <f t="shared" si="544"/>
        <v>4</v>
      </c>
      <c r="BZ162" s="12">
        <f t="shared" ref="BZ162:BZ170" si="550">IFERROR(R162/BB162,0)</f>
        <v>-15.01</v>
      </c>
      <c r="CA162" s="12">
        <f t="shared" si="472"/>
        <v>-13.716666666666697</v>
      </c>
      <c r="CB162" s="12">
        <f t="shared" si="476"/>
        <v>-2.793636363636379</v>
      </c>
      <c r="CC162" s="12">
        <f t="shared" si="485"/>
        <v>-2.7985714285713845</v>
      </c>
      <c r="CD162" s="12">
        <f t="shared" si="493"/>
        <v>-2.3143478260869377</v>
      </c>
      <c r="CE162" s="12">
        <f t="shared" si="501"/>
        <v>-2.513000000000011</v>
      </c>
      <c r="CF162" s="12">
        <f t="shared" si="509"/>
        <v>-2.838571428571413</v>
      </c>
      <c r="CG162" s="12">
        <f t="shared" si="517"/>
        <v>-1.6615999999999986</v>
      </c>
      <c r="CH162" s="12">
        <f t="shared" si="525"/>
        <v>-3.7727272727272729</v>
      </c>
      <c r="CI162" s="12">
        <f t="shared" si="533"/>
        <v>-4.2127272727272862</v>
      </c>
      <c r="CJ162" s="12">
        <f t="shared" si="541"/>
        <v>-2.7854285714285911</v>
      </c>
      <c r="CK162" s="12">
        <f t="shared" si="549"/>
        <v>-8.5774999999998727</v>
      </c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>
        <f t="shared" ref="CX162:CX170" si="551">IF(BZ162="","",DEGREES(ATAN(BZ162)))</f>
        <v>-86.188458695644456</v>
      </c>
      <c r="CY162" s="12">
        <f t="shared" ref="CY162:CY170" si="552">IF(CA162="","",DEGREES(ATAN(CA162)))</f>
        <v>-85.830284830089539</v>
      </c>
      <c r="CZ162" s="12">
        <f t="shared" ref="CZ162:CZ170" si="553">IF(CB162="","",DEGREES(ATAN(CB162)))</f>
        <v>-70.304847226412406</v>
      </c>
      <c r="DA162" s="12">
        <f t="shared" ref="DA162:DA170" si="554">IF(CC162="","",DEGREES(ATAN(CC162)))</f>
        <v>-70.336912574712713</v>
      </c>
      <c r="DB162" s="12">
        <f t="shared" ref="DB162:DB170" si="555">IF(CD162="","",DEGREES(ATAN(CD162)))</f>
        <v>-66.631446734140908</v>
      </c>
      <c r="DC162" s="12">
        <f t="shared" ref="DC162:DC170" si="556">IF(CE162="","",DEGREES(ATAN(CE162)))</f>
        <v>-68.30086917379252</v>
      </c>
      <c r="DD162" s="12">
        <f t="shared" ref="DD162:DD170" si="557">IF(CF162="","",DEGREES(ATAN(CF162)))</f>
        <v>-70.593154750493497</v>
      </c>
      <c r="DE162" s="12">
        <f t="shared" ref="DE162:DE170" si="558">IF(CG162="","",DEGREES(ATAN(CG162)))</f>
        <v>-58.959227609765762</v>
      </c>
      <c r="DF162" s="12">
        <f t="shared" ref="DF162:DF170" si="559">IF(CH162="","",DEGREES(ATAN(CH162)))</f>
        <v>-75.154547917916176</v>
      </c>
      <c r="DG162" s="12">
        <f t="shared" ref="DG162:DG170" si="560">IF(CI162="","",DEGREES(ATAN(CI162)))</f>
        <v>-76.646511563522878</v>
      </c>
      <c r="DH162" s="12">
        <f t="shared" ref="DH162:DH170" si="561">IF(CJ162="","",DEGREES(ATAN(CJ162)))</f>
        <v>-70.251294521425621</v>
      </c>
      <c r="DI162" s="12">
        <f t="shared" ref="DI162:DI170" si="562">IF(CK162="","",DEGREES(ATAN(CK162)))</f>
        <v>-83.350242970141906</v>
      </c>
      <c r="DJ162" s="1" t="s">
        <v>22</v>
      </c>
      <c r="DK162" t="str">
        <f t="shared" si="473"/>
        <v>LL</v>
      </c>
      <c r="DL162" t="str">
        <f t="shared" si="477"/>
        <v>LL</v>
      </c>
      <c r="DM162" t="str">
        <f t="shared" si="481"/>
        <v>LL</v>
      </c>
      <c r="DN162" t="str">
        <f t="shared" si="489"/>
        <v>HL</v>
      </c>
      <c r="DO162" t="str">
        <f t="shared" si="497"/>
        <v>LL</v>
      </c>
      <c r="DP162" t="str">
        <f t="shared" si="505"/>
        <v>HL</v>
      </c>
      <c r="DQ162" t="str">
        <f t="shared" si="513"/>
        <v>HL</v>
      </c>
      <c r="DR162" t="str">
        <f t="shared" si="521"/>
        <v>HL</v>
      </c>
      <c r="DS162" t="str">
        <f t="shared" si="529"/>
        <v>HL</v>
      </c>
      <c r="DT162" t="str">
        <f t="shared" si="537"/>
        <v>LL</v>
      </c>
      <c r="DU162" t="str">
        <f t="shared" si="545"/>
        <v>LL</v>
      </c>
      <c r="DV162">
        <f t="shared" ref="DV162:DV170" si="563">IFERROR(((G162-$F162)/$F162)*100,0)</f>
        <v>-0.28137434752170626</v>
      </c>
      <c r="DW162">
        <f t="shared" ref="DW162:DW170" si="564">IFERROR(((H162-$F162)/$F162)*100,0)</f>
        <v>0.28447611198254225</v>
      </c>
      <c r="DX162">
        <f t="shared" si="482"/>
        <v>1.7584788947083874</v>
      </c>
      <c r="DY162">
        <f t="shared" si="490"/>
        <v>2.0722002144648513</v>
      </c>
      <c r="DZ162">
        <f t="shared" si="498"/>
        <v>1.0386479851824104</v>
      </c>
      <c r="EA162">
        <f t="shared" si="506"/>
        <v>2.2312764203865689</v>
      </c>
      <c r="EB162">
        <f t="shared" si="514"/>
        <v>2.038302359999645</v>
      </c>
      <c r="EC162">
        <f t="shared" si="522"/>
        <v>0.6039578514520535</v>
      </c>
      <c r="ED162">
        <f t="shared" si="530"/>
        <v>0.10745398310866487</v>
      </c>
      <c r="EE162">
        <f t="shared" si="538"/>
        <v>-7.2669910226088819E-2</v>
      </c>
      <c r="EF162">
        <f t="shared" si="546"/>
        <v>1.3798420758780152</v>
      </c>
      <c r="EG162" s="13" t="str">
        <f t="shared" ref="EG162:EG170" si="565">IF(DV162="","",IF(AND(ABS(DV162)&lt;=0.25,$E162="Bottom",DJ162="LL"),"EQL",IF(AND(ABS(DV162)&lt;=0.25,$E162="Peak",DJ162="HH"),"EQH","")))</f>
        <v/>
      </c>
      <c r="EH162" s="13" t="str">
        <f t="shared" ref="EH162:EH170" si="566">IF(DW162="","",IF(AND(ABS(DW162)&lt;=0.25,$E162="Bottom",DK162="LL"),"EQL",IF(AND(ABS(DW162)&lt;=0.25,$E162="Peak",DK162="HH"),"EQH","")))</f>
        <v/>
      </c>
      <c r="EI162" s="13" t="str">
        <f t="shared" ref="EI162:EI170" si="567">IF(DX162="","",IF(AND(ABS(DX162)&lt;=0.25,$E162="Bottom",DL162="LL"),"EQL",IF(AND(ABS(DX162)&lt;=0.25,$E162="Peak",DL162="HH"),"EQH","")))</f>
        <v/>
      </c>
      <c r="EJ162" s="13" t="str">
        <f t="shared" ref="EJ162:EJ170" si="568">IF(DY162="","",IF(AND(ABS(DY162)&lt;=0.25,$E162="Bottom",DM162="LL"),"EQL",IF(AND(ABS(DY162)&lt;=0.25,$E162="Peak",DM162="HH"),"EQH","")))</f>
        <v/>
      </c>
      <c r="EK162" s="13" t="str">
        <f t="shared" ref="EK162:EK170" si="569">IF(DZ162="","",IF(AND(ABS(DZ162)&lt;=0.25,$E162="Bottom",DN162="LL"),"EQL",IF(AND(ABS(DZ162)&lt;=0.25,$E162="Peak",DN162="HH"),"EQH","")))</f>
        <v/>
      </c>
      <c r="EL162" s="13" t="str">
        <f t="shared" ref="EL162:EL170" si="570">IF(EA162="","",IF(AND(ABS(EA162)&lt;=0.25,$E162="Bottom",DO162="LL"),"EQL",IF(AND(ABS(EA162)&lt;=0.25,$E162="Peak",DO162="HH"),"EQH","")))</f>
        <v/>
      </c>
      <c r="EM162" s="13" t="str">
        <f t="shared" ref="EM162:EM170" si="571">IF(EB162="","",IF(AND(ABS(EB162)&lt;=0.25,$E162="Bottom",DP162="LL"),"EQL",IF(AND(ABS(EB162)&lt;=0.25,$E162="Peak",DP162="HH"),"EQH","")))</f>
        <v/>
      </c>
      <c r="EN162" s="13" t="str">
        <f t="shared" ref="EN162:EN170" si="572">IF(EC162="","",IF(AND(ABS(EC162)&lt;=0.25,$E162="Bottom",DQ162="LL"),"EQL",IF(AND(ABS(EC162)&lt;=0.25,$E162="Peak",DQ162="HH"),"EQH","")))</f>
        <v/>
      </c>
      <c r="EO162" s="13" t="str">
        <f t="shared" ref="EO162:EO170" si="573">IF(ED162="","",IF(AND(ABS(ED162)&lt;=0.25,$E162="Bottom",DR162="LL"),"EQL",IF(AND(ABS(ED162)&lt;=0.25,$E162="Peak",DR162="HH"),"EQH","")))</f>
        <v/>
      </c>
      <c r="EP162" s="13" t="str">
        <f t="shared" ref="EP162:EP170" si="574">IF(EE162="","",IF(AND(ABS(EE162)&lt;=0.25,$E162="Bottom",DS162="LL"),"EQL",IF(AND(ABS(EE162)&lt;=0.25,$E162="Peak",DS162="HH"),"EQH","")))</f>
        <v/>
      </c>
      <c r="EQ162" s="13" t="str">
        <f t="shared" ref="EQ162:EQ170" si="575">IF(EF162="","",IF(AND(ABS(EF162)&lt;=0.25,$E162="Bottom",DT162="LL"),"EQL",IF(AND(ABS(EF162)&lt;=0.25,$E162="Peak",DT162="HH"),"EQH","")))</f>
        <v/>
      </c>
    </row>
    <row r="163" spans="1:147" ht="14.25" customHeight="1" x14ac:dyDescent="0.55000000000000004">
      <c r="A163">
        <v>1777949104</v>
      </c>
      <c r="B163" t="s">
        <v>16</v>
      </c>
      <c r="C163" t="s">
        <v>17</v>
      </c>
      <c r="D163">
        <v>4539.17</v>
      </c>
      <c r="E163" t="s">
        <v>20</v>
      </c>
      <c r="F163">
        <v>4546.78</v>
      </c>
      <c r="G163">
        <v>4528.57</v>
      </c>
      <c r="H163">
        <v>4583.16</v>
      </c>
      <c r="I163">
        <f t="shared" si="478"/>
        <v>4618.59</v>
      </c>
      <c r="J163">
        <f t="shared" si="486"/>
        <v>4632.1099999999997</v>
      </c>
      <c r="K163">
        <f t="shared" si="494"/>
        <v>4660.32</v>
      </c>
      <c r="L163">
        <f t="shared" si="502"/>
        <v>4635.83</v>
      </c>
      <c r="M163">
        <f t="shared" si="510"/>
        <v>4634.1400000000003</v>
      </c>
      <c r="N163">
        <f t="shared" si="518"/>
        <v>4647.1000000000004</v>
      </c>
      <c r="O163">
        <f t="shared" si="526"/>
        <v>4582.32</v>
      </c>
      <c r="P163">
        <f t="shared" si="534"/>
        <v>4564.75</v>
      </c>
      <c r="Q163">
        <f t="shared" si="542"/>
        <v>4607.7700000000004</v>
      </c>
      <c r="R163" s="1">
        <v>33.22</v>
      </c>
      <c r="S163">
        <f t="shared" ref="S163:S170" si="576">G163-G162</f>
        <v>27.710000000000036</v>
      </c>
      <c r="T163">
        <f t="shared" ref="T163:T170" si="577">H163-H162</f>
        <v>56.760000000000218</v>
      </c>
      <c r="U163">
        <f t="shared" si="483"/>
        <v>25.659999999999854</v>
      </c>
      <c r="V163">
        <f t="shared" si="491"/>
        <v>25.019999999999527</v>
      </c>
      <c r="W163">
        <f t="shared" si="499"/>
        <v>99.880000000000109</v>
      </c>
      <c r="X163">
        <f t="shared" si="507"/>
        <v>21.559999999999491</v>
      </c>
      <c r="Y163">
        <f t="shared" si="515"/>
        <v>28.579999999999927</v>
      </c>
      <c r="Z163">
        <f t="shared" si="523"/>
        <v>106.28000000000065</v>
      </c>
      <c r="AA163">
        <f t="shared" si="531"/>
        <v>63.909999999999854</v>
      </c>
      <c r="AB163">
        <f t="shared" si="539"/>
        <v>54.470000000000255</v>
      </c>
      <c r="AC163">
        <f t="shared" si="547"/>
        <v>31.930000000000291</v>
      </c>
      <c r="AD163">
        <v>0.74</v>
      </c>
      <c r="AE163" s="14">
        <f t="shared" ref="AE163:AE170" si="578">(S163/G162)*100</f>
        <v>0.61566011828850575</v>
      </c>
      <c r="AF163" s="14">
        <f t="shared" ref="AF163:AF170" si="579">(T163/H162)*100</f>
        <v>1.2539766702014894</v>
      </c>
      <c r="AG163" s="14">
        <f t="shared" si="484"/>
        <v>0.55868476114375476</v>
      </c>
      <c r="AH163" s="14">
        <f t="shared" si="492"/>
        <v>0.54307599808120799</v>
      </c>
      <c r="AI163" s="14">
        <f t="shared" si="500"/>
        <v>2.1901395479383594</v>
      </c>
      <c r="AJ163" s="14">
        <f t="shared" si="508"/>
        <v>0.4672461732841704</v>
      </c>
      <c r="AK163" s="14">
        <f t="shared" si="516"/>
        <v>0.62055428655798484</v>
      </c>
      <c r="AL163" s="14">
        <f t="shared" si="524"/>
        <v>2.3405464211309996</v>
      </c>
      <c r="AM163" s="14">
        <f t="shared" si="532"/>
        <v>1.4144356089863439</v>
      </c>
      <c r="AN163" s="14">
        <f t="shared" si="540"/>
        <v>1.2076855538902298</v>
      </c>
      <c r="AO163" s="14">
        <f t="shared" si="548"/>
        <v>0.69779537746075671</v>
      </c>
      <c r="AP163">
        <v>0</v>
      </c>
      <c r="AQ163">
        <f t="shared" si="470"/>
        <v>0</v>
      </c>
      <c r="AR163">
        <f t="shared" si="474"/>
        <v>0</v>
      </c>
      <c r="AS163">
        <f t="shared" si="479"/>
        <v>0</v>
      </c>
      <c r="AT163">
        <f t="shared" si="487"/>
        <v>0</v>
      </c>
      <c r="AU163">
        <f t="shared" si="495"/>
        <v>0</v>
      </c>
      <c r="AV163">
        <f t="shared" si="503"/>
        <v>0</v>
      </c>
      <c r="AW163">
        <f t="shared" si="511"/>
        <v>0</v>
      </c>
      <c r="AX163">
        <f t="shared" si="519"/>
        <v>0</v>
      </c>
      <c r="AY163">
        <f t="shared" si="527"/>
        <v>0</v>
      </c>
      <c r="AZ163">
        <f t="shared" si="535"/>
        <v>0</v>
      </c>
      <c r="BA163">
        <f t="shared" si="543"/>
        <v>0</v>
      </c>
      <c r="BB163">
        <v>10</v>
      </c>
      <c r="BC163">
        <f t="shared" si="471"/>
        <v>28</v>
      </c>
      <c r="BD163">
        <f t="shared" si="475"/>
        <v>17</v>
      </c>
      <c r="BE163">
        <f t="shared" si="480"/>
        <v>2</v>
      </c>
      <c r="BF163">
        <f t="shared" si="488"/>
        <v>4</v>
      </c>
      <c r="BG163">
        <f t="shared" si="496"/>
        <v>18</v>
      </c>
      <c r="BH163">
        <f t="shared" si="504"/>
        <v>4</v>
      </c>
      <c r="BI163">
        <f t="shared" si="512"/>
        <v>23</v>
      </c>
      <c r="BJ163">
        <f t="shared" si="520"/>
        <v>24</v>
      </c>
      <c r="BK163">
        <f t="shared" si="528"/>
        <v>24</v>
      </c>
      <c r="BL163">
        <f t="shared" si="536"/>
        <v>9</v>
      </c>
      <c r="BM163">
        <f t="shared" si="544"/>
        <v>16</v>
      </c>
      <c r="BZ163" s="12">
        <f t="shared" si="550"/>
        <v>3.3220000000000001</v>
      </c>
      <c r="CA163" s="12">
        <f t="shared" si="472"/>
        <v>0.98964285714285849</v>
      </c>
      <c r="CB163" s="12">
        <f t="shared" si="476"/>
        <v>3.3388235294117776</v>
      </c>
      <c r="CC163" s="12">
        <f t="shared" si="485"/>
        <v>12.829999999999927</v>
      </c>
      <c r="CD163" s="12">
        <f t="shared" si="493"/>
        <v>6.2549999999998818</v>
      </c>
      <c r="CE163" s="12">
        <f t="shared" si="501"/>
        <v>5.5488888888888948</v>
      </c>
      <c r="CF163" s="12">
        <f t="shared" si="509"/>
        <v>5.3899999999998727</v>
      </c>
      <c r="CG163" s="12">
        <f t="shared" si="517"/>
        <v>1.2426086956521707</v>
      </c>
      <c r="CH163" s="12">
        <f t="shared" si="525"/>
        <v>4.4283333333333603</v>
      </c>
      <c r="CI163" s="12">
        <f t="shared" si="533"/>
        <v>2.6629166666666606</v>
      </c>
      <c r="CJ163" s="12">
        <f t="shared" si="541"/>
        <v>6.0522222222222508</v>
      </c>
      <c r="CK163" s="12">
        <f t="shared" si="549"/>
        <v>1.9956250000000182</v>
      </c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>
        <f t="shared" si="551"/>
        <v>73.246971781156745</v>
      </c>
      <c r="CY163" s="12">
        <f t="shared" si="552"/>
        <v>44.701747873288859</v>
      </c>
      <c r="CZ163" s="12">
        <f t="shared" si="553"/>
        <v>73.326689838376396</v>
      </c>
      <c r="DA163" s="12">
        <f t="shared" si="554"/>
        <v>85.543244229697365</v>
      </c>
      <c r="DB163" s="12">
        <f t="shared" si="555"/>
        <v>80.916868304956594</v>
      </c>
      <c r="DC163" s="12">
        <f t="shared" si="556"/>
        <v>79.78402483510132</v>
      </c>
      <c r="DD163" s="12">
        <f t="shared" si="557"/>
        <v>79.489491639297086</v>
      </c>
      <c r="DE163" s="12">
        <f t="shared" si="558"/>
        <v>51.174329586539592</v>
      </c>
      <c r="DF163" s="12">
        <f t="shared" si="559"/>
        <v>77.274982448283268</v>
      </c>
      <c r="DG163" s="12">
        <f t="shared" si="560"/>
        <v>69.417432596622106</v>
      </c>
      <c r="DH163" s="12">
        <f t="shared" si="561"/>
        <v>80.617866579981765</v>
      </c>
      <c r="DI163" s="12">
        <f t="shared" si="562"/>
        <v>63.384727140743927</v>
      </c>
      <c r="DJ163" s="1" t="s">
        <v>23</v>
      </c>
      <c r="DK163" t="str">
        <f t="shared" si="473"/>
        <v>LH</v>
      </c>
      <c r="DL163" t="str">
        <f t="shared" si="477"/>
        <v>LH</v>
      </c>
      <c r="DM163" t="str">
        <f t="shared" si="481"/>
        <v>LH</v>
      </c>
      <c r="DN163" t="str">
        <f t="shared" si="489"/>
        <v>LH</v>
      </c>
      <c r="DO163" t="str">
        <f t="shared" si="497"/>
        <v>HH</v>
      </c>
      <c r="DP163" t="str">
        <f t="shared" si="505"/>
        <v>HH</v>
      </c>
      <c r="DQ163" t="str">
        <f t="shared" si="513"/>
        <v>LH</v>
      </c>
      <c r="DR163" t="str">
        <f t="shared" si="521"/>
        <v>HH</v>
      </c>
      <c r="DS163" t="str">
        <f t="shared" si="529"/>
        <v>HH</v>
      </c>
      <c r="DT163" t="str">
        <f t="shared" si="537"/>
        <v>LH</v>
      </c>
      <c r="DU163" t="str">
        <f t="shared" si="545"/>
        <v>LH</v>
      </c>
      <c r="DV163">
        <f t="shared" si="563"/>
        <v>-0.4005032132630133</v>
      </c>
      <c r="DW163">
        <f t="shared" si="564"/>
        <v>0.8001266830592223</v>
      </c>
      <c r="DX163">
        <f t="shared" si="482"/>
        <v>1.579359458781828</v>
      </c>
      <c r="DY163">
        <f t="shared" si="490"/>
        <v>1.8767127505619348</v>
      </c>
      <c r="DZ163">
        <f t="shared" si="498"/>
        <v>2.4971518305262177</v>
      </c>
      <c r="EA163">
        <f t="shared" si="506"/>
        <v>1.9585288929748126</v>
      </c>
      <c r="EB163">
        <f t="shared" si="514"/>
        <v>1.921359731502307</v>
      </c>
      <c r="EC163">
        <f t="shared" si="522"/>
        <v>2.2063966147471534</v>
      </c>
      <c r="ED163">
        <f t="shared" si="530"/>
        <v>0.78165207025631245</v>
      </c>
      <c r="EE163">
        <f t="shared" si="538"/>
        <v>0.39522475246218763</v>
      </c>
      <c r="EF163">
        <f t="shared" si="546"/>
        <v>1.3413888510110605</v>
      </c>
      <c r="EG163" s="13" t="str">
        <f t="shared" si="565"/>
        <v/>
      </c>
      <c r="EH163" s="13" t="str">
        <f t="shared" si="566"/>
        <v/>
      </c>
      <c r="EI163" s="13" t="str">
        <f t="shared" si="567"/>
        <v/>
      </c>
      <c r="EJ163" s="13" t="str">
        <f t="shared" si="568"/>
        <v/>
      </c>
      <c r="EK163" s="13" t="str">
        <f t="shared" si="569"/>
        <v/>
      </c>
      <c r="EL163" s="13" t="str">
        <f t="shared" si="570"/>
        <v/>
      </c>
      <c r="EM163" s="13" t="str">
        <f t="shared" si="571"/>
        <v/>
      </c>
      <c r="EN163" s="13" t="str">
        <f t="shared" si="572"/>
        <v/>
      </c>
      <c r="EO163" s="13" t="str">
        <f t="shared" si="573"/>
        <v/>
      </c>
      <c r="EP163" s="13" t="str">
        <f t="shared" si="574"/>
        <v/>
      </c>
      <c r="EQ163" s="13" t="str">
        <f t="shared" si="575"/>
        <v/>
      </c>
    </row>
    <row r="164" spans="1:147" ht="14.25" customHeight="1" x14ac:dyDescent="0.55000000000000004">
      <c r="A164">
        <v>1777955404</v>
      </c>
      <c r="B164" t="s">
        <v>16</v>
      </c>
      <c r="C164" t="s">
        <v>17</v>
      </c>
      <c r="D164">
        <v>4531.71</v>
      </c>
      <c r="E164" t="s">
        <v>18</v>
      </c>
      <c r="F164">
        <v>4527.8900000000003</v>
      </c>
      <c r="G164">
        <v>4513.5600000000004</v>
      </c>
      <c r="H164">
        <v>4500.8599999999997</v>
      </c>
      <c r="I164">
        <f t="shared" si="478"/>
        <v>4526.3999999999996</v>
      </c>
      <c r="J164">
        <f t="shared" si="486"/>
        <v>4592.93</v>
      </c>
      <c r="K164">
        <f t="shared" si="494"/>
        <v>4607.09</v>
      </c>
      <c r="L164">
        <f t="shared" si="502"/>
        <v>4560.4399999999996</v>
      </c>
      <c r="M164">
        <f t="shared" si="510"/>
        <v>4614.2700000000004</v>
      </c>
      <c r="N164">
        <f t="shared" si="518"/>
        <v>4605.5600000000004</v>
      </c>
      <c r="O164">
        <f t="shared" si="526"/>
        <v>4540.82</v>
      </c>
      <c r="P164">
        <f t="shared" si="534"/>
        <v>4518.41</v>
      </c>
      <c r="Q164">
        <f t="shared" si="542"/>
        <v>4510.28</v>
      </c>
      <c r="R164">
        <v>-18.89</v>
      </c>
      <c r="S164">
        <f t="shared" si="576"/>
        <v>-15.009999999999309</v>
      </c>
      <c r="T164">
        <f t="shared" si="577"/>
        <v>-82.300000000000182</v>
      </c>
      <c r="U164">
        <f t="shared" si="483"/>
        <v>-92.190000000000509</v>
      </c>
      <c r="V164">
        <f t="shared" si="491"/>
        <v>-39.179999999999382</v>
      </c>
      <c r="W164">
        <f t="shared" si="499"/>
        <v>-53.229999999999563</v>
      </c>
      <c r="X164">
        <f t="shared" si="507"/>
        <v>-75.390000000000327</v>
      </c>
      <c r="Y164">
        <f t="shared" si="515"/>
        <v>-19.869999999999891</v>
      </c>
      <c r="Z164">
        <f t="shared" si="523"/>
        <v>-41.539999999999964</v>
      </c>
      <c r="AA164">
        <f t="shared" si="531"/>
        <v>-41.5</v>
      </c>
      <c r="AB164">
        <f t="shared" si="539"/>
        <v>-46.340000000000146</v>
      </c>
      <c r="AC164">
        <f t="shared" si="547"/>
        <v>-97.490000000000691</v>
      </c>
      <c r="AD164">
        <v>-0.42</v>
      </c>
      <c r="AE164" s="14">
        <f t="shared" si="578"/>
        <v>-0.33145120865967204</v>
      </c>
      <c r="AF164" s="14">
        <f t="shared" si="579"/>
        <v>-1.7957042739070901</v>
      </c>
      <c r="AG164" s="14">
        <f t="shared" si="484"/>
        <v>-1.9960637337369307</v>
      </c>
      <c r="AH164" s="14">
        <f t="shared" si="492"/>
        <v>-0.84583483552850403</v>
      </c>
      <c r="AI164" s="14">
        <f t="shared" si="500"/>
        <v>-1.1421962440347351</v>
      </c>
      <c r="AJ164" s="14">
        <f t="shared" si="508"/>
        <v>-1.6262460012554456</v>
      </c>
      <c r="AK164" s="14">
        <f t="shared" si="516"/>
        <v>-0.42877427095426313</v>
      </c>
      <c r="AL164" s="14">
        <f t="shared" si="524"/>
        <v>-0.89389081362570111</v>
      </c>
      <c r="AM164" s="14">
        <f t="shared" si="532"/>
        <v>-0.90565477749262391</v>
      </c>
      <c r="AN164" s="14">
        <f t="shared" si="540"/>
        <v>-1.0151706007996089</v>
      </c>
      <c r="AO164" s="14">
        <f t="shared" si="548"/>
        <v>-2.1157740078172451</v>
      </c>
      <c r="AP164">
        <v>3</v>
      </c>
      <c r="AQ164">
        <f t="shared" ref="AQ164:AQ170" si="580">AP162</f>
        <v>3</v>
      </c>
      <c r="AR164">
        <f t="shared" si="474"/>
        <v>3</v>
      </c>
      <c r="AS164">
        <f t="shared" si="479"/>
        <v>3</v>
      </c>
      <c r="AT164">
        <f t="shared" si="487"/>
        <v>3</v>
      </c>
      <c r="AU164">
        <f t="shared" si="495"/>
        <v>3</v>
      </c>
      <c r="AV164">
        <f t="shared" si="503"/>
        <v>3</v>
      </c>
      <c r="AW164">
        <f t="shared" si="511"/>
        <v>3</v>
      </c>
      <c r="AX164">
        <f t="shared" si="519"/>
        <v>3</v>
      </c>
      <c r="AY164">
        <f t="shared" si="527"/>
        <v>3</v>
      </c>
      <c r="AZ164">
        <f t="shared" si="535"/>
        <v>3</v>
      </c>
      <c r="BA164">
        <f t="shared" si="543"/>
        <v>3</v>
      </c>
      <c r="BB164">
        <v>7</v>
      </c>
      <c r="BC164">
        <f t="shared" ref="BC164:BC170" si="581">BB162</f>
        <v>1</v>
      </c>
      <c r="BD164">
        <f t="shared" si="475"/>
        <v>6</v>
      </c>
      <c r="BE164">
        <f t="shared" si="480"/>
        <v>33</v>
      </c>
      <c r="BF164">
        <f t="shared" si="488"/>
        <v>14</v>
      </c>
      <c r="BG164">
        <f t="shared" si="496"/>
        <v>23</v>
      </c>
      <c r="BH164">
        <f t="shared" si="504"/>
        <v>30</v>
      </c>
      <c r="BI164">
        <f t="shared" si="512"/>
        <v>7</v>
      </c>
      <c r="BJ164">
        <f t="shared" si="520"/>
        <v>25</v>
      </c>
      <c r="BK164">
        <f t="shared" si="528"/>
        <v>11</v>
      </c>
      <c r="BL164">
        <f t="shared" si="536"/>
        <v>11</v>
      </c>
      <c r="BM164">
        <f t="shared" si="544"/>
        <v>35</v>
      </c>
      <c r="BZ164" s="12">
        <f t="shared" si="550"/>
        <v>-2.6985714285714288</v>
      </c>
      <c r="CA164" s="12">
        <f t="shared" ref="CA164:CA170" si="582">IFERROR(S164/BC164,0)</f>
        <v>-15.009999999999309</v>
      </c>
      <c r="CB164" s="12">
        <f t="shared" si="476"/>
        <v>-13.716666666666697</v>
      </c>
      <c r="CC164" s="12">
        <f t="shared" si="485"/>
        <v>-2.793636363636379</v>
      </c>
      <c r="CD164" s="12">
        <f t="shared" si="493"/>
        <v>-2.7985714285713845</v>
      </c>
      <c r="CE164" s="12">
        <f t="shared" si="501"/>
        <v>-2.3143478260869377</v>
      </c>
      <c r="CF164" s="12">
        <f t="shared" si="509"/>
        <v>-2.513000000000011</v>
      </c>
      <c r="CG164" s="12">
        <f t="shared" si="517"/>
        <v>-2.838571428571413</v>
      </c>
      <c r="CH164" s="12">
        <f t="shared" si="525"/>
        <v>-1.6615999999999986</v>
      </c>
      <c r="CI164" s="12">
        <f t="shared" si="533"/>
        <v>-3.7727272727272729</v>
      </c>
      <c r="CJ164" s="12">
        <f t="shared" si="541"/>
        <v>-4.2127272727272862</v>
      </c>
      <c r="CK164" s="12">
        <f t="shared" si="549"/>
        <v>-2.7854285714285911</v>
      </c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>
        <f t="shared" si="551"/>
        <v>-69.666985098695008</v>
      </c>
      <c r="CY164" s="12">
        <f t="shared" si="552"/>
        <v>-86.188458695644286</v>
      </c>
      <c r="CZ164" s="12">
        <f t="shared" si="553"/>
        <v>-85.830284830089539</v>
      </c>
      <c r="DA164" s="12">
        <f t="shared" si="554"/>
        <v>-70.304847226412406</v>
      </c>
      <c r="DB164" s="12">
        <f t="shared" si="555"/>
        <v>-70.336912574712713</v>
      </c>
      <c r="DC164" s="12">
        <f t="shared" si="556"/>
        <v>-66.631446734140908</v>
      </c>
      <c r="DD164" s="12">
        <f t="shared" si="557"/>
        <v>-68.30086917379252</v>
      </c>
      <c r="DE164" s="12">
        <f t="shared" si="558"/>
        <v>-70.593154750493497</v>
      </c>
      <c r="DF164" s="12">
        <f t="shared" si="559"/>
        <v>-58.959227609765762</v>
      </c>
      <c r="DG164" s="12">
        <f t="shared" si="560"/>
        <v>-75.154547917916176</v>
      </c>
      <c r="DH164" s="12">
        <f t="shared" si="561"/>
        <v>-76.646511563522878</v>
      </c>
      <c r="DI164" s="12">
        <f t="shared" si="562"/>
        <v>-70.251294521425621</v>
      </c>
      <c r="DJ164" t="s">
        <v>22</v>
      </c>
      <c r="DK164" t="str">
        <f t="shared" ref="DK164:DK170" si="583">DJ162</f>
        <v>HL</v>
      </c>
      <c r="DL164" t="str">
        <f t="shared" si="477"/>
        <v>LL</v>
      </c>
      <c r="DM164" t="str">
        <f t="shared" si="481"/>
        <v>LL</v>
      </c>
      <c r="DN164" t="str">
        <f t="shared" si="489"/>
        <v>LL</v>
      </c>
      <c r="DO164" t="str">
        <f t="shared" si="497"/>
        <v>HL</v>
      </c>
      <c r="DP164" t="str">
        <f t="shared" si="505"/>
        <v>LL</v>
      </c>
      <c r="DQ164" t="str">
        <f t="shared" si="513"/>
        <v>HL</v>
      </c>
      <c r="DR164" t="str">
        <f t="shared" si="521"/>
        <v>HL</v>
      </c>
      <c r="DS164" t="str">
        <f t="shared" si="529"/>
        <v>HL</v>
      </c>
      <c r="DT164" t="str">
        <f t="shared" si="537"/>
        <v>HL</v>
      </c>
      <c r="DU164" t="str">
        <f t="shared" si="545"/>
        <v>LL</v>
      </c>
      <c r="DV164">
        <f t="shared" si="563"/>
        <v>-0.3164829534286373</v>
      </c>
      <c r="DW164">
        <f t="shared" si="564"/>
        <v>-0.59696679910511641</v>
      </c>
      <c r="DX164">
        <f t="shared" si="482"/>
        <v>-3.2907159847096357E-2</v>
      </c>
      <c r="DY164">
        <f t="shared" si="490"/>
        <v>1.4364306553383575</v>
      </c>
      <c r="DZ164">
        <f t="shared" si="498"/>
        <v>1.7491591005965208</v>
      </c>
      <c r="EA164">
        <f t="shared" si="506"/>
        <v>0.71887788793454066</v>
      </c>
      <c r="EB164">
        <f t="shared" si="514"/>
        <v>1.9077318574435356</v>
      </c>
      <c r="EC164">
        <f t="shared" si="522"/>
        <v>1.7153685270622756</v>
      </c>
      <c r="ED164">
        <f t="shared" si="530"/>
        <v>0.2855634743776766</v>
      </c>
      <c r="EE164">
        <f t="shared" si="538"/>
        <v>-0.20936904385929148</v>
      </c>
      <c r="EF164">
        <f t="shared" si="546"/>
        <v>-0.38892287577658868</v>
      </c>
      <c r="EG164" s="13" t="str">
        <f t="shared" si="565"/>
        <v/>
      </c>
      <c r="EH164" s="13" t="str">
        <f t="shared" si="566"/>
        <v/>
      </c>
      <c r="EI164" s="13" t="str">
        <f t="shared" si="567"/>
        <v>EQL</v>
      </c>
      <c r="EJ164" s="13" t="str">
        <f t="shared" si="568"/>
        <v/>
      </c>
      <c r="EK164" s="13" t="str">
        <f t="shared" si="569"/>
        <v/>
      </c>
      <c r="EL164" s="13" t="str">
        <f t="shared" si="570"/>
        <v/>
      </c>
      <c r="EM164" s="13" t="str">
        <f t="shared" si="571"/>
        <v/>
      </c>
      <c r="EN164" s="13" t="str">
        <f t="shared" si="572"/>
        <v/>
      </c>
      <c r="EO164" s="13" t="str">
        <f t="shared" si="573"/>
        <v/>
      </c>
      <c r="EP164" s="13" t="str">
        <f t="shared" si="574"/>
        <v/>
      </c>
      <c r="EQ164" s="13" t="str">
        <f t="shared" si="575"/>
        <v/>
      </c>
    </row>
    <row r="165" spans="1:147" ht="14.25" customHeight="1" x14ac:dyDescent="0.55000000000000004">
      <c r="A165">
        <v>1777971604</v>
      </c>
      <c r="B165" t="s">
        <v>16</v>
      </c>
      <c r="C165" t="s">
        <v>17</v>
      </c>
      <c r="D165">
        <v>4557.6099999999997</v>
      </c>
      <c r="E165" t="s">
        <v>20</v>
      </c>
      <c r="F165">
        <v>4560.53</v>
      </c>
      <c r="G165">
        <v>4546.78</v>
      </c>
      <c r="H165">
        <v>4528.57</v>
      </c>
      <c r="I165">
        <f t="shared" si="478"/>
        <v>4583.16</v>
      </c>
      <c r="J165">
        <f t="shared" si="486"/>
        <v>4618.59</v>
      </c>
      <c r="K165">
        <f t="shared" si="494"/>
        <v>4632.1099999999997</v>
      </c>
      <c r="L165">
        <f t="shared" si="502"/>
        <v>4660.32</v>
      </c>
      <c r="M165">
        <f t="shared" si="510"/>
        <v>4635.83</v>
      </c>
      <c r="N165">
        <f t="shared" si="518"/>
        <v>4634.1400000000003</v>
      </c>
      <c r="O165">
        <f t="shared" si="526"/>
        <v>4647.1000000000004</v>
      </c>
      <c r="P165">
        <f t="shared" si="534"/>
        <v>4582.32</v>
      </c>
      <c r="Q165">
        <f t="shared" si="542"/>
        <v>4564.75</v>
      </c>
      <c r="R165">
        <v>32.64</v>
      </c>
      <c r="S165">
        <f t="shared" si="576"/>
        <v>33.219999999999345</v>
      </c>
      <c r="T165">
        <f t="shared" si="577"/>
        <v>27.710000000000036</v>
      </c>
      <c r="U165">
        <f t="shared" si="483"/>
        <v>56.760000000000218</v>
      </c>
      <c r="V165">
        <f t="shared" si="491"/>
        <v>25.659999999999854</v>
      </c>
      <c r="W165">
        <f t="shared" si="499"/>
        <v>25.019999999999527</v>
      </c>
      <c r="X165">
        <f t="shared" si="507"/>
        <v>99.880000000000109</v>
      </c>
      <c r="Y165">
        <f t="shared" si="515"/>
        <v>21.559999999999491</v>
      </c>
      <c r="Z165">
        <f t="shared" si="523"/>
        <v>28.579999999999927</v>
      </c>
      <c r="AA165">
        <f t="shared" si="531"/>
        <v>106.28000000000065</v>
      </c>
      <c r="AB165">
        <f t="shared" si="539"/>
        <v>63.909999999999854</v>
      </c>
      <c r="AC165">
        <f t="shared" si="547"/>
        <v>54.470000000000255</v>
      </c>
      <c r="AD165">
        <v>0.72</v>
      </c>
      <c r="AE165" s="14">
        <f t="shared" si="578"/>
        <v>0.73600439564333575</v>
      </c>
      <c r="AF165" s="14">
        <f t="shared" si="579"/>
        <v>0.61566011828850575</v>
      </c>
      <c r="AG165" s="14">
        <f t="shared" si="484"/>
        <v>1.2539766702014894</v>
      </c>
      <c r="AH165" s="14">
        <f t="shared" si="492"/>
        <v>0.55868476114375476</v>
      </c>
      <c r="AI165" s="14">
        <f t="shared" si="500"/>
        <v>0.54307599808120799</v>
      </c>
      <c r="AJ165" s="14">
        <f t="shared" si="508"/>
        <v>2.1901395479383594</v>
      </c>
      <c r="AK165" s="14">
        <f t="shared" si="516"/>
        <v>0.4672461732841704</v>
      </c>
      <c r="AL165" s="14">
        <f t="shared" si="524"/>
        <v>0.62055428655798484</v>
      </c>
      <c r="AM165" s="14">
        <f t="shared" si="532"/>
        <v>2.3405464211309996</v>
      </c>
      <c r="AN165" s="14">
        <f t="shared" si="540"/>
        <v>1.4144356089863439</v>
      </c>
      <c r="AO165" s="14">
        <f t="shared" si="548"/>
        <v>1.2076855538902298</v>
      </c>
      <c r="AP165">
        <v>0</v>
      </c>
      <c r="AQ165">
        <f t="shared" si="580"/>
        <v>0</v>
      </c>
      <c r="AR165">
        <f t="shared" si="474"/>
        <v>0</v>
      </c>
      <c r="AS165">
        <f t="shared" si="479"/>
        <v>0</v>
      </c>
      <c r="AT165">
        <f t="shared" si="487"/>
        <v>0</v>
      </c>
      <c r="AU165">
        <f t="shared" si="495"/>
        <v>0</v>
      </c>
      <c r="AV165">
        <f t="shared" si="503"/>
        <v>0</v>
      </c>
      <c r="AW165">
        <f t="shared" si="511"/>
        <v>0</v>
      </c>
      <c r="AX165">
        <f t="shared" si="519"/>
        <v>0</v>
      </c>
      <c r="AY165">
        <f t="shared" si="527"/>
        <v>0</v>
      </c>
      <c r="AZ165">
        <f t="shared" si="535"/>
        <v>0</v>
      </c>
      <c r="BA165">
        <f t="shared" si="543"/>
        <v>0</v>
      </c>
      <c r="BB165">
        <v>18</v>
      </c>
      <c r="BC165">
        <f t="shared" si="581"/>
        <v>10</v>
      </c>
      <c r="BD165">
        <f t="shared" si="475"/>
        <v>28</v>
      </c>
      <c r="BE165">
        <f t="shared" si="480"/>
        <v>17</v>
      </c>
      <c r="BF165">
        <f t="shared" si="488"/>
        <v>2</v>
      </c>
      <c r="BG165">
        <f t="shared" si="496"/>
        <v>4</v>
      </c>
      <c r="BH165">
        <f t="shared" si="504"/>
        <v>18</v>
      </c>
      <c r="BI165">
        <f t="shared" si="512"/>
        <v>4</v>
      </c>
      <c r="BJ165">
        <f t="shared" si="520"/>
        <v>23</v>
      </c>
      <c r="BK165">
        <f t="shared" si="528"/>
        <v>24</v>
      </c>
      <c r="BL165">
        <f t="shared" si="536"/>
        <v>24</v>
      </c>
      <c r="BM165">
        <f t="shared" si="544"/>
        <v>9</v>
      </c>
      <c r="BZ165" s="12">
        <f t="shared" si="550"/>
        <v>1.8133333333333335</v>
      </c>
      <c r="CA165" s="12">
        <f t="shared" si="582"/>
        <v>3.3219999999999343</v>
      </c>
      <c r="CB165" s="12">
        <f t="shared" si="476"/>
        <v>0.98964285714285849</v>
      </c>
      <c r="CC165" s="12">
        <f t="shared" si="485"/>
        <v>3.3388235294117776</v>
      </c>
      <c r="CD165" s="12">
        <f t="shared" si="493"/>
        <v>12.829999999999927</v>
      </c>
      <c r="CE165" s="12">
        <f t="shared" si="501"/>
        <v>6.2549999999998818</v>
      </c>
      <c r="CF165" s="12">
        <f t="shared" si="509"/>
        <v>5.5488888888888948</v>
      </c>
      <c r="CG165" s="12">
        <f t="shared" si="517"/>
        <v>5.3899999999998727</v>
      </c>
      <c r="CH165" s="12">
        <f t="shared" si="525"/>
        <v>1.2426086956521707</v>
      </c>
      <c r="CI165" s="12">
        <f t="shared" si="533"/>
        <v>4.4283333333333603</v>
      </c>
      <c r="CJ165" s="12">
        <f t="shared" si="541"/>
        <v>2.6629166666666606</v>
      </c>
      <c r="CK165" s="12">
        <f t="shared" si="549"/>
        <v>6.0522222222222508</v>
      </c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>
        <f t="shared" si="551"/>
        <v>61.1245566037719</v>
      </c>
      <c r="CY165" s="12">
        <f t="shared" si="552"/>
        <v>73.246971781156432</v>
      </c>
      <c r="CZ165" s="12">
        <f t="shared" si="553"/>
        <v>44.701747873288859</v>
      </c>
      <c r="DA165" s="12">
        <f t="shared" si="554"/>
        <v>73.326689838376396</v>
      </c>
      <c r="DB165" s="12">
        <f t="shared" si="555"/>
        <v>85.543244229697365</v>
      </c>
      <c r="DC165" s="12">
        <f t="shared" si="556"/>
        <v>80.916868304956594</v>
      </c>
      <c r="DD165" s="12">
        <f t="shared" si="557"/>
        <v>79.78402483510132</v>
      </c>
      <c r="DE165" s="12">
        <f t="shared" si="558"/>
        <v>79.489491639297086</v>
      </c>
      <c r="DF165" s="12">
        <f t="shared" si="559"/>
        <v>51.174329586539592</v>
      </c>
      <c r="DG165" s="12">
        <f t="shared" si="560"/>
        <v>77.274982448283268</v>
      </c>
      <c r="DH165" s="12">
        <f t="shared" si="561"/>
        <v>69.417432596622106</v>
      </c>
      <c r="DI165" s="12">
        <f t="shared" si="562"/>
        <v>80.617866579981765</v>
      </c>
      <c r="DJ165" t="s">
        <v>23</v>
      </c>
      <c r="DK165" t="str">
        <f t="shared" si="583"/>
        <v>HH</v>
      </c>
      <c r="DL165" t="str">
        <f t="shared" si="477"/>
        <v>LH</v>
      </c>
      <c r="DM165" t="str">
        <f t="shared" si="481"/>
        <v>LH</v>
      </c>
      <c r="DN165" t="str">
        <f t="shared" si="489"/>
        <v>LH</v>
      </c>
      <c r="DO165" t="str">
        <f t="shared" si="497"/>
        <v>LH</v>
      </c>
      <c r="DP165" t="str">
        <f t="shared" si="505"/>
        <v>HH</v>
      </c>
      <c r="DQ165" t="str">
        <f t="shared" si="513"/>
        <v>HH</v>
      </c>
      <c r="DR165" t="str">
        <f t="shared" si="521"/>
        <v>LH</v>
      </c>
      <c r="DS165" t="str">
        <f t="shared" si="529"/>
        <v>HH</v>
      </c>
      <c r="DT165" t="str">
        <f t="shared" si="537"/>
        <v>HH</v>
      </c>
      <c r="DU165" t="str">
        <f t="shared" si="545"/>
        <v>LH</v>
      </c>
      <c r="DV165">
        <f t="shared" si="563"/>
        <v>-0.30150004495091581</v>
      </c>
      <c r="DW165">
        <f t="shared" si="564"/>
        <v>-0.70079574084591134</v>
      </c>
      <c r="DX165">
        <f t="shared" si="482"/>
        <v>0.49621425579921874</v>
      </c>
      <c r="DY165">
        <f t="shared" si="490"/>
        <v>1.2730976443527486</v>
      </c>
      <c r="DZ165">
        <f t="shared" si="498"/>
        <v>1.569554415824475</v>
      </c>
      <c r="EA165">
        <f t="shared" si="506"/>
        <v>2.1881228716837731</v>
      </c>
      <c r="EB165">
        <f t="shared" si="514"/>
        <v>1.6511238825312011</v>
      </c>
      <c r="EC165">
        <f t="shared" si="522"/>
        <v>1.6140667860972426</v>
      </c>
      <c r="ED165">
        <f t="shared" si="530"/>
        <v>1.8982442830109796</v>
      </c>
      <c r="EE165">
        <f t="shared" si="538"/>
        <v>0.47779534396221413</v>
      </c>
      <c r="EF165">
        <f t="shared" si="546"/>
        <v>9.2533104704941208E-2</v>
      </c>
      <c r="EG165" s="13" t="str">
        <f t="shared" si="565"/>
        <v/>
      </c>
      <c r="EH165" s="13" t="str">
        <f t="shared" si="566"/>
        <v/>
      </c>
      <c r="EI165" s="13" t="str">
        <f t="shared" si="567"/>
        <v/>
      </c>
      <c r="EJ165" s="13" t="str">
        <f t="shared" si="568"/>
        <v/>
      </c>
      <c r="EK165" s="13" t="str">
        <f t="shared" si="569"/>
        <v/>
      </c>
      <c r="EL165" s="13" t="str">
        <f t="shared" si="570"/>
        <v/>
      </c>
      <c r="EM165" s="13" t="str">
        <f t="shared" si="571"/>
        <v/>
      </c>
      <c r="EN165" s="13" t="str">
        <f t="shared" si="572"/>
        <v/>
      </c>
      <c r="EO165" s="13" t="str">
        <f t="shared" si="573"/>
        <v/>
      </c>
      <c r="EP165" s="13" t="str">
        <f t="shared" si="574"/>
        <v/>
      </c>
      <c r="EQ165" s="13" t="str">
        <f t="shared" si="575"/>
        <v>EQH</v>
      </c>
    </row>
    <row r="166" spans="1:147" ht="14.25" customHeight="1" x14ac:dyDescent="0.55000000000000004">
      <c r="A166">
        <v>1777978804</v>
      </c>
      <c r="B166" t="s">
        <v>16</v>
      </c>
      <c r="C166" t="s">
        <v>17</v>
      </c>
      <c r="D166">
        <v>4552.62</v>
      </c>
      <c r="E166" t="s">
        <v>18</v>
      </c>
      <c r="F166">
        <v>4540</v>
      </c>
      <c r="G166">
        <v>4527.8900000000003</v>
      </c>
      <c r="H166">
        <v>4513.5600000000004</v>
      </c>
      <c r="I166">
        <f t="shared" si="478"/>
        <v>4500.8599999999997</v>
      </c>
      <c r="J166">
        <f t="shared" si="486"/>
        <v>4526.3999999999996</v>
      </c>
      <c r="K166">
        <f t="shared" si="494"/>
        <v>4592.93</v>
      </c>
      <c r="L166">
        <f t="shared" si="502"/>
        <v>4607.09</v>
      </c>
      <c r="M166">
        <f t="shared" si="510"/>
        <v>4560.4399999999996</v>
      </c>
      <c r="N166">
        <f t="shared" si="518"/>
        <v>4614.2700000000004</v>
      </c>
      <c r="O166">
        <f t="shared" si="526"/>
        <v>4605.5600000000004</v>
      </c>
      <c r="P166">
        <f t="shared" si="534"/>
        <v>4540.82</v>
      </c>
      <c r="Q166">
        <f t="shared" si="542"/>
        <v>4518.41</v>
      </c>
      <c r="R166">
        <v>-20.53</v>
      </c>
      <c r="S166">
        <f t="shared" si="576"/>
        <v>-18.889999999999418</v>
      </c>
      <c r="T166">
        <f t="shared" si="577"/>
        <v>-15.009999999999309</v>
      </c>
      <c r="U166">
        <f t="shared" si="483"/>
        <v>-82.300000000000182</v>
      </c>
      <c r="V166">
        <f t="shared" si="491"/>
        <v>-92.190000000000509</v>
      </c>
      <c r="W166">
        <f t="shared" si="499"/>
        <v>-39.179999999999382</v>
      </c>
      <c r="X166">
        <f t="shared" si="507"/>
        <v>-53.229999999999563</v>
      </c>
      <c r="Y166">
        <f t="shared" si="515"/>
        <v>-75.390000000000327</v>
      </c>
      <c r="Z166">
        <f t="shared" si="523"/>
        <v>-19.869999999999891</v>
      </c>
      <c r="AA166">
        <f t="shared" si="531"/>
        <v>-41.539999999999964</v>
      </c>
      <c r="AB166">
        <f t="shared" si="539"/>
        <v>-41.5</v>
      </c>
      <c r="AC166">
        <f t="shared" si="547"/>
        <v>-46.340000000000146</v>
      </c>
      <c r="AD166">
        <v>-0.45</v>
      </c>
      <c r="AE166" s="14">
        <f t="shared" si="578"/>
        <v>-0.41545885219868606</v>
      </c>
      <c r="AF166" s="14">
        <f t="shared" si="579"/>
        <v>-0.33145120865967204</v>
      </c>
      <c r="AG166" s="14">
        <f t="shared" si="484"/>
        <v>-1.7957042739070901</v>
      </c>
      <c r="AH166" s="14">
        <f t="shared" si="492"/>
        <v>-1.9960637337369307</v>
      </c>
      <c r="AI166" s="14">
        <f t="shared" si="500"/>
        <v>-0.84583483552850403</v>
      </c>
      <c r="AJ166" s="14">
        <f t="shared" si="508"/>
        <v>-1.1421962440347351</v>
      </c>
      <c r="AK166" s="14">
        <f t="shared" si="516"/>
        <v>-1.6262460012554456</v>
      </c>
      <c r="AL166" s="14">
        <f t="shared" si="524"/>
        <v>-0.42877427095426313</v>
      </c>
      <c r="AM166" s="14">
        <f t="shared" si="532"/>
        <v>-0.89389081362570111</v>
      </c>
      <c r="AN166" s="14">
        <f t="shared" si="540"/>
        <v>-0.90565477749262391</v>
      </c>
      <c r="AO166" s="14">
        <f t="shared" si="548"/>
        <v>-1.0151706007996089</v>
      </c>
      <c r="AP166">
        <v>3</v>
      </c>
      <c r="AQ166">
        <f t="shared" si="580"/>
        <v>3</v>
      </c>
      <c r="AR166">
        <f t="shared" ref="AR166:AR170" si="584">AP162</f>
        <v>3</v>
      </c>
      <c r="AS166">
        <f t="shared" si="479"/>
        <v>3</v>
      </c>
      <c r="AT166">
        <f t="shared" si="487"/>
        <v>3</v>
      </c>
      <c r="AU166">
        <f t="shared" si="495"/>
        <v>3</v>
      </c>
      <c r="AV166">
        <f t="shared" si="503"/>
        <v>3</v>
      </c>
      <c r="AW166">
        <f t="shared" si="511"/>
        <v>3</v>
      </c>
      <c r="AX166">
        <f t="shared" si="519"/>
        <v>3</v>
      </c>
      <c r="AY166">
        <f t="shared" si="527"/>
        <v>3</v>
      </c>
      <c r="AZ166">
        <f t="shared" si="535"/>
        <v>3</v>
      </c>
      <c r="BA166">
        <f t="shared" si="543"/>
        <v>3</v>
      </c>
      <c r="BB166">
        <v>8</v>
      </c>
      <c r="BC166">
        <f t="shared" si="581"/>
        <v>7</v>
      </c>
      <c r="BD166">
        <f t="shared" ref="BD166:BD170" si="585">BB162</f>
        <v>1</v>
      </c>
      <c r="BE166">
        <f t="shared" si="480"/>
        <v>6</v>
      </c>
      <c r="BF166">
        <f t="shared" si="488"/>
        <v>33</v>
      </c>
      <c r="BG166">
        <f t="shared" si="496"/>
        <v>14</v>
      </c>
      <c r="BH166">
        <f t="shared" si="504"/>
        <v>23</v>
      </c>
      <c r="BI166">
        <f t="shared" si="512"/>
        <v>30</v>
      </c>
      <c r="BJ166">
        <f t="shared" si="520"/>
        <v>7</v>
      </c>
      <c r="BK166">
        <f t="shared" si="528"/>
        <v>25</v>
      </c>
      <c r="BL166">
        <f t="shared" si="536"/>
        <v>11</v>
      </c>
      <c r="BM166">
        <f t="shared" si="544"/>
        <v>11</v>
      </c>
      <c r="BZ166" s="12">
        <f t="shared" si="550"/>
        <v>-2.5662500000000001</v>
      </c>
      <c r="CA166" s="12">
        <f t="shared" si="582"/>
        <v>-2.6985714285713454</v>
      </c>
      <c r="CB166" s="12">
        <f t="shared" si="476"/>
        <v>-15.009999999999309</v>
      </c>
      <c r="CC166" s="12">
        <f t="shared" si="485"/>
        <v>-13.716666666666697</v>
      </c>
      <c r="CD166" s="12">
        <f t="shared" si="493"/>
        <v>-2.793636363636379</v>
      </c>
      <c r="CE166" s="12">
        <f t="shared" si="501"/>
        <v>-2.7985714285713845</v>
      </c>
      <c r="CF166" s="12">
        <f t="shared" si="509"/>
        <v>-2.3143478260869377</v>
      </c>
      <c r="CG166" s="12">
        <f t="shared" si="517"/>
        <v>-2.513000000000011</v>
      </c>
      <c r="CH166" s="12">
        <f t="shared" si="525"/>
        <v>-2.838571428571413</v>
      </c>
      <c r="CI166" s="12">
        <f t="shared" si="533"/>
        <v>-1.6615999999999986</v>
      </c>
      <c r="CJ166" s="12">
        <f t="shared" si="541"/>
        <v>-3.7727272727272729</v>
      </c>
      <c r="CK166" s="12">
        <f t="shared" si="549"/>
        <v>-4.2127272727272862</v>
      </c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>
        <f t="shared" si="551"/>
        <v>-68.710448167053599</v>
      </c>
      <c r="CY166" s="12">
        <f t="shared" si="552"/>
        <v>-69.66698509869444</v>
      </c>
      <c r="CZ166" s="12">
        <f t="shared" si="553"/>
        <v>-86.188458695644286</v>
      </c>
      <c r="DA166" s="12">
        <f t="shared" si="554"/>
        <v>-85.830284830089539</v>
      </c>
      <c r="DB166" s="12">
        <f t="shared" si="555"/>
        <v>-70.304847226412406</v>
      </c>
      <c r="DC166" s="12">
        <f t="shared" si="556"/>
        <v>-70.336912574712713</v>
      </c>
      <c r="DD166" s="12">
        <f t="shared" si="557"/>
        <v>-66.631446734140908</v>
      </c>
      <c r="DE166" s="12">
        <f t="shared" si="558"/>
        <v>-68.30086917379252</v>
      </c>
      <c r="DF166" s="12">
        <f t="shared" si="559"/>
        <v>-70.593154750493497</v>
      </c>
      <c r="DG166" s="12">
        <f t="shared" si="560"/>
        <v>-58.959227609765762</v>
      </c>
      <c r="DH166" s="12">
        <f t="shared" si="561"/>
        <v>-75.154547917916176</v>
      </c>
      <c r="DI166" s="12">
        <f t="shared" si="562"/>
        <v>-76.646511563522878</v>
      </c>
      <c r="DJ166" t="s">
        <v>22</v>
      </c>
      <c r="DK166" t="str">
        <f t="shared" si="583"/>
        <v>HL</v>
      </c>
      <c r="DL166" t="str">
        <f t="shared" ref="DL166:DL170" si="586">DJ162</f>
        <v>HL</v>
      </c>
      <c r="DM166" t="str">
        <f t="shared" si="481"/>
        <v>LL</v>
      </c>
      <c r="DN166" t="str">
        <f t="shared" si="489"/>
        <v>LL</v>
      </c>
      <c r="DO166" t="str">
        <f t="shared" si="497"/>
        <v>LL</v>
      </c>
      <c r="DP166" t="str">
        <f t="shared" si="505"/>
        <v>HL</v>
      </c>
      <c r="DQ166" t="str">
        <f t="shared" si="513"/>
        <v>LL</v>
      </c>
      <c r="DR166" t="str">
        <f t="shared" si="521"/>
        <v>HL</v>
      </c>
      <c r="DS166" t="str">
        <f t="shared" si="529"/>
        <v>HL</v>
      </c>
      <c r="DT166" t="str">
        <f t="shared" si="537"/>
        <v>HL</v>
      </c>
      <c r="DU166" t="str">
        <f t="shared" si="545"/>
        <v>HL</v>
      </c>
      <c r="DV166">
        <f t="shared" si="563"/>
        <v>-0.2667400881057197</v>
      </c>
      <c r="DW166">
        <f t="shared" si="564"/>
        <v>-0.58237885462554184</v>
      </c>
      <c r="DX166">
        <f t="shared" si="482"/>
        <v>-0.86211453744494104</v>
      </c>
      <c r="DY166">
        <f t="shared" si="490"/>
        <v>-0.29955947136564681</v>
      </c>
      <c r="DZ166">
        <f t="shared" si="498"/>
        <v>1.1658590308370109</v>
      </c>
      <c r="EA166">
        <f t="shared" si="506"/>
        <v>1.4777533039647608</v>
      </c>
      <c r="EB166">
        <f t="shared" si="514"/>
        <v>0.45022026431717183</v>
      </c>
      <c r="EC166">
        <f t="shared" si="522"/>
        <v>1.63590308370045</v>
      </c>
      <c r="ED166">
        <f t="shared" si="530"/>
        <v>1.444052863436132</v>
      </c>
      <c r="EE166">
        <f t="shared" si="538"/>
        <v>1.8061674008804162E-2</v>
      </c>
      <c r="EF166">
        <f t="shared" si="546"/>
        <v>-0.47555066079295477</v>
      </c>
      <c r="EG166" s="13" t="str">
        <f t="shared" si="565"/>
        <v/>
      </c>
      <c r="EH166" s="13" t="str">
        <f t="shared" si="566"/>
        <v/>
      </c>
      <c r="EI166" s="13" t="str">
        <f t="shared" si="567"/>
        <v/>
      </c>
      <c r="EJ166" s="13" t="str">
        <f t="shared" si="568"/>
        <v/>
      </c>
      <c r="EK166" s="13" t="str">
        <f t="shared" si="569"/>
        <v/>
      </c>
      <c r="EL166" s="13" t="str">
        <f t="shared" si="570"/>
        <v/>
      </c>
      <c r="EM166" s="13" t="str">
        <f t="shared" si="571"/>
        <v/>
      </c>
      <c r="EN166" s="13" t="str">
        <f t="shared" si="572"/>
        <v/>
      </c>
      <c r="EO166" s="13" t="str">
        <f t="shared" si="573"/>
        <v/>
      </c>
      <c r="EP166" s="13" t="str">
        <f t="shared" si="574"/>
        <v/>
      </c>
      <c r="EQ166" s="13" t="str">
        <f t="shared" si="575"/>
        <v/>
      </c>
    </row>
    <row r="167" spans="1:147" ht="14.25" customHeight="1" x14ac:dyDescent="0.55000000000000004">
      <c r="A167">
        <v>1777990504</v>
      </c>
      <c r="B167" t="s">
        <v>16</v>
      </c>
      <c r="C167" t="s">
        <v>17</v>
      </c>
      <c r="D167">
        <v>4584.37</v>
      </c>
      <c r="E167" t="s">
        <v>20</v>
      </c>
      <c r="F167">
        <v>4586.5600000000004</v>
      </c>
      <c r="G167">
        <v>4560.53</v>
      </c>
      <c r="H167">
        <v>4546.78</v>
      </c>
      <c r="I167">
        <f t="shared" si="478"/>
        <v>4528.57</v>
      </c>
      <c r="J167">
        <f t="shared" si="486"/>
        <v>4583.16</v>
      </c>
      <c r="K167">
        <f t="shared" si="494"/>
        <v>4618.59</v>
      </c>
      <c r="L167">
        <f t="shared" si="502"/>
        <v>4632.1099999999997</v>
      </c>
      <c r="M167">
        <f t="shared" si="510"/>
        <v>4660.32</v>
      </c>
      <c r="N167">
        <f t="shared" si="518"/>
        <v>4635.83</v>
      </c>
      <c r="O167">
        <f t="shared" si="526"/>
        <v>4634.1400000000003</v>
      </c>
      <c r="P167">
        <f t="shared" si="534"/>
        <v>4647.1000000000004</v>
      </c>
      <c r="Q167">
        <f t="shared" si="542"/>
        <v>4582.32</v>
      </c>
      <c r="R167">
        <v>46.56</v>
      </c>
      <c r="S167">
        <f t="shared" si="576"/>
        <v>32.639999999999418</v>
      </c>
      <c r="T167">
        <f t="shared" si="577"/>
        <v>33.219999999999345</v>
      </c>
      <c r="U167">
        <f t="shared" si="483"/>
        <v>27.710000000000036</v>
      </c>
      <c r="V167">
        <f t="shared" si="491"/>
        <v>56.760000000000218</v>
      </c>
      <c r="W167">
        <f t="shared" si="499"/>
        <v>25.659999999999854</v>
      </c>
      <c r="X167">
        <f t="shared" si="507"/>
        <v>25.019999999999527</v>
      </c>
      <c r="Y167">
        <f t="shared" si="515"/>
        <v>99.880000000000109</v>
      </c>
      <c r="Z167">
        <f t="shared" si="523"/>
        <v>21.559999999999491</v>
      </c>
      <c r="AA167">
        <f t="shared" si="531"/>
        <v>28.579999999999927</v>
      </c>
      <c r="AB167">
        <f t="shared" si="539"/>
        <v>106.28000000000065</v>
      </c>
      <c r="AC167">
        <f t="shared" si="547"/>
        <v>63.909999999999854</v>
      </c>
      <c r="AD167">
        <v>1.03</v>
      </c>
      <c r="AE167" s="14">
        <f t="shared" si="578"/>
        <v>0.7208655687306762</v>
      </c>
      <c r="AF167" s="14">
        <f t="shared" si="579"/>
        <v>0.73600439564333575</v>
      </c>
      <c r="AG167" s="14">
        <f t="shared" si="484"/>
        <v>0.61566011828850575</v>
      </c>
      <c r="AH167" s="14">
        <f t="shared" si="492"/>
        <v>1.2539766702014894</v>
      </c>
      <c r="AI167" s="14">
        <f t="shared" si="500"/>
        <v>0.55868476114375476</v>
      </c>
      <c r="AJ167" s="14">
        <f t="shared" si="508"/>
        <v>0.54307599808120799</v>
      </c>
      <c r="AK167" s="14">
        <f t="shared" si="516"/>
        <v>2.1901395479383594</v>
      </c>
      <c r="AL167" s="14">
        <f t="shared" si="524"/>
        <v>0.4672461732841704</v>
      </c>
      <c r="AM167" s="14">
        <f t="shared" si="532"/>
        <v>0.62055428655798484</v>
      </c>
      <c r="AN167" s="14">
        <f t="shared" si="540"/>
        <v>2.3405464211309996</v>
      </c>
      <c r="AO167" s="14">
        <f t="shared" si="548"/>
        <v>1.4144356089863439</v>
      </c>
      <c r="AP167">
        <v>0</v>
      </c>
      <c r="AQ167">
        <f t="shared" si="580"/>
        <v>0</v>
      </c>
      <c r="AR167">
        <f t="shared" si="584"/>
        <v>0</v>
      </c>
      <c r="AS167">
        <f t="shared" si="479"/>
        <v>0</v>
      </c>
      <c r="AT167">
        <f t="shared" si="487"/>
        <v>0</v>
      </c>
      <c r="AU167">
        <f t="shared" si="495"/>
        <v>0</v>
      </c>
      <c r="AV167">
        <f t="shared" si="503"/>
        <v>0</v>
      </c>
      <c r="AW167">
        <f t="shared" si="511"/>
        <v>0</v>
      </c>
      <c r="AX167">
        <f t="shared" si="519"/>
        <v>0</v>
      </c>
      <c r="AY167">
        <f t="shared" si="527"/>
        <v>0</v>
      </c>
      <c r="AZ167">
        <f t="shared" si="535"/>
        <v>0</v>
      </c>
      <c r="BA167">
        <f t="shared" si="543"/>
        <v>0</v>
      </c>
      <c r="BB167">
        <v>13</v>
      </c>
      <c r="BC167">
        <f t="shared" si="581"/>
        <v>18</v>
      </c>
      <c r="BD167">
        <f t="shared" si="585"/>
        <v>10</v>
      </c>
      <c r="BE167">
        <f t="shared" si="480"/>
        <v>28</v>
      </c>
      <c r="BF167">
        <f t="shared" si="488"/>
        <v>17</v>
      </c>
      <c r="BG167">
        <f t="shared" si="496"/>
        <v>2</v>
      </c>
      <c r="BH167">
        <f t="shared" si="504"/>
        <v>4</v>
      </c>
      <c r="BI167">
        <f t="shared" si="512"/>
        <v>18</v>
      </c>
      <c r="BJ167">
        <f t="shared" si="520"/>
        <v>4</v>
      </c>
      <c r="BK167">
        <f t="shared" si="528"/>
        <v>23</v>
      </c>
      <c r="BL167">
        <f t="shared" si="536"/>
        <v>24</v>
      </c>
      <c r="BM167">
        <f t="shared" si="544"/>
        <v>24</v>
      </c>
      <c r="BZ167" s="12">
        <f t="shared" si="550"/>
        <v>3.5815384615384618</v>
      </c>
      <c r="CA167" s="12">
        <f t="shared" si="582"/>
        <v>1.813333333333301</v>
      </c>
      <c r="CB167" s="12">
        <f t="shared" si="476"/>
        <v>3.3219999999999343</v>
      </c>
      <c r="CC167" s="12">
        <f t="shared" si="485"/>
        <v>0.98964285714285849</v>
      </c>
      <c r="CD167" s="12">
        <f t="shared" si="493"/>
        <v>3.3388235294117776</v>
      </c>
      <c r="CE167" s="12">
        <f t="shared" si="501"/>
        <v>12.829999999999927</v>
      </c>
      <c r="CF167" s="12">
        <f t="shared" si="509"/>
        <v>6.2549999999998818</v>
      </c>
      <c r="CG167" s="12">
        <f t="shared" si="517"/>
        <v>5.5488888888888948</v>
      </c>
      <c r="CH167" s="12">
        <f t="shared" si="525"/>
        <v>5.3899999999998727</v>
      </c>
      <c r="CI167" s="12">
        <f t="shared" si="533"/>
        <v>1.2426086956521707</v>
      </c>
      <c r="CJ167" s="12">
        <f t="shared" si="541"/>
        <v>4.4283333333333603</v>
      </c>
      <c r="CK167" s="12">
        <f t="shared" si="549"/>
        <v>2.6629166666666606</v>
      </c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>
        <f t="shared" si="551"/>
        <v>74.399755222241268</v>
      </c>
      <c r="CY167" s="12">
        <f t="shared" si="552"/>
        <v>61.124556603771467</v>
      </c>
      <c r="CZ167" s="12">
        <f t="shared" si="553"/>
        <v>73.246971781156432</v>
      </c>
      <c r="DA167" s="12">
        <f t="shared" si="554"/>
        <v>44.701747873288859</v>
      </c>
      <c r="DB167" s="12">
        <f t="shared" si="555"/>
        <v>73.326689838376396</v>
      </c>
      <c r="DC167" s="12">
        <f t="shared" si="556"/>
        <v>85.543244229697365</v>
      </c>
      <c r="DD167" s="12">
        <f t="shared" si="557"/>
        <v>80.916868304956594</v>
      </c>
      <c r="DE167" s="12">
        <f t="shared" si="558"/>
        <v>79.78402483510132</v>
      </c>
      <c r="DF167" s="12">
        <f t="shared" si="559"/>
        <v>79.489491639297086</v>
      </c>
      <c r="DG167" s="12">
        <f t="shared" si="560"/>
        <v>51.174329586539592</v>
      </c>
      <c r="DH167" s="12">
        <f t="shared" si="561"/>
        <v>77.274982448283268</v>
      </c>
      <c r="DI167" s="12">
        <f t="shared" si="562"/>
        <v>69.417432596622106</v>
      </c>
      <c r="DJ167" t="s">
        <v>23</v>
      </c>
      <c r="DK167" t="str">
        <f t="shared" si="583"/>
        <v>HH</v>
      </c>
      <c r="DL167" t="str">
        <f t="shared" si="586"/>
        <v>HH</v>
      </c>
      <c r="DM167" t="str">
        <f t="shared" si="481"/>
        <v>LH</v>
      </c>
      <c r="DN167" t="str">
        <f t="shared" si="489"/>
        <v>LH</v>
      </c>
      <c r="DO167" t="str">
        <f t="shared" si="497"/>
        <v>LH</v>
      </c>
      <c r="DP167" t="str">
        <f t="shared" si="505"/>
        <v>LH</v>
      </c>
      <c r="DQ167" t="str">
        <f t="shared" si="513"/>
        <v>HH</v>
      </c>
      <c r="DR167" t="str">
        <f t="shared" si="521"/>
        <v>HH</v>
      </c>
      <c r="DS167" t="str">
        <f t="shared" si="529"/>
        <v>LH</v>
      </c>
      <c r="DT167" t="str">
        <f t="shared" si="537"/>
        <v>HH</v>
      </c>
      <c r="DU167" t="str">
        <f t="shared" si="545"/>
        <v>HH</v>
      </c>
      <c r="DV167">
        <f t="shared" si="563"/>
        <v>-0.56752773320311201</v>
      </c>
      <c r="DW167">
        <f t="shared" si="564"/>
        <v>-0.86731668178331145</v>
      </c>
      <c r="DX167">
        <f t="shared" si="482"/>
        <v>-1.2643462638666165</v>
      </c>
      <c r="DY167">
        <f t="shared" si="490"/>
        <v>-7.4129630921661235E-2</v>
      </c>
      <c r="DZ167">
        <f t="shared" si="498"/>
        <v>0.69834472894717925</v>
      </c>
      <c r="EA167">
        <f t="shared" si="506"/>
        <v>0.99311902602384505</v>
      </c>
      <c r="EB167">
        <f t="shared" si="514"/>
        <v>1.6081769343472951</v>
      </c>
      <c r="EC167">
        <f t="shared" si="522"/>
        <v>1.0742255633851845</v>
      </c>
      <c r="ED167">
        <f t="shared" si="530"/>
        <v>1.0373787762506088</v>
      </c>
      <c r="EE167">
        <f t="shared" si="538"/>
        <v>1.3199434870578377</v>
      </c>
      <c r="EF167">
        <f t="shared" si="546"/>
        <v>-9.2444010325836601E-2</v>
      </c>
      <c r="EG167" s="13" t="str">
        <f t="shared" si="565"/>
        <v/>
      </c>
      <c r="EH167" s="13" t="str">
        <f t="shared" si="566"/>
        <v/>
      </c>
      <c r="EI167" s="13" t="str">
        <f t="shared" si="567"/>
        <v/>
      </c>
      <c r="EJ167" s="13" t="str">
        <f t="shared" si="568"/>
        <v/>
      </c>
      <c r="EK167" s="13" t="str">
        <f t="shared" si="569"/>
        <v/>
      </c>
      <c r="EL167" s="13" t="str">
        <f t="shared" si="570"/>
        <v/>
      </c>
      <c r="EM167" s="13" t="str">
        <f t="shared" si="571"/>
        <v/>
      </c>
      <c r="EN167" s="13" t="str">
        <f t="shared" si="572"/>
        <v/>
      </c>
      <c r="EO167" s="13" t="str">
        <f t="shared" si="573"/>
        <v/>
      </c>
      <c r="EP167" s="13" t="str">
        <f t="shared" si="574"/>
        <v/>
      </c>
      <c r="EQ167" s="13" t="str">
        <f t="shared" si="575"/>
        <v>EQH</v>
      </c>
    </row>
    <row r="168" spans="1:147" ht="14.25" customHeight="1" x14ac:dyDescent="0.55000000000000004">
      <c r="A168">
        <v>1778020204</v>
      </c>
      <c r="B168" t="s">
        <v>16</v>
      </c>
      <c r="C168" t="s">
        <v>17</v>
      </c>
      <c r="D168">
        <v>4548.82</v>
      </c>
      <c r="E168" t="s">
        <v>18</v>
      </c>
      <c r="F168">
        <v>4546.3100000000004</v>
      </c>
      <c r="G168">
        <v>4540</v>
      </c>
      <c r="H168">
        <v>4527.8900000000003</v>
      </c>
      <c r="I168">
        <f t="shared" ref="I168:I170" si="587">F162</f>
        <v>4513.5600000000004</v>
      </c>
      <c r="J168">
        <f t="shared" si="486"/>
        <v>4500.8599999999997</v>
      </c>
      <c r="K168">
        <f t="shared" si="494"/>
        <v>4526.3999999999996</v>
      </c>
      <c r="L168">
        <f t="shared" si="502"/>
        <v>4592.93</v>
      </c>
      <c r="M168">
        <f t="shared" si="510"/>
        <v>4607.09</v>
      </c>
      <c r="N168">
        <f t="shared" si="518"/>
        <v>4560.4399999999996</v>
      </c>
      <c r="O168">
        <f t="shared" si="526"/>
        <v>4614.2700000000004</v>
      </c>
      <c r="P168">
        <f t="shared" si="534"/>
        <v>4605.5600000000004</v>
      </c>
      <c r="Q168">
        <f t="shared" si="542"/>
        <v>4540.82</v>
      </c>
      <c r="R168">
        <v>-40.25</v>
      </c>
      <c r="S168">
        <f t="shared" si="576"/>
        <v>-20.529999999999745</v>
      </c>
      <c r="T168">
        <f t="shared" si="577"/>
        <v>-18.889999999999418</v>
      </c>
      <c r="U168">
        <f t="shared" si="483"/>
        <v>-15.009999999999309</v>
      </c>
      <c r="V168">
        <f t="shared" si="491"/>
        <v>-82.300000000000182</v>
      </c>
      <c r="W168">
        <f t="shared" si="499"/>
        <v>-92.190000000000509</v>
      </c>
      <c r="X168">
        <f t="shared" si="507"/>
        <v>-39.179999999999382</v>
      </c>
      <c r="Y168">
        <f t="shared" si="515"/>
        <v>-53.229999999999563</v>
      </c>
      <c r="Z168">
        <f t="shared" si="523"/>
        <v>-75.390000000000327</v>
      </c>
      <c r="AA168">
        <f t="shared" si="531"/>
        <v>-19.869999999999891</v>
      </c>
      <c r="AB168">
        <f t="shared" si="539"/>
        <v>-41.539999999999964</v>
      </c>
      <c r="AC168">
        <f t="shared" si="547"/>
        <v>-41.5</v>
      </c>
      <c r="AD168">
        <v>-0.88</v>
      </c>
      <c r="AE168" s="14">
        <f t="shared" si="578"/>
        <v>-0.45016697620670726</v>
      </c>
      <c r="AF168" s="14">
        <f t="shared" si="579"/>
        <v>-0.41545885219868606</v>
      </c>
      <c r="AG168" s="14">
        <f t="shared" si="484"/>
        <v>-0.33145120865967204</v>
      </c>
      <c r="AH168" s="14">
        <f t="shared" si="492"/>
        <v>-1.7957042739070901</v>
      </c>
      <c r="AI168" s="14">
        <f t="shared" si="500"/>
        <v>-1.9960637337369307</v>
      </c>
      <c r="AJ168" s="14">
        <f t="shared" si="508"/>
        <v>-0.84583483552850403</v>
      </c>
      <c r="AK168" s="14">
        <f t="shared" si="516"/>
        <v>-1.1421962440347351</v>
      </c>
      <c r="AL168" s="14">
        <f t="shared" si="524"/>
        <v>-1.6262460012554456</v>
      </c>
      <c r="AM168" s="14">
        <f t="shared" si="532"/>
        <v>-0.42877427095426313</v>
      </c>
      <c r="AN168" s="14">
        <f t="shared" si="540"/>
        <v>-0.89389081362570111</v>
      </c>
      <c r="AO168" s="14">
        <f t="shared" si="548"/>
        <v>-0.90565477749262391</v>
      </c>
      <c r="AP168">
        <v>3</v>
      </c>
      <c r="AQ168">
        <f t="shared" si="580"/>
        <v>3</v>
      </c>
      <c r="AR168">
        <f t="shared" si="584"/>
        <v>3</v>
      </c>
      <c r="AS168">
        <f t="shared" ref="AS168:AS170" si="588">AP162</f>
        <v>3</v>
      </c>
      <c r="AT168">
        <f t="shared" si="487"/>
        <v>3</v>
      </c>
      <c r="AU168">
        <f t="shared" si="495"/>
        <v>3</v>
      </c>
      <c r="AV168">
        <f t="shared" si="503"/>
        <v>3</v>
      </c>
      <c r="AW168">
        <f t="shared" si="511"/>
        <v>3</v>
      </c>
      <c r="AX168">
        <f t="shared" si="519"/>
        <v>3</v>
      </c>
      <c r="AY168">
        <f t="shared" si="527"/>
        <v>3</v>
      </c>
      <c r="AZ168">
        <f t="shared" si="535"/>
        <v>3</v>
      </c>
      <c r="BA168">
        <f t="shared" si="543"/>
        <v>3</v>
      </c>
      <c r="BB168">
        <v>29</v>
      </c>
      <c r="BC168">
        <f t="shared" si="581"/>
        <v>8</v>
      </c>
      <c r="BD168">
        <f t="shared" si="585"/>
        <v>7</v>
      </c>
      <c r="BE168">
        <f t="shared" ref="BE168:BE170" si="589">BB162</f>
        <v>1</v>
      </c>
      <c r="BF168">
        <f t="shared" si="488"/>
        <v>6</v>
      </c>
      <c r="BG168">
        <f t="shared" si="496"/>
        <v>33</v>
      </c>
      <c r="BH168">
        <f t="shared" si="504"/>
        <v>14</v>
      </c>
      <c r="BI168">
        <f t="shared" si="512"/>
        <v>23</v>
      </c>
      <c r="BJ168">
        <f t="shared" si="520"/>
        <v>30</v>
      </c>
      <c r="BK168">
        <f t="shared" si="528"/>
        <v>7</v>
      </c>
      <c r="BL168">
        <f t="shared" si="536"/>
        <v>25</v>
      </c>
      <c r="BM168">
        <f t="shared" si="544"/>
        <v>11</v>
      </c>
      <c r="BZ168" s="12">
        <f t="shared" si="550"/>
        <v>-1.3879310344827587</v>
      </c>
      <c r="CA168" s="12">
        <f t="shared" si="582"/>
        <v>-2.5662499999999682</v>
      </c>
      <c r="CB168" s="12">
        <f t="shared" si="476"/>
        <v>-2.6985714285713454</v>
      </c>
      <c r="CC168" s="12">
        <f t="shared" si="485"/>
        <v>-15.009999999999309</v>
      </c>
      <c r="CD168" s="12">
        <f t="shared" si="493"/>
        <v>-13.716666666666697</v>
      </c>
      <c r="CE168" s="12">
        <f t="shared" si="501"/>
        <v>-2.793636363636379</v>
      </c>
      <c r="CF168" s="12">
        <f t="shared" si="509"/>
        <v>-2.7985714285713845</v>
      </c>
      <c r="CG168" s="12">
        <f t="shared" si="517"/>
        <v>-2.3143478260869377</v>
      </c>
      <c r="CH168" s="12">
        <f t="shared" si="525"/>
        <v>-2.513000000000011</v>
      </c>
      <c r="CI168" s="12">
        <f t="shared" si="533"/>
        <v>-2.838571428571413</v>
      </c>
      <c r="CJ168" s="12">
        <f t="shared" si="541"/>
        <v>-1.6615999999999986</v>
      </c>
      <c r="CK168" s="12">
        <f t="shared" si="549"/>
        <v>-3.7727272727272729</v>
      </c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>
        <f t="shared" si="551"/>
        <v>-54.227367194289329</v>
      </c>
      <c r="CY168" s="12">
        <f t="shared" si="552"/>
        <v>-68.710448167053357</v>
      </c>
      <c r="CZ168" s="12">
        <f t="shared" si="553"/>
        <v>-69.66698509869444</v>
      </c>
      <c r="DA168" s="12">
        <f t="shared" si="554"/>
        <v>-86.188458695644286</v>
      </c>
      <c r="DB168" s="12">
        <f t="shared" si="555"/>
        <v>-85.830284830089539</v>
      </c>
      <c r="DC168" s="12">
        <f t="shared" si="556"/>
        <v>-70.304847226412406</v>
      </c>
      <c r="DD168" s="12">
        <f t="shared" si="557"/>
        <v>-70.336912574712713</v>
      </c>
      <c r="DE168" s="12">
        <f t="shared" si="558"/>
        <v>-66.631446734140908</v>
      </c>
      <c r="DF168" s="12">
        <f t="shared" si="559"/>
        <v>-68.30086917379252</v>
      </c>
      <c r="DG168" s="12">
        <f t="shared" si="560"/>
        <v>-70.593154750493497</v>
      </c>
      <c r="DH168" s="12">
        <f t="shared" si="561"/>
        <v>-58.959227609765762</v>
      </c>
      <c r="DI168" s="12">
        <f t="shared" si="562"/>
        <v>-75.154547917916176</v>
      </c>
      <c r="DJ168" t="s">
        <v>22</v>
      </c>
      <c r="DK168" t="str">
        <f t="shared" si="583"/>
        <v>HL</v>
      </c>
      <c r="DL168" t="str">
        <f t="shared" si="586"/>
        <v>HL</v>
      </c>
      <c r="DM168" t="str">
        <f t="shared" ref="DM168:DM170" si="590">DJ162</f>
        <v>HL</v>
      </c>
      <c r="DN168" t="str">
        <f t="shared" si="489"/>
        <v>LL</v>
      </c>
      <c r="DO168" t="str">
        <f t="shared" si="497"/>
        <v>LL</v>
      </c>
      <c r="DP168" t="str">
        <f t="shared" si="505"/>
        <v>LL</v>
      </c>
      <c r="DQ168" t="str">
        <f t="shared" si="513"/>
        <v>HL</v>
      </c>
      <c r="DR168" t="str">
        <f t="shared" si="521"/>
        <v>LL</v>
      </c>
      <c r="DS168" t="str">
        <f t="shared" si="529"/>
        <v>HL</v>
      </c>
      <c r="DT168" t="str">
        <f t="shared" si="537"/>
        <v>HL</v>
      </c>
      <c r="DU168" t="str">
        <f t="shared" si="545"/>
        <v>HL</v>
      </c>
      <c r="DV168">
        <f t="shared" si="563"/>
        <v>-0.13879387899198251</v>
      </c>
      <c r="DW168">
        <f t="shared" si="564"/>
        <v>-0.4051637481825936</v>
      </c>
      <c r="DX168">
        <f t="shared" si="482"/>
        <v>-0.72036442741476048</v>
      </c>
      <c r="DY168">
        <f t="shared" si="490"/>
        <v>-0.99971185422904996</v>
      </c>
      <c r="DZ168">
        <f t="shared" si="498"/>
        <v>-0.437937580147433</v>
      </c>
      <c r="EA168">
        <f t="shared" si="506"/>
        <v>1.0254470108725513</v>
      </c>
      <c r="EB168">
        <f t="shared" si="514"/>
        <v>1.3369083938402737</v>
      </c>
      <c r="EC168">
        <f t="shared" si="522"/>
        <v>0.31080150715633553</v>
      </c>
      <c r="ED168">
        <f t="shared" si="530"/>
        <v>1.4948386713620505</v>
      </c>
      <c r="EE168">
        <f t="shared" si="538"/>
        <v>1.3032547274602919</v>
      </c>
      <c r="EF168">
        <f t="shared" si="546"/>
        <v>-0.12075727348114604</v>
      </c>
      <c r="EG168" s="13" t="str">
        <f t="shared" si="565"/>
        <v/>
      </c>
      <c r="EH168" s="13" t="str">
        <f t="shared" si="566"/>
        <v/>
      </c>
      <c r="EI168" s="13" t="str">
        <f t="shared" si="567"/>
        <v/>
      </c>
      <c r="EJ168" s="13" t="str">
        <f t="shared" si="568"/>
        <v/>
      </c>
      <c r="EK168" s="13" t="str">
        <f t="shared" si="569"/>
        <v/>
      </c>
      <c r="EL168" s="13" t="str">
        <f t="shared" si="570"/>
        <v/>
      </c>
      <c r="EM168" s="13" t="str">
        <f t="shared" si="571"/>
        <v/>
      </c>
      <c r="EN168" s="13" t="str">
        <f t="shared" si="572"/>
        <v/>
      </c>
      <c r="EO168" s="13" t="str">
        <f t="shared" si="573"/>
        <v/>
      </c>
      <c r="EP168" s="13" t="str">
        <f t="shared" si="574"/>
        <v/>
      </c>
      <c r="EQ168" s="13" t="str">
        <f t="shared" si="575"/>
        <v/>
      </c>
    </row>
    <row r="169" spans="1:147" ht="14.25" customHeight="1" x14ac:dyDescent="0.55000000000000004">
      <c r="A169">
        <v>1778031004</v>
      </c>
      <c r="B169" t="s">
        <v>16</v>
      </c>
      <c r="C169" t="s">
        <v>17</v>
      </c>
      <c r="D169">
        <v>4623.3</v>
      </c>
      <c r="E169" t="s">
        <v>20</v>
      </c>
      <c r="F169">
        <v>4626.22</v>
      </c>
      <c r="G169">
        <v>4586.5600000000004</v>
      </c>
      <c r="H169">
        <v>4560.53</v>
      </c>
      <c r="I169">
        <f t="shared" si="587"/>
        <v>4546.78</v>
      </c>
      <c r="J169">
        <f t="shared" si="486"/>
        <v>4528.57</v>
      </c>
      <c r="K169">
        <f t="shared" si="494"/>
        <v>4583.16</v>
      </c>
      <c r="L169">
        <f t="shared" si="502"/>
        <v>4618.59</v>
      </c>
      <c r="M169">
        <f t="shared" si="510"/>
        <v>4632.1099999999997</v>
      </c>
      <c r="N169">
        <f t="shared" si="518"/>
        <v>4660.32</v>
      </c>
      <c r="O169">
        <f t="shared" si="526"/>
        <v>4635.83</v>
      </c>
      <c r="P169">
        <f t="shared" si="534"/>
        <v>4634.1400000000003</v>
      </c>
      <c r="Q169">
        <f t="shared" si="542"/>
        <v>4647.1000000000004</v>
      </c>
      <c r="R169">
        <v>79.91</v>
      </c>
      <c r="S169">
        <f t="shared" si="576"/>
        <v>46.5600000000004</v>
      </c>
      <c r="T169">
        <f t="shared" si="577"/>
        <v>32.639999999999418</v>
      </c>
      <c r="U169">
        <f t="shared" si="483"/>
        <v>33.219999999999345</v>
      </c>
      <c r="V169">
        <f t="shared" si="491"/>
        <v>27.710000000000036</v>
      </c>
      <c r="W169">
        <f t="shared" si="499"/>
        <v>56.760000000000218</v>
      </c>
      <c r="X169">
        <f t="shared" si="507"/>
        <v>25.659999999999854</v>
      </c>
      <c r="Y169">
        <f t="shared" si="515"/>
        <v>25.019999999999527</v>
      </c>
      <c r="Z169">
        <f t="shared" si="523"/>
        <v>99.880000000000109</v>
      </c>
      <c r="AA169">
        <f t="shared" si="531"/>
        <v>21.559999999999491</v>
      </c>
      <c r="AB169">
        <f t="shared" si="539"/>
        <v>28.579999999999927</v>
      </c>
      <c r="AC169">
        <f t="shared" si="547"/>
        <v>106.28000000000065</v>
      </c>
      <c r="AD169">
        <v>1.76</v>
      </c>
      <c r="AE169" s="14">
        <f t="shared" si="578"/>
        <v>1.0255506607929603</v>
      </c>
      <c r="AF169" s="14">
        <f t="shared" si="579"/>
        <v>0.7208655687306762</v>
      </c>
      <c r="AG169" s="14">
        <f t="shared" si="484"/>
        <v>0.73600439564333575</v>
      </c>
      <c r="AH169" s="14">
        <f t="shared" si="492"/>
        <v>0.61566011828850575</v>
      </c>
      <c r="AI169" s="14">
        <f t="shared" si="500"/>
        <v>1.2539766702014894</v>
      </c>
      <c r="AJ169" s="14">
        <f t="shared" si="508"/>
        <v>0.55868476114375476</v>
      </c>
      <c r="AK169" s="14">
        <f t="shared" si="516"/>
        <v>0.54307599808120799</v>
      </c>
      <c r="AL169" s="14">
        <f t="shared" si="524"/>
        <v>2.1901395479383594</v>
      </c>
      <c r="AM169" s="14">
        <f t="shared" si="532"/>
        <v>0.4672461732841704</v>
      </c>
      <c r="AN169" s="14">
        <f t="shared" si="540"/>
        <v>0.62055428655798484</v>
      </c>
      <c r="AO169" s="14">
        <f t="shared" si="548"/>
        <v>2.3405464211309996</v>
      </c>
      <c r="AP169">
        <v>0</v>
      </c>
      <c r="AQ169">
        <f t="shared" si="580"/>
        <v>0</v>
      </c>
      <c r="AR169">
        <f t="shared" si="584"/>
        <v>0</v>
      </c>
      <c r="AS169">
        <f t="shared" si="588"/>
        <v>0</v>
      </c>
      <c r="AT169">
        <f t="shared" si="487"/>
        <v>0</v>
      </c>
      <c r="AU169">
        <f t="shared" si="495"/>
        <v>0</v>
      </c>
      <c r="AV169">
        <f t="shared" si="503"/>
        <v>0</v>
      </c>
      <c r="AW169">
        <f t="shared" si="511"/>
        <v>0</v>
      </c>
      <c r="AX169">
        <f t="shared" si="519"/>
        <v>0</v>
      </c>
      <c r="AY169">
        <f t="shared" si="527"/>
        <v>0</v>
      </c>
      <c r="AZ169">
        <f t="shared" si="535"/>
        <v>0</v>
      </c>
      <c r="BA169">
        <f t="shared" si="543"/>
        <v>0</v>
      </c>
      <c r="BB169">
        <v>12</v>
      </c>
      <c r="BC169">
        <f t="shared" si="581"/>
        <v>13</v>
      </c>
      <c r="BD169">
        <f t="shared" si="585"/>
        <v>18</v>
      </c>
      <c r="BE169">
        <f t="shared" si="589"/>
        <v>10</v>
      </c>
      <c r="BF169">
        <f t="shared" si="488"/>
        <v>28</v>
      </c>
      <c r="BG169">
        <f t="shared" si="496"/>
        <v>17</v>
      </c>
      <c r="BH169">
        <f t="shared" si="504"/>
        <v>2</v>
      </c>
      <c r="BI169">
        <f t="shared" si="512"/>
        <v>4</v>
      </c>
      <c r="BJ169">
        <f t="shared" si="520"/>
        <v>18</v>
      </c>
      <c r="BK169">
        <f t="shared" si="528"/>
        <v>4</v>
      </c>
      <c r="BL169">
        <f t="shared" si="536"/>
        <v>23</v>
      </c>
      <c r="BM169">
        <f t="shared" si="544"/>
        <v>24</v>
      </c>
      <c r="BZ169" s="12">
        <f t="shared" si="550"/>
        <v>6.6591666666666667</v>
      </c>
      <c r="CA169" s="12">
        <f t="shared" si="582"/>
        <v>3.5815384615384924</v>
      </c>
      <c r="CB169" s="12">
        <f t="shared" si="476"/>
        <v>1.813333333333301</v>
      </c>
      <c r="CC169" s="12">
        <f t="shared" si="485"/>
        <v>3.3219999999999343</v>
      </c>
      <c r="CD169" s="12">
        <f t="shared" si="493"/>
        <v>0.98964285714285849</v>
      </c>
      <c r="CE169" s="12">
        <f t="shared" si="501"/>
        <v>3.3388235294117776</v>
      </c>
      <c r="CF169" s="12">
        <f t="shared" si="509"/>
        <v>12.829999999999927</v>
      </c>
      <c r="CG169" s="12">
        <f t="shared" si="517"/>
        <v>6.2549999999998818</v>
      </c>
      <c r="CH169" s="12">
        <f t="shared" si="525"/>
        <v>5.5488888888888948</v>
      </c>
      <c r="CI169" s="12">
        <f t="shared" si="533"/>
        <v>5.3899999999998727</v>
      </c>
      <c r="CJ169" s="12">
        <f t="shared" si="541"/>
        <v>1.2426086956521707</v>
      </c>
      <c r="CK169" s="12">
        <f t="shared" si="549"/>
        <v>4.4283333333333603</v>
      </c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>
        <f t="shared" si="551"/>
        <v>81.459768069939415</v>
      </c>
      <c r="CY169" s="12">
        <f t="shared" si="552"/>
        <v>74.399755222241396</v>
      </c>
      <c r="CZ169" s="12">
        <f t="shared" si="553"/>
        <v>61.124556603771467</v>
      </c>
      <c r="DA169" s="12">
        <f t="shared" si="554"/>
        <v>73.246971781156432</v>
      </c>
      <c r="DB169" s="12">
        <f t="shared" si="555"/>
        <v>44.701747873288859</v>
      </c>
      <c r="DC169" s="12">
        <f t="shared" si="556"/>
        <v>73.326689838376396</v>
      </c>
      <c r="DD169" s="12">
        <f t="shared" si="557"/>
        <v>85.543244229697365</v>
      </c>
      <c r="DE169" s="12">
        <f t="shared" si="558"/>
        <v>80.916868304956594</v>
      </c>
      <c r="DF169" s="12">
        <f t="shared" si="559"/>
        <v>79.78402483510132</v>
      </c>
      <c r="DG169" s="12">
        <f t="shared" si="560"/>
        <v>79.489491639297086</v>
      </c>
      <c r="DH169" s="12">
        <f t="shared" si="561"/>
        <v>51.174329586539592</v>
      </c>
      <c r="DI169" s="12">
        <f t="shared" si="562"/>
        <v>77.274982448283268</v>
      </c>
      <c r="DJ169" t="s">
        <v>23</v>
      </c>
      <c r="DK169" t="str">
        <f t="shared" si="583"/>
        <v>HH</v>
      </c>
      <c r="DL169" t="str">
        <f t="shared" si="586"/>
        <v>HH</v>
      </c>
      <c r="DM169" t="str">
        <f t="shared" si="590"/>
        <v>HH</v>
      </c>
      <c r="DN169" t="str">
        <f t="shared" si="489"/>
        <v>LH</v>
      </c>
      <c r="DO169" t="str">
        <f t="shared" si="497"/>
        <v>LH</v>
      </c>
      <c r="DP169" t="str">
        <f t="shared" si="505"/>
        <v>LH</v>
      </c>
      <c r="DQ169" t="str">
        <f t="shared" si="513"/>
        <v>LH</v>
      </c>
      <c r="DR169" t="str">
        <f t="shared" si="521"/>
        <v>HH</v>
      </c>
      <c r="DS169" t="str">
        <f t="shared" si="529"/>
        <v>HH</v>
      </c>
      <c r="DT169" t="str">
        <f t="shared" si="537"/>
        <v>LH</v>
      </c>
      <c r="DU169" t="str">
        <f t="shared" si="545"/>
        <v>HH</v>
      </c>
      <c r="DV169">
        <f t="shared" si="563"/>
        <v>-0.85728737500594121</v>
      </c>
      <c r="DW169">
        <f t="shared" si="564"/>
        <v>-1.4199497646026455</v>
      </c>
      <c r="DX169">
        <f t="shared" si="482"/>
        <v>-1.7171686603750038</v>
      </c>
      <c r="DY169">
        <f t="shared" si="490"/>
        <v>-2.1107945579760696</v>
      </c>
      <c r="DZ169">
        <f t="shared" si="498"/>
        <v>-0.93078150196057252</v>
      </c>
      <c r="EA169">
        <f t="shared" si="506"/>
        <v>-0.16492946725404559</v>
      </c>
      <c r="EB169">
        <f t="shared" si="514"/>
        <v>0.12731776698901948</v>
      </c>
      <c r="EC169">
        <f t="shared" si="522"/>
        <v>0.73710286151543714</v>
      </c>
      <c r="ED169">
        <f t="shared" si="530"/>
        <v>0.20772898824525579</v>
      </c>
      <c r="EE169">
        <f t="shared" si="538"/>
        <v>0.17119808396488001</v>
      </c>
      <c r="EF169">
        <f t="shared" si="546"/>
        <v>0.45134040318013641</v>
      </c>
      <c r="EG169" s="13" t="str">
        <f t="shared" si="565"/>
        <v/>
      </c>
      <c r="EH169" s="13" t="str">
        <f t="shared" si="566"/>
        <v/>
      </c>
      <c r="EI169" s="13" t="str">
        <f t="shared" si="567"/>
        <v/>
      </c>
      <c r="EJ169" s="13" t="str">
        <f t="shared" si="568"/>
        <v/>
      </c>
      <c r="EK169" s="13" t="str">
        <f t="shared" si="569"/>
        <v/>
      </c>
      <c r="EL169" s="13" t="str">
        <f t="shared" si="570"/>
        <v/>
      </c>
      <c r="EM169" s="13" t="str">
        <f t="shared" si="571"/>
        <v/>
      </c>
      <c r="EN169" s="13" t="str">
        <f t="shared" si="572"/>
        <v/>
      </c>
      <c r="EO169" s="13" t="str">
        <f t="shared" si="573"/>
        <v>EQH</v>
      </c>
      <c r="EP169" s="13" t="str">
        <f t="shared" si="574"/>
        <v>EQH</v>
      </c>
      <c r="EQ169" s="13" t="str">
        <f t="shared" si="575"/>
        <v/>
      </c>
    </row>
    <row r="170" spans="1:147" ht="14.25" customHeight="1" x14ac:dyDescent="0.55000000000000004">
      <c r="A170">
        <v>1778031783</v>
      </c>
      <c r="B170" t="s">
        <v>16</v>
      </c>
      <c r="C170" t="s">
        <v>17</v>
      </c>
      <c r="D170">
        <v>4623.3</v>
      </c>
      <c r="E170" t="s">
        <v>18</v>
      </c>
      <c r="F170">
        <v>4620.43</v>
      </c>
      <c r="G170">
        <v>4546.3100000000004</v>
      </c>
      <c r="H170">
        <v>4540</v>
      </c>
      <c r="I170">
        <f t="shared" si="587"/>
        <v>4527.8900000000003</v>
      </c>
      <c r="J170">
        <f t="shared" ref="J170" si="591">F162</f>
        <v>4513.5600000000004</v>
      </c>
      <c r="K170">
        <f t="shared" si="494"/>
        <v>4500.8599999999997</v>
      </c>
      <c r="L170">
        <f t="shared" si="502"/>
        <v>4526.3999999999996</v>
      </c>
      <c r="M170">
        <f t="shared" si="510"/>
        <v>4592.93</v>
      </c>
      <c r="N170">
        <f t="shared" si="518"/>
        <v>4607.09</v>
      </c>
      <c r="O170">
        <f t="shared" si="526"/>
        <v>4560.4399999999996</v>
      </c>
      <c r="P170">
        <f t="shared" si="534"/>
        <v>4614.2700000000004</v>
      </c>
      <c r="Q170">
        <f t="shared" si="542"/>
        <v>4605.5600000000004</v>
      </c>
      <c r="R170">
        <v>-5.79</v>
      </c>
      <c r="S170">
        <f t="shared" si="576"/>
        <v>-40.25</v>
      </c>
      <c r="T170">
        <f t="shared" si="577"/>
        <v>-20.529999999999745</v>
      </c>
      <c r="U170">
        <f t="shared" si="483"/>
        <v>-18.889999999999418</v>
      </c>
      <c r="V170">
        <f t="shared" si="491"/>
        <v>-15.009999999999309</v>
      </c>
      <c r="W170">
        <f t="shared" si="499"/>
        <v>-82.300000000000182</v>
      </c>
      <c r="X170">
        <f t="shared" si="507"/>
        <v>-92.190000000000509</v>
      </c>
      <c r="Y170">
        <f t="shared" si="515"/>
        <v>-39.179999999999382</v>
      </c>
      <c r="Z170">
        <f t="shared" si="523"/>
        <v>-53.229999999999563</v>
      </c>
      <c r="AA170">
        <f t="shared" si="531"/>
        <v>-75.390000000000327</v>
      </c>
      <c r="AB170">
        <f t="shared" si="539"/>
        <v>-19.869999999999891</v>
      </c>
      <c r="AC170">
        <f t="shared" si="547"/>
        <v>-41.539999999999964</v>
      </c>
      <c r="AD170">
        <v>-0.13</v>
      </c>
      <c r="AE170" s="14">
        <f t="shared" si="578"/>
        <v>-0.87756401311658394</v>
      </c>
      <c r="AF170" s="14">
        <f t="shared" si="579"/>
        <v>-0.45016697620670726</v>
      </c>
      <c r="AG170" s="14">
        <f t="shared" si="484"/>
        <v>-0.41545885219868606</v>
      </c>
      <c r="AH170" s="14">
        <f t="shared" si="492"/>
        <v>-0.33145120865967204</v>
      </c>
      <c r="AI170" s="14">
        <f t="shared" si="500"/>
        <v>-1.7957042739070901</v>
      </c>
      <c r="AJ170" s="14">
        <f t="shared" si="508"/>
        <v>-1.9960637337369307</v>
      </c>
      <c r="AK170" s="14">
        <f t="shared" si="516"/>
        <v>-0.84583483552850403</v>
      </c>
      <c r="AL170" s="14">
        <f t="shared" si="524"/>
        <v>-1.1421962440347351</v>
      </c>
      <c r="AM170" s="14">
        <f t="shared" si="532"/>
        <v>-1.6262460012554456</v>
      </c>
      <c r="AN170" s="14">
        <f t="shared" si="540"/>
        <v>-0.42877427095426313</v>
      </c>
      <c r="AO170" s="14">
        <f t="shared" si="548"/>
        <v>-0.89389081362570111</v>
      </c>
      <c r="AP170">
        <v>3</v>
      </c>
      <c r="AQ170">
        <f t="shared" si="580"/>
        <v>3</v>
      </c>
      <c r="AR170">
        <f t="shared" si="584"/>
        <v>3</v>
      </c>
      <c r="AS170">
        <f t="shared" si="588"/>
        <v>3</v>
      </c>
      <c r="AT170">
        <f t="shared" ref="AT170" si="592">AP162</f>
        <v>3</v>
      </c>
      <c r="AU170">
        <f t="shared" si="495"/>
        <v>3</v>
      </c>
      <c r="AV170">
        <f t="shared" si="503"/>
        <v>3</v>
      </c>
      <c r="AW170">
        <f t="shared" si="511"/>
        <v>3</v>
      </c>
      <c r="AX170">
        <f t="shared" si="519"/>
        <v>3</v>
      </c>
      <c r="AY170">
        <f t="shared" si="527"/>
        <v>3</v>
      </c>
      <c r="AZ170">
        <f t="shared" si="535"/>
        <v>3</v>
      </c>
      <c r="BA170">
        <f t="shared" si="543"/>
        <v>3</v>
      </c>
      <c r="BB170">
        <v>0</v>
      </c>
      <c r="BC170">
        <f t="shared" si="581"/>
        <v>29</v>
      </c>
      <c r="BD170">
        <f t="shared" si="585"/>
        <v>8</v>
      </c>
      <c r="BE170">
        <f t="shared" si="589"/>
        <v>7</v>
      </c>
      <c r="BF170">
        <f t="shared" ref="BF170" si="593">BB162</f>
        <v>1</v>
      </c>
      <c r="BG170">
        <f t="shared" si="496"/>
        <v>6</v>
      </c>
      <c r="BH170">
        <f t="shared" si="504"/>
        <v>33</v>
      </c>
      <c r="BI170">
        <f t="shared" si="512"/>
        <v>14</v>
      </c>
      <c r="BJ170">
        <f t="shared" si="520"/>
        <v>23</v>
      </c>
      <c r="BK170">
        <f t="shared" si="528"/>
        <v>30</v>
      </c>
      <c r="BL170">
        <f t="shared" si="536"/>
        <v>7</v>
      </c>
      <c r="BM170">
        <f t="shared" si="544"/>
        <v>25</v>
      </c>
      <c r="BZ170" s="12">
        <f t="shared" si="550"/>
        <v>0</v>
      </c>
      <c r="CA170" s="12">
        <f t="shared" si="582"/>
        <v>-1.3879310344827587</v>
      </c>
      <c r="CB170" s="12">
        <f t="shared" si="476"/>
        <v>-2.5662499999999682</v>
      </c>
      <c r="CC170" s="12">
        <f t="shared" si="485"/>
        <v>-2.6985714285713454</v>
      </c>
      <c r="CD170" s="12">
        <f t="shared" si="493"/>
        <v>-15.009999999999309</v>
      </c>
      <c r="CE170" s="12">
        <f t="shared" si="501"/>
        <v>-13.716666666666697</v>
      </c>
      <c r="CF170" s="12">
        <f t="shared" si="509"/>
        <v>-2.793636363636379</v>
      </c>
      <c r="CG170" s="12">
        <f t="shared" si="517"/>
        <v>-2.7985714285713845</v>
      </c>
      <c r="CH170" s="12">
        <f t="shared" si="525"/>
        <v>-2.3143478260869377</v>
      </c>
      <c r="CI170" s="12">
        <f t="shared" si="533"/>
        <v>-2.513000000000011</v>
      </c>
      <c r="CJ170" s="12">
        <f t="shared" si="541"/>
        <v>-2.838571428571413</v>
      </c>
      <c r="CK170" s="12">
        <f t="shared" si="549"/>
        <v>-1.6615999999999986</v>
      </c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>
        <f t="shared" si="551"/>
        <v>0</v>
      </c>
      <c r="CY170" s="12">
        <f t="shared" si="552"/>
        <v>-54.227367194289329</v>
      </c>
      <c r="CZ170" s="12">
        <f t="shared" si="553"/>
        <v>-68.710448167053357</v>
      </c>
      <c r="DA170" s="12">
        <f t="shared" si="554"/>
        <v>-69.66698509869444</v>
      </c>
      <c r="DB170" s="12">
        <f t="shared" si="555"/>
        <v>-86.188458695644286</v>
      </c>
      <c r="DC170" s="12">
        <f t="shared" si="556"/>
        <v>-85.830284830089539</v>
      </c>
      <c r="DD170" s="12">
        <f t="shared" si="557"/>
        <v>-70.304847226412406</v>
      </c>
      <c r="DE170" s="12">
        <f t="shared" si="558"/>
        <v>-70.336912574712713</v>
      </c>
      <c r="DF170" s="12">
        <f t="shared" si="559"/>
        <v>-66.631446734140908</v>
      </c>
      <c r="DG170" s="12">
        <f t="shared" si="560"/>
        <v>-68.30086917379252</v>
      </c>
      <c r="DH170" s="12">
        <f t="shared" si="561"/>
        <v>-70.593154750493497</v>
      </c>
      <c r="DI170" s="12">
        <f t="shared" si="562"/>
        <v>-58.959227609765762</v>
      </c>
      <c r="DJ170" t="s">
        <v>22</v>
      </c>
      <c r="DK170" t="str">
        <f t="shared" si="583"/>
        <v>HL</v>
      </c>
      <c r="DL170" t="str">
        <f t="shared" si="586"/>
        <v>HL</v>
      </c>
      <c r="DM170" t="str">
        <f t="shared" si="590"/>
        <v>HL</v>
      </c>
      <c r="DN170" t="str">
        <f t="shared" ref="DN170" si="594">DJ162</f>
        <v>HL</v>
      </c>
      <c r="DO170" t="str">
        <f t="shared" si="497"/>
        <v>LL</v>
      </c>
      <c r="DP170" t="str">
        <f t="shared" si="505"/>
        <v>LL</v>
      </c>
      <c r="DQ170" t="str">
        <f t="shared" si="513"/>
        <v>LL</v>
      </c>
      <c r="DR170" t="str">
        <f t="shared" si="521"/>
        <v>HL</v>
      </c>
      <c r="DS170" t="str">
        <f t="shared" si="529"/>
        <v>LL</v>
      </c>
      <c r="DT170" t="str">
        <f t="shared" si="537"/>
        <v>HL</v>
      </c>
      <c r="DU170" t="str">
        <f t="shared" si="545"/>
        <v>HL</v>
      </c>
      <c r="DV170">
        <f t="shared" si="563"/>
        <v>-1.6041796975606142</v>
      </c>
      <c r="DW170">
        <f t="shared" si="564"/>
        <v>-1.7407470733243506</v>
      </c>
      <c r="DX170">
        <f t="shared" si="482"/>
        <v>-2.0028438911529873</v>
      </c>
      <c r="DY170">
        <f t="shared" si="490"/>
        <v>-2.3129881850823382</v>
      </c>
      <c r="DZ170">
        <f t="shared" si="498"/>
        <v>-2.5878543771900153</v>
      </c>
      <c r="EA170">
        <f t="shared" si="506"/>
        <v>-2.0350919719593339</v>
      </c>
      <c r="EB170">
        <f t="shared" si="514"/>
        <v>-0.59518269944572255</v>
      </c>
      <c r="EC170">
        <f t="shared" si="522"/>
        <v>-0.28871771674931002</v>
      </c>
      <c r="ED170">
        <f t="shared" si="530"/>
        <v>-1.2983640050817928</v>
      </c>
      <c r="EE170">
        <f t="shared" si="538"/>
        <v>-0.1333209246758387</v>
      </c>
      <c r="EF170">
        <f t="shared" si="546"/>
        <v>-0.32183151784573921</v>
      </c>
      <c r="EG170" s="13" t="str">
        <f t="shared" si="565"/>
        <v/>
      </c>
      <c r="EH170" s="13" t="str">
        <f t="shared" si="566"/>
        <v/>
      </c>
      <c r="EI170" s="13" t="str">
        <f t="shared" si="567"/>
        <v/>
      </c>
      <c r="EJ170" s="13" t="str">
        <f t="shared" si="568"/>
        <v/>
      </c>
      <c r="EK170" s="13" t="str">
        <f t="shared" si="569"/>
        <v/>
      </c>
      <c r="EL170" s="13" t="str">
        <f t="shared" si="570"/>
        <v/>
      </c>
      <c r="EM170" s="13" t="str">
        <f t="shared" si="571"/>
        <v/>
      </c>
      <c r="EN170" s="13" t="str">
        <f t="shared" si="572"/>
        <v/>
      </c>
      <c r="EO170" s="13" t="str">
        <f t="shared" si="573"/>
        <v/>
      </c>
      <c r="EP170" s="13" t="str">
        <f t="shared" si="574"/>
        <v>EQL</v>
      </c>
      <c r="EQ170" s="13" t="str">
        <f t="shared" si="575"/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2"/>
  <sheetViews>
    <sheetView zoomScaleNormal="100" workbookViewId="0"/>
  </sheetViews>
  <sheetFormatPr defaultColWidth="8.83984375" defaultRowHeight="14.4" x14ac:dyDescent="0.55000000000000004"/>
  <cols>
    <col min="1" max="16384" width="8.83984375" style="15"/>
  </cols>
  <sheetData>
    <row r="1" spans="1:16" x14ac:dyDescent="0.5500000000000000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x14ac:dyDescent="0.55000000000000004">
      <c r="A2" s="15">
        <v>1774250106</v>
      </c>
      <c r="B2" s="15" t="s">
        <v>16</v>
      </c>
      <c r="C2" s="15" t="s">
        <v>17</v>
      </c>
      <c r="D2" s="15">
        <v>4135.63</v>
      </c>
      <c r="E2" s="15" t="s">
        <v>18</v>
      </c>
      <c r="F2" s="15">
        <v>4098.6899999999996</v>
      </c>
      <c r="G2" s="15">
        <v>4734.78</v>
      </c>
      <c r="H2" s="15">
        <v>4661.42</v>
      </c>
      <c r="I2" s="15">
        <v>4736.13</v>
      </c>
      <c r="J2" s="15">
        <v>4502.7299999999996</v>
      </c>
      <c r="K2" s="15">
        <v>4867.22</v>
      </c>
      <c r="L2" s="15">
        <v>-636.09</v>
      </c>
      <c r="M2" s="15">
        <v>-13.43</v>
      </c>
      <c r="N2" s="15">
        <v>5</v>
      </c>
      <c r="O2" s="15">
        <v>88</v>
      </c>
      <c r="P2" s="15" t="s">
        <v>19</v>
      </c>
    </row>
    <row r="3" spans="1:16" x14ac:dyDescent="0.55000000000000004">
      <c r="A3" s="15">
        <v>1774275306</v>
      </c>
      <c r="B3" s="15" t="s">
        <v>16</v>
      </c>
      <c r="C3" s="15" t="s">
        <v>17</v>
      </c>
      <c r="D3" s="15">
        <v>4486.9799999999996</v>
      </c>
      <c r="E3" s="15" t="s">
        <v>20</v>
      </c>
      <c r="F3" s="15">
        <v>4512.91</v>
      </c>
      <c r="G3" s="15">
        <v>4098.6899999999996</v>
      </c>
      <c r="H3" s="15">
        <v>4734.78</v>
      </c>
      <c r="I3" s="15">
        <v>4661.42</v>
      </c>
      <c r="J3" s="15">
        <v>4736.13</v>
      </c>
      <c r="K3" s="15">
        <v>4502.7299999999996</v>
      </c>
      <c r="L3" s="15">
        <v>414.22</v>
      </c>
      <c r="M3" s="15">
        <v>10.11</v>
      </c>
      <c r="N3" s="15">
        <v>2</v>
      </c>
      <c r="O3" s="15">
        <v>28</v>
      </c>
      <c r="P3" s="15" t="s">
        <v>21</v>
      </c>
    </row>
    <row r="4" spans="1:16" x14ac:dyDescent="0.55000000000000004">
      <c r="A4" s="15">
        <v>1774280706</v>
      </c>
      <c r="B4" s="15" t="s">
        <v>16</v>
      </c>
      <c r="C4" s="15" t="s">
        <v>17</v>
      </c>
      <c r="D4" s="15">
        <v>4364.25</v>
      </c>
      <c r="E4" s="15" t="s">
        <v>18</v>
      </c>
      <c r="F4" s="15">
        <v>4351.03</v>
      </c>
      <c r="G4" s="15">
        <v>4512.91</v>
      </c>
      <c r="H4" s="15">
        <v>4098.6899999999996</v>
      </c>
      <c r="I4" s="15">
        <v>4734.78</v>
      </c>
      <c r="J4" s="15">
        <v>4661.42</v>
      </c>
      <c r="K4" s="15">
        <v>4736.13</v>
      </c>
      <c r="L4" s="15">
        <v>-161.88</v>
      </c>
      <c r="M4" s="15">
        <v>-3.59</v>
      </c>
      <c r="N4" s="15">
        <v>3</v>
      </c>
      <c r="O4" s="15">
        <v>6</v>
      </c>
      <c r="P4" s="15" t="s">
        <v>22</v>
      </c>
    </row>
    <row r="5" spans="1:16" x14ac:dyDescent="0.55000000000000004">
      <c r="A5" s="15">
        <v>1774291506</v>
      </c>
      <c r="B5" s="15" t="s">
        <v>16</v>
      </c>
      <c r="C5" s="15" t="s">
        <v>17</v>
      </c>
      <c r="D5" s="15">
        <v>4448.9799999999996</v>
      </c>
      <c r="E5" s="15" t="s">
        <v>20</v>
      </c>
      <c r="F5" s="15">
        <v>4467.12</v>
      </c>
      <c r="G5" s="15">
        <v>4351.03</v>
      </c>
      <c r="H5" s="15">
        <v>4512.91</v>
      </c>
      <c r="I5" s="15">
        <v>4098.6899999999996</v>
      </c>
      <c r="J5" s="15">
        <v>4734.78</v>
      </c>
      <c r="K5" s="15">
        <v>4661.42</v>
      </c>
      <c r="L5" s="15">
        <v>116.09</v>
      </c>
      <c r="M5" s="15">
        <v>2.67</v>
      </c>
      <c r="N5" s="15">
        <v>0</v>
      </c>
      <c r="O5" s="15">
        <v>12</v>
      </c>
      <c r="P5" s="15" t="s">
        <v>21</v>
      </c>
    </row>
    <row r="6" spans="1:16" x14ac:dyDescent="0.55000000000000004">
      <c r="A6" s="15">
        <v>1774303206</v>
      </c>
      <c r="B6" s="15" t="s">
        <v>16</v>
      </c>
      <c r="C6" s="15" t="s">
        <v>17</v>
      </c>
      <c r="D6" s="15">
        <v>4398.29</v>
      </c>
      <c r="E6" s="15" t="s">
        <v>18</v>
      </c>
      <c r="F6" s="15">
        <v>4360.47</v>
      </c>
      <c r="G6" s="15">
        <v>4467.12</v>
      </c>
      <c r="H6" s="15">
        <v>4351.03</v>
      </c>
      <c r="I6" s="15">
        <v>4512.91</v>
      </c>
      <c r="J6" s="15">
        <v>4098.6899999999996</v>
      </c>
      <c r="K6" s="15">
        <v>4734.78</v>
      </c>
      <c r="L6" s="15">
        <v>-106.65</v>
      </c>
      <c r="M6" s="15">
        <v>-2.39</v>
      </c>
      <c r="N6" s="15">
        <v>3</v>
      </c>
      <c r="O6" s="15">
        <v>9</v>
      </c>
      <c r="P6" s="15" t="s">
        <v>22</v>
      </c>
    </row>
    <row r="7" spans="1:16" x14ac:dyDescent="0.55000000000000004">
      <c r="A7" s="15">
        <v>1774307706</v>
      </c>
      <c r="B7" s="15" t="s">
        <v>16</v>
      </c>
      <c r="C7" s="15" t="s">
        <v>17</v>
      </c>
      <c r="D7" s="15">
        <v>4441.71</v>
      </c>
      <c r="E7" s="15" t="s">
        <v>20</v>
      </c>
      <c r="F7" s="15">
        <v>4448.04</v>
      </c>
      <c r="G7" s="15">
        <v>4360.47</v>
      </c>
      <c r="H7" s="15">
        <v>4467.12</v>
      </c>
      <c r="I7" s="15">
        <v>4351.03</v>
      </c>
      <c r="J7" s="15">
        <v>4512.91</v>
      </c>
      <c r="K7" s="15">
        <v>4098.6899999999996</v>
      </c>
      <c r="L7" s="15">
        <v>87.57</v>
      </c>
      <c r="M7" s="15">
        <v>2.0099999999999998</v>
      </c>
      <c r="N7" s="15">
        <v>0</v>
      </c>
      <c r="O7" s="15">
        <v>5</v>
      </c>
      <c r="P7" s="15" t="s">
        <v>21</v>
      </c>
    </row>
    <row r="8" spans="1:16" x14ac:dyDescent="0.55000000000000004">
      <c r="A8" s="15">
        <v>1774317606</v>
      </c>
      <c r="B8" s="15" t="s">
        <v>16</v>
      </c>
      <c r="C8" s="15" t="s">
        <v>17</v>
      </c>
      <c r="D8" s="15">
        <v>4312.34</v>
      </c>
      <c r="E8" s="15" t="s">
        <v>18</v>
      </c>
      <c r="F8" s="15">
        <v>4306.09</v>
      </c>
      <c r="G8" s="15">
        <v>4448.04</v>
      </c>
      <c r="H8" s="15">
        <v>4360.47</v>
      </c>
      <c r="I8" s="15">
        <v>4467.12</v>
      </c>
      <c r="J8" s="15">
        <v>4351.03</v>
      </c>
      <c r="K8" s="15">
        <v>4512.91</v>
      </c>
      <c r="L8" s="15">
        <v>-141.94999999999999</v>
      </c>
      <c r="M8" s="15">
        <v>-3.19</v>
      </c>
      <c r="N8" s="15">
        <v>3</v>
      </c>
      <c r="O8" s="15">
        <v>11</v>
      </c>
      <c r="P8" s="15" t="s">
        <v>19</v>
      </c>
    </row>
    <row r="9" spans="1:16" x14ac:dyDescent="0.55000000000000004">
      <c r="A9" s="15">
        <v>1774349106</v>
      </c>
      <c r="B9" s="15" t="s">
        <v>16</v>
      </c>
      <c r="C9" s="15" t="s">
        <v>17</v>
      </c>
      <c r="D9" s="15">
        <v>4438.66</v>
      </c>
      <c r="E9" s="15" t="s">
        <v>20</v>
      </c>
      <c r="F9" s="15">
        <v>4441.87</v>
      </c>
      <c r="G9" s="15">
        <v>4306.09</v>
      </c>
      <c r="H9" s="15">
        <v>4448.04</v>
      </c>
      <c r="I9" s="15">
        <v>4360.47</v>
      </c>
      <c r="J9" s="15">
        <v>4467.12</v>
      </c>
      <c r="K9" s="15">
        <v>4351.03</v>
      </c>
      <c r="L9" s="15">
        <v>135.78</v>
      </c>
      <c r="M9" s="15">
        <v>3.15</v>
      </c>
      <c r="N9" s="15">
        <v>0</v>
      </c>
      <c r="O9" s="15">
        <v>35</v>
      </c>
      <c r="P9" s="15" t="s">
        <v>21</v>
      </c>
    </row>
    <row r="10" spans="1:16" x14ac:dyDescent="0.55000000000000004">
      <c r="A10" s="15">
        <v>1774359906</v>
      </c>
      <c r="B10" s="15" t="s">
        <v>16</v>
      </c>
      <c r="C10" s="15" t="s">
        <v>17</v>
      </c>
      <c r="D10" s="15">
        <v>4381.79</v>
      </c>
      <c r="E10" s="15" t="s">
        <v>18</v>
      </c>
      <c r="F10" s="15">
        <v>4351.7</v>
      </c>
      <c r="G10" s="15">
        <v>4441.87</v>
      </c>
      <c r="H10" s="15">
        <v>4306.09</v>
      </c>
      <c r="I10" s="15">
        <v>4448.04</v>
      </c>
      <c r="J10" s="15">
        <v>4360.47</v>
      </c>
      <c r="K10" s="15">
        <v>4467.12</v>
      </c>
      <c r="L10" s="15">
        <v>-90.17</v>
      </c>
      <c r="M10" s="15">
        <v>-2.0299999999999998</v>
      </c>
      <c r="N10" s="15">
        <v>3</v>
      </c>
      <c r="O10" s="15">
        <v>12</v>
      </c>
      <c r="P10" s="15" t="s">
        <v>22</v>
      </c>
    </row>
    <row r="11" spans="1:16" x14ac:dyDescent="0.55000000000000004">
      <c r="A11" s="15">
        <v>1774363506</v>
      </c>
      <c r="B11" s="15" t="s">
        <v>16</v>
      </c>
      <c r="C11" s="15" t="s">
        <v>17</v>
      </c>
      <c r="D11" s="15">
        <v>4415.63</v>
      </c>
      <c r="E11" s="15" t="s">
        <v>20</v>
      </c>
      <c r="F11" s="15">
        <v>4433.51</v>
      </c>
      <c r="G11" s="15">
        <v>4351.7</v>
      </c>
      <c r="H11" s="15">
        <v>4441.87</v>
      </c>
      <c r="I11" s="15">
        <v>4306.09</v>
      </c>
      <c r="J11" s="15">
        <v>4448.04</v>
      </c>
      <c r="K11" s="15">
        <v>4360.47</v>
      </c>
      <c r="L11" s="15">
        <v>81.81</v>
      </c>
      <c r="M11" s="15">
        <v>1.88</v>
      </c>
      <c r="N11" s="15">
        <v>0</v>
      </c>
      <c r="O11" s="15">
        <v>4</v>
      </c>
      <c r="P11" s="15" t="s">
        <v>21</v>
      </c>
    </row>
    <row r="12" spans="1:16" x14ac:dyDescent="0.55000000000000004">
      <c r="A12" s="15">
        <v>1774374306</v>
      </c>
      <c r="B12" s="15" t="s">
        <v>16</v>
      </c>
      <c r="C12" s="15" t="s">
        <v>17</v>
      </c>
      <c r="D12" s="15">
        <v>4388.6400000000003</v>
      </c>
      <c r="E12" s="15" t="s">
        <v>18</v>
      </c>
      <c r="F12" s="15">
        <v>4372.58</v>
      </c>
      <c r="G12" s="15">
        <v>4433.51</v>
      </c>
      <c r="H12" s="15">
        <v>4351.7</v>
      </c>
      <c r="I12" s="15">
        <v>4441.87</v>
      </c>
      <c r="J12" s="15">
        <v>4306.09</v>
      </c>
      <c r="K12" s="15">
        <v>4448.04</v>
      </c>
      <c r="L12" s="15">
        <v>-60.93</v>
      </c>
      <c r="M12" s="15">
        <v>-1.37</v>
      </c>
      <c r="N12" s="15">
        <v>3</v>
      </c>
      <c r="O12" s="15">
        <v>12</v>
      </c>
      <c r="P12" s="15" t="s">
        <v>22</v>
      </c>
    </row>
    <row r="13" spans="1:16" x14ac:dyDescent="0.55000000000000004">
      <c r="A13" s="15">
        <v>1774406706</v>
      </c>
      <c r="B13" s="15" t="s">
        <v>16</v>
      </c>
      <c r="C13" s="15" t="s">
        <v>17</v>
      </c>
      <c r="D13" s="15">
        <v>4583.92</v>
      </c>
      <c r="E13" s="15" t="s">
        <v>20</v>
      </c>
      <c r="F13" s="15">
        <v>4602.3</v>
      </c>
      <c r="G13" s="15">
        <v>4372.58</v>
      </c>
      <c r="H13" s="15">
        <v>4433.51</v>
      </c>
      <c r="I13" s="15">
        <v>4351.7</v>
      </c>
      <c r="J13" s="15">
        <v>4441.87</v>
      </c>
      <c r="K13" s="15">
        <v>4306.09</v>
      </c>
      <c r="L13" s="15">
        <v>229.72</v>
      </c>
      <c r="M13" s="15">
        <v>5.25</v>
      </c>
      <c r="N13" s="15">
        <v>0</v>
      </c>
      <c r="O13" s="15">
        <v>32</v>
      </c>
      <c r="P13" s="15" t="s">
        <v>23</v>
      </c>
    </row>
    <row r="14" spans="1:16" x14ac:dyDescent="0.55000000000000004">
      <c r="A14" s="15">
        <v>1774418406</v>
      </c>
      <c r="B14" s="15" t="s">
        <v>16</v>
      </c>
      <c r="C14" s="15" t="s">
        <v>17</v>
      </c>
      <c r="D14" s="15">
        <v>4534.37</v>
      </c>
      <c r="E14" s="15" t="s">
        <v>18</v>
      </c>
      <c r="F14" s="15">
        <v>4532.82</v>
      </c>
      <c r="G14" s="15">
        <v>4602.3</v>
      </c>
      <c r="H14" s="15">
        <v>4372.58</v>
      </c>
      <c r="I14" s="15">
        <v>4433.51</v>
      </c>
      <c r="J14" s="15">
        <v>4351.7</v>
      </c>
      <c r="K14" s="15">
        <v>4441.87</v>
      </c>
      <c r="L14" s="15">
        <v>-69.48</v>
      </c>
      <c r="M14" s="15">
        <v>-1.51</v>
      </c>
      <c r="N14" s="15">
        <v>3</v>
      </c>
      <c r="O14" s="15">
        <v>13</v>
      </c>
      <c r="P14" s="15" t="s">
        <v>22</v>
      </c>
    </row>
    <row r="15" spans="1:16" x14ac:dyDescent="0.55000000000000004">
      <c r="A15" s="15">
        <v>1774429206</v>
      </c>
      <c r="B15" s="15" t="s">
        <v>16</v>
      </c>
      <c r="C15" s="15" t="s">
        <v>17</v>
      </c>
      <c r="D15" s="15">
        <v>4562.2299999999996</v>
      </c>
      <c r="E15" s="15" t="s">
        <v>20</v>
      </c>
      <c r="F15" s="15">
        <v>4567.7299999999996</v>
      </c>
      <c r="G15" s="15">
        <v>4532.82</v>
      </c>
      <c r="H15" s="15">
        <v>4602.3</v>
      </c>
      <c r="I15" s="15">
        <v>4372.58</v>
      </c>
      <c r="J15" s="15">
        <v>4433.51</v>
      </c>
      <c r="K15" s="15">
        <v>4351.7</v>
      </c>
      <c r="L15" s="15">
        <v>34.909999999999997</v>
      </c>
      <c r="M15" s="15">
        <v>0.77</v>
      </c>
      <c r="N15" s="15">
        <v>0</v>
      </c>
      <c r="O15" s="15">
        <v>12</v>
      </c>
      <c r="P15" s="15" t="s">
        <v>21</v>
      </c>
    </row>
    <row r="16" spans="1:16" x14ac:dyDescent="0.55000000000000004">
      <c r="A16" s="15">
        <v>1774431906</v>
      </c>
      <c r="B16" s="15" t="s">
        <v>16</v>
      </c>
      <c r="C16" s="15" t="s">
        <v>17</v>
      </c>
      <c r="D16" s="15">
        <v>4551.67</v>
      </c>
      <c r="E16" s="15" t="s">
        <v>18</v>
      </c>
      <c r="F16" s="15">
        <v>4527.99</v>
      </c>
      <c r="G16" s="15">
        <v>4567.7299999999996</v>
      </c>
      <c r="H16" s="15">
        <v>4532.82</v>
      </c>
      <c r="I16" s="15">
        <v>4602.3</v>
      </c>
      <c r="J16" s="15">
        <v>4372.58</v>
      </c>
      <c r="K16" s="15">
        <v>4433.51</v>
      </c>
      <c r="L16" s="15">
        <v>-39.74</v>
      </c>
      <c r="M16" s="15">
        <v>-0.87</v>
      </c>
      <c r="N16" s="15">
        <v>3</v>
      </c>
      <c r="O16" s="15">
        <v>3</v>
      </c>
      <c r="P16" s="15" t="s">
        <v>19</v>
      </c>
    </row>
    <row r="17" spans="1:16" x14ac:dyDescent="0.55000000000000004">
      <c r="A17" s="15">
        <v>1774438206</v>
      </c>
      <c r="B17" s="15" t="s">
        <v>16</v>
      </c>
      <c r="C17" s="15" t="s">
        <v>17</v>
      </c>
      <c r="D17" s="15">
        <v>4583.78</v>
      </c>
      <c r="E17" s="15" t="s">
        <v>20</v>
      </c>
      <c r="F17" s="15">
        <v>4585.51</v>
      </c>
      <c r="G17" s="15">
        <v>4527.99</v>
      </c>
      <c r="H17" s="15">
        <v>4567.7299999999996</v>
      </c>
      <c r="I17" s="15">
        <v>4532.82</v>
      </c>
      <c r="J17" s="15">
        <v>4602.3</v>
      </c>
      <c r="K17" s="15">
        <v>4372.58</v>
      </c>
      <c r="L17" s="15">
        <v>57.52</v>
      </c>
      <c r="M17" s="15">
        <v>1.27</v>
      </c>
      <c r="N17" s="15">
        <v>0</v>
      </c>
      <c r="O17" s="15">
        <v>7</v>
      </c>
      <c r="P17" s="15" t="s">
        <v>23</v>
      </c>
    </row>
    <row r="18" spans="1:16" x14ac:dyDescent="0.55000000000000004">
      <c r="A18" s="15">
        <v>1774441806</v>
      </c>
      <c r="B18" s="15" t="s">
        <v>16</v>
      </c>
      <c r="C18" s="15" t="s">
        <v>17</v>
      </c>
      <c r="D18" s="15">
        <v>4547.41</v>
      </c>
      <c r="E18" s="15" t="s">
        <v>18</v>
      </c>
      <c r="F18" s="15">
        <v>4522.33</v>
      </c>
      <c r="G18" s="15">
        <v>4585.51</v>
      </c>
      <c r="H18" s="15">
        <v>4527.99</v>
      </c>
      <c r="I18" s="15">
        <v>4567.7299999999996</v>
      </c>
      <c r="J18" s="15">
        <v>4532.82</v>
      </c>
      <c r="K18" s="15">
        <v>4602.3</v>
      </c>
      <c r="L18" s="15">
        <v>-63.18</v>
      </c>
      <c r="M18" s="15">
        <v>-1.38</v>
      </c>
      <c r="N18" s="15">
        <v>3</v>
      </c>
      <c r="O18" s="15">
        <v>4</v>
      </c>
      <c r="P18" s="15" t="s">
        <v>19</v>
      </c>
    </row>
    <row r="19" spans="1:16" x14ac:dyDescent="0.55000000000000004">
      <c r="A19" s="15">
        <v>1774461606</v>
      </c>
      <c r="B19" s="15" t="s">
        <v>16</v>
      </c>
      <c r="C19" s="15" t="s">
        <v>17</v>
      </c>
      <c r="D19" s="15">
        <v>4551.37</v>
      </c>
      <c r="E19" s="15" t="s">
        <v>20</v>
      </c>
      <c r="F19" s="15">
        <v>4568.96</v>
      </c>
      <c r="G19" s="15">
        <v>4522.33</v>
      </c>
      <c r="H19" s="15">
        <v>4585.51</v>
      </c>
      <c r="I19" s="15">
        <v>4527.99</v>
      </c>
      <c r="J19" s="15">
        <v>4567.7299999999996</v>
      </c>
      <c r="K19" s="15">
        <v>4532.82</v>
      </c>
      <c r="L19" s="15">
        <v>46.63</v>
      </c>
      <c r="M19" s="15">
        <v>1.03</v>
      </c>
      <c r="N19" s="15">
        <v>0</v>
      </c>
      <c r="O19" s="15">
        <v>22</v>
      </c>
      <c r="P19" s="15" t="s">
        <v>21</v>
      </c>
    </row>
    <row r="20" spans="1:16" x14ac:dyDescent="0.55000000000000004">
      <c r="A20" s="15">
        <v>1774465206</v>
      </c>
      <c r="B20" s="15" t="s">
        <v>16</v>
      </c>
      <c r="C20" s="15" t="s">
        <v>17</v>
      </c>
      <c r="D20" s="15">
        <v>4509.08</v>
      </c>
      <c r="E20" s="15" t="s">
        <v>18</v>
      </c>
      <c r="F20" s="15">
        <v>4487.1000000000004</v>
      </c>
      <c r="G20" s="15">
        <v>4568.96</v>
      </c>
      <c r="H20" s="15">
        <v>4522.33</v>
      </c>
      <c r="I20" s="15">
        <v>4585.51</v>
      </c>
      <c r="J20" s="15">
        <v>4527.99</v>
      </c>
      <c r="K20" s="15">
        <v>4567.7299999999996</v>
      </c>
      <c r="L20" s="15">
        <v>-81.86</v>
      </c>
      <c r="M20" s="15">
        <v>-1.79</v>
      </c>
      <c r="N20" s="15">
        <v>3</v>
      </c>
      <c r="O20" s="15">
        <v>4</v>
      </c>
      <c r="P20" s="15" t="s">
        <v>19</v>
      </c>
    </row>
    <row r="21" spans="1:16" x14ac:dyDescent="0.55000000000000004">
      <c r="A21" s="15">
        <v>1774486806</v>
      </c>
      <c r="B21" s="15" t="s">
        <v>16</v>
      </c>
      <c r="C21" s="15" t="s">
        <v>17</v>
      </c>
      <c r="D21" s="15">
        <v>4538.3999999999996</v>
      </c>
      <c r="E21" s="15" t="s">
        <v>20</v>
      </c>
      <c r="F21" s="15">
        <v>4544.29</v>
      </c>
      <c r="G21" s="15">
        <v>4487.1000000000004</v>
      </c>
      <c r="H21" s="15">
        <v>4568.96</v>
      </c>
      <c r="I21" s="15">
        <v>4522.33</v>
      </c>
      <c r="J21" s="15">
        <v>4585.51</v>
      </c>
      <c r="K21" s="15">
        <v>4527.99</v>
      </c>
      <c r="L21" s="15">
        <v>57.19</v>
      </c>
      <c r="M21" s="15">
        <v>1.27</v>
      </c>
      <c r="N21" s="15">
        <v>0</v>
      </c>
      <c r="O21" s="15">
        <v>20</v>
      </c>
      <c r="P21" s="15" t="s">
        <v>21</v>
      </c>
    </row>
    <row r="22" spans="1:16" x14ac:dyDescent="0.55000000000000004">
      <c r="A22" s="15">
        <v>1774513806</v>
      </c>
      <c r="B22" s="15" t="s">
        <v>16</v>
      </c>
      <c r="C22" s="15" t="s">
        <v>17</v>
      </c>
      <c r="D22" s="15">
        <v>4420.09</v>
      </c>
      <c r="E22" s="15" t="s">
        <v>18</v>
      </c>
      <c r="F22" s="15">
        <v>4413.24</v>
      </c>
      <c r="G22" s="15">
        <v>4544.29</v>
      </c>
      <c r="H22" s="15">
        <v>4487.1000000000004</v>
      </c>
      <c r="I22" s="15">
        <v>4568.96</v>
      </c>
      <c r="J22" s="15">
        <v>4522.33</v>
      </c>
      <c r="K22" s="15">
        <v>4585.51</v>
      </c>
      <c r="L22" s="15">
        <v>-131.05000000000001</v>
      </c>
      <c r="M22" s="15">
        <v>-2.88</v>
      </c>
      <c r="N22" s="15">
        <v>3</v>
      </c>
      <c r="O22" s="15">
        <v>30</v>
      </c>
      <c r="P22" s="15" t="s">
        <v>19</v>
      </c>
    </row>
    <row r="23" spans="1:16" x14ac:dyDescent="0.55000000000000004">
      <c r="A23" s="15">
        <v>1774535406</v>
      </c>
      <c r="B23" s="15" t="s">
        <v>16</v>
      </c>
      <c r="C23" s="15" t="s">
        <v>17</v>
      </c>
      <c r="D23" s="15">
        <v>4461.2700000000004</v>
      </c>
      <c r="E23" s="15" t="s">
        <v>20</v>
      </c>
      <c r="F23" s="15">
        <v>4479.1400000000003</v>
      </c>
      <c r="G23" s="15">
        <v>4413.24</v>
      </c>
      <c r="H23" s="15">
        <v>4544.29</v>
      </c>
      <c r="I23" s="15">
        <v>4487.1000000000004</v>
      </c>
      <c r="J23" s="15">
        <v>4568.96</v>
      </c>
      <c r="K23" s="15">
        <v>4522.33</v>
      </c>
      <c r="L23" s="15">
        <v>65.900000000000006</v>
      </c>
      <c r="M23" s="15">
        <v>1.49</v>
      </c>
      <c r="N23" s="15">
        <v>0</v>
      </c>
      <c r="O23" s="15">
        <v>24</v>
      </c>
      <c r="P23" s="15" t="s">
        <v>21</v>
      </c>
    </row>
    <row r="24" spans="1:16" x14ac:dyDescent="0.55000000000000004">
      <c r="A24" s="15">
        <v>1774554306</v>
      </c>
      <c r="B24" s="15" t="s">
        <v>16</v>
      </c>
      <c r="C24" s="15" t="s">
        <v>17</v>
      </c>
      <c r="D24" s="15">
        <v>4364.33</v>
      </c>
      <c r="E24" s="15" t="s">
        <v>18</v>
      </c>
      <c r="F24" s="15">
        <v>4359.29</v>
      </c>
      <c r="G24" s="15">
        <v>4479.1400000000003</v>
      </c>
      <c r="H24" s="15">
        <v>4413.24</v>
      </c>
      <c r="I24" s="15">
        <v>4544.29</v>
      </c>
      <c r="J24" s="15">
        <v>4487.1000000000004</v>
      </c>
      <c r="K24" s="15">
        <v>4568.96</v>
      </c>
      <c r="L24" s="15">
        <v>-119.85</v>
      </c>
      <c r="M24" s="15">
        <v>-2.68</v>
      </c>
      <c r="N24" s="15">
        <v>3</v>
      </c>
      <c r="O24" s="15">
        <v>21</v>
      </c>
      <c r="P24" s="15" t="s">
        <v>19</v>
      </c>
    </row>
    <row r="25" spans="1:16" x14ac:dyDescent="0.55000000000000004">
      <c r="A25" s="15">
        <v>1774557006</v>
      </c>
      <c r="B25" s="15" t="s">
        <v>16</v>
      </c>
      <c r="C25" s="15" t="s">
        <v>17</v>
      </c>
      <c r="D25" s="15">
        <v>4405.78</v>
      </c>
      <c r="E25" s="15" t="s">
        <v>20</v>
      </c>
      <c r="F25" s="15">
        <v>4420.5600000000004</v>
      </c>
      <c r="G25" s="15">
        <v>4359.29</v>
      </c>
      <c r="H25" s="15">
        <v>4479.1400000000003</v>
      </c>
      <c r="I25" s="15">
        <v>4413.24</v>
      </c>
      <c r="J25" s="15">
        <v>4544.29</v>
      </c>
      <c r="K25" s="15">
        <v>4487.1000000000004</v>
      </c>
      <c r="L25" s="15">
        <v>61.27</v>
      </c>
      <c r="M25" s="15">
        <v>1.41</v>
      </c>
      <c r="N25" s="15">
        <v>0</v>
      </c>
      <c r="O25" s="15">
        <v>3</v>
      </c>
      <c r="P25" s="15" t="s">
        <v>21</v>
      </c>
    </row>
    <row r="26" spans="1:16" x14ac:dyDescent="0.55000000000000004">
      <c r="A26" s="15">
        <v>1774572306</v>
      </c>
      <c r="B26" s="15" t="s">
        <v>16</v>
      </c>
      <c r="C26" s="15" t="s">
        <v>17</v>
      </c>
      <c r="D26" s="15">
        <v>4378.7299999999996</v>
      </c>
      <c r="E26" s="15" t="s">
        <v>18</v>
      </c>
      <c r="F26" s="15">
        <v>4375.68</v>
      </c>
      <c r="G26" s="15">
        <v>4420.5600000000004</v>
      </c>
      <c r="H26" s="15">
        <v>4359.29</v>
      </c>
      <c r="I26" s="15">
        <v>4479.1400000000003</v>
      </c>
      <c r="J26" s="15">
        <v>4413.24</v>
      </c>
      <c r="K26" s="15">
        <v>4544.29</v>
      </c>
      <c r="L26" s="15">
        <v>-44.88</v>
      </c>
      <c r="M26" s="15">
        <v>-1.02</v>
      </c>
      <c r="N26" s="15">
        <v>3</v>
      </c>
      <c r="O26" s="15">
        <v>13</v>
      </c>
      <c r="P26" s="15" t="s">
        <v>22</v>
      </c>
    </row>
    <row r="27" spans="1:16" x14ac:dyDescent="0.55000000000000004">
      <c r="A27" s="15">
        <v>1774589406</v>
      </c>
      <c r="B27" s="15" t="s">
        <v>16</v>
      </c>
      <c r="C27" s="15" t="s">
        <v>17</v>
      </c>
      <c r="D27" s="15">
        <v>4466.08</v>
      </c>
      <c r="E27" s="15" t="s">
        <v>20</v>
      </c>
      <c r="F27" s="15">
        <v>4475.12</v>
      </c>
      <c r="G27" s="15">
        <v>4375.68</v>
      </c>
      <c r="H27" s="15">
        <v>4420.5600000000004</v>
      </c>
      <c r="I27" s="15">
        <v>4359.29</v>
      </c>
      <c r="J27" s="15">
        <v>4479.1400000000003</v>
      </c>
      <c r="K27" s="15">
        <v>4413.24</v>
      </c>
      <c r="L27" s="15">
        <v>99.44</v>
      </c>
      <c r="M27" s="15">
        <v>2.27</v>
      </c>
      <c r="N27" s="15">
        <v>0</v>
      </c>
      <c r="O27" s="15">
        <v>19</v>
      </c>
      <c r="P27" s="15" t="s">
        <v>23</v>
      </c>
    </row>
    <row r="28" spans="1:16" x14ac:dyDescent="0.55000000000000004">
      <c r="A28" s="15">
        <v>1774609206</v>
      </c>
      <c r="B28" s="15" t="s">
        <v>16</v>
      </c>
      <c r="C28" s="15" t="s">
        <v>17</v>
      </c>
      <c r="D28" s="15">
        <v>4413.17</v>
      </c>
      <c r="E28" s="15" t="s">
        <v>18</v>
      </c>
      <c r="F28" s="15">
        <v>4404.32</v>
      </c>
      <c r="G28" s="15">
        <v>4475.12</v>
      </c>
      <c r="H28" s="15">
        <v>4375.68</v>
      </c>
      <c r="I28" s="15">
        <v>4420.5600000000004</v>
      </c>
      <c r="J28" s="15">
        <v>4359.29</v>
      </c>
      <c r="K28" s="15">
        <v>4479.1400000000003</v>
      </c>
      <c r="L28" s="15">
        <v>-70.8</v>
      </c>
      <c r="M28" s="15">
        <v>-1.58</v>
      </c>
      <c r="N28" s="15">
        <v>3</v>
      </c>
      <c r="O28" s="15">
        <v>22</v>
      </c>
      <c r="P28" s="15" t="s">
        <v>22</v>
      </c>
    </row>
    <row r="29" spans="1:16" x14ac:dyDescent="0.55000000000000004">
      <c r="A29" s="15">
        <v>1774624506</v>
      </c>
      <c r="B29" s="15" t="s">
        <v>16</v>
      </c>
      <c r="C29" s="15" t="s">
        <v>17</v>
      </c>
      <c r="D29" s="15">
        <v>4543.54</v>
      </c>
      <c r="E29" s="15" t="s">
        <v>20</v>
      </c>
      <c r="F29" s="15">
        <v>4555</v>
      </c>
      <c r="G29" s="15">
        <v>4404.32</v>
      </c>
      <c r="H29" s="15">
        <v>4475.12</v>
      </c>
      <c r="I29" s="15">
        <v>4375.68</v>
      </c>
      <c r="J29" s="15">
        <v>4420.5600000000004</v>
      </c>
      <c r="K29" s="15">
        <v>4359.29</v>
      </c>
      <c r="L29" s="15">
        <v>150.68</v>
      </c>
      <c r="M29" s="15">
        <v>3.42</v>
      </c>
      <c r="N29" s="15">
        <v>0</v>
      </c>
      <c r="O29" s="15">
        <v>17</v>
      </c>
      <c r="P29" s="15" t="s">
        <v>23</v>
      </c>
    </row>
    <row r="30" spans="1:16" x14ac:dyDescent="0.55000000000000004">
      <c r="A30" s="15">
        <v>1774828806</v>
      </c>
      <c r="B30" s="15" t="s">
        <v>16</v>
      </c>
      <c r="C30" s="15" t="s">
        <v>17</v>
      </c>
      <c r="D30" s="15">
        <v>4426.83</v>
      </c>
      <c r="E30" s="15" t="s">
        <v>18</v>
      </c>
      <c r="F30" s="15">
        <v>4420.2700000000004</v>
      </c>
      <c r="G30" s="15">
        <v>4555</v>
      </c>
      <c r="H30" s="15">
        <v>4404.32</v>
      </c>
      <c r="I30" s="15">
        <v>4475.12</v>
      </c>
      <c r="J30" s="15">
        <v>4375.68</v>
      </c>
      <c r="K30" s="15">
        <v>4420.5600000000004</v>
      </c>
      <c r="L30" s="15">
        <v>-134.72999999999999</v>
      </c>
      <c r="M30" s="15">
        <v>-2.96</v>
      </c>
      <c r="N30" s="15">
        <v>3</v>
      </c>
      <c r="O30" s="15">
        <v>31</v>
      </c>
      <c r="P30" s="15" t="s">
        <v>22</v>
      </c>
    </row>
    <row r="31" spans="1:16" x14ac:dyDescent="0.55000000000000004">
      <c r="A31" s="15">
        <v>1774871106</v>
      </c>
      <c r="B31" s="15" t="s">
        <v>16</v>
      </c>
      <c r="C31" s="15" t="s">
        <v>17</v>
      </c>
      <c r="D31" s="15">
        <v>4559.53</v>
      </c>
      <c r="E31" s="15" t="s">
        <v>20</v>
      </c>
      <c r="F31" s="15">
        <v>4580.59</v>
      </c>
      <c r="G31" s="15">
        <v>4420.2700000000004</v>
      </c>
      <c r="H31" s="15">
        <v>4555</v>
      </c>
      <c r="I31" s="15">
        <v>4404.32</v>
      </c>
      <c r="J31" s="15">
        <v>4475.12</v>
      </c>
      <c r="K31" s="15">
        <v>4375.68</v>
      </c>
      <c r="L31" s="15">
        <v>160.32</v>
      </c>
      <c r="M31" s="15">
        <v>3.63</v>
      </c>
      <c r="N31" s="15">
        <v>0</v>
      </c>
      <c r="O31" s="15">
        <v>47</v>
      </c>
      <c r="P31" s="15" t="s">
        <v>23</v>
      </c>
    </row>
    <row r="32" spans="1:16" x14ac:dyDescent="0.55000000000000004">
      <c r="A32" s="15">
        <v>1774898106</v>
      </c>
      <c r="B32" s="15" t="s">
        <v>16</v>
      </c>
      <c r="C32" s="15" t="s">
        <v>17</v>
      </c>
      <c r="D32" s="15">
        <v>4501.72</v>
      </c>
      <c r="E32" s="15" t="s">
        <v>18</v>
      </c>
      <c r="F32" s="15">
        <v>4493.1400000000003</v>
      </c>
      <c r="G32" s="15">
        <v>4580.59</v>
      </c>
      <c r="H32" s="15">
        <v>4420.2700000000004</v>
      </c>
      <c r="I32" s="15">
        <v>4555</v>
      </c>
      <c r="J32" s="15">
        <v>4404.32</v>
      </c>
      <c r="K32" s="15">
        <v>4475.12</v>
      </c>
      <c r="L32" s="15">
        <v>-87.45</v>
      </c>
      <c r="M32" s="15">
        <v>-1.91</v>
      </c>
      <c r="N32" s="15">
        <v>3</v>
      </c>
      <c r="O32" s="15">
        <v>30</v>
      </c>
      <c r="P32" s="15" t="s">
        <v>22</v>
      </c>
    </row>
    <row r="33" spans="1:16" x14ac:dyDescent="0.55000000000000004">
      <c r="A33" s="15">
        <v>1774908006</v>
      </c>
      <c r="B33" s="15" t="s">
        <v>16</v>
      </c>
      <c r="C33" s="15" t="s">
        <v>17</v>
      </c>
      <c r="D33" s="15">
        <v>4508.24</v>
      </c>
      <c r="E33" s="15" t="s">
        <v>20</v>
      </c>
      <c r="F33" s="15">
        <v>4523.8500000000004</v>
      </c>
      <c r="G33" s="15">
        <v>4493.1400000000003</v>
      </c>
      <c r="H33" s="15">
        <v>4580.59</v>
      </c>
      <c r="I33" s="15">
        <v>4420.2700000000004</v>
      </c>
      <c r="J33" s="15">
        <v>4555</v>
      </c>
      <c r="K33" s="15">
        <v>4404.32</v>
      </c>
      <c r="L33" s="15">
        <v>30.71</v>
      </c>
      <c r="M33" s="15">
        <v>0.68</v>
      </c>
      <c r="N33" s="15">
        <v>0</v>
      </c>
      <c r="O33" s="15">
        <v>7</v>
      </c>
      <c r="P33" s="15" t="s">
        <v>21</v>
      </c>
    </row>
    <row r="34" spans="1:16" x14ac:dyDescent="0.55000000000000004">
      <c r="A34" s="15">
        <v>1774911606</v>
      </c>
      <c r="B34" s="15" t="s">
        <v>16</v>
      </c>
      <c r="C34" s="15" t="s">
        <v>17</v>
      </c>
      <c r="D34" s="15">
        <v>4499.13</v>
      </c>
      <c r="E34" s="15" t="s">
        <v>18</v>
      </c>
      <c r="F34" s="15">
        <v>4492.83</v>
      </c>
      <c r="G34" s="15">
        <v>4523.8500000000004</v>
      </c>
      <c r="H34" s="15">
        <v>4493.1400000000003</v>
      </c>
      <c r="I34" s="15">
        <v>4580.59</v>
      </c>
      <c r="J34" s="15">
        <v>4420.2700000000004</v>
      </c>
      <c r="K34" s="15">
        <v>4555</v>
      </c>
      <c r="L34" s="15">
        <v>-31.02</v>
      </c>
      <c r="M34" s="15">
        <v>-0.69</v>
      </c>
      <c r="N34" s="15">
        <v>3</v>
      </c>
      <c r="O34" s="15">
        <v>4</v>
      </c>
      <c r="P34" s="15" t="s">
        <v>19</v>
      </c>
    </row>
    <row r="35" spans="1:16" x14ac:dyDescent="0.55000000000000004">
      <c r="A35" s="15">
        <v>1774915206</v>
      </c>
      <c r="B35" s="15" t="s">
        <v>16</v>
      </c>
      <c r="C35" s="15" t="s">
        <v>17</v>
      </c>
      <c r="D35" s="15">
        <v>4516.16</v>
      </c>
      <c r="E35" s="15" t="s">
        <v>20</v>
      </c>
      <c r="F35" s="15">
        <v>4528.66</v>
      </c>
      <c r="G35" s="15">
        <v>4492.83</v>
      </c>
      <c r="H35" s="15">
        <v>4523.8500000000004</v>
      </c>
      <c r="I35" s="15">
        <v>4493.1400000000003</v>
      </c>
      <c r="J35" s="15">
        <v>4580.59</v>
      </c>
      <c r="K35" s="15">
        <v>4420.2700000000004</v>
      </c>
      <c r="L35" s="15">
        <v>35.83</v>
      </c>
      <c r="M35" s="15">
        <v>0.8</v>
      </c>
      <c r="N35" s="15">
        <v>0</v>
      </c>
      <c r="O35" s="15">
        <v>4</v>
      </c>
      <c r="P35" s="15" t="s">
        <v>23</v>
      </c>
    </row>
    <row r="36" spans="1:16" x14ac:dyDescent="0.55000000000000004">
      <c r="A36" s="15">
        <v>1774916106</v>
      </c>
      <c r="B36" s="15" t="s">
        <v>16</v>
      </c>
      <c r="C36" s="15" t="s">
        <v>17</v>
      </c>
      <c r="D36" s="15">
        <v>4511.88</v>
      </c>
      <c r="E36" s="15" t="s">
        <v>18</v>
      </c>
      <c r="F36" s="15">
        <v>4482.6899999999996</v>
      </c>
      <c r="G36" s="15">
        <v>4528.66</v>
      </c>
      <c r="H36" s="15">
        <v>4492.83</v>
      </c>
      <c r="I36" s="15">
        <v>4523.8500000000004</v>
      </c>
      <c r="J36" s="15">
        <v>4493.1400000000003</v>
      </c>
      <c r="K36" s="15">
        <v>4580.59</v>
      </c>
      <c r="L36" s="15">
        <v>-45.97</v>
      </c>
      <c r="M36" s="15">
        <v>-1.02</v>
      </c>
      <c r="N36" s="15">
        <v>3</v>
      </c>
      <c r="O36" s="15">
        <v>1</v>
      </c>
      <c r="P36" s="15" t="s">
        <v>19</v>
      </c>
    </row>
    <row r="37" spans="1:16" x14ac:dyDescent="0.55000000000000004">
      <c r="A37" s="15">
        <v>1774921506</v>
      </c>
      <c r="B37" s="15" t="s">
        <v>16</v>
      </c>
      <c r="C37" s="15" t="s">
        <v>17</v>
      </c>
      <c r="D37" s="15">
        <v>4605.2700000000004</v>
      </c>
      <c r="E37" s="15" t="s">
        <v>20</v>
      </c>
      <c r="F37" s="15">
        <v>4619.84</v>
      </c>
      <c r="G37" s="15">
        <v>4482.6899999999996</v>
      </c>
      <c r="H37" s="15">
        <v>4528.66</v>
      </c>
      <c r="I37" s="15">
        <v>4492.83</v>
      </c>
      <c r="J37" s="15">
        <v>4523.8500000000004</v>
      </c>
      <c r="K37" s="15">
        <v>4493.1400000000003</v>
      </c>
      <c r="L37" s="15">
        <v>137.15</v>
      </c>
      <c r="M37" s="15">
        <v>3.06</v>
      </c>
      <c r="N37" s="15">
        <v>0</v>
      </c>
      <c r="O37" s="15">
        <v>6</v>
      </c>
      <c r="P37" s="15" t="s">
        <v>23</v>
      </c>
    </row>
    <row r="38" spans="1:16" x14ac:dyDescent="0.55000000000000004">
      <c r="A38" s="15">
        <v>1774933206</v>
      </c>
      <c r="B38" s="15" t="s">
        <v>16</v>
      </c>
      <c r="C38" s="15" t="s">
        <v>17</v>
      </c>
      <c r="D38" s="15">
        <v>4550.47</v>
      </c>
      <c r="E38" s="15" t="s">
        <v>18</v>
      </c>
      <c r="F38" s="15">
        <v>4548.26</v>
      </c>
      <c r="G38" s="15">
        <v>4619.84</v>
      </c>
      <c r="H38" s="15">
        <v>4482.6899999999996</v>
      </c>
      <c r="I38" s="15">
        <v>4528.66</v>
      </c>
      <c r="J38" s="15">
        <v>4492.83</v>
      </c>
      <c r="K38" s="15">
        <v>4523.8500000000004</v>
      </c>
      <c r="L38" s="15">
        <v>-71.58</v>
      </c>
      <c r="M38" s="15">
        <v>-1.55</v>
      </c>
      <c r="N38" s="15">
        <v>3</v>
      </c>
      <c r="O38" s="15">
        <v>13</v>
      </c>
      <c r="P38" s="15" t="s">
        <v>22</v>
      </c>
    </row>
    <row r="39" spans="1:16" x14ac:dyDescent="0.55000000000000004">
      <c r="A39" s="15">
        <v>1774935906</v>
      </c>
      <c r="B39" s="15" t="s">
        <v>16</v>
      </c>
      <c r="C39" s="15" t="s">
        <v>17</v>
      </c>
      <c r="D39" s="15">
        <v>4568.88</v>
      </c>
      <c r="E39" s="15" t="s">
        <v>20</v>
      </c>
      <c r="F39" s="15">
        <v>4581.6400000000003</v>
      </c>
      <c r="G39" s="15">
        <v>4548.26</v>
      </c>
      <c r="H39" s="15">
        <v>4619.84</v>
      </c>
      <c r="I39" s="15">
        <v>4482.6899999999996</v>
      </c>
      <c r="J39" s="15">
        <v>4528.66</v>
      </c>
      <c r="K39" s="15">
        <v>4492.83</v>
      </c>
      <c r="L39" s="15">
        <v>33.380000000000003</v>
      </c>
      <c r="M39" s="15">
        <v>0.73</v>
      </c>
      <c r="N39" s="15">
        <v>0</v>
      </c>
      <c r="O39" s="15">
        <v>3</v>
      </c>
      <c r="P39" s="15" t="s">
        <v>21</v>
      </c>
    </row>
    <row r="40" spans="1:16" x14ac:dyDescent="0.55000000000000004">
      <c r="A40" s="15">
        <v>1774953006</v>
      </c>
      <c r="B40" s="15" t="s">
        <v>16</v>
      </c>
      <c r="C40" s="15" t="s">
        <v>17</v>
      </c>
      <c r="D40" s="15">
        <v>4541.2299999999996</v>
      </c>
      <c r="E40" s="15" t="s">
        <v>18</v>
      </c>
      <c r="F40" s="15">
        <v>4529.84</v>
      </c>
      <c r="G40" s="15">
        <v>4581.6400000000003</v>
      </c>
      <c r="H40" s="15">
        <v>4548.26</v>
      </c>
      <c r="I40" s="15">
        <v>4619.84</v>
      </c>
      <c r="J40" s="15">
        <v>4482.6899999999996</v>
      </c>
      <c r="K40" s="15">
        <v>4528.66</v>
      </c>
      <c r="L40" s="15">
        <v>-51.8</v>
      </c>
      <c r="M40" s="15">
        <v>-1.1299999999999999</v>
      </c>
      <c r="N40" s="15">
        <v>3</v>
      </c>
      <c r="O40" s="15">
        <v>19</v>
      </c>
      <c r="P40" s="15" t="s">
        <v>19</v>
      </c>
    </row>
    <row r="41" spans="1:16" x14ac:dyDescent="0.55000000000000004">
      <c r="A41" s="15">
        <v>1775005206</v>
      </c>
      <c r="B41" s="15" t="s">
        <v>16</v>
      </c>
      <c r="C41" s="15" t="s">
        <v>17</v>
      </c>
      <c r="D41" s="15">
        <v>4708.04</v>
      </c>
      <c r="E41" s="15" t="s">
        <v>20</v>
      </c>
      <c r="F41" s="15">
        <v>4724.3999999999996</v>
      </c>
      <c r="G41" s="15">
        <v>4529.84</v>
      </c>
      <c r="H41" s="15">
        <v>4581.6400000000003</v>
      </c>
      <c r="I41" s="15">
        <v>4548.26</v>
      </c>
      <c r="J41" s="15">
        <v>4619.84</v>
      </c>
      <c r="K41" s="15">
        <v>4482.6899999999996</v>
      </c>
      <c r="L41" s="15">
        <v>194.56</v>
      </c>
      <c r="M41" s="15">
        <v>4.3</v>
      </c>
      <c r="N41" s="15">
        <v>0</v>
      </c>
      <c r="O41" s="15">
        <v>54</v>
      </c>
      <c r="P41" s="15" t="s">
        <v>23</v>
      </c>
    </row>
    <row r="42" spans="1:16" x14ac:dyDescent="0.55000000000000004">
      <c r="A42" s="15">
        <v>1775016906</v>
      </c>
      <c r="B42" s="15" t="s">
        <v>16</v>
      </c>
      <c r="C42" s="15" t="s">
        <v>17</v>
      </c>
      <c r="D42" s="15">
        <v>4672.5600000000004</v>
      </c>
      <c r="E42" s="15" t="s">
        <v>18</v>
      </c>
      <c r="F42" s="15">
        <v>4666.96</v>
      </c>
      <c r="G42" s="15">
        <v>4724.3999999999996</v>
      </c>
      <c r="H42" s="15">
        <v>4529.84</v>
      </c>
      <c r="I42" s="15">
        <v>4581.6400000000003</v>
      </c>
      <c r="J42" s="15">
        <v>4548.26</v>
      </c>
      <c r="K42" s="15">
        <v>4619.84</v>
      </c>
      <c r="L42" s="15">
        <v>-57.44</v>
      </c>
      <c r="M42" s="15">
        <v>-1.22</v>
      </c>
      <c r="N42" s="15">
        <v>3</v>
      </c>
      <c r="O42" s="15">
        <v>13</v>
      </c>
      <c r="P42" s="15" t="s">
        <v>22</v>
      </c>
    </row>
    <row r="43" spans="1:16" x14ac:dyDescent="0.55000000000000004">
      <c r="A43" s="15">
        <v>1775062806</v>
      </c>
      <c r="B43" s="15" t="s">
        <v>16</v>
      </c>
      <c r="C43" s="15" t="s">
        <v>17</v>
      </c>
      <c r="D43" s="15">
        <v>4788.67</v>
      </c>
      <c r="E43" s="15" t="s">
        <v>20</v>
      </c>
      <c r="F43" s="15">
        <v>4793.1400000000003</v>
      </c>
      <c r="G43" s="15">
        <v>4666.96</v>
      </c>
      <c r="H43" s="15">
        <v>4724.3999999999996</v>
      </c>
      <c r="I43" s="15">
        <v>4529.84</v>
      </c>
      <c r="J43" s="15">
        <v>4581.6400000000003</v>
      </c>
      <c r="K43" s="15">
        <v>4548.26</v>
      </c>
      <c r="L43" s="15">
        <v>126.18</v>
      </c>
      <c r="M43" s="15">
        <v>2.7</v>
      </c>
      <c r="N43" s="15">
        <v>0</v>
      </c>
      <c r="O43" s="15">
        <v>51</v>
      </c>
      <c r="P43" s="15" t="s">
        <v>23</v>
      </c>
    </row>
    <row r="44" spans="1:16" x14ac:dyDescent="0.55000000000000004">
      <c r="A44" s="15">
        <v>1775068206</v>
      </c>
      <c r="B44" s="15" t="s">
        <v>16</v>
      </c>
      <c r="C44" s="15" t="s">
        <v>17</v>
      </c>
      <c r="D44" s="15">
        <v>4756.49</v>
      </c>
      <c r="E44" s="15" t="s">
        <v>18</v>
      </c>
      <c r="F44" s="15">
        <v>4742.2</v>
      </c>
      <c r="G44" s="15">
        <v>4793.1400000000003</v>
      </c>
      <c r="H44" s="15">
        <v>4666.96</v>
      </c>
      <c r="I44" s="15">
        <v>4724.3999999999996</v>
      </c>
      <c r="J44" s="15">
        <v>4529.84</v>
      </c>
      <c r="K44" s="15">
        <v>4581.6400000000003</v>
      </c>
      <c r="L44" s="15">
        <v>-50.94</v>
      </c>
      <c r="M44" s="15">
        <v>-1.06</v>
      </c>
      <c r="N44" s="15">
        <v>3</v>
      </c>
      <c r="O44" s="15">
        <v>6</v>
      </c>
      <c r="P44" s="15" t="s">
        <v>22</v>
      </c>
    </row>
    <row r="45" spans="1:16" x14ac:dyDescent="0.55000000000000004">
      <c r="A45" s="15">
        <v>1775086206</v>
      </c>
      <c r="B45" s="15" t="s">
        <v>16</v>
      </c>
      <c r="C45" s="15" t="s">
        <v>17</v>
      </c>
      <c r="D45" s="15">
        <v>4789.57</v>
      </c>
      <c r="E45" s="15" t="s">
        <v>20</v>
      </c>
      <c r="F45" s="15">
        <v>4800.45</v>
      </c>
      <c r="G45" s="15">
        <v>4742.2</v>
      </c>
      <c r="H45" s="15">
        <v>4793.1400000000003</v>
      </c>
      <c r="I45" s="15">
        <v>4666.96</v>
      </c>
      <c r="J45" s="15">
        <v>4724.3999999999996</v>
      </c>
      <c r="K45" s="15">
        <v>4529.84</v>
      </c>
      <c r="L45" s="15">
        <v>58.25</v>
      </c>
      <c r="M45" s="15">
        <v>1.23</v>
      </c>
      <c r="N45" s="15">
        <v>0</v>
      </c>
      <c r="O45" s="15">
        <v>16</v>
      </c>
      <c r="P45" s="15" t="s">
        <v>23</v>
      </c>
    </row>
    <row r="46" spans="1:16" x14ac:dyDescent="0.55000000000000004">
      <c r="A46" s="15">
        <v>1775109606</v>
      </c>
      <c r="B46" s="15" t="s">
        <v>16</v>
      </c>
      <c r="C46" s="15" t="s">
        <v>17</v>
      </c>
      <c r="D46" s="15">
        <v>4581</v>
      </c>
      <c r="E46" s="15" t="s">
        <v>18</v>
      </c>
      <c r="F46" s="15">
        <v>4553.95</v>
      </c>
      <c r="G46" s="15">
        <v>4800.45</v>
      </c>
      <c r="H46" s="15">
        <v>4742.2</v>
      </c>
      <c r="I46" s="15">
        <v>4793.1400000000003</v>
      </c>
      <c r="J46" s="15">
        <v>4666.96</v>
      </c>
      <c r="K46" s="15">
        <v>4724.3999999999996</v>
      </c>
      <c r="L46" s="15">
        <v>-246.5</v>
      </c>
      <c r="M46" s="15">
        <v>-5.13</v>
      </c>
      <c r="N46" s="15">
        <v>3</v>
      </c>
      <c r="O46" s="15">
        <v>26</v>
      </c>
      <c r="P46" s="15" t="s">
        <v>19</v>
      </c>
    </row>
    <row r="47" spans="1:16" x14ac:dyDescent="0.55000000000000004">
      <c r="A47" s="15">
        <v>1775140206</v>
      </c>
      <c r="B47" s="15" t="s">
        <v>16</v>
      </c>
      <c r="C47" s="15" t="s">
        <v>17</v>
      </c>
      <c r="D47" s="15">
        <v>4693.91</v>
      </c>
      <c r="E47" s="15" t="s">
        <v>20</v>
      </c>
      <c r="F47" s="15">
        <v>4699.1499999999996</v>
      </c>
      <c r="G47" s="15">
        <v>4553.95</v>
      </c>
      <c r="H47" s="15">
        <v>4800.45</v>
      </c>
      <c r="I47" s="15">
        <v>4742.2</v>
      </c>
      <c r="J47" s="15">
        <v>4793.1400000000003</v>
      </c>
      <c r="K47" s="15">
        <v>4666.96</v>
      </c>
      <c r="L47" s="15">
        <v>145.19999999999999</v>
      </c>
      <c r="M47" s="15">
        <v>3.19</v>
      </c>
      <c r="N47" s="15">
        <v>0</v>
      </c>
      <c r="O47" s="15">
        <v>34</v>
      </c>
      <c r="P47" s="15" t="s">
        <v>21</v>
      </c>
    </row>
    <row r="48" spans="1:16" x14ac:dyDescent="0.55000000000000004">
      <c r="A48" s="15">
        <v>1775434506</v>
      </c>
      <c r="B48" s="15" t="s">
        <v>16</v>
      </c>
      <c r="C48" s="15" t="s">
        <v>17</v>
      </c>
      <c r="D48" s="15">
        <v>4603.5200000000004</v>
      </c>
      <c r="E48" s="15" t="s">
        <v>18</v>
      </c>
      <c r="F48" s="15">
        <v>4601.05</v>
      </c>
      <c r="G48" s="15">
        <v>4699.1499999999996</v>
      </c>
      <c r="H48" s="15">
        <v>4553.95</v>
      </c>
      <c r="I48" s="15">
        <v>4800.45</v>
      </c>
      <c r="J48" s="15">
        <v>4742.2</v>
      </c>
      <c r="K48" s="15">
        <v>4793.1400000000003</v>
      </c>
      <c r="L48" s="15">
        <v>-98.1</v>
      </c>
      <c r="M48" s="15">
        <v>-2.09</v>
      </c>
      <c r="N48" s="15">
        <v>3</v>
      </c>
      <c r="O48" s="15">
        <v>35</v>
      </c>
      <c r="P48" s="15" t="s">
        <v>22</v>
      </c>
    </row>
    <row r="49" spans="1:16" x14ac:dyDescent="0.55000000000000004">
      <c r="A49" s="15">
        <v>1775467806</v>
      </c>
      <c r="B49" s="15" t="s">
        <v>16</v>
      </c>
      <c r="C49" s="15" t="s">
        <v>17</v>
      </c>
      <c r="D49" s="15">
        <v>4703.45</v>
      </c>
      <c r="E49" s="15" t="s">
        <v>20</v>
      </c>
      <c r="F49" s="15">
        <v>4706.47</v>
      </c>
      <c r="G49" s="15">
        <v>4601.05</v>
      </c>
      <c r="H49" s="15">
        <v>4699.1499999999996</v>
      </c>
      <c r="I49" s="15">
        <v>4553.95</v>
      </c>
      <c r="J49" s="15">
        <v>4800.45</v>
      </c>
      <c r="K49" s="15">
        <v>4742.2</v>
      </c>
      <c r="L49" s="15">
        <v>105.42</v>
      </c>
      <c r="M49" s="15">
        <v>2.29</v>
      </c>
      <c r="N49" s="15">
        <v>0</v>
      </c>
      <c r="O49" s="15">
        <v>37</v>
      </c>
      <c r="P49" s="15" t="s">
        <v>23</v>
      </c>
    </row>
    <row r="50" spans="1:16" x14ac:dyDescent="0.55000000000000004">
      <c r="A50" s="15">
        <v>1775477706</v>
      </c>
      <c r="B50" s="15" t="s">
        <v>16</v>
      </c>
      <c r="C50" s="15" t="s">
        <v>17</v>
      </c>
      <c r="D50" s="15">
        <v>4666.07</v>
      </c>
      <c r="E50" s="15" t="s">
        <v>18</v>
      </c>
      <c r="F50" s="15">
        <v>4659.58</v>
      </c>
      <c r="G50" s="15">
        <v>4706.47</v>
      </c>
      <c r="H50" s="15">
        <v>4601.05</v>
      </c>
      <c r="I50" s="15">
        <v>4699.1499999999996</v>
      </c>
      <c r="J50" s="15">
        <v>4553.95</v>
      </c>
      <c r="K50" s="15">
        <v>4800.45</v>
      </c>
      <c r="L50" s="15">
        <v>-46.89</v>
      </c>
      <c r="M50" s="15">
        <v>-1</v>
      </c>
      <c r="N50" s="15">
        <v>3</v>
      </c>
      <c r="O50" s="15">
        <v>11</v>
      </c>
      <c r="P50" s="15" t="s">
        <v>22</v>
      </c>
    </row>
    <row r="51" spans="1:16" x14ac:dyDescent="0.55000000000000004">
      <c r="A51" s="15">
        <v>1775485806</v>
      </c>
      <c r="B51" s="15" t="s">
        <v>16</v>
      </c>
      <c r="C51" s="15" t="s">
        <v>17</v>
      </c>
      <c r="D51" s="15">
        <v>4684.6499999999996</v>
      </c>
      <c r="E51" s="15" t="s">
        <v>20</v>
      </c>
      <c r="F51" s="15">
        <v>4697.83</v>
      </c>
      <c r="G51" s="15">
        <v>4659.58</v>
      </c>
      <c r="H51" s="15">
        <v>4706.47</v>
      </c>
      <c r="I51" s="15">
        <v>4601.05</v>
      </c>
      <c r="J51" s="15">
        <v>4699.1499999999996</v>
      </c>
      <c r="K51" s="15">
        <v>4553.95</v>
      </c>
      <c r="L51" s="15">
        <v>38.25</v>
      </c>
      <c r="M51" s="15">
        <v>0.82</v>
      </c>
      <c r="N51" s="15">
        <v>0</v>
      </c>
      <c r="O51" s="15">
        <v>9</v>
      </c>
      <c r="P51" s="15" t="s">
        <v>21</v>
      </c>
    </row>
    <row r="52" spans="1:16" x14ac:dyDescent="0.55000000000000004">
      <c r="A52" s="15">
        <v>1775502906</v>
      </c>
      <c r="B52" s="15" t="s">
        <v>16</v>
      </c>
      <c r="C52" s="15" t="s">
        <v>17</v>
      </c>
      <c r="D52" s="15">
        <v>4650.38</v>
      </c>
      <c r="E52" s="15" t="s">
        <v>18</v>
      </c>
      <c r="F52" s="15">
        <v>4645.75</v>
      </c>
      <c r="G52" s="15">
        <v>4697.83</v>
      </c>
      <c r="H52" s="15">
        <v>4659.58</v>
      </c>
      <c r="I52" s="15">
        <v>4706.47</v>
      </c>
      <c r="J52" s="15">
        <v>4601.05</v>
      </c>
      <c r="K52" s="15">
        <v>4699.1499999999996</v>
      </c>
      <c r="L52" s="15">
        <v>-52.08</v>
      </c>
      <c r="M52" s="15">
        <v>-1.1100000000000001</v>
      </c>
      <c r="N52" s="15">
        <v>3</v>
      </c>
      <c r="O52" s="15">
        <v>19</v>
      </c>
      <c r="P52" s="15" t="s">
        <v>19</v>
      </c>
    </row>
    <row r="53" spans="1:16" x14ac:dyDescent="0.55000000000000004">
      <c r="A53" s="15">
        <v>1775512806</v>
      </c>
      <c r="B53" s="15" t="s">
        <v>16</v>
      </c>
      <c r="C53" s="15" t="s">
        <v>17</v>
      </c>
      <c r="D53" s="15">
        <v>4663.66</v>
      </c>
      <c r="E53" s="15" t="s">
        <v>20</v>
      </c>
      <c r="F53" s="15">
        <v>4667.87</v>
      </c>
      <c r="G53" s="15">
        <v>4645.75</v>
      </c>
      <c r="H53" s="15">
        <v>4697.83</v>
      </c>
      <c r="I53" s="15">
        <v>4659.58</v>
      </c>
      <c r="J53" s="15">
        <v>4706.47</v>
      </c>
      <c r="K53" s="15">
        <v>4601.05</v>
      </c>
      <c r="L53" s="15">
        <v>22.12</v>
      </c>
      <c r="M53" s="15">
        <v>0.48</v>
      </c>
      <c r="N53" s="15">
        <v>0</v>
      </c>
      <c r="O53" s="15">
        <v>7</v>
      </c>
      <c r="P53" s="15" t="s">
        <v>21</v>
      </c>
    </row>
    <row r="54" spans="1:16" x14ac:dyDescent="0.55000000000000004">
      <c r="A54" s="15">
        <v>1775526306</v>
      </c>
      <c r="B54" s="15" t="s">
        <v>16</v>
      </c>
      <c r="C54" s="15" t="s">
        <v>17</v>
      </c>
      <c r="D54" s="15">
        <v>4627.1400000000003</v>
      </c>
      <c r="E54" s="15" t="s">
        <v>18</v>
      </c>
      <c r="F54" s="15">
        <v>4616.5</v>
      </c>
      <c r="G54" s="15">
        <v>4667.87</v>
      </c>
      <c r="H54" s="15">
        <v>4645.75</v>
      </c>
      <c r="I54" s="15">
        <v>4697.83</v>
      </c>
      <c r="J54" s="15">
        <v>4659.58</v>
      </c>
      <c r="K54" s="15">
        <v>4706.47</v>
      </c>
      <c r="L54" s="15">
        <v>-51.37</v>
      </c>
      <c r="M54" s="15">
        <v>-1.1000000000000001</v>
      </c>
      <c r="N54" s="15">
        <v>3</v>
      </c>
      <c r="O54" s="15">
        <v>15</v>
      </c>
      <c r="P54" s="15" t="s">
        <v>19</v>
      </c>
    </row>
    <row r="55" spans="1:16" x14ac:dyDescent="0.55000000000000004">
      <c r="A55" s="15">
        <v>1775536206</v>
      </c>
      <c r="B55" s="15" t="s">
        <v>16</v>
      </c>
      <c r="C55" s="15" t="s">
        <v>17</v>
      </c>
      <c r="D55" s="15">
        <v>4661.8100000000004</v>
      </c>
      <c r="E55" s="15" t="s">
        <v>20</v>
      </c>
      <c r="F55" s="15">
        <v>4663.28</v>
      </c>
      <c r="G55" s="15">
        <v>4616.5</v>
      </c>
      <c r="H55" s="15">
        <v>4667.87</v>
      </c>
      <c r="I55" s="15">
        <v>4645.75</v>
      </c>
      <c r="J55" s="15">
        <v>4697.83</v>
      </c>
      <c r="K55" s="15">
        <v>4659.58</v>
      </c>
      <c r="L55" s="15">
        <v>46.78</v>
      </c>
      <c r="M55" s="15">
        <v>1.01</v>
      </c>
      <c r="N55" s="15">
        <v>0</v>
      </c>
      <c r="O55" s="15">
        <v>11</v>
      </c>
      <c r="P55" s="15" t="s">
        <v>21</v>
      </c>
    </row>
    <row r="56" spans="1:16" x14ac:dyDescent="0.55000000000000004">
      <c r="A56" s="15">
        <v>1775539806</v>
      </c>
      <c r="B56" s="15" t="s">
        <v>16</v>
      </c>
      <c r="C56" s="15" t="s">
        <v>17</v>
      </c>
      <c r="D56" s="15">
        <v>4631.75</v>
      </c>
      <c r="E56" s="15" t="s">
        <v>18</v>
      </c>
      <c r="F56" s="15">
        <v>4623.4799999999996</v>
      </c>
      <c r="G56" s="15">
        <v>4663.28</v>
      </c>
      <c r="H56" s="15">
        <v>4616.5</v>
      </c>
      <c r="I56" s="15">
        <v>4667.87</v>
      </c>
      <c r="J56" s="15">
        <v>4645.75</v>
      </c>
      <c r="K56" s="15">
        <v>4697.83</v>
      </c>
      <c r="L56" s="15">
        <v>-39.799999999999997</v>
      </c>
      <c r="M56" s="15">
        <v>-0.85</v>
      </c>
      <c r="N56" s="15">
        <v>3</v>
      </c>
      <c r="O56" s="15">
        <v>4</v>
      </c>
      <c r="P56" s="15" t="s">
        <v>22</v>
      </c>
    </row>
    <row r="57" spans="1:16" x14ac:dyDescent="0.55000000000000004">
      <c r="A57" s="15">
        <v>1775553306</v>
      </c>
      <c r="B57" s="15" t="s">
        <v>16</v>
      </c>
      <c r="C57" s="15" t="s">
        <v>17</v>
      </c>
      <c r="D57" s="15">
        <v>4686.92</v>
      </c>
      <c r="E57" s="15" t="s">
        <v>20</v>
      </c>
      <c r="F57" s="15">
        <v>4694.3100000000004</v>
      </c>
      <c r="G57" s="15">
        <v>4623.4799999999996</v>
      </c>
      <c r="H57" s="15">
        <v>4663.28</v>
      </c>
      <c r="I57" s="15">
        <v>4616.5</v>
      </c>
      <c r="J57" s="15">
        <v>4667.87</v>
      </c>
      <c r="K57" s="15">
        <v>4645.75</v>
      </c>
      <c r="L57" s="15">
        <v>70.83</v>
      </c>
      <c r="M57" s="15">
        <v>1.53</v>
      </c>
      <c r="N57" s="15">
        <v>0</v>
      </c>
      <c r="O57" s="15">
        <v>15</v>
      </c>
      <c r="P57" s="15" t="s">
        <v>23</v>
      </c>
    </row>
    <row r="58" spans="1:16" x14ac:dyDescent="0.55000000000000004">
      <c r="A58" s="15">
        <v>1775570406</v>
      </c>
      <c r="B58" s="15" t="s">
        <v>16</v>
      </c>
      <c r="C58" s="15" t="s">
        <v>17</v>
      </c>
      <c r="D58" s="15">
        <v>4622.28</v>
      </c>
      <c r="E58" s="15" t="s">
        <v>18</v>
      </c>
      <c r="F58" s="15">
        <v>4607.91</v>
      </c>
      <c r="G58" s="15">
        <v>4694.3100000000004</v>
      </c>
      <c r="H58" s="15">
        <v>4623.4799999999996</v>
      </c>
      <c r="I58" s="15">
        <v>4663.28</v>
      </c>
      <c r="J58" s="15">
        <v>4616.5</v>
      </c>
      <c r="K58" s="15">
        <v>4667.87</v>
      </c>
      <c r="L58" s="15">
        <v>-86.4</v>
      </c>
      <c r="M58" s="15">
        <v>-1.84</v>
      </c>
      <c r="N58" s="15">
        <v>3</v>
      </c>
      <c r="O58" s="15">
        <v>19</v>
      </c>
      <c r="P58" s="15" t="s">
        <v>19</v>
      </c>
    </row>
    <row r="59" spans="1:16" x14ac:dyDescent="0.55000000000000004">
      <c r="A59" s="15">
        <v>1775606406</v>
      </c>
      <c r="B59" s="15" t="s">
        <v>16</v>
      </c>
      <c r="C59" s="15" t="s">
        <v>17</v>
      </c>
      <c r="D59" s="15">
        <v>4834.2700000000004</v>
      </c>
      <c r="E59" s="15" t="s">
        <v>20</v>
      </c>
      <c r="F59" s="15">
        <v>4857.37</v>
      </c>
      <c r="G59" s="15">
        <v>4607.91</v>
      </c>
      <c r="H59" s="15">
        <v>4694.3100000000004</v>
      </c>
      <c r="I59" s="15">
        <v>4623.4799999999996</v>
      </c>
      <c r="J59" s="15">
        <v>4663.28</v>
      </c>
      <c r="K59" s="15">
        <v>4616.5</v>
      </c>
      <c r="L59" s="15">
        <v>249.46</v>
      </c>
      <c r="M59" s="15">
        <v>5.41</v>
      </c>
      <c r="N59" s="15">
        <v>2</v>
      </c>
      <c r="O59" s="15">
        <v>36</v>
      </c>
      <c r="P59" s="15" t="s">
        <v>23</v>
      </c>
    </row>
    <row r="60" spans="1:16" x14ac:dyDescent="0.55000000000000004">
      <c r="A60" s="15">
        <v>1775643306</v>
      </c>
      <c r="B60" s="15" t="s">
        <v>16</v>
      </c>
      <c r="C60" s="15" t="s">
        <v>17</v>
      </c>
      <c r="D60" s="15">
        <v>4782.6099999999997</v>
      </c>
      <c r="E60" s="15" t="s">
        <v>18</v>
      </c>
      <c r="F60" s="15">
        <v>4771.22</v>
      </c>
      <c r="G60" s="15">
        <v>4857.37</v>
      </c>
      <c r="H60" s="15">
        <v>4607.91</v>
      </c>
      <c r="I60" s="15">
        <v>4694.3100000000004</v>
      </c>
      <c r="J60" s="15">
        <v>4623.4799999999996</v>
      </c>
      <c r="K60" s="15">
        <v>4663.28</v>
      </c>
      <c r="L60" s="15">
        <v>-86.15</v>
      </c>
      <c r="M60" s="15">
        <v>-1.77</v>
      </c>
      <c r="N60" s="15">
        <v>3</v>
      </c>
      <c r="O60" s="15">
        <v>41</v>
      </c>
      <c r="P60" s="15" t="s">
        <v>22</v>
      </c>
    </row>
    <row r="61" spans="1:16" x14ac:dyDescent="0.55000000000000004">
      <c r="A61" s="15">
        <v>1775649606</v>
      </c>
      <c r="B61" s="15" t="s">
        <v>16</v>
      </c>
      <c r="C61" s="15" t="s">
        <v>17</v>
      </c>
      <c r="D61" s="15">
        <v>4805.3100000000004</v>
      </c>
      <c r="E61" s="15" t="s">
        <v>20</v>
      </c>
      <c r="F61" s="15">
        <v>4807.34</v>
      </c>
      <c r="G61" s="15">
        <v>4771.22</v>
      </c>
      <c r="H61" s="15">
        <v>4857.37</v>
      </c>
      <c r="I61" s="15">
        <v>4607.91</v>
      </c>
      <c r="J61" s="15">
        <v>4694.3100000000004</v>
      </c>
      <c r="K61" s="15">
        <v>4623.4799999999996</v>
      </c>
      <c r="L61" s="15">
        <v>36.119999999999997</v>
      </c>
      <c r="M61" s="15">
        <v>0.76</v>
      </c>
      <c r="N61" s="15">
        <v>0</v>
      </c>
      <c r="O61" s="15">
        <v>7</v>
      </c>
      <c r="P61" s="15" t="s">
        <v>21</v>
      </c>
    </row>
    <row r="62" spans="1:16" x14ac:dyDescent="0.55000000000000004">
      <c r="A62" s="15">
        <v>1775692806</v>
      </c>
      <c r="B62" s="15" t="s">
        <v>16</v>
      </c>
      <c r="C62" s="15" t="s">
        <v>17</v>
      </c>
      <c r="D62" s="15">
        <v>4702.29</v>
      </c>
      <c r="E62" s="15" t="s">
        <v>18</v>
      </c>
      <c r="F62" s="15">
        <v>4698.51</v>
      </c>
      <c r="G62" s="15">
        <v>4807.34</v>
      </c>
      <c r="H62" s="15">
        <v>4771.22</v>
      </c>
      <c r="I62" s="15">
        <v>4857.37</v>
      </c>
      <c r="J62" s="15">
        <v>4607.91</v>
      </c>
      <c r="K62" s="15">
        <v>4694.3100000000004</v>
      </c>
      <c r="L62" s="15">
        <v>-108.83</v>
      </c>
      <c r="M62" s="15">
        <v>-2.2599999999999998</v>
      </c>
      <c r="N62" s="15">
        <v>3</v>
      </c>
      <c r="O62" s="15">
        <v>44</v>
      </c>
      <c r="P62" s="15" t="s">
        <v>19</v>
      </c>
    </row>
    <row r="63" spans="1:16" x14ac:dyDescent="0.55000000000000004">
      <c r="A63" s="15">
        <v>1775702706</v>
      </c>
      <c r="B63" s="15" t="s">
        <v>16</v>
      </c>
      <c r="C63" s="15" t="s">
        <v>17</v>
      </c>
      <c r="D63" s="15">
        <v>4719.3</v>
      </c>
      <c r="E63" s="15" t="s">
        <v>20</v>
      </c>
      <c r="F63" s="15">
        <v>4733.0200000000004</v>
      </c>
      <c r="G63" s="15">
        <v>4698.51</v>
      </c>
      <c r="H63" s="15">
        <v>4807.34</v>
      </c>
      <c r="I63" s="15">
        <v>4771.22</v>
      </c>
      <c r="J63" s="15">
        <v>4857.37</v>
      </c>
      <c r="K63" s="15">
        <v>4607.91</v>
      </c>
      <c r="L63" s="15">
        <v>34.51</v>
      </c>
      <c r="M63" s="15">
        <v>0.73</v>
      </c>
      <c r="N63" s="15">
        <v>0</v>
      </c>
      <c r="O63" s="15">
        <v>11</v>
      </c>
      <c r="P63" s="15" t="s">
        <v>21</v>
      </c>
    </row>
    <row r="64" spans="1:16" x14ac:dyDescent="0.55000000000000004">
      <c r="A64" s="15">
        <v>1775717106</v>
      </c>
      <c r="B64" s="15" t="s">
        <v>16</v>
      </c>
      <c r="C64" s="15" t="s">
        <v>17</v>
      </c>
      <c r="D64" s="15">
        <v>4712.5</v>
      </c>
      <c r="E64" s="15" t="s">
        <v>18</v>
      </c>
      <c r="F64" s="15">
        <v>4703.46</v>
      </c>
      <c r="G64" s="15">
        <v>4733.0200000000004</v>
      </c>
      <c r="H64" s="15">
        <v>4698.51</v>
      </c>
      <c r="I64" s="15">
        <v>4807.34</v>
      </c>
      <c r="J64" s="15">
        <v>4771.22</v>
      </c>
      <c r="K64" s="15">
        <v>4857.37</v>
      </c>
      <c r="L64" s="15">
        <v>-29.56</v>
      </c>
      <c r="M64" s="15">
        <v>-0.62</v>
      </c>
      <c r="N64" s="15">
        <v>3</v>
      </c>
      <c r="O64" s="15">
        <v>16</v>
      </c>
      <c r="P64" s="15" t="s">
        <v>22</v>
      </c>
    </row>
    <row r="65" spans="1:16" x14ac:dyDescent="0.55000000000000004">
      <c r="A65" s="15">
        <v>1775755806</v>
      </c>
      <c r="B65" s="15" t="s">
        <v>16</v>
      </c>
      <c r="C65" s="15" t="s">
        <v>17</v>
      </c>
      <c r="D65" s="15">
        <v>4795.37</v>
      </c>
      <c r="E65" s="15" t="s">
        <v>20</v>
      </c>
      <c r="F65" s="15">
        <v>4800.93</v>
      </c>
      <c r="G65" s="15">
        <v>4703.46</v>
      </c>
      <c r="H65" s="15">
        <v>4733.0200000000004</v>
      </c>
      <c r="I65" s="15">
        <v>4698.51</v>
      </c>
      <c r="J65" s="15">
        <v>4807.34</v>
      </c>
      <c r="K65" s="15">
        <v>4771.22</v>
      </c>
      <c r="L65" s="15">
        <v>97.47</v>
      </c>
      <c r="M65" s="15">
        <v>2.0699999999999998</v>
      </c>
      <c r="N65" s="15">
        <v>0</v>
      </c>
      <c r="O65" s="15">
        <v>43</v>
      </c>
      <c r="P65" s="15" t="s">
        <v>23</v>
      </c>
    </row>
    <row r="66" spans="1:16" x14ac:dyDescent="0.55000000000000004">
      <c r="A66" s="15">
        <v>1775779206</v>
      </c>
      <c r="B66" s="15" t="s">
        <v>16</v>
      </c>
      <c r="C66" s="15" t="s">
        <v>17</v>
      </c>
      <c r="D66" s="15">
        <v>4754.03</v>
      </c>
      <c r="E66" s="15" t="s">
        <v>18</v>
      </c>
      <c r="F66" s="15">
        <v>4750.74</v>
      </c>
      <c r="G66" s="15">
        <v>4800.93</v>
      </c>
      <c r="H66" s="15">
        <v>4703.46</v>
      </c>
      <c r="I66" s="15">
        <v>4733.0200000000004</v>
      </c>
      <c r="J66" s="15">
        <v>4698.51</v>
      </c>
      <c r="K66" s="15">
        <v>4807.34</v>
      </c>
      <c r="L66" s="15">
        <v>-50.19</v>
      </c>
      <c r="M66" s="15">
        <v>-1.05</v>
      </c>
      <c r="N66" s="15">
        <v>3</v>
      </c>
      <c r="O66" s="15">
        <v>22</v>
      </c>
      <c r="P66" s="15" t="s">
        <v>22</v>
      </c>
    </row>
    <row r="67" spans="1:16" x14ac:dyDescent="0.55000000000000004">
      <c r="A67" s="15">
        <v>1775784606</v>
      </c>
      <c r="B67" s="15" t="s">
        <v>16</v>
      </c>
      <c r="C67" s="15" t="s">
        <v>17</v>
      </c>
      <c r="D67" s="15">
        <v>4771.97</v>
      </c>
      <c r="E67" s="15" t="s">
        <v>20</v>
      </c>
      <c r="F67" s="15">
        <v>4777.3100000000004</v>
      </c>
      <c r="G67" s="15">
        <v>4750.74</v>
      </c>
      <c r="H67" s="15">
        <v>4800.93</v>
      </c>
      <c r="I67" s="15">
        <v>4703.46</v>
      </c>
      <c r="J67" s="15">
        <v>4733.0200000000004</v>
      </c>
      <c r="K67" s="15">
        <v>4698.51</v>
      </c>
      <c r="L67" s="15">
        <v>26.57</v>
      </c>
      <c r="M67" s="15">
        <v>0.56000000000000005</v>
      </c>
      <c r="N67" s="15">
        <v>0</v>
      </c>
      <c r="O67" s="15">
        <v>6</v>
      </c>
      <c r="P67" s="15" t="s">
        <v>21</v>
      </c>
    </row>
    <row r="68" spans="1:16" x14ac:dyDescent="0.55000000000000004">
      <c r="A68" s="15">
        <v>1775810706</v>
      </c>
      <c r="B68" s="15" t="s">
        <v>16</v>
      </c>
      <c r="C68" s="15" t="s">
        <v>17</v>
      </c>
      <c r="D68" s="15">
        <v>4741.04</v>
      </c>
      <c r="E68" s="15" t="s">
        <v>18</v>
      </c>
      <c r="F68" s="15">
        <v>4730.8100000000004</v>
      </c>
      <c r="G68" s="15">
        <v>4777.3100000000004</v>
      </c>
      <c r="H68" s="15">
        <v>4750.74</v>
      </c>
      <c r="I68" s="15">
        <v>4800.93</v>
      </c>
      <c r="J68" s="15">
        <v>4703.46</v>
      </c>
      <c r="K68" s="15">
        <v>4733.0200000000004</v>
      </c>
      <c r="L68" s="15">
        <v>-46.5</v>
      </c>
      <c r="M68" s="15">
        <v>-0.97</v>
      </c>
      <c r="N68" s="15">
        <v>3</v>
      </c>
      <c r="O68" s="15">
        <v>29</v>
      </c>
      <c r="P68" s="15" t="s">
        <v>19</v>
      </c>
    </row>
    <row r="69" spans="1:16" x14ac:dyDescent="0.55000000000000004">
      <c r="A69" s="15">
        <v>1775831406</v>
      </c>
      <c r="B69" s="15" t="s">
        <v>16</v>
      </c>
      <c r="C69" s="15" t="s">
        <v>17</v>
      </c>
      <c r="D69" s="15">
        <v>4780.79</v>
      </c>
      <c r="E69" s="15" t="s">
        <v>20</v>
      </c>
      <c r="F69" s="15">
        <v>4794.96</v>
      </c>
      <c r="G69" s="15">
        <v>4730.8100000000004</v>
      </c>
      <c r="H69" s="15">
        <v>4777.3100000000004</v>
      </c>
      <c r="I69" s="15">
        <v>4750.74</v>
      </c>
      <c r="J69" s="15">
        <v>4800.93</v>
      </c>
      <c r="K69" s="15">
        <v>4703.46</v>
      </c>
      <c r="L69" s="15">
        <v>64.150000000000006</v>
      </c>
      <c r="M69" s="15">
        <v>1.36</v>
      </c>
      <c r="N69" s="15">
        <v>0</v>
      </c>
      <c r="O69" s="15">
        <v>23</v>
      </c>
      <c r="P69" s="15" t="s">
        <v>23</v>
      </c>
    </row>
    <row r="70" spans="1:16" x14ac:dyDescent="0.55000000000000004">
      <c r="A70" s="15">
        <v>1775836806</v>
      </c>
      <c r="B70" s="15" t="s">
        <v>16</v>
      </c>
      <c r="C70" s="15" t="s">
        <v>17</v>
      </c>
      <c r="D70" s="15">
        <v>4763.3599999999997</v>
      </c>
      <c r="E70" s="15" t="s">
        <v>18</v>
      </c>
      <c r="F70" s="15">
        <v>4747.5</v>
      </c>
      <c r="G70" s="15">
        <v>4794.96</v>
      </c>
      <c r="H70" s="15">
        <v>4730.8100000000004</v>
      </c>
      <c r="I70" s="15">
        <v>4777.3100000000004</v>
      </c>
      <c r="J70" s="15">
        <v>4750.74</v>
      </c>
      <c r="K70" s="15">
        <v>4800.93</v>
      </c>
      <c r="L70" s="15">
        <v>-47.46</v>
      </c>
      <c r="M70" s="15">
        <v>-0.99</v>
      </c>
      <c r="N70" s="15">
        <v>3</v>
      </c>
      <c r="O70" s="15">
        <v>6</v>
      </c>
      <c r="P70" s="15" t="s">
        <v>22</v>
      </c>
    </row>
    <row r="71" spans="1:16" x14ac:dyDescent="0.55000000000000004">
      <c r="A71" s="15">
        <v>1775845806</v>
      </c>
      <c r="B71" s="15" t="s">
        <v>16</v>
      </c>
      <c r="C71" s="15" t="s">
        <v>17</v>
      </c>
      <c r="D71" s="15">
        <v>4768.22</v>
      </c>
      <c r="E71" s="15" t="s">
        <v>20</v>
      </c>
      <c r="F71" s="15">
        <v>4773.08</v>
      </c>
      <c r="G71" s="15">
        <v>4747.5</v>
      </c>
      <c r="H71" s="15">
        <v>4794.96</v>
      </c>
      <c r="I71" s="15">
        <v>4730.8100000000004</v>
      </c>
      <c r="J71" s="15">
        <v>4777.3100000000004</v>
      </c>
      <c r="K71" s="15">
        <v>4750.74</v>
      </c>
      <c r="L71" s="15">
        <v>25.58</v>
      </c>
      <c r="M71" s="15">
        <v>0.54</v>
      </c>
      <c r="N71" s="15">
        <v>0</v>
      </c>
      <c r="O71" s="15">
        <v>10</v>
      </c>
      <c r="P71" s="15" t="s">
        <v>21</v>
      </c>
    </row>
    <row r="72" spans="1:16" x14ac:dyDescent="0.55000000000000004">
      <c r="A72" s="15">
        <v>1776031206</v>
      </c>
      <c r="B72" s="15" t="s">
        <v>16</v>
      </c>
      <c r="C72" s="15" t="s">
        <v>17</v>
      </c>
      <c r="D72" s="15">
        <v>4676.5200000000004</v>
      </c>
      <c r="E72" s="15" t="s">
        <v>18</v>
      </c>
      <c r="F72" s="15">
        <v>4638.7</v>
      </c>
      <c r="G72" s="15">
        <v>4773.08</v>
      </c>
      <c r="H72" s="15">
        <v>4747.5</v>
      </c>
      <c r="I72" s="15">
        <v>4794.96</v>
      </c>
      <c r="J72" s="15">
        <v>4730.8100000000004</v>
      </c>
      <c r="K72" s="15">
        <v>4777.3100000000004</v>
      </c>
      <c r="L72" s="15">
        <v>-134.38</v>
      </c>
      <c r="M72" s="15">
        <v>-2.82</v>
      </c>
      <c r="N72" s="15">
        <v>3</v>
      </c>
      <c r="O72" s="15">
        <v>10</v>
      </c>
      <c r="P72" s="15" t="s">
        <v>19</v>
      </c>
    </row>
    <row r="73" spans="1:16" x14ac:dyDescent="0.55000000000000004">
      <c r="A73" s="15">
        <v>1776044706</v>
      </c>
      <c r="B73" s="15" t="s">
        <v>16</v>
      </c>
      <c r="C73" s="15" t="s">
        <v>17</v>
      </c>
      <c r="D73" s="15">
        <v>4721.37</v>
      </c>
      <c r="E73" s="15" t="s">
        <v>20</v>
      </c>
      <c r="F73" s="15">
        <v>4728.3599999999997</v>
      </c>
      <c r="G73" s="15">
        <v>4638.7</v>
      </c>
      <c r="H73" s="15">
        <v>4773.08</v>
      </c>
      <c r="I73" s="15">
        <v>4747.5</v>
      </c>
      <c r="J73" s="15">
        <v>4794.96</v>
      </c>
      <c r="K73" s="15">
        <v>4730.8100000000004</v>
      </c>
      <c r="L73" s="15">
        <v>89.66</v>
      </c>
      <c r="M73" s="15">
        <v>1.93</v>
      </c>
      <c r="N73" s="15">
        <v>0</v>
      </c>
      <c r="O73" s="15">
        <v>15</v>
      </c>
      <c r="P73" s="15" t="s">
        <v>21</v>
      </c>
    </row>
    <row r="74" spans="1:16" x14ac:dyDescent="0.55000000000000004">
      <c r="A74" s="15">
        <v>1776052806</v>
      </c>
      <c r="B74" s="15" t="s">
        <v>16</v>
      </c>
      <c r="C74" s="15" t="s">
        <v>17</v>
      </c>
      <c r="D74" s="15">
        <v>4714.72</v>
      </c>
      <c r="E74" s="15" t="s">
        <v>18</v>
      </c>
      <c r="F74" s="15">
        <v>4708.62</v>
      </c>
      <c r="G74" s="15">
        <v>4728.3599999999997</v>
      </c>
      <c r="H74" s="15">
        <v>4638.7</v>
      </c>
      <c r="I74" s="15">
        <v>4773.08</v>
      </c>
      <c r="J74" s="15">
        <v>4747.5</v>
      </c>
      <c r="K74" s="15">
        <v>4794.96</v>
      </c>
      <c r="L74" s="15">
        <v>-19.739999999999998</v>
      </c>
      <c r="M74" s="15">
        <v>-0.42</v>
      </c>
      <c r="N74" s="15">
        <v>3</v>
      </c>
      <c r="O74" s="15">
        <v>9</v>
      </c>
      <c r="P74" s="15" t="s">
        <v>22</v>
      </c>
    </row>
    <row r="75" spans="1:16" x14ac:dyDescent="0.55000000000000004">
      <c r="A75" s="15">
        <v>1776066306</v>
      </c>
      <c r="B75" s="15" t="s">
        <v>16</v>
      </c>
      <c r="C75" s="15" t="s">
        <v>17</v>
      </c>
      <c r="D75" s="15">
        <v>4733.67</v>
      </c>
      <c r="E75" s="15" t="s">
        <v>20</v>
      </c>
      <c r="F75" s="15">
        <v>4740.01</v>
      </c>
      <c r="G75" s="15">
        <v>4708.62</v>
      </c>
      <c r="H75" s="15">
        <v>4728.3599999999997</v>
      </c>
      <c r="I75" s="15">
        <v>4638.7</v>
      </c>
      <c r="J75" s="15">
        <v>4773.08</v>
      </c>
      <c r="K75" s="15">
        <v>4747.5</v>
      </c>
      <c r="L75" s="15">
        <v>31.39</v>
      </c>
      <c r="M75" s="15">
        <v>0.67</v>
      </c>
      <c r="N75" s="15">
        <v>0</v>
      </c>
      <c r="O75" s="15">
        <v>15</v>
      </c>
      <c r="P75" s="15" t="s">
        <v>23</v>
      </c>
    </row>
    <row r="76" spans="1:16" x14ac:dyDescent="0.55000000000000004">
      <c r="A76" s="15">
        <v>1776080706</v>
      </c>
      <c r="B76" s="15" t="s">
        <v>16</v>
      </c>
      <c r="C76" s="15" t="s">
        <v>17</v>
      </c>
      <c r="D76" s="15">
        <v>4706.83</v>
      </c>
      <c r="E76" s="15" t="s">
        <v>18</v>
      </c>
      <c r="F76" s="15">
        <v>4703.7700000000004</v>
      </c>
      <c r="G76" s="15">
        <v>4740.01</v>
      </c>
      <c r="H76" s="15">
        <v>4708.62</v>
      </c>
      <c r="I76" s="15">
        <v>4728.3599999999997</v>
      </c>
      <c r="J76" s="15">
        <v>4638.7</v>
      </c>
      <c r="K76" s="15">
        <v>4773.08</v>
      </c>
      <c r="L76" s="15">
        <v>-36.24</v>
      </c>
      <c r="M76" s="15">
        <v>-0.76</v>
      </c>
      <c r="N76" s="15">
        <v>3</v>
      </c>
      <c r="O76" s="15">
        <v>16</v>
      </c>
      <c r="P76" s="15" t="s">
        <v>19</v>
      </c>
    </row>
    <row r="77" spans="1:16" x14ac:dyDescent="0.55000000000000004">
      <c r="A77" s="15">
        <v>1776087906</v>
      </c>
      <c r="B77" s="15" t="s">
        <v>16</v>
      </c>
      <c r="C77" s="15" t="s">
        <v>17</v>
      </c>
      <c r="D77" s="15">
        <v>4730.5600000000004</v>
      </c>
      <c r="E77" s="15" t="s">
        <v>20</v>
      </c>
      <c r="F77" s="15">
        <v>4744.59</v>
      </c>
      <c r="G77" s="15">
        <v>4703.7700000000004</v>
      </c>
      <c r="H77" s="15">
        <v>4740.01</v>
      </c>
      <c r="I77" s="15">
        <v>4708.62</v>
      </c>
      <c r="J77" s="15">
        <v>4728.3599999999997</v>
      </c>
      <c r="K77" s="15">
        <v>4638.7</v>
      </c>
      <c r="L77" s="15">
        <v>40.82</v>
      </c>
      <c r="M77" s="15">
        <v>0.87</v>
      </c>
      <c r="N77" s="15">
        <v>0</v>
      </c>
      <c r="O77" s="15">
        <v>8</v>
      </c>
      <c r="P77" s="15" t="s">
        <v>23</v>
      </c>
    </row>
    <row r="78" spans="1:16" x14ac:dyDescent="0.55000000000000004">
      <c r="A78" s="15">
        <v>1776092406</v>
      </c>
      <c r="B78" s="15" t="s">
        <v>16</v>
      </c>
      <c r="C78" s="15" t="s">
        <v>17</v>
      </c>
      <c r="D78" s="15">
        <v>4707.72</v>
      </c>
      <c r="E78" s="15" t="s">
        <v>18</v>
      </c>
      <c r="F78" s="15">
        <v>4700.51</v>
      </c>
      <c r="G78" s="15">
        <v>4744.59</v>
      </c>
      <c r="H78" s="15">
        <v>4703.7700000000004</v>
      </c>
      <c r="I78" s="15">
        <v>4740.01</v>
      </c>
      <c r="J78" s="15">
        <v>4708.62</v>
      </c>
      <c r="K78" s="15">
        <v>4728.3599999999997</v>
      </c>
      <c r="L78" s="15">
        <v>-44.08</v>
      </c>
      <c r="M78" s="15">
        <v>-0.93</v>
      </c>
      <c r="N78" s="15">
        <v>3</v>
      </c>
      <c r="O78" s="15">
        <v>5</v>
      </c>
      <c r="P78" s="15" t="s">
        <v>19</v>
      </c>
    </row>
    <row r="79" spans="1:16" x14ac:dyDescent="0.55000000000000004">
      <c r="A79" s="15">
        <v>1776134706</v>
      </c>
      <c r="B79" s="15" t="s">
        <v>16</v>
      </c>
      <c r="C79" s="15" t="s">
        <v>17</v>
      </c>
      <c r="D79" s="15">
        <v>4775.32</v>
      </c>
      <c r="E79" s="15" t="s">
        <v>20</v>
      </c>
      <c r="F79" s="15">
        <v>4777.24</v>
      </c>
      <c r="G79" s="15">
        <v>4700.51</v>
      </c>
      <c r="H79" s="15">
        <v>4744.59</v>
      </c>
      <c r="I79" s="15">
        <v>4703.7700000000004</v>
      </c>
      <c r="J79" s="15">
        <v>4740.01</v>
      </c>
      <c r="K79" s="15">
        <v>4708.62</v>
      </c>
      <c r="L79" s="15">
        <v>76.73</v>
      </c>
      <c r="M79" s="15">
        <v>1.63</v>
      </c>
      <c r="N79" s="15">
        <v>0</v>
      </c>
      <c r="O79" s="15">
        <v>43</v>
      </c>
      <c r="P79" s="15" t="s">
        <v>23</v>
      </c>
    </row>
    <row r="80" spans="1:16" x14ac:dyDescent="0.55000000000000004">
      <c r="A80" s="15">
        <v>1776144606</v>
      </c>
      <c r="B80" s="15" t="s">
        <v>16</v>
      </c>
      <c r="C80" s="15" t="s">
        <v>17</v>
      </c>
      <c r="D80" s="15">
        <v>4761.1899999999996</v>
      </c>
      <c r="E80" s="15" t="s">
        <v>18</v>
      </c>
      <c r="F80" s="15">
        <v>4757.92</v>
      </c>
      <c r="G80" s="15">
        <v>4777.24</v>
      </c>
      <c r="H80" s="15">
        <v>4700.51</v>
      </c>
      <c r="I80" s="15">
        <v>4744.59</v>
      </c>
      <c r="J80" s="15">
        <v>4703.7700000000004</v>
      </c>
      <c r="K80" s="15">
        <v>4740.01</v>
      </c>
      <c r="L80" s="15">
        <v>-19.32</v>
      </c>
      <c r="M80" s="15">
        <v>-0.4</v>
      </c>
      <c r="N80" s="15">
        <v>3</v>
      </c>
      <c r="O80" s="15">
        <v>11</v>
      </c>
      <c r="P80" s="15" t="s">
        <v>22</v>
      </c>
    </row>
    <row r="81" spans="1:16" x14ac:dyDescent="0.55000000000000004">
      <c r="A81" s="15">
        <v>1776150006</v>
      </c>
      <c r="B81" s="15" t="s">
        <v>16</v>
      </c>
      <c r="C81" s="15" t="s">
        <v>17</v>
      </c>
      <c r="D81" s="15">
        <v>4790.2</v>
      </c>
      <c r="E81" s="15" t="s">
        <v>20</v>
      </c>
      <c r="F81" s="15">
        <v>4796.16</v>
      </c>
      <c r="G81" s="15">
        <v>4757.92</v>
      </c>
      <c r="H81" s="15">
        <v>4777.24</v>
      </c>
      <c r="I81" s="15">
        <v>4700.51</v>
      </c>
      <c r="J81" s="15">
        <v>4744.59</v>
      </c>
      <c r="K81" s="15">
        <v>4703.7700000000004</v>
      </c>
      <c r="L81" s="15">
        <v>38.24</v>
      </c>
      <c r="M81" s="15">
        <v>0.8</v>
      </c>
      <c r="N81" s="15">
        <v>0</v>
      </c>
      <c r="O81" s="15">
        <v>6</v>
      </c>
      <c r="P81" s="15" t="s">
        <v>23</v>
      </c>
    </row>
    <row r="82" spans="1:16" x14ac:dyDescent="0.55000000000000004">
      <c r="A82" s="15">
        <v>1776162606</v>
      </c>
      <c r="B82" s="15" t="s">
        <v>16</v>
      </c>
      <c r="C82" s="15" t="s">
        <v>17</v>
      </c>
      <c r="D82" s="15">
        <v>4767.71</v>
      </c>
      <c r="E82" s="15" t="s">
        <v>18</v>
      </c>
      <c r="F82" s="15">
        <v>4752.6000000000004</v>
      </c>
      <c r="G82" s="15">
        <v>4796.16</v>
      </c>
      <c r="H82" s="15">
        <v>4757.92</v>
      </c>
      <c r="I82" s="15">
        <v>4777.24</v>
      </c>
      <c r="J82" s="15">
        <v>4700.51</v>
      </c>
      <c r="K82" s="15">
        <v>4744.59</v>
      </c>
      <c r="L82" s="15">
        <v>-43.56</v>
      </c>
      <c r="M82" s="15">
        <v>-0.91</v>
      </c>
      <c r="N82" s="15">
        <v>3</v>
      </c>
      <c r="O82" s="15">
        <v>14</v>
      </c>
      <c r="P82" s="15" t="s">
        <v>19</v>
      </c>
    </row>
    <row r="83" spans="1:16" x14ac:dyDescent="0.55000000000000004">
      <c r="A83" s="15">
        <v>1776204006</v>
      </c>
      <c r="B83" s="15" t="s">
        <v>16</v>
      </c>
      <c r="C83" s="15" t="s">
        <v>17</v>
      </c>
      <c r="D83" s="15">
        <v>4844.74</v>
      </c>
      <c r="E83" s="15" t="s">
        <v>20</v>
      </c>
      <c r="F83" s="15">
        <v>4850.7700000000004</v>
      </c>
      <c r="G83" s="15">
        <v>4752.6000000000004</v>
      </c>
      <c r="H83" s="15">
        <v>4796.16</v>
      </c>
      <c r="I83" s="15">
        <v>4757.92</v>
      </c>
      <c r="J83" s="15">
        <v>4777.24</v>
      </c>
      <c r="K83" s="15">
        <v>4700.51</v>
      </c>
      <c r="L83" s="15">
        <v>98.17</v>
      </c>
      <c r="M83" s="15">
        <v>2.0699999999999998</v>
      </c>
      <c r="N83" s="15">
        <v>0</v>
      </c>
      <c r="O83" s="15">
        <v>42</v>
      </c>
      <c r="P83" s="15" t="s">
        <v>23</v>
      </c>
    </row>
    <row r="84" spans="1:16" x14ac:dyDescent="0.55000000000000004">
      <c r="A84" s="15">
        <v>1776213006</v>
      </c>
      <c r="B84" s="15" t="s">
        <v>16</v>
      </c>
      <c r="C84" s="15" t="s">
        <v>17</v>
      </c>
      <c r="D84" s="15">
        <v>4830.1099999999997</v>
      </c>
      <c r="E84" s="15" t="s">
        <v>18</v>
      </c>
      <c r="F84" s="15">
        <v>4827.08</v>
      </c>
      <c r="G84" s="15">
        <v>4850.7700000000004</v>
      </c>
      <c r="H84" s="15">
        <v>4752.6000000000004</v>
      </c>
      <c r="I84" s="15">
        <v>4796.16</v>
      </c>
      <c r="J84" s="15">
        <v>4757.92</v>
      </c>
      <c r="K84" s="15">
        <v>4777.24</v>
      </c>
      <c r="L84" s="15">
        <v>-23.69</v>
      </c>
      <c r="M84" s="15">
        <v>-0.49</v>
      </c>
      <c r="N84" s="15">
        <v>3</v>
      </c>
      <c r="O84" s="15">
        <v>10</v>
      </c>
      <c r="P84" s="15" t="s">
        <v>22</v>
      </c>
    </row>
    <row r="85" spans="1:16" x14ac:dyDescent="0.55000000000000004">
      <c r="A85" s="15">
        <v>1776215706</v>
      </c>
      <c r="B85" s="15" t="s">
        <v>16</v>
      </c>
      <c r="C85" s="15" t="s">
        <v>17</v>
      </c>
      <c r="D85" s="15">
        <v>4850.79</v>
      </c>
      <c r="E85" s="15" t="s">
        <v>20</v>
      </c>
      <c r="F85" s="15">
        <v>4871.22</v>
      </c>
      <c r="G85" s="15">
        <v>4827.08</v>
      </c>
      <c r="H85" s="15">
        <v>4850.7700000000004</v>
      </c>
      <c r="I85" s="15">
        <v>4752.6000000000004</v>
      </c>
      <c r="J85" s="15">
        <v>4796.16</v>
      </c>
      <c r="K85" s="15">
        <v>4757.92</v>
      </c>
      <c r="L85" s="15">
        <v>44.14</v>
      </c>
      <c r="M85" s="15">
        <v>0.91</v>
      </c>
      <c r="N85" s="15">
        <v>0</v>
      </c>
      <c r="O85" s="15">
        <v>3</v>
      </c>
      <c r="P85" s="15" t="s">
        <v>23</v>
      </c>
    </row>
    <row r="86" spans="1:16" x14ac:dyDescent="0.55000000000000004">
      <c r="A86" s="15">
        <v>1776246306</v>
      </c>
      <c r="B86" s="15" t="s">
        <v>16</v>
      </c>
      <c r="C86" s="15" t="s">
        <v>17</v>
      </c>
      <c r="D86" s="15">
        <v>4798.21</v>
      </c>
      <c r="E86" s="15" t="s">
        <v>18</v>
      </c>
      <c r="F86" s="15">
        <v>4786.2299999999996</v>
      </c>
      <c r="G86" s="15">
        <v>4871.22</v>
      </c>
      <c r="H86" s="15">
        <v>4827.08</v>
      </c>
      <c r="I86" s="15">
        <v>4850.7700000000004</v>
      </c>
      <c r="J86" s="15">
        <v>4752.6000000000004</v>
      </c>
      <c r="K86" s="15">
        <v>4796.16</v>
      </c>
      <c r="L86" s="15">
        <v>-84.99</v>
      </c>
      <c r="M86" s="15">
        <v>-1.74</v>
      </c>
      <c r="N86" s="15">
        <v>3</v>
      </c>
      <c r="O86" s="15">
        <v>34</v>
      </c>
      <c r="P86" s="15" t="s">
        <v>19</v>
      </c>
    </row>
    <row r="87" spans="1:16" x14ac:dyDescent="0.55000000000000004">
      <c r="A87" s="15">
        <v>1776262506</v>
      </c>
      <c r="B87" s="15" t="s">
        <v>16</v>
      </c>
      <c r="C87" s="15" t="s">
        <v>17</v>
      </c>
      <c r="D87" s="15">
        <v>4825.22</v>
      </c>
      <c r="E87" s="15" t="s">
        <v>20</v>
      </c>
      <c r="F87" s="15">
        <v>4830.3900000000003</v>
      </c>
      <c r="G87" s="15">
        <v>4786.2299999999996</v>
      </c>
      <c r="H87" s="15">
        <v>4871.22</v>
      </c>
      <c r="I87" s="15">
        <v>4827.08</v>
      </c>
      <c r="J87" s="15">
        <v>4850.7700000000004</v>
      </c>
      <c r="K87" s="15">
        <v>4752.6000000000004</v>
      </c>
      <c r="L87" s="15">
        <v>44.16</v>
      </c>
      <c r="M87" s="15">
        <v>0.92</v>
      </c>
      <c r="N87" s="15">
        <v>0</v>
      </c>
      <c r="O87" s="15">
        <v>18</v>
      </c>
      <c r="P87" s="15" t="s">
        <v>21</v>
      </c>
    </row>
    <row r="88" spans="1:16" x14ac:dyDescent="0.55000000000000004">
      <c r="A88" s="15">
        <v>1776267006</v>
      </c>
      <c r="B88" s="15" t="s">
        <v>16</v>
      </c>
      <c r="C88" s="15" t="s">
        <v>17</v>
      </c>
      <c r="D88" s="15">
        <v>4803.6400000000003</v>
      </c>
      <c r="E88" s="15" t="s">
        <v>18</v>
      </c>
      <c r="F88" s="15">
        <v>4787.17</v>
      </c>
      <c r="G88" s="15">
        <v>4830.3900000000003</v>
      </c>
      <c r="H88" s="15">
        <v>4786.2299999999996</v>
      </c>
      <c r="I88" s="15">
        <v>4871.22</v>
      </c>
      <c r="J88" s="15">
        <v>4827.08</v>
      </c>
      <c r="K88" s="15">
        <v>4850.7700000000004</v>
      </c>
      <c r="L88" s="15">
        <v>-43.22</v>
      </c>
      <c r="M88" s="15">
        <v>-0.89</v>
      </c>
      <c r="N88" s="15">
        <v>3</v>
      </c>
      <c r="O88" s="15">
        <v>5</v>
      </c>
      <c r="P88" s="15" t="s">
        <v>22</v>
      </c>
    </row>
    <row r="89" spans="1:16" x14ac:dyDescent="0.55000000000000004">
      <c r="A89" s="15">
        <v>1776315606</v>
      </c>
      <c r="B89" s="15" t="s">
        <v>16</v>
      </c>
      <c r="C89" s="15" t="s">
        <v>17</v>
      </c>
      <c r="D89" s="15">
        <v>4834.26</v>
      </c>
      <c r="E89" s="15" t="s">
        <v>20</v>
      </c>
      <c r="F89" s="15">
        <v>4838.38</v>
      </c>
      <c r="G89" s="15">
        <v>4787.17</v>
      </c>
      <c r="H89" s="15">
        <v>4830.3900000000003</v>
      </c>
      <c r="I89" s="15">
        <v>4786.2299999999996</v>
      </c>
      <c r="J89" s="15">
        <v>4871.22</v>
      </c>
      <c r="K89" s="15">
        <v>4827.08</v>
      </c>
      <c r="L89" s="15">
        <v>51.21</v>
      </c>
      <c r="M89" s="15">
        <v>1.07</v>
      </c>
      <c r="N89" s="15">
        <v>0</v>
      </c>
      <c r="O89" s="15">
        <v>50</v>
      </c>
      <c r="P89" s="15" t="s">
        <v>23</v>
      </c>
    </row>
    <row r="90" spans="1:16" x14ac:dyDescent="0.55000000000000004">
      <c r="A90" s="15">
        <v>1776335406</v>
      </c>
      <c r="B90" s="15" t="s">
        <v>16</v>
      </c>
      <c r="C90" s="15" t="s">
        <v>17</v>
      </c>
      <c r="D90" s="15">
        <v>4808.3999999999996</v>
      </c>
      <c r="E90" s="15" t="s">
        <v>18</v>
      </c>
      <c r="F90" s="15">
        <v>4805.21</v>
      </c>
      <c r="G90" s="15">
        <v>4838.38</v>
      </c>
      <c r="H90" s="15">
        <v>4787.17</v>
      </c>
      <c r="I90" s="15">
        <v>4830.3900000000003</v>
      </c>
      <c r="J90" s="15">
        <v>4786.2299999999996</v>
      </c>
      <c r="K90" s="15">
        <v>4871.22</v>
      </c>
      <c r="L90" s="15">
        <v>-33.17</v>
      </c>
      <c r="M90" s="15">
        <v>-0.69</v>
      </c>
      <c r="N90" s="15">
        <v>3</v>
      </c>
      <c r="O90" s="15">
        <v>22</v>
      </c>
      <c r="P90" s="15" t="s">
        <v>22</v>
      </c>
    </row>
    <row r="91" spans="1:16" x14ac:dyDescent="0.55000000000000004">
      <c r="A91" s="15">
        <v>1776346206</v>
      </c>
      <c r="B91" s="15" t="s">
        <v>16</v>
      </c>
      <c r="C91" s="15" t="s">
        <v>17</v>
      </c>
      <c r="D91" s="15">
        <v>4816.26</v>
      </c>
      <c r="E91" s="15" t="s">
        <v>20</v>
      </c>
      <c r="F91" s="15">
        <v>4823.8100000000004</v>
      </c>
      <c r="G91" s="15">
        <v>4805.21</v>
      </c>
      <c r="H91" s="15">
        <v>4838.38</v>
      </c>
      <c r="I91" s="15">
        <v>4787.17</v>
      </c>
      <c r="J91" s="15">
        <v>4830.3900000000003</v>
      </c>
      <c r="K91" s="15">
        <v>4786.2299999999996</v>
      </c>
      <c r="L91" s="15">
        <v>18.600000000000001</v>
      </c>
      <c r="M91" s="15">
        <v>0.39</v>
      </c>
      <c r="N91" s="15">
        <v>0</v>
      </c>
      <c r="O91" s="15">
        <v>12</v>
      </c>
      <c r="P91" s="15" t="s">
        <v>21</v>
      </c>
    </row>
    <row r="92" spans="1:16" x14ac:dyDescent="0.55000000000000004">
      <c r="A92" s="15">
        <v>1776349806</v>
      </c>
      <c r="B92" s="15" t="s">
        <v>16</v>
      </c>
      <c r="C92" s="15" t="s">
        <v>17</v>
      </c>
      <c r="D92" s="15">
        <v>4787.7299999999996</v>
      </c>
      <c r="E92" s="15" t="s">
        <v>18</v>
      </c>
      <c r="F92" s="15">
        <v>4772.67</v>
      </c>
      <c r="G92" s="15">
        <v>4823.8100000000004</v>
      </c>
      <c r="H92" s="15">
        <v>4805.21</v>
      </c>
      <c r="I92" s="15">
        <v>4838.38</v>
      </c>
      <c r="J92" s="15">
        <v>4787.17</v>
      </c>
      <c r="K92" s="15">
        <v>4830.3900000000003</v>
      </c>
      <c r="L92" s="15">
        <v>-51.14</v>
      </c>
      <c r="M92" s="15">
        <v>-1.06</v>
      </c>
      <c r="N92" s="15">
        <v>3</v>
      </c>
      <c r="O92" s="15">
        <v>4</v>
      </c>
      <c r="P92" s="15" t="s">
        <v>19</v>
      </c>
    </row>
    <row r="93" spans="1:16" x14ac:dyDescent="0.55000000000000004">
      <c r="A93" s="15">
        <v>1776368706</v>
      </c>
      <c r="B93" s="15" t="s">
        <v>16</v>
      </c>
      <c r="C93" s="15" t="s">
        <v>17</v>
      </c>
      <c r="D93" s="15">
        <v>4793.5200000000004</v>
      </c>
      <c r="E93" s="15" t="s">
        <v>20</v>
      </c>
      <c r="F93" s="15">
        <v>4798.58</v>
      </c>
      <c r="G93" s="15">
        <v>4772.67</v>
      </c>
      <c r="H93" s="15">
        <v>4823.8100000000004</v>
      </c>
      <c r="I93" s="15">
        <v>4805.21</v>
      </c>
      <c r="J93" s="15">
        <v>4838.38</v>
      </c>
      <c r="K93" s="15">
        <v>4787.17</v>
      </c>
      <c r="L93" s="15">
        <v>25.91</v>
      </c>
      <c r="M93" s="15">
        <v>0.54</v>
      </c>
      <c r="N93" s="15">
        <v>0</v>
      </c>
      <c r="O93" s="15">
        <v>21</v>
      </c>
      <c r="P93" s="15" t="s">
        <v>21</v>
      </c>
    </row>
    <row r="94" spans="1:16" x14ac:dyDescent="0.55000000000000004">
      <c r="A94" s="15">
        <v>1776384006</v>
      </c>
      <c r="B94" s="15" t="s">
        <v>16</v>
      </c>
      <c r="C94" s="15" t="s">
        <v>17</v>
      </c>
      <c r="D94" s="15">
        <v>4790.3999999999996</v>
      </c>
      <c r="E94" s="15" t="s">
        <v>18</v>
      </c>
      <c r="F94" s="15">
        <v>4786.1000000000004</v>
      </c>
      <c r="G94" s="15">
        <v>4798.58</v>
      </c>
      <c r="H94" s="15">
        <v>4772.67</v>
      </c>
      <c r="I94" s="15">
        <v>4823.8100000000004</v>
      </c>
      <c r="J94" s="15">
        <v>4805.21</v>
      </c>
      <c r="K94" s="15">
        <v>4838.38</v>
      </c>
      <c r="L94" s="15">
        <v>-12.48</v>
      </c>
      <c r="M94" s="15">
        <v>-0.26</v>
      </c>
      <c r="N94" s="15">
        <v>3</v>
      </c>
      <c r="O94" s="15">
        <v>13</v>
      </c>
      <c r="P94" s="15" t="s">
        <v>22</v>
      </c>
    </row>
    <row r="95" spans="1:16" x14ac:dyDescent="0.55000000000000004">
      <c r="A95" s="15">
        <v>1776386706</v>
      </c>
      <c r="B95" s="15" t="s">
        <v>16</v>
      </c>
      <c r="C95" s="15" t="s">
        <v>17</v>
      </c>
      <c r="D95" s="15">
        <v>4794.8999999999996</v>
      </c>
      <c r="E95" s="15" t="s">
        <v>20</v>
      </c>
      <c r="F95" s="15">
        <v>4801.12</v>
      </c>
      <c r="G95" s="15">
        <v>4786.1000000000004</v>
      </c>
      <c r="H95" s="15">
        <v>4798.58</v>
      </c>
      <c r="I95" s="15">
        <v>4772.67</v>
      </c>
      <c r="J95" s="15">
        <v>4823.8100000000004</v>
      </c>
      <c r="K95" s="15">
        <v>4805.21</v>
      </c>
      <c r="L95" s="15">
        <v>15.02</v>
      </c>
      <c r="M95" s="15">
        <v>0.31</v>
      </c>
      <c r="N95" s="15">
        <v>0</v>
      </c>
      <c r="O95" s="15">
        <v>3</v>
      </c>
      <c r="P95" s="15" t="s">
        <v>23</v>
      </c>
    </row>
    <row r="96" spans="1:16" x14ac:dyDescent="0.55000000000000004">
      <c r="A96" s="15">
        <v>1776389406</v>
      </c>
      <c r="B96" s="15" t="s">
        <v>16</v>
      </c>
      <c r="C96" s="15" t="s">
        <v>17</v>
      </c>
      <c r="D96" s="15">
        <v>4777.87</v>
      </c>
      <c r="E96" s="15" t="s">
        <v>18</v>
      </c>
      <c r="F96" s="15">
        <v>4768.07</v>
      </c>
      <c r="G96" s="15">
        <v>4801.12</v>
      </c>
      <c r="H96" s="15">
        <v>4786.1000000000004</v>
      </c>
      <c r="I96" s="15">
        <v>4798.58</v>
      </c>
      <c r="J96" s="15">
        <v>4772.67</v>
      </c>
      <c r="K96" s="15">
        <v>4823.8100000000004</v>
      </c>
      <c r="L96" s="15">
        <v>-33.049999999999997</v>
      </c>
      <c r="M96" s="15">
        <v>-0.69</v>
      </c>
      <c r="N96" s="15">
        <v>3</v>
      </c>
      <c r="O96" s="15">
        <v>3</v>
      </c>
      <c r="P96" s="15" t="s">
        <v>19</v>
      </c>
    </row>
    <row r="97" spans="1:16" x14ac:dyDescent="0.55000000000000004">
      <c r="A97" s="15">
        <v>1776402006</v>
      </c>
      <c r="B97" s="15" t="s">
        <v>16</v>
      </c>
      <c r="C97" s="15" t="s">
        <v>17</v>
      </c>
      <c r="D97" s="15">
        <v>4804.78</v>
      </c>
      <c r="E97" s="15" t="s">
        <v>20</v>
      </c>
      <c r="F97" s="15">
        <v>4805.97</v>
      </c>
      <c r="G97" s="15">
        <v>4768.07</v>
      </c>
      <c r="H97" s="15">
        <v>4801.12</v>
      </c>
      <c r="I97" s="15">
        <v>4786.1000000000004</v>
      </c>
      <c r="J97" s="15">
        <v>4798.58</v>
      </c>
      <c r="K97" s="15">
        <v>4772.67</v>
      </c>
      <c r="L97" s="15">
        <v>37.9</v>
      </c>
      <c r="M97" s="15">
        <v>0.79</v>
      </c>
      <c r="N97" s="15">
        <v>0</v>
      </c>
      <c r="O97" s="15">
        <v>14</v>
      </c>
      <c r="P97" s="15" t="s">
        <v>23</v>
      </c>
    </row>
    <row r="98" spans="1:16" x14ac:dyDescent="0.55000000000000004">
      <c r="A98" s="15">
        <v>1776411906</v>
      </c>
      <c r="B98" s="15" t="s">
        <v>16</v>
      </c>
      <c r="C98" s="15" t="s">
        <v>17</v>
      </c>
      <c r="D98" s="15">
        <v>4784.38</v>
      </c>
      <c r="E98" s="15" t="s">
        <v>18</v>
      </c>
      <c r="F98" s="15">
        <v>4778.83</v>
      </c>
      <c r="G98" s="15">
        <v>4805.97</v>
      </c>
      <c r="H98" s="15">
        <v>4768.07</v>
      </c>
      <c r="I98" s="15">
        <v>4801.12</v>
      </c>
      <c r="J98" s="15">
        <v>4786.1000000000004</v>
      </c>
      <c r="K98" s="15">
        <v>4798.58</v>
      </c>
      <c r="L98" s="15">
        <v>-27.14</v>
      </c>
      <c r="M98" s="15">
        <v>-0.56000000000000005</v>
      </c>
      <c r="N98" s="15">
        <v>3</v>
      </c>
      <c r="O98" s="15">
        <v>11</v>
      </c>
      <c r="P98" s="15" t="s">
        <v>22</v>
      </c>
    </row>
    <row r="99" spans="1:16" x14ac:dyDescent="0.55000000000000004">
      <c r="A99" s="15">
        <v>1776430806</v>
      </c>
      <c r="B99" s="15" t="s">
        <v>16</v>
      </c>
      <c r="C99" s="15" t="s">
        <v>17</v>
      </c>
      <c r="D99" s="15">
        <v>4883.6000000000004</v>
      </c>
      <c r="E99" s="15" t="s">
        <v>20</v>
      </c>
      <c r="F99" s="15">
        <v>4889.21</v>
      </c>
      <c r="G99" s="15">
        <v>4778.83</v>
      </c>
      <c r="H99" s="15">
        <v>4805.97</v>
      </c>
      <c r="I99" s="15">
        <v>4768.07</v>
      </c>
      <c r="J99" s="15">
        <v>4801.12</v>
      </c>
      <c r="K99" s="15">
        <v>4786.1000000000004</v>
      </c>
      <c r="L99" s="15">
        <v>110.38</v>
      </c>
      <c r="M99" s="15">
        <v>2.31</v>
      </c>
      <c r="N99" s="15">
        <v>0</v>
      </c>
      <c r="O99" s="15">
        <v>21</v>
      </c>
      <c r="P99" s="15" t="s">
        <v>23</v>
      </c>
    </row>
    <row r="100" spans="1:16" x14ac:dyDescent="0.55000000000000004">
      <c r="A100" s="15">
        <v>1776642306</v>
      </c>
      <c r="B100" s="15" t="s">
        <v>16</v>
      </c>
      <c r="C100" s="15" t="s">
        <v>17</v>
      </c>
      <c r="D100" s="15">
        <v>4755.07</v>
      </c>
      <c r="E100" s="15" t="s">
        <v>18</v>
      </c>
      <c r="F100" s="15">
        <v>4736.96</v>
      </c>
      <c r="G100" s="15">
        <v>4889.21</v>
      </c>
      <c r="H100" s="15">
        <v>4778.83</v>
      </c>
      <c r="I100" s="15">
        <v>4805.97</v>
      </c>
      <c r="J100" s="15">
        <v>4768.07</v>
      </c>
      <c r="K100" s="15">
        <v>4801.12</v>
      </c>
      <c r="L100" s="15">
        <v>-152.25</v>
      </c>
      <c r="M100" s="15">
        <v>-3.11</v>
      </c>
      <c r="N100" s="15">
        <v>5</v>
      </c>
      <c r="O100" s="15">
        <v>39</v>
      </c>
      <c r="P100" s="15" t="s">
        <v>19</v>
      </c>
    </row>
    <row r="101" spans="1:16" x14ac:dyDescent="0.55000000000000004">
      <c r="A101" s="15">
        <v>1776649506</v>
      </c>
      <c r="B101" s="15" t="s">
        <v>16</v>
      </c>
      <c r="C101" s="15" t="s">
        <v>17</v>
      </c>
      <c r="D101" s="15">
        <v>4807.6000000000004</v>
      </c>
      <c r="E101" s="15" t="s">
        <v>20</v>
      </c>
      <c r="F101" s="15">
        <v>4814.28</v>
      </c>
      <c r="G101" s="15">
        <v>4736.96</v>
      </c>
      <c r="H101" s="15">
        <v>4889.21</v>
      </c>
      <c r="I101" s="15">
        <v>4778.83</v>
      </c>
      <c r="J101" s="15">
        <v>4805.97</v>
      </c>
      <c r="K101" s="15">
        <v>4768.07</v>
      </c>
      <c r="L101" s="15">
        <v>77.319999999999993</v>
      </c>
      <c r="M101" s="15">
        <v>1.63</v>
      </c>
      <c r="N101" s="15">
        <v>0</v>
      </c>
      <c r="O101" s="15">
        <v>8</v>
      </c>
      <c r="P101" s="15" t="s">
        <v>21</v>
      </c>
    </row>
    <row r="102" spans="1:16" x14ac:dyDescent="0.55000000000000004">
      <c r="A102" s="15">
        <v>1776663006</v>
      </c>
      <c r="B102" s="15" t="s">
        <v>16</v>
      </c>
      <c r="C102" s="15" t="s">
        <v>17</v>
      </c>
      <c r="D102" s="15">
        <v>4780.97</v>
      </c>
      <c r="E102" s="15" t="s">
        <v>18</v>
      </c>
      <c r="F102" s="15">
        <v>4779.8</v>
      </c>
      <c r="G102" s="15">
        <v>4814.28</v>
      </c>
      <c r="H102" s="15">
        <v>4736.96</v>
      </c>
      <c r="I102" s="15">
        <v>4889.21</v>
      </c>
      <c r="J102" s="15">
        <v>4778.83</v>
      </c>
      <c r="K102" s="15">
        <v>4805.97</v>
      </c>
      <c r="L102" s="15">
        <v>-34.479999999999997</v>
      </c>
      <c r="M102" s="15">
        <v>-0.72</v>
      </c>
      <c r="N102" s="15">
        <v>3</v>
      </c>
      <c r="O102" s="15">
        <v>15</v>
      </c>
      <c r="P102" s="15" t="s">
        <v>22</v>
      </c>
    </row>
    <row r="103" spans="1:16" x14ac:dyDescent="0.55000000000000004">
      <c r="A103" s="15">
        <v>1776669306</v>
      </c>
      <c r="B103" s="15" t="s">
        <v>16</v>
      </c>
      <c r="C103" s="15" t="s">
        <v>17</v>
      </c>
      <c r="D103" s="15">
        <v>4797.92</v>
      </c>
      <c r="E103" s="15" t="s">
        <v>20</v>
      </c>
      <c r="F103" s="15">
        <v>4805.79</v>
      </c>
      <c r="G103" s="15">
        <v>4779.8</v>
      </c>
      <c r="H103" s="15">
        <v>4814.28</v>
      </c>
      <c r="I103" s="15">
        <v>4736.96</v>
      </c>
      <c r="J103" s="15">
        <v>4889.21</v>
      </c>
      <c r="K103" s="15">
        <v>4778.83</v>
      </c>
      <c r="L103" s="15">
        <v>25.99</v>
      </c>
      <c r="M103" s="15">
        <v>0.54</v>
      </c>
      <c r="N103" s="15">
        <v>0</v>
      </c>
      <c r="O103" s="15">
        <v>7</v>
      </c>
      <c r="P103" s="15" t="s">
        <v>21</v>
      </c>
    </row>
    <row r="104" spans="1:16" x14ac:dyDescent="0.55000000000000004">
      <c r="A104" s="15">
        <v>1776677406</v>
      </c>
      <c r="B104" s="15" t="s">
        <v>16</v>
      </c>
      <c r="C104" s="15" t="s">
        <v>17</v>
      </c>
      <c r="D104" s="15">
        <v>4791.96</v>
      </c>
      <c r="E104" s="15" t="s">
        <v>18</v>
      </c>
      <c r="F104" s="15">
        <v>4783.51</v>
      </c>
      <c r="G104" s="15">
        <v>4805.79</v>
      </c>
      <c r="H104" s="15">
        <v>4779.8</v>
      </c>
      <c r="I104" s="15">
        <v>4814.28</v>
      </c>
      <c r="J104" s="15">
        <v>4736.96</v>
      </c>
      <c r="K104" s="15">
        <v>4889.21</v>
      </c>
      <c r="L104" s="15">
        <v>-22.28</v>
      </c>
      <c r="M104" s="15">
        <v>-0.46</v>
      </c>
      <c r="N104" s="15">
        <v>3</v>
      </c>
      <c r="O104" s="15">
        <v>9</v>
      </c>
      <c r="P104" s="15" t="s">
        <v>22</v>
      </c>
    </row>
    <row r="105" spans="1:16" x14ac:dyDescent="0.55000000000000004">
      <c r="A105" s="15">
        <v>1776695406</v>
      </c>
      <c r="B105" s="15" t="s">
        <v>16</v>
      </c>
      <c r="C105" s="15" t="s">
        <v>17</v>
      </c>
      <c r="D105" s="15">
        <v>4814.18</v>
      </c>
      <c r="E105" s="15" t="s">
        <v>20</v>
      </c>
      <c r="F105" s="15">
        <v>4827.74</v>
      </c>
      <c r="G105" s="15">
        <v>4783.51</v>
      </c>
      <c r="H105" s="15">
        <v>4805.79</v>
      </c>
      <c r="I105" s="15">
        <v>4779.8</v>
      </c>
      <c r="J105" s="15">
        <v>4814.28</v>
      </c>
      <c r="K105" s="15">
        <v>4736.96</v>
      </c>
      <c r="L105" s="15">
        <v>44.23</v>
      </c>
      <c r="M105" s="15">
        <v>0.92</v>
      </c>
      <c r="N105" s="15">
        <v>0</v>
      </c>
      <c r="O105" s="15">
        <v>20</v>
      </c>
      <c r="P105" s="15" t="s">
        <v>23</v>
      </c>
    </row>
    <row r="106" spans="1:16" x14ac:dyDescent="0.55000000000000004">
      <c r="A106" s="15">
        <v>1776696306</v>
      </c>
      <c r="B106" s="15" t="s">
        <v>16</v>
      </c>
      <c r="C106" s="15" t="s">
        <v>17</v>
      </c>
      <c r="D106" s="15">
        <v>4805.3100000000004</v>
      </c>
      <c r="E106" s="15" t="s">
        <v>18</v>
      </c>
      <c r="F106" s="15">
        <v>4792.42</v>
      </c>
      <c r="G106" s="15">
        <v>4827.74</v>
      </c>
      <c r="H106" s="15">
        <v>4783.51</v>
      </c>
      <c r="I106" s="15">
        <v>4805.79</v>
      </c>
      <c r="J106" s="15">
        <v>4779.8</v>
      </c>
      <c r="K106" s="15">
        <v>4814.28</v>
      </c>
      <c r="L106" s="15">
        <v>-35.32</v>
      </c>
      <c r="M106" s="15">
        <v>-0.73</v>
      </c>
      <c r="N106" s="15">
        <v>3</v>
      </c>
      <c r="O106" s="15">
        <v>1</v>
      </c>
      <c r="P106" s="15" t="s">
        <v>22</v>
      </c>
    </row>
    <row r="107" spans="1:16" x14ac:dyDescent="0.55000000000000004">
      <c r="A107" s="15">
        <v>1776723306</v>
      </c>
      <c r="B107" s="15" t="s">
        <v>16</v>
      </c>
      <c r="C107" s="15" t="s">
        <v>17</v>
      </c>
      <c r="D107" s="15">
        <v>4828.53</v>
      </c>
      <c r="E107" s="15" t="s">
        <v>20</v>
      </c>
      <c r="F107" s="15">
        <v>4833.25</v>
      </c>
      <c r="G107" s="15">
        <v>4792.42</v>
      </c>
      <c r="H107" s="15">
        <v>4827.74</v>
      </c>
      <c r="I107" s="15">
        <v>4783.51</v>
      </c>
      <c r="J107" s="15">
        <v>4805.79</v>
      </c>
      <c r="K107" s="15">
        <v>4779.8</v>
      </c>
      <c r="L107" s="15">
        <v>40.83</v>
      </c>
      <c r="M107" s="15">
        <v>0.85</v>
      </c>
      <c r="N107" s="15">
        <v>0</v>
      </c>
      <c r="O107" s="15">
        <v>26</v>
      </c>
      <c r="P107" s="15" t="s">
        <v>23</v>
      </c>
    </row>
    <row r="108" spans="1:16" x14ac:dyDescent="0.55000000000000004">
      <c r="A108" s="15">
        <v>1776754806</v>
      </c>
      <c r="B108" s="15" t="s">
        <v>16</v>
      </c>
      <c r="C108" s="15" t="s">
        <v>17</v>
      </c>
      <c r="D108" s="15">
        <v>4782.82</v>
      </c>
      <c r="E108" s="15" t="s">
        <v>18</v>
      </c>
      <c r="F108" s="15">
        <v>4772.78</v>
      </c>
      <c r="G108" s="15">
        <v>4833.25</v>
      </c>
      <c r="H108" s="15">
        <v>4792.42</v>
      </c>
      <c r="I108" s="15">
        <v>4827.74</v>
      </c>
      <c r="J108" s="15">
        <v>4783.51</v>
      </c>
      <c r="K108" s="15">
        <v>4805.79</v>
      </c>
      <c r="L108" s="15">
        <v>-60.47</v>
      </c>
      <c r="M108" s="15">
        <v>-1.25</v>
      </c>
      <c r="N108" s="15">
        <v>3</v>
      </c>
      <c r="O108" s="15">
        <v>35</v>
      </c>
      <c r="P108" s="15" t="s">
        <v>19</v>
      </c>
    </row>
    <row r="109" spans="1:16" x14ac:dyDescent="0.55000000000000004">
      <c r="A109" s="15">
        <v>1776771906</v>
      </c>
      <c r="B109" s="15" t="s">
        <v>16</v>
      </c>
      <c r="C109" s="15" t="s">
        <v>17</v>
      </c>
      <c r="D109" s="15">
        <v>4794.6099999999997</v>
      </c>
      <c r="E109" s="15" t="s">
        <v>20</v>
      </c>
      <c r="F109" s="15">
        <v>4797.91</v>
      </c>
      <c r="G109" s="15">
        <v>4772.78</v>
      </c>
      <c r="H109" s="15">
        <v>4833.25</v>
      </c>
      <c r="I109" s="15">
        <v>4792.42</v>
      </c>
      <c r="J109" s="15">
        <v>4827.74</v>
      </c>
      <c r="K109" s="15">
        <v>4783.51</v>
      </c>
      <c r="L109" s="15">
        <v>25.13</v>
      </c>
      <c r="M109" s="15">
        <v>0.53</v>
      </c>
      <c r="N109" s="15">
        <v>0</v>
      </c>
      <c r="O109" s="15">
        <v>19</v>
      </c>
      <c r="P109" s="15" t="s">
        <v>21</v>
      </c>
    </row>
    <row r="110" spans="1:16" x14ac:dyDescent="0.55000000000000004">
      <c r="A110" s="15">
        <v>1776799806</v>
      </c>
      <c r="B110" s="15" t="s">
        <v>16</v>
      </c>
      <c r="C110" s="15" t="s">
        <v>17</v>
      </c>
      <c r="D110" s="15">
        <v>4671.47</v>
      </c>
      <c r="E110" s="15" t="s">
        <v>18</v>
      </c>
      <c r="F110" s="15">
        <v>4668.6099999999997</v>
      </c>
      <c r="G110" s="15">
        <v>4797.91</v>
      </c>
      <c r="H110" s="15">
        <v>4772.78</v>
      </c>
      <c r="I110" s="15">
        <v>4833.25</v>
      </c>
      <c r="J110" s="15">
        <v>4792.42</v>
      </c>
      <c r="K110" s="15">
        <v>4827.74</v>
      </c>
      <c r="L110" s="15">
        <v>-129.30000000000001</v>
      </c>
      <c r="M110" s="15">
        <v>-2.69</v>
      </c>
      <c r="N110" s="15">
        <v>5</v>
      </c>
      <c r="O110" s="15">
        <v>31</v>
      </c>
      <c r="P110" s="15" t="s">
        <v>19</v>
      </c>
    </row>
    <row r="111" spans="1:16" x14ac:dyDescent="0.55000000000000004">
      <c r="A111" s="15">
        <v>1776841206</v>
      </c>
      <c r="B111" s="15" t="s">
        <v>16</v>
      </c>
      <c r="C111" s="15" t="s">
        <v>17</v>
      </c>
      <c r="D111" s="15">
        <v>4765.67</v>
      </c>
      <c r="E111" s="15" t="s">
        <v>20</v>
      </c>
      <c r="F111" s="15">
        <v>4772.1499999999996</v>
      </c>
      <c r="G111" s="15">
        <v>4668.6099999999997</v>
      </c>
      <c r="H111" s="15">
        <v>4797.91</v>
      </c>
      <c r="I111" s="15">
        <v>4772.78</v>
      </c>
      <c r="J111" s="15">
        <v>4833.25</v>
      </c>
      <c r="K111" s="15">
        <v>4792.42</v>
      </c>
      <c r="L111" s="15">
        <v>103.54</v>
      </c>
      <c r="M111" s="15">
        <v>2.2200000000000002</v>
      </c>
      <c r="N111" s="15">
        <v>1</v>
      </c>
      <c r="O111" s="15">
        <v>42</v>
      </c>
      <c r="P111" s="15" t="s">
        <v>21</v>
      </c>
    </row>
    <row r="112" spans="1:16" x14ac:dyDescent="0.55000000000000004">
      <c r="A112" s="15">
        <v>1776875406</v>
      </c>
      <c r="B112" s="15" t="s">
        <v>16</v>
      </c>
      <c r="C112" s="15" t="s">
        <v>17</v>
      </c>
      <c r="D112" s="15">
        <v>4728.3</v>
      </c>
      <c r="E112" s="15" t="s">
        <v>18</v>
      </c>
      <c r="F112" s="15">
        <v>4724.03</v>
      </c>
      <c r="G112" s="15">
        <v>4772.1499999999996</v>
      </c>
      <c r="H112" s="15">
        <v>4668.6099999999997</v>
      </c>
      <c r="I112" s="15">
        <v>4797.91</v>
      </c>
      <c r="J112" s="15">
        <v>4772.78</v>
      </c>
      <c r="K112" s="15">
        <v>4833.25</v>
      </c>
      <c r="L112" s="15">
        <v>-48.12</v>
      </c>
      <c r="M112" s="15">
        <v>-1.01</v>
      </c>
      <c r="N112" s="15">
        <v>3</v>
      </c>
      <c r="O112" s="15">
        <v>38</v>
      </c>
      <c r="P112" s="15" t="s">
        <v>22</v>
      </c>
    </row>
    <row r="113" spans="1:16" x14ac:dyDescent="0.55000000000000004">
      <c r="A113" s="15">
        <v>1776883506</v>
      </c>
      <c r="B113" s="15" t="s">
        <v>16</v>
      </c>
      <c r="C113" s="15" t="s">
        <v>17</v>
      </c>
      <c r="D113" s="15">
        <v>4741.6899999999996</v>
      </c>
      <c r="E113" s="15" t="s">
        <v>20</v>
      </c>
      <c r="F113" s="15">
        <v>4749.34</v>
      </c>
      <c r="G113" s="15">
        <v>4724.03</v>
      </c>
      <c r="H113" s="15">
        <v>4772.1499999999996</v>
      </c>
      <c r="I113" s="15">
        <v>4668.6099999999997</v>
      </c>
      <c r="J113" s="15">
        <v>4797.91</v>
      </c>
      <c r="K113" s="15">
        <v>4772.78</v>
      </c>
      <c r="L113" s="15">
        <v>25.31</v>
      </c>
      <c r="M113" s="15">
        <v>0.54</v>
      </c>
      <c r="N113" s="15">
        <v>0</v>
      </c>
      <c r="O113" s="15">
        <v>9</v>
      </c>
      <c r="P113" s="15" t="s">
        <v>21</v>
      </c>
    </row>
    <row r="114" spans="1:16" x14ac:dyDescent="0.55000000000000004">
      <c r="A114" s="15">
        <v>1776903306</v>
      </c>
      <c r="B114" s="15" t="s">
        <v>16</v>
      </c>
      <c r="C114" s="15" t="s">
        <v>17</v>
      </c>
      <c r="D114" s="15">
        <v>4741.59</v>
      </c>
      <c r="E114" s="15" t="s">
        <v>18</v>
      </c>
      <c r="F114" s="15">
        <v>4694.34</v>
      </c>
      <c r="G114" s="15">
        <v>4749.34</v>
      </c>
      <c r="H114" s="15">
        <v>4724.03</v>
      </c>
      <c r="I114" s="15">
        <v>4772.1499999999996</v>
      </c>
      <c r="J114" s="15">
        <v>4668.6099999999997</v>
      </c>
      <c r="K114" s="15">
        <v>4797.91</v>
      </c>
      <c r="L114" s="15">
        <v>-55</v>
      </c>
      <c r="M114" s="15">
        <v>-1.1599999999999999</v>
      </c>
      <c r="N114" s="15">
        <v>3</v>
      </c>
      <c r="O114" s="15">
        <v>18</v>
      </c>
      <c r="P114" s="15" t="s">
        <v>19</v>
      </c>
    </row>
    <row r="115" spans="1:16" x14ac:dyDescent="0.55000000000000004">
      <c r="A115" s="15">
        <v>1776905106</v>
      </c>
      <c r="B115" s="15" t="s">
        <v>16</v>
      </c>
      <c r="C115" s="15" t="s">
        <v>17</v>
      </c>
      <c r="D115" s="15">
        <v>4748.05</v>
      </c>
      <c r="E115" s="15" t="s">
        <v>20</v>
      </c>
      <c r="F115" s="15">
        <v>4753.33</v>
      </c>
      <c r="G115" s="15">
        <v>4694.34</v>
      </c>
      <c r="H115" s="15">
        <v>4749.34</v>
      </c>
      <c r="I115" s="15">
        <v>4724.03</v>
      </c>
      <c r="J115" s="15">
        <v>4772.1499999999996</v>
      </c>
      <c r="K115" s="15">
        <v>4668.6099999999997</v>
      </c>
      <c r="L115" s="15">
        <v>58.99</v>
      </c>
      <c r="M115" s="15">
        <v>1.26</v>
      </c>
      <c r="N115" s="15">
        <v>0</v>
      </c>
      <c r="O115" s="15">
        <v>2</v>
      </c>
      <c r="P115" s="15" t="s">
        <v>23</v>
      </c>
    </row>
    <row r="116" spans="1:16" x14ac:dyDescent="0.55000000000000004">
      <c r="A116" s="15">
        <v>1776922206</v>
      </c>
      <c r="B116" s="15" t="s">
        <v>16</v>
      </c>
      <c r="C116" s="15" t="s">
        <v>17</v>
      </c>
      <c r="D116" s="15">
        <v>4701.58</v>
      </c>
      <c r="E116" s="15" t="s">
        <v>18</v>
      </c>
      <c r="F116" s="15">
        <v>4693.0600000000004</v>
      </c>
      <c r="G116" s="15">
        <v>4753.33</v>
      </c>
      <c r="H116" s="15">
        <v>4694.34</v>
      </c>
      <c r="I116" s="15">
        <v>4749.34</v>
      </c>
      <c r="J116" s="15">
        <v>4724.03</v>
      </c>
      <c r="K116" s="15">
        <v>4772.1499999999996</v>
      </c>
      <c r="L116" s="15">
        <v>-60.27</v>
      </c>
      <c r="M116" s="15">
        <v>-1.27</v>
      </c>
      <c r="N116" s="15">
        <v>3</v>
      </c>
      <c r="O116" s="15">
        <v>19</v>
      </c>
      <c r="P116" s="15" t="s">
        <v>19</v>
      </c>
    </row>
    <row r="117" spans="1:16" x14ac:dyDescent="0.55000000000000004">
      <c r="A117" s="15">
        <v>1776931206</v>
      </c>
      <c r="B117" s="15" t="s">
        <v>16</v>
      </c>
      <c r="C117" s="15" t="s">
        <v>17</v>
      </c>
      <c r="D117" s="15">
        <v>4718.21</v>
      </c>
      <c r="E117" s="15" t="s">
        <v>20</v>
      </c>
      <c r="F117" s="15">
        <v>4724.8900000000003</v>
      </c>
      <c r="G117" s="15">
        <v>4693.0600000000004</v>
      </c>
      <c r="H117" s="15">
        <v>4753.33</v>
      </c>
      <c r="I117" s="15">
        <v>4694.34</v>
      </c>
      <c r="J117" s="15">
        <v>4749.34</v>
      </c>
      <c r="K117" s="15">
        <v>4724.03</v>
      </c>
      <c r="L117" s="15">
        <v>31.83</v>
      </c>
      <c r="M117" s="15">
        <v>0.68</v>
      </c>
      <c r="N117" s="15">
        <v>0</v>
      </c>
      <c r="O117" s="15">
        <v>10</v>
      </c>
      <c r="P117" s="15" t="s">
        <v>21</v>
      </c>
    </row>
    <row r="118" spans="1:16" x14ac:dyDescent="0.55000000000000004">
      <c r="A118" s="15">
        <v>1776940206</v>
      </c>
      <c r="B118" s="15" t="s">
        <v>16</v>
      </c>
      <c r="C118" s="15" t="s">
        <v>17</v>
      </c>
      <c r="D118" s="15">
        <v>4690.7700000000004</v>
      </c>
      <c r="E118" s="15" t="s">
        <v>18</v>
      </c>
      <c r="F118" s="15">
        <v>4684.26</v>
      </c>
      <c r="G118" s="15">
        <v>4724.8900000000003</v>
      </c>
      <c r="H118" s="15">
        <v>4693.0600000000004</v>
      </c>
      <c r="I118" s="15">
        <v>4753.33</v>
      </c>
      <c r="J118" s="15">
        <v>4694.34</v>
      </c>
      <c r="K118" s="15">
        <v>4749.34</v>
      </c>
      <c r="L118" s="15">
        <v>-40.630000000000003</v>
      </c>
      <c r="M118" s="15">
        <v>-0.86</v>
      </c>
      <c r="N118" s="15">
        <v>3</v>
      </c>
      <c r="O118" s="15">
        <v>10</v>
      </c>
      <c r="P118" s="15" t="s">
        <v>19</v>
      </c>
    </row>
    <row r="119" spans="1:16" x14ac:dyDescent="0.55000000000000004">
      <c r="A119" s="15">
        <v>1776948306</v>
      </c>
      <c r="B119" s="15" t="s">
        <v>16</v>
      </c>
      <c r="C119" s="15" t="s">
        <v>17</v>
      </c>
      <c r="D119" s="15">
        <v>4740.04</v>
      </c>
      <c r="E119" s="15" t="s">
        <v>20</v>
      </c>
      <c r="F119" s="15">
        <v>4743.22</v>
      </c>
      <c r="G119" s="15">
        <v>4684.26</v>
      </c>
      <c r="H119" s="15">
        <v>4724.8900000000003</v>
      </c>
      <c r="I119" s="15">
        <v>4693.0600000000004</v>
      </c>
      <c r="J119" s="15">
        <v>4753.33</v>
      </c>
      <c r="K119" s="15">
        <v>4694.34</v>
      </c>
      <c r="L119" s="15">
        <v>58.96</v>
      </c>
      <c r="M119" s="15">
        <v>1.26</v>
      </c>
      <c r="N119" s="15">
        <v>0</v>
      </c>
      <c r="O119" s="15">
        <v>9</v>
      </c>
      <c r="P119" s="15" t="s">
        <v>23</v>
      </c>
    </row>
    <row r="120" spans="1:16" x14ac:dyDescent="0.55000000000000004">
      <c r="A120" s="15">
        <v>1776966306</v>
      </c>
      <c r="B120" s="15" t="s">
        <v>16</v>
      </c>
      <c r="C120" s="15" t="s">
        <v>17</v>
      </c>
      <c r="D120" s="15">
        <v>4709.41</v>
      </c>
      <c r="E120" s="15" t="s">
        <v>18</v>
      </c>
      <c r="F120" s="15">
        <v>4664.3</v>
      </c>
      <c r="G120" s="15">
        <v>4743.22</v>
      </c>
      <c r="H120" s="15">
        <v>4684.26</v>
      </c>
      <c r="I120" s="15">
        <v>4724.8900000000003</v>
      </c>
      <c r="J120" s="15">
        <v>4693.0600000000004</v>
      </c>
      <c r="K120" s="15">
        <v>4753.33</v>
      </c>
      <c r="L120" s="15">
        <v>-78.92</v>
      </c>
      <c r="M120" s="15">
        <v>-1.66</v>
      </c>
      <c r="N120" s="15">
        <v>3</v>
      </c>
      <c r="O120" s="15">
        <v>20</v>
      </c>
      <c r="P120" s="15" t="s">
        <v>19</v>
      </c>
    </row>
    <row r="121" spans="1:16" x14ac:dyDescent="0.55000000000000004">
      <c r="A121" s="15">
        <v>1776993306</v>
      </c>
      <c r="B121" s="15" t="s">
        <v>16</v>
      </c>
      <c r="C121" s="15" t="s">
        <v>17</v>
      </c>
      <c r="D121" s="15">
        <v>4698.41</v>
      </c>
      <c r="E121" s="15" t="s">
        <v>20</v>
      </c>
      <c r="F121" s="15">
        <v>4711.2299999999996</v>
      </c>
      <c r="G121" s="15">
        <v>4664.3</v>
      </c>
      <c r="H121" s="15">
        <v>4743.22</v>
      </c>
      <c r="I121" s="15">
        <v>4684.26</v>
      </c>
      <c r="J121" s="15">
        <v>4724.8900000000003</v>
      </c>
      <c r="K121" s="15">
        <v>4693.0600000000004</v>
      </c>
      <c r="L121" s="15">
        <v>46.93</v>
      </c>
      <c r="M121" s="15">
        <v>1.01</v>
      </c>
      <c r="N121" s="15">
        <v>0</v>
      </c>
      <c r="O121" s="15">
        <v>26</v>
      </c>
      <c r="P121" s="15" t="s">
        <v>21</v>
      </c>
    </row>
    <row r="122" spans="1:16" x14ac:dyDescent="0.55000000000000004">
      <c r="A122" s="15">
        <v>1777005006</v>
      </c>
      <c r="B122" s="15" t="s">
        <v>16</v>
      </c>
      <c r="C122" s="15" t="s">
        <v>17</v>
      </c>
      <c r="D122" s="15">
        <v>4668.58</v>
      </c>
      <c r="E122" s="15" t="s">
        <v>18</v>
      </c>
      <c r="F122" s="15">
        <v>4658.17</v>
      </c>
      <c r="G122" s="15">
        <v>4711.2299999999996</v>
      </c>
      <c r="H122" s="15">
        <v>4664.3</v>
      </c>
      <c r="I122" s="15">
        <v>4743.22</v>
      </c>
      <c r="J122" s="15">
        <v>4684.26</v>
      </c>
      <c r="K122" s="15">
        <v>4724.8900000000003</v>
      </c>
      <c r="L122" s="15">
        <v>-53.06</v>
      </c>
      <c r="M122" s="15">
        <v>-1.1299999999999999</v>
      </c>
      <c r="N122" s="15">
        <v>3</v>
      </c>
      <c r="O122" s="15">
        <v>13</v>
      </c>
      <c r="P122" s="15" t="s">
        <v>19</v>
      </c>
    </row>
    <row r="123" spans="1:16" x14ac:dyDescent="0.55000000000000004">
      <c r="A123" s="15">
        <v>1777018506</v>
      </c>
      <c r="B123" s="15" t="s">
        <v>16</v>
      </c>
      <c r="C123" s="15" t="s">
        <v>17</v>
      </c>
      <c r="D123" s="15">
        <v>4687.83</v>
      </c>
      <c r="E123" s="15" t="s">
        <v>20</v>
      </c>
      <c r="F123" s="15">
        <v>4697.42</v>
      </c>
      <c r="G123" s="15">
        <v>4658.17</v>
      </c>
      <c r="H123" s="15">
        <v>4711.2299999999996</v>
      </c>
      <c r="I123" s="15">
        <v>4664.3</v>
      </c>
      <c r="J123" s="15">
        <v>4743.22</v>
      </c>
      <c r="K123" s="15">
        <v>4684.26</v>
      </c>
      <c r="L123" s="15">
        <v>39.25</v>
      </c>
      <c r="M123" s="15">
        <v>0.84</v>
      </c>
      <c r="N123" s="15">
        <v>0</v>
      </c>
      <c r="O123" s="15">
        <v>15</v>
      </c>
      <c r="P123" s="15" t="s">
        <v>21</v>
      </c>
    </row>
    <row r="124" spans="1:16" x14ac:dyDescent="0.55000000000000004">
      <c r="A124" s="15">
        <v>1777026606</v>
      </c>
      <c r="B124" s="15" t="s">
        <v>16</v>
      </c>
      <c r="C124" s="15" t="s">
        <v>17</v>
      </c>
      <c r="D124" s="15">
        <v>4679.01</v>
      </c>
      <c r="E124" s="15" t="s">
        <v>18</v>
      </c>
      <c r="F124" s="15">
        <v>4674.72</v>
      </c>
      <c r="G124" s="15">
        <v>4697.42</v>
      </c>
      <c r="H124" s="15">
        <v>4658.17</v>
      </c>
      <c r="I124" s="15">
        <v>4711.2299999999996</v>
      </c>
      <c r="J124" s="15">
        <v>4664.3</v>
      </c>
      <c r="K124" s="15">
        <v>4743.22</v>
      </c>
      <c r="L124" s="15">
        <v>-22.7</v>
      </c>
      <c r="M124" s="15">
        <v>-0.48</v>
      </c>
      <c r="N124" s="15">
        <v>3</v>
      </c>
      <c r="O124" s="15">
        <v>9</v>
      </c>
      <c r="P124" s="15" t="s">
        <v>22</v>
      </c>
    </row>
    <row r="125" spans="1:16" x14ac:dyDescent="0.55000000000000004">
      <c r="A125" s="15">
        <v>1777039206</v>
      </c>
      <c r="B125" s="15" t="s">
        <v>16</v>
      </c>
      <c r="C125" s="15" t="s">
        <v>17</v>
      </c>
      <c r="D125" s="15">
        <v>4731.95</v>
      </c>
      <c r="E125" s="15" t="s">
        <v>20</v>
      </c>
      <c r="F125" s="15">
        <v>4740.49</v>
      </c>
      <c r="G125" s="15">
        <v>4674.72</v>
      </c>
      <c r="H125" s="15">
        <v>4697.42</v>
      </c>
      <c r="I125" s="15">
        <v>4658.17</v>
      </c>
      <c r="J125" s="15">
        <v>4711.2299999999996</v>
      </c>
      <c r="K125" s="15">
        <v>4664.3</v>
      </c>
      <c r="L125" s="15">
        <v>65.77</v>
      </c>
      <c r="M125" s="15">
        <v>1.41</v>
      </c>
      <c r="N125" s="15">
        <v>0</v>
      </c>
      <c r="O125" s="15">
        <v>14</v>
      </c>
      <c r="P125" s="15" t="s">
        <v>23</v>
      </c>
    </row>
    <row r="126" spans="1:16" x14ac:dyDescent="0.55000000000000004">
      <c r="A126" s="15">
        <v>1777248006</v>
      </c>
      <c r="B126" s="15" t="s">
        <v>16</v>
      </c>
      <c r="C126" s="15" t="s">
        <v>17</v>
      </c>
      <c r="D126" s="15">
        <v>4679.8599999999997</v>
      </c>
      <c r="E126" s="15" t="s">
        <v>18</v>
      </c>
      <c r="F126" s="15">
        <v>4672.3500000000004</v>
      </c>
      <c r="G126" s="15">
        <v>4740.49</v>
      </c>
      <c r="H126" s="15">
        <v>4674.72</v>
      </c>
      <c r="I126" s="15">
        <v>4697.42</v>
      </c>
      <c r="J126" s="15">
        <v>4658.17</v>
      </c>
      <c r="K126" s="15">
        <v>4711.2299999999996</v>
      </c>
      <c r="L126" s="15">
        <v>-68.14</v>
      </c>
      <c r="M126" s="15">
        <v>-1.44</v>
      </c>
      <c r="N126" s="15">
        <v>3</v>
      </c>
      <c r="O126" s="15">
        <v>36</v>
      </c>
      <c r="P126" s="15" t="s">
        <v>19</v>
      </c>
    </row>
    <row r="127" spans="1:16" x14ac:dyDescent="0.55000000000000004">
      <c r="A127" s="15">
        <v>1777264206</v>
      </c>
      <c r="B127" s="15" t="s">
        <v>16</v>
      </c>
      <c r="C127" s="15" t="s">
        <v>17</v>
      </c>
      <c r="D127" s="15">
        <v>4726.18</v>
      </c>
      <c r="E127" s="15" t="s">
        <v>20</v>
      </c>
      <c r="F127" s="15">
        <v>4729.92</v>
      </c>
      <c r="G127" s="15">
        <v>4672.3500000000004</v>
      </c>
      <c r="H127" s="15">
        <v>4740.49</v>
      </c>
      <c r="I127" s="15">
        <v>4674.72</v>
      </c>
      <c r="J127" s="15">
        <v>4697.42</v>
      </c>
      <c r="K127" s="15">
        <v>4658.17</v>
      </c>
      <c r="L127" s="15">
        <v>57.57</v>
      </c>
      <c r="M127" s="15">
        <v>1.23</v>
      </c>
      <c r="N127" s="15">
        <v>0</v>
      </c>
      <c r="O127" s="15">
        <v>18</v>
      </c>
      <c r="P127" s="15" t="s">
        <v>21</v>
      </c>
    </row>
    <row r="128" spans="1:16" x14ac:dyDescent="0.55000000000000004">
      <c r="A128" s="15">
        <v>1777282206</v>
      </c>
      <c r="B128" s="15" t="s">
        <v>16</v>
      </c>
      <c r="C128" s="15" t="s">
        <v>17</v>
      </c>
      <c r="D128" s="15">
        <v>4704.6400000000003</v>
      </c>
      <c r="E128" s="15" t="s">
        <v>18</v>
      </c>
      <c r="F128" s="15">
        <v>4699.29</v>
      </c>
      <c r="G128" s="15">
        <v>4729.92</v>
      </c>
      <c r="H128" s="15">
        <v>4672.3500000000004</v>
      </c>
      <c r="I128" s="15">
        <v>4740.49</v>
      </c>
      <c r="J128" s="15">
        <v>4674.72</v>
      </c>
      <c r="K128" s="15">
        <v>4697.42</v>
      </c>
      <c r="L128" s="15">
        <v>-30.63</v>
      </c>
      <c r="M128" s="15">
        <v>-0.65</v>
      </c>
      <c r="N128" s="15">
        <v>3</v>
      </c>
      <c r="O128" s="15">
        <v>20</v>
      </c>
      <c r="P128" s="15" t="s">
        <v>22</v>
      </c>
    </row>
    <row r="129" spans="1:16" x14ac:dyDescent="0.55000000000000004">
      <c r="A129" s="15">
        <v>1777292106</v>
      </c>
      <c r="B129" s="15" t="s">
        <v>16</v>
      </c>
      <c r="C129" s="15" t="s">
        <v>17</v>
      </c>
      <c r="D129" s="15">
        <v>4707.09</v>
      </c>
      <c r="E129" s="15" t="s">
        <v>20</v>
      </c>
      <c r="F129" s="15">
        <v>4712.59</v>
      </c>
      <c r="G129" s="15">
        <v>4699.29</v>
      </c>
      <c r="H129" s="15">
        <v>4729.92</v>
      </c>
      <c r="I129" s="15">
        <v>4672.3500000000004</v>
      </c>
      <c r="J129" s="15">
        <v>4740.49</v>
      </c>
      <c r="K129" s="15">
        <v>4674.72</v>
      </c>
      <c r="L129" s="15">
        <v>13.3</v>
      </c>
      <c r="M129" s="15">
        <v>0.28000000000000003</v>
      </c>
      <c r="N129" s="15">
        <v>0</v>
      </c>
      <c r="O129" s="15">
        <v>11</v>
      </c>
      <c r="P129" s="15" t="s">
        <v>21</v>
      </c>
    </row>
    <row r="130" spans="1:16" x14ac:dyDescent="0.55000000000000004">
      <c r="A130" s="15">
        <v>1777302006</v>
      </c>
      <c r="B130" s="15" t="s">
        <v>16</v>
      </c>
      <c r="C130" s="15" t="s">
        <v>17</v>
      </c>
      <c r="D130" s="15">
        <v>4674.6499999999996</v>
      </c>
      <c r="E130" s="15" t="s">
        <v>18</v>
      </c>
      <c r="F130" s="15">
        <v>4667.32</v>
      </c>
      <c r="G130" s="15">
        <v>4712.59</v>
      </c>
      <c r="H130" s="15">
        <v>4699.29</v>
      </c>
      <c r="I130" s="15">
        <v>4729.92</v>
      </c>
      <c r="J130" s="15">
        <v>4672.3500000000004</v>
      </c>
      <c r="K130" s="15">
        <v>4740.49</v>
      </c>
      <c r="L130" s="15">
        <v>-45.27</v>
      </c>
      <c r="M130" s="15">
        <v>-0.96</v>
      </c>
      <c r="N130" s="15">
        <v>3</v>
      </c>
      <c r="O130" s="15">
        <v>11</v>
      </c>
      <c r="P130" s="15" t="s">
        <v>19</v>
      </c>
    </row>
    <row r="131" spans="1:16" x14ac:dyDescent="0.55000000000000004">
      <c r="A131" s="15">
        <v>1777334406</v>
      </c>
      <c r="B131" s="15" t="s">
        <v>16</v>
      </c>
      <c r="C131" s="15" t="s">
        <v>17</v>
      </c>
      <c r="D131" s="15">
        <v>4697.91</v>
      </c>
      <c r="E131" s="15" t="s">
        <v>20</v>
      </c>
      <c r="F131" s="15">
        <v>4701.1400000000003</v>
      </c>
      <c r="G131" s="15">
        <v>4667.32</v>
      </c>
      <c r="H131" s="15">
        <v>4712.59</v>
      </c>
      <c r="I131" s="15">
        <v>4699.29</v>
      </c>
      <c r="J131" s="15">
        <v>4729.92</v>
      </c>
      <c r="K131" s="15">
        <v>4672.3500000000004</v>
      </c>
      <c r="L131" s="15">
        <v>33.82</v>
      </c>
      <c r="M131" s="15">
        <v>0.72</v>
      </c>
      <c r="N131" s="15">
        <v>0</v>
      </c>
      <c r="O131" s="15">
        <v>32</v>
      </c>
      <c r="P131" s="15" t="s">
        <v>21</v>
      </c>
    </row>
    <row r="132" spans="1:16" x14ac:dyDescent="0.55000000000000004">
      <c r="A132" s="15">
        <v>1777377606</v>
      </c>
      <c r="B132" s="15" t="s">
        <v>16</v>
      </c>
      <c r="C132" s="15" t="s">
        <v>17</v>
      </c>
      <c r="D132" s="15">
        <v>4581.7299999999996</v>
      </c>
      <c r="E132" s="15" t="s">
        <v>18</v>
      </c>
      <c r="F132" s="15">
        <v>4555.12</v>
      </c>
      <c r="G132" s="15">
        <v>4701.1400000000003</v>
      </c>
      <c r="H132" s="15">
        <v>4667.32</v>
      </c>
      <c r="I132" s="15">
        <v>4712.59</v>
      </c>
      <c r="J132" s="15">
        <v>4699.29</v>
      </c>
      <c r="K132" s="15">
        <v>4729.92</v>
      </c>
      <c r="L132" s="15">
        <v>-146.02000000000001</v>
      </c>
      <c r="M132" s="15">
        <v>-3.11</v>
      </c>
      <c r="N132" s="15">
        <v>5</v>
      </c>
      <c r="O132" s="15">
        <v>48</v>
      </c>
      <c r="P132" s="15" t="s">
        <v>19</v>
      </c>
    </row>
    <row r="133" spans="1:16" x14ac:dyDescent="0.55000000000000004">
      <c r="A133" s="15">
        <v>1777397406</v>
      </c>
      <c r="B133" s="15" t="s">
        <v>16</v>
      </c>
      <c r="C133" s="15" t="s">
        <v>17</v>
      </c>
      <c r="D133" s="15">
        <v>4599.0200000000004</v>
      </c>
      <c r="E133" s="15" t="s">
        <v>20</v>
      </c>
      <c r="F133" s="15">
        <v>4601.49</v>
      </c>
      <c r="G133" s="15">
        <v>4555.12</v>
      </c>
      <c r="H133" s="15">
        <v>4701.1400000000003</v>
      </c>
      <c r="I133" s="15">
        <v>4667.32</v>
      </c>
      <c r="J133" s="15">
        <v>4712.59</v>
      </c>
      <c r="K133" s="15">
        <v>4699.29</v>
      </c>
      <c r="L133" s="15">
        <v>46.37</v>
      </c>
      <c r="M133" s="15">
        <v>1.02</v>
      </c>
      <c r="N133" s="15">
        <v>0</v>
      </c>
      <c r="O133" s="15">
        <v>22</v>
      </c>
      <c r="P133" s="15" t="s">
        <v>21</v>
      </c>
    </row>
    <row r="134" spans="1:16" x14ac:dyDescent="0.55000000000000004">
      <c r="A134" s="15">
        <v>1777419006</v>
      </c>
      <c r="B134" s="15" t="s">
        <v>16</v>
      </c>
      <c r="C134" s="15" t="s">
        <v>17</v>
      </c>
      <c r="D134" s="15">
        <v>4589.91</v>
      </c>
      <c r="E134" s="15" t="s">
        <v>18</v>
      </c>
      <c r="F134" s="15">
        <v>4587.93</v>
      </c>
      <c r="G134" s="15">
        <v>4601.49</v>
      </c>
      <c r="H134" s="15">
        <v>4555.12</v>
      </c>
      <c r="I134" s="15">
        <v>4701.1400000000003</v>
      </c>
      <c r="J134" s="15">
        <v>4667.32</v>
      </c>
      <c r="K134" s="15">
        <v>4712.59</v>
      </c>
      <c r="L134" s="15">
        <v>-13.56</v>
      </c>
      <c r="M134" s="15">
        <v>-0.28999999999999998</v>
      </c>
      <c r="N134" s="15">
        <v>3</v>
      </c>
      <c r="O134" s="15">
        <v>20</v>
      </c>
      <c r="P134" s="15" t="s">
        <v>22</v>
      </c>
    </row>
    <row r="135" spans="1:16" x14ac:dyDescent="0.55000000000000004">
      <c r="A135" s="15">
        <v>1777420806</v>
      </c>
      <c r="B135" s="15" t="s">
        <v>16</v>
      </c>
      <c r="C135" s="15" t="s">
        <v>17</v>
      </c>
      <c r="D135" s="15">
        <v>4607.37</v>
      </c>
      <c r="E135" s="15" t="s">
        <v>20</v>
      </c>
      <c r="F135" s="15">
        <v>4610.1499999999996</v>
      </c>
      <c r="G135" s="15">
        <v>4587.93</v>
      </c>
      <c r="H135" s="15">
        <v>4601.49</v>
      </c>
      <c r="I135" s="15">
        <v>4555.12</v>
      </c>
      <c r="J135" s="15">
        <v>4701.1400000000003</v>
      </c>
      <c r="K135" s="15">
        <v>4667.32</v>
      </c>
      <c r="L135" s="15">
        <v>22.22</v>
      </c>
      <c r="M135" s="15">
        <v>0.48</v>
      </c>
      <c r="N135" s="15">
        <v>0</v>
      </c>
      <c r="O135" s="15">
        <v>2</v>
      </c>
      <c r="P135" s="15" t="s">
        <v>23</v>
      </c>
    </row>
    <row r="136" spans="1:16" x14ac:dyDescent="0.55000000000000004">
      <c r="A136" s="15">
        <v>1777424406</v>
      </c>
      <c r="B136" s="15" t="s">
        <v>16</v>
      </c>
      <c r="C136" s="15" t="s">
        <v>17</v>
      </c>
      <c r="D136" s="15">
        <v>4582.6499999999996</v>
      </c>
      <c r="E136" s="15" t="s">
        <v>18</v>
      </c>
      <c r="F136" s="15">
        <v>4575.84</v>
      </c>
      <c r="G136" s="15">
        <v>4610.1499999999996</v>
      </c>
      <c r="H136" s="15">
        <v>4587.93</v>
      </c>
      <c r="I136" s="15">
        <v>4601.49</v>
      </c>
      <c r="J136" s="15">
        <v>4555.12</v>
      </c>
      <c r="K136" s="15">
        <v>4701.1400000000003</v>
      </c>
      <c r="L136" s="15">
        <v>-34.31</v>
      </c>
      <c r="M136" s="15">
        <v>-0.74</v>
      </c>
      <c r="N136" s="15">
        <v>3</v>
      </c>
      <c r="O136" s="15">
        <v>4</v>
      </c>
      <c r="P136" s="15" t="s">
        <v>19</v>
      </c>
    </row>
    <row r="137" spans="1:16" x14ac:dyDescent="0.55000000000000004">
      <c r="A137" s="15">
        <v>1777438806</v>
      </c>
      <c r="B137" s="15" t="s">
        <v>16</v>
      </c>
      <c r="C137" s="15" t="s">
        <v>17</v>
      </c>
      <c r="D137" s="15">
        <v>4601.1499999999996</v>
      </c>
      <c r="E137" s="15" t="s">
        <v>20</v>
      </c>
      <c r="F137" s="15">
        <v>4607.7700000000004</v>
      </c>
      <c r="G137" s="15">
        <v>4575.84</v>
      </c>
      <c r="H137" s="15">
        <v>4610.1499999999996</v>
      </c>
      <c r="I137" s="15">
        <v>4587.93</v>
      </c>
      <c r="J137" s="15">
        <v>4601.49</v>
      </c>
      <c r="K137" s="15">
        <v>4555.12</v>
      </c>
      <c r="L137" s="15">
        <v>31.93</v>
      </c>
      <c r="M137" s="15">
        <v>0.7</v>
      </c>
      <c r="N137" s="15">
        <v>0</v>
      </c>
      <c r="O137" s="15">
        <v>16</v>
      </c>
      <c r="P137" s="15" t="s">
        <v>21</v>
      </c>
    </row>
    <row r="138" spans="1:16" x14ac:dyDescent="0.55000000000000004">
      <c r="A138" s="15">
        <v>1777470306</v>
      </c>
      <c r="B138" s="15" t="s">
        <v>16</v>
      </c>
      <c r="C138" s="15" t="s">
        <v>17</v>
      </c>
      <c r="D138" s="15">
        <v>4521.71</v>
      </c>
      <c r="E138" s="15" t="s">
        <v>18</v>
      </c>
      <c r="F138" s="15">
        <v>4510.28</v>
      </c>
      <c r="G138" s="15">
        <v>4607.7700000000004</v>
      </c>
      <c r="H138" s="15">
        <v>4575.84</v>
      </c>
      <c r="I138" s="15">
        <v>4610.1499999999996</v>
      </c>
      <c r="J138" s="15">
        <v>4587.93</v>
      </c>
      <c r="K138" s="15">
        <v>4601.49</v>
      </c>
      <c r="L138" s="15">
        <v>-97.49</v>
      </c>
      <c r="M138" s="15">
        <v>-2.12</v>
      </c>
      <c r="N138" s="15">
        <v>4</v>
      </c>
      <c r="O138" s="15">
        <v>35</v>
      </c>
      <c r="P138" s="15" t="s">
        <v>19</v>
      </c>
    </row>
    <row r="139" spans="1:16" x14ac:dyDescent="0.55000000000000004">
      <c r="A139" s="15">
        <v>1777478406</v>
      </c>
      <c r="B139" s="15" t="s">
        <v>16</v>
      </c>
      <c r="C139" s="15" t="s">
        <v>17</v>
      </c>
      <c r="D139" s="15">
        <v>4559.1000000000004</v>
      </c>
      <c r="E139" s="15" t="s">
        <v>20</v>
      </c>
      <c r="F139" s="15">
        <v>4564.75</v>
      </c>
      <c r="G139" s="15">
        <v>4510.28</v>
      </c>
      <c r="H139" s="15">
        <v>4607.7700000000004</v>
      </c>
      <c r="I139" s="15">
        <v>4575.84</v>
      </c>
      <c r="J139" s="15">
        <v>4610.1499999999996</v>
      </c>
      <c r="K139" s="15">
        <v>4587.93</v>
      </c>
      <c r="L139" s="15">
        <v>54.47</v>
      </c>
      <c r="M139" s="15">
        <v>1.21</v>
      </c>
      <c r="N139" s="15">
        <v>0</v>
      </c>
      <c r="O139" s="15">
        <v>9</v>
      </c>
      <c r="P139" s="15" t="s">
        <v>21</v>
      </c>
    </row>
    <row r="140" spans="1:16" x14ac:dyDescent="0.55000000000000004">
      <c r="A140" s="15">
        <v>1777488306</v>
      </c>
      <c r="B140" s="15" t="s">
        <v>16</v>
      </c>
      <c r="C140" s="15" t="s">
        <v>17</v>
      </c>
      <c r="D140" s="15">
        <v>4538.1899999999996</v>
      </c>
      <c r="E140" s="15" t="s">
        <v>18</v>
      </c>
      <c r="F140" s="15">
        <v>4518.41</v>
      </c>
      <c r="G140" s="15">
        <v>4564.75</v>
      </c>
      <c r="H140" s="15">
        <v>4510.28</v>
      </c>
      <c r="I140" s="15">
        <v>4607.7700000000004</v>
      </c>
      <c r="J140" s="15">
        <v>4575.84</v>
      </c>
      <c r="K140" s="15">
        <v>4610.1499999999996</v>
      </c>
      <c r="L140" s="15">
        <v>-46.34</v>
      </c>
      <c r="M140" s="15">
        <v>-1.02</v>
      </c>
      <c r="N140" s="15">
        <v>3</v>
      </c>
      <c r="O140" s="15">
        <v>11</v>
      </c>
      <c r="P140" s="15" t="s">
        <v>22</v>
      </c>
    </row>
    <row r="141" spans="1:16" x14ac:dyDescent="0.55000000000000004">
      <c r="A141" s="15">
        <v>1777513506</v>
      </c>
      <c r="B141" s="15" t="s">
        <v>16</v>
      </c>
      <c r="C141" s="15" t="s">
        <v>17</v>
      </c>
      <c r="D141" s="15">
        <v>4579.13</v>
      </c>
      <c r="E141" s="15" t="s">
        <v>20</v>
      </c>
      <c r="F141" s="15">
        <v>4582.32</v>
      </c>
      <c r="G141" s="15">
        <v>4518.41</v>
      </c>
      <c r="H141" s="15">
        <v>4564.75</v>
      </c>
      <c r="I141" s="15">
        <v>4510.28</v>
      </c>
      <c r="J141" s="15">
        <v>4607.7700000000004</v>
      </c>
      <c r="K141" s="15">
        <v>4575.84</v>
      </c>
      <c r="L141" s="15">
        <v>63.91</v>
      </c>
      <c r="M141" s="15">
        <v>1.41</v>
      </c>
      <c r="N141" s="15">
        <v>0</v>
      </c>
      <c r="O141" s="15">
        <v>24</v>
      </c>
      <c r="P141" s="15" t="s">
        <v>23</v>
      </c>
    </row>
    <row r="142" spans="1:16" x14ac:dyDescent="0.55000000000000004">
      <c r="A142" s="15">
        <v>1777523406</v>
      </c>
      <c r="B142" s="15" t="s">
        <v>16</v>
      </c>
      <c r="C142" s="15" t="s">
        <v>17</v>
      </c>
      <c r="D142" s="15">
        <v>4544.74</v>
      </c>
      <c r="E142" s="15" t="s">
        <v>18</v>
      </c>
      <c r="F142" s="15">
        <v>4540.82</v>
      </c>
      <c r="G142" s="15">
        <v>4582.32</v>
      </c>
      <c r="H142" s="15">
        <v>4518.41</v>
      </c>
      <c r="I142" s="15">
        <v>4564.75</v>
      </c>
      <c r="J142" s="15">
        <v>4510.28</v>
      </c>
      <c r="K142" s="15">
        <v>4607.7700000000004</v>
      </c>
      <c r="L142" s="15">
        <v>-41.5</v>
      </c>
      <c r="M142" s="15">
        <v>-0.91</v>
      </c>
      <c r="N142" s="15">
        <v>3</v>
      </c>
      <c r="O142" s="15">
        <v>11</v>
      </c>
      <c r="P142" s="15" t="s">
        <v>22</v>
      </c>
    </row>
    <row r="143" spans="1:16" x14ac:dyDescent="0.55000000000000004">
      <c r="A143" s="15">
        <v>1777545006</v>
      </c>
      <c r="B143" s="15" t="s">
        <v>16</v>
      </c>
      <c r="C143" s="15" t="s">
        <v>17</v>
      </c>
      <c r="D143" s="15">
        <v>4636.62</v>
      </c>
      <c r="E143" s="15" t="s">
        <v>20</v>
      </c>
      <c r="F143" s="15">
        <v>4647.1000000000004</v>
      </c>
      <c r="G143" s="15">
        <v>4540.82</v>
      </c>
      <c r="H143" s="15">
        <v>4582.32</v>
      </c>
      <c r="I143" s="15">
        <v>4518.41</v>
      </c>
      <c r="J143" s="15">
        <v>4564.75</v>
      </c>
      <c r="K143" s="15">
        <v>4510.28</v>
      </c>
      <c r="L143" s="15">
        <v>106.28</v>
      </c>
      <c r="M143" s="15">
        <v>2.34</v>
      </c>
      <c r="N143" s="15">
        <v>1</v>
      </c>
      <c r="O143" s="15">
        <v>24</v>
      </c>
      <c r="P143" s="15" t="s">
        <v>23</v>
      </c>
    </row>
    <row r="144" spans="1:16" x14ac:dyDescent="0.55000000000000004">
      <c r="A144" s="15">
        <v>1777567506</v>
      </c>
      <c r="B144" s="15" t="s">
        <v>16</v>
      </c>
      <c r="C144" s="15" t="s">
        <v>17</v>
      </c>
      <c r="D144" s="15">
        <v>4607.62</v>
      </c>
      <c r="E144" s="15" t="s">
        <v>18</v>
      </c>
      <c r="F144" s="15">
        <v>4605.5600000000004</v>
      </c>
      <c r="G144" s="15">
        <v>4647.1000000000004</v>
      </c>
      <c r="H144" s="15">
        <v>4540.82</v>
      </c>
      <c r="I144" s="15">
        <v>4582.32</v>
      </c>
      <c r="J144" s="15">
        <v>4518.41</v>
      </c>
      <c r="K144" s="15">
        <v>4564.75</v>
      </c>
      <c r="L144" s="15">
        <v>-41.54</v>
      </c>
      <c r="M144" s="15">
        <v>-0.89</v>
      </c>
      <c r="N144" s="15">
        <v>3</v>
      </c>
      <c r="O144" s="15">
        <v>25</v>
      </c>
      <c r="P144" s="15" t="s">
        <v>22</v>
      </c>
    </row>
    <row r="145" spans="1:16" x14ac:dyDescent="0.55000000000000004">
      <c r="A145" s="15">
        <v>1777591806</v>
      </c>
      <c r="B145" s="15" t="s">
        <v>16</v>
      </c>
      <c r="C145" s="15" t="s">
        <v>17</v>
      </c>
      <c r="D145" s="15">
        <v>4631.3100000000004</v>
      </c>
      <c r="E145" s="15" t="s">
        <v>20</v>
      </c>
      <c r="F145" s="15">
        <v>4634.1400000000003</v>
      </c>
      <c r="G145" s="15">
        <v>4605.5600000000004</v>
      </c>
      <c r="H145" s="15">
        <v>4647.1000000000004</v>
      </c>
      <c r="I145" s="15">
        <v>4540.82</v>
      </c>
      <c r="J145" s="15">
        <v>4582.32</v>
      </c>
      <c r="K145" s="15">
        <v>4518.41</v>
      </c>
      <c r="L145" s="15">
        <v>28.58</v>
      </c>
      <c r="M145" s="15">
        <v>0.62</v>
      </c>
      <c r="N145" s="15">
        <v>0</v>
      </c>
      <c r="O145" s="15">
        <v>23</v>
      </c>
      <c r="P145" s="15" t="s">
        <v>21</v>
      </c>
    </row>
    <row r="146" spans="1:16" x14ac:dyDescent="0.55000000000000004">
      <c r="A146" s="15">
        <v>1777598106</v>
      </c>
      <c r="B146" s="15" t="s">
        <v>16</v>
      </c>
      <c r="C146" s="15" t="s">
        <v>17</v>
      </c>
      <c r="D146" s="15">
        <v>4616.68</v>
      </c>
      <c r="E146" s="15" t="s">
        <v>18</v>
      </c>
      <c r="F146" s="15">
        <v>4614.2700000000004</v>
      </c>
      <c r="G146" s="15">
        <v>4634.1400000000003</v>
      </c>
      <c r="H146" s="15">
        <v>4605.5600000000004</v>
      </c>
      <c r="I146" s="15">
        <v>4647.1000000000004</v>
      </c>
      <c r="J146" s="15">
        <v>4540.82</v>
      </c>
      <c r="K146" s="15">
        <v>4582.32</v>
      </c>
      <c r="L146" s="15">
        <v>-19.87</v>
      </c>
      <c r="M146" s="15">
        <v>-0.43</v>
      </c>
      <c r="N146" s="15">
        <v>3</v>
      </c>
      <c r="O146" s="15">
        <v>7</v>
      </c>
      <c r="P146" s="15" t="s">
        <v>22</v>
      </c>
    </row>
    <row r="147" spans="1:16" x14ac:dyDescent="0.55000000000000004">
      <c r="A147" s="15">
        <v>1777601706</v>
      </c>
      <c r="B147" s="15" t="s">
        <v>16</v>
      </c>
      <c r="C147" s="15" t="s">
        <v>17</v>
      </c>
      <c r="D147" s="15">
        <v>4629.3900000000003</v>
      </c>
      <c r="E147" s="15" t="s">
        <v>20</v>
      </c>
      <c r="F147" s="15">
        <v>4635.83</v>
      </c>
      <c r="G147" s="15">
        <v>4614.2700000000004</v>
      </c>
      <c r="H147" s="15">
        <v>4634.1400000000003</v>
      </c>
      <c r="I147" s="15">
        <v>4605.5600000000004</v>
      </c>
      <c r="J147" s="15">
        <v>4647.1000000000004</v>
      </c>
      <c r="K147" s="15">
        <v>4540.82</v>
      </c>
      <c r="L147" s="15">
        <v>21.56</v>
      </c>
      <c r="M147" s="15">
        <v>0.47</v>
      </c>
      <c r="N147" s="15">
        <v>0</v>
      </c>
      <c r="O147" s="15">
        <v>4</v>
      </c>
      <c r="P147" s="15" t="s">
        <v>23</v>
      </c>
    </row>
    <row r="148" spans="1:16" x14ac:dyDescent="0.55000000000000004">
      <c r="A148" s="15">
        <v>1777628706</v>
      </c>
      <c r="B148" s="15" t="s">
        <v>16</v>
      </c>
      <c r="C148" s="15" t="s">
        <v>17</v>
      </c>
      <c r="D148" s="15">
        <v>4563.12</v>
      </c>
      <c r="E148" s="15" t="s">
        <v>18</v>
      </c>
      <c r="F148" s="15">
        <v>4560.4399999999996</v>
      </c>
      <c r="G148" s="15">
        <v>4635.83</v>
      </c>
      <c r="H148" s="15">
        <v>4614.2700000000004</v>
      </c>
      <c r="I148" s="15">
        <v>4634.1400000000003</v>
      </c>
      <c r="J148" s="15">
        <v>4605.5600000000004</v>
      </c>
      <c r="K148" s="15">
        <v>4647.1000000000004</v>
      </c>
      <c r="L148" s="15">
        <v>-75.39</v>
      </c>
      <c r="M148" s="15">
        <v>-1.63</v>
      </c>
      <c r="N148" s="15">
        <v>3</v>
      </c>
      <c r="O148" s="15">
        <v>30</v>
      </c>
      <c r="P148" s="15" t="s">
        <v>19</v>
      </c>
    </row>
    <row r="149" spans="1:16" x14ac:dyDescent="0.55000000000000004">
      <c r="A149" s="15">
        <v>1777644906</v>
      </c>
      <c r="B149" s="15" t="s">
        <v>16</v>
      </c>
      <c r="C149" s="15" t="s">
        <v>17</v>
      </c>
      <c r="D149" s="15">
        <v>4644.67</v>
      </c>
      <c r="E149" s="15" t="s">
        <v>20</v>
      </c>
      <c r="F149" s="15">
        <v>4660.32</v>
      </c>
      <c r="G149" s="15">
        <v>4560.4399999999996</v>
      </c>
      <c r="H149" s="15">
        <v>4635.83</v>
      </c>
      <c r="I149" s="15">
        <v>4614.2700000000004</v>
      </c>
      <c r="J149" s="15">
        <v>4634.1400000000003</v>
      </c>
      <c r="K149" s="15">
        <v>4605.5600000000004</v>
      </c>
      <c r="L149" s="15">
        <v>99.88</v>
      </c>
      <c r="M149" s="15">
        <v>2.19</v>
      </c>
      <c r="N149" s="15">
        <v>1</v>
      </c>
      <c r="O149" s="15">
        <v>18</v>
      </c>
      <c r="P149" s="15" t="s">
        <v>23</v>
      </c>
    </row>
    <row r="150" spans="1:16" x14ac:dyDescent="0.55000000000000004">
      <c r="A150" s="15">
        <v>1777665606</v>
      </c>
      <c r="B150" s="15" t="s">
        <v>16</v>
      </c>
      <c r="C150" s="15" t="s">
        <v>17</v>
      </c>
      <c r="D150" s="15">
        <v>4611.41</v>
      </c>
      <c r="E150" s="15" t="s">
        <v>18</v>
      </c>
      <c r="F150" s="15">
        <v>4607.09</v>
      </c>
      <c r="G150" s="15">
        <v>4660.32</v>
      </c>
      <c r="H150" s="15">
        <v>4560.4399999999996</v>
      </c>
      <c r="I150" s="15">
        <v>4635.83</v>
      </c>
      <c r="J150" s="15">
        <v>4614.2700000000004</v>
      </c>
      <c r="K150" s="15">
        <v>4634.1400000000003</v>
      </c>
      <c r="L150" s="15">
        <v>-53.23</v>
      </c>
      <c r="M150" s="15">
        <v>-1.1399999999999999</v>
      </c>
      <c r="N150" s="15">
        <v>3</v>
      </c>
      <c r="O150" s="15">
        <v>23</v>
      </c>
      <c r="P150" s="15" t="s">
        <v>22</v>
      </c>
    </row>
    <row r="151" spans="1:16" x14ac:dyDescent="0.55000000000000004">
      <c r="A151" s="15">
        <v>1777845606</v>
      </c>
      <c r="B151" s="15" t="s">
        <v>16</v>
      </c>
      <c r="C151" s="15" t="s">
        <v>17</v>
      </c>
      <c r="D151" s="15">
        <v>4623.1099999999997</v>
      </c>
      <c r="E151" s="15" t="s">
        <v>20</v>
      </c>
      <c r="F151" s="15">
        <v>4632.1099999999997</v>
      </c>
      <c r="G151" s="15">
        <v>4607.09</v>
      </c>
      <c r="H151" s="15">
        <v>4660.32</v>
      </c>
      <c r="I151" s="15">
        <v>4560.4399999999996</v>
      </c>
      <c r="J151" s="15">
        <v>4635.83</v>
      </c>
      <c r="K151" s="15">
        <v>4614.2700000000004</v>
      </c>
      <c r="L151" s="15">
        <v>25.02</v>
      </c>
      <c r="M151" s="15">
        <v>0.54</v>
      </c>
      <c r="N151" s="15">
        <v>0</v>
      </c>
      <c r="O151" s="15">
        <v>4</v>
      </c>
      <c r="P151" s="15" t="s">
        <v>21</v>
      </c>
    </row>
    <row r="152" spans="1:16" x14ac:dyDescent="0.55000000000000004">
      <c r="A152" s="15">
        <v>1777858206</v>
      </c>
      <c r="B152" s="15" t="s">
        <v>16</v>
      </c>
      <c r="C152" s="15" t="s">
        <v>17</v>
      </c>
      <c r="D152" s="15">
        <v>4601.59</v>
      </c>
      <c r="E152" s="15" t="s">
        <v>18</v>
      </c>
      <c r="F152" s="15">
        <v>4592.93</v>
      </c>
      <c r="G152" s="15">
        <v>4632.1099999999997</v>
      </c>
      <c r="H152" s="15">
        <v>4607.09</v>
      </c>
      <c r="I152" s="15">
        <v>4660.32</v>
      </c>
      <c r="J152" s="15">
        <v>4560.4399999999996</v>
      </c>
      <c r="K152" s="15">
        <v>4635.83</v>
      </c>
      <c r="L152" s="15">
        <v>-39.18</v>
      </c>
      <c r="M152" s="15">
        <v>-0.85</v>
      </c>
      <c r="N152" s="15">
        <v>3</v>
      </c>
      <c r="O152" s="15">
        <v>14</v>
      </c>
      <c r="P152" s="15" t="s">
        <v>19</v>
      </c>
    </row>
    <row r="153" spans="1:16" x14ac:dyDescent="0.55000000000000004">
      <c r="A153" s="15">
        <v>1777860006</v>
      </c>
      <c r="B153" s="15" t="s">
        <v>16</v>
      </c>
      <c r="C153" s="15" t="s">
        <v>17</v>
      </c>
      <c r="D153" s="15">
        <v>4608.34</v>
      </c>
      <c r="E153" s="15" t="s">
        <v>20</v>
      </c>
      <c r="F153" s="15">
        <v>4618.59</v>
      </c>
      <c r="G153" s="15">
        <v>4592.93</v>
      </c>
      <c r="H153" s="15">
        <v>4632.1099999999997</v>
      </c>
      <c r="I153" s="15">
        <v>4607.09</v>
      </c>
      <c r="J153" s="15">
        <v>4660.32</v>
      </c>
      <c r="K153" s="15">
        <v>4560.4399999999996</v>
      </c>
      <c r="L153" s="15">
        <v>25.66</v>
      </c>
      <c r="M153" s="15">
        <v>0.56000000000000005</v>
      </c>
      <c r="N153" s="15">
        <v>0</v>
      </c>
      <c r="O153" s="15">
        <v>2</v>
      </c>
      <c r="P153" s="15" t="s">
        <v>21</v>
      </c>
    </row>
    <row r="154" spans="1:16" x14ac:dyDescent="0.55000000000000004">
      <c r="A154" s="15">
        <v>1777889706</v>
      </c>
      <c r="B154" s="15" t="s">
        <v>16</v>
      </c>
      <c r="C154" s="15" t="s">
        <v>17</v>
      </c>
      <c r="D154" s="15">
        <v>4545</v>
      </c>
      <c r="E154" s="15" t="s">
        <v>18</v>
      </c>
      <c r="F154" s="15">
        <v>4526.3999999999996</v>
      </c>
      <c r="G154" s="15">
        <v>4618.59</v>
      </c>
      <c r="H154" s="15">
        <v>4592.93</v>
      </c>
      <c r="I154" s="15">
        <v>4632.1099999999997</v>
      </c>
      <c r="J154" s="15">
        <v>4607.09</v>
      </c>
      <c r="K154" s="15">
        <v>4660.32</v>
      </c>
      <c r="L154" s="15">
        <v>-92.19</v>
      </c>
      <c r="M154" s="15">
        <v>-2</v>
      </c>
      <c r="N154" s="15">
        <v>4</v>
      </c>
      <c r="O154" s="15">
        <v>33</v>
      </c>
      <c r="P154" s="15" t="s">
        <v>19</v>
      </c>
    </row>
    <row r="155" spans="1:16" x14ac:dyDescent="0.55000000000000004">
      <c r="A155" s="15">
        <v>1777905006</v>
      </c>
      <c r="B155" s="15" t="s">
        <v>16</v>
      </c>
      <c r="C155" s="15" t="s">
        <v>17</v>
      </c>
      <c r="D155" s="15">
        <v>4574.38</v>
      </c>
      <c r="E155" s="15" t="s">
        <v>20</v>
      </c>
      <c r="F155" s="15">
        <v>4583.16</v>
      </c>
      <c r="G155" s="15">
        <v>4526.3999999999996</v>
      </c>
      <c r="H155" s="15">
        <v>4618.59</v>
      </c>
      <c r="I155" s="15">
        <v>4592.93</v>
      </c>
      <c r="J155" s="15">
        <v>4632.1099999999997</v>
      </c>
      <c r="K155" s="15">
        <v>4607.09</v>
      </c>
      <c r="L155" s="15">
        <v>56.76</v>
      </c>
      <c r="M155" s="15">
        <v>1.25</v>
      </c>
      <c r="N155" s="15">
        <v>0</v>
      </c>
      <c r="O155" s="15">
        <v>17</v>
      </c>
      <c r="P155" s="15" t="s">
        <v>21</v>
      </c>
    </row>
    <row r="156" spans="1:16" x14ac:dyDescent="0.55000000000000004">
      <c r="A156" s="15">
        <v>1777910406</v>
      </c>
      <c r="B156" s="15" t="s">
        <v>16</v>
      </c>
      <c r="C156" s="15" t="s">
        <v>17</v>
      </c>
      <c r="D156" s="15">
        <v>4509.88</v>
      </c>
      <c r="E156" s="15" t="s">
        <v>18</v>
      </c>
      <c r="F156" s="15">
        <v>4500.8599999999997</v>
      </c>
      <c r="G156" s="15">
        <v>4583.16</v>
      </c>
      <c r="H156" s="15">
        <v>4526.3999999999996</v>
      </c>
      <c r="I156" s="15">
        <v>4618.59</v>
      </c>
      <c r="J156" s="15">
        <v>4592.93</v>
      </c>
      <c r="K156" s="15">
        <v>4632.1099999999997</v>
      </c>
      <c r="L156" s="15">
        <v>-82.3</v>
      </c>
      <c r="M156" s="15">
        <v>-1.8</v>
      </c>
      <c r="N156" s="15">
        <v>3</v>
      </c>
      <c r="O156" s="15">
        <v>6</v>
      </c>
      <c r="P156" s="15" t="s">
        <v>19</v>
      </c>
    </row>
    <row r="157" spans="1:16" x14ac:dyDescent="0.55000000000000004">
      <c r="A157" s="15">
        <v>1777939206</v>
      </c>
      <c r="B157" s="15" t="s">
        <v>16</v>
      </c>
      <c r="C157" s="15" t="s">
        <v>17</v>
      </c>
      <c r="D157" s="15">
        <v>4527.7700000000004</v>
      </c>
      <c r="E157" s="15" t="s">
        <v>20</v>
      </c>
      <c r="F157" s="15">
        <v>4528.57</v>
      </c>
      <c r="G157" s="15">
        <v>4500.8599999999997</v>
      </c>
      <c r="H157" s="15">
        <v>4583.16</v>
      </c>
      <c r="I157" s="15">
        <v>4526.3999999999996</v>
      </c>
      <c r="J157" s="15">
        <v>4618.59</v>
      </c>
      <c r="K157" s="15">
        <v>4592.93</v>
      </c>
      <c r="L157" s="15">
        <v>27.71</v>
      </c>
      <c r="M157" s="15">
        <v>0.62</v>
      </c>
      <c r="N157" s="15">
        <v>0</v>
      </c>
      <c r="O157" s="15">
        <v>28</v>
      </c>
      <c r="P157" s="15" t="s">
        <v>21</v>
      </c>
    </row>
    <row r="158" spans="1:16" x14ac:dyDescent="0.55000000000000004">
      <c r="A158" s="15">
        <v>1777940106</v>
      </c>
      <c r="B158" s="15" t="s">
        <v>16</v>
      </c>
      <c r="C158" s="15" t="s">
        <v>17</v>
      </c>
      <c r="D158" s="15">
        <v>4517.12</v>
      </c>
      <c r="E158" s="15" t="s">
        <v>18</v>
      </c>
      <c r="F158" s="15">
        <v>4513.5600000000004</v>
      </c>
      <c r="G158" s="15">
        <v>4528.57</v>
      </c>
      <c r="H158" s="15">
        <v>4500.8599999999997</v>
      </c>
      <c r="I158" s="15">
        <v>4583.16</v>
      </c>
      <c r="J158" s="15">
        <v>4526.3999999999996</v>
      </c>
      <c r="K158" s="15">
        <v>4618.59</v>
      </c>
      <c r="L158" s="15">
        <v>-15.01</v>
      </c>
      <c r="M158" s="15">
        <v>-0.33</v>
      </c>
      <c r="N158" s="15">
        <v>3</v>
      </c>
      <c r="O158" s="15">
        <v>1</v>
      </c>
      <c r="P158" s="15" t="s">
        <v>22</v>
      </c>
    </row>
    <row r="159" spans="1:16" x14ac:dyDescent="0.55000000000000004">
      <c r="A159" s="15">
        <v>1777949106</v>
      </c>
      <c r="B159" s="15" t="s">
        <v>16</v>
      </c>
      <c r="C159" s="15" t="s">
        <v>17</v>
      </c>
      <c r="D159" s="15">
        <v>4539.17</v>
      </c>
      <c r="E159" s="15" t="s">
        <v>20</v>
      </c>
      <c r="F159" s="15">
        <v>4546.78</v>
      </c>
      <c r="G159" s="15">
        <v>4513.5600000000004</v>
      </c>
      <c r="H159" s="15">
        <v>4528.57</v>
      </c>
      <c r="I159" s="15">
        <v>4500.8599999999997</v>
      </c>
      <c r="J159" s="15">
        <v>4583.16</v>
      </c>
      <c r="K159" s="15">
        <v>4526.3999999999996</v>
      </c>
      <c r="L159" s="15">
        <v>33.22</v>
      </c>
      <c r="M159" s="15">
        <v>0.74</v>
      </c>
      <c r="N159" s="15">
        <v>0</v>
      </c>
      <c r="O159" s="15">
        <v>10</v>
      </c>
      <c r="P159" s="15" t="s">
        <v>23</v>
      </c>
    </row>
    <row r="160" spans="1:16" x14ac:dyDescent="0.55000000000000004">
      <c r="A160" s="15">
        <v>1777955406</v>
      </c>
      <c r="B160" s="15" t="s">
        <v>16</v>
      </c>
      <c r="C160" s="15" t="s">
        <v>17</v>
      </c>
      <c r="D160" s="15">
        <v>4531.71</v>
      </c>
      <c r="E160" s="15" t="s">
        <v>18</v>
      </c>
      <c r="F160" s="15">
        <v>4527.8900000000003</v>
      </c>
      <c r="G160" s="15">
        <v>4546.78</v>
      </c>
      <c r="H160" s="15">
        <v>4513.5600000000004</v>
      </c>
      <c r="I160" s="15">
        <v>4528.57</v>
      </c>
      <c r="J160" s="15">
        <v>4500.8599999999997</v>
      </c>
      <c r="K160" s="15">
        <v>4583.16</v>
      </c>
      <c r="L160" s="15">
        <v>-18.89</v>
      </c>
      <c r="M160" s="15">
        <v>-0.42</v>
      </c>
      <c r="N160" s="15">
        <v>3</v>
      </c>
      <c r="O160" s="15">
        <v>7</v>
      </c>
      <c r="P160" s="15" t="s">
        <v>22</v>
      </c>
    </row>
    <row r="161" spans="1:16" x14ac:dyDescent="0.55000000000000004">
      <c r="A161" s="15">
        <v>1777971606</v>
      </c>
      <c r="B161" s="15" t="s">
        <v>16</v>
      </c>
      <c r="C161" s="15" t="s">
        <v>17</v>
      </c>
      <c r="D161" s="15">
        <v>4557.6099999999997</v>
      </c>
      <c r="E161" s="15" t="s">
        <v>20</v>
      </c>
      <c r="F161" s="15">
        <v>4560.53</v>
      </c>
      <c r="G161" s="15">
        <v>4527.8900000000003</v>
      </c>
      <c r="H161" s="15">
        <v>4546.78</v>
      </c>
      <c r="I161" s="15">
        <v>4513.5600000000004</v>
      </c>
      <c r="J161" s="15">
        <v>4528.57</v>
      </c>
      <c r="K161" s="15">
        <v>4500.8599999999997</v>
      </c>
      <c r="L161" s="15">
        <v>32.64</v>
      </c>
      <c r="M161" s="15">
        <v>0.72</v>
      </c>
      <c r="N161" s="15">
        <v>0</v>
      </c>
      <c r="O161" s="15">
        <v>18</v>
      </c>
      <c r="P161" s="15" t="s">
        <v>23</v>
      </c>
    </row>
    <row r="162" spans="1:16" x14ac:dyDescent="0.55000000000000004">
      <c r="A162" s="15">
        <v>1777978806</v>
      </c>
      <c r="B162" s="15" t="s">
        <v>16</v>
      </c>
      <c r="C162" s="15" t="s">
        <v>17</v>
      </c>
      <c r="D162" s="15">
        <v>4552.62</v>
      </c>
      <c r="E162" s="15" t="s">
        <v>18</v>
      </c>
      <c r="F162" s="15">
        <v>4540</v>
      </c>
      <c r="G162" s="15">
        <v>4560.53</v>
      </c>
      <c r="H162" s="15">
        <v>4527.8900000000003</v>
      </c>
      <c r="I162" s="15">
        <v>4546.78</v>
      </c>
      <c r="J162" s="15">
        <v>4513.5600000000004</v>
      </c>
      <c r="K162" s="15">
        <v>4528.57</v>
      </c>
      <c r="L162" s="15">
        <v>-20.53</v>
      </c>
      <c r="M162" s="15">
        <v>-0.45</v>
      </c>
      <c r="N162" s="15">
        <v>3</v>
      </c>
      <c r="O162" s="15">
        <v>8</v>
      </c>
      <c r="P162" s="15" t="s">
        <v>22</v>
      </c>
    </row>
    <row r="163" spans="1:16" x14ac:dyDescent="0.55000000000000004">
      <c r="A163" s="15">
        <v>1777990506</v>
      </c>
      <c r="B163" s="15" t="s">
        <v>16</v>
      </c>
      <c r="C163" s="15" t="s">
        <v>17</v>
      </c>
      <c r="D163" s="15">
        <v>4584.37</v>
      </c>
      <c r="E163" s="15" t="s">
        <v>20</v>
      </c>
      <c r="F163" s="15">
        <v>4586.5600000000004</v>
      </c>
      <c r="G163" s="15">
        <v>4540</v>
      </c>
      <c r="H163" s="15">
        <v>4560.53</v>
      </c>
      <c r="I163" s="15">
        <v>4527.8900000000003</v>
      </c>
      <c r="J163" s="15">
        <v>4546.78</v>
      </c>
      <c r="K163" s="15">
        <v>4513.5600000000004</v>
      </c>
      <c r="L163" s="15">
        <v>46.56</v>
      </c>
      <c r="M163" s="15">
        <v>1.03</v>
      </c>
      <c r="N163" s="15">
        <v>0</v>
      </c>
      <c r="O163" s="15">
        <v>13</v>
      </c>
      <c r="P163" s="15" t="s">
        <v>23</v>
      </c>
    </row>
    <row r="164" spans="1:16" x14ac:dyDescent="0.55000000000000004">
      <c r="A164" s="15">
        <v>1778020206</v>
      </c>
      <c r="B164" s="15" t="s">
        <v>16</v>
      </c>
      <c r="C164" s="15" t="s">
        <v>17</v>
      </c>
      <c r="D164" s="15">
        <v>4548.82</v>
      </c>
      <c r="E164" s="15" t="s">
        <v>18</v>
      </c>
      <c r="F164" s="15">
        <v>4546.3100000000004</v>
      </c>
      <c r="G164" s="15">
        <v>4586.5600000000004</v>
      </c>
      <c r="H164" s="15">
        <v>4540</v>
      </c>
      <c r="I164" s="15">
        <v>4560.53</v>
      </c>
      <c r="J164" s="15">
        <v>4527.8900000000003</v>
      </c>
      <c r="K164" s="15">
        <v>4546.78</v>
      </c>
      <c r="L164" s="15">
        <v>-40.25</v>
      </c>
      <c r="M164" s="15">
        <v>-0.88</v>
      </c>
      <c r="N164" s="15">
        <v>3</v>
      </c>
      <c r="O164" s="15">
        <v>29</v>
      </c>
      <c r="P164" s="15" t="s">
        <v>22</v>
      </c>
    </row>
    <row r="165" spans="1:16" x14ac:dyDescent="0.55000000000000004">
      <c r="A165" s="15">
        <v>1778064306</v>
      </c>
      <c r="B165" s="15" t="s">
        <v>16</v>
      </c>
      <c r="C165" s="15" t="s">
        <v>17</v>
      </c>
      <c r="D165" s="15">
        <v>4718.25</v>
      </c>
      <c r="E165" s="15" t="s">
        <v>20</v>
      </c>
      <c r="F165" s="15">
        <v>4722.76</v>
      </c>
      <c r="G165" s="15">
        <v>4546.3100000000004</v>
      </c>
      <c r="H165" s="15">
        <v>4586.5600000000004</v>
      </c>
      <c r="I165" s="15">
        <v>4540</v>
      </c>
      <c r="J165" s="15">
        <v>4560.53</v>
      </c>
      <c r="K165" s="15">
        <v>4527.8900000000003</v>
      </c>
      <c r="L165" s="15">
        <v>176.45</v>
      </c>
      <c r="M165" s="15">
        <v>3.88</v>
      </c>
      <c r="N165" s="15">
        <v>2</v>
      </c>
      <c r="O165" s="15">
        <v>49</v>
      </c>
      <c r="P165" s="15" t="s">
        <v>23</v>
      </c>
    </row>
    <row r="166" spans="1:16" x14ac:dyDescent="0.55000000000000004">
      <c r="A166" s="15">
        <v>1778069706</v>
      </c>
      <c r="B166" s="15" t="s">
        <v>16</v>
      </c>
      <c r="C166" s="15" t="s">
        <v>17</v>
      </c>
      <c r="D166" s="15">
        <v>4683.3599999999997</v>
      </c>
      <c r="E166" s="15" t="s">
        <v>18</v>
      </c>
      <c r="F166" s="15">
        <v>4660.71</v>
      </c>
      <c r="G166" s="15">
        <v>4722.76</v>
      </c>
      <c r="H166" s="15">
        <v>4546.3100000000004</v>
      </c>
      <c r="I166" s="15">
        <v>4586.5600000000004</v>
      </c>
      <c r="J166" s="15">
        <v>4540</v>
      </c>
      <c r="K166" s="15">
        <v>4560.53</v>
      </c>
      <c r="L166" s="15">
        <v>-62.05</v>
      </c>
      <c r="M166" s="15">
        <v>-1.31</v>
      </c>
      <c r="N166" s="15">
        <v>3</v>
      </c>
      <c r="O166" s="15">
        <v>6</v>
      </c>
      <c r="P166" s="15" t="s">
        <v>22</v>
      </c>
    </row>
    <row r="167" spans="1:16" x14ac:dyDescent="0.55000000000000004">
      <c r="A167" s="15">
        <v>1778076906</v>
      </c>
      <c r="B167" s="15" t="s">
        <v>16</v>
      </c>
      <c r="C167" s="15" t="s">
        <v>17</v>
      </c>
      <c r="D167" s="15">
        <v>4705.66</v>
      </c>
      <c r="E167" s="15" t="s">
        <v>20</v>
      </c>
      <c r="F167" s="15">
        <v>4717.43</v>
      </c>
      <c r="G167" s="15">
        <v>4660.71</v>
      </c>
      <c r="H167" s="15">
        <v>4722.76</v>
      </c>
      <c r="I167" s="15">
        <v>4546.3100000000004</v>
      </c>
      <c r="J167" s="15">
        <v>4586.5600000000004</v>
      </c>
      <c r="K167" s="15">
        <v>4540</v>
      </c>
      <c r="L167" s="15">
        <v>56.72</v>
      </c>
      <c r="M167" s="15">
        <v>1.22</v>
      </c>
      <c r="N167" s="15">
        <v>0</v>
      </c>
      <c r="O167" s="15">
        <v>8</v>
      </c>
      <c r="P167" s="15" t="s">
        <v>21</v>
      </c>
    </row>
    <row r="168" spans="1:16" x14ac:dyDescent="0.55000000000000004">
      <c r="A168" s="15">
        <v>1778088606</v>
      </c>
      <c r="B168" s="15" t="s">
        <v>16</v>
      </c>
      <c r="C168" s="15" t="s">
        <v>17</v>
      </c>
      <c r="D168" s="15">
        <v>4680.6400000000003</v>
      </c>
      <c r="E168" s="15" t="s">
        <v>18</v>
      </c>
      <c r="F168" s="15">
        <v>4678.99</v>
      </c>
      <c r="G168" s="15">
        <v>4717.43</v>
      </c>
      <c r="H168" s="15">
        <v>4660.71</v>
      </c>
      <c r="I168" s="15">
        <v>4722.76</v>
      </c>
      <c r="J168" s="15">
        <v>4546.3100000000004</v>
      </c>
      <c r="K168" s="15">
        <v>4586.5600000000004</v>
      </c>
      <c r="L168" s="15">
        <v>-38.44</v>
      </c>
      <c r="M168" s="15">
        <v>-0.81</v>
      </c>
      <c r="N168" s="15">
        <v>3</v>
      </c>
      <c r="O168" s="15">
        <v>13</v>
      </c>
      <c r="P168" s="15" t="s">
        <v>22</v>
      </c>
    </row>
    <row r="169" spans="1:16" x14ac:dyDescent="0.55000000000000004">
      <c r="A169" s="15">
        <v>1778112906</v>
      </c>
      <c r="B169" s="15" t="s">
        <v>16</v>
      </c>
      <c r="C169" s="15" t="s">
        <v>17</v>
      </c>
      <c r="D169" s="15">
        <v>4692.51</v>
      </c>
      <c r="E169" s="15" t="s">
        <v>20</v>
      </c>
      <c r="F169" s="15">
        <v>4701.18</v>
      </c>
      <c r="G169" s="15">
        <v>4678.99</v>
      </c>
      <c r="H169" s="15">
        <v>4717.43</v>
      </c>
      <c r="I169" s="15">
        <v>4660.71</v>
      </c>
      <c r="J169" s="15">
        <v>4722.76</v>
      </c>
      <c r="K169" s="15">
        <v>4546.3100000000004</v>
      </c>
      <c r="L169" s="15">
        <v>22.19</v>
      </c>
      <c r="M169" s="15">
        <v>0.47</v>
      </c>
      <c r="N169" s="15">
        <v>0</v>
      </c>
      <c r="O169" s="15">
        <v>23</v>
      </c>
      <c r="P169" s="15" t="s">
        <v>21</v>
      </c>
    </row>
    <row r="170" spans="1:16" x14ac:dyDescent="0.55000000000000004">
      <c r="A170" s="15">
        <v>1778114706</v>
      </c>
      <c r="B170" s="15" t="s">
        <v>16</v>
      </c>
      <c r="C170" s="15" t="s">
        <v>17</v>
      </c>
      <c r="D170" s="15">
        <v>4688.57</v>
      </c>
      <c r="E170" s="15" t="s">
        <v>18</v>
      </c>
      <c r="F170" s="15">
        <v>4685.59</v>
      </c>
      <c r="G170" s="15">
        <v>4701.18</v>
      </c>
      <c r="H170" s="15">
        <v>4678.99</v>
      </c>
      <c r="I170" s="15">
        <v>4717.43</v>
      </c>
      <c r="J170" s="15">
        <v>4660.71</v>
      </c>
      <c r="K170" s="15">
        <v>4722.76</v>
      </c>
      <c r="L170" s="15">
        <v>-15.59</v>
      </c>
      <c r="M170" s="15">
        <v>-0.33</v>
      </c>
      <c r="N170" s="15">
        <v>3</v>
      </c>
      <c r="O170" s="15">
        <v>2</v>
      </c>
      <c r="P170" s="15" t="s">
        <v>22</v>
      </c>
    </row>
    <row r="171" spans="1:16" x14ac:dyDescent="0.55000000000000004">
      <c r="A171" s="15">
        <v>1778118306</v>
      </c>
      <c r="B171" s="15" t="s">
        <v>16</v>
      </c>
      <c r="C171" s="15" t="s">
        <v>17</v>
      </c>
      <c r="D171" s="15">
        <v>4714.8599999999997</v>
      </c>
      <c r="E171" s="15" t="s">
        <v>20</v>
      </c>
      <c r="F171" s="15">
        <v>4721.4399999999996</v>
      </c>
      <c r="G171" s="15">
        <v>4685.59</v>
      </c>
      <c r="H171" s="15">
        <v>4701.18</v>
      </c>
      <c r="I171" s="15">
        <v>4678.99</v>
      </c>
      <c r="J171" s="15">
        <v>4717.43</v>
      </c>
      <c r="K171" s="15">
        <v>4660.71</v>
      </c>
      <c r="L171" s="15">
        <v>35.85</v>
      </c>
      <c r="M171" s="15">
        <v>0.77</v>
      </c>
      <c r="N171" s="15">
        <v>0</v>
      </c>
      <c r="O171" s="15">
        <v>4</v>
      </c>
      <c r="P171" s="15" t="s">
        <v>23</v>
      </c>
    </row>
    <row r="172" spans="1:16" x14ac:dyDescent="0.55000000000000004">
      <c r="A172" s="15">
        <v>1778123001</v>
      </c>
      <c r="B172" s="15" t="s">
        <v>16</v>
      </c>
      <c r="C172" s="15" t="s">
        <v>17</v>
      </c>
      <c r="D172" s="15">
        <v>4706.42</v>
      </c>
      <c r="E172" s="15" t="s">
        <v>18</v>
      </c>
      <c r="F172" s="15">
        <v>4700.0200000000004</v>
      </c>
      <c r="G172" s="15">
        <v>4721.4399999999996</v>
      </c>
      <c r="H172" s="15">
        <v>4685.59</v>
      </c>
      <c r="I172" s="15">
        <v>4701.18</v>
      </c>
      <c r="J172" s="15">
        <v>4678.99</v>
      </c>
      <c r="K172" s="15">
        <v>4717.43</v>
      </c>
      <c r="L172" s="15">
        <v>-21.42</v>
      </c>
      <c r="M172" s="15">
        <v>-0.45</v>
      </c>
      <c r="N172" s="15">
        <v>3</v>
      </c>
      <c r="O172" s="15">
        <v>5</v>
      </c>
      <c r="P172" s="15" t="s">
        <v>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2"/>
  <sheetViews>
    <sheetView zoomScale="60" zoomScaleNormal="60" workbookViewId="0">
      <selection activeCell="V12" sqref="V12"/>
    </sheetView>
  </sheetViews>
  <sheetFormatPr defaultColWidth="8.83984375" defaultRowHeight="14.4" x14ac:dyDescent="0.55000000000000004"/>
  <cols>
    <col min="1" max="1" width="10.68359375" style="15" customWidth="1"/>
    <col min="2" max="3" width="8.83984375" style="15"/>
    <col min="4" max="4" width="7.68359375" style="15" customWidth="1"/>
    <col min="5" max="5" width="6.734375" style="15" customWidth="1"/>
    <col min="6" max="6" width="11" style="15" customWidth="1"/>
    <col min="7" max="7" width="11.5234375" style="15" customWidth="1"/>
    <col min="8" max="8" width="11.26171875" style="15" customWidth="1"/>
    <col min="9" max="9" width="15.41796875" style="15" customWidth="1"/>
    <col min="10" max="10" width="10.41796875" style="15" customWidth="1"/>
    <col min="11" max="11" width="14.5234375" style="15" customWidth="1"/>
    <col min="12" max="12" width="14" style="15" customWidth="1"/>
    <col min="13" max="13" width="18.1015625" style="15" customWidth="1"/>
    <col min="14" max="14" width="11.26171875" style="15" customWidth="1"/>
    <col min="15" max="15" width="14.1015625" style="15" customWidth="1"/>
    <col min="16" max="16384" width="8.83984375" style="15"/>
  </cols>
  <sheetData>
    <row r="1" spans="1:15" x14ac:dyDescent="0.5500000000000000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35</v>
      </c>
      <c r="H1" s="15" t="s">
        <v>47</v>
      </c>
      <c r="I1" s="15" t="s">
        <v>59</v>
      </c>
      <c r="J1" s="15" t="s">
        <v>71</v>
      </c>
      <c r="K1" s="15" t="s">
        <v>83</v>
      </c>
      <c r="L1" s="15" t="s">
        <v>95</v>
      </c>
      <c r="M1" s="15" t="s">
        <v>107</v>
      </c>
      <c r="N1" s="15" t="s">
        <v>119</v>
      </c>
      <c r="O1" s="15" t="s">
        <v>131</v>
      </c>
    </row>
    <row r="2" spans="1:15" x14ac:dyDescent="0.55000000000000004">
      <c r="A2" s="15">
        <v>1774250106</v>
      </c>
      <c r="B2" s="15" t="s">
        <v>16</v>
      </c>
      <c r="C2" s="15" t="s">
        <v>17</v>
      </c>
      <c r="D2" s="15">
        <v>4135.63</v>
      </c>
      <c r="E2" s="15" t="s">
        <v>18</v>
      </c>
      <c r="F2" s="15">
        <v>4098.6899999999996</v>
      </c>
      <c r="G2" s="15">
        <v>-636.09</v>
      </c>
      <c r="H2" s="15">
        <v>-13.43</v>
      </c>
      <c r="I2" s="15">
        <v>5</v>
      </c>
      <c r="J2" s="15">
        <v>88</v>
      </c>
      <c r="K2" s="15">
        <v>5</v>
      </c>
      <c r="L2" s="15">
        <v>-7.2282999999999999</v>
      </c>
      <c r="M2" s="15">
        <v>3</v>
      </c>
      <c r="N2" s="15">
        <v>-82.123400000000004</v>
      </c>
      <c r="O2" s="15" t="s">
        <v>19</v>
      </c>
    </row>
    <row r="3" spans="1:15" x14ac:dyDescent="0.55000000000000004">
      <c r="A3" s="15">
        <v>1774275306</v>
      </c>
      <c r="B3" s="15" t="s">
        <v>16</v>
      </c>
      <c r="C3" s="15" t="s">
        <v>17</v>
      </c>
      <c r="D3" s="15">
        <v>4486.9799999999996</v>
      </c>
      <c r="E3" s="15" t="s">
        <v>20</v>
      </c>
      <c r="F3" s="15">
        <v>4512.91</v>
      </c>
      <c r="G3" s="15">
        <v>414.22</v>
      </c>
      <c r="H3" s="15">
        <v>10.11</v>
      </c>
      <c r="I3" s="15">
        <v>2</v>
      </c>
      <c r="J3" s="15">
        <v>28</v>
      </c>
      <c r="K3" s="15">
        <v>0</v>
      </c>
      <c r="L3" s="15">
        <v>14.793570000000001</v>
      </c>
      <c r="M3" s="15">
        <v>2</v>
      </c>
      <c r="N3" s="15">
        <v>86.132900000000006</v>
      </c>
      <c r="O3" s="15" t="s">
        <v>21</v>
      </c>
    </row>
    <row r="4" spans="1:15" x14ac:dyDescent="0.55000000000000004">
      <c r="A4" s="15">
        <v>1774280706</v>
      </c>
      <c r="B4" s="15" t="s">
        <v>16</v>
      </c>
      <c r="C4" s="15" t="s">
        <v>17</v>
      </c>
      <c r="D4" s="15">
        <v>4364.25</v>
      </c>
      <c r="E4" s="15" t="s">
        <v>18</v>
      </c>
      <c r="F4" s="15">
        <v>4351.03</v>
      </c>
      <c r="G4" s="15">
        <v>-161.88</v>
      </c>
      <c r="H4" s="15">
        <v>-3.59</v>
      </c>
      <c r="I4" s="15">
        <v>3</v>
      </c>
      <c r="J4" s="15">
        <v>6</v>
      </c>
      <c r="K4" s="15">
        <v>3</v>
      </c>
      <c r="L4" s="15">
        <v>-26.98</v>
      </c>
      <c r="M4" s="15">
        <v>5</v>
      </c>
      <c r="N4" s="15">
        <v>-87.877300000000005</v>
      </c>
      <c r="O4" s="15" t="s">
        <v>22</v>
      </c>
    </row>
    <row r="5" spans="1:15" x14ac:dyDescent="0.55000000000000004">
      <c r="A5" s="15">
        <v>1774291506</v>
      </c>
      <c r="B5" s="15" t="s">
        <v>16</v>
      </c>
      <c r="C5" s="15" t="s">
        <v>17</v>
      </c>
      <c r="D5" s="15">
        <v>4448.9799999999996</v>
      </c>
      <c r="E5" s="15" t="s">
        <v>20</v>
      </c>
      <c r="F5" s="15">
        <v>4467.12</v>
      </c>
      <c r="G5" s="15">
        <v>116.09</v>
      </c>
      <c r="H5" s="15">
        <v>2.67</v>
      </c>
      <c r="I5" s="15">
        <v>0</v>
      </c>
      <c r="J5" s="15">
        <v>12</v>
      </c>
      <c r="K5" s="15">
        <v>0</v>
      </c>
      <c r="L5" s="15">
        <v>9.6741700000000002</v>
      </c>
      <c r="M5" s="15">
        <v>0</v>
      </c>
      <c r="N5" s="15">
        <v>84.098399999999998</v>
      </c>
      <c r="O5" s="15" t="s">
        <v>21</v>
      </c>
    </row>
    <row r="6" spans="1:15" x14ac:dyDescent="0.55000000000000004">
      <c r="A6" s="15">
        <v>1774303206</v>
      </c>
      <c r="B6" s="15" t="s">
        <v>16</v>
      </c>
      <c r="C6" s="15" t="s">
        <v>17</v>
      </c>
      <c r="D6" s="15">
        <v>4398.29</v>
      </c>
      <c r="E6" s="15" t="s">
        <v>18</v>
      </c>
      <c r="F6" s="15">
        <v>4360.47</v>
      </c>
      <c r="G6" s="15">
        <v>-106.65</v>
      </c>
      <c r="H6" s="15">
        <v>-2.39</v>
      </c>
      <c r="I6" s="15">
        <v>3</v>
      </c>
      <c r="J6" s="15">
        <v>9</v>
      </c>
      <c r="K6" s="15">
        <v>3</v>
      </c>
      <c r="L6" s="15">
        <v>-11.85</v>
      </c>
      <c r="M6" s="15">
        <v>3</v>
      </c>
      <c r="N6" s="15">
        <v>-85.176299999999998</v>
      </c>
      <c r="O6" s="15" t="s">
        <v>22</v>
      </c>
    </row>
    <row r="7" spans="1:15" x14ac:dyDescent="0.55000000000000004">
      <c r="A7" s="15">
        <v>1774307706</v>
      </c>
      <c r="B7" s="15" t="s">
        <v>16</v>
      </c>
      <c r="C7" s="15" t="s">
        <v>17</v>
      </c>
      <c r="D7" s="15">
        <v>4441.71</v>
      </c>
      <c r="E7" s="15" t="s">
        <v>20</v>
      </c>
      <c r="F7" s="15">
        <v>4448.04</v>
      </c>
      <c r="G7" s="15">
        <v>87.57</v>
      </c>
      <c r="H7" s="15">
        <v>2.0099999999999998</v>
      </c>
      <c r="I7" s="15">
        <v>0</v>
      </c>
      <c r="J7" s="15">
        <v>5</v>
      </c>
      <c r="K7" s="15">
        <v>0</v>
      </c>
      <c r="L7" s="15">
        <v>17.513999999999999</v>
      </c>
      <c r="M7" s="15">
        <v>2</v>
      </c>
      <c r="N7" s="15">
        <v>86.732100000000003</v>
      </c>
      <c r="O7" s="15" t="s">
        <v>21</v>
      </c>
    </row>
    <row r="8" spans="1:15" x14ac:dyDescent="0.55000000000000004">
      <c r="A8" s="15">
        <v>1774317606</v>
      </c>
      <c r="B8" s="15" t="s">
        <v>16</v>
      </c>
      <c r="C8" s="15" t="s">
        <v>17</v>
      </c>
      <c r="D8" s="15">
        <v>4312.34</v>
      </c>
      <c r="E8" s="15" t="s">
        <v>18</v>
      </c>
      <c r="F8" s="15">
        <v>4306.09</v>
      </c>
      <c r="G8" s="15">
        <v>-141.94999999999999</v>
      </c>
      <c r="H8" s="15">
        <v>-3.19</v>
      </c>
      <c r="I8" s="15">
        <v>3</v>
      </c>
      <c r="J8" s="15">
        <v>11</v>
      </c>
      <c r="K8" s="15">
        <v>3</v>
      </c>
      <c r="L8" s="15">
        <v>-12.90455</v>
      </c>
      <c r="M8" s="15">
        <v>4</v>
      </c>
      <c r="N8" s="15">
        <v>-85.568899999999999</v>
      </c>
      <c r="O8" s="15" t="s">
        <v>19</v>
      </c>
    </row>
    <row r="9" spans="1:15" x14ac:dyDescent="0.55000000000000004">
      <c r="A9" s="15">
        <v>1774349106</v>
      </c>
      <c r="B9" s="15" t="s">
        <v>16</v>
      </c>
      <c r="C9" s="15" t="s">
        <v>17</v>
      </c>
      <c r="D9" s="15">
        <v>4438.66</v>
      </c>
      <c r="E9" s="15" t="s">
        <v>20</v>
      </c>
      <c r="F9" s="15">
        <v>4441.87</v>
      </c>
      <c r="G9" s="15">
        <v>135.78</v>
      </c>
      <c r="H9" s="15">
        <v>3.15</v>
      </c>
      <c r="I9" s="15">
        <v>0</v>
      </c>
      <c r="J9" s="15">
        <v>35</v>
      </c>
      <c r="K9" s="15">
        <v>0</v>
      </c>
      <c r="L9" s="15">
        <v>3.8794300000000002</v>
      </c>
      <c r="M9" s="15">
        <v>0</v>
      </c>
      <c r="N9" s="15">
        <v>75.545500000000004</v>
      </c>
      <c r="O9" s="15" t="s">
        <v>21</v>
      </c>
    </row>
    <row r="10" spans="1:15" x14ac:dyDescent="0.55000000000000004">
      <c r="A10" s="15">
        <v>1774359906</v>
      </c>
      <c r="B10" s="15" t="s">
        <v>16</v>
      </c>
      <c r="C10" s="15" t="s">
        <v>17</v>
      </c>
      <c r="D10" s="15">
        <v>4381.79</v>
      </c>
      <c r="E10" s="15" t="s">
        <v>18</v>
      </c>
      <c r="F10" s="15">
        <v>4351.7</v>
      </c>
      <c r="G10" s="15">
        <v>-90.17</v>
      </c>
      <c r="H10" s="15">
        <v>-2.0299999999999998</v>
      </c>
      <c r="I10" s="15">
        <v>3</v>
      </c>
      <c r="J10" s="15">
        <v>12</v>
      </c>
      <c r="K10" s="15">
        <v>3</v>
      </c>
      <c r="L10" s="15">
        <v>-7.51417</v>
      </c>
      <c r="M10" s="15">
        <v>3</v>
      </c>
      <c r="N10" s="15">
        <v>-82.419499999999999</v>
      </c>
      <c r="O10" s="15" t="s">
        <v>22</v>
      </c>
    </row>
    <row r="11" spans="1:15" x14ac:dyDescent="0.55000000000000004">
      <c r="A11" s="15">
        <v>1774363506</v>
      </c>
      <c r="B11" s="15" t="s">
        <v>16</v>
      </c>
      <c r="C11" s="15" t="s">
        <v>17</v>
      </c>
      <c r="D11" s="15">
        <v>4415.63</v>
      </c>
      <c r="E11" s="15" t="s">
        <v>20</v>
      </c>
      <c r="F11" s="15">
        <v>4433.51</v>
      </c>
      <c r="G11" s="15">
        <v>81.81</v>
      </c>
      <c r="H11" s="15">
        <v>1.88</v>
      </c>
      <c r="I11" s="15">
        <v>0</v>
      </c>
      <c r="J11" s="15">
        <v>4</v>
      </c>
      <c r="K11" s="15">
        <v>0</v>
      </c>
      <c r="L11" s="15">
        <v>20.452500000000001</v>
      </c>
      <c r="M11" s="15">
        <v>2</v>
      </c>
      <c r="N11" s="15">
        <v>87.200800000000001</v>
      </c>
      <c r="O11" s="15" t="s">
        <v>21</v>
      </c>
    </row>
    <row r="12" spans="1:15" x14ac:dyDescent="0.55000000000000004">
      <c r="A12" s="15">
        <v>1774374306</v>
      </c>
      <c r="B12" s="15" t="s">
        <v>16</v>
      </c>
      <c r="C12" s="15" t="s">
        <v>17</v>
      </c>
      <c r="D12" s="15">
        <v>4388.6400000000003</v>
      </c>
      <c r="E12" s="15" t="s">
        <v>18</v>
      </c>
      <c r="F12" s="15">
        <v>4372.58</v>
      </c>
      <c r="G12" s="15">
        <v>-60.93</v>
      </c>
      <c r="H12" s="15">
        <v>-1.37</v>
      </c>
      <c r="I12" s="15">
        <v>3</v>
      </c>
      <c r="J12" s="15">
        <v>12</v>
      </c>
      <c r="K12" s="15">
        <v>3</v>
      </c>
      <c r="L12" s="15">
        <v>-5.0774999999999997</v>
      </c>
      <c r="M12" s="15">
        <v>3</v>
      </c>
      <c r="N12" s="15">
        <v>-78.8583</v>
      </c>
      <c r="O12" s="15" t="s">
        <v>22</v>
      </c>
    </row>
    <row r="13" spans="1:15" x14ac:dyDescent="0.55000000000000004">
      <c r="A13" s="15">
        <v>1774406706</v>
      </c>
      <c r="B13" s="15" t="s">
        <v>16</v>
      </c>
      <c r="C13" s="15" t="s">
        <v>17</v>
      </c>
      <c r="D13" s="15">
        <v>4583.92</v>
      </c>
      <c r="E13" s="15" t="s">
        <v>20</v>
      </c>
      <c r="F13" s="15">
        <v>4602.3</v>
      </c>
      <c r="G13" s="15">
        <v>229.72</v>
      </c>
      <c r="H13" s="15">
        <v>5.25</v>
      </c>
      <c r="I13" s="15">
        <v>0</v>
      </c>
      <c r="J13" s="15">
        <v>32</v>
      </c>
      <c r="K13" s="15">
        <v>0</v>
      </c>
      <c r="L13" s="15">
        <v>7.17875</v>
      </c>
      <c r="M13" s="15">
        <v>0</v>
      </c>
      <c r="N13" s="15">
        <v>82.069699999999997</v>
      </c>
      <c r="O13" s="15" t="s">
        <v>23</v>
      </c>
    </row>
    <row r="14" spans="1:15" x14ac:dyDescent="0.55000000000000004">
      <c r="A14" s="15">
        <v>1774418406</v>
      </c>
      <c r="B14" s="15" t="s">
        <v>16</v>
      </c>
      <c r="C14" s="15" t="s">
        <v>17</v>
      </c>
      <c r="D14" s="15">
        <v>4534.37</v>
      </c>
      <c r="E14" s="15" t="s">
        <v>18</v>
      </c>
      <c r="F14" s="15">
        <v>4532.82</v>
      </c>
      <c r="G14" s="15">
        <v>-69.48</v>
      </c>
      <c r="H14" s="15">
        <v>-1.51</v>
      </c>
      <c r="I14" s="15">
        <v>3</v>
      </c>
      <c r="J14" s="15">
        <v>13</v>
      </c>
      <c r="K14" s="15">
        <v>3</v>
      </c>
      <c r="L14" s="15">
        <v>-5.3446199999999999</v>
      </c>
      <c r="M14" s="15">
        <v>3</v>
      </c>
      <c r="N14" s="15">
        <v>-79.402299999999997</v>
      </c>
      <c r="O14" s="15" t="s">
        <v>22</v>
      </c>
    </row>
    <row r="15" spans="1:15" x14ac:dyDescent="0.55000000000000004">
      <c r="A15" s="15">
        <v>1774429206</v>
      </c>
      <c r="B15" s="15" t="s">
        <v>16</v>
      </c>
      <c r="C15" s="15" t="s">
        <v>17</v>
      </c>
      <c r="D15" s="15">
        <v>4562.2299999999996</v>
      </c>
      <c r="E15" s="15" t="s">
        <v>20</v>
      </c>
      <c r="F15" s="15">
        <v>4567.7299999999996</v>
      </c>
      <c r="G15" s="15">
        <v>34.909999999999997</v>
      </c>
      <c r="H15" s="15">
        <v>0.77</v>
      </c>
      <c r="I15" s="15">
        <v>0</v>
      </c>
      <c r="J15" s="15">
        <v>12</v>
      </c>
      <c r="K15" s="15">
        <v>0</v>
      </c>
      <c r="L15" s="15">
        <v>2.90917</v>
      </c>
      <c r="M15" s="15">
        <v>0</v>
      </c>
      <c r="N15" s="15">
        <v>71.030100000000004</v>
      </c>
      <c r="O15" s="15" t="s">
        <v>21</v>
      </c>
    </row>
    <row r="16" spans="1:15" x14ac:dyDescent="0.55000000000000004">
      <c r="A16" s="15">
        <v>1774431906</v>
      </c>
      <c r="B16" s="15" t="s">
        <v>16</v>
      </c>
      <c r="C16" s="15" t="s">
        <v>17</v>
      </c>
      <c r="D16" s="15">
        <v>4551.67</v>
      </c>
      <c r="E16" s="15" t="s">
        <v>18</v>
      </c>
      <c r="F16" s="15">
        <v>4527.99</v>
      </c>
      <c r="G16" s="15">
        <v>-39.74</v>
      </c>
      <c r="H16" s="15">
        <v>-0.87</v>
      </c>
      <c r="I16" s="15">
        <v>3</v>
      </c>
      <c r="J16" s="15">
        <v>3</v>
      </c>
      <c r="K16" s="15">
        <v>3</v>
      </c>
      <c r="L16" s="15">
        <v>-13.24667</v>
      </c>
      <c r="M16" s="15">
        <v>3</v>
      </c>
      <c r="N16" s="15">
        <v>-85.682900000000004</v>
      </c>
      <c r="O16" s="15" t="s">
        <v>19</v>
      </c>
    </row>
    <row r="17" spans="1:15" x14ac:dyDescent="0.55000000000000004">
      <c r="A17" s="15">
        <v>1774438206</v>
      </c>
      <c r="B17" s="15" t="s">
        <v>16</v>
      </c>
      <c r="C17" s="15" t="s">
        <v>17</v>
      </c>
      <c r="D17" s="15">
        <v>4583.78</v>
      </c>
      <c r="E17" s="15" t="s">
        <v>20</v>
      </c>
      <c r="F17" s="15">
        <v>4585.51</v>
      </c>
      <c r="G17" s="15">
        <v>57.52</v>
      </c>
      <c r="H17" s="15">
        <v>1.27</v>
      </c>
      <c r="I17" s="15">
        <v>0</v>
      </c>
      <c r="J17" s="15">
        <v>7</v>
      </c>
      <c r="K17" s="15">
        <v>0</v>
      </c>
      <c r="L17" s="15">
        <v>8.2171400000000006</v>
      </c>
      <c r="M17" s="15">
        <v>0</v>
      </c>
      <c r="N17" s="15">
        <v>83.061400000000006</v>
      </c>
      <c r="O17" s="15" t="s">
        <v>23</v>
      </c>
    </row>
    <row r="18" spans="1:15" x14ac:dyDescent="0.55000000000000004">
      <c r="A18" s="15">
        <v>1774441806</v>
      </c>
      <c r="B18" s="15" t="s">
        <v>16</v>
      </c>
      <c r="C18" s="15" t="s">
        <v>17</v>
      </c>
      <c r="D18" s="15">
        <v>4547.41</v>
      </c>
      <c r="E18" s="15" t="s">
        <v>18</v>
      </c>
      <c r="F18" s="15">
        <v>4522.33</v>
      </c>
      <c r="G18" s="15">
        <v>-63.18</v>
      </c>
      <c r="H18" s="15">
        <v>-1.38</v>
      </c>
      <c r="I18" s="15">
        <v>3</v>
      </c>
      <c r="J18" s="15">
        <v>4</v>
      </c>
      <c r="K18" s="15">
        <v>3</v>
      </c>
      <c r="L18" s="15">
        <v>-15.795</v>
      </c>
      <c r="M18" s="15">
        <v>4</v>
      </c>
      <c r="N18" s="15">
        <v>-86.377399999999994</v>
      </c>
      <c r="O18" s="15" t="s">
        <v>19</v>
      </c>
    </row>
    <row r="19" spans="1:15" x14ac:dyDescent="0.55000000000000004">
      <c r="A19" s="15">
        <v>1774461606</v>
      </c>
      <c r="B19" s="15" t="s">
        <v>16</v>
      </c>
      <c r="C19" s="15" t="s">
        <v>17</v>
      </c>
      <c r="D19" s="15">
        <v>4551.37</v>
      </c>
      <c r="E19" s="15" t="s">
        <v>20</v>
      </c>
      <c r="F19" s="15">
        <v>4568.96</v>
      </c>
      <c r="G19" s="15">
        <v>46.63</v>
      </c>
      <c r="H19" s="15">
        <v>1.03</v>
      </c>
      <c r="I19" s="15">
        <v>0</v>
      </c>
      <c r="J19" s="15">
        <v>22</v>
      </c>
      <c r="K19" s="15">
        <v>0</v>
      </c>
      <c r="L19" s="15">
        <v>2.1195499999999998</v>
      </c>
      <c r="M19" s="15">
        <v>0</v>
      </c>
      <c r="N19" s="15">
        <v>64.742099999999994</v>
      </c>
      <c r="O19" s="15" t="s">
        <v>21</v>
      </c>
    </row>
    <row r="20" spans="1:15" x14ac:dyDescent="0.55000000000000004">
      <c r="A20" s="15">
        <v>1774465206</v>
      </c>
      <c r="B20" s="15" t="s">
        <v>16</v>
      </c>
      <c r="C20" s="15" t="s">
        <v>17</v>
      </c>
      <c r="D20" s="15">
        <v>4509.08</v>
      </c>
      <c r="E20" s="15" t="s">
        <v>18</v>
      </c>
      <c r="F20" s="15">
        <v>4487.1000000000004</v>
      </c>
      <c r="G20" s="15">
        <v>-81.86</v>
      </c>
      <c r="H20" s="15">
        <v>-1.79</v>
      </c>
      <c r="I20" s="15">
        <v>3</v>
      </c>
      <c r="J20" s="15">
        <v>4</v>
      </c>
      <c r="K20" s="15">
        <v>3</v>
      </c>
      <c r="L20" s="15">
        <v>-20.465</v>
      </c>
      <c r="M20" s="15">
        <v>5</v>
      </c>
      <c r="N20" s="15">
        <v>-87.202500000000001</v>
      </c>
      <c r="O20" s="15" t="s">
        <v>19</v>
      </c>
    </row>
    <row r="21" spans="1:15" x14ac:dyDescent="0.55000000000000004">
      <c r="A21" s="15">
        <v>1774486806</v>
      </c>
      <c r="B21" s="15" t="s">
        <v>16</v>
      </c>
      <c r="C21" s="15" t="s">
        <v>17</v>
      </c>
      <c r="D21" s="15">
        <v>4538.3999999999996</v>
      </c>
      <c r="E21" s="15" t="s">
        <v>20</v>
      </c>
      <c r="F21" s="15">
        <v>4544.29</v>
      </c>
      <c r="G21" s="15">
        <v>57.19</v>
      </c>
      <c r="H21" s="15">
        <v>1.27</v>
      </c>
      <c r="I21" s="15">
        <v>0</v>
      </c>
      <c r="J21" s="15">
        <v>20</v>
      </c>
      <c r="K21" s="15">
        <v>0</v>
      </c>
      <c r="L21" s="15">
        <v>2.8595000000000002</v>
      </c>
      <c r="M21" s="15">
        <v>0</v>
      </c>
      <c r="N21" s="15">
        <v>70.724699999999999</v>
      </c>
      <c r="O21" s="15" t="s">
        <v>21</v>
      </c>
    </row>
    <row r="22" spans="1:15" x14ac:dyDescent="0.55000000000000004">
      <c r="A22" s="15">
        <v>1774513806</v>
      </c>
      <c r="B22" s="15" t="s">
        <v>16</v>
      </c>
      <c r="C22" s="15" t="s">
        <v>17</v>
      </c>
      <c r="D22" s="15">
        <v>4420.09</v>
      </c>
      <c r="E22" s="15" t="s">
        <v>18</v>
      </c>
      <c r="F22" s="15">
        <v>4413.24</v>
      </c>
      <c r="G22" s="15">
        <v>-131.05000000000001</v>
      </c>
      <c r="H22" s="15">
        <v>-2.88</v>
      </c>
      <c r="I22" s="15">
        <v>3</v>
      </c>
      <c r="J22" s="15">
        <v>30</v>
      </c>
      <c r="K22" s="15">
        <v>3</v>
      </c>
      <c r="L22" s="15">
        <v>-4.3683300000000003</v>
      </c>
      <c r="M22" s="15">
        <v>3</v>
      </c>
      <c r="N22" s="15">
        <v>-77.105999999999995</v>
      </c>
      <c r="O22" s="15" t="s">
        <v>19</v>
      </c>
    </row>
    <row r="23" spans="1:15" x14ac:dyDescent="0.55000000000000004">
      <c r="A23" s="15">
        <v>1774535406</v>
      </c>
      <c r="B23" s="15" t="s">
        <v>16</v>
      </c>
      <c r="C23" s="15" t="s">
        <v>17</v>
      </c>
      <c r="D23" s="15">
        <v>4461.2700000000004</v>
      </c>
      <c r="E23" s="15" t="s">
        <v>20</v>
      </c>
      <c r="F23" s="15">
        <v>4479.1400000000003</v>
      </c>
      <c r="G23" s="15">
        <v>65.900000000000006</v>
      </c>
      <c r="H23" s="15">
        <v>1.49</v>
      </c>
      <c r="I23" s="15">
        <v>0</v>
      </c>
      <c r="J23" s="15">
        <v>24</v>
      </c>
      <c r="K23" s="15">
        <v>0</v>
      </c>
      <c r="L23" s="15">
        <v>2.7458300000000002</v>
      </c>
      <c r="M23" s="15">
        <v>0</v>
      </c>
      <c r="N23" s="15">
        <v>69.989000000000004</v>
      </c>
      <c r="O23" s="15" t="s">
        <v>21</v>
      </c>
    </row>
    <row r="24" spans="1:15" x14ac:dyDescent="0.55000000000000004">
      <c r="A24" s="15">
        <v>1774554306</v>
      </c>
      <c r="B24" s="15" t="s">
        <v>16</v>
      </c>
      <c r="C24" s="15" t="s">
        <v>17</v>
      </c>
      <c r="D24" s="15">
        <v>4364.33</v>
      </c>
      <c r="E24" s="15" t="s">
        <v>18</v>
      </c>
      <c r="F24" s="15">
        <v>4359.29</v>
      </c>
      <c r="G24" s="15">
        <v>-119.85</v>
      </c>
      <c r="H24" s="15">
        <v>-2.68</v>
      </c>
      <c r="I24" s="15">
        <v>3</v>
      </c>
      <c r="J24" s="15">
        <v>21</v>
      </c>
      <c r="K24" s="15">
        <v>3</v>
      </c>
      <c r="L24" s="15">
        <v>-5.7071399999999999</v>
      </c>
      <c r="M24" s="15">
        <v>3</v>
      </c>
      <c r="N24" s="15">
        <v>-80.061599999999999</v>
      </c>
      <c r="O24" s="15" t="s">
        <v>19</v>
      </c>
    </row>
    <row r="25" spans="1:15" x14ac:dyDescent="0.55000000000000004">
      <c r="A25" s="15">
        <v>1774557006</v>
      </c>
      <c r="B25" s="15" t="s">
        <v>16</v>
      </c>
      <c r="C25" s="15" t="s">
        <v>17</v>
      </c>
      <c r="D25" s="15">
        <v>4405.78</v>
      </c>
      <c r="E25" s="15" t="s">
        <v>20</v>
      </c>
      <c r="F25" s="15">
        <v>4420.5600000000004</v>
      </c>
      <c r="G25" s="15">
        <v>61.27</v>
      </c>
      <c r="H25" s="15">
        <v>1.41</v>
      </c>
      <c r="I25" s="15">
        <v>0</v>
      </c>
      <c r="J25" s="15">
        <v>3</v>
      </c>
      <c r="K25" s="15">
        <v>0</v>
      </c>
      <c r="L25" s="15">
        <v>20.42333</v>
      </c>
      <c r="M25" s="15">
        <v>2</v>
      </c>
      <c r="N25" s="15">
        <v>87.196799999999996</v>
      </c>
      <c r="O25" s="15" t="s">
        <v>21</v>
      </c>
    </row>
    <row r="26" spans="1:15" x14ac:dyDescent="0.55000000000000004">
      <c r="A26" s="15">
        <v>1774572306</v>
      </c>
      <c r="B26" s="15" t="s">
        <v>16</v>
      </c>
      <c r="C26" s="15" t="s">
        <v>17</v>
      </c>
      <c r="D26" s="15">
        <v>4378.7299999999996</v>
      </c>
      <c r="E26" s="15" t="s">
        <v>18</v>
      </c>
      <c r="F26" s="15">
        <v>4375.68</v>
      </c>
      <c r="G26" s="15">
        <v>-44.88</v>
      </c>
      <c r="H26" s="15">
        <v>-1.02</v>
      </c>
      <c r="I26" s="15">
        <v>3</v>
      </c>
      <c r="J26" s="15">
        <v>13</v>
      </c>
      <c r="K26" s="15">
        <v>3</v>
      </c>
      <c r="L26" s="15">
        <v>-3.4523100000000002</v>
      </c>
      <c r="M26" s="15">
        <v>3</v>
      </c>
      <c r="N26" s="15">
        <v>-73.845699999999994</v>
      </c>
      <c r="O26" s="15" t="s">
        <v>22</v>
      </c>
    </row>
    <row r="27" spans="1:15" x14ac:dyDescent="0.55000000000000004">
      <c r="A27" s="15">
        <v>1774589406</v>
      </c>
      <c r="B27" s="15" t="s">
        <v>16</v>
      </c>
      <c r="C27" s="15" t="s">
        <v>17</v>
      </c>
      <c r="D27" s="15">
        <v>4466.08</v>
      </c>
      <c r="E27" s="15" t="s">
        <v>20</v>
      </c>
      <c r="F27" s="15">
        <v>4475.12</v>
      </c>
      <c r="G27" s="15">
        <v>99.44</v>
      </c>
      <c r="H27" s="15">
        <v>2.27</v>
      </c>
      <c r="I27" s="15">
        <v>0</v>
      </c>
      <c r="J27" s="15">
        <v>19</v>
      </c>
      <c r="K27" s="15">
        <v>0</v>
      </c>
      <c r="L27" s="15">
        <v>5.2336799999999997</v>
      </c>
      <c r="M27" s="15">
        <v>0</v>
      </c>
      <c r="N27" s="15">
        <v>79.182900000000004</v>
      </c>
      <c r="O27" s="15" t="s">
        <v>23</v>
      </c>
    </row>
    <row r="28" spans="1:15" x14ac:dyDescent="0.55000000000000004">
      <c r="A28" s="15">
        <v>1774609206</v>
      </c>
      <c r="B28" s="15" t="s">
        <v>16</v>
      </c>
      <c r="C28" s="15" t="s">
        <v>17</v>
      </c>
      <c r="D28" s="15">
        <v>4413.17</v>
      </c>
      <c r="E28" s="15" t="s">
        <v>18</v>
      </c>
      <c r="F28" s="15">
        <v>4404.32</v>
      </c>
      <c r="G28" s="15">
        <v>-70.8</v>
      </c>
      <c r="H28" s="15">
        <v>-1.58</v>
      </c>
      <c r="I28" s="15">
        <v>3</v>
      </c>
      <c r="J28" s="15">
        <v>22</v>
      </c>
      <c r="K28" s="15">
        <v>3</v>
      </c>
      <c r="L28" s="15">
        <v>-3.2181799999999998</v>
      </c>
      <c r="M28" s="15">
        <v>3</v>
      </c>
      <c r="N28" s="15">
        <v>-72.738200000000006</v>
      </c>
      <c r="O28" s="15" t="s">
        <v>22</v>
      </c>
    </row>
    <row r="29" spans="1:15" x14ac:dyDescent="0.55000000000000004">
      <c r="A29" s="15">
        <v>1774624506</v>
      </c>
      <c r="B29" s="15" t="s">
        <v>16</v>
      </c>
      <c r="C29" s="15" t="s">
        <v>17</v>
      </c>
      <c r="D29" s="15">
        <v>4543.54</v>
      </c>
      <c r="E29" s="15" t="s">
        <v>20</v>
      </c>
      <c r="F29" s="15">
        <v>4555</v>
      </c>
      <c r="G29" s="15">
        <v>150.68</v>
      </c>
      <c r="H29" s="15">
        <v>3.42</v>
      </c>
      <c r="I29" s="15">
        <v>0</v>
      </c>
      <c r="J29" s="15">
        <v>17</v>
      </c>
      <c r="K29" s="15">
        <v>0</v>
      </c>
      <c r="L29" s="15">
        <v>8.8635300000000008</v>
      </c>
      <c r="M29" s="15">
        <v>0</v>
      </c>
      <c r="N29" s="15">
        <v>83.563000000000002</v>
      </c>
      <c r="O29" s="15" t="s">
        <v>23</v>
      </c>
    </row>
    <row r="30" spans="1:15" x14ac:dyDescent="0.55000000000000004">
      <c r="A30" s="15">
        <v>1774828806</v>
      </c>
      <c r="B30" s="15" t="s">
        <v>16</v>
      </c>
      <c r="C30" s="15" t="s">
        <v>17</v>
      </c>
      <c r="D30" s="15">
        <v>4426.83</v>
      </c>
      <c r="E30" s="15" t="s">
        <v>18</v>
      </c>
      <c r="F30" s="15">
        <v>4420.2700000000004</v>
      </c>
      <c r="G30" s="15">
        <v>-134.72999999999999</v>
      </c>
      <c r="H30" s="15">
        <v>-2.96</v>
      </c>
      <c r="I30" s="15">
        <v>3</v>
      </c>
      <c r="J30" s="15">
        <v>31</v>
      </c>
      <c r="K30" s="15">
        <v>3</v>
      </c>
      <c r="L30" s="15">
        <v>-4.3461299999999996</v>
      </c>
      <c r="M30" s="15">
        <v>3</v>
      </c>
      <c r="N30" s="15">
        <v>-77.042299999999997</v>
      </c>
      <c r="O30" s="15" t="s">
        <v>22</v>
      </c>
    </row>
    <row r="31" spans="1:15" x14ac:dyDescent="0.55000000000000004">
      <c r="A31" s="15">
        <v>1774871106</v>
      </c>
      <c r="B31" s="15" t="s">
        <v>16</v>
      </c>
      <c r="C31" s="15" t="s">
        <v>17</v>
      </c>
      <c r="D31" s="15">
        <v>4559.53</v>
      </c>
      <c r="E31" s="15" t="s">
        <v>20</v>
      </c>
      <c r="F31" s="15">
        <v>4580.59</v>
      </c>
      <c r="G31" s="15">
        <v>160.32</v>
      </c>
      <c r="H31" s="15">
        <v>3.63</v>
      </c>
      <c r="I31" s="15">
        <v>0</v>
      </c>
      <c r="J31" s="15">
        <v>47</v>
      </c>
      <c r="K31" s="15">
        <v>2</v>
      </c>
      <c r="L31" s="15">
        <v>3.41106</v>
      </c>
      <c r="M31" s="15">
        <v>0</v>
      </c>
      <c r="N31" s="15">
        <v>73.660799999999995</v>
      </c>
      <c r="O31" s="15" t="s">
        <v>23</v>
      </c>
    </row>
    <row r="32" spans="1:15" x14ac:dyDescent="0.55000000000000004">
      <c r="A32" s="15">
        <v>1774898106</v>
      </c>
      <c r="B32" s="15" t="s">
        <v>16</v>
      </c>
      <c r="C32" s="15" t="s">
        <v>17</v>
      </c>
      <c r="D32" s="15">
        <v>4501.72</v>
      </c>
      <c r="E32" s="15" t="s">
        <v>18</v>
      </c>
      <c r="F32" s="15">
        <v>4493.1400000000003</v>
      </c>
      <c r="G32" s="15">
        <v>-87.45</v>
      </c>
      <c r="H32" s="15">
        <v>-1.91</v>
      </c>
      <c r="I32" s="15">
        <v>3</v>
      </c>
      <c r="J32" s="15">
        <v>30</v>
      </c>
      <c r="K32" s="15">
        <v>3</v>
      </c>
      <c r="L32" s="15">
        <v>-2.915</v>
      </c>
      <c r="M32" s="15">
        <v>3</v>
      </c>
      <c r="N32" s="15">
        <v>-71.065299999999993</v>
      </c>
      <c r="O32" s="15" t="s">
        <v>22</v>
      </c>
    </row>
    <row r="33" spans="1:15" x14ac:dyDescent="0.55000000000000004">
      <c r="A33" s="15">
        <v>1774908006</v>
      </c>
      <c r="B33" s="15" t="s">
        <v>16</v>
      </c>
      <c r="C33" s="15" t="s">
        <v>17</v>
      </c>
      <c r="D33" s="15">
        <v>4508.24</v>
      </c>
      <c r="E33" s="15" t="s">
        <v>20</v>
      </c>
      <c r="F33" s="15">
        <v>4523.8500000000004</v>
      </c>
      <c r="G33" s="15">
        <v>30.71</v>
      </c>
      <c r="H33" s="15">
        <v>0.68</v>
      </c>
      <c r="I33" s="15">
        <v>0</v>
      </c>
      <c r="J33" s="15">
        <v>7</v>
      </c>
      <c r="K33" s="15">
        <v>0</v>
      </c>
      <c r="L33" s="15">
        <v>4.3871399999999996</v>
      </c>
      <c r="M33" s="15">
        <v>0</v>
      </c>
      <c r="N33" s="15">
        <v>77.159499999999994</v>
      </c>
      <c r="O33" s="15" t="s">
        <v>21</v>
      </c>
    </row>
    <row r="34" spans="1:15" x14ac:dyDescent="0.55000000000000004">
      <c r="A34" s="15">
        <v>1774911606</v>
      </c>
      <c r="B34" s="15" t="s">
        <v>16</v>
      </c>
      <c r="C34" s="15" t="s">
        <v>17</v>
      </c>
      <c r="D34" s="15">
        <v>4499.13</v>
      </c>
      <c r="E34" s="15" t="s">
        <v>18</v>
      </c>
      <c r="F34" s="15">
        <v>4492.83</v>
      </c>
      <c r="G34" s="15">
        <v>-31.02</v>
      </c>
      <c r="H34" s="15">
        <v>-0.69</v>
      </c>
      <c r="I34" s="15">
        <v>3</v>
      </c>
      <c r="J34" s="15">
        <v>4</v>
      </c>
      <c r="K34" s="15">
        <v>3</v>
      </c>
      <c r="L34" s="15">
        <v>-7.7549999999999999</v>
      </c>
      <c r="M34" s="15">
        <v>3</v>
      </c>
      <c r="N34" s="15">
        <v>-82.652299999999997</v>
      </c>
      <c r="O34" s="15" t="s">
        <v>19</v>
      </c>
    </row>
    <row r="35" spans="1:15" x14ac:dyDescent="0.55000000000000004">
      <c r="A35" s="15">
        <v>1774915206</v>
      </c>
      <c r="B35" s="15" t="s">
        <v>16</v>
      </c>
      <c r="C35" s="15" t="s">
        <v>17</v>
      </c>
      <c r="D35" s="15">
        <v>4516.16</v>
      </c>
      <c r="E35" s="15" t="s">
        <v>20</v>
      </c>
      <c r="F35" s="15">
        <v>4528.66</v>
      </c>
      <c r="G35" s="15">
        <v>35.83</v>
      </c>
      <c r="H35" s="15">
        <v>0.8</v>
      </c>
      <c r="I35" s="15">
        <v>0</v>
      </c>
      <c r="J35" s="15">
        <v>4</v>
      </c>
      <c r="K35" s="15">
        <v>0</v>
      </c>
      <c r="L35" s="15">
        <v>8.9574999999999996</v>
      </c>
      <c r="M35" s="15">
        <v>0</v>
      </c>
      <c r="N35" s="15">
        <v>83.63</v>
      </c>
      <c r="O35" s="15" t="s">
        <v>23</v>
      </c>
    </row>
    <row r="36" spans="1:15" x14ac:dyDescent="0.55000000000000004">
      <c r="A36" s="15">
        <v>1774916106</v>
      </c>
      <c r="B36" s="15" t="s">
        <v>16</v>
      </c>
      <c r="C36" s="15" t="s">
        <v>17</v>
      </c>
      <c r="D36" s="15">
        <v>4511.88</v>
      </c>
      <c r="E36" s="15" t="s">
        <v>18</v>
      </c>
      <c r="F36" s="15">
        <v>4482.6899999999996</v>
      </c>
      <c r="G36" s="15">
        <v>-45.97</v>
      </c>
      <c r="H36" s="15">
        <v>-1.02</v>
      </c>
      <c r="I36" s="15">
        <v>3</v>
      </c>
      <c r="J36" s="15">
        <v>1</v>
      </c>
      <c r="K36" s="15">
        <v>3</v>
      </c>
      <c r="L36" s="15">
        <v>-45.97</v>
      </c>
      <c r="M36" s="15">
        <v>5</v>
      </c>
      <c r="N36" s="15">
        <v>-88.753799999999998</v>
      </c>
      <c r="O36" s="15" t="s">
        <v>19</v>
      </c>
    </row>
    <row r="37" spans="1:15" x14ac:dyDescent="0.55000000000000004">
      <c r="A37" s="15">
        <v>1774921506</v>
      </c>
      <c r="B37" s="15" t="s">
        <v>16</v>
      </c>
      <c r="C37" s="15" t="s">
        <v>17</v>
      </c>
      <c r="D37" s="15">
        <v>4605.2700000000004</v>
      </c>
      <c r="E37" s="15" t="s">
        <v>20</v>
      </c>
      <c r="F37" s="15">
        <v>4619.84</v>
      </c>
      <c r="G37" s="15">
        <v>137.15</v>
      </c>
      <c r="H37" s="15">
        <v>3.06</v>
      </c>
      <c r="I37" s="15">
        <v>0</v>
      </c>
      <c r="J37" s="15">
        <v>6</v>
      </c>
      <c r="K37" s="15">
        <v>0</v>
      </c>
      <c r="L37" s="15">
        <v>22.858329999999999</v>
      </c>
      <c r="M37" s="15">
        <v>1</v>
      </c>
      <c r="N37" s="15">
        <v>87.495000000000005</v>
      </c>
      <c r="O37" s="15" t="s">
        <v>23</v>
      </c>
    </row>
    <row r="38" spans="1:15" x14ac:dyDescent="0.55000000000000004">
      <c r="A38" s="15">
        <v>1774933206</v>
      </c>
      <c r="B38" s="15" t="s">
        <v>16</v>
      </c>
      <c r="C38" s="15" t="s">
        <v>17</v>
      </c>
      <c r="D38" s="15">
        <v>4550.47</v>
      </c>
      <c r="E38" s="15" t="s">
        <v>18</v>
      </c>
      <c r="F38" s="15">
        <v>4548.26</v>
      </c>
      <c r="G38" s="15">
        <v>-71.58</v>
      </c>
      <c r="H38" s="15">
        <v>-1.55</v>
      </c>
      <c r="I38" s="15">
        <v>3</v>
      </c>
      <c r="J38" s="15">
        <v>13</v>
      </c>
      <c r="K38" s="15">
        <v>3</v>
      </c>
      <c r="L38" s="15">
        <v>-5.5061499999999999</v>
      </c>
      <c r="M38" s="15">
        <v>3</v>
      </c>
      <c r="N38" s="15">
        <v>-79.706400000000002</v>
      </c>
      <c r="O38" s="15" t="s">
        <v>22</v>
      </c>
    </row>
    <row r="39" spans="1:15" x14ac:dyDescent="0.55000000000000004">
      <c r="A39" s="15">
        <v>1774935906</v>
      </c>
      <c r="B39" s="15" t="s">
        <v>16</v>
      </c>
      <c r="C39" s="15" t="s">
        <v>17</v>
      </c>
      <c r="D39" s="15">
        <v>4568.88</v>
      </c>
      <c r="E39" s="15" t="s">
        <v>20</v>
      </c>
      <c r="F39" s="15">
        <v>4581.6400000000003</v>
      </c>
      <c r="G39" s="15">
        <v>33.380000000000003</v>
      </c>
      <c r="H39" s="15">
        <v>0.73</v>
      </c>
      <c r="I39" s="15">
        <v>0</v>
      </c>
      <c r="J39" s="15">
        <v>3</v>
      </c>
      <c r="K39" s="15">
        <v>0</v>
      </c>
      <c r="L39" s="15">
        <v>11.126670000000001</v>
      </c>
      <c r="M39" s="15">
        <v>0</v>
      </c>
      <c r="N39" s="15">
        <v>84.864400000000003</v>
      </c>
      <c r="O39" s="15" t="s">
        <v>21</v>
      </c>
    </row>
    <row r="40" spans="1:15" x14ac:dyDescent="0.55000000000000004">
      <c r="A40" s="15">
        <v>1774953006</v>
      </c>
      <c r="B40" s="15" t="s">
        <v>16</v>
      </c>
      <c r="C40" s="15" t="s">
        <v>17</v>
      </c>
      <c r="D40" s="15">
        <v>4541.2299999999996</v>
      </c>
      <c r="E40" s="15" t="s">
        <v>18</v>
      </c>
      <c r="F40" s="15">
        <v>4529.84</v>
      </c>
      <c r="G40" s="15">
        <v>-51.8</v>
      </c>
      <c r="H40" s="15">
        <v>-1.1299999999999999</v>
      </c>
      <c r="I40" s="15">
        <v>3</v>
      </c>
      <c r="J40" s="15">
        <v>19</v>
      </c>
      <c r="K40" s="15">
        <v>3</v>
      </c>
      <c r="L40" s="15">
        <v>-2.7263199999999999</v>
      </c>
      <c r="M40" s="15">
        <v>3</v>
      </c>
      <c r="N40" s="15">
        <v>-69.857200000000006</v>
      </c>
      <c r="O40" s="15" t="s">
        <v>19</v>
      </c>
    </row>
    <row r="41" spans="1:15" x14ac:dyDescent="0.55000000000000004">
      <c r="A41" s="15">
        <v>1775005206</v>
      </c>
      <c r="B41" s="15" t="s">
        <v>16</v>
      </c>
      <c r="C41" s="15" t="s">
        <v>17</v>
      </c>
      <c r="D41" s="15">
        <v>4708.04</v>
      </c>
      <c r="E41" s="15" t="s">
        <v>20</v>
      </c>
      <c r="F41" s="15">
        <v>4724.3999999999996</v>
      </c>
      <c r="G41" s="15">
        <v>194.56</v>
      </c>
      <c r="H41" s="15">
        <v>4.3</v>
      </c>
      <c r="I41" s="15">
        <v>0</v>
      </c>
      <c r="J41" s="15">
        <v>54</v>
      </c>
      <c r="K41" s="15">
        <v>2</v>
      </c>
      <c r="L41" s="15">
        <v>3.6029599999999999</v>
      </c>
      <c r="M41" s="15">
        <v>0</v>
      </c>
      <c r="N41" s="15">
        <v>74.488</v>
      </c>
      <c r="O41" s="15" t="s">
        <v>23</v>
      </c>
    </row>
    <row r="42" spans="1:15" x14ac:dyDescent="0.55000000000000004">
      <c r="A42" s="15">
        <v>1775016906</v>
      </c>
      <c r="B42" s="15" t="s">
        <v>16</v>
      </c>
      <c r="C42" s="15" t="s">
        <v>17</v>
      </c>
      <c r="D42" s="15">
        <v>4672.5600000000004</v>
      </c>
      <c r="E42" s="15" t="s">
        <v>18</v>
      </c>
      <c r="F42" s="15">
        <v>4666.96</v>
      </c>
      <c r="G42" s="15">
        <v>-57.44</v>
      </c>
      <c r="H42" s="15">
        <v>-1.22</v>
      </c>
      <c r="I42" s="15">
        <v>3</v>
      </c>
      <c r="J42" s="15">
        <v>13</v>
      </c>
      <c r="K42" s="15">
        <v>3</v>
      </c>
      <c r="L42" s="15">
        <v>-4.4184599999999996</v>
      </c>
      <c r="M42" s="15">
        <v>3</v>
      </c>
      <c r="N42" s="15">
        <v>-77.247500000000002</v>
      </c>
      <c r="O42" s="15" t="s">
        <v>22</v>
      </c>
    </row>
    <row r="43" spans="1:15" x14ac:dyDescent="0.55000000000000004">
      <c r="A43" s="15">
        <v>1775062806</v>
      </c>
      <c r="B43" s="15" t="s">
        <v>16</v>
      </c>
      <c r="C43" s="15" t="s">
        <v>17</v>
      </c>
      <c r="D43" s="15">
        <v>4788.67</v>
      </c>
      <c r="E43" s="15" t="s">
        <v>20</v>
      </c>
      <c r="F43" s="15">
        <v>4793.1400000000003</v>
      </c>
      <c r="G43" s="15">
        <v>126.18</v>
      </c>
      <c r="H43" s="15">
        <v>2.7</v>
      </c>
      <c r="I43" s="15">
        <v>0</v>
      </c>
      <c r="J43" s="15">
        <v>51</v>
      </c>
      <c r="K43" s="15">
        <v>1</v>
      </c>
      <c r="L43" s="15">
        <v>2.4741200000000001</v>
      </c>
      <c r="M43" s="15">
        <v>0</v>
      </c>
      <c r="N43" s="15">
        <v>67.992199999999997</v>
      </c>
      <c r="O43" s="15" t="s">
        <v>23</v>
      </c>
    </row>
    <row r="44" spans="1:15" x14ac:dyDescent="0.55000000000000004">
      <c r="A44" s="15">
        <v>1775068206</v>
      </c>
      <c r="B44" s="15" t="s">
        <v>16</v>
      </c>
      <c r="C44" s="15" t="s">
        <v>17</v>
      </c>
      <c r="D44" s="15">
        <v>4756.49</v>
      </c>
      <c r="E44" s="15" t="s">
        <v>18</v>
      </c>
      <c r="F44" s="15">
        <v>4742.2</v>
      </c>
      <c r="G44" s="15">
        <v>-50.94</v>
      </c>
      <c r="H44" s="15">
        <v>-1.06</v>
      </c>
      <c r="I44" s="15">
        <v>3</v>
      </c>
      <c r="J44" s="15">
        <v>6</v>
      </c>
      <c r="K44" s="15">
        <v>3</v>
      </c>
      <c r="L44" s="15">
        <v>-8.49</v>
      </c>
      <c r="M44" s="15">
        <v>3</v>
      </c>
      <c r="N44" s="15">
        <v>-83.282300000000006</v>
      </c>
      <c r="O44" s="15" t="s">
        <v>22</v>
      </c>
    </row>
    <row r="45" spans="1:15" x14ac:dyDescent="0.55000000000000004">
      <c r="A45" s="15">
        <v>1775086206</v>
      </c>
      <c r="B45" s="15" t="s">
        <v>16</v>
      </c>
      <c r="C45" s="15" t="s">
        <v>17</v>
      </c>
      <c r="D45" s="15">
        <v>4789.57</v>
      </c>
      <c r="E45" s="15" t="s">
        <v>20</v>
      </c>
      <c r="F45" s="15">
        <v>4800.45</v>
      </c>
      <c r="G45" s="15">
        <v>58.25</v>
      </c>
      <c r="H45" s="15">
        <v>1.23</v>
      </c>
      <c r="I45" s="15">
        <v>0</v>
      </c>
      <c r="J45" s="15">
        <v>16</v>
      </c>
      <c r="K45" s="15">
        <v>0</v>
      </c>
      <c r="L45" s="15">
        <v>3.6406200000000002</v>
      </c>
      <c r="M45" s="15">
        <v>0</v>
      </c>
      <c r="N45" s="15">
        <v>74.640900000000002</v>
      </c>
      <c r="O45" s="15" t="s">
        <v>23</v>
      </c>
    </row>
    <row r="46" spans="1:15" x14ac:dyDescent="0.55000000000000004">
      <c r="A46" s="15">
        <v>1775109606</v>
      </c>
      <c r="B46" s="15" t="s">
        <v>16</v>
      </c>
      <c r="C46" s="15" t="s">
        <v>17</v>
      </c>
      <c r="D46" s="15">
        <v>4581</v>
      </c>
      <c r="E46" s="15" t="s">
        <v>18</v>
      </c>
      <c r="F46" s="15">
        <v>4553.95</v>
      </c>
      <c r="G46" s="15">
        <v>-246.5</v>
      </c>
      <c r="H46" s="15">
        <v>-5.13</v>
      </c>
      <c r="I46" s="15">
        <v>3</v>
      </c>
      <c r="J46" s="15">
        <v>26</v>
      </c>
      <c r="K46" s="15">
        <v>3</v>
      </c>
      <c r="L46" s="15">
        <v>-9.4807699999999997</v>
      </c>
      <c r="M46" s="15">
        <v>3</v>
      </c>
      <c r="N46" s="15">
        <v>-83.978899999999996</v>
      </c>
      <c r="O46" s="15" t="s">
        <v>19</v>
      </c>
    </row>
    <row r="47" spans="1:15" x14ac:dyDescent="0.55000000000000004">
      <c r="A47" s="15">
        <v>1775140206</v>
      </c>
      <c r="B47" s="15" t="s">
        <v>16</v>
      </c>
      <c r="C47" s="15" t="s">
        <v>17</v>
      </c>
      <c r="D47" s="15">
        <v>4693.91</v>
      </c>
      <c r="E47" s="15" t="s">
        <v>20</v>
      </c>
      <c r="F47" s="15">
        <v>4699.1499999999996</v>
      </c>
      <c r="G47" s="15">
        <v>145.19999999999999</v>
      </c>
      <c r="H47" s="15">
        <v>3.19</v>
      </c>
      <c r="I47" s="15">
        <v>0</v>
      </c>
      <c r="J47" s="15">
        <v>34</v>
      </c>
      <c r="K47" s="15">
        <v>0</v>
      </c>
      <c r="L47" s="15">
        <v>4.2705900000000003</v>
      </c>
      <c r="M47" s="15">
        <v>0</v>
      </c>
      <c r="N47" s="15">
        <v>76.821100000000001</v>
      </c>
      <c r="O47" s="15" t="s">
        <v>21</v>
      </c>
    </row>
    <row r="48" spans="1:15" x14ac:dyDescent="0.55000000000000004">
      <c r="A48" s="15">
        <v>1775434506</v>
      </c>
      <c r="B48" s="15" t="s">
        <v>16</v>
      </c>
      <c r="C48" s="15" t="s">
        <v>17</v>
      </c>
      <c r="D48" s="15">
        <v>4603.5200000000004</v>
      </c>
      <c r="E48" s="15" t="s">
        <v>18</v>
      </c>
      <c r="F48" s="15">
        <v>4601.05</v>
      </c>
      <c r="G48" s="15">
        <v>-98.1</v>
      </c>
      <c r="H48" s="15">
        <v>-2.09</v>
      </c>
      <c r="I48" s="15">
        <v>3</v>
      </c>
      <c r="J48" s="15">
        <v>35</v>
      </c>
      <c r="K48" s="15">
        <v>3</v>
      </c>
      <c r="L48" s="15">
        <v>-2.8028599999999999</v>
      </c>
      <c r="M48" s="15">
        <v>3</v>
      </c>
      <c r="N48" s="15">
        <v>-70.364699999999999</v>
      </c>
      <c r="O48" s="15" t="s">
        <v>22</v>
      </c>
    </row>
    <row r="49" spans="1:15" x14ac:dyDescent="0.55000000000000004">
      <c r="A49" s="15">
        <v>1775467806</v>
      </c>
      <c r="B49" s="15" t="s">
        <v>16</v>
      </c>
      <c r="C49" s="15" t="s">
        <v>17</v>
      </c>
      <c r="D49" s="15">
        <v>4703.45</v>
      </c>
      <c r="E49" s="15" t="s">
        <v>20</v>
      </c>
      <c r="F49" s="15">
        <v>4706.47</v>
      </c>
      <c r="G49" s="15">
        <v>105.42</v>
      </c>
      <c r="H49" s="15">
        <v>2.29</v>
      </c>
      <c r="I49" s="15">
        <v>0</v>
      </c>
      <c r="J49" s="15">
        <v>37</v>
      </c>
      <c r="K49" s="15">
        <v>0</v>
      </c>
      <c r="L49" s="15">
        <v>2.8491900000000001</v>
      </c>
      <c r="M49" s="15">
        <v>0</v>
      </c>
      <c r="N49" s="15">
        <v>70.6601</v>
      </c>
      <c r="O49" s="15" t="s">
        <v>23</v>
      </c>
    </row>
    <row r="50" spans="1:15" x14ac:dyDescent="0.55000000000000004">
      <c r="A50" s="15">
        <v>1775477706</v>
      </c>
      <c r="B50" s="15" t="s">
        <v>16</v>
      </c>
      <c r="C50" s="15" t="s">
        <v>17</v>
      </c>
      <c r="D50" s="15">
        <v>4666.07</v>
      </c>
      <c r="E50" s="15" t="s">
        <v>18</v>
      </c>
      <c r="F50" s="15">
        <v>4659.58</v>
      </c>
      <c r="G50" s="15">
        <v>-46.89</v>
      </c>
      <c r="H50" s="15">
        <v>-1</v>
      </c>
      <c r="I50" s="15">
        <v>3</v>
      </c>
      <c r="J50" s="15">
        <v>11</v>
      </c>
      <c r="K50" s="15">
        <v>3</v>
      </c>
      <c r="L50" s="15">
        <v>-4.2627300000000004</v>
      </c>
      <c r="M50" s="15">
        <v>3</v>
      </c>
      <c r="N50" s="15">
        <v>-76.797600000000003</v>
      </c>
      <c r="O50" s="15" t="s">
        <v>22</v>
      </c>
    </row>
    <row r="51" spans="1:15" x14ac:dyDescent="0.55000000000000004">
      <c r="A51" s="15">
        <v>1775485806</v>
      </c>
      <c r="B51" s="15" t="s">
        <v>16</v>
      </c>
      <c r="C51" s="15" t="s">
        <v>17</v>
      </c>
      <c r="D51" s="15">
        <v>4684.6499999999996</v>
      </c>
      <c r="E51" s="15" t="s">
        <v>20</v>
      </c>
      <c r="F51" s="15">
        <v>4697.83</v>
      </c>
      <c r="G51" s="15">
        <v>38.25</v>
      </c>
      <c r="H51" s="15">
        <v>0.82</v>
      </c>
      <c r="I51" s="15">
        <v>0</v>
      </c>
      <c r="J51" s="15">
        <v>9</v>
      </c>
      <c r="K51" s="15">
        <v>0</v>
      </c>
      <c r="L51" s="15">
        <v>4.25</v>
      </c>
      <c r="M51" s="15">
        <v>0</v>
      </c>
      <c r="N51" s="15">
        <v>76.759500000000003</v>
      </c>
      <c r="O51" s="15" t="s">
        <v>21</v>
      </c>
    </row>
    <row r="52" spans="1:15" x14ac:dyDescent="0.55000000000000004">
      <c r="A52" s="15">
        <v>1775502906</v>
      </c>
      <c r="B52" s="15" t="s">
        <v>16</v>
      </c>
      <c r="C52" s="15" t="s">
        <v>17</v>
      </c>
      <c r="D52" s="15">
        <v>4650.38</v>
      </c>
      <c r="E52" s="15" t="s">
        <v>18</v>
      </c>
      <c r="F52" s="15">
        <v>4645.75</v>
      </c>
      <c r="G52" s="15">
        <v>-52.08</v>
      </c>
      <c r="H52" s="15">
        <v>-1.1100000000000001</v>
      </c>
      <c r="I52" s="15">
        <v>3</v>
      </c>
      <c r="J52" s="15">
        <v>19</v>
      </c>
      <c r="K52" s="15">
        <v>3</v>
      </c>
      <c r="L52" s="15">
        <v>-2.74105</v>
      </c>
      <c r="M52" s="15">
        <v>3</v>
      </c>
      <c r="N52" s="15">
        <v>-69.956800000000001</v>
      </c>
      <c r="O52" s="15" t="s">
        <v>19</v>
      </c>
    </row>
    <row r="53" spans="1:15" x14ac:dyDescent="0.55000000000000004">
      <c r="A53" s="15">
        <v>1775512806</v>
      </c>
      <c r="B53" s="15" t="s">
        <v>16</v>
      </c>
      <c r="C53" s="15" t="s">
        <v>17</v>
      </c>
      <c r="D53" s="15">
        <v>4663.66</v>
      </c>
      <c r="E53" s="15" t="s">
        <v>20</v>
      </c>
      <c r="F53" s="15">
        <v>4667.87</v>
      </c>
      <c r="G53" s="15">
        <v>22.12</v>
      </c>
      <c r="H53" s="15">
        <v>0.48</v>
      </c>
      <c r="I53" s="15">
        <v>0</v>
      </c>
      <c r="J53" s="15">
        <v>7</v>
      </c>
      <c r="K53" s="15">
        <v>0</v>
      </c>
      <c r="L53" s="15">
        <v>3.16</v>
      </c>
      <c r="M53" s="15">
        <v>0</v>
      </c>
      <c r="N53" s="15">
        <v>72.439700000000002</v>
      </c>
      <c r="O53" s="15" t="s">
        <v>21</v>
      </c>
    </row>
    <row r="54" spans="1:15" x14ac:dyDescent="0.55000000000000004">
      <c r="A54" s="15">
        <v>1775526306</v>
      </c>
      <c r="B54" s="15" t="s">
        <v>16</v>
      </c>
      <c r="C54" s="15" t="s">
        <v>17</v>
      </c>
      <c r="D54" s="15">
        <v>4627.1400000000003</v>
      </c>
      <c r="E54" s="15" t="s">
        <v>18</v>
      </c>
      <c r="F54" s="15">
        <v>4616.5</v>
      </c>
      <c r="G54" s="15">
        <v>-51.37</v>
      </c>
      <c r="H54" s="15">
        <v>-1.1000000000000001</v>
      </c>
      <c r="I54" s="15">
        <v>3</v>
      </c>
      <c r="J54" s="15">
        <v>15</v>
      </c>
      <c r="K54" s="15">
        <v>3</v>
      </c>
      <c r="L54" s="15">
        <v>-3.4246699999999999</v>
      </c>
      <c r="M54" s="15">
        <v>3</v>
      </c>
      <c r="N54" s="15">
        <v>-73.722200000000001</v>
      </c>
      <c r="O54" s="15" t="s">
        <v>19</v>
      </c>
    </row>
    <row r="55" spans="1:15" x14ac:dyDescent="0.55000000000000004">
      <c r="A55" s="15">
        <v>1775536206</v>
      </c>
      <c r="B55" s="15" t="s">
        <v>16</v>
      </c>
      <c r="C55" s="15" t="s">
        <v>17</v>
      </c>
      <c r="D55" s="15">
        <v>4661.8100000000004</v>
      </c>
      <c r="E55" s="15" t="s">
        <v>20</v>
      </c>
      <c r="F55" s="15">
        <v>4663.28</v>
      </c>
      <c r="G55" s="15">
        <v>46.78</v>
      </c>
      <c r="H55" s="15">
        <v>1.01</v>
      </c>
      <c r="I55" s="15">
        <v>0</v>
      </c>
      <c r="J55" s="15">
        <v>11</v>
      </c>
      <c r="K55" s="15">
        <v>0</v>
      </c>
      <c r="L55" s="15">
        <v>4.2527299999999997</v>
      </c>
      <c r="M55" s="15">
        <v>0</v>
      </c>
      <c r="N55" s="15">
        <v>76.767700000000005</v>
      </c>
      <c r="O55" s="15" t="s">
        <v>21</v>
      </c>
    </row>
    <row r="56" spans="1:15" x14ac:dyDescent="0.55000000000000004">
      <c r="A56" s="15">
        <v>1775539806</v>
      </c>
      <c r="B56" s="15" t="s">
        <v>16</v>
      </c>
      <c r="C56" s="15" t="s">
        <v>17</v>
      </c>
      <c r="D56" s="15">
        <v>4631.75</v>
      </c>
      <c r="E56" s="15" t="s">
        <v>18</v>
      </c>
      <c r="F56" s="15">
        <v>4623.4799999999996</v>
      </c>
      <c r="G56" s="15">
        <v>-39.799999999999997</v>
      </c>
      <c r="H56" s="15">
        <v>-0.85</v>
      </c>
      <c r="I56" s="15">
        <v>3</v>
      </c>
      <c r="J56" s="15">
        <v>4</v>
      </c>
      <c r="K56" s="15">
        <v>3</v>
      </c>
      <c r="L56" s="15">
        <v>-9.9499999999999993</v>
      </c>
      <c r="M56" s="15">
        <v>3</v>
      </c>
      <c r="N56" s="15">
        <v>-84.260900000000007</v>
      </c>
      <c r="O56" s="15" t="s">
        <v>22</v>
      </c>
    </row>
    <row r="57" spans="1:15" x14ac:dyDescent="0.55000000000000004">
      <c r="A57" s="15">
        <v>1775553306</v>
      </c>
      <c r="B57" s="15" t="s">
        <v>16</v>
      </c>
      <c r="C57" s="15" t="s">
        <v>17</v>
      </c>
      <c r="D57" s="15">
        <v>4686.92</v>
      </c>
      <c r="E57" s="15" t="s">
        <v>20</v>
      </c>
      <c r="F57" s="15">
        <v>4694.3100000000004</v>
      </c>
      <c r="G57" s="15">
        <v>70.83</v>
      </c>
      <c r="H57" s="15">
        <v>1.53</v>
      </c>
      <c r="I57" s="15">
        <v>0</v>
      </c>
      <c r="J57" s="15">
        <v>15</v>
      </c>
      <c r="K57" s="15">
        <v>0</v>
      </c>
      <c r="L57" s="15">
        <v>4.7220000000000004</v>
      </c>
      <c r="M57" s="15">
        <v>0</v>
      </c>
      <c r="N57" s="15">
        <v>78.042900000000003</v>
      </c>
      <c r="O57" s="15" t="s">
        <v>23</v>
      </c>
    </row>
    <row r="58" spans="1:15" x14ac:dyDescent="0.55000000000000004">
      <c r="A58" s="15">
        <v>1775570406</v>
      </c>
      <c r="B58" s="15" t="s">
        <v>16</v>
      </c>
      <c r="C58" s="15" t="s">
        <v>17</v>
      </c>
      <c r="D58" s="15">
        <v>4622.28</v>
      </c>
      <c r="E58" s="15" t="s">
        <v>18</v>
      </c>
      <c r="F58" s="15">
        <v>4607.91</v>
      </c>
      <c r="G58" s="15">
        <v>-86.4</v>
      </c>
      <c r="H58" s="15">
        <v>-1.84</v>
      </c>
      <c r="I58" s="15">
        <v>3</v>
      </c>
      <c r="J58" s="15">
        <v>19</v>
      </c>
      <c r="K58" s="15">
        <v>3</v>
      </c>
      <c r="L58" s="15">
        <v>-4.5473699999999999</v>
      </c>
      <c r="M58" s="15">
        <v>3</v>
      </c>
      <c r="N58" s="15">
        <v>-77.5976</v>
      </c>
      <c r="O58" s="15" t="s">
        <v>19</v>
      </c>
    </row>
    <row r="59" spans="1:15" x14ac:dyDescent="0.55000000000000004">
      <c r="A59" s="15">
        <v>1775606406</v>
      </c>
      <c r="B59" s="15" t="s">
        <v>16</v>
      </c>
      <c r="C59" s="15" t="s">
        <v>17</v>
      </c>
      <c r="D59" s="15">
        <v>4834.2700000000004</v>
      </c>
      <c r="E59" s="15" t="s">
        <v>20</v>
      </c>
      <c r="F59" s="15">
        <v>4857.37</v>
      </c>
      <c r="G59" s="15">
        <v>249.46</v>
      </c>
      <c r="H59" s="15">
        <v>5.41</v>
      </c>
      <c r="I59" s="15">
        <v>2</v>
      </c>
      <c r="J59" s="15">
        <v>36</v>
      </c>
      <c r="K59" s="15">
        <v>0</v>
      </c>
      <c r="L59" s="15">
        <v>6.9294399999999996</v>
      </c>
      <c r="M59" s="15">
        <v>0</v>
      </c>
      <c r="N59" s="15">
        <v>81.788200000000003</v>
      </c>
      <c r="O59" s="15" t="s">
        <v>23</v>
      </c>
    </row>
    <row r="60" spans="1:15" x14ac:dyDescent="0.55000000000000004">
      <c r="A60" s="15">
        <v>1775643306</v>
      </c>
      <c r="B60" s="15" t="s">
        <v>16</v>
      </c>
      <c r="C60" s="15" t="s">
        <v>17</v>
      </c>
      <c r="D60" s="15">
        <v>4782.6099999999997</v>
      </c>
      <c r="E60" s="15" t="s">
        <v>18</v>
      </c>
      <c r="F60" s="15">
        <v>4771.22</v>
      </c>
      <c r="G60" s="15">
        <v>-86.15</v>
      </c>
      <c r="H60" s="15">
        <v>-1.77</v>
      </c>
      <c r="I60" s="15">
        <v>3</v>
      </c>
      <c r="J60" s="15">
        <v>41</v>
      </c>
      <c r="K60" s="15">
        <v>4</v>
      </c>
      <c r="L60" s="15">
        <v>-2.1012200000000001</v>
      </c>
      <c r="M60" s="15">
        <v>3</v>
      </c>
      <c r="N60" s="15">
        <v>-64.549599999999998</v>
      </c>
      <c r="O60" s="15" t="s">
        <v>22</v>
      </c>
    </row>
    <row r="61" spans="1:15" x14ac:dyDescent="0.55000000000000004">
      <c r="A61" s="15">
        <v>1775649606</v>
      </c>
      <c r="B61" s="15" t="s">
        <v>16</v>
      </c>
      <c r="C61" s="15" t="s">
        <v>17</v>
      </c>
      <c r="D61" s="15">
        <v>4805.3100000000004</v>
      </c>
      <c r="E61" s="15" t="s">
        <v>20</v>
      </c>
      <c r="F61" s="15">
        <v>4807.34</v>
      </c>
      <c r="G61" s="15">
        <v>36.119999999999997</v>
      </c>
      <c r="H61" s="15">
        <v>0.76</v>
      </c>
      <c r="I61" s="15">
        <v>0</v>
      </c>
      <c r="J61" s="15">
        <v>7</v>
      </c>
      <c r="K61" s="15">
        <v>0</v>
      </c>
      <c r="L61" s="15">
        <v>5.16</v>
      </c>
      <c r="M61" s="15">
        <v>0</v>
      </c>
      <c r="N61" s="15">
        <v>79.0321</v>
      </c>
      <c r="O61" s="15" t="s">
        <v>21</v>
      </c>
    </row>
    <row r="62" spans="1:15" x14ac:dyDescent="0.55000000000000004">
      <c r="A62" s="15">
        <v>1775692806</v>
      </c>
      <c r="B62" s="15" t="s">
        <v>16</v>
      </c>
      <c r="C62" s="15" t="s">
        <v>17</v>
      </c>
      <c r="D62" s="15">
        <v>4702.29</v>
      </c>
      <c r="E62" s="15" t="s">
        <v>18</v>
      </c>
      <c r="F62" s="15">
        <v>4698.51</v>
      </c>
      <c r="G62" s="15">
        <v>-108.83</v>
      </c>
      <c r="H62" s="15">
        <v>-2.2599999999999998</v>
      </c>
      <c r="I62" s="15">
        <v>3</v>
      </c>
      <c r="J62" s="15">
        <v>44</v>
      </c>
      <c r="K62" s="15">
        <v>4</v>
      </c>
      <c r="L62" s="15">
        <v>-2.4734099999999999</v>
      </c>
      <c r="M62" s="15">
        <v>3</v>
      </c>
      <c r="N62" s="15">
        <v>-67.986500000000007</v>
      </c>
      <c r="O62" s="15" t="s">
        <v>19</v>
      </c>
    </row>
    <row r="63" spans="1:15" x14ac:dyDescent="0.55000000000000004">
      <c r="A63" s="15">
        <v>1775702706</v>
      </c>
      <c r="B63" s="15" t="s">
        <v>16</v>
      </c>
      <c r="C63" s="15" t="s">
        <v>17</v>
      </c>
      <c r="D63" s="15">
        <v>4719.3</v>
      </c>
      <c r="E63" s="15" t="s">
        <v>20</v>
      </c>
      <c r="F63" s="15">
        <v>4733.0200000000004</v>
      </c>
      <c r="G63" s="15">
        <v>34.51</v>
      </c>
      <c r="H63" s="15">
        <v>0.73</v>
      </c>
      <c r="I63" s="15">
        <v>0</v>
      </c>
      <c r="J63" s="15">
        <v>11</v>
      </c>
      <c r="K63" s="15">
        <v>0</v>
      </c>
      <c r="L63" s="15">
        <v>3.13727</v>
      </c>
      <c r="M63" s="15">
        <v>0</v>
      </c>
      <c r="N63" s="15">
        <v>72.320400000000006</v>
      </c>
      <c r="O63" s="15" t="s">
        <v>21</v>
      </c>
    </row>
    <row r="64" spans="1:15" x14ac:dyDescent="0.55000000000000004">
      <c r="A64" s="15">
        <v>1775717106</v>
      </c>
      <c r="B64" s="15" t="s">
        <v>16</v>
      </c>
      <c r="C64" s="15" t="s">
        <v>17</v>
      </c>
      <c r="D64" s="15">
        <v>4712.5</v>
      </c>
      <c r="E64" s="15" t="s">
        <v>18</v>
      </c>
      <c r="F64" s="15">
        <v>4703.46</v>
      </c>
      <c r="G64" s="15">
        <v>-29.56</v>
      </c>
      <c r="H64" s="15">
        <v>-0.62</v>
      </c>
      <c r="I64" s="15">
        <v>3</v>
      </c>
      <c r="J64" s="15">
        <v>16</v>
      </c>
      <c r="K64" s="15">
        <v>3</v>
      </c>
      <c r="L64" s="15">
        <v>-1.8474999999999999</v>
      </c>
      <c r="M64" s="15">
        <v>3</v>
      </c>
      <c r="N64" s="15">
        <v>-61.574599999999997</v>
      </c>
      <c r="O64" s="15" t="s">
        <v>22</v>
      </c>
    </row>
    <row r="65" spans="1:15" x14ac:dyDescent="0.55000000000000004">
      <c r="A65" s="15">
        <v>1775755806</v>
      </c>
      <c r="B65" s="15" t="s">
        <v>16</v>
      </c>
      <c r="C65" s="15" t="s">
        <v>17</v>
      </c>
      <c r="D65" s="15">
        <v>4795.37</v>
      </c>
      <c r="E65" s="15" t="s">
        <v>20</v>
      </c>
      <c r="F65" s="15">
        <v>4800.93</v>
      </c>
      <c r="G65" s="15">
        <v>97.47</v>
      </c>
      <c r="H65" s="15">
        <v>2.0699999999999998</v>
      </c>
      <c r="I65" s="15">
        <v>0</v>
      </c>
      <c r="J65" s="15">
        <v>43</v>
      </c>
      <c r="K65" s="15">
        <v>1</v>
      </c>
      <c r="L65" s="15">
        <v>2.26674</v>
      </c>
      <c r="M65" s="15">
        <v>0</v>
      </c>
      <c r="N65" s="15">
        <v>66.194800000000001</v>
      </c>
      <c r="O65" s="15" t="s">
        <v>23</v>
      </c>
    </row>
    <row r="66" spans="1:15" x14ac:dyDescent="0.55000000000000004">
      <c r="A66" s="15">
        <v>1775779206</v>
      </c>
      <c r="B66" s="15" t="s">
        <v>16</v>
      </c>
      <c r="C66" s="15" t="s">
        <v>17</v>
      </c>
      <c r="D66" s="15">
        <v>4754.03</v>
      </c>
      <c r="E66" s="15" t="s">
        <v>18</v>
      </c>
      <c r="F66" s="15">
        <v>4750.74</v>
      </c>
      <c r="G66" s="15">
        <v>-50.19</v>
      </c>
      <c r="H66" s="15">
        <v>-1.05</v>
      </c>
      <c r="I66" s="15">
        <v>3</v>
      </c>
      <c r="J66" s="15">
        <v>22</v>
      </c>
      <c r="K66" s="15">
        <v>3</v>
      </c>
      <c r="L66" s="15">
        <v>-2.2813599999999998</v>
      </c>
      <c r="M66" s="15">
        <v>3</v>
      </c>
      <c r="N66" s="15">
        <v>-66.330500000000001</v>
      </c>
      <c r="O66" s="15" t="s">
        <v>22</v>
      </c>
    </row>
    <row r="67" spans="1:15" x14ac:dyDescent="0.55000000000000004">
      <c r="A67" s="15">
        <v>1775784606</v>
      </c>
      <c r="B67" s="15" t="s">
        <v>16</v>
      </c>
      <c r="C67" s="15" t="s">
        <v>17</v>
      </c>
      <c r="D67" s="15">
        <v>4771.97</v>
      </c>
      <c r="E67" s="15" t="s">
        <v>20</v>
      </c>
      <c r="F67" s="15">
        <v>4777.3100000000004</v>
      </c>
      <c r="G67" s="15">
        <v>26.57</v>
      </c>
      <c r="H67" s="15">
        <v>0.56000000000000005</v>
      </c>
      <c r="I67" s="15">
        <v>0</v>
      </c>
      <c r="J67" s="15">
        <v>6</v>
      </c>
      <c r="K67" s="15">
        <v>0</v>
      </c>
      <c r="L67" s="15">
        <v>4.4283299999999999</v>
      </c>
      <c r="M67" s="15">
        <v>0</v>
      </c>
      <c r="N67" s="15">
        <v>77.275000000000006</v>
      </c>
      <c r="O67" s="15" t="s">
        <v>21</v>
      </c>
    </row>
    <row r="68" spans="1:15" x14ac:dyDescent="0.55000000000000004">
      <c r="A68" s="15">
        <v>1775810706</v>
      </c>
      <c r="B68" s="15" t="s">
        <v>16</v>
      </c>
      <c r="C68" s="15" t="s">
        <v>17</v>
      </c>
      <c r="D68" s="15">
        <v>4741.04</v>
      </c>
      <c r="E68" s="15" t="s">
        <v>18</v>
      </c>
      <c r="F68" s="15">
        <v>4730.8100000000004</v>
      </c>
      <c r="G68" s="15">
        <v>-46.5</v>
      </c>
      <c r="H68" s="15">
        <v>-0.97</v>
      </c>
      <c r="I68" s="15">
        <v>3</v>
      </c>
      <c r="J68" s="15">
        <v>29</v>
      </c>
      <c r="K68" s="15">
        <v>3</v>
      </c>
      <c r="L68" s="15">
        <v>-1.60345</v>
      </c>
      <c r="M68" s="15">
        <v>3</v>
      </c>
      <c r="N68" s="15">
        <v>-58.05</v>
      </c>
      <c r="O68" s="15" t="s">
        <v>19</v>
      </c>
    </row>
    <row r="69" spans="1:15" x14ac:dyDescent="0.55000000000000004">
      <c r="A69" s="15">
        <v>1775831406</v>
      </c>
      <c r="B69" s="15" t="s">
        <v>16</v>
      </c>
      <c r="C69" s="15" t="s">
        <v>17</v>
      </c>
      <c r="D69" s="15">
        <v>4780.79</v>
      </c>
      <c r="E69" s="15" t="s">
        <v>20</v>
      </c>
      <c r="F69" s="15">
        <v>4794.96</v>
      </c>
      <c r="G69" s="15">
        <v>64.150000000000006</v>
      </c>
      <c r="H69" s="15">
        <v>1.36</v>
      </c>
      <c r="I69" s="15">
        <v>0</v>
      </c>
      <c r="J69" s="15">
        <v>23</v>
      </c>
      <c r="K69" s="15">
        <v>0</v>
      </c>
      <c r="L69" s="15">
        <v>2.7891300000000001</v>
      </c>
      <c r="M69" s="15">
        <v>0</v>
      </c>
      <c r="N69" s="15">
        <v>70.275499999999994</v>
      </c>
      <c r="O69" s="15" t="s">
        <v>23</v>
      </c>
    </row>
    <row r="70" spans="1:15" x14ac:dyDescent="0.55000000000000004">
      <c r="A70" s="15">
        <v>1775836806</v>
      </c>
      <c r="B70" s="15" t="s">
        <v>16</v>
      </c>
      <c r="C70" s="15" t="s">
        <v>17</v>
      </c>
      <c r="D70" s="15">
        <v>4763.3599999999997</v>
      </c>
      <c r="E70" s="15" t="s">
        <v>18</v>
      </c>
      <c r="F70" s="15">
        <v>4747.5</v>
      </c>
      <c r="G70" s="15">
        <v>-47.46</v>
      </c>
      <c r="H70" s="15">
        <v>-0.99</v>
      </c>
      <c r="I70" s="15">
        <v>3</v>
      </c>
      <c r="J70" s="15">
        <v>6</v>
      </c>
      <c r="K70" s="15">
        <v>3</v>
      </c>
      <c r="L70" s="15">
        <v>-7.91</v>
      </c>
      <c r="M70" s="15">
        <v>3</v>
      </c>
      <c r="N70" s="15">
        <v>-82.794799999999995</v>
      </c>
      <c r="O70" s="15" t="s">
        <v>22</v>
      </c>
    </row>
    <row r="71" spans="1:15" x14ac:dyDescent="0.55000000000000004">
      <c r="A71" s="15">
        <v>1775845806</v>
      </c>
      <c r="B71" s="15" t="s">
        <v>16</v>
      </c>
      <c r="C71" s="15" t="s">
        <v>17</v>
      </c>
      <c r="D71" s="15">
        <v>4768.22</v>
      </c>
      <c r="E71" s="15" t="s">
        <v>20</v>
      </c>
      <c r="F71" s="15">
        <v>4773.08</v>
      </c>
      <c r="G71" s="15">
        <v>25.58</v>
      </c>
      <c r="H71" s="15">
        <v>0.54</v>
      </c>
      <c r="I71" s="15">
        <v>0</v>
      </c>
      <c r="J71" s="15">
        <v>10</v>
      </c>
      <c r="K71" s="15">
        <v>0</v>
      </c>
      <c r="L71" s="15">
        <v>2.5579999999999998</v>
      </c>
      <c r="M71" s="15">
        <v>0</v>
      </c>
      <c r="N71" s="15">
        <v>68.647999999999996</v>
      </c>
      <c r="O71" s="15" t="s">
        <v>21</v>
      </c>
    </row>
    <row r="72" spans="1:15" x14ac:dyDescent="0.55000000000000004">
      <c r="A72" s="15">
        <v>1776031206</v>
      </c>
      <c r="B72" s="15" t="s">
        <v>16</v>
      </c>
      <c r="C72" s="15" t="s">
        <v>17</v>
      </c>
      <c r="D72" s="15">
        <v>4676.5200000000004</v>
      </c>
      <c r="E72" s="15" t="s">
        <v>18</v>
      </c>
      <c r="F72" s="15">
        <v>4638.7</v>
      </c>
      <c r="G72" s="15">
        <v>-134.38</v>
      </c>
      <c r="H72" s="15">
        <v>-2.82</v>
      </c>
      <c r="I72" s="15">
        <v>3</v>
      </c>
      <c r="J72" s="15">
        <v>10</v>
      </c>
      <c r="K72" s="15">
        <v>3</v>
      </c>
      <c r="L72" s="15">
        <v>-13.438000000000001</v>
      </c>
      <c r="M72" s="15">
        <v>3</v>
      </c>
      <c r="N72" s="15">
        <v>-85.744100000000003</v>
      </c>
      <c r="O72" s="15" t="s">
        <v>19</v>
      </c>
    </row>
    <row r="73" spans="1:15" x14ac:dyDescent="0.55000000000000004">
      <c r="A73" s="15">
        <v>1776044706</v>
      </c>
      <c r="B73" s="15" t="s">
        <v>16</v>
      </c>
      <c r="C73" s="15" t="s">
        <v>17</v>
      </c>
      <c r="D73" s="15">
        <v>4721.37</v>
      </c>
      <c r="E73" s="15" t="s">
        <v>20</v>
      </c>
      <c r="F73" s="15">
        <v>4728.3599999999997</v>
      </c>
      <c r="G73" s="15">
        <v>89.66</v>
      </c>
      <c r="H73" s="15">
        <v>1.93</v>
      </c>
      <c r="I73" s="15">
        <v>0</v>
      </c>
      <c r="J73" s="15">
        <v>15</v>
      </c>
      <c r="K73" s="15">
        <v>0</v>
      </c>
      <c r="L73" s="15">
        <v>5.9773300000000003</v>
      </c>
      <c r="M73" s="15">
        <v>0</v>
      </c>
      <c r="N73" s="15">
        <v>80.502399999999994</v>
      </c>
      <c r="O73" s="15" t="s">
        <v>21</v>
      </c>
    </row>
    <row r="74" spans="1:15" x14ac:dyDescent="0.55000000000000004">
      <c r="A74" s="15">
        <v>1776052806</v>
      </c>
      <c r="B74" s="15" t="s">
        <v>16</v>
      </c>
      <c r="C74" s="15" t="s">
        <v>17</v>
      </c>
      <c r="D74" s="15">
        <v>4714.72</v>
      </c>
      <c r="E74" s="15" t="s">
        <v>18</v>
      </c>
      <c r="F74" s="15">
        <v>4708.62</v>
      </c>
      <c r="G74" s="15">
        <v>-19.739999999999998</v>
      </c>
      <c r="H74" s="15">
        <v>-0.42</v>
      </c>
      <c r="I74" s="15">
        <v>3</v>
      </c>
      <c r="J74" s="15">
        <v>9</v>
      </c>
      <c r="K74" s="15">
        <v>3</v>
      </c>
      <c r="L74" s="15">
        <v>-2.19333</v>
      </c>
      <c r="M74" s="15">
        <v>3</v>
      </c>
      <c r="N74" s="15">
        <v>-65.490499999999997</v>
      </c>
      <c r="O74" s="15" t="s">
        <v>22</v>
      </c>
    </row>
    <row r="75" spans="1:15" x14ac:dyDescent="0.55000000000000004">
      <c r="A75" s="15">
        <v>1776066306</v>
      </c>
      <c r="B75" s="15" t="s">
        <v>16</v>
      </c>
      <c r="C75" s="15" t="s">
        <v>17</v>
      </c>
      <c r="D75" s="15">
        <v>4733.67</v>
      </c>
      <c r="E75" s="15" t="s">
        <v>20</v>
      </c>
      <c r="F75" s="15">
        <v>4740.01</v>
      </c>
      <c r="G75" s="15">
        <v>31.39</v>
      </c>
      <c r="H75" s="15">
        <v>0.67</v>
      </c>
      <c r="I75" s="15">
        <v>0</v>
      </c>
      <c r="J75" s="15">
        <v>15</v>
      </c>
      <c r="K75" s="15">
        <v>0</v>
      </c>
      <c r="L75" s="15">
        <v>2.09267</v>
      </c>
      <c r="M75" s="15">
        <v>0</v>
      </c>
      <c r="N75" s="15">
        <v>64.458799999999997</v>
      </c>
      <c r="O75" s="15" t="s">
        <v>23</v>
      </c>
    </row>
    <row r="76" spans="1:15" x14ac:dyDescent="0.55000000000000004">
      <c r="A76" s="15">
        <v>1776080706</v>
      </c>
      <c r="B76" s="15" t="s">
        <v>16</v>
      </c>
      <c r="C76" s="15" t="s">
        <v>17</v>
      </c>
      <c r="D76" s="15">
        <v>4706.83</v>
      </c>
      <c r="E76" s="15" t="s">
        <v>18</v>
      </c>
      <c r="F76" s="15">
        <v>4703.7700000000004</v>
      </c>
      <c r="G76" s="15">
        <v>-36.24</v>
      </c>
      <c r="H76" s="15">
        <v>-0.76</v>
      </c>
      <c r="I76" s="15">
        <v>3</v>
      </c>
      <c r="J76" s="15">
        <v>16</v>
      </c>
      <c r="K76" s="15">
        <v>3</v>
      </c>
      <c r="L76" s="15">
        <v>-2.2650000000000001</v>
      </c>
      <c r="M76" s="15">
        <v>3</v>
      </c>
      <c r="N76" s="15">
        <v>-66.1785</v>
      </c>
      <c r="O76" s="15" t="s">
        <v>19</v>
      </c>
    </row>
    <row r="77" spans="1:15" x14ac:dyDescent="0.55000000000000004">
      <c r="A77" s="15">
        <v>1776087906</v>
      </c>
      <c r="B77" s="15" t="s">
        <v>16</v>
      </c>
      <c r="C77" s="15" t="s">
        <v>17</v>
      </c>
      <c r="D77" s="15">
        <v>4730.5600000000004</v>
      </c>
      <c r="E77" s="15" t="s">
        <v>20</v>
      </c>
      <c r="F77" s="15">
        <v>4744.59</v>
      </c>
      <c r="G77" s="15">
        <v>40.82</v>
      </c>
      <c r="H77" s="15">
        <v>0.87</v>
      </c>
      <c r="I77" s="15">
        <v>0</v>
      </c>
      <c r="J77" s="15">
        <v>8</v>
      </c>
      <c r="K77" s="15">
        <v>0</v>
      </c>
      <c r="L77" s="15">
        <v>5.1025</v>
      </c>
      <c r="M77" s="15">
        <v>0</v>
      </c>
      <c r="N77" s="15">
        <v>78.911600000000007</v>
      </c>
      <c r="O77" s="15" t="s">
        <v>23</v>
      </c>
    </row>
    <row r="78" spans="1:15" x14ac:dyDescent="0.55000000000000004">
      <c r="A78" s="15">
        <v>1776092406</v>
      </c>
      <c r="B78" s="15" t="s">
        <v>16</v>
      </c>
      <c r="C78" s="15" t="s">
        <v>17</v>
      </c>
      <c r="D78" s="15">
        <v>4707.72</v>
      </c>
      <c r="E78" s="15" t="s">
        <v>18</v>
      </c>
      <c r="F78" s="15">
        <v>4700.51</v>
      </c>
      <c r="G78" s="15">
        <v>-44.08</v>
      </c>
      <c r="H78" s="15">
        <v>-0.93</v>
      </c>
      <c r="I78" s="15">
        <v>3</v>
      </c>
      <c r="J78" s="15">
        <v>5</v>
      </c>
      <c r="K78" s="15">
        <v>3</v>
      </c>
      <c r="L78" s="15">
        <v>-8.8160000000000007</v>
      </c>
      <c r="M78" s="15">
        <v>3</v>
      </c>
      <c r="N78" s="15">
        <v>-83.528599999999997</v>
      </c>
      <c r="O78" s="15" t="s">
        <v>19</v>
      </c>
    </row>
    <row r="79" spans="1:15" x14ac:dyDescent="0.55000000000000004">
      <c r="A79" s="15">
        <v>1776134706</v>
      </c>
      <c r="B79" s="15" t="s">
        <v>16</v>
      </c>
      <c r="C79" s="15" t="s">
        <v>17</v>
      </c>
      <c r="D79" s="15">
        <v>4775.32</v>
      </c>
      <c r="E79" s="15" t="s">
        <v>20</v>
      </c>
      <c r="F79" s="15">
        <v>4777.24</v>
      </c>
      <c r="G79" s="15">
        <v>76.73</v>
      </c>
      <c r="H79" s="15">
        <v>1.63</v>
      </c>
      <c r="I79" s="15">
        <v>0</v>
      </c>
      <c r="J79" s="15">
        <v>43</v>
      </c>
      <c r="K79" s="15">
        <v>1</v>
      </c>
      <c r="L79" s="15">
        <v>1.7844199999999999</v>
      </c>
      <c r="M79" s="15">
        <v>0</v>
      </c>
      <c r="N79" s="15">
        <v>60.733400000000003</v>
      </c>
      <c r="O79" s="15" t="s">
        <v>23</v>
      </c>
    </row>
    <row r="80" spans="1:15" x14ac:dyDescent="0.55000000000000004">
      <c r="A80" s="15">
        <v>1776144606</v>
      </c>
      <c r="B80" s="15" t="s">
        <v>16</v>
      </c>
      <c r="C80" s="15" t="s">
        <v>17</v>
      </c>
      <c r="D80" s="15">
        <v>4761.1899999999996</v>
      </c>
      <c r="E80" s="15" t="s">
        <v>18</v>
      </c>
      <c r="F80" s="15">
        <v>4757.92</v>
      </c>
      <c r="G80" s="15">
        <v>-19.32</v>
      </c>
      <c r="H80" s="15">
        <v>-0.4</v>
      </c>
      <c r="I80" s="15">
        <v>3</v>
      </c>
      <c r="J80" s="15">
        <v>11</v>
      </c>
      <c r="K80" s="15">
        <v>3</v>
      </c>
      <c r="L80" s="15">
        <v>-1.7563599999999999</v>
      </c>
      <c r="M80" s="15">
        <v>3</v>
      </c>
      <c r="N80" s="15">
        <v>-60.3446</v>
      </c>
      <c r="O80" s="15" t="s">
        <v>22</v>
      </c>
    </row>
    <row r="81" spans="1:15" x14ac:dyDescent="0.55000000000000004">
      <c r="A81" s="15">
        <v>1776150006</v>
      </c>
      <c r="B81" s="15" t="s">
        <v>16</v>
      </c>
      <c r="C81" s="15" t="s">
        <v>17</v>
      </c>
      <c r="D81" s="15">
        <v>4790.2</v>
      </c>
      <c r="E81" s="15" t="s">
        <v>20</v>
      </c>
      <c r="F81" s="15">
        <v>4796.16</v>
      </c>
      <c r="G81" s="15">
        <v>38.24</v>
      </c>
      <c r="H81" s="15">
        <v>0.8</v>
      </c>
      <c r="I81" s="15">
        <v>0</v>
      </c>
      <c r="J81" s="15">
        <v>6</v>
      </c>
      <c r="K81" s="15">
        <v>0</v>
      </c>
      <c r="L81" s="15">
        <v>6.3733300000000002</v>
      </c>
      <c r="M81" s="15">
        <v>0</v>
      </c>
      <c r="N81" s="15">
        <v>81.082800000000006</v>
      </c>
      <c r="O81" s="15" t="s">
        <v>23</v>
      </c>
    </row>
    <row r="82" spans="1:15" x14ac:dyDescent="0.55000000000000004">
      <c r="A82" s="15">
        <v>1776162606</v>
      </c>
      <c r="B82" s="15" t="s">
        <v>16</v>
      </c>
      <c r="C82" s="15" t="s">
        <v>17</v>
      </c>
      <c r="D82" s="15">
        <v>4767.71</v>
      </c>
      <c r="E82" s="15" t="s">
        <v>18</v>
      </c>
      <c r="F82" s="15">
        <v>4752.6000000000004</v>
      </c>
      <c r="G82" s="15">
        <v>-43.56</v>
      </c>
      <c r="H82" s="15">
        <v>-0.91</v>
      </c>
      <c r="I82" s="15">
        <v>3</v>
      </c>
      <c r="J82" s="15">
        <v>14</v>
      </c>
      <c r="K82" s="15">
        <v>3</v>
      </c>
      <c r="L82" s="15">
        <v>-3.1114299999999999</v>
      </c>
      <c r="M82" s="15">
        <v>3</v>
      </c>
      <c r="N82" s="15">
        <v>-72.1828</v>
      </c>
      <c r="O82" s="15" t="s">
        <v>19</v>
      </c>
    </row>
    <row r="83" spans="1:15" x14ac:dyDescent="0.55000000000000004">
      <c r="A83" s="15">
        <v>1776204006</v>
      </c>
      <c r="B83" s="15" t="s">
        <v>16</v>
      </c>
      <c r="C83" s="15" t="s">
        <v>17</v>
      </c>
      <c r="D83" s="15">
        <v>4844.74</v>
      </c>
      <c r="E83" s="15" t="s">
        <v>20</v>
      </c>
      <c r="F83" s="15">
        <v>4850.7700000000004</v>
      </c>
      <c r="G83" s="15">
        <v>98.17</v>
      </c>
      <c r="H83" s="15">
        <v>2.0699999999999998</v>
      </c>
      <c r="I83" s="15">
        <v>0</v>
      </c>
      <c r="J83" s="15">
        <v>42</v>
      </c>
      <c r="K83" s="15">
        <v>1</v>
      </c>
      <c r="L83" s="15">
        <v>2.33738</v>
      </c>
      <c r="M83" s="15">
        <v>0</v>
      </c>
      <c r="N83" s="15">
        <v>66.837299999999999</v>
      </c>
      <c r="O83" s="15" t="s">
        <v>23</v>
      </c>
    </row>
    <row r="84" spans="1:15" x14ac:dyDescent="0.55000000000000004">
      <c r="A84" s="15">
        <v>1776213006</v>
      </c>
      <c r="B84" s="15" t="s">
        <v>16</v>
      </c>
      <c r="C84" s="15" t="s">
        <v>17</v>
      </c>
      <c r="D84" s="15">
        <v>4830.1099999999997</v>
      </c>
      <c r="E84" s="15" t="s">
        <v>18</v>
      </c>
      <c r="F84" s="15">
        <v>4827.08</v>
      </c>
      <c r="G84" s="15">
        <v>-23.69</v>
      </c>
      <c r="H84" s="15">
        <v>-0.49</v>
      </c>
      <c r="I84" s="15">
        <v>3</v>
      </c>
      <c r="J84" s="15">
        <v>10</v>
      </c>
      <c r="K84" s="15">
        <v>3</v>
      </c>
      <c r="L84" s="15">
        <v>-2.3690000000000002</v>
      </c>
      <c r="M84" s="15">
        <v>3</v>
      </c>
      <c r="N84" s="15">
        <v>-67.114500000000007</v>
      </c>
      <c r="O84" s="15" t="s">
        <v>22</v>
      </c>
    </row>
    <row r="85" spans="1:15" x14ac:dyDescent="0.55000000000000004">
      <c r="A85" s="15">
        <v>1776215706</v>
      </c>
      <c r="B85" s="15" t="s">
        <v>16</v>
      </c>
      <c r="C85" s="15" t="s">
        <v>17</v>
      </c>
      <c r="D85" s="15">
        <v>4850.79</v>
      </c>
      <c r="E85" s="15" t="s">
        <v>20</v>
      </c>
      <c r="F85" s="15">
        <v>4871.22</v>
      </c>
      <c r="G85" s="15">
        <v>44.14</v>
      </c>
      <c r="H85" s="15">
        <v>0.91</v>
      </c>
      <c r="I85" s="15">
        <v>0</v>
      </c>
      <c r="J85" s="15">
        <v>3</v>
      </c>
      <c r="K85" s="15">
        <v>0</v>
      </c>
      <c r="L85" s="15">
        <v>14.713329999999999</v>
      </c>
      <c r="M85" s="15">
        <v>0</v>
      </c>
      <c r="N85" s="15">
        <v>86.111800000000002</v>
      </c>
      <c r="O85" s="15" t="s">
        <v>23</v>
      </c>
    </row>
    <row r="86" spans="1:15" x14ac:dyDescent="0.55000000000000004">
      <c r="A86" s="15">
        <v>1776246306</v>
      </c>
      <c r="B86" s="15" t="s">
        <v>16</v>
      </c>
      <c r="C86" s="15" t="s">
        <v>17</v>
      </c>
      <c r="D86" s="15">
        <v>4798.21</v>
      </c>
      <c r="E86" s="15" t="s">
        <v>18</v>
      </c>
      <c r="F86" s="15">
        <v>4786.2299999999996</v>
      </c>
      <c r="G86" s="15">
        <v>-84.99</v>
      </c>
      <c r="H86" s="15">
        <v>-1.74</v>
      </c>
      <c r="I86" s="15">
        <v>3</v>
      </c>
      <c r="J86" s="15">
        <v>34</v>
      </c>
      <c r="K86" s="15">
        <v>3</v>
      </c>
      <c r="L86" s="15">
        <v>-2.4997099999999999</v>
      </c>
      <c r="M86" s="15">
        <v>3</v>
      </c>
      <c r="N86" s="15">
        <v>-68.196299999999994</v>
      </c>
      <c r="O86" s="15" t="s">
        <v>19</v>
      </c>
    </row>
    <row r="87" spans="1:15" x14ac:dyDescent="0.55000000000000004">
      <c r="A87" s="15">
        <v>1776262506</v>
      </c>
      <c r="B87" s="15" t="s">
        <v>16</v>
      </c>
      <c r="C87" s="15" t="s">
        <v>17</v>
      </c>
      <c r="D87" s="15">
        <v>4825.22</v>
      </c>
      <c r="E87" s="15" t="s">
        <v>20</v>
      </c>
      <c r="F87" s="15">
        <v>4830.3900000000003</v>
      </c>
      <c r="G87" s="15">
        <v>44.16</v>
      </c>
      <c r="H87" s="15">
        <v>0.92</v>
      </c>
      <c r="I87" s="15">
        <v>0</v>
      </c>
      <c r="J87" s="15">
        <v>18</v>
      </c>
      <c r="K87" s="15">
        <v>0</v>
      </c>
      <c r="L87" s="15">
        <v>2.4533299999999998</v>
      </c>
      <c r="M87" s="15">
        <v>0</v>
      </c>
      <c r="N87" s="15">
        <v>67.823800000000006</v>
      </c>
      <c r="O87" s="15" t="s">
        <v>21</v>
      </c>
    </row>
    <row r="88" spans="1:15" x14ac:dyDescent="0.55000000000000004">
      <c r="A88" s="15">
        <v>1776267006</v>
      </c>
      <c r="B88" s="15" t="s">
        <v>16</v>
      </c>
      <c r="C88" s="15" t="s">
        <v>17</v>
      </c>
      <c r="D88" s="15">
        <v>4803.6400000000003</v>
      </c>
      <c r="E88" s="15" t="s">
        <v>18</v>
      </c>
      <c r="F88" s="15">
        <v>4787.17</v>
      </c>
      <c r="G88" s="15">
        <v>-43.22</v>
      </c>
      <c r="H88" s="15">
        <v>-0.89</v>
      </c>
      <c r="I88" s="15">
        <v>3</v>
      </c>
      <c r="J88" s="15">
        <v>5</v>
      </c>
      <c r="K88" s="15">
        <v>3</v>
      </c>
      <c r="L88" s="15">
        <v>-8.6440000000000001</v>
      </c>
      <c r="M88" s="15">
        <v>3</v>
      </c>
      <c r="N88" s="15">
        <v>-83.400899999999993</v>
      </c>
      <c r="O88" s="15" t="s">
        <v>22</v>
      </c>
    </row>
    <row r="89" spans="1:15" x14ac:dyDescent="0.55000000000000004">
      <c r="A89" s="15">
        <v>1776315606</v>
      </c>
      <c r="B89" s="15" t="s">
        <v>16</v>
      </c>
      <c r="C89" s="15" t="s">
        <v>17</v>
      </c>
      <c r="D89" s="15">
        <v>4834.26</v>
      </c>
      <c r="E89" s="15" t="s">
        <v>20</v>
      </c>
      <c r="F89" s="15">
        <v>4838.38</v>
      </c>
      <c r="G89" s="15">
        <v>51.21</v>
      </c>
      <c r="H89" s="15">
        <v>1.07</v>
      </c>
      <c r="I89" s="15">
        <v>0</v>
      </c>
      <c r="J89" s="15">
        <v>50</v>
      </c>
      <c r="K89" s="15">
        <v>2</v>
      </c>
      <c r="L89" s="15">
        <v>1.0242</v>
      </c>
      <c r="M89" s="15">
        <v>0</v>
      </c>
      <c r="N89" s="15">
        <v>45.685000000000002</v>
      </c>
      <c r="O89" s="15" t="s">
        <v>23</v>
      </c>
    </row>
    <row r="90" spans="1:15" x14ac:dyDescent="0.55000000000000004">
      <c r="A90" s="15">
        <v>1776335406</v>
      </c>
      <c r="B90" s="15" t="s">
        <v>16</v>
      </c>
      <c r="C90" s="15" t="s">
        <v>17</v>
      </c>
      <c r="D90" s="15">
        <v>4808.3999999999996</v>
      </c>
      <c r="E90" s="15" t="s">
        <v>18</v>
      </c>
      <c r="F90" s="15">
        <v>4805.21</v>
      </c>
      <c r="G90" s="15">
        <v>-33.17</v>
      </c>
      <c r="H90" s="15">
        <v>-0.69</v>
      </c>
      <c r="I90" s="15">
        <v>3</v>
      </c>
      <c r="J90" s="15">
        <v>22</v>
      </c>
      <c r="K90" s="15">
        <v>3</v>
      </c>
      <c r="L90" s="15">
        <v>-1.50773</v>
      </c>
      <c r="M90" s="15">
        <v>3</v>
      </c>
      <c r="N90" s="15">
        <v>-56.445700000000002</v>
      </c>
      <c r="O90" s="15" t="s">
        <v>22</v>
      </c>
    </row>
    <row r="91" spans="1:15" x14ac:dyDescent="0.55000000000000004">
      <c r="A91" s="15">
        <v>1776346206</v>
      </c>
      <c r="B91" s="15" t="s">
        <v>16</v>
      </c>
      <c r="C91" s="15" t="s">
        <v>17</v>
      </c>
      <c r="D91" s="15">
        <v>4816.26</v>
      </c>
      <c r="E91" s="15" t="s">
        <v>20</v>
      </c>
      <c r="F91" s="15">
        <v>4823.8100000000004</v>
      </c>
      <c r="G91" s="15">
        <v>18.600000000000001</v>
      </c>
      <c r="H91" s="15">
        <v>0.39</v>
      </c>
      <c r="I91" s="15">
        <v>0</v>
      </c>
      <c r="J91" s="15">
        <v>12</v>
      </c>
      <c r="K91" s="15">
        <v>0</v>
      </c>
      <c r="L91" s="15">
        <v>1.55</v>
      </c>
      <c r="M91" s="15">
        <v>0</v>
      </c>
      <c r="N91" s="15">
        <v>57.171500000000002</v>
      </c>
      <c r="O91" s="15" t="s">
        <v>21</v>
      </c>
    </row>
    <row r="92" spans="1:15" x14ac:dyDescent="0.55000000000000004">
      <c r="A92" s="15">
        <v>1776349806</v>
      </c>
      <c r="B92" s="15" t="s">
        <v>16</v>
      </c>
      <c r="C92" s="15" t="s">
        <v>17</v>
      </c>
      <c r="D92" s="15">
        <v>4787.7299999999996</v>
      </c>
      <c r="E92" s="15" t="s">
        <v>18</v>
      </c>
      <c r="F92" s="15">
        <v>4772.67</v>
      </c>
      <c r="G92" s="15">
        <v>-51.14</v>
      </c>
      <c r="H92" s="15">
        <v>-1.06</v>
      </c>
      <c r="I92" s="15">
        <v>3</v>
      </c>
      <c r="J92" s="15">
        <v>4</v>
      </c>
      <c r="K92" s="15">
        <v>3</v>
      </c>
      <c r="L92" s="15">
        <v>-12.785</v>
      </c>
      <c r="M92" s="15">
        <v>5</v>
      </c>
      <c r="N92" s="15">
        <v>-85.527600000000007</v>
      </c>
      <c r="O92" s="15" t="s">
        <v>19</v>
      </c>
    </row>
    <row r="93" spans="1:15" x14ac:dyDescent="0.55000000000000004">
      <c r="A93" s="15">
        <v>1776368706</v>
      </c>
      <c r="B93" s="15" t="s">
        <v>16</v>
      </c>
      <c r="C93" s="15" t="s">
        <v>17</v>
      </c>
      <c r="D93" s="15">
        <v>4793.5200000000004</v>
      </c>
      <c r="E93" s="15" t="s">
        <v>20</v>
      </c>
      <c r="F93" s="15">
        <v>4798.58</v>
      </c>
      <c r="G93" s="15">
        <v>25.91</v>
      </c>
      <c r="H93" s="15">
        <v>0.54</v>
      </c>
      <c r="I93" s="15">
        <v>0</v>
      </c>
      <c r="J93" s="15">
        <v>21</v>
      </c>
      <c r="K93" s="15">
        <v>0</v>
      </c>
      <c r="L93" s="15">
        <v>1.2338100000000001</v>
      </c>
      <c r="M93" s="15">
        <v>0</v>
      </c>
      <c r="N93" s="15">
        <v>50.975299999999997</v>
      </c>
      <c r="O93" s="15" t="s">
        <v>21</v>
      </c>
    </row>
    <row r="94" spans="1:15" x14ac:dyDescent="0.55000000000000004">
      <c r="A94" s="15">
        <v>1776384006</v>
      </c>
      <c r="B94" s="15" t="s">
        <v>16</v>
      </c>
      <c r="C94" s="15" t="s">
        <v>17</v>
      </c>
      <c r="D94" s="15">
        <v>4790.3999999999996</v>
      </c>
      <c r="E94" s="15" t="s">
        <v>18</v>
      </c>
      <c r="F94" s="15">
        <v>4786.1000000000004</v>
      </c>
      <c r="G94" s="15">
        <v>-12.48</v>
      </c>
      <c r="H94" s="15">
        <v>-0.26</v>
      </c>
      <c r="I94" s="15">
        <v>3</v>
      </c>
      <c r="J94" s="15">
        <v>13</v>
      </c>
      <c r="K94" s="15">
        <v>3</v>
      </c>
      <c r="L94" s="15">
        <v>-0.96</v>
      </c>
      <c r="M94" s="15">
        <v>3</v>
      </c>
      <c r="N94" s="15">
        <v>-43.8309</v>
      </c>
      <c r="O94" s="15" t="s">
        <v>22</v>
      </c>
    </row>
    <row r="95" spans="1:15" x14ac:dyDescent="0.55000000000000004">
      <c r="A95" s="15">
        <v>1776386706</v>
      </c>
      <c r="B95" s="15" t="s">
        <v>16</v>
      </c>
      <c r="C95" s="15" t="s">
        <v>17</v>
      </c>
      <c r="D95" s="15">
        <v>4794.8999999999996</v>
      </c>
      <c r="E95" s="15" t="s">
        <v>20</v>
      </c>
      <c r="F95" s="15">
        <v>4801.12</v>
      </c>
      <c r="G95" s="15">
        <v>15.02</v>
      </c>
      <c r="H95" s="15">
        <v>0.31</v>
      </c>
      <c r="I95" s="15">
        <v>0</v>
      </c>
      <c r="J95" s="15">
        <v>3</v>
      </c>
      <c r="K95" s="15">
        <v>0</v>
      </c>
      <c r="L95" s="15">
        <v>5.0066699999999997</v>
      </c>
      <c r="M95" s="15">
        <v>0</v>
      </c>
      <c r="N95" s="15">
        <v>78.704700000000003</v>
      </c>
      <c r="O95" s="15" t="s">
        <v>23</v>
      </c>
    </row>
    <row r="96" spans="1:15" x14ac:dyDescent="0.55000000000000004">
      <c r="A96" s="15">
        <v>1776389406</v>
      </c>
      <c r="B96" s="15" t="s">
        <v>16</v>
      </c>
      <c r="C96" s="15" t="s">
        <v>17</v>
      </c>
      <c r="D96" s="15">
        <v>4777.87</v>
      </c>
      <c r="E96" s="15" t="s">
        <v>18</v>
      </c>
      <c r="F96" s="15">
        <v>4768.07</v>
      </c>
      <c r="G96" s="15">
        <v>-33.049999999999997</v>
      </c>
      <c r="H96" s="15">
        <v>-0.69</v>
      </c>
      <c r="I96" s="15">
        <v>3</v>
      </c>
      <c r="J96" s="15">
        <v>3</v>
      </c>
      <c r="K96" s="15">
        <v>3</v>
      </c>
      <c r="L96" s="15">
        <v>-11.01667</v>
      </c>
      <c r="M96" s="15">
        <v>5</v>
      </c>
      <c r="N96" s="15">
        <v>-84.813400000000001</v>
      </c>
      <c r="O96" s="15" t="s">
        <v>19</v>
      </c>
    </row>
    <row r="97" spans="1:15" x14ac:dyDescent="0.55000000000000004">
      <c r="A97" s="15">
        <v>1776402006</v>
      </c>
      <c r="B97" s="15" t="s">
        <v>16</v>
      </c>
      <c r="C97" s="15" t="s">
        <v>17</v>
      </c>
      <c r="D97" s="15">
        <v>4804.78</v>
      </c>
      <c r="E97" s="15" t="s">
        <v>20</v>
      </c>
      <c r="F97" s="15">
        <v>4805.97</v>
      </c>
      <c r="G97" s="15">
        <v>37.9</v>
      </c>
      <c r="H97" s="15">
        <v>0.79</v>
      </c>
      <c r="I97" s="15">
        <v>0</v>
      </c>
      <c r="J97" s="15">
        <v>14</v>
      </c>
      <c r="K97" s="15">
        <v>0</v>
      </c>
      <c r="L97" s="15">
        <v>2.7071399999999999</v>
      </c>
      <c r="M97" s="15">
        <v>0</v>
      </c>
      <c r="N97" s="15">
        <v>69.726100000000002</v>
      </c>
      <c r="O97" s="15" t="s">
        <v>23</v>
      </c>
    </row>
    <row r="98" spans="1:15" x14ac:dyDescent="0.55000000000000004">
      <c r="A98" s="15">
        <v>1776411906</v>
      </c>
      <c r="B98" s="15" t="s">
        <v>16</v>
      </c>
      <c r="C98" s="15" t="s">
        <v>17</v>
      </c>
      <c r="D98" s="15">
        <v>4784.38</v>
      </c>
      <c r="E98" s="15" t="s">
        <v>18</v>
      </c>
      <c r="F98" s="15">
        <v>4778.83</v>
      </c>
      <c r="G98" s="15">
        <v>-27.14</v>
      </c>
      <c r="H98" s="15">
        <v>-0.56000000000000005</v>
      </c>
      <c r="I98" s="15">
        <v>3</v>
      </c>
      <c r="J98" s="15">
        <v>11</v>
      </c>
      <c r="K98" s="15">
        <v>3</v>
      </c>
      <c r="L98" s="15">
        <v>-2.4672700000000001</v>
      </c>
      <c r="M98" s="15">
        <v>3</v>
      </c>
      <c r="N98" s="15">
        <v>-67.936999999999998</v>
      </c>
      <c r="O98" s="15" t="s">
        <v>22</v>
      </c>
    </row>
    <row r="99" spans="1:15" x14ac:dyDescent="0.55000000000000004">
      <c r="A99" s="15">
        <v>1776430806</v>
      </c>
      <c r="B99" s="15" t="s">
        <v>16</v>
      </c>
      <c r="C99" s="15" t="s">
        <v>17</v>
      </c>
      <c r="D99" s="15">
        <v>4883.6000000000004</v>
      </c>
      <c r="E99" s="15" t="s">
        <v>20</v>
      </c>
      <c r="F99" s="15">
        <v>4889.21</v>
      </c>
      <c r="G99" s="15">
        <v>110.38</v>
      </c>
      <c r="H99" s="15">
        <v>2.31</v>
      </c>
      <c r="I99" s="15">
        <v>0</v>
      </c>
      <c r="J99" s="15">
        <v>21</v>
      </c>
      <c r="K99" s="15">
        <v>0</v>
      </c>
      <c r="L99" s="15">
        <v>5.2561900000000001</v>
      </c>
      <c r="M99" s="15">
        <v>0</v>
      </c>
      <c r="N99" s="15">
        <v>79.228099999999998</v>
      </c>
      <c r="O99" s="15" t="s">
        <v>23</v>
      </c>
    </row>
    <row r="100" spans="1:15" x14ac:dyDescent="0.55000000000000004">
      <c r="A100" s="15">
        <v>1776642306</v>
      </c>
      <c r="B100" s="15" t="s">
        <v>16</v>
      </c>
      <c r="C100" s="15" t="s">
        <v>17</v>
      </c>
      <c r="D100" s="15">
        <v>4755.07</v>
      </c>
      <c r="E100" s="15" t="s">
        <v>18</v>
      </c>
      <c r="F100" s="15">
        <v>4736.96</v>
      </c>
      <c r="G100" s="15">
        <v>-152.25</v>
      </c>
      <c r="H100" s="15">
        <v>-3.11</v>
      </c>
      <c r="I100" s="15">
        <v>5</v>
      </c>
      <c r="J100" s="15">
        <v>39</v>
      </c>
      <c r="K100" s="15">
        <v>4</v>
      </c>
      <c r="L100" s="15">
        <v>-3.9038499999999998</v>
      </c>
      <c r="M100" s="15">
        <v>3</v>
      </c>
      <c r="N100" s="15">
        <v>-75.632199999999997</v>
      </c>
      <c r="O100" s="15" t="s">
        <v>19</v>
      </c>
    </row>
    <row r="101" spans="1:15" x14ac:dyDescent="0.55000000000000004">
      <c r="A101" s="15">
        <v>1776649506</v>
      </c>
      <c r="B101" s="15" t="s">
        <v>16</v>
      </c>
      <c r="C101" s="15" t="s">
        <v>17</v>
      </c>
      <c r="D101" s="15">
        <v>4807.6000000000004</v>
      </c>
      <c r="E101" s="15" t="s">
        <v>20</v>
      </c>
      <c r="F101" s="15">
        <v>4814.28</v>
      </c>
      <c r="G101" s="15">
        <v>77.319999999999993</v>
      </c>
      <c r="H101" s="15">
        <v>1.63</v>
      </c>
      <c r="I101" s="15">
        <v>0</v>
      </c>
      <c r="J101" s="15">
        <v>8</v>
      </c>
      <c r="K101" s="15">
        <v>0</v>
      </c>
      <c r="L101" s="15">
        <v>9.6649999999999991</v>
      </c>
      <c r="M101" s="15">
        <v>1</v>
      </c>
      <c r="N101" s="15">
        <v>84.092799999999997</v>
      </c>
      <c r="O101" s="15" t="s">
        <v>21</v>
      </c>
    </row>
    <row r="102" spans="1:15" x14ac:dyDescent="0.55000000000000004">
      <c r="A102" s="15">
        <v>1776663006</v>
      </c>
      <c r="B102" s="15" t="s">
        <v>16</v>
      </c>
      <c r="C102" s="15" t="s">
        <v>17</v>
      </c>
      <c r="D102" s="15">
        <v>4780.97</v>
      </c>
      <c r="E102" s="15" t="s">
        <v>18</v>
      </c>
      <c r="F102" s="15">
        <v>4779.8</v>
      </c>
      <c r="G102" s="15">
        <v>-34.479999999999997</v>
      </c>
      <c r="H102" s="15">
        <v>-0.72</v>
      </c>
      <c r="I102" s="15">
        <v>3</v>
      </c>
      <c r="J102" s="15">
        <v>15</v>
      </c>
      <c r="K102" s="15">
        <v>3</v>
      </c>
      <c r="L102" s="15">
        <v>-2.29867</v>
      </c>
      <c r="M102" s="15">
        <v>3</v>
      </c>
      <c r="N102" s="15">
        <v>-66.4893</v>
      </c>
      <c r="O102" s="15" t="s">
        <v>22</v>
      </c>
    </row>
    <row r="103" spans="1:15" x14ac:dyDescent="0.55000000000000004">
      <c r="A103" s="15">
        <v>1776669306</v>
      </c>
      <c r="B103" s="15" t="s">
        <v>16</v>
      </c>
      <c r="C103" s="15" t="s">
        <v>17</v>
      </c>
      <c r="D103" s="15">
        <v>4797.92</v>
      </c>
      <c r="E103" s="15" t="s">
        <v>20</v>
      </c>
      <c r="F103" s="15">
        <v>4805.79</v>
      </c>
      <c r="G103" s="15">
        <v>25.99</v>
      </c>
      <c r="H103" s="15">
        <v>0.54</v>
      </c>
      <c r="I103" s="15">
        <v>0</v>
      </c>
      <c r="J103" s="15">
        <v>7</v>
      </c>
      <c r="K103" s="15">
        <v>0</v>
      </c>
      <c r="L103" s="15">
        <v>3.71286</v>
      </c>
      <c r="M103" s="15">
        <v>0</v>
      </c>
      <c r="N103" s="15">
        <v>74.926000000000002</v>
      </c>
      <c r="O103" s="15" t="s">
        <v>21</v>
      </c>
    </row>
    <row r="104" spans="1:15" x14ac:dyDescent="0.55000000000000004">
      <c r="A104" s="15">
        <v>1776677406</v>
      </c>
      <c r="B104" s="15" t="s">
        <v>16</v>
      </c>
      <c r="C104" s="15" t="s">
        <v>17</v>
      </c>
      <c r="D104" s="15">
        <v>4791.96</v>
      </c>
      <c r="E104" s="15" t="s">
        <v>18</v>
      </c>
      <c r="F104" s="15">
        <v>4783.51</v>
      </c>
      <c r="G104" s="15">
        <v>-22.28</v>
      </c>
      <c r="H104" s="15">
        <v>-0.46</v>
      </c>
      <c r="I104" s="15">
        <v>3</v>
      </c>
      <c r="J104" s="15">
        <v>9</v>
      </c>
      <c r="K104" s="15">
        <v>3</v>
      </c>
      <c r="L104" s="15">
        <v>-2.4755600000000002</v>
      </c>
      <c r="M104" s="15">
        <v>3</v>
      </c>
      <c r="N104" s="15">
        <v>-68.003799999999998</v>
      </c>
      <c r="O104" s="15" t="s">
        <v>22</v>
      </c>
    </row>
    <row r="105" spans="1:15" x14ac:dyDescent="0.55000000000000004">
      <c r="A105" s="15">
        <v>1776695406</v>
      </c>
      <c r="B105" s="15" t="s">
        <v>16</v>
      </c>
      <c r="C105" s="15" t="s">
        <v>17</v>
      </c>
      <c r="D105" s="15">
        <v>4814.18</v>
      </c>
      <c r="E105" s="15" t="s">
        <v>20</v>
      </c>
      <c r="F105" s="15">
        <v>4827.74</v>
      </c>
      <c r="G105" s="15">
        <v>44.23</v>
      </c>
      <c r="H105" s="15">
        <v>0.92</v>
      </c>
      <c r="I105" s="15">
        <v>0</v>
      </c>
      <c r="J105" s="15">
        <v>20</v>
      </c>
      <c r="K105" s="15">
        <v>0</v>
      </c>
      <c r="L105" s="15">
        <v>2.2115</v>
      </c>
      <c r="M105" s="15">
        <v>0</v>
      </c>
      <c r="N105" s="15">
        <v>65.668400000000005</v>
      </c>
      <c r="O105" s="15" t="s">
        <v>23</v>
      </c>
    </row>
    <row r="106" spans="1:15" x14ac:dyDescent="0.55000000000000004">
      <c r="A106" s="15">
        <v>1776696306</v>
      </c>
      <c r="B106" s="15" t="s">
        <v>16</v>
      </c>
      <c r="C106" s="15" t="s">
        <v>17</v>
      </c>
      <c r="D106" s="15">
        <v>4805.3100000000004</v>
      </c>
      <c r="E106" s="15" t="s">
        <v>18</v>
      </c>
      <c r="F106" s="15">
        <v>4792.42</v>
      </c>
      <c r="G106" s="15">
        <v>-35.32</v>
      </c>
      <c r="H106" s="15">
        <v>-0.73</v>
      </c>
      <c r="I106" s="15">
        <v>3</v>
      </c>
      <c r="J106" s="15">
        <v>1</v>
      </c>
      <c r="K106" s="15">
        <v>3</v>
      </c>
      <c r="L106" s="15">
        <v>-35.32</v>
      </c>
      <c r="M106" s="15">
        <v>5</v>
      </c>
      <c r="N106" s="15">
        <v>-88.378200000000007</v>
      </c>
      <c r="O106" s="15" t="s">
        <v>22</v>
      </c>
    </row>
    <row r="107" spans="1:15" x14ac:dyDescent="0.55000000000000004">
      <c r="A107" s="15">
        <v>1776723306</v>
      </c>
      <c r="B107" s="15" t="s">
        <v>16</v>
      </c>
      <c r="C107" s="15" t="s">
        <v>17</v>
      </c>
      <c r="D107" s="15">
        <v>4828.53</v>
      </c>
      <c r="E107" s="15" t="s">
        <v>20</v>
      </c>
      <c r="F107" s="15">
        <v>4833.25</v>
      </c>
      <c r="G107" s="15">
        <v>40.83</v>
      </c>
      <c r="H107" s="15">
        <v>0.85</v>
      </c>
      <c r="I107" s="15">
        <v>0</v>
      </c>
      <c r="J107" s="15">
        <v>26</v>
      </c>
      <c r="K107" s="15">
        <v>0</v>
      </c>
      <c r="L107" s="15">
        <v>1.5703800000000001</v>
      </c>
      <c r="M107" s="15">
        <v>0</v>
      </c>
      <c r="N107" s="15">
        <v>57.511600000000001</v>
      </c>
      <c r="O107" s="15" t="s">
        <v>23</v>
      </c>
    </row>
    <row r="108" spans="1:15" x14ac:dyDescent="0.55000000000000004">
      <c r="A108" s="15">
        <v>1776754806</v>
      </c>
      <c r="B108" s="15" t="s">
        <v>16</v>
      </c>
      <c r="C108" s="15" t="s">
        <v>17</v>
      </c>
      <c r="D108" s="15">
        <v>4782.82</v>
      </c>
      <c r="E108" s="15" t="s">
        <v>18</v>
      </c>
      <c r="F108" s="15">
        <v>4772.78</v>
      </c>
      <c r="G108" s="15">
        <v>-60.47</v>
      </c>
      <c r="H108" s="15">
        <v>-1.25</v>
      </c>
      <c r="I108" s="15">
        <v>3</v>
      </c>
      <c r="J108" s="15">
        <v>35</v>
      </c>
      <c r="K108" s="15">
        <v>3</v>
      </c>
      <c r="L108" s="15">
        <v>-1.7277100000000001</v>
      </c>
      <c r="M108" s="15">
        <v>3</v>
      </c>
      <c r="N108" s="15">
        <v>-59.937800000000003</v>
      </c>
      <c r="O108" s="15" t="s">
        <v>19</v>
      </c>
    </row>
    <row r="109" spans="1:15" x14ac:dyDescent="0.55000000000000004">
      <c r="A109" s="15">
        <v>1776771906</v>
      </c>
      <c r="B109" s="15" t="s">
        <v>16</v>
      </c>
      <c r="C109" s="15" t="s">
        <v>17</v>
      </c>
      <c r="D109" s="15">
        <v>4794.6099999999997</v>
      </c>
      <c r="E109" s="15" t="s">
        <v>20</v>
      </c>
      <c r="F109" s="15">
        <v>4797.91</v>
      </c>
      <c r="G109" s="15">
        <v>25.13</v>
      </c>
      <c r="H109" s="15">
        <v>0.53</v>
      </c>
      <c r="I109" s="15">
        <v>0</v>
      </c>
      <c r="J109" s="15">
        <v>19</v>
      </c>
      <c r="K109" s="15">
        <v>0</v>
      </c>
      <c r="L109" s="15">
        <v>1.32263</v>
      </c>
      <c r="M109" s="15">
        <v>0</v>
      </c>
      <c r="N109" s="15">
        <v>52.908200000000001</v>
      </c>
      <c r="O109" s="15" t="s">
        <v>21</v>
      </c>
    </row>
    <row r="110" spans="1:15" x14ac:dyDescent="0.55000000000000004">
      <c r="A110" s="15">
        <v>1776799806</v>
      </c>
      <c r="B110" s="15" t="s">
        <v>16</v>
      </c>
      <c r="C110" s="15" t="s">
        <v>17</v>
      </c>
      <c r="D110" s="15">
        <v>4671.47</v>
      </c>
      <c r="E110" s="15" t="s">
        <v>18</v>
      </c>
      <c r="F110" s="15">
        <v>4668.6099999999997</v>
      </c>
      <c r="G110" s="15">
        <v>-129.30000000000001</v>
      </c>
      <c r="H110" s="15">
        <v>-2.69</v>
      </c>
      <c r="I110" s="15">
        <v>5</v>
      </c>
      <c r="J110" s="15">
        <v>31</v>
      </c>
      <c r="K110" s="15">
        <v>3</v>
      </c>
      <c r="L110" s="15">
        <v>-4.1709699999999996</v>
      </c>
      <c r="M110" s="15">
        <v>3</v>
      </c>
      <c r="N110" s="15">
        <v>-76.517700000000005</v>
      </c>
      <c r="O110" s="15" t="s">
        <v>19</v>
      </c>
    </row>
    <row r="111" spans="1:15" x14ac:dyDescent="0.55000000000000004">
      <c r="A111" s="15">
        <v>1776841206</v>
      </c>
      <c r="B111" s="15" t="s">
        <v>16</v>
      </c>
      <c r="C111" s="15" t="s">
        <v>17</v>
      </c>
      <c r="D111" s="15">
        <v>4765.67</v>
      </c>
      <c r="E111" s="15" t="s">
        <v>20</v>
      </c>
      <c r="F111" s="15">
        <v>4772.1499999999996</v>
      </c>
      <c r="G111" s="15">
        <v>103.54</v>
      </c>
      <c r="H111" s="15">
        <v>2.2200000000000002</v>
      </c>
      <c r="I111" s="15">
        <v>1</v>
      </c>
      <c r="J111" s="15">
        <v>42</v>
      </c>
      <c r="K111" s="15">
        <v>1</v>
      </c>
      <c r="L111" s="15">
        <v>2.4652400000000001</v>
      </c>
      <c r="M111" s="15">
        <v>0</v>
      </c>
      <c r="N111" s="15">
        <v>67.920500000000004</v>
      </c>
      <c r="O111" s="15" t="s">
        <v>21</v>
      </c>
    </row>
    <row r="112" spans="1:15" x14ac:dyDescent="0.55000000000000004">
      <c r="A112" s="15">
        <v>1776875406</v>
      </c>
      <c r="B112" s="15" t="s">
        <v>16</v>
      </c>
      <c r="C112" s="15" t="s">
        <v>17</v>
      </c>
      <c r="D112" s="15">
        <v>4728.3</v>
      </c>
      <c r="E112" s="15" t="s">
        <v>18</v>
      </c>
      <c r="F112" s="15">
        <v>4724.03</v>
      </c>
      <c r="G112" s="15">
        <v>-48.12</v>
      </c>
      <c r="H112" s="15">
        <v>-1.01</v>
      </c>
      <c r="I112" s="15">
        <v>3</v>
      </c>
      <c r="J112" s="15">
        <v>38</v>
      </c>
      <c r="K112" s="15">
        <v>4</v>
      </c>
      <c r="L112" s="15">
        <v>-1.2663199999999999</v>
      </c>
      <c r="M112" s="15">
        <v>3</v>
      </c>
      <c r="N112" s="15">
        <v>-51.702100000000002</v>
      </c>
      <c r="O112" s="15" t="s">
        <v>22</v>
      </c>
    </row>
    <row r="113" spans="1:15" x14ac:dyDescent="0.55000000000000004">
      <c r="A113" s="15">
        <v>1776883506</v>
      </c>
      <c r="B113" s="15" t="s">
        <v>16</v>
      </c>
      <c r="C113" s="15" t="s">
        <v>17</v>
      </c>
      <c r="D113" s="15">
        <v>4741.6899999999996</v>
      </c>
      <c r="E113" s="15" t="s">
        <v>20</v>
      </c>
      <c r="F113" s="15">
        <v>4749.34</v>
      </c>
      <c r="G113" s="15">
        <v>25.31</v>
      </c>
      <c r="H113" s="15">
        <v>0.54</v>
      </c>
      <c r="I113" s="15">
        <v>0</v>
      </c>
      <c r="J113" s="15">
        <v>9</v>
      </c>
      <c r="K113" s="15">
        <v>0</v>
      </c>
      <c r="L113" s="15">
        <v>2.8122199999999999</v>
      </c>
      <c r="M113" s="15">
        <v>0</v>
      </c>
      <c r="N113" s="15">
        <v>70.4251</v>
      </c>
      <c r="O113" s="15" t="s">
        <v>21</v>
      </c>
    </row>
    <row r="114" spans="1:15" x14ac:dyDescent="0.55000000000000004">
      <c r="A114" s="15">
        <v>1776903306</v>
      </c>
      <c r="B114" s="15" t="s">
        <v>16</v>
      </c>
      <c r="C114" s="15" t="s">
        <v>17</v>
      </c>
      <c r="D114" s="15">
        <v>4741.59</v>
      </c>
      <c r="E114" s="15" t="s">
        <v>18</v>
      </c>
      <c r="F114" s="15">
        <v>4694.34</v>
      </c>
      <c r="G114" s="15">
        <v>-55</v>
      </c>
      <c r="H114" s="15">
        <v>-1.1599999999999999</v>
      </c>
      <c r="I114" s="15">
        <v>3</v>
      </c>
      <c r="J114" s="15">
        <v>18</v>
      </c>
      <c r="K114" s="15">
        <v>3</v>
      </c>
      <c r="L114" s="15">
        <v>-3.0555599999999998</v>
      </c>
      <c r="M114" s="15">
        <v>3</v>
      </c>
      <c r="N114" s="15">
        <v>-71.878100000000003</v>
      </c>
      <c r="O114" s="15" t="s">
        <v>19</v>
      </c>
    </row>
    <row r="115" spans="1:15" x14ac:dyDescent="0.55000000000000004">
      <c r="A115" s="15">
        <v>1776905106</v>
      </c>
      <c r="B115" s="15" t="s">
        <v>16</v>
      </c>
      <c r="C115" s="15" t="s">
        <v>17</v>
      </c>
      <c r="D115" s="15">
        <v>4748.05</v>
      </c>
      <c r="E115" s="15" t="s">
        <v>20</v>
      </c>
      <c r="F115" s="15">
        <v>4753.33</v>
      </c>
      <c r="G115" s="15">
        <v>58.99</v>
      </c>
      <c r="H115" s="15">
        <v>1.26</v>
      </c>
      <c r="I115" s="15">
        <v>0</v>
      </c>
      <c r="J115" s="15">
        <v>2</v>
      </c>
      <c r="K115" s="15">
        <v>0</v>
      </c>
      <c r="L115" s="15">
        <v>29.495000000000001</v>
      </c>
      <c r="M115" s="15">
        <v>2</v>
      </c>
      <c r="N115" s="15">
        <v>88.058199999999999</v>
      </c>
      <c r="O115" s="15" t="s">
        <v>23</v>
      </c>
    </row>
    <row r="116" spans="1:15" x14ac:dyDescent="0.55000000000000004">
      <c r="A116" s="15">
        <v>1776922206</v>
      </c>
      <c r="B116" s="15" t="s">
        <v>16</v>
      </c>
      <c r="C116" s="15" t="s">
        <v>17</v>
      </c>
      <c r="D116" s="15">
        <v>4701.58</v>
      </c>
      <c r="E116" s="15" t="s">
        <v>18</v>
      </c>
      <c r="F116" s="15">
        <v>4693.0600000000004</v>
      </c>
      <c r="G116" s="15">
        <v>-60.27</v>
      </c>
      <c r="H116" s="15">
        <v>-1.27</v>
      </c>
      <c r="I116" s="15">
        <v>3</v>
      </c>
      <c r="J116" s="15">
        <v>19</v>
      </c>
      <c r="K116" s="15">
        <v>3</v>
      </c>
      <c r="L116" s="15">
        <v>-3.17211</v>
      </c>
      <c r="M116" s="15">
        <v>3</v>
      </c>
      <c r="N116" s="15">
        <v>-72.502600000000001</v>
      </c>
      <c r="O116" s="15" t="s">
        <v>19</v>
      </c>
    </row>
    <row r="117" spans="1:15" x14ac:dyDescent="0.55000000000000004">
      <c r="A117" s="15">
        <v>1776931206</v>
      </c>
      <c r="B117" s="15" t="s">
        <v>16</v>
      </c>
      <c r="C117" s="15" t="s">
        <v>17</v>
      </c>
      <c r="D117" s="15">
        <v>4718.21</v>
      </c>
      <c r="E117" s="15" t="s">
        <v>20</v>
      </c>
      <c r="F117" s="15">
        <v>4724.8900000000003</v>
      </c>
      <c r="G117" s="15">
        <v>31.83</v>
      </c>
      <c r="H117" s="15">
        <v>0.68</v>
      </c>
      <c r="I117" s="15">
        <v>0</v>
      </c>
      <c r="J117" s="15">
        <v>10</v>
      </c>
      <c r="K117" s="15">
        <v>0</v>
      </c>
      <c r="L117" s="15">
        <v>3.1829999999999998</v>
      </c>
      <c r="M117" s="15">
        <v>0</v>
      </c>
      <c r="N117" s="15">
        <v>72.558899999999994</v>
      </c>
      <c r="O117" s="15" t="s">
        <v>21</v>
      </c>
    </row>
    <row r="118" spans="1:15" x14ac:dyDescent="0.55000000000000004">
      <c r="A118" s="15">
        <v>1776940206</v>
      </c>
      <c r="B118" s="15" t="s">
        <v>16</v>
      </c>
      <c r="C118" s="15" t="s">
        <v>17</v>
      </c>
      <c r="D118" s="15">
        <v>4690.7700000000004</v>
      </c>
      <c r="E118" s="15" t="s">
        <v>18</v>
      </c>
      <c r="F118" s="15">
        <v>4684.26</v>
      </c>
      <c r="G118" s="15">
        <v>-40.630000000000003</v>
      </c>
      <c r="H118" s="15">
        <v>-0.86</v>
      </c>
      <c r="I118" s="15">
        <v>3</v>
      </c>
      <c r="J118" s="15">
        <v>10</v>
      </c>
      <c r="K118" s="15">
        <v>3</v>
      </c>
      <c r="L118" s="15">
        <v>-4.0629999999999997</v>
      </c>
      <c r="M118" s="15">
        <v>3</v>
      </c>
      <c r="N118" s="15">
        <v>-76.173000000000002</v>
      </c>
      <c r="O118" s="15" t="s">
        <v>19</v>
      </c>
    </row>
    <row r="119" spans="1:15" x14ac:dyDescent="0.55000000000000004">
      <c r="A119" s="15">
        <v>1776948306</v>
      </c>
      <c r="B119" s="15" t="s">
        <v>16</v>
      </c>
      <c r="C119" s="15" t="s">
        <v>17</v>
      </c>
      <c r="D119" s="15">
        <v>4740.04</v>
      </c>
      <c r="E119" s="15" t="s">
        <v>20</v>
      </c>
      <c r="F119" s="15">
        <v>4743.22</v>
      </c>
      <c r="G119" s="15">
        <v>58.96</v>
      </c>
      <c r="H119" s="15">
        <v>1.26</v>
      </c>
      <c r="I119" s="15">
        <v>0</v>
      </c>
      <c r="J119" s="15">
        <v>9</v>
      </c>
      <c r="K119" s="15">
        <v>0</v>
      </c>
      <c r="L119" s="15">
        <v>6.5511100000000004</v>
      </c>
      <c r="M119" s="15">
        <v>0</v>
      </c>
      <c r="N119" s="15">
        <v>81.320999999999998</v>
      </c>
      <c r="O119" s="15" t="s">
        <v>23</v>
      </c>
    </row>
    <row r="120" spans="1:15" x14ac:dyDescent="0.55000000000000004">
      <c r="A120" s="15">
        <v>1776966306</v>
      </c>
      <c r="B120" s="15" t="s">
        <v>16</v>
      </c>
      <c r="C120" s="15" t="s">
        <v>17</v>
      </c>
      <c r="D120" s="15">
        <v>4709.41</v>
      </c>
      <c r="E120" s="15" t="s">
        <v>18</v>
      </c>
      <c r="F120" s="15">
        <v>4664.3</v>
      </c>
      <c r="G120" s="15">
        <v>-78.92</v>
      </c>
      <c r="H120" s="15">
        <v>-1.66</v>
      </c>
      <c r="I120" s="15">
        <v>3</v>
      </c>
      <c r="J120" s="15">
        <v>20</v>
      </c>
      <c r="K120" s="15">
        <v>3</v>
      </c>
      <c r="L120" s="15">
        <v>-3.9460000000000002</v>
      </c>
      <c r="M120" s="15">
        <v>3</v>
      </c>
      <c r="N120" s="15">
        <v>-75.779399999999995</v>
      </c>
      <c r="O120" s="15" t="s">
        <v>19</v>
      </c>
    </row>
    <row r="121" spans="1:15" x14ac:dyDescent="0.55000000000000004">
      <c r="A121" s="15">
        <v>1776993306</v>
      </c>
      <c r="B121" s="15" t="s">
        <v>16</v>
      </c>
      <c r="C121" s="15" t="s">
        <v>17</v>
      </c>
      <c r="D121" s="15">
        <v>4698.41</v>
      </c>
      <c r="E121" s="15" t="s">
        <v>20</v>
      </c>
      <c r="F121" s="15">
        <v>4711.2299999999996</v>
      </c>
      <c r="G121" s="15">
        <v>46.93</v>
      </c>
      <c r="H121" s="15">
        <v>1.01</v>
      </c>
      <c r="I121" s="15">
        <v>0</v>
      </c>
      <c r="J121" s="15">
        <v>26</v>
      </c>
      <c r="K121" s="15">
        <v>0</v>
      </c>
      <c r="L121" s="15">
        <v>1.8049999999999999</v>
      </c>
      <c r="M121" s="15">
        <v>0</v>
      </c>
      <c r="N121" s="15">
        <v>61.012799999999999</v>
      </c>
      <c r="O121" s="15" t="s">
        <v>21</v>
      </c>
    </row>
    <row r="122" spans="1:15" x14ac:dyDescent="0.55000000000000004">
      <c r="A122" s="15">
        <v>1777005006</v>
      </c>
      <c r="B122" s="15" t="s">
        <v>16</v>
      </c>
      <c r="C122" s="15" t="s">
        <v>17</v>
      </c>
      <c r="D122" s="15">
        <v>4668.58</v>
      </c>
      <c r="E122" s="15" t="s">
        <v>18</v>
      </c>
      <c r="F122" s="15">
        <v>4658.17</v>
      </c>
      <c r="G122" s="15">
        <v>-53.06</v>
      </c>
      <c r="H122" s="15">
        <v>-1.1299999999999999</v>
      </c>
      <c r="I122" s="15">
        <v>3</v>
      </c>
      <c r="J122" s="15">
        <v>13</v>
      </c>
      <c r="K122" s="15">
        <v>3</v>
      </c>
      <c r="L122" s="15">
        <v>-4.0815400000000004</v>
      </c>
      <c r="M122" s="15">
        <v>3</v>
      </c>
      <c r="N122" s="15">
        <v>-76.233400000000003</v>
      </c>
      <c r="O122" s="15" t="s">
        <v>19</v>
      </c>
    </row>
    <row r="123" spans="1:15" x14ac:dyDescent="0.55000000000000004">
      <c r="A123" s="15">
        <v>1777018506</v>
      </c>
      <c r="B123" s="15" t="s">
        <v>16</v>
      </c>
      <c r="C123" s="15" t="s">
        <v>17</v>
      </c>
      <c r="D123" s="15">
        <v>4687.83</v>
      </c>
      <c r="E123" s="15" t="s">
        <v>20</v>
      </c>
      <c r="F123" s="15">
        <v>4697.42</v>
      </c>
      <c r="G123" s="15">
        <v>39.25</v>
      </c>
      <c r="H123" s="15">
        <v>0.84</v>
      </c>
      <c r="I123" s="15">
        <v>0</v>
      </c>
      <c r="J123" s="15">
        <v>15</v>
      </c>
      <c r="K123" s="15">
        <v>0</v>
      </c>
      <c r="L123" s="15">
        <v>2.6166700000000001</v>
      </c>
      <c r="M123" s="15">
        <v>0</v>
      </c>
      <c r="N123" s="15">
        <v>69.084900000000005</v>
      </c>
      <c r="O123" s="15" t="s">
        <v>21</v>
      </c>
    </row>
    <row r="124" spans="1:15" x14ac:dyDescent="0.55000000000000004">
      <c r="A124" s="15">
        <v>1777026606</v>
      </c>
      <c r="B124" s="15" t="s">
        <v>16</v>
      </c>
      <c r="C124" s="15" t="s">
        <v>17</v>
      </c>
      <c r="D124" s="15">
        <v>4679.01</v>
      </c>
      <c r="E124" s="15" t="s">
        <v>18</v>
      </c>
      <c r="F124" s="15">
        <v>4674.72</v>
      </c>
      <c r="G124" s="15">
        <v>-22.7</v>
      </c>
      <c r="H124" s="15">
        <v>-0.48</v>
      </c>
      <c r="I124" s="15">
        <v>3</v>
      </c>
      <c r="J124" s="15">
        <v>9</v>
      </c>
      <c r="K124" s="15">
        <v>3</v>
      </c>
      <c r="L124" s="15">
        <v>-2.5222199999999999</v>
      </c>
      <c r="M124" s="15">
        <v>3</v>
      </c>
      <c r="N124" s="15">
        <v>-68.372900000000001</v>
      </c>
      <c r="O124" s="15" t="s">
        <v>22</v>
      </c>
    </row>
    <row r="125" spans="1:15" x14ac:dyDescent="0.55000000000000004">
      <c r="A125" s="15">
        <v>1777039206</v>
      </c>
      <c r="B125" s="15" t="s">
        <v>16</v>
      </c>
      <c r="C125" s="15" t="s">
        <v>17</v>
      </c>
      <c r="D125" s="15">
        <v>4731.95</v>
      </c>
      <c r="E125" s="15" t="s">
        <v>20</v>
      </c>
      <c r="F125" s="15">
        <v>4740.49</v>
      </c>
      <c r="G125" s="15">
        <v>65.77</v>
      </c>
      <c r="H125" s="15">
        <v>1.41</v>
      </c>
      <c r="I125" s="15">
        <v>0</v>
      </c>
      <c r="J125" s="15">
        <v>14</v>
      </c>
      <c r="K125" s="15">
        <v>0</v>
      </c>
      <c r="L125" s="15">
        <v>4.6978600000000004</v>
      </c>
      <c r="M125" s="15">
        <v>0</v>
      </c>
      <c r="N125" s="15">
        <v>77.983199999999997</v>
      </c>
      <c r="O125" s="15" t="s">
        <v>23</v>
      </c>
    </row>
    <row r="126" spans="1:15" x14ac:dyDescent="0.55000000000000004">
      <c r="A126" s="15">
        <v>1777248006</v>
      </c>
      <c r="B126" s="15" t="s">
        <v>16</v>
      </c>
      <c r="C126" s="15" t="s">
        <v>17</v>
      </c>
      <c r="D126" s="15">
        <v>4679.8599999999997</v>
      </c>
      <c r="E126" s="15" t="s">
        <v>18</v>
      </c>
      <c r="F126" s="15">
        <v>4672.3500000000004</v>
      </c>
      <c r="G126" s="15">
        <v>-68.14</v>
      </c>
      <c r="H126" s="15">
        <v>-1.44</v>
      </c>
      <c r="I126" s="15">
        <v>3</v>
      </c>
      <c r="J126" s="15">
        <v>36</v>
      </c>
      <c r="K126" s="15">
        <v>4</v>
      </c>
      <c r="L126" s="15">
        <v>-1.8927799999999999</v>
      </c>
      <c r="M126" s="15">
        <v>3</v>
      </c>
      <c r="N126" s="15">
        <v>-62.151400000000002</v>
      </c>
      <c r="O126" s="15" t="s">
        <v>19</v>
      </c>
    </row>
    <row r="127" spans="1:15" x14ac:dyDescent="0.55000000000000004">
      <c r="A127" s="15">
        <v>1777264206</v>
      </c>
      <c r="B127" s="15" t="s">
        <v>16</v>
      </c>
      <c r="C127" s="15" t="s">
        <v>17</v>
      </c>
      <c r="D127" s="15">
        <v>4726.18</v>
      </c>
      <c r="E127" s="15" t="s">
        <v>20</v>
      </c>
      <c r="F127" s="15">
        <v>4729.92</v>
      </c>
      <c r="G127" s="15">
        <v>57.57</v>
      </c>
      <c r="H127" s="15">
        <v>1.23</v>
      </c>
      <c r="I127" s="15">
        <v>0</v>
      </c>
      <c r="J127" s="15">
        <v>18</v>
      </c>
      <c r="K127" s="15">
        <v>0</v>
      </c>
      <c r="L127" s="15">
        <v>3.1983299999999999</v>
      </c>
      <c r="M127" s="15">
        <v>0</v>
      </c>
      <c r="N127" s="15">
        <v>72.637500000000003</v>
      </c>
      <c r="O127" s="15" t="s">
        <v>21</v>
      </c>
    </row>
    <row r="128" spans="1:15" x14ac:dyDescent="0.55000000000000004">
      <c r="A128" s="15">
        <v>1777282206</v>
      </c>
      <c r="B128" s="15" t="s">
        <v>16</v>
      </c>
      <c r="C128" s="15" t="s">
        <v>17</v>
      </c>
      <c r="D128" s="15">
        <v>4704.6400000000003</v>
      </c>
      <c r="E128" s="15" t="s">
        <v>18</v>
      </c>
      <c r="F128" s="15">
        <v>4699.29</v>
      </c>
      <c r="G128" s="15">
        <v>-30.63</v>
      </c>
      <c r="H128" s="15">
        <v>-0.65</v>
      </c>
      <c r="I128" s="15">
        <v>3</v>
      </c>
      <c r="J128" s="15">
        <v>20</v>
      </c>
      <c r="K128" s="15">
        <v>3</v>
      </c>
      <c r="L128" s="15">
        <v>-1.5315000000000001</v>
      </c>
      <c r="M128" s="15">
        <v>3</v>
      </c>
      <c r="N128" s="15">
        <v>-56.857300000000002</v>
      </c>
      <c r="O128" s="15" t="s">
        <v>22</v>
      </c>
    </row>
    <row r="129" spans="1:15" x14ac:dyDescent="0.55000000000000004">
      <c r="A129" s="15">
        <v>1777292106</v>
      </c>
      <c r="B129" s="15" t="s">
        <v>16</v>
      </c>
      <c r="C129" s="15" t="s">
        <v>17</v>
      </c>
      <c r="D129" s="15">
        <v>4707.09</v>
      </c>
      <c r="E129" s="15" t="s">
        <v>20</v>
      </c>
      <c r="F129" s="15">
        <v>4712.59</v>
      </c>
      <c r="G129" s="15">
        <v>13.3</v>
      </c>
      <c r="H129" s="15">
        <v>0.28000000000000003</v>
      </c>
      <c r="I129" s="15">
        <v>0</v>
      </c>
      <c r="J129" s="15">
        <v>11</v>
      </c>
      <c r="K129" s="15">
        <v>0</v>
      </c>
      <c r="L129" s="15">
        <v>1.20909</v>
      </c>
      <c r="M129" s="15">
        <v>0</v>
      </c>
      <c r="N129" s="15">
        <v>50.4069</v>
      </c>
      <c r="O129" s="15" t="s">
        <v>21</v>
      </c>
    </row>
    <row r="130" spans="1:15" x14ac:dyDescent="0.55000000000000004">
      <c r="A130" s="15">
        <v>1777302006</v>
      </c>
      <c r="B130" s="15" t="s">
        <v>16</v>
      </c>
      <c r="C130" s="15" t="s">
        <v>17</v>
      </c>
      <c r="D130" s="15">
        <v>4674.6499999999996</v>
      </c>
      <c r="E130" s="15" t="s">
        <v>18</v>
      </c>
      <c r="F130" s="15">
        <v>4667.32</v>
      </c>
      <c r="G130" s="15">
        <v>-45.27</v>
      </c>
      <c r="H130" s="15">
        <v>-0.96</v>
      </c>
      <c r="I130" s="15">
        <v>3</v>
      </c>
      <c r="J130" s="15">
        <v>11</v>
      </c>
      <c r="K130" s="15">
        <v>3</v>
      </c>
      <c r="L130" s="15">
        <v>-4.1154500000000001</v>
      </c>
      <c r="M130" s="15">
        <v>3</v>
      </c>
      <c r="N130" s="15">
        <v>-76.342600000000004</v>
      </c>
      <c r="O130" s="15" t="s">
        <v>19</v>
      </c>
    </row>
    <row r="131" spans="1:15" x14ac:dyDescent="0.55000000000000004">
      <c r="A131" s="15">
        <v>1777334406</v>
      </c>
      <c r="B131" s="15" t="s">
        <v>16</v>
      </c>
      <c r="C131" s="15" t="s">
        <v>17</v>
      </c>
      <c r="D131" s="15">
        <v>4697.91</v>
      </c>
      <c r="E131" s="15" t="s">
        <v>20</v>
      </c>
      <c r="F131" s="15">
        <v>4701.1400000000003</v>
      </c>
      <c r="G131" s="15">
        <v>33.82</v>
      </c>
      <c r="H131" s="15">
        <v>0.72</v>
      </c>
      <c r="I131" s="15">
        <v>0</v>
      </c>
      <c r="J131" s="15">
        <v>32</v>
      </c>
      <c r="K131" s="15">
        <v>0</v>
      </c>
      <c r="L131" s="15">
        <v>1.05688</v>
      </c>
      <c r="M131" s="15">
        <v>0</v>
      </c>
      <c r="N131" s="15">
        <v>46.5839</v>
      </c>
      <c r="O131" s="15" t="s">
        <v>21</v>
      </c>
    </row>
    <row r="132" spans="1:15" x14ac:dyDescent="0.55000000000000004">
      <c r="A132" s="15">
        <v>1777377606</v>
      </c>
      <c r="B132" s="15" t="s">
        <v>16</v>
      </c>
      <c r="C132" s="15" t="s">
        <v>17</v>
      </c>
      <c r="D132" s="15">
        <v>4581.7299999999996</v>
      </c>
      <c r="E132" s="15" t="s">
        <v>18</v>
      </c>
      <c r="F132" s="15">
        <v>4555.12</v>
      </c>
      <c r="G132" s="15">
        <v>-146.02000000000001</v>
      </c>
      <c r="H132" s="15">
        <v>-3.11</v>
      </c>
      <c r="I132" s="15">
        <v>5</v>
      </c>
      <c r="J132" s="15">
        <v>48</v>
      </c>
      <c r="K132" s="15">
        <v>5</v>
      </c>
      <c r="L132" s="15">
        <v>-3.0420799999999999</v>
      </c>
      <c r="M132" s="15">
        <v>3</v>
      </c>
      <c r="N132" s="15">
        <v>-71.803200000000004</v>
      </c>
      <c r="O132" s="15" t="s">
        <v>19</v>
      </c>
    </row>
    <row r="133" spans="1:15" x14ac:dyDescent="0.55000000000000004">
      <c r="A133" s="15">
        <v>1777397406</v>
      </c>
      <c r="B133" s="15" t="s">
        <v>16</v>
      </c>
      <c r="C133" s="15" t="s">
        <v>17</v>
      </c>
      <c r="D133" s="15">
        <v>4599.0200000000004</v>
      </c>
      <c r="E133" s="15" t="s">
        <v>20</v>
      </c>
      <c r="F133" s="15">
        <v>4601.49</v>
      </c>
      <c r="G133" s="15">
        <v>46.37</v>
      </c>
      <c r="H133" s="15">
        <v>1.02</v>
      </c>
      <c r="I133" s="15">
        <v>0</v>
      </c>
      <c r="J133" s="15">
        <v>22</v>
      </c>
      <c r="K133" s="15">
        <v>0</v>
      </c>
      <c r="L133" s="15">
        <v>2.1077300000000001</v>
      </c>
      <c r="M133" s="15">
        <v>0</v>
      </c>
      <c r="N133" s="15">
        <v>64.618200000000002</v>
      </c>
      <c r="O133" s="15" t="s">
        <v>21</v>
      </c>
    </row>
    <row r="134" spans="1:15" x14ac:dyDescent="0.55000000000000004">
      <c r="A134" s="15">
        <v>1777419006</v>
      </c>
      <c r="B134" s="15" t="s">
        <v>16</v>
      </c>
      <c r="C134" s="15" t="s">
        <v>17</v>
      </c>
      <c r="D134" s="15">
        <v>4589.91</v>
      </c>
      <c r="E134" s="15" t="s">
        <v>18</v>
      </c>
      <c r="F134" s="15">
        <v>4587.93</v>
      </c>
      <c r="G134" s="15">
        <v>-13.56</v>
      </c>
      <c r="H134" s="15">
        <v>-0.28999999999999998</v>
      </c>
      <c r="I134" s="15">
        <v>3</v>
      </c>
      <c r="J134" s="15">
        <v>20</v>
      </c>
      <c r="K134" s="15">
        <v>3</v>
      </c>
      <c r="L134" s="15">
        <v>-0.67800000000000005</v>
      </c>
      <c r="M134" s="15">
        <v>3</v>
      </c>
      <c r="N134" s="15">
        <v>-34.137300000000003</v>
      </c>
      <c r="O134" s="15" t="s">
        <v>22</v>
      </c>
    </row>
    <row r="135" spans="1:15" x14ac:dyDescent="0.55000000000000004">
      <c r="A135" s="15">
        <v>1777420806</v>
      </c>
      <c r="B135" s="15" t="s">
        <v>16</v>
      </c>
      <c r="C135" s="15" t="s">
        <v>17</v>
      </c>
      <c r="D135" s="15">
        <v>4607.37</v>
      </c>
      <c r="E135" s="15" t="s">
        <v>20</v>
      </c>
      <c r="F135" s="15">
        <v>4610.1499999999996</v>
      </c>
      <c r="G135" s="15">
        <v>22.22</v>
      </c>
      <c r="H135" s="15">
        <v>0.48</v>
      </c>
      <c r="I135" s="15">
        <v>0</v>
      </c>
      <c r="J135" s="15">
        <v>2</v>
      </c>
      <c r="K135" s="15">
        <v>0</v>
      </c>
      <c r="L135" s="15">
        <v>11.11</v>
      </c>
      <c r="M135" s="15">
        <v>0</v>
      </c>
      <c r="N135" s="15">
        <v>84.856700000000004</v>
      </c>
      <c r="O135" s="15" t="s">
        <v>23</v>
      </c>
    </row>
    <row r="136" spans="1:15" x14ac:dyDescent="0.55000000000000004">
      <c r="A136" s="15">
        <v>1777424406</v>
      </c>
      <c r="B136" s="15" t="s">
        <v>16</v>
      </c>
      <c r="C136" s="15" t="s">
        <v>17</v>
      </c>
      <c r="D136" s="15">
        <v>4582.6499999999996</v>
      </c>
      <c r="E136" s="15" t="s">
        <v>18</v>
      </c>
      <c r="F136" s="15">
        <v>4575.84</v>
      </c>
      <c r="G136" s="15">
        <v>-34.31</v>
      </c>
      <c r="H136" s="15">
        <v>-0.74</v>
      </c>
      <c r="I136" s="15">
        <v>3</v>
      </c>
      <c r="J136" s="15">
        <v>4</v>
      </c>
      <c r="K136" s="15">
        <v>3</v>
      </c>
      <c r="L136" s="15">
        <v>-8.5775000000000006</v>
      </c>
      <c r="M136" s="15">
        <v>3</v>
      </c>
      <c r="N136" s="15">
        <v>-83.350200000000001</v>
      </c>
      <c r="O136" s="15" t="s">
        <v>19</v>
      </c>
    </row>
    <row r="137" spans="1:15" x14ac:dyDescent="0.55000000000000004">
      <c r="A137" s="15">
        <v>1777438806</v>
      </c>
      <c r="B137" s="15" t="s">
        <v>16</v>
      </c>
      <c r="C137" s="15" t="s">
        <v>17</v>
      </c>
      <c r="D137" s="15">
        <v>4601.1499999999996</v>
      </c>
      <c r="E137" s="15" t="s">
        <v>20</v>
      </c>
      <c r="F137" s="15">
        <v>4607.7700000000004</v>
      </c>
      <c r="G137" s="15">
        <v>31.93</v>
      </c>
      <c r="H137" s="15">
        <v>0.7</v>
      </c>
      <c r="I137" s="15">
        <v>0</v>
      </c>
      <c r="J137" s="15">
        <v>16</v>
      </c>
      <c r="K137" s="15">
        <v>0</v>
      </c>
      <c r="L137" s="15">
        <v>1.99563</v>
      </c>
      <c r="M137" s="15">
        <v>0</v>
      </c>
      <c r="N137" s="15">
        <v>63.384700000000002</v>
      </c>
      <c r="O137" s="15" t="s">
        <v>21</v>
      </c>
    </row>
    <row r="138" spans="1:15" x14ac:dyDescent="0.55000000000000004">
      <c r="A138" s="15">
        <v>1777470306</v>
      </c>
      <c r="B138" s="15" t="s">
        <v>16</v>
      </c>
      <c r="C138" s="15" t="s">
        <v>17</v>
      </c>
      <c r="D138" s="15">
        <v>4521.71</v>
      </c>
      <c r="E138" s="15" t="s">
        <v>18</v>
      </c>
      <c r="F138" s="15">
        <v>4510.28</v>
      </c>
      <c r="G138" s="15">
        <v>-97.49</v>
      </c>
      <c r="H138" s="15">
        <v>-2.12</v>
      </c>
      <c r="I138" s="15">
        <v>4</v>
      </c>
      <c r="J138" s="15">
        <v>35</v>
      </c>
      <c r="K138" s="15">
        <v>3</v>
      </c>
      <c r="L138" s="15">
        <v>-2.7854299999999999</v>
      </c>
      <c r="M138" s="15">
        <v>3</v>
      </c>
      <c r="N138" s="15">
        <v>-70.251300000000001</v>
      </c>
      <c r="O138" s="15" t="s">
        <v>19</v>
      </c>
    </row>
    <row r="139" spans="1:15" x14ac:dyDescent="0.55000000000000004">
      <c r="A139" s="15">
        <v>1777478406</v>
      </c>
      <c r="B139" s="15" t="s">
        <v>16</v>
      </c>
      <c r="C139" s="15" t="s">
        <v>17</v>
      </c>
      <c r="D139" s="15">
        <v>4559.1000000000004</v>
      </c>
      <c r="E139" s="15" t="s">
        <v>20</v>
      </c>
      <c r="F139" s="15">
        <v>4564.75</v>
      </c>
      <c r="G139" s="15">
        <v>54.47</v>
      </c>
      <c r="H139" s="15">
        <v>1.21</v>
      </c>
      <c r="I139" s="15">
        <v>0</v>
      </c>
      <c r="J139" s="15">
        <v>9</v>
      </c>
      <c r="K139" s="15">
        <v>0</v>
      </c>
      <c r="L139" s="15">
        <v>6.0522200000000002</v>
      </c>
      <c r="M139" s="15">
        <v>0</v>
      </c>
      <c r="N139" s="15">
        <v>80.617900000000006</v>
      </c>
      <c r="O139" s="15" t="s">
        <v>21</v>
      </c>
    </row>
    <row r="140" spans="1:15" x14ac:dyDescent="0.55000000000000004">
      <c r="A140" s="15">
        <v>1777488306</v>
      </c>
      <c r="B140" s="15" t="s">
        <v>16</v>
      </c>
      <c r="C140" s="15" t="s">
        <v>17</v>
      </c>
      <c r="D140" s="15">
        <v>4538.1899999999996</v>
      </c>
      <c r="E140" s="15" t="s">
        <v>18</v>
      </c>
      <c r="F140" s="15">
        <v>4518.41</v>
      </c>
      <c r="G140" s="15">
        <v>-46.34</v>
      </c>
      <c r="H140" s="15">
        <v>-1.02</v>
      </c>
      <c r="I140" s="15">
        <v>3</v>
      </c>
      <c r="J140" s="15">
        <v>11</v>
      </c>
      <c r="K140" s="15">
        <v>3</v>
      </c>
      <c r="L140" s="15">
        <v>-4.2127299999999996</v>
      </c>
      <c r="M140" s="15">
        <v>3</v>
      </c>
      <c r="N140" s="15">
        <v>-76.646500000000003</v>
      </c>
      <c r="O140" s="15" t="s">
        <v>22</v>
      </c>
    </row>
    <row r="141" spans="1:15" x14ac:dyDescent="0.55000000000000004">
      <c r="A141" s="15">
        <v>1777513506</v>
      </c>
      <c r="B141" s="15" t="s">
        <v>16</v>
      </c>
      <c r="C141" s="15" t="s">
        <v>17</v>
      </c>
      <c r="D141" s="15">
        <v>4579.13</v>
      </c>
      <c r="E141" s="15" t="s">
        <v>20</v>
      </c>
      <c r="F141" s="15">
        <v>4582.32</v>
      </c>
      <c r="G141" s="15">
        <v>63.91</v>
      </c>
      <c r="H141" s="15">
        <v>1.41</v>
      </c>
      <c r="I141" s="15">
        <v>0</v>
      </c>
      <c r="J141" s="15">
        <v>24</v>
      </c>
      <c r="K141" s="15">
        <v>0</v>
      </c>
      <c r="L141" s="15">
        <v>2.6629200000000002</v>
      </c>
      <c r="M141" s="15">
        <v>0</v>
      </c>
      <c r="N141" s="15">
        <v>69.417400000000001</v>
      </c>
      <c r="O141" s="15" t="s">
        <v>23</v>
      </c>
    </row>
    <row r="142" spans="1:15" x14ac:dyDescent="0.55000000000000004">
      <c r="A142" s="15">
        <v>1777523406</v>
      </c>
      <c r="B142" s="15" t="s">
        <v>16</v>
      </c>
      <c r="C142" s="15" t="s">
        <v>17</v>
      </c>
      <c r="D142" s="15">
        <v>4544.74</v>
      </c>
      <c r="E142" s="15" t="s">
        <v>18</v>
      </c>
      <c r="F142" s="15">
        <v>4540.82</v>
      </c>
      <c r="G142" s="15">
        <v>-41.5</v>
      </c>
      <c r="H142" s="15">
        <v>-0.91</v>
      </c>
      <c r="I142" s="15">
        <v>3</v>
      </c>
      <c r="J142" s="15">
        <v>11</v>
      </c>
      <c r="K142" s="15">
        <v>3</v>
      </c>
      <c r="L142" s="15">
        <v>-3.7727300000000001</v>
      </c>
      <c r="M142" s="15">
        <v>3</v>
      </c>
      <c r="N142" s="15">
        <v>-75.154499999999999</v>
      </c>
      <c r="O142" s="15" t="s">
        <v>22</v>
      </c>
    </row>
    <row r="143" spans="1:15" x14ac:dyDescent="0.55000000000000004">
      <c r="A143" s="15">
        <v>1777545006</v>
      </c>
      <c r="B143" s="15" t="s">
        <v>16</v>
      </c>
      <c r="C143" s="15" t="s">
        <v>17</v>
      </c>
      <c r="D143" s="15">
        <v>4636.62</v>
      </c>
      <c r="E143" s="15" t="s">
        <v>20</v>
      </c>
      <c r="F143" s="15">
        <v>4647.1000000000004</v>
      </c>
      <c r="G143" s="15">
        <v>106.28</v>
      </c>
      <c r="H143" s="15">
        <v>2.34</v>
      </c>
      <c r="I143" s="15">
        <v>1</v>
      </c>
      <c r="J143" s="15">
        <v>24</v>
      </c>
      <c r="K143" s="15">
        <v>0</v>
      </c>
      <c r="L143" s="15">
        <v>4.4283299999999999</v>
      </c>
      <c r="M143" s="15">
        <v>0</v>
      </c>
      <c r="N143" s="15">
        <v>77.275000000000006</v>
      </c>
      <c r="O143" s="15" t="s">
        <v>23</v>
      </c>
    </row>
    <row r="144" spans="1:15" x14ac:dyDescent="0.55000000000000004">
      <c r="A144" s="15">
        <v>1777567506</v>
      </c>
      <c r="B144" s="15" t="s">
        <v>16</v>
      </c>
      <c r="C144" s="15" t="s">
        <v>17</v>
      </c>
      <c r="D144" s="15">
        <v>4607.62</v>
      </c>
      <c r="E144" s="15" t="s">
        <v>18</v>
      </c>
      <c r="F144" s="15">
        <v>4605.5600000000004</v>
      </c>
      <c r="G144" s="15">
        <v>-41.54</v>
      </c>
      <c r="H144" s="15">
        <v>-0.89</v>
      </c>
      <c r="I144" s="15">
        <v>3</v>
      </c>
      <c r="J144" s="15">
        <v>25</v>
      </c>
      <c r="K144" s="15">
        <v>3</v>
      </c>
      <c r="L144" s="15">
        <v>-1.6616</v>
      </c>
      <c r="M144" s="15">
        <v>3</v>
      </c>
      <c r="N144" s="15">
        <v>-58.959200000000003</v>
      </c>
      <c r="O144" s="15" t="s">
        <v>22</v>
      </c>
    </row>
    <row r="145" spans="1:15" x14ac:dyDescent="0.55000000000000004">
      <c r="A145" s="15">
        <v>1777591806</v>
      </c>
      <c r="B145" s="15" t="s">
        <v>16</v>
      </c>
      <c r="C145" s="15" t="s">
        <v>17</v>
      </c>
      <c r="D145" s="15">
        <v>4631.3100000000004</v>
      </c>
      <c r="E145" s="15" t="s">
        <v>20</v>
      </c>
      <c r="F145" s="15">
        <v>4634.1400000000003</v>
      </c>
      <c r="G145" s="15">
        <v>28.58</v>
      </c>
      <c r="H145" s="15">
        <v>0.62</v>
      </c>
      <c r="I145" s="15">
        <v>0</v>
      </c>
      <c r="J145" s="15">
        <v>23</v>
      </c>
      <c r="K145" s="15">
        <v>0</v>
      </c>
      <c r="L145" s="15">
        <v>1.24261</v>
      </c>
      <c r="M145" s="15">
        <v>0</v>
      </c>
      <c r="N145" s="15">
        <v>51.174300000000002</v>
      </c>
      <c r="O145" s="15" t="s">
        <v>21</v>
      </c>
    </row>
    <row r="146" spans="1:15" x14ac:dyDescent="0.55000000000000004">
      <c r="A146" s="15">
        <v>1777598106</v>
      </c>
      <c r="B146" s="15" t="s">
        <v>16</v>
      </c>
      <c r="C146" s="15" t="s">
        <v>17</v>
      </c>
      <c r="D146" s="15">
        <v>4616.68</v>
      </c>
      <c r="E146" s="15" t="s">
        <v>18</v>
      </c>
      <c r="F146" s="15">
        <v>4614.2700000000004</v>
      </c>
      <c r="G146" s="15">
        <v>-19.87</v>
      </c>
      <c r="H146" s="15">
        <v>-0.43</v>
      </c>
      <c r="I146" s="15">
        <v>3</v>
      </c>
      <c r="J146" s="15">
        <v>7</v>
      </c>
      <c r="K146" s="15">
        <v>3</v>
      </c>
      <c r="L146" s="15">
        <v>-2.8385699999999998</v>
      </c>
      <c r="M146" s="15">
        <v>3</v>
      </c>
      <c r="N146" s="15">
        <v>-70.593199999999996</v>
      </c>
      <c r="O146" s="15" t="s">
        <v>22</v>
      </c>
    </row>
    <row r="147" spans="1:15" x14ac:dyDescent="0.55000000000000004">
      <c r="A147" s="15">
        <v>1777601706</v>
      </c>
      <c r="B147" s="15" t="s">
        <v>16</v>
      </c>
      <c r="C147" s="15" t="s">
        <v>17</v>
      </c>
      <c r="D147" s="15">
        <v>4629.3900000000003</v>
      </c>
      <c r="E147" s="15" t="s">
        <v>20</v>
      </c>
      <c r="F147" s="15">
        <v>4635.83</v>
      </c>
      <c r="G147" s="15">
        <v>21.56</v>
      </c>
      <c r="H147" s="15">
        <v>0.47</v>
      </c>
      <c r="I147" s="15">
        <v>0</v>
      </c>
      <c r="J147" s="15">
        <v>4</v>
      </c>
      <c r="K147" s="15">
        <v>0</v>
      </c>
      <c r="L147" s="15">
        <v>5.39</v>
      </c>
      <c r="M147" s="15">
        <v>0</v>
      </c>
      <c r="N147" s="15">
        <v>79.489500000000007</v>
      </c>
      <c r="O147" s="15" t="s">
        <v>23</v>
      </c>
    </row>
    <row r="148" spans="1:15" x14ac:dyDescent="0.55000000000000004">
      <c r="A148" s="15">
        <v>1777628706</v>
      </c>
      <c r="B148" s="15" t="s">
        <v>16</v>
      </c>
      <c r="C148" s="15" t="s">
        <v>17</v>
      </c>
      <c r="D148" s="15">
        <v>4563.12</v>
      </c>
      <c r="E148" s="15" t="s">
        <v>18</v>
      </c>
      <c r="F148" s="15">
        <v>4560.4399999999996</v>
      </c>
      <c r="G148" s="15">
        <v>-75.39</v>
      </c>
      <c r="H148" s="15">
        <v>-1.63</v>
      </c>
      <c r="I148" s="15">
        <v>3</v>
      </c>
      <c r="J148" s="15">
        <v>30</v>
      </c>
      <c r="K148" s="15">
        <v>3</v>
      </c>
      <c r="L148" s="15">
        <v>-2.5129999999999999</v>
      </c>
      <c r="M148" s="15">
        <v>3</v>
      </c>
      <c r="N148" s="15">
        <v>-68.300899999999999</v>
      </c>
      <c r="O148" s="15" t="s">
        <v>19</v>
      </c>
    </row>
    <row r="149" spans="1:15" x14ac:dyDescent="0.55000000000000004">
      <c r="A149" s="15">
        <v>1777644906</v>
      </c>
      <c r="B149" s="15" t="s">
        <v>16</v>
      </c>
      <c r="C149" s="15" t="s">
        <v>17</v>
      </c>
      <c r="D149" s="15">
        <v>4644.67</v>
      </c>
      <c r="E149" s="15" t="s">
        <v>20</v>
      </c>
      <c r="F149" s="15">
        <v>4660.32</v>
      </c>
      <c r="G149" s="15">
        <v>99.88</v>
      </c>
      <c r="H149" s="15">
        <v>2.19</v>
      </c>
      <c r="I149" s="15">
        <v>1</v>
      </c>
      <c r="J149" s="15">
        <v>18</v>
      </c>
      <c r="K149" s="15">
        <v>0</v>
      </c>
      <c r="L149" s="15">
        <v>5.5488900000000001</v>
      </c>
      <c r="M149" s="15">
        <v>0</v>
      </c>
      <c r="N149" s="15">
        <v>79.784000000000006</v>
      </c>
      <c r="O149" s="15" t="s">
        <v>23</v>
      </c>
    </row>
    <row r="150" spans="1:15" x14ac:dyDescent="0.55000000000000004">
      <c r="A150" s="15">
        <v>1777665606</v>
      </c>
      <c r="B150" s="15" t="s">
        <v>16</v>
      </c>
      <c r="C150" s="15" t="s">
        <v>17</v>
      </c>
      <c r="D150" s="15">
        <v>4611.41</v>
      </c>
      <c r="E150" s="15" t="s">
        <v>18</v>
      </c>
      <c r="F150" s="15">
        <v>4607.09</v>
      </c>
      <c r="G150" s="15">
        <v>-53.23</v>
      </c>
      <c r="H150" s="15">
        <v>-1.1399999999999999</v>
      </c>
      <c r="I150" s="15">
        <v>3</v>
      </c>
      <c r="J150" s="15">
        <v>23</v>
      </c>
      <c r="K150" s="15">
        <v>3</v>
      </c>
      <c r="L150" s="15">
        <v>-2.3143500000000001</v>
      </c>
      <c r="M150" s="15">
        <v>3</v>
      </c>
      <c r="N150" s="15">
        <v>-66.631399999999999</v>
      </c>
      <c r="O150" s="15" t="s">
        <v>22</v>
      </c>
    </row>
    <row r="151" spans="1:15" x14ac:dyDescent="0.55000000000000004">
      <c r="A151" s="15">
        <v>1777845606</v>
      </c>
      <c r="B151" s="15" t="s">
        <v>16</v>
      </c>
      <c r="C151" s="15" t="s">
        <v>17</v>
      </c>
      <c r="D151" s="15">
        <v>4623.1099999999997</v>
      </c>
      <c r="E151" s="15" t="s">
        <v>20</v>
      </c>
      <c r="F151" s="15">
        <v>4632.1099999999997</v>
      </c>
      <c r="G151" s="15">
        <v>25.02</v>
      </c>
      <c r="H151" s="15">
        <v>0.54</v>
      </c>
      <c r="I151" s="15">
        <v>0</v>
      </c>
      <c r="J151" s="15">
        <v>4</v>
      </c>
      <c r="K151" s="15">
        <v>0</v>
      </c>
      <c r="L151" s="15">
        <v>6.2549999999999999</v>
      </c>
      <c r="M151" s="15">
        <v>0</v>
      </c>
      <c r="N151" s="15">
        <v>80.916899999999998</v>
      </c>
      <c r="O151" s="15" t="s">
        <v>21</v>
      </c>
    </row>
    <row r="152" spans="1:15" x14ac:dyDescent="0.55000000000000004">
      <c r="A152" s="15">
        <v>1777858206</v>
      </c>
      <c r="B152" s="15" t="s">
        <v>16</v>
      </c>
      <c r="C152" s="15" t="s">
        <v>17</v>
      </c>
      <c r="D152" s="15">
        <v>4601.59</v>
      </c>
      <c r="E152" s="15" t="s">
        <v>18</v>
      </c>
      <c r="F152" s="15">
        <v>4592.93</v>
      </c>
      <c r="G152" s="15">
        <v>-39.18</v>
      </c>
      <c r="H152" s="15">
        <v>-0.85</v>
      </c>
      <c r="I152" s="15">
        <v>3</v>
      </c>
      <c r="J152" s="15">
        <v>14</v>
      </c>
      <c r="K152" s="15">
        <v>3</v>
      </c>
      <c r="L152" s="15">
        <v>-2.7985699999999998</v>
      </c>
      <c r="M152" s="15">
        <v>3</v>
      </c>
      <c r="N152" s="15">
        <v>-70.3369</v>
      </c>
      <c r="O152" s="15" t="s">
        <v>19</v>
      </c>
    </row>
    <row r="153" spans="1:15" x14ac:dyDescent="0.55000000000000004">
      <c r="A153" s="15">
        <v>1777860006</v>
      </c>
      <c r="B153" s="15" t="s">
        <v>16</v>
      </c>
      <c r="C153" s="15" t="s">
        <v>17</v>
      </c>
      <c r="D153" s="15">
        <v>4608.34</v>
      </c>
      <c r="E153" s="15" t="s">
        <v>20</v>
      </c>
      <c r="F153" s="15">
        <v>4618.59</v>
      </c>
      <c r="G153" s="15">
        <v>25.66</v>
      </c>
      <c r="H153" s="15">
        <v>0.56000000000000005</v>
      </c>
      <c r="I153" s="15">
        <v>0</v>
      </c>
      <c r="J153" s="15">
        <v>2</v>
      </c>
      <c r="K153" s="15">
        <v>0</v>
      </c>
      <c r="L153" s="15">
        <v>12.83</v>
      </c>
      <c r="M153" s="15">
        <v>0</v>
      </c>
      <c r="N153" s="15">
        <v>85.543199999999999</v>
      </c>
      <c r="O153" s="15" t="s">
        <v>21</v>
      </c>
    </row>
    <row r="154" spans="1:15" x14ac:dyDescent="0.55000000000000004">
      <c r="A154" s="15">
        <v>1777889706</v>
      </c>
      <c r="B154" s="15" t="s">
        <v>16</v>
      </c>
      <c r="C154" s="15" t="s">
        <v>17</v>
      </c>
      <c r="D154" s="15">
        <v>4545</v>
      </c>
      <c r="E154" s="15" t="s">
        <v>18</v>
      </c>
      <c r="F154" s="15">
        <v>4526.3999999999996</v>
      </c>
      <c r="G154" s="15">
        <v>-92.19</v>
      </c>
      <c r="H154" s="15">
        <v>-2</v>
      </c>
      <c r="I154" s="15">
        <v>4</v>
      </c>
      <c r="J154" s="15">
        <v>33</v>
      </c>
      <c r="K154" s="15">
        <v>3</v>
      </c>
      <c r="L154" s="15">
        <v>-2.7936399999999999</v>
      </c>
      <c r="M154" s="15">
        <v>3</v>
      </c>
      <c r="N154" s="15">
        <v>-70.3048</v>
      </c>
      <c r="O154" s="15" t="s">
        <v>19</v>
      </c>
    </row>
    <row r="155" spans="1:15" x14ac:dyDescent="0.55000000000000004">
      <c r="A155" s="15">
        <v>1777905006</v>
      </c>
      <c r="B155" s="15" t="s">
        <v>16</v>
      </c>
      <c r="C155" s="15" t="s">
        <v>17</v>
      </c>
      <c r="D155" s="15">
        <v>4574.38</v>
      </c>
      <c r="E155" s="15" t="s">
        <v>20</v>
      </c>
      <c r="F155" s="15">
        <v>4583.16</v>
      </c>
      <c r="G155" s="15">
        <v>56.76</v>
      </c>
      <c r="H155" s="15">
        <v>1.25</v>
      </c>
      <c r="I155" s="15">
        <v>0</v>
      </c>
      <c r="J155" s="15">
        <v>17</v>
      </c>
      <c r="K155" s="15">
        <v>0</v>
      </c>
      <c r="L155" s="15">
        <v>3.3388200000000001</v>
      </c>
      <c r="M155" s="15">
        <v>0</v>
      </c>
      <c r="N155" s="15">
        <v>73.326700000000002</v>
      </c>
      <c r="O155" s="15" t="s">
        <v>21</v>
      </c>
    </row>
    <row r="156" spans="1:15" x14ac:dyDescent="0.55000000000000004">
      <c r="A156" s="15">
        <v>1777910406</v>
      </c>
      <c r="B156" s="15" t="s">
        <v>16</v>
      </c>
      <c r="C156" s="15" t="s">
        <v>17</v>
      </c>
      <c r="D156" s="15">
        <v>4509.88</v>
      </c>
      <c r="E156" s="15" t="s">
        <v>18</v>
      </c>
      <c r="F156" s="15">
        <v>4500.8599999999997</v>
      </c>
      <c r="G156" s="15">
        <v>-82.3</v>
      </c>
      <c r="H156" s="15">
        <v>-1.8</v>
      </c>
      <c r="I156" s="15">
        <v>3</v>
      </c>
      <c r="J156" s="15">
        <v>6</v>
      </c>
      <c r="K156" s="15">
        <v>3</v>
      </c>
      <c r="L156" s="15">
        <v>-13.716670000000001</v>
      </c>
      <c r="M156" s="15">
        <v>5</v>
      </c>
      <c r="N156" s="15">
        <v>-85.830299999999994</v>
      </c>
      <c r="O156" s="15" t="s">
        <v>19</v>
      </c>
    </row>
    <row r="157" spans="1:15" x14ac:dyDescent="0.55000000000000004">
      <c r="A157" s="15">
        <v>1777939206</v>
      </c>
      <c r="B157" s="15" t="s">
        <v>16</v>
      </c>
      <c r="C157" s="15" t="s">
        <v>17</v>
      </c>
      <c r="D157" s="15">
        <v>4527.7700000000004</v>
      </c>
      <c r="E157" s="15" t="s">
        <v>20</v>
      </c>
      <c r="F157" s="15">
        <v>4528.57</v>
      </c>
      <c r="G157" s="15">
        <v>27.71</v>
      </c>
      <c r="H157" s="15">
        <v>0.62</v>
      </c>
      <c r="I157" s="15">
        <v>0</v>
      </c>
      <c r="J157" s="15">
        <v>28</v>
      </c>
      <c r="K157" s="15">
        <v>0</v>
      </c>
      <c r="L157" s="15">
        <v>0.98963999999999996</v>
      </c>
      <c r="M157" s="15">
        <v>0</v>
      </c>
      <c r="N157" s="15">
        <v>44.701700000000002</v>
      </c>
      <c r="O157" s="15" t="s">
        <v>21</v>
      </c>
    </row>
    <row r="158" spans="1:15" x14ac:dyDescent="0.55000000000000004">
      <c r="A158" s="15">
        <v>1777940106</v>
      </c>
      <c r="B158" s="15" t="s">
        <v>16</v>
      </c>
      <c r="C158" s="15" t="s">
        <v>17</v>
      </c>
      <c r="D158" s="15">
        <v>4517.12</v>
      </c>
      <c r="E158" s="15" t="s">
        <v>18</v>
      </c>
      <c r="F158" s="15">
        <v>4513.5600000000004</v>
      </c>
      <c r="G158" s="15">
        <v>-15.01</v>
      </c>
      <c r="H158" s="15">
        <v>-0.33</v>
      </c>
      <c r="I158" s="15">
        <v>3</v>
      </c>
      <c r="J158" s="15">
        <v>1</v>
      </c>
      <c r="K158" s="15">
        <v>3</v>
      </c>
      <c r="L158" s="15">
        <v>-15.01</v>
      </c>
      <c r="M158" s="15">
        <v>5</v>
      </c>
      <c r="N158" s="15">
        <v>-86.188500000000005</v>
      </c>
      <c r="O158" s="15" t="s">
        <v>22</v>
      </c>
    </row>
    <row r="159" spans="1:15" x14ac:dyDescent="0.55000000000000004">
      <c r="A159" s="15">
        <v>1777949106</v>
      </c>
      <c r="B159" s="15" t="s">
        <v>16</v>
      </c>
      <c r="C159" s="15" t="s">
        <v>17</v>
      </c>
      <c r="D159" s="15">
        <v>4539.17</v>
      </c>
      <c r="E159" s="15" t="s">
        <v>20</v>
      </c>
      <c r="F159" s="15">
        <v>4546.78</v>
      </c>
      <c r="G159" s="15">
        <v>33.22</v>
      </c>
      <c r="H159" s="15">
        <v>0.74</v>
      </c>
      <c r="I159" s="15">
        <v>0</v>
      </c>
      <c r="J159" s="15">
        <v>10</v>
      </c>
      <c r="K159" s="15">
        <v>0</v>
      </c>
      <c r="L159" s="15">
        <v>3.3220000000000001</v>
      </c>
      <c r="M159" s="15">
        <v>0</v>
      </c>
      <c r="N159" s="15">
        <v>73.247</v>
      </c>
      <c r="O159" s="15" t="s">
        <v>23</v>
      </c>
    </row>
    <row r="160" spans="1:15" x14ac:dyDescent="0.55000000000000004">
      <c r="A160" s="15">
        <v>1777955406</v>
      </c>
      <c r="B160" s="15" t="s">
        <v>16</v>
      </c>
      <c r="C160" s="15" t="s">
        <v>17</v>
      </c>
      <c r="D160" s="15">
        <v>4531.71</v>
      </c>
      <c r="E160" s="15" t="s">
        <v>18</v>
      </c>
      <c r="F160" s="15">
        <v>4527.8900000000003</v>
      </c>
      <c r="G160" s="15">
        <v>-18.89</v>
      </c>
      <c r="H160" s="15">
        <v>-0.42</v>
      </c>
      <c r="I160" s="15">
        <v>3</v>
      </c>
      <c r="J160" s="15">
        <v>7</v>
      </c>
      <c r="K160" s="15">
        <v>3</v>
      </c>
      <c r="L160" s="15">
        <v>-2.6985700000000001</v>
      </c>
      <c r="M160" s="15">
        <v>3</v>
      </c>
      <c r="N160" s="15">
        <v>-69.667000000000002</v>
      </c>
      <c r="O160" s="15" t="s">
        <v>22</v>
      </c>
    </row>
    <row r="161" spans="1:15" x14ac:dyDescent="0.55000000000000004">
      <c r="A161" s="15">
        <v>1777971606</v>
      </c>
      <c r="B161" s="15" t="s">
        <v>16</v>
      </c>
      <c r="C161" s="15" t="s">
        <v>17</v>
      </c>
      <c r="D161" s="15">
        <v>4557.6099999999997</v>
      </c>
      <c r="E161" s="15" t="s">
        <v>20</v>
      </c>
      <c r="F161" s="15">
        <v>4560.53</v>
      </c>
      <c r="G161" s="15">
        <v>32.64</v>
      </c>
      <c r="H161" s="15">
        <v>0.72</v>
      </c>
      <c r="I161" s="15">
        <v>0</v>
      </c>
      <c r="J161" s="15">
        <v>18</v>
      </c>
      <c r="K161" s="15">
        <v>0</v>
      </c>
      <c r="L161" s="15">
        <v>1.8133300000000001</v>
      </c>
      <c r="M161" s="15">
        <v>0</v>
      </c>
      <c r="N161" s="15">
        <v>61.124600000000001</v>
      </c>
      <c r="O161" s="15" t="s">
        <v>23</v>
      </c>
    </row>
    <row r="162" spans="1:15" x14ac:dyDescent="0.55000000000000004">
      <c r="A162" s="15">
        <v>1777978806</v>
      </c>
      <c r="B162" s="15" t="s">
        <v>16</v>
      </c>
      <c r="C162" s="15" t="s">
        <v>17</v>
      </c>
      <c r="D162" s="15">
        <v>4552.62</v>
      </c>
      <c r="E162" s="15" t="s">
        <v>18</v>
      </c>
      <c r="F162" s="15">
        <v>4540</v>
      </c>
      <c r="G162" s="15">
        <v>-20.53</v>
      </c>
      <c r="H162" s="15">
        <v>-0.45</v>
      </c>
      <c r="I162" s="15">
        <v>3</v>
      </c>
      <c r="J162" s="15">
        <v>8</v>
      </c>
      <c r="K162" s="15">
        <v>3</v>
      </c>
      <c r="L162" s="15">
        <v>-2.5662500000000001</v>
      </c>
      <c r="M162" s="15">
        <v>3</v>
      </c>
      <c r="N162" s="15">
        <v>-68.710400000000007</v>
      </c>
      <c r="O162" s="15" t="s">
        <v>22</v>
      </c>
    </row>
    <row r="163" spans="1:15" x14ac:dyDescent="0.55000000000000004">
      <c r="A163" s="15">
        <v>1777990506</v>
      </c>
      <c r="B163" s="15" t="s">
        <v>16</v>
      </c>
      <c r="C163" s="15" t="s">
        <v>17</v>
      </c>
      <c r="D163" s="15">
        <v>4584.37</v>
      </c>
      <c r="E163" s="15" t="s">
        <v>20</v>
      </c>
      <c r="F163" s="15">
        <v>4586.5600000000004</v>
      </c>
      <c r="G163" s="15">
        <v>46.56</v>
      </c>
      <c r="H163" s="15">
        <v>1.03</v>
      </c>
      <c r="I163" s="15">
        <v>0</v>
      </c>
      <c r="J163" s="15">
        <v>13</v>
      </c>
      <c r="K163" s="15">
        <v>0</v>
      </c>
      <c r="L163" s="15">
        <v>3.5815399999999999</v>
      </c>
      <c r="M163" s="15">
        <v>0</v>
      </c>
      <c r="N163" s="15">
        <v>74.399799999999999</v>
      </c>
      <c r="O163" s="15" t="s">
        <v>23</v>
      </c>
    </row>
    <row r="164" spans="1:15" x14ac:dyDescent="0.55000000000000004">
      <c r="A164" s="15">
        <v>1778020206</v>
      </c>
      <c r="B164" s="15" t="s">
        <v>16</v>
      </c>
      <c r="C164" s="15" t="s">
        <v>17</v>
      </c>
      <c r="D164" s="15">
        <v>4548.82</v>
      </c>
      <c r="E164" s="15" t="s">
        <v>18</v>
      </c>
      <c r="F164" s="15">
        <v>4546.3100000000004</v>
      </c>
      <c r="G164" s="15">
        <v>-40.25</v>
      </c>
      <c r="H164" s="15">
        <v>-0.88</v>
      </c>
      <c r="I164" s="15">
        <v>3</v>
      </c>
      <c r="J164" s="15">
        <v>29</v>
      </c>
      <c r="K164" s="15">
        <v>3</v>
      </c>
      <c r="L164" s="15">
        <v>-1.3879300000000001</v>
      </c>
      <c r="M164" s="15">
        <v>3</v>
      </c>
      <c r="N164" s="15">
        <v>-54.227400000000003</v>
      </c>
      <c r="O164" s="15" t="s">
        <v>22</v>
      </c>
    </row>
    <row r="165" spans="1:15" x14ac:dyDescent="0.55000000000000004">
      <c r="A165" s="15">
        <v>1778064306</v>
      </c>
      <c r="B165" s="15" t="s">
        <v>16</v>
      </c>
      <c r="C165" s="15" t="s">
        <v>17</v>
      </c>
      <c r="D165" s="15">
        <v>4718.25</v>
      </c>
      <c r="E165" s="15" t="s">
        <v>20</v>
      </c>
      <c r="F165" s="15">
        <v>4722.76</v>
      </c>
      <c r="G165" s="15">
        <v>176.45</v>
      </c>
      <c r="H165" s="15">
        <v>3.88</v>
      </c>
      <c r="I165" s="15">
        <v>2</v>
      </c>
      <c r="J165" s="15">
        <v>49</v>
      </c>
      <c r="K165" s="15">
        <v>2</v>
      </c>
      <c r="L165" s="15">
        <v>3.6010200000000001</v>
      </c>
      <c r="M165" s="15">
        <v>0</v>
      </c>
      <c r="N165" s="15">
        <v>74.480099999999993</v>
      </c>
      <c r="O165" s="15" t="s">
        <v>23</v>
      </c>
    </row>
    <row r="166" spans="1:15" x14ac:dyDescent="0.55000000000000004">
      <c r="A166" s="15">
        <v>1778069706</v>
      </c>
      <c r="B166" s="15" t="s">
        <v>16</v>
      </c>
      <c r="C166" s="15" t="s">
        <v>17</v>
      </c>
      <c r="D166" s="15">
        <v>4683.3599999999997</v>
      </c>
      <c r="E166" s="15" t="s">
        <v>18</v>
      </c>
      <c r="F166" s="15">
        <v>4660.71</v>
      </c>
      <c r="G166" s="15">
        <v>-62.05</v>
      </c>
      <c r="H166" s="15">
        <v>-1.31</v>
      </c>
      <c r="I166" s="15">
        <v>3</v>
      </c>
      <c r="J166" s="15">
        <v>6</v>
      </c>
      <c r="K166" s="15">
        <v>3</v>
      </c>
      <c r="L166" s="15">
        <v>-10.341670000000001</v>
      </c>
      <c r="M166" s="15">
        <v>5</v>
      </c>
      <c r="N166" s="15">
        <v>-84.476900000000001</v>
      </c>
      <c r="O166" s="15" t="s">
        <v>22</v>
      </c>
    </row>
    <row r="167" spans="1:15" x14ac:dyDescent="0.55000000000000004">
      <c r="A167" s="15">
        <v>1778076906</v>
      </c>
      <c r="B167" s="15" t="s">
        <v>16</v>
      </c>
      <c r="C167" s="15" t="s">
        <v>17</v>
      </c>
      <c r="D167" s="15">
        <v>4705.66</v>
      </c>
      <c r="E167" s="15" t="s">
        <v>20</v>
      </c>
      <c r="F167" s="15">
        <v>4717.43</v>
      </c>
      <c r="G167" s="15">
        <v>56.72</v>
      </c>
      <c r="H167" s="15">
        <v>1.22</v>
      </c>
      <c r="I167" s="15">
        <v>0</v>
      </c>
      <c r="J167" s="15">
        <v>8</v>
      </c>
      <c r="K167" s="15">
        <v>0</v>
      </c>
      <c r="L167" s="15">
        <v>7.09</v>
      </c>
      <c r="M167" s="15">
        <v>0</v>
      </c>
      <c r="N167" s="15">
        <v>81.971699999999998</v>
      </c>
      <c r="O167" s="15" t="s">
        <v>21</v>
      </c>
    </row>
    <row r="168" spans="1:15" x14ac:dyDescent="0.55000000000000004">
      <c r="A168" s="15">
        <v>1778088606</v>
      </c>
      <c r="B168" s="15" t="s">
        <v>16</v>
      </c>
      <c r="C168" s="15" t="s">
        <v>17</v>
      </c>
      <c r="D168" s="15">
        <v>4680.6400000000003</v>
      </c>
      <c r="E168" s="15" t="s">
        <v>18</v>
      </c>
      <c r="F168" s="15">
        <v>4678.99</v>
      </c>
      <c r="G168" s="15">
        <v>-38.44</v>
      </c>
      <c r="H168" s="15">
        <v>-0.81</v>
      </c>
      <c r="I168" s="15">
        <v>3</v>
      </c>
      <c r="J168" s="15">
        <v>13</v>
      </c>
      <c r="K168" s="15">
        <v>3</v>
      </c>
      <c r="L168" s="15">
        <v>-2.9569200000000002</v>
      </c>
      <c r="M168" s="15">
        <v>3</v>
      </c>
      <c r="N168" s="15">
        <v>-71.314999999999998</v>
      </c>
      <c r="O168" s="15" t="s">
        <v>22</v>
      </c>
    </row>
    <row r="169" spans="1:15" x14ac:dyDescent="0.55000000000000004">
      <c r="A169" s="15">
        <v>1778112906</v>
      </c>
      <c r="B169" s="15" t="s">
        <v>16</v>
      </c>
      <c r="C169" s="15" t="s">
        <v>17</v>
      </c>
      <c r="D169" s="15">
        <v>4692.51</v>
      </c>
      <c r="E169" s="15" t="s">
        <v>20</v>
      </c>
      <c r="F169" s="15">
        <v>4701.18</v>
      </c>
      <c r="G169" s="15">
        <v>22.19</v>
      </c>
      <c r="H169" s="15">
        <v>0.47</v>
      </c>
      <c r="I169" s="15">
        <v>0</v>
      </c>
      <c r="J169" s="15">
        <v>23</v>
      </c>
      <c r="K169" s="15">
        <v>0</v>
      </c>
      <c r="L169" s="15">
        <v>0.96477999999999997</v>
      </c>
      <c r="M169" s="15">
        <v>0</v>
      </c>
      <c r="N169" s="15">
        <v>43.973100000000002</v>
      </c>
      <c r="O169" s="15" t="s">
        <v>21</v>
      </c>
    </row>
    <row r="170" spans="1:15" x14ac:dyDescent="0.55000000000000004">
      <c r="A170" s="15">
        <v>1778114706</v>
      </c>
      <c r="B170" s="15" t="s">
        <v>16</v>
      </c>
      <c r="C170" s="15" t="s">
        <v>17</v>
      </c>
      <c r="D170" s="15">
        <v>4688.57</v>
      </c>
      <c r="E170" s="15" t="s">
        <v>18</v>
      </c>
      <c r="F170" s="15">
        <v>4685.59</v>
      </c>
      <c r="G170" s="15">
        <v>-15.59</v>
      </c>
      <c r="H170" s="15">
        <v>-0.33</v>
      </c>
      <c r="I170" s="15">
        <v>3</v>
      </c>
      <c r="J170" s="15">
        <v>2</v>
      </c>
      <c r="K170" s="15">
        <v>3</v>
      </c>
      <c r="L170" s="15">
        <v>-7.7949999999999999</v>
      </c>
      <c r="M170" s="15">
        <v>3</v>
      </c>
      <c r="N170" s="15">
        <v>-82.689599999999999</v>
      </c>
      <c r="O170" s="15" t="s">
        <v>22</v>
      </c>
    </row>
    <row r="171" spans="1:15" x14ac:dyDescent="0.55000000000000004">
      <c r="A171" s="15">
        <v>1778118306</v>
      </c>
      <c r="B171" s="15" t="s">
        <v>16</v>
      </c>
      <c r="C171" s="15" t="s">
        <v>17</v>
      </c>
      <c r="D171" s="15">
        <v>4714.8599999999997</v>
      </c>
      <c r="E171" s="15" t="s">
        <v>20</v>
      </c>
      <c r="F171" s="15">
        <v>4721.4399999999996</v>
      </c>
      <c r="G171" s="15">
        <v>35.85</v>
      </c>
      <c r="H171" s="15">
        <v>0.77</v>
      </c>
      <c r="I171" s="15">
        <v>0</v>
      </c>
      <c r="J171" s="15">
        <v>4</v>
      </c>
      <c r="K171" s="15">
        <v>0</v>
      </c>
      <c r="L171" s="15">
        <v>8.9625000000000004</v>
      </c>
      <c r="M171" s="15">
        <v>0</v>
      </c>
      <c r="N171" s="15">
        <v>83.633499999999998</v>
      </c>
      <c r="O171" s="15" t="s">
        <v>23</v>
      </c>
    </row>
    <row r="172" spans="1:15" x14ac:dyDescent="0.55000000000000004">
      <c r="A172" s="15">
        <v>1778122930</v>
      </c>
      <c r="B172" s="15" t="s">
        <v>16</v>
      </c>
      <c r="C172" s="15" t="s">
        <v>17</v>
      </c>
      <c r="D172" s="15">
        <v>4707.29</v>
      </c>
      <c r="E172" s="15" t="s">
        <v>18</v>
      </c>
      <c r="F172" s="15">
        <v>4700.0200000000004</v>
      </c>
      <c r="G172" s="15">
        <v>-21.42</v>
      </c>
      <c r="H172" s="15">
        <v>-0.45</v>
      </c>
      <c r="I172" s="15">
        <v>3</v>
      </c>
      <c r="J172" s="15">
        <v>5</v>
      </c>
      <c r="K172" s="15">
        <v>3</v>
      </c>
      <c r="L172" s="15">
        <v>-4.2839999999999998</v>
      </c>
      <c r="M172" s="15">
        <v>3</v>
      </c>
      <c r="N172" s="15">
        <v>-76.860900000000001</v>
      </c>
      <c r="O172" s="15" t="s">
        <v>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72"/>
  <sheetViews>
    <sheetView topLeftCell="M1" zoomScale="60" zoomScaleNormal="60" workbookViewId="0">
      <selection activeCell="X1" sqref="X1"/>
    </sheetView>
  </sheetViews>
  <sheetFormatPr defaultColWidth="8.68359375" defaultRowHeight="14.4" x14ac:dyDescent="0.55000000000000004"/>
  <cols>
    <col min="1" max="1" width="10.68359375" customWidth="1"/>
    <col min="3" max="3" width="9.15625" customWidth="1"/>
    <col min="4" max="4" width="7.68359375" customWidth="1"/>
    <col min="5" max="5" width="6.83984375" customWidth="1"/>
    <col min="6" max="6" width="11.15625" customWidth="1"/>
    <col min="7" max="7" width="11.83984375" customWidth="1"/>
    <col min="8" max="8" width="15.26171875" customWidth="1"/>
    <col min="9" max="9" width="16.62890625" customWidth="1"/>
    <col min="10" max="10" width="15.578125" customWidth="1"/>
    <col min="11" max="11" width="15.05078125" customWidth="1"/>
    <col min="12" max="12" width="10.578125" customWidth="1"/>
    <col min="13" max="13" width="12.89453125" customWidth="1"/>
    <col min="14" max="14" width="23.578125" customWidth="1"/>
    <col min="15" max="15" width="4.26171875" customWidth="1"/>
    <col min="16" max="16" width="7.89453125" customWidth="1"/>
    <col min="18" max="18" width="10.68359375" customWidth="1"/>
    <col min="19" max="19" width="7.41796875" customWidth="1"/>
    <col min="20" max="20" width="9.15625" customWidth="1"/>
    <col min="21" max="21" width="7.68359375" customWidth="1"/>
    <col min="22" max="22" width="6.83984375" customWidth="1"/>
    <col min="23" max="23" width="11.15625" customWidth="1"/>
    <col min="24" max="24" width="11.5234375" customWidth="1"/>
    <col min="25" max="25" width="11.26171875" customWidth="1"/>
    <col min="26" max="26" width="15.3671875" customWidth="1"/>
    <col min="27" max="27" width="10.3671875" customWidth="1"/>
    <col min="28" max="28" width="14.5234375" customWidth="1"/>
    <col min="29" max="29" width="13.9453125" customWidth="1"/>
    <col min="30" max="30" width="18.05078125" customWidth="1"/>
    <col min="31" max="31" width="11.3671875" customWidth="1"/>
    <col min="32" max="32" width="14.1015625" customWidth="1"/>
  </cols>
  <sheetData>
    <row r="1" spans="1:4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35</v>
      </c>
      <c r="Y1" t="s">
        <v>47</v>
      </c>
      <c r="Z1" t="s">
        <v>59</v>
      </c>
      <c r="AA1" t="s">
        <v>71</v>
      </c>
      <c r="AB1" t="s">
        <v>83</v>
      </c>
      <c r="AC1" t="s">
        <v>95</v>
      </c>
      <c r="AD1" t="s">
        <v>107</v>
      </c>
      <c r="AE1" t="s">
        <v>119</v>
      </c>
      <c r="AF1" t="s">
        <v>131</v>
      </c>
      <c r="AH1" t="b">
        <f t="shared" ref="AH1:AH32" si="0">A1=R1</f>
        <v>1</v>
      </c>
      <c r="AI1" t="b">
        <f t="shared" ref="AI1:AI32" si="1">B1=S1</f>
        <v>1</v>
      </c>
      <c r="AJ1" t="b">
        <f t="shared" ref="AJ1:AJ32" si="2">C1=T1</f>
        <v>1</v>
      </c>
      <c r="AK1" t="b">
        <f t="shared" ref="AK1:AK32" si="3">D1=U1</f>
        <v>1</v>
      </c>
      <c r="AL1" t="b">
        <f t="shared" ref="AL1:AL32" si="4">E1=V1</f>
        <v>1</v>
      </c>
      <c r="AM1" t="b">
        <f t="shared" ref="AM1:AM32" si="5">F1=W1</f>
        <v>1</v>
      </c>
    </row>
    <row r="2" spans="1:43" x14ac:dyDescent="0.55000000000000004">
      <c r="A2">
        <v>1774250106</v>
      </c>
      <c r="B2" t="s">
        <v>16</v>
      </c>
      <c r="C2" t="s">
        <v>17</v>
      </c>
      <c r="D2">
        <v>4135.63</v>
      </c>
      <c r="E2" t="s">
        <v>18</v>
      </c>
      <c r="F2">
        <v>4098.6899999999996</v>
      </c>
      <c r="G2">
        <v>4734.78</v>
      </c>
      <c r="H2">
        <v>4661.42</v>
      </c>
      <c r="I2">
        <v>4736.13</v>
      </c>
      <c r="J2">
        <v>4502.7299999999996</v>
      </c>
      <c r="K2">
        <v>4867.22</v>
      </c>
      <c r="L2">
        <v>-636.09</v>
      </c>
      <c r="M2">
        <v>-13.43</v>
      </c>
      <c r="N2">
        <v>5</v>
      </c>
      <c r="O2">
        <v>88</v>
      </c>
      <c r="P2" t="s">
        <v>19</v>
      </c>
      <c r="R2">
        <v>1774250106</v>
      </c>
      <c r="S2" t="s">
        <v>16</v>
      </c>
      <c r="T2" t="s">
        <v>17</v>
      </c>
      <c r="U2">
        <v>4135.63</v>
      </c>
      <c r="V2" t="s">
        <v>18</v>
      </c>
      <c r="W2">
        <v>4098.6899999999996</v>
      </c>
      <c r="X2">
        <v>-636.09</v>
      </c>
      <c r="Y2">
        <v>-13.43</v>
      </c>
      <c r="Z2">
        <v>5</v>
      </c>
      <c r="AA2">
        <v>88</v>
      </c>
      <c r="AB2">
        <v>5</v>
      </c>
      <c r="AC2">
        <v>-7.2282999999999999</v>
      </c>
      <c r="AD2">
        <v>3</v>
      </c>
      <c r="AE2">
        <v>-82.123400000000004</v>
      </c>
      <c r="AF2" t="s">
        <v>19</v>
      </c>
      <c r="AH2" t="b">
        <f t="shared" si="0"/>
        <v>1</v>
      </c>
      <c r="AI2" t="b">
        <f t="shared" si="1"/>
        <v>1</v>
      </c>
      <c r="AJ2" t="b">
        <f t="shared" si="2"/>
        <v>1</v>
      </c>
      <c r="AK2" t="b">
        <f t="shared" si="3"/>
        <v>1</v>
      </c>
      <c r="AL2" t="b">
        <f t="shared" si="4"/>
        <v>1</v>
      </c>
      <c r="AM2" t="b">
        <f t="shared" si="5"/>
        <v>1</v>
      </c>
      <c r="AN2" t="b">
        <f t="shared" ref="AN2:AN33" si="6">X2=L2</f>
        <v>1</v>
      </c>
      <c r="AO2" t="b">
        <f t="shared" ref="AO2:AO33" si="7">Y2=M2</f>
        <v>1</v>
      </c>
      <c r="AP2" t="b">
        <f t="shared" ref="AP2:AP33" si="8">Z2=N2</f>
        <v>1</v>
      </c>
      <c r="AQ2" t="b">
        <f t="shared" ref="AQ2:AQ33" si="9">AF2=P2</f>
        <v>1</v>
      </c>
    </row>
    <row r="3" spans="1:43" x14ac:dyDescent="0.55000000000000004">
      <c r="A3">
        <v>1774275306</v>
      </c>
      <c r="B3" t="s">
        <v>16</v>
      </c>
      <c r="C3" t="s">
        <v>17</v>
      </c>
      <c r="D3">
        <v>4486.9799999999996</v>
      </c>
      <c r="E3" t="s">
        <v>20</v>
      </c>
      <c r="F3">
        <v>4512.91</v>
      </c>
      <c r="G3">
        <v>4098.6899999999996</v>
      </c>
      <c r="H3">
        <v>4734.78</v>
      </c>
      <c r="I3">
        <v>4661.42</v>
      </c>
      <c r="J3">
        <v>4736.13</v>
      </c>
      <c r="K3">
        <v>4502.7299999999996</v>
      </c>
      <c r="L3">
        <v>414.22</v>
      </c>
      <c r="M3">
        <v>10.11</v>
      </c>
      <c r="N3">
        <v>2</v>
      </c>
      <c r="O3">
        <v>28</v>
      </c>
      <c r="P3" t="s">
        <v>21</v>
      </c>
      <c r="R3">
        <v>1774275306</v>
      </c>
      <c r="S3" t="s">
        <v>16</v>
      </c>
      <c r="T3" t="s">
        <v>17</v>
      </c>
      <c r="U3">
        <v>4486.9799999999996</v>
      </c>
      <c r="V3" t="s">
        <v>20</v>
      </c>
      <c r="W3">
        <v>4512.91</v>
      </c>
      <c r="X3">
        <v>414.22</v>
      </c>
      <c r="Y3">
        <v>10.11</v>
      </c>
      <c r="Z3">
        <v>2</v>
      </c>
      <c r="AA3">
        <v>28</v>
      </c>
      <c r="AB3">
        <v>0</v>
      </c>
      <c r="AC3">
        <v>14.793570000000001</v>
      </c>
      <c r="AD3">
        <v>2</v>
      </c>
      <c r="AE3">
        <v>86.132900000000006</v>
      </c>
      <c r="AF3" t="s">
        <v>21</v>
      </c>
      <c r="AH3" t="b">
        <f t="shared" si="0"/>
        <v>1</v>
      </c>
      <c r="AI3" t="b">
        <f t="shared" si="1"/>
        <v>1</v>
      </c>
      <c r="AJ3" t="b">
        <f t="shared" si="2"/>
        <v>1</v>
      </c>
      <c r="AK3" t="b">
        <f t="shared" si="3"/>
        <v>1</v>
      </c>
      <c r="AL3" t="b">
        <f t="shared" si="4"/>
        <v>1</v>
      </c>
      <c r="AM3" t="b">
        <f t="shared" si="5"/>
        <v>1</v>
      </c>
      <c r="AN3" t="b">
        <f t="shared" si="6"/>
        <v>1</v>
      </c>
      <c r="AO3" t="b">
        <f t="shared" si="7"/>
        <v>1</v>
      </c>
      <c r="AP3" t="b">
        <f t="shared" si="8"/>
        <v>1</v>
      </c>
      <c r="AQ3" t="b">
        <f t="shared" si="9"/>
        <v>1</v>
      </c>
    </row>
    <row r="4" spans="1:43" x14ac:dyDescent="0.55000000000000004">
      <c r="A4">
        <v>1774280706</v>
      </c>
      <c r="B4" t="s">
        <v>16</v>
      </c>
      <c r="C4" t="s">
        <v>17</v>
      </c>
      <c r="D4">
        <v>4364.25</v>
      </c>
      <c r="E4" t="s">
        <v>18</v>
      </c>
      <c r="F4">
        <v>4351.03</v>
      </c>
      <c r="G4">
        <v>4512.91</v>
      </c>
      <c r="H4">
        <v>4098.6899999999996</v>
      </c>
      <c r="I4">
        <v>4734.78</v>
      </c>
      <c r="J4">
        <v>4661.42</v>
      </c>
      <c r="K4">
        <v>4736.13</v>
      </c>
      <c r="L4">
        <v>-161.88</v>
      </c>
      <c r="M4">
        <v>-3.59</v>
      </c>
      <c r="N4">
        <v>3</v>
      </c>
      <c r="O4">
        <v>6</v>
      </c>
      <c r="P4" t="s">
        <v>22</v>
      </c>
      <c r="R4">
        <v>1774280706</v>
      </c>
      <c r="S4" t="s">
        <v>16</v>
      </c>
      <c r="T4" t="s">
        <v>17</v>
      </c>
      <c r="U4">
        <v>4364.25</v>
      </c>
      <c r="V4" t="s">
        <v>18</v>
      </c>
      <c r="W4">
        <v>4351.03</v>
      </c>
      <c r="X4">
        <v>-161.88</v>
      </c>
      <c r="Y4">
        <v>-3.59</v>
      </c>
      <c r="Z4">
        <v>3</v>
      </c>
      <c r="AA4">
        <v>6</v>
      </c>
      <c r="AB4">
        <v>3</v>
      </c>
      <c r="AC4">
        <v>-26.98</v>
      </c>
      <c r="AD4">
        <v>5</v>
      </c>
      <c r="AE4">
        <v>-87.877300000000005</v>
      </c>
      <c r="AF4" t="s">
        <v>22</v>
      </c>
      <c r="AH4" t="b">
        <f t="shared" si="0"/>
        <v>1</v>
      </c>
      <c r="AI4" t="b">
        <f t="shared" si="1"/>
        <v>1</v>
      </c>
      <c r="AJ4" t="b">
        <f t="shared" si="2"/>
        <v>1</v>
      </c>
      <c r="AK4" t="b">
        <f t="shared" si="3"/>
        <v>1</v>
      </c>
      <c r="AL4" t="b">
        <f t="shared" si="4"/>
        <v>1</v>
      </c>
      <c r="AM4" t="b">
        <f t="shared" si="5"/>
        <v>1</v>
      </c>
      <c r="AN4" t="b">
        <f t="shared" si="6"/>
        <v>1</v>
      </c>
      <c r="AO4" t="b">
        <f t="shared" si="7"/>
        <v>1</v>
      </c>
      <c r="AP4" t="b">
        <f t="shared" si="8"/>
        <v>1</v>
      </c>
      <c r="AQ4" t="b">
        <f t="shared" si="9"/>
        <v>1</v>
      </c>
    </row>
    <row r="5" spans="1:43" x14ac:dyDescent="0.55000000000000004">
      <c r="A5">
        <v>1774291506</v>
      </c>
      <c r="B5" t="s">
        <v>16</v>
      </c>
      <c r="C5" t="s">
        <v>17</v>
      </c>
      <c r="D5">
        <v>4448.9799999999996</v>
      </c>
      <c r="E5" t="s">
        <v>20</v>
      </c>
      <c r="F5">
        <v>4467.12</v>
      </c>
      <c r="G5">
        <v>4351.03</v>
      </c>
      <c r="H5">
        <v>4512.91</v>
      </c>
      <c r="I5">
        <v>4098.6899999999996</v>
      </c>
      <c r="J5">
        <v>4734.78</v>
      </c>
      <c r="K5">
        <v>4661.42</v>
      </c>
      <c r="L5">
        <v>116.09</v>
      </c>
      <c r="M5">
        <v>2.67</v>
      </c>
      <c r="N5">
        <v>0</v>
      </c>
      <c r="O5">
        <v>12</v>
      </c>
      <c r="P5" t="s">
        <v>21</v>
      </c>
      <c r="R5">
        <v>1774291506</v>
      </c>
      <c r="S5" t="s">
        <v>16</v>
      </c>
      <c r="T5" t="s">
        <v>17</v>
      </c>
      <c r="U5">
        <v>4448.9799999999996</v>
      </c>
      <c r="V5" t="s">
        <v>20</v>
      </c>
      <c r="W5">
        <v>4467.12</v>
      </c>
      <c r="X5">
        <v>116.09</v>
      </c>
      <c r="Y5">
        <v>2.67</v>
      </c>
      <c r="Z5">
        <v>0</v>
      </c>
      <c r="AA5">
        <v>12</v>
      </c>
      <c r="AB5">
        <v>0</v>
      </c>
      <c r="AC5">
        <v>9.6741700000000002</v>
      </c>
      <c r="AD5">
        <v>0</v>
      </c>
      <c r="AE5">
        <v>84.098399999999998</v>
      </c>
      <c r="AF5" t="s">
        <v>21</v>
      </c>
      <c r="AH5" t="b">
        <f t="shared" si="0"/>
        <v>1</v>
      </c>
      <c r="AI5" t="b">
        <f t="shared" si="1"/>
        <v>1</v>
      </c>
      <c r="AJ5" t="b">
        <f t="shared" si="2"/>
        <v>1</v>
      </c>
      <c r="AK5" t="b">
        <f t="shared" si="3"/>
        <v>1</v>
      </c>
      <c r="AL5" t="b">
        <f t="shared" si="4"/>
        <v>1</v>
      </c>
      <c r="AM5" t="b">
        <f t="shared" si="5"/>
        <v>1</v>
      </c>
      <c r="AN5" t="b">
        <f t="shared" si="6"/>
        <v>1</v>
      </c>
      <c r="AO5" t="b">
        <f t="shared" si="7"/>
        <v>1</v>
      </c>
      <c r="AP5" t="b">
        <f t="shared" si="8"/>
        <v>1</v>
      </c>
      <c r="AQ5" t="b">
        <f t="shared" si="9"/>
        <v>1</v>
      </c>
    </row>
    <row r="6" spans="1:43" x14ac:dyDescent="0.55000000000000004">
      <c r="A6">
        <v>1774303206</v>
      </c>
      <c r="B6" t="s">
        <v>16</v>
      </c>
      <c r="C6" t="s">
        <v>17</v>
      </c>
      <c r="D6">
        <v>4398.29</v>
      </c>
      <c r="E6" t="s">
        <v>18</v>
      </c>
      <c r="F6">
        <v>4360.47</v>
      </c>
      <c r="G6">
        <v>4467.12</v>
      </c>
      <c r="H6">
        <v>4351.03</v>
      </c>
      <c r="I6">
        <v>4512.91</v>
      </c>
      <c r="J6">
        <v>4098.6899999999996</v>
      </c>
      <c r="K6">
        <v>4734.78</v>
      </c>
      <c r="L6">
        <v>-106.65</v>
      </c>
      <c r="M6">
        <v>-2.39</v>
      </c>
      <c r="N6">
        <v>3</v>
      </c>
      <c r="O6">
        <v>9</v>
      </c>
      <c r="P6" t="s">
        <v>22</v>
      </c>
      <c r="R6">
        <v>1774303206</v>
      </c>
      <c r="S6" t="s">
        <v>16</v>
      </c>
      <c r="T6" t="s">
        <v>17</v>
      </c>
      <c r="U6">
        <v>4398.29</v>
      </c>
      <c r="V6" t="s">
        <v>18</v>
      </c>
      <c r="W6">
        <v>4360.47</v>
      </c>
      <c r="X6">
        <v>-106.65</v>
      </c>
      <c r="Y6">
        <v>-2.39</v>
      </c>
      <c r="Z6">
        <v>3</v>
      </c>
      <c r="AA6">
        <v>9</v>
      </c>
      <c r="AB6">
        <v>3</v>
      </c>
      <c r="AC6">
        <v>-11.85</v>
      </c>
      <c r="AD6">
        <v>3</v>
      </c>
      <c r="AE6">
        <v>-85.176299999999998</v>
      </c>
      <c r="AF6" t="s">
        <v>22</v>
      </c>
      <c r="AH6" t="b">
        <f t="shared" si="0"/>
        <v>1</v>
      </c>
      <c r="AI6" t="b">
        <f t="shared" si="1"/>
        <v>1</v>
      </c>
      <c r="AJ6" t="b">
        <f t="shared" si="2"/>
        <v>1</v>
      </c>
      <c r="AK6" t="b">
        <f t="shared" si="3"/>
        <v>1</v>
      </c>
      <c r="AL6" t="b">
        <f t="shared" si="4"/>
        <v>1</v>
      </c>
      <c r="AM6" t="b">
        <f t="shared" si="5"/>
        <v>1</v>
      </c>
      <c r="AN6" t="b">
        <f t="shared" si="6"/>
        <v>1</v>
      </c>
      <c r="AO6" t="b">
        <f t="shared" si="7"/>
        <v>1</v>
      </c>
      <c r="AP6" t="b">
        <f t="shared" si="8"/>
        <v>1</v>
      </c>
      <c r="AQ6" t="b">
        <f t="shared" si="9"/>
        <v>1</v>
      </c>
    </row>
    <row r="7" spans="1:43" x14ac:dyDescent="0.55000000000000004">
      <c r="A7">
        <v>1774307706</v>
      </c>
      <c r="B7" t="s">
        <v>16</v>
      </c>
      <c r="C7" t="s">
        <v>17</v>
      </c>
      <c r="D7">
        <v>4441.71</v>
      </c>
      <c r="E7" t="s">
        <v>20</v>
      </c>
      <c r="F7">
        <v>4448.04</v>
      </c>
      <c r="G7">
        <v>4360.47</v>
      </c>
      <c r="H7">
        <v>4467.12</v>
      </c>
      <c r="I7">
        <v>4351.03</v>
      </c>
      <c r="J7">
        <v>4512.91</v>
      </c>
      <c r="K7">
        <v>4098.6899999999996</v>
      </c>
      <c r="L7">
        <v>87.57</v>
      </c>
      <c r="M7">
        <v>2.0099999999999998</v>
      </c>
      <c r="N7">
        <v>0</v>
      </c>
      <c r="O7">
        <v>5</v>
      </c>
      <c r="P7" t="s">
        <v>21</v>
      </c>
      <c r="R7">
        <v>1774307706</v>
      </c>
      <c r="S7" t="s">
        <v>16</v>
      </c>
      <c r="T7" t="s">
        <v>17</v>
      </c>
      <c r="U7">
        <v>4441.71</v>
      </c>
      <c r="V7" t="s">
        <v>20</v>
      </c>
      <c r="W7">
        <v>4448.04</v>
      </c>
      <c r="X7">
        <v>87.57</v>
      </c>
      <c r="Y7">
        <v>2.0099999999999998</v>
      </c>
      <c r="Z7">
        <v>0</v>
      </c>
      <c r="AA7">
        <v>5</v>
      </c>
      <c r="AB7">
        <v>0</v>
      </c>
      <c r="AC7">
        <v>17.513999999999999</v>
      </c>
      <c r="AD7">
        <v>2</v>
      </c>
      <c r="AE7">
        <v>86.732100000000003</v>
      </c>
      <c r="AF7" t="s">
        <v>21</v>
      </c>
      <c r="AH7" t="b">
        <f t="shared" si="0"/>
        <v>1</v>
      </c>
      <c r="AI7" t="b">
        <f t="shared" si="1"/>
        <v>1</v>
      </c>
      <c r="AJ7" t="b">
        <f t="shared" si="2"/>
        <v>1</v>
      </c>
      <c r="AK7" t="b">
        <f t="shared" si="3"/>
        <v>1</v>
      </c>
      <c r="AL7" t="b">
        <f t="shared" si="4"/>
        <v>1</v>
      </c>
      <c r="AM7" t="b">
        <f t="shared" si="5"/>
        <v>1</v>
      </c>
      <c r="AN7" t="b">
        <f t="shared" si="6"/>
        <v>1</v>
      </c>
      <c r="AO7" t="b">
        <f t="shared" si="7"/>
        <v>1</v>
      </c>
      <c r="AP7" t="b">
        <f t="shared" si="8"/>
        <v>1</v>
      </c>
      <c r="AQ7" t="b">
        <f t="shared" si="9"/>
        <v>1</v>
      </c>
    </row>
    <row r="8" spans="1:43" x14ac:dyDescent="0.55000000000000004">
      <c r="A8">
        <v>1774317606</v>
      </c>
      <c r="B8" t="s">
        <v>16</v>
      </c>
      <c r="C8" t="s">
        <v>17</v>
      </c>
      <c r="D8">
        <v>4312.34</v>
      </c>
      <c r="E8" t="s">
        <v>18</v>
      </c>
      <c r="F8">
        <v>4306.09</v>
      </c>
      <c r="G8">
        <v>4448.04</v>
      </c>
      <c r="H8">
        <v>4360.47</v>
      </c>
      <c r="I8">
        <v>4467.12</v>
      </c>
      <c r="J8">
        <v>4351.03</v>
      </c>
      <c r="K8">
        <v>4512.91</v>
      </c>
      <c r="L8">
        <v>-141.94999999999999</v>
      </c>
      <c r="M8">
        <v>-3.19</v>
      </c>
      <c r="N8">
        <v>3</v>
      </c>
      <c r="O8">
        <v>11</v>
      </c>
      <c r="P8" t="s">
        <v>19</v>
      </c>
      <c r="R8">
        <v>1774317606</v>
      </c>
      <c r="S8" t="s">
        <v>16</v>
      </c>
      <c r="T8" t="s">
        <v>17</v>
      </c>
      <c r="U8">
        <v>4312.34</v>
      </c>
      <c r="V8" t="s">
        <v>18</v>
      </c>
      <c r="W8">
        <v>4306.09</v>
      </c>
      <c r="X8">
        <v>-141.94999999999999</v>
      </c>
      <c r="Y8">
        <v>-3.19</v>
      </c>
      <c r="Z8">
        <v>3</v>
      </c>
      <c r="AA8">
        <v>11</v>
      </c>
      <c r="AB8">
        <v>3</v>
      </c>
      <c r="AC8">
        <v>-12.90455</v>
      </c>
      <c r="AD8">
        <v>4</v>
      </c>
      <c r="AE8">
        <v>-85.568899999999999</v>
      </c>
      <c r="AF8" t="s">
        <v>19</v>
      </c>
      <c r="AH8" t="b">
        <f t="shared" si="0"/>
        <v>1</v>
      </c>
      <c r="AI8" t="b">
        <f t="shared" si="1"/>
        <v>1</v>
      </c>
      <c r="AJ8" t="b">
        <f t="shared" si="2"/>
        <v>1</v>
      </c>
      <c r="AK8" t="b">
        <f t="shared" si="3"/>
        <v>1</v>
      </c>
      <c r="AL8" t="b">
        <f t="shared" si="4"/>
        <v>1</v>
      </c>
      <c r="AM8" t="b">
        <f t="shared" si="5"/>
        <v>1</v>
      </c>
      <c r="AN8" t="b">
        <f t="shared" si="6"/>
        <v>1</v>
      </c>
      <c r="AO8" t="b">
        <f t="shared" si="7"/>
        <v>1</v>
      </c>
      <c r="AP8" t="b">
        <f t="shared" si="8"/>
        <v>1</v>
      </c>
      <c r="AQ8" t="b">
        <f t="shared" si="9"/>
        <v>1</v>
      </c>
    </row>
    <row r="9" spans="1:43" x14ac:dyDescent="0.55000000000000004">
      <c r="A9">
        <v>1774349106</v>
      </c>
      <c r="B9" t="s">
        <v>16</v>
      </c>
      <c r="C9" t="s">
        <v>17</v>
      </c>
      <c r="D9">
        <v>4438.66</v>
      </c>
      <c r="E9" t="s">
        <v>20</v>
      </c>
      <c r="F9">
        <v>4441.87</v>
      </c>
      <c r="G9">
        <v>4306.09</v>
      </c>
      <c r="H9">
        <v>4448.04</v>
      </c>
      <c r="I9">
        <v>4360.47</v>
      </c>
      <c r="J9">
        <v>4467.12</v>
      </c>
      <c r="K9">
        <v>4351.03</v>
      </c>
      <c r="L9">
        <v>135.78</v>
      </c>
      <c r="M9">
        <v>3.15</v>
      </c>
      <c r="N9">
        <v>0</v>
      </c>
      <c r="O9">
        <v>35</v>
      </c>
      <c r="P9" t="s">
        <v>21</v>
      </c>
      <c r="R9">
        <v>1774349106</v>
      </c>
      <c r="S9" t="s">
        <v>16</v>
      </c>
      <c r="T9" t="s">
        <v>17</v>
      </c>
      <c r="U9">
        <v>4438.66</v>
      </c>
      <c r="V9" t="s">
        <v>20</v>
      </c>
      <c r="W9">
        <v>4441.87</v>
      </c>
      <c r="X9">
        <v>135.78</v>
      </c>
      <c r="Y9">
        <v>3.15</v>
      </c>
      <c r="Z9">
        <v>0</v>
      </c>
      <c r="AA9">
        <v>35</v>
      </c>
      <c r="AB9">
        <v>0</v>
      </c>
      <c r="AC9">
        <v>3.8794300000000002</v>
      </c>
      <c r="AD9">
        <v>0</v>
      </c>
      <c r="AE9">
        <v>75.545500000000004</v>
      </c>
      <c r="AF9" t="s">
        <v>21</v>
      </c>
      <c r="AH9" t="b">
        <f t="shared" si="0"/>
        <v>1</v>
      </c>
      <c r="AI9" t="b">
        <f t="shared" si="1"/>
        <v>1</v>
      </c>
      <c r="AJ9" t="b">
        <f t="shared" si="2"/>
        <v>1</v>
      </c>
      <c r="AK9" t="b">
        <f t="shared" si="3"/>
        <v>1</v>
      </c>
      <c r="AL9" t="b">
        <f t="shared" si="4"/>
        <v>1</v>
      </c>
      <c r="AM9" t="b">
        <f t="shared" si="5"/>
        <v>1</v>
      </c>
      <c r="AN9" t="b">
        <f t="shared" si="6"/>
        <v>1</v>
      </c>
      <c r="AO9" t="b">
        <f t="shared" si="7"/>
        <v>1</v>
      </c>
      <c r="AP9" t="b">
        <f t="shared" si="8"/>
        <v>1</v>
      </c>
      <c r="AQ9" t="b">
        <f t="shared" si="9"/>
        <v>1</v>
      </c>
    </row>
    <row r="10" spans="1:43" x14ac:dyDescent="0.55000000000000004">
      <c r="A10">
        <v>1774359906</v>
      </c>
      <c r="B10" t="s">
        <v>16</v>
      </c>
      <c r="C10" t="s">
        <v>17</v>
      </c>
      <c r="D10">
        <v>4381.79</v>
      </c>
      <c r="E10" t="s">
        <v>18</v>
      </c>
      <c r="F10">
        <v>4351.7</v>
      </c>
      <c r="G10">
        <v>4441.87</v>
      </c>
      <c r="H10">
        <v>4306.09</v>
      </c>
      <c r="I10">
        <v>4448.04</v>
      </c>
      <c r="J10">
        <v>4360.47</v>
      </c>
      <c r="K10">
        <v>4467.12</v>
      </c>
      <c r="L10">
        <v>-90.17</v>
      </c>
      <c r="M10">
        <v>-2.0299999999999998</v>
      </c>
      <c r="N10">
        <v>3</v>
      </c>
      <c r="O10">
        <v>12</v>
      </c>
      <c r="P10" t="s">
        <v>22</v>
      </c>
      <c r="R10">
        <v>1774359906</v>
      </c>
      <c r="S10" t="s">
        <v>16</v>
      </c>
      <c r="T10" t="s">
        <v>17</v>
      </c>
      <c r="U10">
        <v>4381.79</v>
      </c>
      <c r="V10" t="s">
        <v>18</v>
      </c>
      <c r="W10">
        <v>4351.7</v>
      </c>
      <c r="X10">
        <v>-90.17</v>
      </c>
      <c r="Y10">
        <v>-2.0299999999999998</v>
      </c>
      <c r="Z10">
        <v>3</v>
      </c>
      <c r="AA10">
        <v>12</v>
      </c>
      <c r="AB10">
        <v>3</v>
      </c>
      <c r="AC10">
        <v>-7.51417</v>
      </c>
      <c r="AD10">
        <v>3</v>
      </c>
      <c r="AE10">
        <v>-82.419499999999999</v>
      </c>
      <c r="AF10" t="s">
        <v>22</v>
      </c>
      <c r="AH10" t="b">
        <f t="shared" si="0"/>
        <v>1</v>
      </c>
      <c r="AI10" t="b">
        <f t="shared" si="1"/>
        <v>1</v>
      </c>
      <c r="AJ10" t="b">
        <f t="shared" si="2"/>
        <v>1</v>
      </c>
      <c r="AK10" t="b">
        <f t="shared" si="3"/>
        <v>1</v>
      </c>
      <c r="AL10" t="b">
        <f t="shared" si="4"/>
        <v>1</v>
      </c>
      <c r="AM10" t="b">
        <f t="shared" si="5"/>
        <v>1</v>
      </c>
      <c r="AN10" t="b">
        <f t="shared" si="6"/>
        <v>1</v>
      </c>
      <c r="AO10" t="b">
        <f t="shared" si="7"/>
        <v>1</v>
      </c>
      <c r="AP10" t="b">
        <f t="shared" si="8"/>
        <v>1</v>
      </c>
      <c r="AQ10" t="b">
        <f t="shared" si="9"/>
        <v>1</v>
      </c>
    </row>
    <row r="11" spans="1:43" x14ac:dyDescent="0.55000000000000004">
      <c r="A11">
        <v>1774363506</v>
      </c>
      <c r="B11" t="s">
        <v>16</v>
      </c>
      <c r="C11" t="s">
        <v>17</v>
      </c>
      <c r="D11">
        <v>4415.63</v>
      </c>
      <c r="E11" t="s">
        <v>20</v>
      </c>
      <c r="F11">
        <v>4433.51</v>
      </c>
      <c r="G11">
        <v>4351.7</v>
      </c>
      <c r="H11">
        <v>4441.87</v>
      </c>
      <c r="I11">
        <v>4306.09</v>
      </c>
      <c r="J11">
        <v>4448.04</v>
      </c>
      <c r="K11">
        <v>4360.47</v>
      </c>
      <c r="L11">
        <v>81.81</v>
      </c>
      <c r="M11">
        <v>1.88</v>
      </c>
      <c r="N11">
        <v>0</v>
      </c>
      <c r="O11">
        <v>4</v>
      </c>
      <c r="P11" t="s">
        <v>21</v>
      </c>
      <c r="R11">
        <v>1774363506</v>
      </c>
      <c r="S11" t="s">
        <v>16</v>
      </c>
      <c r="T11" t="s">
        <v>17</v>
      </c>
      <c r="U11">
        <v>4415.63</v>
      </c>
      <c r="V11" t="s">
        <v>20</v>
      </c>
      <c r="W11">
        <v>4433.51</v>
      </c>
      <c r="X11">
        <v>81.81</v>
      </c>
      <c r="Y11">
        <v>1.88</v>
      </c>
      <c r="Z11">
        <v>0</v>
      </c>
      <c r="AA11">
        <v>4</v>
      </c>
      <c r="AB11">
        <v>0</v>
      </c>
      <c r="AC11">
        <v>20.452500000000001</v>
      </c>
      <c r="AD11">
        <v>2</v>
      </c>
      <c r="AE11">
        <v>87.200800000000001</v>
      </c>
      <c r="AF11" t="s">
        <v>21</v>
      </c>
      <c r="AH11" t="b">
        <f t="shared" si="0"/>
        <v>1</v>
      </c>
      <c r="AI11" t="b">
        <f t="shared" si="1"/>
        <v>1</v>
      </c>
      <c r="AJ11" t="b">
        <f t="shared" si="2"/>
        <v>1</v>
      </c>
      <c r="AK11" t="b">
        <f t="shared" si="3"/>
        <v>1</v>
      </c>
      <c r="AL11" t="b">
        <f t="shared" si="4"/>
        <v>1</v>
      </c>
      <c r="AM11" t="b">
        <f t="shared" si="5"/>
        <v>1</v>
      </c>
      <c r="AN11" t="b">
        <f t="shared" si="6"/>
        <v>1</v>
      </c>
      <c r="AO11" t="b">
        <f t="shared" si="7"/>
        <v>1</v>
      </c>
      <c r="AP11" t="b">
        <f t="shared" si="8"/>
        <v>1</v>
      </c>
      <c r="AQ11" t="b">
        <f t="shared" si="9"/>
        <v>1</v>
      </c>
    </row>
    <row r="12" spans="1:43" x14ac:dyDescent="0.55000000000000004">
      <c r="A12">
        <v>1774374306</v>
      </c>
      <c r="B12" t="s">
        <v>16</v>
      </c>
      <c r="C12" t="s">
        <v>17</v>
      </c>
      <c r="D12">
        <v>4388.6400000000003</v>
      </c>
      <c r="E12" t="s">
        <v>18</v>
      </c>
      <c r="F12">
        <v>4372.58</v>
      </c>
      <c r="G12">
        <v>4433.51</v>
      </c>
      <c r="H12">
        <v>4351.7</v>
      </c>
      <c r="I12">
        <v>4441.87</v>
      </c>
      <c r="J12">
        <v>4306.09</v>
      </c>
      <c r="K12">
        <v>4448.04</v>
      </c>
      <c r="L12">
        <v>-60.93</v>
      </c>
      <c r="M12">
        <v>-1.37</v>
      </c>
      <c r="N12">
        <v>3</v>
      </c>
      <c r="O12">
        <v>12</v>
      </c>
      <c r="P12" t="s">
        <v>22</v>
      </c>
      <c r="R12">
        <v>1774374306</v>
      </c>
      <c r="S12" t="s">
        <v>16</v>
      </c>
      <c r="T12" t="s">
        <v>17</v>
      </c>
      <c r="U12">
        <v>4388.6400000000003</v>
      </c>
      <c r="V12" t="s">
        <v>18</v>
      </c>
      <c r="W12">
        <v>4372.58</v>
      </c>
      <c r="X12">
        <v>-60.93</v>
      </c>
      <c r="Y12">
        <v>-1.37</v>
      </c>
      <c r="Z12">
        <v>3</v>
      </c>
      <c r="AA12">
        <v>12</v>
      </c>
      <c r="AB12">
        <v>3</v>
      </c>
      <c r="AC12">
        <v>-5.0774999999999997</v>
      </c>
      <c r="AD12">
        <v>3</v>
      </c>
      <c r="AE12">
        <v>-78.8583</v>
      </c>
      <c r="AF12" t="s">
        <v>22</v>
      </c>
      <c r="AH12" t="b">
        <f t="shared" si="0"/>
        <v>1</v>
      </c>
      <c r="AI12" t="b">
        <f t="shared" si="1"/>
        <v>1</v>
      </c>
      <c r="AJ12" t="b">
        <f t="shared" si="2"/>
        <v>1</v>
      </c>
      <c r="AK12" t="b">
        <f t="shared" si="3"/>
        <v>1</v>
      </c>
      <c r="AL12" t="b">
        <f t="shared" si="4"/>
        <v>1</v>
      </c>
      <c r="AM12" t="b">
        <f t="shared" si="5"/>
        <v>1</v>
      </c>
      <c r="AN12" t="b">
        <f t="shared" si="6"/>
        <v>1</v>
      </c>
      <c r="AO12" t="b">
        <f t="shared" si="7"/>
        <v>1</v>
      </c>
      <c r="AP12" t="b">
        <f t="shared" si="8"/>
        <v>1</v>
      </c>
      <c r="AQ12" t="b">
        <f t="shared" si="9"/>
        <v>1</v>
      </c>
    </row>
    <row r="13" spans="1:43" x14ac:dyDescent="0.55000000000000004">
      <c r="A13">
        <v>1774406706</v>
      </c>
      <c r="B13" t="s">
        <v>16</v>
      </c>
      <c r="C13" t="s">
        <v>17</v>
      </c>
      <c r="D13">
        <v>4583.92</v>
      </c>
      <c r="E13" t="s">
        <v>20</v>
      </c>
      <c r="F13">
        <v>4602.3</v>
      </c>
      <c r="G13">
        <v>4372.58</v>
      </c>
      <c r="H13">
        <v>4433.51</v>
      </c>
      <c r="I13">
        <v>4351.7</v>
      </c>
      <c r="J13">
        <v>4441.87</v>
      </c>
      <c r="K13">
        <v>4306.09</v>
      </c>
      <c r="L13">
        <v>229.72</v>
      </c>
      <c r="M13">
        <v>5.25</v>
      </c>
      <c r="N13">
        <v>0</v>
      </c>
      <c r="O13">
        <v>32</v>
      </c>
      <c r="P13" t="s">
        <v>23</v>
      </c>
      <c r="R13">
        <v>1774406706</v>
      </c>
      <c r="S13" t="s">
        <v>16</v>
      </c>
      <c r="T13" t="s">
        <v>17</v>
      </c>
      <c r="U13">
        <v>4583.92</v>
      </c>
      <c r="V13" t="s">
        <v>20</v>
      </c>
      <c r="W13">
        <v>4602.3</v>
      </c>
      <c r="X13">
        <v>229.72</v>
      </c>
      <c r="Y13">
        <v>5.25</v>
      </c>
      <c r="Z13">
        <v>0</v>
      </c>
      <c r="AA13">
        <v>32</v>
      </c>
      <c r="AB13">
        <v>0</v>
      </c>
      <c r="AC13">
        <v>7.17875</v>
      </c>
      <c r="AD13">
        <v>0</v>
      </c>
      <c r="AE13">
        <v>82.069699999999997</v>
      </c>
      <c r="AF13" t="s">
        <v>23</v>
      </c>
      <c r="AH13" t="b">
        <f t="shared" si="0"/>
        <v>1</v>
      </c>
      <c r="AI13" t="b">
        <f t="shared" si="1"/>
        <v>1</v>
      </c>
      <c r="AJ13" t="b">
        <f t="shared" si="2"/>
        <v>1</v>
      </c>
      <c r="AK13" t="b">
        <f t="shared" si="3"/>
        <v>1</v>
      </c>
      <c r="AL13" t="b">
        <f t="shared" si="4"/>
        <v>1</v>
      </c>
      <c r="AM13" t="b">
        <f t="shared" si="5"/>
        <v>1</v>
      </c>
      <c r="AN13" t="b">
        <f t="shared" si="6"/>
        <v>1</v>
      </c>
      <c r="AO13" t="b">
        <f t="shared" si="7"/>
        <v>1</v>
      </c>
      <c r="AP13" t="b">
        <f t="shared" si="8"/>
        <v>1</v>
      </c>
      <c r="AQ13" t="b">
        <f t="shared" si="9"/>
        <v>1</v>
      </c>
    </row>
    <row r="14" spans="1:43" x14ac:dyDescent="0.55000000000000004">
      <c r="A14">
        <v>1774418406</v>
      </c>
      <c r="B14" t="s">
        <v>16</v>
      </c>
      <c r="C14" t="s">
        <v>17</v>
      </c>
      <c r="D14">
        <v>4534.37</v>
      </c>
      <c r="E14" t="s">
        <v>18</v>
      </c>
      <c r="F14">
        <v>4532.82</v>
      </c>
      <c r="G14">
        <v>4602.3</v>
      </c>
      <c r="H14">
        <v>4372.58</v>
      </c>
      <c r="I14">
        <v>4433.51</v>
      </c>
      <c r="J14">
        <v>4351.7</v>
      </c>
      <c r="K14">
        <v>4441.87</v>
      </c>
      <c r="L14">
        <v>-69.48</v>
      </c>
      <c r="M14">
        <v>-1.51</v>
      </c>
      <c r="N14">
        <v>3</v>
      </c>
      <c r="O14">
        <v>13</v>
      </c>
      <c r="P14" t="s">
        <v>22</v>
      </c>
      <c r="R14">
        <v>1774418406</v>
      </c>
      <c r="S14" t="s">
        <v>16</v>
      </c>
      <c r="T14" t="s">
        <v>17</v>
      </c>
      <c r="U14">
        <v>4534.37</v>
      </c>
      <c r="V14" t="s">
        <v>18</v>
      </c>
      <c r="W14">
        <v>4532.82</v>
      </c>
      <c r="X14">
        <v>-69.48</v>
      </c>
      <c r="Y14">
        <v>-1.51</v>
      </c>
      <c r="Z14">
        <v>3</v>
      </c>
      <c r="AA14">
        <v>13</v>
      </c>
      <c r="AB14">
        <v>3</v>
      </c>
      <c r="AC14">
        <v>-5.3446199999999999</v>
      </c>
      <c r="AD14">
        <v>3</v>
      </c>
      <c r="AE14">
        <v>-79.402299999999997</v>
      </c>
      <c r="AF14" t="s">
        <v>22</v>
      </c>
      <c r="AH14" t="b">
        <f t="shared" si="0"/>
        <v>1</v>
      </c>
      <c r="AI14" t="b">
        <f t="shared" si="1"/>
        <v>1</v>
      </c>
      <c r="AJ14" t="b">
        <f t="shared" si="2"/>
        <v>1</v>
      </c>
      <c r="AK14" t="b">
        <f t="shared" si="3"/>
        <v>1</v>
      </c>
      <c r="AL14" t="b">
        <f t="shared" si="4"/>
        <v>1</v>
      </c>
      <c r="AM14" t="b">
        <f t="shared" si="5"/>
        <v>1</v>
      </c>
      <c r="AN14" t="b">
        <f t="shared" si="6"/>
        <v>1</v>
      </c>
      <c r="AO14" t="b">
        <f t="shared" si="7"/>
        <v>1</v>
      </c>
      <c r="AP14" t="b">
        <f t="shared" si="8"/>
        <v>1</v>
      </c>
      <c r="AQ14" t="b">
        <f t="shared" si="9"/>
        <v>1</v>
      </c>
    </row>
    <row r="15" spans="1:43" x14ac:dyDescent="0.55000000000000004">
      <c r="A15">
        <v>1774429206</v>
      </c>
      <c r="B15" t="s">
        <v>16</v>
      </c>
      <c r="C15" t="s">
        <v>17</v>
      </c>
      <c r="D15">
        <v>4562.2299999999996</v>
      </c>
      <c r="E15" t="s">
        <v>20</v>
      </c>
      <c r="F15">
        <v>4567.7299999999996</v>
      </c>
      <c r="G15">
        <v>4532.82</v>
      </c>
      <c r="H15">
        <v>4602.3</v>
      </c>
      <c r="I15">
        <v>4372.58</v>
      </c>
      <c r="J15">
        <v>4433.51</v>
      </c>
      <c r="K15">
        <v>4351.7</v>
      </c>
      <c r="L15">
        <v>34.909999999999997</v>
      </c>
      <c r="M15">
        <v>0.77</v>
      </c>
      <c r="N15">
        <v>0</v>
      </c>
      <c r="O15">
        <v>12</v>
      </c>
      <c r="P15" t="s">
        <v>21</v>
      </c>
      <c r="R15">
        <v>1774429206</v>
      </c>
      <c r="S15" t="s">
        <v>16</v>
      </c>
      <c r="T15" t="s">
        <v>17</v>
      </c>
      <c r="U15">
        <v>4562.2299999999996</v>
      </c>
      <c r="V15" t="s">
        <v>20</v>
      </c>
      <c r="W15">
        <v>4567.7299999999996</v>
      </c>
      <c r="X15">
        <v>34.909999999999997</v>
      </c>
      <c r="Y15">
        <v>0.77</v>
      </c>
      <c r="Z15">
        <v>0</v>
      </c>
      <c r="AA15">
        <v>12</v>
      </c>
      <c r="AB15">
        <v>0</v>
      </c>
      <c r="AC15">
        <v>2.90917</v>
      </c>
      <c r="AD15">
        <v>0</v>
      </c>
      <c r="AE15">
        <v>71.030100000000004</v>
      </c>
      <c r="AF15" t="s">
        <v>21</v>
      </c>
      <c r="AH15" t="b">
        <f t="shared" si="0"/>
        <v>1</v>
      </c>
      <c r="AI15" t="b">
        <f t="shared" si="1"/>
        <v>1</v>
      </c>
      <c r="AJ15" t="b">
        <f t="shared" si="2"/>
        <v>1</v>
      </c>
      <c r="AK15" t="b">
        <f t="shared" si="3"/>
        <v>1</v>
      </c>
      <c r="AL15" t="b">
        <f t="shared" si="4"/>
        <v>1</v>
      </c>
      <c r="AM15" t="b">
        <f t="shared" si="5"/>
        <v>1</v>
      </c>
      <c r="AN15" t="b">
        <f t="shared" si="6"/>
        <v>1</v>
      </c>
      <c r="AO15" t="b">
        <f t="shared" si="7"/>
        <v>1</v>
      </c>
      <c r="AP15" t="b">
        <f t="shared" si="8"/>
        <v>1</v>
      </c>
      <c r="AQ15" t="b">
        <f t="shared" si="9"/>
        <v>1</v>
      </c>
    </row>
    <row r="16" spans="1:43" x14ac:dyDescent="0.55000000000000004">
      <c r="A16">
        <v>1774431906</v>
      </c>
      <c r="B16" t="s">
        <v>16</v>
      </c>
      <c r="C16" t="s">
        <v>17</v>
      </c>
      <c r="D16">
        <v>4551.67</v>
      </c>
      <c r="E16" t="s">
        <v>18</v>
      </c>
      <c r="F16">
        <v>4527.99</v>
      </c>
      <c r="G16">
        <v>4567.7299999999996</v>
      </c>
      <c r="H16">
        <v>4532.82</v>
      </c>
      <c r="I16">
        <v>4602.3</v>
      </c>
      <c r="J16">
        <v>4372.58</v>
      </c>
      <c r="K16">
        <v>4433.51</v>
      </c>
      <c r="L16">
        <v>-39.74</v>
      </c>
      <c r="M16">
        <v>-0.87</v>
      </c>
      <c r="N16">
        <v>3</v>
      </c>
      <c r="O16">
        <v>3</v>
      </c>
      <c r="P16" t="s">
        <v>19</v>
      </c>
      <c r="R16">
        <v>1774431906</v>
      </c>
      <c r="S16" t="s">
        <v>16</v>
      </c>
      <c r="T16" t="s">
        <v>17</v>
      </c>
      <c r="U16">
        <v>4551.67</v>
      </c>
      <c r="V16" t="s">
        <v>18</v>
      </c>
      <c r="W16">
        <v>4527.99</v>
      </c>
      <c r="X16">
        <v>-39.74</v>
      </c>
      <c r="Y16">
        <v>-0.87</v>
      </c>
      <c r="Z16">
        <v>3</v>
      </c>
      <c r="AA16">
        <v>3</v>
      </c>
      <c r="AB16">
        <v>3</v>
      </c>
      <c r="AC16">
        <v>-13.24667</v>
      </c>
      <c r="AD16">
        <v>3</v>
      </c>
      <c r="AE16">
        <v>-85.682900000000004</v>
      </c>
      <c r="AF16" t="s">
        <v>19</v>
      </c>
      <c r="AH16" t="b">
        <f t="shared" si="0"/>
        <v>1</v>
      </c>
      <c r="AI16" t="b">
        <f t="shared" si="1"/>
        <v>1</v>
      </c>
      <c r="AJ16" t="b">
        <f t="shared" si="2"/>
        <v>1</v>
      </c>
      <c r="AK16" t="b">
        <f t="shared" si="3"/>
        <v>1</v>
      </c>
      <c r="AL16" t="b">
        <f t="shared" si="4"/>
        <v>1</v>
      </c>
      <c r="AM16" t="b">
        <f t="shared" si="5"/>
        <v>1</v>
      </c>
      <c r="AN16" t="b">
        <f t="shared" si="6"/>
        <v>1</v>
      </c>
      <c r="AO16" t="b">
        <f t="shared" si="7"/>
        <v>1</v>
      </c>
      <c r="AP16" t="b">
        <f t="shared" si="8"/>
        <v>1</v>
      </c>
      <c r="AQ16" t="b">
        <f t="shared" si="9"/>
        <v>1</v>
      </c>
    </row>
    <row r="17" spans="1:43" x14ac:dyDescent="0.55000000000000004">
      <c r="A17">
        <v>1774438206</v>
      </c>
      <c r="B17" t="s">
        <v>16</v>
      </c>
      <c r="C17" t="s">
        <v>17</v>
      </c>
      <c r="D17">
        <v>4583.78</v>
      </c>
      <c r="E17" t="s">
        <v>20</v>
      </c>
      <c r="F17">
        <v>4585.51</v>
      </c>
      <c r="G17">
        <v>4527.99</v>
      </c>
      <c r="H17">
        <v>4567.7299999999996</v>
      </c>
      <c r="I17">
        <v>4532.82</v>
      </c>
      <c r="J17">
        <v>4602.3</v>
      </c>
      <c r="K17">
        <v>4372.58</v>
      </c>
      <c r="L17">
        <v>57.52</v>
      </c>
      <c r="M17">
        <v>1.27</v>
      </c>
      <c r="N17">
        <v>0</v>
      </c>
      <c r="O17">
        <v>7</v>
      </c>
      <c r="P17" t="s">
        <v>23</v>
      </c>
      <c r="R17">
        <v>1774438206</v>
      </c>
      <c r="S17" t="s">
        <v>16</v>
      </c>
      <c r="T17" t="s">
        <v>17</v>
      </c>
      <c r="U17">
        <v>4583.78</v>
      </c>
      <c r="V17" t="s">
        <v>20</v>
      </c>
      <c r="W17">
        <v>4585.51</v>
      </c>
      <c r="X17">
        <v>57.52</v>
      </c>
      <c r="Y17">
        <v>1.27</v>
      </c>
      <c r="Z17">
        <v>0</v>
      </c>
      <c r="AA17">
        <v>7</v>
      </c>
      <c r="AB17">
        <v>0</v>
      </c>
      <c r="AC17">
        <v>8.2171400000000006</v>
      </c>
      <c r="AD17">
        <v>0</v>
      </c>
      <c r="AE17">
        <v>83.061400000000006</v>
      </c>
      <c r="AF17" t="s">
        <v>23</v>
      </c>
      <c r="AH17" t="b">
        <f t="shared" si="0"/>
        <v>1</v>
      </c>
      <c r="AI17" t="b">
        <f t="shared" si="1"/>
        <v>1</v>
      </c>
      <c r="AJ17" t="b">
        <f t="shared" si="2"/>
        <v>1</v>
      </c>
      <c r="AK17" t="b">
        <f t="shared" si="3"/>
        <v>1</v>
      </c>
      <c r="AL17" t="b">
        <f t="shared" si="4"/>
        <v>1</v>
      </c>
      <c r="AM17" t="b">
        <f t="shared" si="5"/>
        <v>1</v>
      </c>
      <c r="AN17" t="b">
        <f t="shared" si="6"/>
        <v>1</v>
      </c>
      <c r="AO17" t="b">
        <f t="shared" si="7"/>
        <v>1</v>
      </c>
      <c r="AP17" t="b">
        <f t="shared" si="8"/>
        <v>1</v>
      </c>
      <c r="AQ17" t="b">
        <f t="shared" si="9"/>
        <v>1</v>
      </c>
    </row>
    <row r="18" spans="1:43" x14ac:dyDescent="0.55000000000000004">
      <c r="A18">
        <v>1774441806</v>
      </c>
      <c r="B18" t="s">
        <v>16</v>
      </c>
      <c r="C18" t="s">
        <v>17</v>
      </c>
      <c r="D18">
        <v>4547.41</v>
      </c>
      <c r="E18" t="s">
        <v>18</v>
      </c>
      <c r="F18">
        <v>4522.33</v>
      </c>
      <c r="G18">
        <v>4585.51</v>
      </c>
      <c r="H18">
        <v>4527.99</v>
      </c>
      <c r="I18">
        <v>4567.7299999999996</v>
      </c>
      <c r="J18">
        <v>4532.82</v>
      </c>
      <c r="K18">
        <v>4602.3</v>
      </c>
      <c r="L18">
        <v>-63.18</v>
      </c>
      <c r="M18">
        <v>-1.38</v>
      </c>
      <c r="N18">
        <v>3</v>
      </c>
      <c r="O18">
        <v>4</v>
      </c>
      <c r="P18" t="s">
        <v>19</v>
      </c>
      <c r="R18">
        <v>1774441806</v>
      </c>
      <c r="S18" t="s">
        <v>16</v>
      </c>
      <c r="T18" t="s">
        <v>17</v>
      </c>
      <c r="U18">
        <v>4547.41</v>
      </c>
      <c r="V18" t="s">
        <v>18</v>
      </c>
      <c r="W18">
        <v>4522.33</v>
      </c>
      <c r="X18">
        <v>-63.18</v>
      </c>
      <c r="Y18">
        <v>-1.38</v>
      </c>
      <c r="Z18">
        <v>3</v>
      </c>
      <c r="AA18">
        <v>4</v>
      </c>
      <c r="AB18">
        <v>3</v>
      </c>
      <c r="AC18">
        <v>-15.795</v>
      </c>
      <c r="AD18">
        <v>4</v>
      </c>
      <c r="AE18">
        <v>-86.377399999999994</v>
      </c>
      <c r="AF18" t="s">
        <v>19</v>
      </c>
      <c r="AH18" t="b">
        <f t="shared" si="0"/>
        <v>1</v>
      </c>
      <c r="AI18" t="b">
        <f t="shared" si="1"/>
        <v>1</v>
      </c>
      <c r="AJ18" t="b">
        <f t="shared" si="2"/>
        <v>1</v>
      </c>
      <c r="AK18" t="b">
        <f t="shared" si="3"/>
        <v>1</v>
      </c>
      <c r="AL18" t="b">
        <f t="shared" si="4"/>
        <v>1</v>
      </c>
      <c r="AM18" t="b">
        <f t="shared" si="5"/>
        <v>1</v>
      </c>
      <c r="AN18" t="b">
        <f t="shared" si="6"/>
        <v>1</v>
      </c>
      <c r="AO18" t="b">
        <f t="shared" si="7"/>
        <v>1</v>
      </c>
      <c r="AP18" t="b">
        <f t="shared" si="8"/>
        <v>1</v>
      </c>
      <c r="AQ18" t="b">
        <f t="shared" si="9"/>
        <v>1</v>
      </c>
    </row>
    <row r="19" spans="1:43" x14ac:dyDescent="0.55000000000000004">
      <c r="A19">
        <v>1774461606</v>
      </c>
      <c r="B19" t="s">
        <v>16</v>
      </c>
      <c r="C19" t="s">
        <v>17</v>
      </c>
      <c r="D19">
        <v>4551.37</v>
      </c>
      <c r="E19" t="s">
        <v>20</v>
      </c>
      <c r="F19">
        <v>4568.96</v>
      </c>
      <c r="G19">
        <v>4522.33</v>
      </c>
      <c r="H19">
        <v>4585.51</v>
      </c>
      <c r="I19">
        <v>4527.99</v>
      </c>
      <c r="J19">
        <v>4567.7299999999996</v>
      </c>
      <c r="K19">
        <v>4532.82</v>
      </c>
      <c r="L19">
        <v>46.63</v>
      </c>
      <c r="M19">
        <v>1.03</v>
      </c>
      <c r="N19">
        <v>0</v>
      </c>
      <c r="O19">
        <v>22</v>
      </c>
      <c r="P19" t="s">
        <v>21</v>
      </c>
      <c r="R19">
        <v>1774461606</v>
      </c>
      <c r="S19" t="s">
        <v>16</v>
      </c>
      <c r="T19" t="s">
        <v>17</v>
      </c>
      <c r="U19">
        <v>4551.37</v>
      </c>
      <c r="V19" t="s">
        <v>20</v>
      </c>
      <c r="W19">
        <v>4568.96</v>
      </c>
      <c r="X19">
        <v>46.63</v>
      </c>
      <c r="Y19">
        <v>1.03</v>
      </c>
      <c r="Z19">
        <v>0</v>
      </c>
      <c r="AA19">
        <v>22</v>
      </c>
      <c r="AB19">
        <v>0</v>
      </c>
      <c r="AC19">
        <v>2.1195499999999998</v>
      </c>
      <c r="AD19">
        <v>0</v>
      </c>
      <c r="AE19">
        <v>64.742099999999994</v>
      </c>
      <c r="AF19" t="s">
        <v>21</v>
      </c>
      <c r="AH19" t="b">
        <f t="shared" si="0"/>
        <v>1</v>
      </c>
      <c r="AI19" t="b">
        <f t="shared" si="1"/>
        <v>1</v>
      </c>
      <c r="AJ19" t="b">
        <f t="shared" si="2"/>
        <v>1</v>
      </c>
      <c r="AK19" t="b">
        <f t="shared" si="3"/>
        <v>1</v>
      </c>
      <c r="AL19" t="b">
        <f t="shared" si="4"/>
        <v>1</v>
      </c>
      <c r="AM19" t="b">
        <f t="shared" si="5"/>
        <v>1</v>
      </c>
      <c r="AN19" t="b">
        <f t="shared" si="6"/>
        <v>1</v>
      </c>
      <c r="AO19" t="b">
        <f t="shared" si="7"/>
        <v>1</v>
      </c>
      <c r="AP19" t="b">
        <f t="shared" si="8"/>
        <v>1</v>
      </c>
      <c r="AQ19" t="b">
        <f t="shared" si="9"/>
        <v>1</v>
      </c>
    </row>
    <row r="20" spans="1:43" x14ac:dyDescent="0.55000000000000004">
      <c r="A20">
        <v>1774465206</v>
      </c>
      <c r="B20" t="s">
        <v>16</v>
      </c>
      <c r="C20" t="s">
        <v>17</v>
      </c>
      <c r="D20">
        <v>4509.08</v>
      </c>
      <c r="E20" t="s">
        <v>18</v>
      </c>
      <c r="F20">
        <v>4487.1000000000004</v>
      </c>
      <c r="G20">
        <v>4568.96</v>
      </c>
      <c r="H20">
        <v>4522.33</v>
      </c>
      <c r="I20">
        <v>4585.51</v>
      </c>
      <c r="J20">
        <v>4527.99</v>
      </c>
      <c r="K20">
        <v>4567.7299999999996</v>
      </c>
      <c r="L20">
        <v>-81.86</v>
      </c>
      <c r="M20">
        <v>-1.79</v>
      </c>
      <c r="N20">
        <v>3</v>
      </c>
      <c r="O20">
        <v>4</v>
      </c>
      <c r="P20" t="s">
        <v>19</v>
      </c>
      <c r="R20">
        <v>1774465206</v>
      </c>
      <c r="S20" t="s">
        <v>16</v>
      </c>
      <c r="T20" t="s">
        <v>17</v>
      </c>
      <c r="U20">
        <v>4509.08</v>
      </c>
      <c r="V20" t="s">
        <v>18</v>
      </c>
      <c r="W20">
        <v>4487.1000000000004</v>
      </c>
      <c r="X20">
        <v>-81.86</v>
      </c>
      <c r="Y20">
        <v>-1.79</v>
      </c>
      <c r="Z20">
        <v>3</v>
      </c>
      <c r="AA20">
        <v>4</v>
      </c>
      <c r="AB20">
        <v>3</v>
      </c>
      <c r="AC20">
        <v>-20.465</v>
      </c>
      <c r="AD20">
        <v>5</v>
      </c>
      <c r="AE20">
        <v>-87.202500000000001</v>
      </c>
      <c r="AF20" t="s">
        <v>19</v>
      </c>
      <c r="AH20" t="b">
        <f t="shared" si="0"/>
        <v>1</v>
      </c>
      <c r="AI20" t="b">
        <f t="shared" si="1"/>
        <v>1</v>
      </c>
      <c r="AJ20" t="b">
        <f t="shared" si="2"/>
        <v>1</v>
      </c>
      <c r="AK20" t="b">
        <f t="shared" si="3"/>
        <v>1</v>
      </c>
      <c r="AL20" t="b">
        <f t="shared" si="4"/>
        <v>1</v>
      </c>
      <c r="AM20" t="b">
        <f t="shared" si="5"/>
        <v>1</v>
      </c>
      <c r="AN20" t="b">
        <f t="shared" si="6"/>
        <v>1</v>
      </c>
      <c r="AO20" t="b">
        <f t="shared" si="7"/>
        <v>1</v>
      </c>
      <c r="AP20" t="b">
        <f t="shared" si="8"/>
        <v>1</v>
      </c>
      <c r="AQ20" t="b">
        <f t="shared" si="9"/>
        <v>1</v>
      </c>
    </row>
    <row r="21" spans="1:43" x14ac:dyDescent="0.55000000000000004">
      <c r="A21">
        <v>1774486806</v>
      </c>
      <c r="B21" t="s">
        <v>16</v>
      </c>
      <c r="C21" t="s">
        <v>17</v>
      </c>
      <c r="D21">
        <v>4538.3999999999996</v>
      </c>
      <c r="E21" t="s">
        <v>20</v>
      </c>
      <c r="F21">
        <v>4544.29</v>
      </c>
      <c r="G21">
        <v>4487.1000000000004</v>
      </c>
      <c r="H21">
        <v>4568.96</v>
      </c>
      <c r="I21">
        <v>4522.33</v>
      </c>
      <c r="J21">
        <v>4585.51</v>
      </c>
      <c r="K21">
        <v>4527.99</v>
      </c>
      <c r="L21">
        <v>57.19</v>
      </c>
      <c r="M21">
        <v>1.27</v>
      </c>
      <c r="N21">
        <v>0</v>
      </c>
      <c r="O21">
        <v>20</v>
      </c>
      <c r="P21" t="s">
        <v>21</v>
      </c>
      <c r="R21">
        <v>1774486806</v>
      </c>
      <c r="S21" t="s">
        <v>16</v>
      </c>
      <c r="T21" t="s">
        <v>17</v>
      </c>
      <c r="U21">
        <v>4538.3999999999996</v>
      </c>
      <c r="V21" t="s">
        <v>20</v>
      </c>
      <c r="W21">
        <v>4544.29</v>
      </c>
      <c r="X21">
        <v>57.19</v>
      </c>
      <c r="Y21">
        <v>1.27</v>
      </c>
      <c r="Z21">
        <v>0</v>
      </c>
      <c r="AA21">
        <v>20</v>
      </c>
      <c r="AB21">
        <v>0</v>
      </c>
      <c r="AC21">
        <v>2.8595000000000002</v>
      </c>
      <c r="AD21">
        <v>0</v>
      </c>
      <c r="AE21">
        <v>70.724699999999999</v>
      </c>
      <c r="AF21" t="s">
        <v>21</v>
      </c>
      <c r="AH21" t="b">
        <f t="shared" si="0"/>
        <v>1</v>
      </c>
      <c r="AI21" t="b">
        <f t="shared" si="1"/>
        <v>1</v>
      </c>
      <c r="AJ21" t="b">
        <f t="shared" si="2"/>
        <v>1</v>
      </c>
      <c r="AK21" t="b">
        <f t="shared" si="3"/>
        <v>1</v>
      </c>
      <c r="AL21" t="b">
        <f t="shared" si="4"/>
        <v>1</v>
      </c>
      <c r="AM21" t="b">
        <f t="shared" si="5"/>
        <v>1</v>
      </c>
      <c r="AN21" t="b">
        <f t="shared" si="6"/>
        <v>1</v>
      </c>
      <c r="AO21" t="b">
        <f t="shared" si="7"/>
        <v>1</v>
      </c>
      <c r="AP21" t="b">
        <f t="shared" si="8"/>
        <v>1</v>
      </c>
      <c r="AQ21" t="b">
        <f t="shared" si="9"/>
        <v>1</v>
      </c>
    </row>
    <row r="22" spans="1:43" x14ac:dyDescent="0.55000000000000004">
      <c r="A22">
        <v>1774513806</v>
      </c>
      <c r="B22" t="s">
        <v>16</v>
      </c>
      <c r="C22" t="s">
        <v>17</v>
      </c>
      <c r="D22">
        <v>4420.09</v>
      </c>
      <c r="E22" t="s">
        <v>18</v>
      </c>
      <c r="F22">
        <v>4413.24</v>
      </c>
      <c r="G22">
        <v>4544.29</v>
      </c>
      <c r="H22">
        <v>4487.1000000000004</v>
      </c>
      <c r="I22">
        <v>4568.96</v>
      </c>
      <c r="J22">
        <v>4522.33</v>
      </c>
      <c r="K22">
        <v>4585.51</v>
      </c>
      <c r="L22">
        <v>-131.05000000000001</v>
      </c>
      <c r="M22">
        <v>-2.88</v>
      </c>
      <c r="N22">
        <v>3</v>
      </c>
      <c r="O22">
        <v>30</v>
      </c>
      <c r="P22" t="s">
        <v>19</v>
      </c>
      <c r="R22">
        <v>1774513806</v>
      </c>
      <c r="S22" t="s">
        <v>16</v>
      </c>
      <c r="T22" t="s">
        <v>17</v>
      </c>
      <c r="U22">
        <v>4420.09</v>
      </c>
      <c r="V22" t="s">
        <v>18</v>
      </c>
      <c r="W22">
        <v>4413.24</v>
      </c>
      <c r="X22">
        <v>-131.05000000000001</v>
      </c>
      <c r="Y22">
        <v>-2.88</v>
      </c>
      <c r="Z22">
        <v>3</v>
      </c>
      <c r="AA22">
        <v>30</v>
      </c>
      <c r="AB22">
        <v>3</v>
      </c>
      <c r="AC22">
        <v>-4.3683300000000003</v>
      </c>
      <c r="AD22">
        <v>3</v>
      </c>
      <c r="AE22">
        <v>-77.105999999999995</v>
      </c>
      <c r="AF22" t="s">
        <v>19</v>
      </c>
      <c r="AH22" t="b">
        <f t="shared" si="0"/>
        <v>1</v>
      </c>
      <c r="AI22" t="b">
        <f t="shared" si="1"/>
        <v>1</v>
      </c>
      <c r="AJ22" t="b">
        <f t="shared" si="2"/>
        <v>1</v>
      </c>
      <c r="AK22" t="b">
        <f t="shared" si="3"/>
        <v>1</v>
      </c>
      <c r="AL22" t="b">
        <f t="shared" si="4"/>
        <v>1</v>
      </c>
      <c r="AM22" t="b">
        <f t="shared" si="5"/>
        <v>1</v>
      </c>
      <c r="AN22" t="b">
        <f t="shared" si="6"/>
        <v>1</v>
      </c>
      <c r="AO22" t="b">
        <f t="shared" si="7"/>
        <v>1</v>
      </c>
      <c r="AP22" t="b">
        <f t="shared" si="8"/>
        <v>1</v>
      </c>
      <c r="AQ22" t="b">
        <f t="shared" si="9"/>
        <v>1</v>
      </c>
    </row>
    <row r="23" spans="1:43" x14ac:dyDescent="0.55000000000000004">
      <c r="A23">
        <v>1774535406</v>
      </c>
      <c r="B23" t="s">
        <v>16</v>
      </c>
      <c r="C23" t="s">
        <v>17</v>
      </c>
      <c r="D23">
        <v>4461.2700000000004</v>
      </c>
      <c r="E23" t="s">
        <v>20</v>
      </c>
      <c r="F23">
        <v>4479.1400000000003</v>
      </c>
      <c r="G23">
        <v>4413.24</v>
      </c>
      <c r="H23">
        <v>4544.29</v>
      </c>
      <c r="I23">
        <v>4487.1000000000004</v>
      </c>
      <c r="J23">
        <v>4568.96</v>
      </c>
      <c r="K23">
        <v>4522.33</v>
      </c>
      <c r="L23">
        <v>65.900000000000006</v>
      </c>
      <c r="M23">
        <v>1.49</v>
      </c>
      <c r="N23">
        <v>0</v>
      </c>
      <c r="O23">
        <v>24</v>
      </c>
      <c r="P23" t="s">
        <v>21</v>
      </c>
      <c r="R23">
        <v>1774535406</v>
      </c>
      <c r="S23" t="s">
        <v>16</v>
      </c>
      <c r="T23" t="s">
        <v>17</v>
      </c>
      <c r="U23">
        <v>4461.2700000000004</v>
      </c>
      <c r="V23" t="s">
        <v>20</v>
      </c>
      <c r="W23">
        <v>4479.1400000000003</v>
      </c>
      <c r="X23">
        <v>65.900000000000006</v>
      </c>
      <c r="Y23">
        <v>1.49</v>
      </c>
      <c r="Z23">
        <v>0</v>
      </c>
      <c r="AA23">
        <v>24</v>
      </c>
      <c r="AB23">
        <v>0</v>
      </c>
      <c r="AC23">
        <v>2.7458300000000002</v>
      </c>
      <c r="AD23">
        <v>0</v>
      </c>
      <c r="AE23">
        <v>69.989000000000004</v>
      </c>
      <c r="AF23" t="s">
        <v>21</v>
      </c>
      <c r="AH23" t="b">
        <f t="shared" si="0"/>
        <v>1</v>
      </c>
      <c r="AI23" t="b">
        <f t="shared" si="1"/>
        <v>1</v>
      </c>
      <c r="AJ23" t="b">
        <f t="shared" si="2"/>
        <v>1</v>
      </c>
      <c r="AK23" t="b">
        <f t="shared" si="3"/>
        <v>1</v>
      </c>
      <c r="AL23" t="b">
        <f t="shared" si="4"/>
        <v>1</v>
      </c>
      <c r="AM23" t="b">
        <f t="shared" si="5"/>
        <v>1</v>
      </c>
      <c r="AN23" t="b">
        <f t="shared" si="6"/>
        <v>1</v>
      </c>
      <c r="AO23" t="b">
        <f t="shared" si="7"/>
        <v>1</v>
      </c>
      <c r="AP23" t="b">
        <f t="shared" si="8"/>
        <v>1</v>
      </c>
      <c r="AQ23" t="b">
        <f t="shared" si="9"/>
        <v>1</v>
      </c>
    </row>
    <row r="24" spans="1:43" x14ac:dyDescent="0.55000000000000004">
      <c r="A24">
        <v>1774554306</v>
      </c>
      <c r="B24" t="s">
        <v>16</v>
      </c>
      <c r="C24" t="s">
        <v>17</v>
      </c>
      <c r="D24">
        <v>4364.33</v>
      </c>
      <c r="E24" t="s">
        <v>18</v>
      </c>
      <c r="F24">
        <v>4359.29</v>
      </c>
      <c r="G24">
        <v>4479.1400000000003</v>
      </c>
      <c r="H24">
        <v>4413.24</v>
      </c>
      <c r="I24">
        <v>4544.29</v>
      </c>
      <c r="J24">
        <v>4487.1000000000004</v>
      </c>
      <c r="K24">
        <v>4568.96</v>
      </c>
      <c r="L24">
        <v>-119.85</v>
      </c>
      <c r="M24">
        <v>-2.68</v>
      </c>
      <c r="N24">
        <v>3</v>
      </c>
      <c r="O24">
        <v>21</v>
      </c>
      <c r="P24" t="s">
        <v>19</v>
      </c>
      <c r="R24">
        <v>1774554306</v>
      </c>
      <c r="S24" t="s">
        <v>16</v>
      </c>
      <c r="T24" t="s">
        <v>17</v>
      </c>
      <c r="U24">
        <v>4364.33</v>
      </c>
      <c r="V24" t="s">
        <v>18</v>
      </c>
      <c r="W24">
        <v>4359.29</v>
      </c>
      <c r="X24">
        <v>-119.85</v>
      </c>
      <c r="Y24">
        <v>-2.68</v>
      </c>
      <c r="Z24">
        <v>3</v>
      </c>
      <c r="AA24">
        <v>21</v>
      </c>
      <c r="AB24">
        <v>3</v>
      </c>
      <c r="AC24">
        <v>-5.7071399999999999</v>
      </c>
      <c r="AD24">
        <v>3</v>
      </c>
      <c r="AE24">
        <v>-80.061599999999999</v>
      </c>
      <c r="AF24" t="s">
        <v>19</v>
      </c>
      <c r="AH24" t="b">
        <f t="shared" si="0"/>
        <v>1</v>
      </c>
      <c r="AI24" t="b">
        <f t="shared" si="1"/>
        <v>1</v>
      </c>
      <c r="AJ24" t="b">
        <f t="shared" si="2"/>
        <v>1</v>
      </c>
      <c r="AK24" t="b">
        <f t="shared" si="3"/>
        <v>1</v>
      </c>
      <c r="AL24" t="b">
        <f t="shared" si="4"/>
        <v>1</v>
      </c>
      <c r="AM24" t="b">
        <f t="shared" si="5"/>
        <v>1</v>
      </c>
      <c r="AN24" t="b">
        <f t="shared" si="6"/>
        <v>1</v>
      </c>
      <c r="AO24" t="b">
        <f t="shared" si="7"/>
        <v>1</v>
      </c>
      <c r="AP24" t="b">
        <f t="shared" si="8"/>
        <v>1</v>
      </c>
      <c r="AQ24" t="b">
        <f t="shared" si="9"/>
        <v>1</v>
      </c>
    </row>
    <row r="25" spans="1:43" x14ac:dyDescent="0.55000000000000004">
      <c r="A25">
        <v>1774557006</v>
      </c>
      <c r="B25" t="s">
        <v>16</v>
      </c>
      <c r="C25" t="s">
        <v>17</v>
      </c>
      <c r="D25">
        <v>4405.78</v>
      </c>
      <c r="E25" t="s">
        <v>20</v>
      </c>
      <c r="F25">
        <v>4420.5600000000004</v>
      </c>
      <c r="G25">
        <v>4359.29</v>
      </c>
      <c r="H25">
        <v>4479.1400000000003</v>
      </c>
      <c r="I25">
        <v>4413.24</v>
      </c>
      <c r="J25">
        <v>4544.29</v>
      </c>
      <c r="K25">
        <v>4487.1000000000004</v>
      </c>
      <c r="L25">
        <v>61.27</v>
      </c>
      <c r="M25">
        <v>1.41</v>
      </c>
      <c r="N25">
        <v>0</v>
      </c>
      <c r="O25">
        <v>3</v>
      </c>
      <c r="P25" t="s">
        <v>21</v>
      </c>
      <c r="R25">
        <v>1774557006</v>
      </c>
      <c r="S25" t="s">
        <v>16</v>
      </c>
      <c r="T25" t="s">
        <v>17</v>
      </c>
      <c r="U25">
        <v>4405.78</v>
      </c>
      <c r="V25" t="s">
        <v>20</v>
      </c>
      <c r="W25">
        <v>4420.5600000000004</v>
      </c>
      <c r="X25">
        <v>61.27</v>
      </c>
      <c r="Y25">
        <v>1.41</v>
      </c>
      <c r="Z25">
        <v>0</v>
      </c>
      <c r="AA25">
        <v>3</v>
      </c>
      <c r="AB25">
        <v>0</v>
      </c>
      <c r="AC25">
        <v>20.42333</v>
      </c>
      <c r="AD25">
        <v>2</v>
      </c>
      <c r="AE25">
        <v>87.196799999999996</v>
      </c>
      <c r="AF25" t="s">
        <v>21</v>
      </c>
      <c r="AH25" t="b">
        <f t="shared" si="0"/>
        <v>1</v>
      </c>
      <c r="AI25" t="b">
        <f t="shared" si="1"/>
        <v>1</v>
      </c>
      <c r="AJ25" t="b">
        <f t="shared" si="2"/>
        <v>1</v>
      </c>
      <c r="AK25" t="b">
        <f t="shared" si="3"/>
        <v>1</v>
      </c>
      <c r="AL25" t="b">
        <f t="shared" si="4"/>
        <v>1</v>
      </c>
      <c r="AM25" t="b">
        <f t="shared" si="5"/>
        <v>1</v>
      </c>
      <c r="AN25" t="b">
        <f t="shared" si="6"/>
        <v>1</v>
      </c>
      <c r="AO25" t="b">
        <f t="shared" si="7"/>
        <v>1</v>
      </c>
      <c r="AP25" t="b">
        <f t="shared" si="8"/>
        <v>1</v>
      </c>
      <c r="AQ25" t="b">
        <f t="shared" si="9"/>
        <v>1</v>
      </c>
    </row>
    <row r="26" spans="1:43" x14ac:dyDescent="0.55000000000000004">
      <c r="A26">
        <v>1774572306</v>
      </c>
      <c r="B26" t="s">
        <v>16</v>
      </c>
      <c r="C26" t="s">
        <v>17</v>
      </c>
      <c r="D26">
        <v>4378.7299999999996</v>
      </c>
      <c r="E26" t="s">
        <v>18</v>
      </c>
      <c r="F26">
        <v>4375.68</v>
      </c>
      <c r="G26">
        <v>4420.5600000000004</v>
      </c>
      <c r="H26">
        <v>4359.29</v>
      </c>
      <c r="I26">
        <v>4479.1400000000003</v>
      </c>
      <c r="J26">
        <v>4413.24</v>
      </c>
      <c r="K26">
        <v>4544.29</v>
      </c>
      <c r="L26">
        <v>-44.88</v>
      </c>
      <c r="M26">
        <v>-1.02</v>
      </c>
      <c r="N26">
        <v>3</v>
      </c>
      <c r="O26">
        <v>13</v>
      </c>
      <c r="P26" t="s">
        <v>22</v>
      </c>
      <c r="R26">
        <v>1774572306</v>
      </c>
      <c r="S26" t="s">
        <v>16</v>
      </c>
      <c r="T26" t="s">
        <v>17</v>
      </c>
      <c r="U26">
        <v>4378.7299999999996</v>
      </c>
      <c r="V26" t="s">
        <v>18</v>
      </c>
      <c r="W26">
        <v>4375.68</v>
      </c>
      <c r="X26">
        <v>-44.88</v>
      </c>
      <c r="Y26">
        <v>-1.02</v>
      </c>
      <c r="Z26">
        <v>3</v>
      </c>
      <c r="AA26">
        <v>13</v>
      </c>
      <c r="AB26">
        <v>3</v>
      </c>
      <c r="AC26">
        <v>-3.4523100000000002</v>
      </c>
      <c r="AD26">
        <v>3</v>
      </c>
      <c r="AE26">
        <v>-73.845699999999994</v>
      </c>
      <c r="AF26" t="s">
        <v>22</v>
      </c>
      <c r="AH26" t="b">
        <f t="shared" si="0"/>
        <v>1</v>
      </c>
      <c r="AI26" t="b">
        <f t="shared" si="1"/>
        <v>1</v>
      </c>
      <c r="AJ26" t="b">
        <f t="shared" si="2"/>
        <v>1</v>
      </c>
      <c r="AK26" t="b">
        <f t="shared" si="3"/>
        <v>1</v>
      </c>
      <c r="AL26" t="b">
        <f t="shared" si="4"/>
        <v>1</v>
      </c>
      <c r="AM26" t="b">
        <f t="shared" si="5"/>
        <v>1</v>
      </c>
      <c r="AN26" t="b">
        <f t="shared" si="6"/>
        <v>1</v>
      </c>
      <c r="AO26" t="b">
        <f t="shared" si="7"/>
        <v>1</v>
      </c>
      <c r="AP26" t="b">
        <f t="shared" si="8"/>
        <v>1</v>
      </c>
      <c r="AQ26" t="b">
        <f t="shared" si="9"/>
        <v>1</v>
      </c>
    </row>
    <row r="27" spans="1:43" x14ac:dyDescent="0.55000000000000004">
      <c r="A27">
        <v>1774589406</v>
      </c>
      <c r="B27" t="s">
        <v>16</v>
      </c>
      <c r="C27" t="s">
        <v>17</v>
      </c>
      <c r="D27">
        <v>4466.08</v>
      </c>
      <c r="E27" t="s">
        <v>20</v>
      </c>
      <c r="F27">
        <v>4475.12</v>
      </c>
      <c r="G27">
        <v>4375.68</v>
      </c>
      <c r="H27">
        <v>4420.5600000000004</v>
      </c>
      <c r="I27">
        <v>4359.29</v>
      </c>
      <c r="J27">
        <v>4479.1400000000003</v>
      </c>
      <c r="K27">
        <v>4413.24</v>
      </c>
      <c r="L27">
        <v>99.44</v>
      </c>
      <c r="M27">
        <v>2.27</v>
      </c>
      <c r="N27">
        <v>0</v>
      </c>
      <c r="O27">
        <v>19</v>
      </c>
      <c r="P27" t="s">
        <v>23</v>
      </c>
      <c r="R27">
        <v>1774589406</v>
      </c>
      <c r="S27" t="s">
        <v>16</v>
      </c>
      <c r="T27" t="s">
        <v>17</v>
      </c>
      <c r="U27">
        <v>4466.08</v>
      </c>
      <c r="V27" t="s">
        <v>20</v>
      </c>
      <c r="W27">
        <v>4475.12</v>
      </c>
      <c r="X27">
        <v>99.44</v>
      </c>
      <c r="Y27">
        <v>2.27</v>
      </c>
      <c r="Z27">
        <v>0</v>
      </c>
      <c r="AA27">
        <v>19</v>
      </c>
      <c r="AB27">
        <v>0</v>
      </c>
      <c r="AC27">
        <v>5.2336799999999997</v>
      </c>
      <c r="AD27">
        <v>0</v>
      </c>
      <c r="AE27">
        <v>79.182900000000004</v>
      </c>
      <c r="AF27" t="s">
        <v>23</v>
      </c>
      <c r="AH27" t="b">
        <f t="shared" si="0"/>
        <v>1</v>
      </c>
      <c r="AI27" t="b">
        <f t="shared" si="1"/>
        <v>1</v>
      </c>
      <c r="AJ27" t="b">
        <f t="shared" si="2"/>
        <v>1</v>
      </c>
      <c r="AK27" t="b">
        <f t="shared" si="3"/>
        <v>1</v>
      </c>
      <c r="AL27" t="b">
        <f t="shared" si="4"/>
        <v>1</v>
      </c>
      <c r="AM27" t="b">
        <f t="shared" si="5"/>
        <v>1</v>
      </c>
      <c r="AN27" t="b">
        <f t="shared" si="6"/>
        <v>1</v>
      </c>
      <c r="AO27" t="b">
        <f t="shared" si="7"/>
        <v>1</v>
      </c>
      <c r="AP27" t="b">
        <f t="shared" si="8"/>
        <v>1</v>
      </c>
      <c r="AQ27" t="b">
        <f t="shared" si="9"/>
        <v>1</v>
      </c>
    </row>
    <row r="28" spans="1:43" x14ac:dyDescent="0.55000000000000004">
      <c r="A28">
        <v>1774609206</v>
      </c>
      <c r="B28" t="s">
        <v>16</v>
      </c>
      <c r="C28" t="s">
        <v>17</v>
      </c>
      <c r="D28">
        <v>4413.17</v>
      </c>
      <c r="E28" t="s">
        <v>18</v>
      </c>
      <c r="F28">
        <v>4404.32</v>
      </c>
      <c r="G28">
        <v>4475.12</v>
      </c>
      <c r="H28">
        <v>4375.68</v>
      </c>
      <c r="I28">
        <v>4420.5600000000004</v>
      </c>
      <c r="J28">
        <v>4359.29</v>
      </c>
      <c r="K28">
        <v>4479.1400000000003</v>
      </c>
      <c r="L28">
        <v>-70.8</v>
      </c>
      <c r="M28">
        <v>-1.58</v>
      </c>
      <c r="N28">
        <v>3</v>
      </c>
      <c r="O28">
        <v>22</v>
      </c>
      <c r="P28" t="s">
        <v>22</v>
      </c>
      <c r="R28">
        <v>1774609206</v>
      </c>
      <c r="S28" t="s">
        <v>16</v>
      </c>
      <c r="T28" t="s">
        <v>17</v>
      </c>
      <c r="U28">
        <v>4413.17</v>
      </c>
      <c r="V28" t="s">
        <v>18</v>
      </c>
      <c r="W28">
        <v>4404.32</v>
      </c>
      <c r="X28">
        <v>-70.8</v>
      </c>
      <c r="Y28">
        <v>-1.58</v>
      </c>
      <c r="Z28">
        <v>3</v>
      </c>
      <c r="AA28">
        <v>22</v>
      </c>
      <c r="AB28">
        <v>3</v>
      </c>
      <c r="AC28">
        <v>-3.2181799999999998</v>
      </c>
      <c r="AD28">
        <v>3</v>
      </c>
      <c r="AE28">
        <v>-72.738200000000006</v>
      </c>
      <c r="AF28" t="s">
        <v>22</v>
      </c>
      <c r="AH28" t="b">
        <f t="shared" si="0"/>
        <v>1</v>
      </c>
      <c r="AI28" t="b">
        <f t="shared" si="1"/>
        <v>1</v>
      </c>
      <c r="AJ28" t="b">
        <f t="shared" si="2"/>
        <v>1</v>
      </c>
      <c r="AK28" t="b">
        <f t="shared" si="3"/>
        <v>1</v>
      </c>
      <c r="AL28" t="b">
        <f t="shared" si="4"/>
        <v>1</v>
      </c>
      <c r="AM28" t="b">
        <f t="shared" si="5"/>
        <v>1</v>
      </c>
      <c r="AN28" t="b">
        <f t="shared" si="6"/>
        <v>1</v>
      </c>
      <c r="AO28" t="b">
        <f t="shared" si="7"/>
        <v>1</v>
      </c>
      <c r="AP28" t="b">
        <f t="shared" si="8"/>
        <v>1</v>
      </c>
      <c r="AQ28" t="b">
        <f t="shared" si="9"/>
        <v>1</v>
      </c>
    </row>
    <row r="29" spans="1:43" x14ac:dyDescent="0.55000000000000004">
      <c r="A29">
        <v>1774624506</v>
      </c>
      <c r="B29" t="s">
        <v>16</v>
      </c>
      <c r="C29" t="s">
        <v>17</v>
      </c>
      <c r="D29">
        <v>4543.54</v>
      </c>
      <c r="E29" t="s">
        <v>20</v>
      </c>
      <c r="F29">
        <v>4555</v>
      </c>
      <c r="G29">
        <v>4404.32</v>
      </c>
      <c r="H29">
        <v>4475.12</v>
      </c>
      <c r="I29">
        <v>4375.68</v>
      </c>
      <c r="J29">
        <v>4420.5600000000004</v>
      </c>
      <c r="K29">
        <v>4359.29</v>
      </c>
      <c r="L29">
        <v>150.68</v>
      </c>
      <c r="M29">
        <v>3.42</v>
      </c>
      <c r="N29">
        <v>0</v>
      </c>
      <c r="O29">
        <v>17</v>
      </c>
      <c r="P29" t="s">
        <v>23</v>
      </c>
      <c r="R29">
        <v>1774624506</v>
      </c>
      <c r="S29" t="s">
        <v>16</v>
      </c>
      <c r="T29" t="s">
        <v>17</v>
      </c>
      <c r="U29">
        <v>4543.54</v>
      </c>
      <c r="V29" t="s">
        <v>20</v>
      </c>
      <c r="W29">
        <v>4555</v>
      </c>
      <c r="X29">
        <v>150.68</v>
      </c>
      <c r="Y29">
        <v>3.42</v>
      </c>
      <c r="Z29">
        <v>0</v>
      </c>
      <c r="AA29">
        <v>17</v>
      </c>
      <c r="AB29">
        <v>0</v>
      </c>
      <c r="AC29">
        <v>8.8635300000000008</v>
      </c>
      <c r="AD29">
        <v>0</v>
      </c>
      <c r="AE29">
        <v>83.563000000000002</v>
      </c>
      <c r="AF29" t="s">
        <v>23</v>
      </c>
      <c r="AH29" t="b">
        <f t="shared" si="0"/>
        <v>1</v>
      </c>
      <c r="AI29" t="b">
        <f t="shared" si="1"/>
        <v>1</v>
      </c>
      <c r="AJ29" t="b">
        <f t="shared" si="2"/>
        <v>1</v>
      </c>
      <c r="AK29" t="b">
        <f t="shared" si="3"/>
        <v>1</v>
      </c>
      <c r="AL29" t="b">
        <f t="shared" si="4"/>
        <v>1</v>
      </c>
      <c r="AM29" t="b">
        <f t="shared" si="5"/>
        <v>1</v>
      </c>
      <c r="AN29" t="b">
        <f t="shared" si="6"/>
        <v>1</v>
      </c>
      <c r="AO29" t="b">
        <f t="shared" si="7"/>
        <v>1</v>
      </c>
      <c r="AP29" t="b">
        <f t="shared" si="8"/>
        <v>1</v>
      </c>
      <c r="AQ29" t="b">
        <f t="shared" si="9"/>
        <v>1</v>
      </c>
    </row>
    <row r="30" spans="1:43" x14ac:dyDescent="0.55000000000000004">
      <c r="A30">
        <v>1774828806</v>
      </c>
      <c r="B30" t="s">
        <v>16</v>
      </c>
      <c r="C30" t="s">
        <v>17</v>
      </c>
      <c r="D30">
        <v>4426.83</v>
      </c>
      <c r="E30" t="s">
        <v>18</v>
      </c>
      <c r="F30">
        <v>4420.2700000000004</v>
      </c>
      <c r="G30">
        <v>4555</v>
      </c>
      <c r="H30">
        <v>4404.32</v>
      </c>
      <c r="I30">
        <v>4475.12</v>
      </c>
      <c r="J30">
        <v>4375.68</v>
      </c>
      <c r="K30">
        <v>4420.5600000000004</v>
      </c>
      <c r="L30">
        <v>-134.72999999999999</v>
      </c>
      <c r="M30">
        <v>-2.96</v>
      </c>
      <c r="N30">
        <v>3</v>
      </c>
      <c r="O30">
        <v>31</v>
      </c>
      <c r="P30" t="s">
        <v>22</v>
      </c>
      <c r="R30">
        <v>1774828806</v>
      </c>
      <c r="S30" t="s">
        <v>16</v>
      </c>
      <c r="T30" t="s">
        <v>17</v>
      </c>
      <c r="U30">
        <v>4426.83</v>
      </c>
      <c r="V30" t="s">
        <v>18</v>
      </c>
      <c r="W30">
        <v>4420.2700000000004</v>
      </c>
      <c r="X30">
        <v>-134.72999999999999</v>
      </c>
      <c r="Y30">
        <v>-2.96</v>
      </c>
      <c r="Z30">
        <v>3</v>
      </c>
      <c r="AA30">
        <v>31</v>
      </c>
      <c r="AB30">
        <v>3</v>
      </c>
      <c r="AC30">
        <v>-4.3461299999999996</v>
      </c>
      <c r="AD30">
        <v>3</v>
      </c>
      <c r="AE30">
        <v>-77.042299999999997</v>
      </c>
      <c r="AF30" t="s">
        <v>22</v>
      </c>
      <c r="AH30" t="b">
        <f t="shared" si="0"/>
        <v>1</v>
      </c>
      <c r="AI30" t="b">
        <f t="shared" si="1"/>
        <v>1</v>
      </c>
      <c r="AJ30" t="b">
        <f t="shared" si="2"/>
        <v>1</v>
      </c>
      <c r="AK30" t="b">
        <f t="shared" si="3"/>
        <v>1</v>
      </c>
      <c r="AL30" t="b">
        <f t="shared" si="4"/>
        <v>1</v>
      </c>
      <c r="AM30" t="b">
        <f t="shared" si="5"/>
        <v>1</v>
      </c>
      <c r="AN30" t="b">
        <f t="shared" si="6"/>
        <v>1</v>
      </c>
      <c r="AO30" t="b">
        <f t="shared" si="7"/>
        <v>1</v>
      </c>
      <c r="AP30" t="b">
        <f t="shared" si="8"/>
        <v>1</v>
      </c>
      <c r="AQ30" t="b">
        <f t="shared" si="9"/>
        <v>1</v>
      </c>
    </row>
    <row r="31" spans="1:43" x14ac:dyDescent="0.55000000000000004">
      <c r="A31">
        <v>1774871106</v>
      </c>
      <c r="B31" t="s">
        <v>16</v>
      </c>
      <c r="C31" t="s">
        <v>17</v>
      </c>
      <c r="D31">
        <v>4559.53</v>
      </c>
      <c r="E31" t="s">
        <v>20</v>
      </c>
      <c r="F31">
        <v>4580.59</v>
      </c>
      <c r="G31">
        <v>4420.2700000000004</v>
      </c>
      <c r="H31">
        <v>4555</v>
      </c>
      <c r="I31">
        <v>4404.32</v>
      </c>
      <c r="J31">
        <v>4475.12</v>
      </c>
      <c r="K31">
        <v>4375.68</v>
      </c>
      <c r="L31">
        <v>160.32</v>
      </c>
      <c r="M31">
        <v>3.63</v>
      </c>
      <c r="N31">
        <v>0</v>
      </c>
      <c r="O31">
        <v>47</v>
      </c>
      <c r="P31" t="s">
        <v>23</v>
      </c>
      <c r="R31">
        <v>1774871106</v>
      </c>
      <c r="S31" t="s">
        <v>16</v>
      </c>
      <c r="T31" t="s">
        <v>17</v>
      </c>
      <c r="U31">
        <v>4559.53</v>
      </c>
      <c r="V31" t="s">
        <v>20</v>
      </c>
      <c r="W31">
        <v>4580.59</v>
      </c>
      <c r="X31">
        <v>160.32</v>
      </c>
      <c r="Y31">
        <v>3.63</v>
      </c>
      <c r="Z31">
        <v>0</v>
      </c>
      <c r="AA31">
        <v>47</v>
      </c>
      <c r="AB31">
        <v>2</v>
      </c>
      <c r="AC31">
        <v>3.41106</v>
      </c>
      <c r="AD31">
        <v>0</v>
      </c>
      <c r="AE31">
        <v>73.660799999999995</v>
      </c>
      <c r="AF31" t="s">
        <v>23</v>
      </c>
      <c r="AH31" t="b">
        <f t="shared" si="0"/>
        <v>1</v>
      </c>
      <c r="AI31" t="b">
        <f t="shared" si="1"/>
        <v>1</v>
      </c>
      <c r="AJ31" t="b">
        <f t="shared" si="2"/>
        <v>1</v>
      </c>
      <c r="AK31" t="b">
        <f t="shared" si="3"/>
        <v>1</v>
      </c>
      <c r="AL31" t="b">
        <f t="shared" si="4"/>
        <v>1</v>
      </c>
      <c r="AM31" t="b">
        <f t="shared" si="5"/>
        <v>1</v>
      </c>
      <c r="AN31" t="b">
        <f t="shared" si="6"/>
        <v>1</v>
      </c>
      <c r="AO31" t="b">
        <f t="shared" si="7"/>
        <v>1</v>
      </c>
      <c r="AP31" t="b">
        <f t="shared" si="8"/>
        <v>1</v>
      </c>
      <c r="AQ31" t="b">
        <f t="shared" si="9"/>
        <v>1</v>
      </c>
    </row>
    <row r="32" spans="1:43" x14ac:dyDescent="0.55000000000000004">
      <c r="A32">
        <v>1774898106</v>
      </c>
      <c r="B32" t="s">
        <v>16</v>
      </c>
      <c r="C32" t="s">
        <v>17</v>
      </c>
      <c r="D32">
        <v>4501.72</v>
      </c>
      <c r="E32" t="s">
        <v>18</v>
      </c>
      <c r="F32">
        <v>4493.1400000000003</v>
      </c>
      <c r="G32">
        <v>4580.59</v>
      </c>
      <c r="H32">
        <v>4420.2700000000004</v>
      </c>
      <c r="I32">
        <v>4555</v>
      </c>
      <c r="J32">
        <v>4404.32</v>
      </c>
      <c r="K32">
        <v>4475.12</v>
      </c>
      <c r="L32">
        <v>-87.45</v>
      </c>
      <c r="M32">
        <v>-1.91</v>
      </c>
      <c r="N32">
        <v>3</v>
      </c>
      <c r="O32">
        <v>30</v>
      </c>
      <c r="P32" t="s">
        <v>22</v>
      </c>
      <c r="R32">
        <v>1774898106</v>
      </c>
      <c r="S32" t="s">
        <v>16</v>
      </c>
      <c r="T32" t="s">
        <v>17</v>
      </c>
      <c r="U32">
        <v>4501.72</v>
      </c>
      <c r="V32" t="s">
        <v>18</v>
      </c>
      <c r="W32">
        <v>4493.1400000000003</v>
      </c>
      <c r="X32">
        <v>-87.45</v>
      </c>
      <c r="Y32">
        <v>-1.91</v>
      </c>
      <c r="Z32">
        <v>3</v>
      </c>
      <c r="AA32">
        <v>30</v>
      </c>
      <c r="AB32">
        <v>3</v>
      </c>
      <c r="AC32">
        <v>-2.915</v>
      </c>
      <c r="AD32">
        <v>3</v>
      </c>
      <c r="AE32">
        <v>-71.065299999999993</v>
      </c>
      <c r="AF32" t="s">
        <v>22</v>
      </c>
      <c r="AH32" t="b">
        <f t="shared" si="0"/>
        <v>1</v>
      </c>
      <c r="AI32" t="b">
        <f t="shared" si="1"/>
        <v>1</v>
      </c>
      <c r="AJ32" t="b">
        <f t="shared" si="2"/>
        <v>1</v>
      </c>
      <c r="AK32" t="b">
        <f t="shared" si="3"/>
        <v>1</v>
      </c>
      <c r="AL32" t="b">
        <f t="shared" si="4"/>
        <v>1</v>
      </c>
      <c r="AM32" t="b">
        <f t="shared" si="5"/>
        <v>1</v>
      </c>
      <c r="AN32" t="b">
        <f t="shared" si="6"/>
        <v>1</v>
      </c>
      <c r="AO32" t="b">
        <f t="shared" si="7"/>
        <v>1</v>
      </c>
      <c r="AP32" t="b">
        <f t="shared" si="8"/>
        <v>1</v>
      </c>
      <c r="AQ32" t="b">
        <f t="shared" si="9"/>
        <v>1</v>
      </c>
    </row>
    <row r="33" spans="1:43" x14ac:dyDescent="0.55000000000000004">
      <c r="A33">
        <v>1774908006</v>
      </c>
      <c r="B33" t="s">
        <v>16</v>
      </c>
      <c r="C33" t="s">
        <v>17</v>
      </c>
      <c r="D33">
        <v>4508.24</v>
      </c>
      <c r="E33" t="s">
        <v>20</v>
      </c>
      <c r="F33">
        <v>4523.8500000000004</v>
      </c>
      <c r="G33">
        <v>4493.1400000000003</v>
      </c>
      <c r="H33">
        <v>4580.59</v>
      </c>
      <c r="I33">
        <v>4420.2700000000004</v>
      </c>
      <c r="J33">
        <v>4555</v>
      </c>
      <c r="K33">
        <v>4404.32</v>
      </c>
      <c r="L33">
        <v>30.71</v>
      </c>
      <c r="M33">
        <v>0.68</v>
      </c>
      <c r="N33">
        <v>0</v>
      </c>
      <c r="O33">
        <v>7</v>
      </c>
      <c r="P33" t="s">
        <v>21</v>
      </c>
      <c r="R33">
        <v>1774908006</v>
      </c>
      <c r="S33" t="s">
        <v>16</v>
      </c>
      <c r="T33" t="s">
        <v>17</v>
      </c>
      <c r="U33">
        <v>4508.24</v>
      </c>
      <c r="V33" t="s">
        <v>20</v>
      </c>
      <c r="W33">
        <v>4523.8500000000004</v>
      </c>
      <c r="X33">
        <v>30.71</v>
      </c>
      <c r="Y33">
        <v>0.68</v>
      </c>
      <c r="Z33">
        <v>0</v>
      </c>
      <c r="AA33">
        <v>7</v>
      </c>
      <c r="AB33">
        <v>0</v>
      </c>
      <c r="AC33">
        <v>4.3871399999999996</v>
      </c>
      <c r="AD33">
        <v>0</v>
      </c>
      <c r="AE33">
        <v>77.159499999999994</v>
      </c>
      <c r="AF33" t="s">
        <v>21</v>
      </c>
      <c r="AH33" t="b">
        <f t="shared" ref="AH33:AH64" si="10">A33=R33</f>
        <v>1</v>
      </c>
      <c r="AI33" t="b">
        <f t="shared" ref="AI33:AI64" si="11">B33=S33</f>
        <v>1</v>
      </c>
      <c r="AJ33" t="b">
        <f t="shared" ref="AJ33:AJ64" si="12">C33=T33</f>
        <v>1</v>
      </c>
      <c r="AK33" t="b">
        <f t="shared" ref="AK33:AK64" si="13">D33=U33</f>
        <v>1</v>
      </c>
      <c r="AL33" t="b">
        <f t="shared" ref="AL33:AL64" si="14">E33=V33</f>
        <v>1</v>
      </c>
      <c r="AM33" t="b">
        <f t="shared" ref="AM33:AM64" si="15">F33=W33</f>
        <v>1</v>
      </c>
      <c r="AN33" t="b">
        <f t="shared" si="6"/>
        <v>1</v>
      </c>
      <c r="AO33" t="b">
        <f t="shared" si="7"/>
        <v>1</v>
      </c>
      <c r="AP33" t="b">
        <f t="shared" si="8"/>
        <v>1</v>
      </c>
      <c r="AQ33" t="b">
        <f t="shared" si="9"/>
        <v>1</v>
      </c>
    </row>
    <row r="34" spans="1:43" x14ac:dyDescent="0.55000000000000004">
      <c r="A34">
        <v>1774911606</v>
      </c>
      <c r="B34" t="s">
        <v>16</v>
      </c>
      <c r="C34" t="s">
        <v>17</v>
      </c>
      <c r="D34">
        <v>4499.13</v>
      </c>
      <c r="E34" t="s">
        <v>18</v>
      </c>
      <c r="F34">
        <v>4492.83</v>
      </c>
      <c r="G34">
        <v>4523.8500000000004</v>
      </c>
      <c r="H34">
        <v>4493.1400000000003</v>
      </c>
      <c r="I34">
        <v>4580.59</v>
      </c>
      <c r="J34">
        <v>4420.2700000000004</v>
      </c>
      <c r="K34">
        <v>4555</v>
      </c>
      <c r="L34">
        <v>-31.02</v>
      </c>
      <c r="M34">
        <v>-0.69</v>
      </c>
      <c r="N34">
        <v>3</v>
      </c>
      <c r="O34">
        <v>4</v>
      </c>
      <c r="P34" t="s">
        <v>19</v>
      </c>
      <c r="R34">
        <v>1774911606</v>
      </c>
      <c r="S34" t="s">
        <v>16</v>
      </c>
      <c r="T34" t="s">
        <v>17</v>
      </c>
      <c r="U34">
        <v>4499.13</v>
      </c>
      <c r="V34" t="s">
        <v>18</v>
      </c>
      <c r="W34">
        <v>4492.83</v>
      </c>
      <c r="X34">
        <v>-31.02</v>
      </c>
      <c r="Y34">
        <v>-0.69</v>
      </c>
      <c r="Z34">
        <v>3</v>
      </c>
      <c r="AA34">
        <v>4</v>
      </c>
      <c r="AB34">
        <v>3</v>
      </c>
      <c r="AC34">
        <v>-7.7549999999999999</v>
      </c>
      <c r="AD34">
        <v>3</v>
      </c>
      <c r="AE34">
        <v>-82.652299999999997</v>
      </c>
      <c r="AF34" t="s">
        <v>19</v>
      </c>
      <c r="AH34" t="b">
        <f t="shared" si="10"/>
        <v>1</v>
      </c>
      <c r="AI34" t="b">
        <f t="shared" si="11"/>
        <v>1</v>
      </c>
      <c r="AJ34" t="b">
        <f t="shared" si="12"/>
        <v>1</v>
      </c>
      <c r="AK34" t="b">
        <f t="shared" si="13"/>
        <v>1</v>
      </c>
      <c r="AL34" t="b">
        <f t="shared" si="14"/>
        <v>1</v>
      </c>
      <c r="AM34" t="b">
        <f t="shared" si="15"/>
        <v>1</v>
      </c>
      <c r="AN34" t="b">
        <f t="shared" ref="AN34:AN65" si="16">X34=L34</f>
        <v>1</v>
      </c>
      <c r="AO34" t="b">
        <f t="shared" ref="AO34:AO65" si="17">Y34=M34</f>
        <v>1</v>
      </c>
      <c r="AP34" t="b">
        <f t="shared" ref="AP34:AP65" si="18">Z34=N34</f>
        <v>1</v>
      </c>
      <c r="AQ34" t="b">
        <f t="shared" ref="AQ34:AQ65" si="19">AF34=P34</f>
        <v>1</v>
      </c>
    </row>
    <row r="35" spans="1:43" x14ac:dyDescent="0.55000000000000004">
      <c r="A35">
        <v>1774915206</v>
      </c>
      <c r="B35" t="s">
        <v>16</v>
      </c>
      <c r="C35" t="s">
        <v>17</v>
      </c>
      <c r="D35">
        <v>4516.16</v>
      </c>
      <c r="E35" t="s">
        <v>20</v>
      </c>
      <c r="F35">
        <v>4528.66</v>
      </c>
      <c r="G35">
        <v>4492.83</v>
      </c>
      <c r="H35">
        <v>4523.8500000000004</v>
      </c>
      <c r="I35">
        <v>4493.1400000000003</v>
      </c>
      <c r="J35">
        <v>4580.59</v>
      </c>
      <c r="K35">
        <v>4420.2700000000004</v>
      </c>
      <c r="L35">
        <v>35.83</v>
      </c>
      <c r="M35">
        <v>0.8</v>
      </c>
      <c r="N35">
        <v>0</v>
      </c>
      <c r="O35">
        <v>4</v>
      </c>
      <c r="P35" t="s">
        <v>23</v>
      </c>
      <c r="R35">
        <v>1774915206</v>
      </c>
      <c r="S35" t="s">
        <v>16</v>
      </c>
      <c r="T35" t="s">
        <v>17</v>
      </c>
      <c r="U35">
        <v>4516.16</v>
      </c>
      <c r="V35" t="s">
        <v>20</v>
      </c>
      <c r="W35">
        <v>4528.66</v>
      </c>
      <c r="X35">
        <v>35.83</v>
      </c>
      <c r="Y35">
        <v>0.8</v>
      </c>
      <c r="Z35">
        <v>0</v>
      </c>
      <c r="AA35">
        <v>4</v>
      </c>
      <c r="AB35">
        <v>0</v>
      </c>
      <c r="AC35">
        <v>8.9574999999999996</v>
      </c>
      <c r="AD35">
        <v>0</v>
      </c>
      <c r="AE35">
        <v>83.63</v>
      </c>
      <c r="AF35" t="s">
        <v>23</v>
      </c>
      <c r="AH35" t="b">
        <f t="shared" si="10"/>
        <v>1</v>
      </c>
      <c r="AI35" t="b">
        <f t="shared" si="11"/>
        <v>1</v>
      </c>
      <c r="AJ35" t="b">
        <f t="shared" si="12"/>
        <v>1</v>
      </c>
      <c r="AK35" t="b">
        <f t="shared" si="13"/>
        <v>1</v>
      </c>
      <c r="AL35" t="b">
        <f t="shared" si="14"/>
        <v>1</v>
      </c>
      <c r="AM35" t="b">
        <f t="shared" si="15"/>
        <v>1</v>
      </c>
      <c r="AN35" t="b">
        <f t="shared" si="16"/>
        <v>1</v>
      </c>
      <c r="AO35" t="b">
        <f t="shared" si="17"/>
        <v>1</v>
      </c>
      <c r="AP35" t="b">
        <f t="shared" si="18"/>
        <v>1</v>
      </c>
      <c r="AQ35" t="b">
        <f t="shared" si="19"/>
        <v>1</v>
      </c>
    </row>
    <row r="36" spans="1:43" x14ac:dyDescent="0.55000000000000004">
      <c r="A36">
        <v>1774916106</v>
      </c>
      <c r="B36" t="s">
        <v>16</v>
      </c>
      <c r="C36" t="s">
        <v>17</v>
      </c>
      <c r="D36">
        <v>4511.88</v>
      </c>
      <c r="E36" t="s">
        <v>18</v>
      </c>
      <c r="F36">
        <v>4482.6899999999996</v>
      </c>
      <c r="G36">
        <v>4528.66</v>
      </c>
      <c r="H36">
        <v>4492.83</v>
      </c>
      <c r="I36">
        <v>4523.8500000000004</v>
      </c>
      <c r="J36">
        <v>4493.1400000000003</v>
      </c>
      <c r="K36">
        <v>4580.59</v>
      </c>
      <c r="L36">
        <v>-45.97</v>
      </c>
      <c r="M36">
        <v>-1.02</v>
      </c>
      <c r="N36">
        <v>3</v>
      </c>
      <c r="O36">
        <v>1</v>
      </c>
      <c r="P36" t="s">
        <v>19</v>
      </c>
      <c r="R36">
        <v>1774916106</v>
      </c>
      <c r="S36" t="s">
        <v>16</v>
      </c>
      <c r="T36" t="s">
        <v>17</v>
      </c>
      <c r="U36">
        <v>4511.88</v>
      </c>
      <c r="V36" t="s">
        <v>18</v>
      </c>
      <c r="W36">
        <v>4482.6899999999996</v>
      </c>
      <c r="X36">
        <v>-45.97</v>
      </c>
      <c r="Y36">
        <v>-1.02</v>
      </c>
      <c r="Z36">
        <v>3</v>
      </c>
      <c r="AA36">
        <v>1</v>
      </c>
      <c r="AB36">
        <v>3</v>
      </c>
      <c r="AC36">
        <v>-45.97</v>
      </c>
      <c r="AD36">
        <v>5</v>
      </c>
      <c r="AE36">
        <v>-88.753799999999998</v>
      </c>
      <c r="AF36" t="s">
        <v>19</v>
      </c>
      <c r="AH36" t="b">
        <f t="shared" si="10"/>
        <v>1</v>
      </c>
      <c r="AI36" t="b">
        <f t="shared" si="11"/>
        <v>1</v>
      </c>
      <c r="AJ36" t="b">
        <f t="shared" si="12"/>
        <v>1</v>
      </c>
      <c r="AK36" t="b">
        <f t="shared" si="13"/>
        <v>1</v>
      </c>
      <c r="AL36" t="b">
        <f t="shared" si="14"/>
        <v>1</v>
      </c>
      <c r="AM36" t="b">
        <f t="shared" si="15"/>
        <v>1</v>
      </c>
      <c r="AN36" t="b">
        <f t="shared" si="16"/>
        <v>1</v>
      </c>
      <c r="AO36" t="b">
        <f t="shared" si="17"/>
        <v>1</v>
      </c>
      <c r="AP36" t="b">
        <f t="shared" si="18"/>
        <v>1</v>
      </c>
      <c r="AQ36" t="b">
        <f t="shared" si="19"/>
        <v>1</v>
      </c>
    </row>
    <row r="37" spans="1:43" x14ac:dyDescent="0.55000000000000004">
      <c r="A37">
        <v>1774921506</v>
      </c>
      <c r="B37" t="s">
        <v>16</v>
      </c>
      <c r="C37" t="s">
        <v>17</v>
      </c>
      <c r="D37">
        <v>4605.2700000000004</v>
      </c>
      <c r="E37" t="s">
        <v>20</v>
      </c>
      <c r="F37">
        <v>4619.84</v>
      </c>
      <c r="G37">
        <v>4482.6899999999996</v>
      </c>
      <c r="H37">
        <v>4528.66</v>
      </c>
      <c r="I37">
        <v>4492.83</v>
      </c>
      <c r="J37">
        <v>4523.8500000000004</v>
      </c>
      <c r="K37">
        <v>4493.1400000000003</v>
      </c>
      <c r="L37">
        <v>137.15</v>
      </c>
      <c r="M37">
        <v>3.06</v>
      </c>
      <c r="N37">
        <v>0</v>
      </c>
      <c r="O37">
        <v>6</v>
      </c>
      <c r="P37" t="s">
        <v>23</v>
      </c>
      <c r="R37">
        <v>1774921506</v>
      </c>
      <c r="S37" t="s">
        <v>16</v>
      </c>
      <c r="T37" t="s">
        <v>17</v>
      </c>
      <c r="U37">
        <v>4605.2700000000004</v>
      </c>
      <c r="V37" t="s">
        <v>20</v>
      </c>
      <c r="W37">
        <v>4619.84</v>
      </c>
      <c r="X37">
        <v>137.15</v>
      </c>
      <c r="Y37">
        <v>3.06</v>
      </c>
      <c r="Z37">
        <v>0</v>
      </c>
      <c r="AA37">
        <v>6</v>
      </c>
      <c r="AB37">
        <v>0</v>
      </c>
      <c r="AC37">
        <v>22.858329999999999</v>
      </c>
      <c r="AD37">
        <v>1</v>
      </c>
      <c r="AE37">
        <v>87.495000000000005</v>
      </c>
      <c r="AF37" t="s">
        <v>23</v>
      </c>
      <c r="AH37" t="b">
        <f t="shared" si="10"/>
        <v>1</v>
      </c>
      <c r="AI37" t="b">
        <f t="shared" si="11"/>
        <v>1</v>
      </c>
      <c r="AJ37" t="b">
        <f t="shared" si="12"/>
        <v>1</v>
      </c>
      <c r="AK37" t="b">
        <f t="shared" si="13"/>
        <v>1</v>
      </c>
      <c r="AL37" t="b">
        <f t="shared" si="14"/>
        <v>1</v>
      </c>
      <c r="AM37" t="b">
        <f t="shared" si="15"/>
        <v>1</v>
      </c>
      <c r="AN37" t="b">
        <f t="shared" si="16"/>
        <v>1</v>
      </c>
      <c r="AO37" t="b">
        <f t="shared" si="17"/>
        <v>1</v>
      </c>
      <c r="AP37" t="b">
        <f t="shared" si="18"/>
        <v>1</v>
      </c>
      <c r="AQ37" t="b">
        <f t="shared" si="19"/>
        <v>1</v>
      </c>
    </row>
    <row r="38" spans="1:43" x14ac:dyDescent="0.55000000000000004">
      <c r="A38">
        <v>1774933206</v>
      </c>
      <c r="B38" t="s">
        <v>16</v>
      </c>
      <c r="C38" t="s">
        <v>17</v>
      </c>
      <c r="D38">
        <v>4550.47</v>
      </c>
      <c r="E38" t="s">
        <v>18</v>
      </c>
      <c r="F38">
        <v>4548.26</v>
      </c>
      <c r="G38">
        <v>4619.84</v>
      </c>
      <c r="H38">
        <v>4482.6899999999996</v>
      </c>
      <c r="I38">
        <v>4528.66</v>
      </c>
      <c r="J38">
        <v>4492.83</v>
      </c>
      <c r="K38">
        <v>4523.8500000000004</v>
      </c>
      <c r="L38">
        <v>-71.58</v>
      </c>
      <c r="M38">
        <v>-1.55</v>
      </c>
      <c r="N38">
        <v>3</v>
      </c>
      <c r="O38">
        <v>13</v>
      </c>
      <c r="P38" t="s">
        <v>22</v>
      </c>
      <c r="R38">
        <v>1774933206</v>
      </c>
      <c r="S38" t="s">
        <v>16</v>
      </c>
      <c r="T38" t="s">
        <v>17</v>
      </c>
      <c r="U38">
        <v>4550.47</v>
      </c>
      <c r="V38" t="s">
        <v>18</v>
      </c>
      <c r="W38">
        <v>4548.26</v>
      </c>
      <c r="X38">
        <v>-71.58</v>
      </c>
      <c r="Y38">
        <v>-1.55</v>
      </c>
      <c r="Z38">
        <v>3</v>
      </c>
      <c r="AA38">
        <v>13</v>
      </c>
      <c r="AB38">
        <v>3</v>
      </c>
      <c r="AC38">
        <v>-5.5061499999999999</v>
      </c>
      <c r="AD38">
        <v>3</v>
      </c>
      <c r="AE38">
        <v>-79.706400000000002</v>
      </c>
      <c r="AF38" t="s">
        <v>22</v>
      </c>
      <c r="AH38" t="b">
        <f t="shared" si="10"/>
        <v>1</v>
      </c>
      <c r="AI38" t="b">
        <f t="shared" si="11"/>
        <v>1</v>
      </c>
      <c r="AJ38" t="b">
        <f t="shared" si="12"/>
        <v>1</v>
      </c>
      <c r="AK38" t="b">
        <f t="shared" si="13"/>
        <v>1</v>
      </c>
      <c r="AL38" t="b">
        <f t="shared" si="14"/>
        <v>1</v>
      </c>
      <c r="AM38" t="b">
        <f t="shared" si="15"/>
        <v>1</v>
      </c>
      <c r="AN38" t="b">
        <f t="shared" si="16"/>
        <v>1</v>
      </c>
      <c r="AO38" t="b">
        <f t="shared" si="17"/>
        <v>1</v>
      </c>
      <c r="AP38" t="b">
        <f t="shared" si="18"/>
        <v>1</v>
      </c>
      <c r="AQ38" t="b">
        <f t="shared" si="19"/>
        <v>1</v>
      </c>
    </row>
    <row r="39" spans="1:43" x14ac:dyDescent="0.55000000000000004">
      <c r="A39">
        <v>1774935906</v>
      </c>
      <c r="B39" t="s">
        <v>16</v>
      </c>
      <c r="C39" t="s">
        <v>17</v>
      </c>
      <c r="D39">
        <v>4568.88</v>
      </c>
      <c r="E39" t="s">
        <v>20</v>
      </c>
      <c r="F39">
        <v>4581.6400000000003</v>
      </c>
      <c r="G39">
        <v>4548.26</v>
      </c>
      <c r="H39">
        <v>4619.84</v>
      </c>
      <c r="I39">
        <v>4482.6899999999996</v>
      </c>
      <c r="J39">
        <v>4528.66</v>
      </c>
      <c r="K39">
        <v>4492.83</v>
      </c>
      <c r="L39">
        <v>33.380000000000003</v>
      </c>
      <c r="M39">
        <v>0.73</v>
      </c>
      <c r="N39">
        <v>0</v>
      </c>
      <c r="O39">
        <v>3</v>
      </c>
      <c r="P39" t="s">
        <v>21</v>
      </c>
      <c r="R39">
        <v>1774935906</v>
      </c>
      <c r="S39" t="s">
        <v>16</v>
      </c>
      <c r="T39" t="s">
        <v>17</v>
      </c>
      <c r="U39">
        <v>4568.88</v>
      </c>
      <c r="V39" t="s">
        <v>20</v>
      </c>
      <c r="W39">
        <v>4581.6400000000003</v>
      </c>
      <c r="X39">
        <v>33.380000000000003</v>
      </c>
      <c r="Y39">
        <v>0.73</v>
      </c>
      <c r="Z39">
        <v>0</v>
      </c>
      <c r="AA39">
        <v>3</v>
      </c>
      <c r="AB39">
        <v>0</v>
      </c>
      <c r="AC39">
        <v>11.126670000000001</v>
      </c>
      <c r="AD39">
        <v>0</v>
      </c>
      <c r="AE39">
        <v>84.864400000000003</v>
      </c>
      <c r="AF39" t="s">
        <v>21</v>
      </c>
      <c r="AH39" t="b">
        <f t="shared" si="10"/>
        <v>1</v>
      </c>
      <c r="AI39" t="b">
        <f t="shared" si="11"/>
        <v>1</v>
      </c>
      <c r="AJ39" t="b">
        <f t="shared" si="12"/>
        <v>1</v>
      </c>
      <c r="AK39" t="b">
        <f t="shared" si="13"/>
        <v>1</v>
      </c>
      <c r="AL39" t="b">
        <f t="shared" si="14"/>
        <v>1</v>
      </c>
      <c r="AM39" t="b">
        <f t="shared" si="15"/>
        <v>1</v>
      </c>
      <c r="AN39" t="b">
        <f t="shared" si="16"/>
        <v>1</v>
      </c>
      <c r="AO39" t="b">
        <f t="shared" si="17"/>
        <v>1</v>
      </c>
      <c r="AP39" t="b">
        <f t="shared" si="18"/>
        <v>1</v>
      </c>
      <c r="AQ39" t="b">
        <f t="shared" si="19"/>
        <v>1</v>
      </c>
    </row>
    <row r="40" spans="1:43" x14ac:dyDescent="0.55000000000000004">
      <c r="A40">
        <v>1774953006</v>
      </c>
      <c r="B40" t="s">
        <v>16</v>
      </c>
      <c r="C40" t="s">
        <v>17</v>
      </c>
      <c r="D40">
        <v>4541.2299999999996</v>
      </c>
      <c r="E40" t="s">
        <v>18</v>
      </c>
      <c r="F40">
        <v>4529.84</v>
      </c>
      <c r="G40">
        <v>4581.6400000000003</v>
      </c>
      <c r="H40">
        <v>4548.26</v>
      </c>
      <c r="I40">
        <v>4619.84</v>
      </c>
      <c r="J40">
        <v>4482.6899999999996</v>
      </c>
      <c r="K40">
        <v>4528.66</v>
      </c>
      <c r="L40">
        <v>-51.8</v>
      </c>
      <c r="M40">
        <v>-1.1299999999999999</v>
      </c>
      <c r="N40">
        <v>3</v>
      </c>
      <c r="O40">
        <v>19</v>
      </c>
      <c r="P40" t="s">
        <v>19</v>
      </c>
      <c r="R40">
        <v>1774953006</v>
      </c>
      <c r="S40" t="s">
        <v>16</v>
      </c>
      <c r="T40" t="s">
        <v>17</v>
      </c>
      <c r="U40">
        <v>4541.2299999999996</v>
      </c>
      <c r="V40" t="s">
        <v>18</v>
      </c>
      <c r="W40">
        <v>4529.84</v>
      </c>
      <c r="X40">
        <v>-51.8</v>
      </c>
      <c r="Y40">
        <v>-1.1299999999999999</v>
      </c>
      <c r="Z40">
        <v>3</v>
      </c>
      <c r="AA40">
        <v>19</v>
      </c>
      <c r="AB40">
        <v>3</v>
      </c>
      <c r="AC40">
        <v>-2.7263199999999999</v>
      </c>
      <c r="AD40">
        <v>3</v>
      </c>
      <c r="AE40">
        <v>-69.857200000000006</v>
      </c>
      <c r="AF40" t="s">
        <v>19</v>
      </c>
      <c r="AH40" t="b">
        <f t="shared" si="10"/>
        <v>1</v>
      </c>
      <c r="AI40" t="b">
        <f t="shared" si="11"/>
        <v>1</v>
      </c>
      <c r="AJ40" t="b">
        <f t="shared" si="12"/>
        <v>1</v>
      </c>
      <c r="AK40" t="b">
        <f t="shared" si="13"/>
        <v>1</v>
      </c>
      <c r="AL40" t="b">
        <f t="shared" si="14"/>
        <v>1</v>
      </c>
      <c r="AM40" t="b">
        <f t="shared" si="15"/>
        <v>1</v>
      </c>
      <c r="AN40" t="b">
        <f t="shared" si="16"/>
        <v>1</v>
      </c>
      <c r="AO40" t="b">
        <f t="shared" si="17"/>
        <v>1</v>
      </c>
      <c r="AP40" t="b">
        <f t="shared" si="18"/>
        <v>1</v>
      </c>
      <c r="AQ40" t="b">
        <f t="shared" si="19"/>
        <v>1</v>
      </c>
    </row>
    <row r="41" spans="1:43" x14ac:dyDescent="0.55000000000000004">
      <c r="A41">
        <v>1775005206</v>
      </c>
      <c r="B41" t="s">
        <v>16</v>
      </c>
      <c r="C41" t="s">
        <v>17</v>
      </c>
      <c r="D41">
        <v>4708.04</v>
      </c>
      <c r="E41" t="s">
        <v>20</v>
      </c>
      <c r="F41">
        <v>4724.3999999999996</v>
      </c>
      <c r="G41">
        <v>4529.84</v>
      </c>
      <c r="H41">
        <v>4581.6400000000003</v>
      </c>
      <c r="I41">
        <v>4548.26</v>
      </c>
      <c r="J41">
        <v>4619.84</v>
      </c>
      <c r="K41">
        <v>4482.6899999999996</v>
      </c>
      <c r="L41">
        <v>194.56</v>
      </c>
      <c r="M41">
        <v>4.3</v>
      </c>
      <c r="N41">
        <v>0</v>
      </c>
      <c r="O41">
        <v>54</v>
      </c>
      <c r="P41" t="s">
        <v>23</v>
      </c>
      <c r="R41">
        <v>1775005206</v>
      </c>
      <c r="S41" t="s">
        <v>16</v>
      </c>
      <c r="T41" t="s">
        <v>17</v>
      </c>
      <c r="U41">
        <v>4708.04</v>
      </c>
      <c r="V41" t="s">
        <v>20</v>
      </c>
      <c r="W41">
        <v>4724.3999999999996</v>
      </c>
      <c r="X41">
        <v>194.56</v>
      </c>
      <c r="Y41">
        <v>4.3</v>
      </c>
      <c r="Z41">
        <v>0</v>
      </c>
      <c r="AA41">
        <v>54</v>
      </c>
      <c r="AB41">
        <v>2</v>
      </c>
      <c r="AC41">
        <v>3.6029599999999999</v>
      </c>
      <c r="AD41">
        <v>0</v>
      </c>
      <c r="AE41">
        <v>74.488</v>
      </c>
      <c r="AF41" t="s">
        <v>23</v>
      </c>
      <c r="AH41" t="b">
        <f t="shared" si="10"/>
        <v>1</v>
      </c>
      <c r="AI41" t="b">
        <f t="shared" si="11"/>
        <v>1</v>
      </c>
      <c r="AJ41" t="b">
        <f t="shared" si="12"/>
        <v>1</v>
      </c>
      <c r="AK41" t="b">
        <f t="shared" si="13"/>
        <v>1</v>
      </c>
      <c r="AL41" t="b">
        <f t="shared" si="14"/>
        <v>1</v>
      </c>
      <c r="AM41" t="b">
        <f t="shared" si="15"/>
        <v>1</v>
      </c>
      <c r="AN41" t="b">
        <f t="shared" si="16"/>
        <v>1</v>
      </c>
      <c r="AO41" t="b">
        <f t="shared" si="17"/>
        <v>1</v>
      </c>
      <c r="AP41" t="b">
        <f t="shared" si="18"/>
        <v>1</v>
      </c>
      <c r="AQ41" t="b">
        <f t="shared" si="19"/>
        <v>1</v>
      </c>
    </row>
    <row r="42" spans="1:43" x14ac:dyDescent="0.55000000000000004">
      <c r="A42">
        <v>1775016906</v>
      </c>
      <c r="B42" t="s">
        <v>16</v>
      </c>
      <c r="C42" t="s">
        <v>17</v>
      </c>
      <c r="D42">
        <v>4672.5600000000004</v>
      </c>
      <c r="E42" t="s">
        <v>18</v>
      </c>
      <c r="F42">
        <v>4666.96</v>
      </c>
      <c r="G42">
        <v>4724.3999999999996</v>
      </c>
      <c r="H42">
        <v>4529.84</v>
      </c>
      <c r="I42">
        <v>4581.6400000000003</v>
      </c>
      <c r="J42">
        <v>4548.26</v>
      </c>
      <c r="K42">
        <v>4619.84</v>
      </c>
      <c r="L42">
        <v>-57.44</v>
      </c>
      <c r="M42">
        <v>-1.22</v>
      </c>
      <c r="N42">
        <v>3</v>
      </c>
      <c r="O42">
        <v>13</v>
      </c>
      <c r="P42" t="s">
        <v>22</v>
      </c>
      <c r="R42">
        <v>1775016906</v>
      </c>
      <c r="S42" t="s">
        <v>16</v>
      </c>
      <c r="T42" t="s">
        <v>17</v>
      </c>
      <c r="U42">
        <v>4672.5600000000004</v>
      </c>
      <c r="V42" t="s">
        <v>18</v>
      </c>
      <c r="W42">
        <v>4666.96</v>
      </c>
      <c r="X42">
        <v>-57.44</v>
      </c>
      <c r="Y42">
        <v>-1.22</v>
      </c>
      <c r="Z42">
        <v>3</v>
      </c>
      <c r="AA42">
        <v>13</v>
      </c>
      <c r="AB42">
        <v>3</v>
      </c>
      <c r="AC42">
        <v>-4.4184599999999996</v>
      </c>
      <c r="AD42">
        <v>3</v>
      </c>
      <c r="AE42">
        <v>-77.247500000000002</v>
      </c>
      <c r="AF42" t="s">
        <v>22</v>
      </c>
      <c r="AH42" t="b">
        <f t="shared" si="10"/>
        <v>1</v>
      </c>
      <c r="AI42" t="b">
        <f t="shared" si="11"/>
        <v>1</v>
      </c>
      <c r="AJ42" t="b">
        <f t="shared" si="12"/>
        <v>1</v>
      </c>
      <c r="AK42" t="b">
        <f t="shared" si="13"/>
        <v>1</v>
      </c>
      <c r="AL42" t="b">
        <f t="shared" si="14"/>
        <v>1</v>
      </c>
      <c r="AM42" t="b">
        <f t="shared" si="15"/>
        <v>1</v>
      </c>
      <c r="AN42" t="b">
        <f t="shared" si="16"/>
        <v>1</v>
      </c>
      <c r="AO42" t="b">
        <f t="shared" si="17"/>
        <v>1</v>
      </c>
      <c r="AP42" t="b">
        <f t="shared" si="18"/>
        <v>1</v>
      </c>
      <c r="AQ42" t="b">
        <f t="shared" si="19"/>
        <v>1</v>
      </c>
    </row>
    <row r="43" spans="1:43" x14ac:dyDescent="0.55000000000000004">
      <c r="A43">
        <v>1775062806</v>
      </c>
      <c r="B43" t="s">
        <v>16</v>
      </c>
      <c r="C43" t="s">
        <v>17</v>
      </c>
      <c r="D43">
        <v>4788.67</v>
      </c>
      <c r="E43" t="s">
        <v>20</v>
      </c>
      <c r="F43">
        <v>4793.1400000000003</v>
      </c>
      <c r="G43">
        <v>4666.96</v>
      </c>
      <c r="H43">
        <v>4724.3999999999996</v>
      </c>
      <c r="I43">
        <v>4529.84</v>
      </c>
      <c r="J43">
        <v>4581.6400000000003</v>
      </c>
      <c r="K43">
        <v>4548.26</v>
      </c>
      <c r="L43">
        <v>126.18</v>
      </c>
      <c r="M43">
        <v>2.7</v>
      </c>
      <c r="N43">
        <v>0</v>
      </c>
      <c r="O43">
        <v>51</v>
      </c>
      <c r="P43" t="s">
        <v>23</v>
      </c>
      <c r="R43">
        <v>1775062806</v>
      </c>
      <c r="S43" t="s">
        <v>16</v>
      </c>
      <c r="T43" t="s">
        <v>17</v>
      </c>
      <c r="U43">
        <v>4788.67</v>
      </c>
      <c r="V43" t="s">
        <v>20</v>
      </c>
      <c r="W43">
        <v>4793.1400000000003</v>
      </c>
      <c r="X43">
        <v>126.18</v>
      </c>
      <c r="Y43">
        <v>2.7</v>
      </c>
      <c r="Z43">
        <v>0</v>
      </c>
      <c r="AA43">
        <v>51</v>
      </c>
      <c r="AB43">
        <v>1</v>
      </c>
      <c r="AC43">
        <v>2.4741200000000001</v>
      </c>
      <c r="AD43">
        <v>0</v>
      </c>
      <c r="AE43">
        <v>67.992199999999997</v>
      </c>
      <c r="AF43" t="s">
        <v>23</v>
      </c>
      <c r="AH43" t="b">
        <f t="shared" si="10"/>
        <v>1</v>
      </c>
      <c r="AI43" t="b">
        <f t="shared" si="11"/>
        <v>1</v>
      </c>
      <c r="AJ43" t="b">
        <f t="shared" si="12"/>
        <v>1</v>
      </c>
      <c r="AK43" t="b">
        <f t="shared" si="13"/>
        <v>1</v>
      </c>
      <c r="AL43" t="b">
        <f t="shared" si="14"/>
        <v>1</v>
      </c>
      <c r="AM43" t="b">
        <f t="shared" si="15"/>
        <v>1</v>
      </c>
      <c r="AN43" t="b">
        <f t="shared" si="16"/>
        <v>1</v>
      </c>
      <c r="AO43" t="b">
        <f t="shared" si="17"/>
        <v>1</v>
      </c>
      <c r="AP43" t="b">
        <f t="shared" si="18"/>
        <v>1</v>
      </c>
      <c r="AQ43" t="b">
        <f t="shared" si="19"/>
        <v>1</v>
      </c>
    </row>
    <row r="44" spans="1:43" x14ac:dyDescent="0.55000000000000004">
      <c r="A44">
        <v>1775068206</v>
      </c>
      <c r="B44" t="s">
        <v>16</v>
      </c>
      <c r="C44" t="s">
        <v>17</v>
      </c>
      <c r="D44">
        <v>4756.49</v>
      </c>
      <c r="E44" t="s">
        <v>18</v>
      </c>
      <c r="F44">
        <v>4742.2</v>
      </c>
      <c r="G44">
        <v>4793.1400000000003</v>
      </c>
      <c r="H44">
        <v>4666.96</v>
      </c>
      <c r="I44">
        <v>4724.3999999999996</v>
      </c>
      <c r="J44">
        <v>4529.84</v>
      </c>
      <c r="K44">
        <v>4581.6400000000003</v>
      </c>
      <c r="L44">
        <v>-50.94</v>
      </c>
      <c r="M44">
        <v>-1.06</v>
      </c>
      <c r="N44">
        <v>3</v>
      </c>
      <c r="O44">
        <v>6</v>
      </c>
      <c r="P44" t="s">
        <v>22</v>
      </c>
      <c r="R44">
        <v>1775068206</v>
      </c>
      <c r="S44" t="s">
        <v>16</v>
      </c>
      <c r="T44" t="s">
        <v>17</v>
      </c>
      <c r="U44">
        <v>4756.49</v>
      </c>
      <c r="V44" t="s">
        <v>18</v>
      </c>
      <c r="W44">
        <v>4742.2</v>
      </c>
      <c r="X44">
        <v>-50.94</v>
      </c>
      <c r="Y44">
        <v>-1.06</v>
      </c>
      <c r="Z44">
        <v>3</v>
      </c>
      <c r="AA44">
        <v>6</v>
      </c>
      <c r="AB44">
        <v>3</v>
      </c>
      <c r="AC44">
        <v>-8.49</v>
      </c>
      <c r="AD44">
        <v>3</v>
      </c>
      <c r="AE44">
        <v>-83.282300000000006</v>
      </c>
      <c r="AF44" t="s">
        <v>22</v>
      </c>
      <c r="AH44" t="b">
        <f t="shared" si="10"/>
        <v>1</v>
      </c>
      <c r="AI44" t="b">
        <f t="shared" si="11"/>
        <v>1</v>
      </c>
      <c r="AJ44" t="b">
        <f t="shared" si="12"/>
        <v>1</v>
      </c>
      <c r="AK44" t="b">
        <f t="shared" si="13"/>
        <v>1</v>
      </c>
      <c r="AL44" t="b">
        <f t="shared" si="14"/>
        <v>1</v>
      </c>
      <c r="AM44" t="b">
        <f t="shared" si="15"/>
        <v>1</v>
      </c>
      <c r="AN44" t="b">
        <f t="shared" si="16"/>
        <v>1</v>
      </c>
      <c r="AO44" t="b">
        <f t="shared" si="17"/>
        <v>1</v>
      </c>
      <c r="AP44" t="b">
        <f t="shared" si="18"/>
        <v>1</v>
      </c>
      <c r="AQ44" t="b">
        <f t="shared" si="19"/>
        <v>1</v>
      </c>
    </row>
    <row r="45" spans="1:43" x14ac:dyDescent="0.55000000000000004">
      <c r="A45">
        <v>1775086206</v>
      </c>
      <c r="B45" t="s">
        <v>16</v>
      </c>
      <c r="C45" t="s">
        <v>17</v>
      </c>
      <c r="D45">
        <v>4789.57</v>
      </c>
      <c r="E45" t="s">
        <v>20</v>
      </c>
      <c r="F45">
        <v>4800.45</v>
      </c>
      <c r="G45">
        <v>4742.2</v>
      </c>
      <c r="H45">
        <v>4793.1400000000003</v>
      </c>
      <c r="I45">
        <v>4666.96</v>
      </c>
      <c r="J45">
        <v>4724.3999999999996</v>
      </c>
      <c r="K45">
        <v>4529.84</v>
      </c>
      <c r="L45">
        <v>58.25</v>
      </c>
      <c r="M45">
        <v>1.23</v>
      </c>
      <c r="N45">
        <v>0</v>
      </c>
      <c r="O45">
        <v>16</v>
      </c>
      <c r="P45" t="s">
        <v>23</v>
      </c>
      <c r="R45">
        <v>1775086206</v>
      </c>
      <c r="S45" t="s">
        <v>16</v>
      </c>
      <c r="T45" t="s">
        <v>17</v>
      </c>
      <c r="U45">
        <v>4789.57</v>
      </c>
      <c r="V45" t="s">
        <v>20</v>
      </c>
      <c r="W45">
        <v>4800.45</v>
      </c>
      <c r="X45">
        <v>58.25</v>
      </c>
      <c r="Y45">
        <v>1.23</v>
      </c>
      <c r="Z45">
        <v>0</v>
      </c>
      <c r="AA45">
        <v>16</v>
      </c>
      <c r="AB45">
        <v>0</v>
      </c>
      <c r="AC45">
        <v>3.6406200000000002</v>
      </c>
      <c r="AD45">
        <v>0</v>
      </c>
      <c r="AE45">
        <v>74.640900000000002</v>
      </c>
      <c r="AF45" t="s">
        <v>23</v>
      </c>
      <c r="AH45" t="b">
        <f t="shared" si="10"/>
        <v>1</v>
      </c>
      <c r="AI45" t="b">
        <f t="shared" si="11"/>
        <v>1</v>
      </c>
      <c r="AJ45" t="b">
        <f t="shared" si="12"/>
        <v>1</v>
      </c>
      <c r="AK45" t="b">
        <f t="shared" si="13"/>
        <v>1</v>
      </c>
      <c r="AL45" t="b">
        <f t="shared" si="14"/>
        <v>1</v>
      </c>
      <c r="AM45" t="b">
        <f t="shared" si="15"/>
        <v>1</v>
      </c>
      <c r="AN45" t="b">
        <f t="shared" si="16"/>
        <v>1</v>
      </c>
      <c r="AO45" t="b">
        <f t="shared" si="17"/>
        <v>1</v>
      </c>
      <c r="AP45" t="b">
        <f t="shared" si="18"/>
        <v>1</v>
      </c>
      <c r="AQ45" t="b">
        <f t="shared" si="19"/>
        <v>1</v>
      </c>
    </row>
    <row r="46" spans="1:43" x14ac:dyDescent="0.55000000000000004">
      <c r="A46">
        <v>1775109606</v>
      </c>
      <c r="B46" t="s">
        <v>16</v>
      </c>
      <c r="C46" t="s">
        <v>17</v>
      </c>
      <c r="D46">
        <v>4581</v>
      </c>
      <c r="E46" t="s">
        <v>18</v>
      </c>
      <c r="F46">
        <v>4553.95</v>
      </c>
      <c r="G46">
        <v>4800.45</v>
      </c>
      <c r="H46">
        <v>4742.2</v>
      </c>
      <c r="I46">
        <v>4793.1400000000003</v>
      </c>
      <c r="J46">
        <v>4666.96</v>
      </c>
      <c r="K46">
        <v>4724.3999999999996</v>
      </c>
      <c r="L46">
        <v>-246.5</v>
      </c>
      <c r="M46">
        <v>-5.13</v>
      </c>
      <c r="N46">
        <v>3</v>
      </c>
      <c r="O46">
        <v>26</v>
      </c>
      <c r="P46" t="s">
        <v>19</v>
      </c>
      <c r="R46">
        <v>1775109606</v>
      </c>
      <c r="S46" t="s">
        <v>16</v>
      </c>
      <c r="T46" t="s">
        <v>17</v>
      </c>
      <c r="U46">
        <v>4581</v>
      </c>
      <c r="V46" t="s">
        <v>18</v>
      </c>
      <c r="W46">
        <v>4553.95</v>
      </c>
      <c r="X46">
        <v>-246.5</v>
      </c>
      <c r="Y46">
        <v>-5.13</v>
      </c>
      <c r="Z46">
        <v>3</v>
      </c>
      <c r="AA46">
        <v>26</v>
      </c>
      <c r="AB46">
        <v>3</v>
      </c>
      <c r="AC46">
        <v>-9.4807699999999997</v>
      </c>
      <c r="AD46">
        <v>3</v>
      </c>
      <c r="AE46">
        <v>-83.978899999999996</v>
      </c>
      <c r="AF46" t="s">
        <v>19</v>
      </c>
      <c r="AH46" t="b">
        <f t="shared" si="10"/>
        <v>1</v>
      </c>
      <c r="AI46" t="b">
        <f t="shared" si="11"/>
        <v>1</v>
      </c>
      <c r="AJ46" t="b">
        <f t="shared" si="12"/>
        <v>1</v>
      </c>
      <c r="AK46" t="b">
        <f t="shared" si="13"/>
        <v>1</v>
      </c>
      <c r="AL46" t="b">
        <f t="shared" si="14"/>
        <v>1</v>
      </c>
      <c r="AM46" t="b">
        <f t="shared" si="15"/>
        <v>1</v>
      </c>
      <c r="AN46" t="b">
        <f t="shared" si="16"/>
        <v>1</v>
      </c>
      <c r="AO46" t="b">
        <f t="shared" si="17"/>
        <v>1</v>
      </c>
      <c r="AP46" t="b">
        <f t="shared" si="18"/>
        <v>1</v>
      </c>
      <c r="AQ46" t="b">
        <f t="shared" si="19"/>
        <v>1</v>
      </c>
    </row>
    <row r="47" spans="1:43" x14ac:dyDescent="0.55000000000000004">
      <c r="A47">
        <v>1775140206</v>
      </c>
      <c r="B47" t="s">
        <v>16</v>
      </c>
      <c r="C47" t="s">
        <v>17</v>
      </c>
      <c r="D47">
        <v>4693.91</v>
      </c>
      <c r="E47" t="s">
        <v>20</v>
      </c>
      <c r="F47">
        <v>4699.1499999999996</v>
      </c>
      <c r="G47">
        <v>4553.95</v>
      </c>
      <c r="H47">
        <v>4800.45</v>
      </c>
      <c r="I47">
        <v>4742.2</v>
      </c>
      <c r="J47">
        <v>4793.1400000000003</v>
      </c>
      <c r="K47">
        <v>4666.96</v>
      </c>
      <c r="L47">
        <v>145.19999999999999</v>
      </c>
      <c r="M47">
        <v>3.19</v>
      </c>
      <c r="N47">
        <v>0</v>
      </c>
      <c r="O47">
        <v>34</v>
      </c>
      <c r="P47" t="s">
        <v>21</v>
      </c>
      <c r="R47">
        <v>1775140206</v>
      </c>
      <c r="S47" t="s">
        <v>16</v>
      </c>
      <c r="T47" t="s">
        <v>17</v>
      </c>
      <c r="U47">
        <v>4693.91</v>
      </c>
      <c r="V47" t="s">
        <v>20</v>
      </c>
      <c r="W47">
        <v>4699.1499999999996</v>
      </c>
      <c r="X47">
        <v>145.19999999999999</v>
      </c>
      <c r="Y47">
        <v>3.19</v>
      </c>
      <c r="Z47">
        <v>0</v>
      </c>
      <c r="AA47">
        <v>34</v>
      </c>
      <c r="AB47">
        <v>0</v>
      </c>
      <c r="AC47">
        <v>4.2705900000000003</v>
      </c>
      <c r="AD47">
        <v>0</v>
      </c>
      <c r="AE47">
        <v>76.821100000000001</v>
      </c>
      <c r="AF47" t="s">
        <v>21</v>
      </c>
      <c r="AH47" t="b">
        <f t="shared" si="10"/>
        <v>1</v>
      </c>
      <c r="AI47" t="b">
        <f t="shared" si="11"/>
        <v>1</v>
      </c>
      <c r="AJ47" t="b">
        <f t="shared" si="12"/>
        <v>1</v>
      </c>
      <c r="AK47" t="b">
        <f t="shared" si="13"/>
        <v>1</v>
      </c>
      <c r="AL47" t="b">
        <f t="shared" si="14"/>
        <v>1</v>
      </c>
      <c r="AM47" t="b">
        <f t="shared" si="15"/>
        <v>1</v>
      </c>
      <c r="AN47" t="b">
        <f t="shared" si="16"/>
        <v>1</v>
      </c>
      <c r="AO47" t="b">
        <f t="shared" si="17"/>
        <v>1</v>
      </c>
      <c r="AP47" t="b">
        <f t="shared" si="18"/>
        <v>1</v>
      </c>
      <c r="AQ47" t="b">
        <f t="shared" si="19"/>
        <v>1</v>
      </c>
    </row>
    <row r="48" spans="1:43" x14ac:dyDescent="0.55000000000000004">
      <c r="A48">
        <v>1775434506</v>
      </c>
      <c r="B48" t="s">
        <v>16</v>
      </c>
      <c r="C48" t="s">
        <v>17</v>
      </c>
      <c r="D48">
        <v>4603.5200000000004</v>
      </c>
      <c r="E48" t="s">
        <v>18</v>
      </c>
      <c r="F48">
        <v>4601.05</v>
      </c>
      <c r="G48">
        <v>4699.1499999999996</v>
      </c>
      <c r="H48">
        <v>4553.95</v>
      </c>
      <c r="I48">
        <v>4800.45</v>
      </c>
      <c r="J48">
        <v>4742.2</v>
      </c>
      <c r="K48">
        <v>4793.1400000000003</v>
      </c>
      <c r="L48">
        <v>-98.1</v>
      </c>
      <c r="M48">
        <v>-2.09</v>
      </c>
      <c r="N48">
        <v>3</v>
      </c>
      <c r="O48">
        <v>35</v>
      </c>
      <c r="P48" t="s">
        <v>22</v>
      </c>
      <c r="R48">
        <v>1775434506</v>
      </c>
      <c r="S48" t="s">
        <v>16</v>
      </c>
      <c r="T48" t="s">
        <v>17</v>
      </c>
      <c r="U48">
        <v>4603.5200000000004</v>
      </c>
      <c r="V48" t="s">
        <v>18</v>
      </c>
      <c r="W48">
        <v>4601.05</v>
      </c>
      <c r="X48">
        <v>-98.1</v>
      </c>
      <c r="Y48">
        <v>-2.09</v>
      </c>
      <c r="Z48">
        <v>3</v>
      </c>
      <c r="AA48">
        <v>35</v>
      </c>
      <c r="AB48">
        <v>3</v>
      </c>
      <c r="AC48">
        <v>-2.8028599999999999</v>
      </c>
      <c r="AD48">
        <v>3</v>
      </c>
      <c r="AE48">
        <v>-70.364699999999999</v>
      </c>
      <c r="AF48" t="s">
        <v>22</v>
      </c>
      <c r="AH48" t="b">
        <f t="shared" si="10"/>
        <v>1</v>
      </c>
      <c r="AI48" t="b">
        <f t="shared" si="11"/>
        <v>1</v>
      </c>
      <c r="AJ48" t="b">
        <f t="shared" si="12"/>
        <v>1</v>
      </c>
      <c r="AK48" t="b">
        <f t="shared" si="13"/>
        <v>1</v>
      </c>
      <c r="AL48" t="b">
        <f t="shared" si="14"/>
        <v>1</v>
      </c>
      <c r="AM48" t="b">
        <f t="shared" si="15"/>
        <v>1</v>
      </c>
      <c r="AN48" t="b">
        <f t="shared" si="16"/>
        <v>1</v>
      </c>
      <c r="AO48" t="b">
        <f t="shared" si="17"/>
        <v>1</v>
      </c>
      <c r="AP48" t="b">
        <f t="shared" si="18"/>
        <v>1</v>
      </c>
      <c r="AQ48" t="b">
        <f t="shared" si="19"/>
        <v>1</v>
      </c>
    </row>
    <row r="49" spans="1:43" x14ac:dyDescent="0.55000000000000004">
      <c r="A49">
        <v>1775467806</v>
      </c>
      <c r="B49" t="s">
        <v>16</v>
      </c>
      <c r="C49" t="s">
        <v>17</v>
      </c>
      <c r="D49">
        <v>4703.45</v>
      </c>
      <c r="E49" t="s">
        <v>20</v>
      </c>
      <c r="F49">
        <v>4706.47</v>
      </c>
      <c r="G49">
        <v>4601.05</v>
      </c>
      <c r="H49">
        <v>4699.1499999999996</v>
      </c>
      <c r="I49">
        <v>4553.95</v>
      </c>
      <c r="J49">
        <v>4800.45</v>
      </c>
      <c r="K49">
        <v>4742.2</v>
      </c>
      <c r="L49">
        <v>105.42</v>
      </c>
      <c r="M49">
        <v>2.29</v>
      </c>
      <c r="N49">
        <v>0</v>
      </c>
      <c r="O49">
        <v>37</v>
      </c>
      <c r="P49" t="s">
        <v>23</v>
      </c>
      <c r="R49">
        <v>1775467806</v>
      </c>
      <c r="S49" t="s">
        <v>16</v>
      </c>
      <c r="T49" t="s">
        <v>17</v>
      </c>
      <c r="U49">
        <v>4703.45</v>
      </c>
      <c r="V49" t="s">
        <v>20</v>
      </c>
      <c r="W49">
        <v>4706.47</v>
      </c>
      <c r="X49">
        <v>105.42</v>
      </c>
      <c r="Y49">
        <v>2.29</v>
      </c>
      <c r="Z49">
        <v>0</v>
      </c>
      <c r="AA49">
        <v>37</v>
      </c>
      <c r="AB49">
        <v>0</v>
      </c>
      <c r="AC49">
        <v>2.8491900000000001</v>
      </c>
      <c r="AD49">
        <v>0</v>
      </c>
      <c r="AE49">
        <v>70.6601</v>
      </c>
      <c r="AF49" t="s">
        <v>23</v>
      </c>
      <c r="AH49" t="b">
        <f t="shared" si="10"/>
        <v>1</v>
      </c>
      <c r="AI49" t="b">
        <f t="shared" si="11"/>
        <v>1</v>
      </c>
      <c r="AJ49" t="b">
        <f t="shared" si="12"/>
        <v>1</v>
      </c>
      <c r="AK49" t="b">
        <f t="shared" si="13"/>
        <v>1</v>
      </c>
      <c r="AL49" t="b">
        <f t="shared" si="14"/>
        <v>1</v>
      </c>
      <c r="AM49" t="b">
        <f t="shared" si="15"/>
        <v>1</v>
      </c>
      <c r="AN49" t="b">
        <f t="shared" si="16"/>
        <v>1</v>
      </c>
      <c r="AO49" t="b">
        <f t="shared" si="17"/>
        <v>1</v>
      </c>
      <c r="AP49" t="b">
        <f t="shared" si="18"/>
        <v>1</v>
      </c>
      <c r="AQ49" t="b">
        <f t="shared" si="19"/>
        <v>1</v>
      </c>
    </row>
    <row r="50" spans="1:43" x14ac:dyDescent="0.55000000000000004">
      <c r="A50">
        <v>1775477706</v>
      </c>
      <c r="B50" t="s">
        <v>16</v>
      </c>
      <c r="C50" t="s">
        <v>17</v>
      </c>
      <c r="D50">
        <v>4666.07</v>
      </c>
      <c r="E50" t="s">
        <v>18</v>
      </c>
      <c r="F50">
        <v>4659.58</v>
      </c>
      <c r="G50">
        <v>4706.47</v>
      </c>
      <c r="H50">
        <v>4601.05</v>
      </c>
      <c r="I50">
        <v>4699.1499999999996</v>
      </c>
      <c r="J50">
        <v>4553.95</v>
      </c>
      <c r="K50">
        <v>4800.45</v>
      </c>
      <c r="L50">
        <v>-46.89</v>
      </c>
      <c r="M50">
        <v>-1</v>
      </c>
      <c r="N50">
        <v>3</v>
      </c>
      <c r="O50">
        <v>11</v>
      </c>
      <c r="P50" t="s">
        <v>22</v>
      </c>
      <c r="R50">
        <v>1775477706</v>
      </c>
      <c r="S50" t="s">
        <v>16</v>
      </c>
      <c r="T50" t="s">
        <v>17</v>
      </c>
      <c r="U50">
        <v>4666.07</v>
      </c>
      <c r="V50" t="s">
        <v>18</v>
      </c>
      <c r="W50">
        <v>4659.58</v>
      </c>
      <c r="X50">
        <v>-46.89</v>
      </c>
      <c r="Y50">
        <v>-1</v>
      </c>
      <c r="Z50">
        <v>3</v>
      </c>
      <c r="AA50">
        <v>11</v>
      </c>
      <c r="AB50">
        <v>3</v>
      </c>
      <c r="AC50">
        <v>-4.2627300000000004</v>
      </c>
      <c r="AD50">
        <v>3</v>
      </c>
      <c r="AE50">
        <v>-76.797600000000003</v>
      </c>
      <c r="AF50" t="s">
        <v>22</v>
      </c>
      <c r="AH50" t="b">
        <f t="shared" si="10"/>
        <v>1</v>
      </c>
      <c r="AI50" t="b">
        <f t="shared" si="11"/>
        <v>1</v>
      </c>
      <c r="AJ50" t="b">
        <f t="shared" si="12"/>
        <v>1</v>
      </c>
      <c r="AK50" t="b">
        <f t="shared" si="13"/>
        <v>1</v>
      </c>
      <c r="AL50" t="b">
        <f t="shared" si="14"/>
        <v>1</v>
      </c>
      <c r="AM50" t="b">
        <f t="shared" si="15"/>
        <v>1</v>
      </c>
      <c r="AN50" t="b">
        <f t="shared" si="16"/>
        <v>1</v>
      </c>
      <c r="AO50" t="b">
        <f t="shared" si="17"/>
        <v>1</v>
      </c>
      <c r="AP50" t="b">
        <f t="shared" si="18"/>
        <v>1</v>
      </c>
      <c r="AQ50" t="b">
        <f t="shared" si="19"/>
        <v>1</v>
      </c>
    </row>
    <row r="51" spans="1:43" x14ac:dyDescent="0.55000000000000004">
      <c r="A51">
        <v>1775485806</v>
      </c>
      <c r="B51" t="s">
        <v>16</v>
      </c>
      <c r="C51" t="s">
        <v>17</v>
      </c>
      <c r="D51">
        <v>4684.6499999999996</v>
      </c>
      <c r="E51" t="s">
        <v>20</v>
      </c>
      <c r="F51">
        <v>4697.83</v>
      </c>
      <c r="G51">
        <v>4659.58</v>
      </c>
      <c r="H51">
        <v>4706.47</v>
      </c>
      <c r="I51">
        <v>4601.05</v>
      </c>
      <c r="J51">
        <v>4699.1499999999996</v>
      </c>
      <c r="K51">
        <v>4553.95</v>
      </c>
      <c r="L51">
        <v>38.25</v>
      </c>
      <c r="M51">
        <v>0.82</v>
      </c>
      <c r="N51">
        <v>0</v>
      </c>
      <c r="O51">
        <v>9</v>
      </c>
      <c r="P51" t="s">
        <v>21</v>
      </c>
      <c r="R51">
        <v>1775485806</v>
      </c>
      <c r="S51" t="s">
        <v>16</v>
      </c>
      <c r="T51" t="s">
        <v>17</v>
      </c>
      <c r="U51">
        <v>4684.6499999999996</v>
      </c>
      <c r="V51" t="s">
        <v>20</v>
      </c>
      <c r="W51">
        <v>4697.83</v>
      </c>
      <c r="X51">
        <v>38.25</v>
      </c>
      <c r="Y51">
        <v>0.82</v>
      </c>
      <c r="Z51">
        <v>0</v>
      </c>
      <c r="AA51">
        <v>9</v>
      </c>
      <c r="AB51">
        <v>0</v>
      </c>
      <c r="AC51">
        <v>4.25</v>
      </c>
      <c r="AD51">
        <v>0</v>
      </c>
      <c r="AE51">
        <v>76.759500000000003</v>
      </c>
      <c r="AF51" t="s">
        <v>21</v>
      </c>
      <c r="AH51" t="b">
        <f t="shared" si="10"/>
        <v>1</v>
      </c>
      <c r="AI51" t="b">
        <f t="shared" si="11"/>
        <v>1</v>
      </c>
      <c r="AJ51" t="b">
        <f t="shared" si="12"/>
        <v>1</v>
      </c>
      <c r="AK51" t="b">
        <f t="shared" si="13"/>
        <v>1</v>
      </c>
      <c r="AL51" t="b">
        <f t="shared" si="14"/>
        <v>1</v>
      </c>
      <c r="AM51" t="b">
        <f t="shared" si="15"/>
        <v>1</v>
      </c>
      <c r="AN51" t="b">
        <f t="shared" si="16"/>
        <v>1</v>
      </c>
      <c r="AO51" t="b">
        <f t="shared" si="17"/>
        <v>1</v>
      </c>
      <c r="AP51" t="b">
        <f t="shared" si="18"/>
        <v>1</v>
      </c>
      <c r="AQ51" t="b">
        <f t="shared" si="19"/>
        <v>1</v>
      </c>
    </row>
    <row r="52" spans="1:43" x14ac:dyDescent="0.55000000000000004">
      <c r="A52">
        <v>1775502906</v>
      </c>
      <c r="B52" t="s">
        <v>16</v>
      </c>
      <c r="C52" t="s">
        <v>17</v>
      </c>
      <c r="D52">
        <v>4650.38</v>
      </c>
      <c r="E52" t="s">
        <v>18</v>
      </c>
      <c r="F52">
        <v>4645.75</v>
      </c>
      <c r="G52">
        <v>4697.83</v>
      </c>
      <c r="H52">
        <v>4659.58</v>
      </c>
      <c r="I52">
        <v>4706.47</v>
      </c>
      <c r="J52">
        <v>4601.05</v>
      </c>
      <c r="K52">
        <v>4699.1499999999996</v>
      </c>
      <c r="L52">
        <v>-52.08</v>
      </c>
      <c r="M52">
        <v>-1.1100000000000001</v>
      </c>
      <c r="N52">
        <v>3</v>
      </c>
      <c r="O52">
        <v>19</v>
      </c>
      <c r="P52" t="s">
        <v>19</v>
      </c>
      <c r="R52">
        <v>1775502906</v>
      </c>
      <c r="S52" t="s">
        <v>16</v>
      </c>
      <c r="T52" t="s">
        <v>17</v>
      </c>
      <c r="U52">
        <v>4650.38</v>
      </c>
      <c r="V52" t="s">
        <v>18</v>
      </c>
      <c r="W52">
        <v>4645.75</v>
      </c>
      <c r="X52">
        <v>-52.08</v>
      </c>
      <c r="Y52">
        <v>-1.1100000000000001</v>
      </c>
      <c r="Z52">
        <v>3</v>
      </c>
      <c r="AA52">
        <v>19</v>
      </c>
      <c r="AB52">
        <v>3</v>
      </c>
      <c r="AC52">
        <v>-2.74105</v>
      </c>
      <c r="AD52">
        <v>3</v>
      </c>
      <c r="AE52">
        <v>-69.956800000000001</v>
      </c>
      <c r="AF52" t="s">
        <v>19</v>
      </c>
      <c r="AH52" t="b">
        <f t="shared" si="10"/>
        <v>1</v>
      </c>
      <c r="AI52" t="b">
        <f t="shared" si="11"/>
        <v>1</v>
      </c>
      <c r="AJ52" t="b">
        <f t="shared" si="12"/>
        <v>1</v>
      </c>
      <c r="AK52" t="b">
        <f t="shared" si="13"/>
        <v>1</v>
      </c>
      <c r="AL52" t="b">
        <f t="shared" si="14"/>
        <v>1</v>
      </c>
      <c r="AM52" t="b">
        <f t="shared" si="15"/>
        <v>1</v>
      </c>
      <c r="AN52" t="b">
        <f t="shared" si="16"/>
        <v>1</v>
      </c>
      <c r="AO52" t="b">
        <f t="shared" si="17"/>
        <v>1</v>
      </c>
      <c r="AP52" t="b">
        <f t="shared" si="18"/>
        <v>1</v>
      </c>
      <c r="AQ52" t="b">
        <f t="shared" si="19"/>
        <v>1</v>
      </c>
    </row>
    <row r="53" spans="1:43" x14ac:dyDescent="0.55000000000000004">
      <c r="A53">
        <v>1775512806</v>
      </c>
      <c r="B53" t="s">
        <v>16</v>
      </c>
      <c r="C53" t="s">
        <v>17</v>
      </c>
      <c r="D53">
        <v>4663.66</v>
      </c>
      <c r="E53" t="s">
        <v>20</v>
      </c>
      <c r="F53">
        <v>4667.87</v>
      </c>
      <c r="G53">
        <v>4645.75</v>
      </c>
      <c r="H53">
        <v>4697.83</v>
      </c>
      <c r="I53">
        <v>4659.58</v>
      </c>
      <c r="J53">
        <v>4706.47</v>
      </c>
      <c r="K53">
        <v>4601.05</v>
      </c>
      <c r="L53">
        <v>22.12</v>
      </c>
      <c r="M53">
        <v>0.48</v>
      </c>
      <c r="N53">
        <v>0</v>
      </c>
      <c r="O53">
        <v>7</v>
      </c>
      <c r="P53" t="s">
        <v>21</v>
      </c>
      <c r="R53">
        <v>1775512806</v>
      </c>
      <c r="S53" t="s">
        <v>16</v>
      </c>
      <c r="T53" t="s">
        <v>17</v>
      </c>
      <c r="U53">
        <v>4663.66</v>
      </c>
      <c r="V53" t="s">
        <v>20</v>
      </c>
      <c r="W53">
        <v>4667.87</v>
      </c>
      <c r="X53">
        <v>22.12</v>
      </c>
      <c r="Y53">
        <v>0.48</v>
      </c>
      <c r="Z53">
        <v>0</v>
      </c>
      <c r="AA53">
        <v>7</v>
      </c>
      <c r="AB53">
        <v>0</v>
      </c>
      <c r="AC53">
        <v>3.16</v>
      </c>
      <c r="AD53">
        <v>0</v>
      </c>
      <c r="AE53">
        <v>72.439700000000002</v>
      </c>
      <c r="AF53" t="s">
        <v>21</v>
      </c>
      <c r="AH53" t="b">
        <f t="shared" si="10"/>
        <v>1</v>
      </c>
      <c r="AI53" t="b">
        <f t="shared" si="11"/>
        <v>1</v>
      </c>
      <c r="AJ53" t="b">
        <f t="shared" si="12"/>
        <v>1</v>
      </c>
      <c r="AK53" t="b">
        <f t="shared" si="13"/>
        <v>1</v>
      </c>
      <c r="AL53" t="b">
        <f t="shared" si="14"/>
        <v>1</v>
      </c>
      <c r="AM53" t="b">
        <f t="shared" si="15"/>
        <v>1</v>
      </c>
      <c r="AN53" t="b">
        <f t="shared" si="16"/>
        <v>1</v>
      </c>
      <c r="AO53" t="b">
        <f t="shared" si="17"/>
        <v>1</v>
      </c>
      <c r="AP53" t="b">
        <f t="shared" si="18"/>
        <v>1</v>
      </c>
      <c r="AQ53" t="b">
        <f t="shared" si="19"/>
        <v>1</v>
      </c>
    </row>
    <row r="54" spans="1:43" x14ac:dyDescent="0.55000000000000004">
      <c r="A54">
        <v>1775526306</v>
      </c>
      <c r="B54" t="s">
        <v>16</v>
      </c>
      <c r="C54" t="s">
        <v>17</v>
      </c>
      <c r="D54">
        <v>4627.1400000000003</v>
      </c>
      <c r="E54" t="s">
        <v>18</v>
      </c>
      <c r="F54">
        <v>4616.5</v>
      </c>
      <c r="G54">
        <v>4667.87</v>
      </c>
      <c r="H54">
        <v>4645.75</v>
      </c>
      <c r="I54">
        <v>4697.83</v>
      </c>
      <c r="J54">
        <v>4659.58</v>
      </c>
      <c r="K54">
        <v>4706.47</v>
      </c>
      <c r="L54">
        <v>-51.37</v>
      </c>
      <c r="M54">
        <v>-1.1000000000000001</v>
      </c>
      <c r="N54">
        <v>3</v>
      </c>
      <c r="O54">
        <v>15</v>
      </c>
      <c r="P54" t="s">
        <v>19</v>
      </c>
      <c r="R54">
        <v>1775526306</v>
      </c>
      <c r="S54" t="s">
        <v>16</v>
      </c>
      <c r="T54" t="s">
        <v>17</v>
      </c>
      <c r="U54">
        <v>4627.1400000000003</v>
      </c>
      <c r="V54" t="s">
        <v>18</v>
      </c>
      <c r="W54">
        <v>4616.5</v>
      </c>
      <c r="X54">
        <v>-51.37</v>
      </c>
      <c r="Y54">
        <v>-1.1000000000000001</v>
      </c>
      <c r="Z54">
        <v>3</v>
      </c>
      <c r="AA54">
        <v>15</v>
      </c>
      <c r="AB54">
        <v>3</v>
      </c>
      <c r="AC54">
        <v>-3.4246699999999999</v>
      </c>
      <c r="AD54">
        <v>3</v>
      </c>
      <c r="AE54">
        <v>-73.722200000000001</v>
      </c>
      <c r="AF54" t="s">
        <v>19</v>
      </c>
      <c r="AH54" t="b">
        <f t="shared" si="10"/>
        <v>1</v>
      </c>
      <c r="AI54" t="b">
        <f t="shared" si="11"/>
        <v>1</v>
      </c>
      <c r="AJ54" t="b">
        <f t="shared" si="12"/>
        <v>1</v>
      </c>
      <c r="AK54" t="b">
        <f t="shared" si="13"/>
        <v>1</v>
      </c>
      <c r="AL54" t="b">
        <f t="shared" si="14"/>
        <v>1</v>
      </c>
      <c r="AM54" t="b">
        <f t="shared" si="15"/>
        <v>1</v>
      </c>
      <c r="AN54" t="b">
        <f t="shared" si="16"/>
        <v>1</v>
      </c>
      <c r="AO54" t="b">
        <f t="shared" si="17"/>
        <v>1</v>
      </c>
      <c r="AP54" t="b">
        <f t="shared" si="18"/>
        <v>1</v>
      </c>
      <c r="AQ54" t="b">
        <f t="shared" si="19"/>
        <v>1</v>
      </c>
    </row>
    <row r="55" spans="1:43" x14ac:dyDescent="0.55000000000000004">
      <c r="A55">
        <v>1775536206</v>
      </c>
      <c r="B55" t="s">
        <v>16</v>
      </c>
      <c r="C55" t="s">
        <v>17</v>
      </c>
      <c r="D55">
        <v>4661.8100000000004</v>
      </c>
      <c r="E55" t="s">
        <v>20</v>
      </c>
      <c r="F55">
        <v>4663.28</v>
      </c>
      <c r="G55">
        <v>4616.5</v>
      </c>
      <c r="H55">
        <v>4667.87</v>
      </c>
      <c r="I55">
        <v>4645.75</v>
      </c>
      <c r="J55">
        <v>4697.83</v>
      </c>
      <c r="K55">
        <v>4659.58</v>
      </c>
      <c r="L55">
        <v>46.78</v>
      </c>
      <c r="M55">
        <v>1.01</v>
      </c>
      <c r="N55">
        <v>0</v>
      </c>
      <c r="O55">
        <v>11</v>
      </c>
      <c r="P55" t="s">
        <v>21</v>
      </c>
      <c r="R55">
        <v>1775536206</v>
      </c>
      <c r="S55" t="s">
        <v>16</v>
      </c>
      <c r="T55" t="s">
        <v>17</v>
      </c>
      <c r="U55">
        <v>4661.8100000000004</v>
      </c>
      <c r="V55" t="s">
        <v>20</v>
      </c>
      <c r="W55">
        <v>4663.28</v>
      </c>
      <c r="X55">
        <v>46.78</v>
      </c>
      <c r="Y55">
        <v>1.01</v>
      </c>
      <c r="Z55">
        <v>0</v>
      </c>
      <c r="AA55">
        <v>11</v>
      </c>
      <c r="AB55">
        <v>0</v>
      </c>
      <c r="AC55">
        <v>4.2527299999999997</v>
      </c>
      <c r="AD55">
        <v>0</v>
      </c>
      <c r="AE55">
        <v>76.767700000000005</v>
      </c>
      <c r="AF55" t="s">
        <v>21</v>
      </c>
      <c r="AH55" t="b">
        <f t="shared" si="10"/>
        <v>1</v>
      </c>
      <c r="AI55" t="b">
        <f t="shared" si="11"/>
        <v>1</v>
      </c>
      <c r="AJ55" t="b">
        <f t="shared" si="12"/>
        <v>1</v>
      </c>
      <c r="AK55" t="b">
        <f t="shared" si="13"/>
        <v>1</v>
      </c>
      <c r="AL55" t="b">
        <f t="shared" si="14"/>
        <v>1</v>
      </c>
      <c r="AM55" t="b">
        <f t="shared" si="15"/>
        <v>1</v>
      </c>
      <c r="AN55" t="b">
        <f t="shared" si="16"/>
        <v>1</v>
      </c>
      <c r="AO55" t="b">
        <f t="shared" si="17"/>
        <v>1</v>
      </c>
      <c r="AP55" t="b">
        <f t="shared" si="18"/>
        <v>1</v>
      </c>
      <c r="AQ55" t="b">
        <f t="shared" si="19"/>
        <v>1</v>
      </c>
    </row>
    <row r="56" spans="1:43" x14ac:dyDescent="0.55000000000000004">
      <c r="A56">
        <v>1775539806</v>
      </c>
      <c r="B56" t="s">
        <v>16</v>
      </c>
      <c r="C56" t="s">
        <v>17</v>
      </c>
      <c r="D56">
        <v>4631.75</v>
      </c>
      <c r="E56" t="s">
        <v>18</v>
      </c>
      <c r="F56">
        <v>4623.4799999999996</v>
      </c>
      <c r="G56">
        <v>4663.28</v>
      </c>
      <c r="H56">
        <v>4616.5</v>
      </c>
      <c r="I56">
        <v>4667.87</v>
      </c>
      <c r="J56">
        <v>4645.75</v>
      </c>
      <c r="K56">
        <v>4697.83</v>
      </c>
      <c r="L56">
        <v>-39.799999999999997</v>
      </c>
      <c r="M56">
        <v>-0.85</v>
      </c>
      <c r="N56">
        <v>3</v>
      </c>
      <c r="O56">
        <v>4</v>
      </c>
      <c r="P56" t="s">
        <v>22</v>
      </c>
      <c r="R56">
        <v>1775539806</v>
      </c>
      <c r="S56" t="s">
        <v>16</v>
      </c>
      <c r="T56" t="s">
        <v>17</v>
      </c>
      <c r="U56">
        <v>4631.75</v>
      </c>
      <c r="V56" t="s">
        <v>18</v>
      </c>
      <c r="W56">
        <v>4623.4799999999996</v>
      </c>
      <c r="X56">
        <v>-39.799999999999997</v>
      </c>
      <c r="Y56">
        <v>-0.85</v>
      </c>
      <c r="Z56">
        <v>3</v>
      </c>
      <c r="AA56">
        <v>4</v>
      </c>
      <c r="AB56">
        <v>3</v>
      </c>
      <c r="AC56">
        <v>-9.9499999999999993</v>
      </c>
      <c r="AD56">
        <v>3</v>
      </c>
      <c r="AE56">
        <v>-84.260900000000007</v>
      </c>
      <c r="AF56" t="s">
        <v>22</v>
      </c>
      <c r="AH56" t="b">
        <f t="shared" si="10"/>
        <v>1</v>
      </c>
      <c r="AI56" t="b">
        <f t="shared" si="11"/>
        <v>1</v>
      </c>
      <c r="AJ56" t="b">
        <f t="shared" si="12"/>
        <v>1</v>
      </c>
      <c r="AK56" t="b">
        <f t="shared" si="13"/>
        <v>1</v>
      </c>
      <c r="AL56" t="b">
        <f t="shared" si="14"/>
        <v>1</v>
      </c>
      <c r="AM56" t="b">
        <f t="shared" si="15"/>
        <v>1</v>
      </c>
      <c r="AN56" t="b">
        <f t="shared" si="16"/>
        <v>1</v>
      </c>
      <c r="AO56" t="b">
        <f t="shared" si="17"/>
        <v>1</v>
      </c>
      <c r="AP56" t="b">
        <f t="shared" si="18"/>
        <v>1</v>
      </c>
      <c r="AQ56" t="b">
        <f t="shared" si="19"/>
        <v>1</v>
      </c>
    </row>
    <row r="57" spans="1:43" x14ac:dyDescent="0.55000000000000004">
      <c r="A57">
        <v>1775553306</v>
      </c>
      <c r="B57" t="s">
        <v>16</v>
      </c>
      <c r="C57" t="s">
        <v>17</v>
      </c>
      <c r="D57">
        <v>4686.92</v>
      </c>
      <c r="E57" t="s">
        <v>20</v>
      </c>
      <c r="F57">
        <v>4694.3100000000004</v>
      </c>
      <c r="G57">
        <v>4623.4799999999996</v>
      </c>
      <c r="H57">
        <v>4663.28</v>
      </c>
      <c r="I57">
        <v>4616.5</v>
      </c>
      <c r="J57">
        <v>4667.87</v>
      </c>
      <c r="K57">
        <v>4645.75</v>
      </c>
      <c r="L57">
        <v>70.83</v>
      </c>
      <c r="M57">
        <v>1.53</v>
      </c>
      <c r="N57">
        <v>0</v>
      </c>
      <c r="O57">
        <v>15</v>
      </c>
      <c r="P57" t="s">
        <v>23</v>
      </c>
      <c r="R57">
        <v>1775553306</v>
      </c>
      <c r="S57" t="s">
        <v>16</v>
      </c>
      <c r="T57" t="s">
        <v>17</v>
      </c>
      <c r="U57">
        <v>4686.92</v>
      </c>
      <c r="V57" t="s">
        <v>20</v>
      </c>
      <c r="W57">
        <v>4694.3100000000004</v>
      </c>
      <c r="X57">
        <v>70.83</v>
      </c>
      <c r="Y57">
        <v>1.53</v>
      </c>
      <c r="Z57">
        <v>0</v>
      </c>
      <c r="AA57">
        <v>15</v>
      </c>
      <c r="AB57">
        <v>0</v>
      </c>
      <c r="AC57">
        <v>4.7220000000000004</v>
      </c>
      <c r="AD57">
        <v>0</v>
      </c>
      <c r="AE57">
        <v>78.042900000000003</v>
      </c>
      <c r="AF57" t="s">
        <v>23</v>
      </c>
      <c r="AH57" t="b">
        <f t="shared" si="10"/>
        <v>1</v>
      </c>
      <c r="AI57" t="b">
        <f t="shared" si="11"/>
        <v>1</v>
      </c>
      <c r="AJ57" t="b">
        <f t="shared" si="12"/>
        <v>1</v>
      </c>
      <c r="AK57" t="b">
        <f t="shared" si="13"/>
        <v>1</v>
      </c>
      <c r="AL57" t="b">
        <f t="shared" si="14"/>
        <v>1</v>
      </c>
      <c r="AM57" t="b">
        <f t="shared" si="15"/>
        <v>1</v>
      </c>
      <c r="AN57" t="b">
        <f t="shared" si="16"/>
        <v>1</v>
      </c>
      <c r="AO57" t="b">
        <f t="shared" si="17"/>
        <v>1</v>
      </c>
      <c r="AP57" t="b">
        <f t="shared" si="18"/>
        <v>1</v>
      </c>
      <c r="AQ57" t="b">
        <f t="shared" si="19"/>
        <v>1</v>
      </c>
    </row>
    <row r="58" spans="1:43" x14ac:dyDescent="0.55000000000000004">
      <c r="A58">
        <v>1775570406</v>
      </c>
      <c r="B58" t="s">
        <v>16</v>
      </c>
      <c r="C58" t="s">
        <v>17</v>
      </c>
      <c r="D58">
        <v>4622.28</v>
      </c>
      <c r="E58" t="s">
        <v>18</v>
      </c>
      <c r="F58">
        <v>4607.91</v>
      </c>
      <c r="G58">
        <v>4694.3100000000004</v>
      </c>
      <c r="H58">
        <v>4623.4799999999996</v>
      </c>
      <c r="I58">
        <v>4663.28</v>
      </c>
      <c r="J58">
        <v>4616.5</v>
      </c>
      <c r="K58">
        <v>4667.87</v>
      </c>
      <c r="L58">
        <v>-86.4</v>
      </c>
      <c r="M58">
        <v>-1.84</v>
      </c>
      <c r="N58">
        <v>3</v>
      </c>
      <c r="O58">
        <v>19</v>
      </c>
      <c r="P58" t="s">
        <v>19</v>
      </c>
      <c r="R58">
        <v>1775570406</v>
      </c>
      <c r="S58" t="s">
        <v>16</v>
      </c>
      <c r="T58" t="s">
        <v>17</v>
      </c>
      <c r="U58">
        <v>4622.28</v>
      </c>
      <c r="V58" t="s">
        <v>18</v>
      </c>
      <c r="W58">
        <v>4607.91</v>
      </c>
      <c r="X58">
        <v>-86.4</v>
      </c>
      <c r="Y58">
        <v>-1.84</v>
      </c>
      <c r="Z58">
        <v>3</v>
      </c>
      <c r="AA58">
        <v>19</v>
      </c>
      <c r="AB58">
        <v>3</v>
      </c>
      <c r="AC58">
        <v>-4.5473699999999999</v>
      </c>
      <c r="AD58">
        <v>3</v>
      </c>
      <c r="AE58">
        <v>-77.5976</v>
      </c>
      <c r="AF58" t="s">
        <v>19</v>
      </c>
      <c r="AH58" t="b">
        <f t="shared" si="10"/>
        <v>1</v>
      </c>
      <c r="AI58" t="b">
        <f t="shared" si="11"/>
        <v>1</v>
      </c>
      <c r="AJ58" t="b">
        <f t="shared" si="12"/>
        <v>1</v>
      </c>
      <c r="AK58" t="b">
        <f t="shared" si="13"/>
        <v>1</v>
      </c>
      <c r="AL58" t="b">
        <f t="shared" si="14"/>
        <v>1</v>
      </c>
      <c r="AM58" t="b">
        <f t="shared" si="15"/>
        <v>1</v>
      </c>
      <c r="AN58" t="b">
        <f t="shared" si="16"/>
        <v>1</v>
      </c>
      <c r="AO58" t="b">
        <f t="shared" si="17"/>
        <v>1</v>
      </c>
      <c r="AP58" t="b">
        <f t="shared" si="18"/>
        <v>1</v>
      </c>
      <c r="AQ58" t="b">
        <f t="shared" si="19"/>
        <v>1</v>
      </c>
    </row>
    <row r="59" spans="1:43" x14ac:dyDescent="0.55000000000000004">
      <c r="A59">
        <v>1775606406</v>
      </c>
      <c r="B59" t="s">
        <v>16</v>
      </c>
      <c r="C59" t="s">
        <v>17</v>
      </c>
      <c r="D59">
        <v>4834.2700000000004</v>
      </c>
      <c r="E59" t="s">
        <v>20</v>
      </c>
      <c r="F59">
        <v>4857.37</v>
      </c>
      <c r="G59">
        <v>4607.91</v>
      </c>
      <c r="H59">
        <v>4694.3100000000004</v>
      </c>
      <c r="I59">
        <v>4623.4799999999996</v>
      </c>
      <c r="J59">
        <v>4663.28</v>
      </c>
      <c r="K59">
        <v>4616.5</v>
      </c>
      <c r="L59">
        <v>249.46</v>
      </c>
      <c r="M59">
        <v>5.41</v>
      </c>
      <c r="N59">
        <v>2</v>
      </c>
      <c r="O59">
        <v>36</v>
      </c>
      <c r="P59" t="s">
        <v>23</v>
      </c>
      <c r="R59">
        <v>1775606406</v>
      </c>
      <c r="S59" t="s">
        <v>16</v>
      </c>
      <c r="T59" t="s">
        <v>17</v>
      </c>
      <c r="U59">
        <v>4834.2700000000004</v>
      </c>
      <c r="V59" t="s">
        <v>20</v>
      </c>
      <c r="W59">
        <v>4857.37</v>
      </c>
      <c r="X59">
        <v>249.46</v>
      </c>
      <c r="Y59">
        <v>5.41</v>
      </c>
      <c r="Z59">
        <v>2</v>
      </c>
      <c r="AA59">
        <v>36</v>
      </c>
      <c r="AB59">
        <v>0</v>
      </c>
      <c r="AC59">
        <v>6.9294399999999996</v>
      </c>
      <c r="AD59">
        <v>0</v>
      </c>
      <c r="AE59">
        <v>81.788200000000003</v>
      </c>
      <c r="AF59" t="s">
        <v>23</v>
      </c>
      <c r="AH59" t="b">
        <f t="shared" si="10"/>
        <v>1</v>
      </c>
      <c r="AI59" t="b">
        <f t="shared" si="11"/>
        <v>1</v>
      </c>
      <c r="AJ59" t="b">
        <f t="shared" si="12"/>
        <v>1</v>
      </c>
      <c r="AK59" t="b">
        <f t="shared" si="13"/>
        <v>1</v>
      </c>
      <c r="AL59" t="b">
        <f t="shared" si="14"/>
        <v>1</v>
      </c>
      <c r="AM59" t="b">
        <f t="shared" si="15"/>
        <v>1</v>
      </c>
      <c r="AN59" t="b">
        <f t="shared" si="16"/>
        <v>1</v>
      </c>
      <c r="AO59" t="b">
        <f t="shared" si="17"/>
        <v>1</v>
      </c>
      <c r="AP59" t="b">
        <f t="shared" si="18"/>
        <v>1</v>
      </c>
      <c r="AQ59" t="b">
        <f t="shared" si="19"/>
        <v>1</v>
      </c>
    </row>
    <row r="60" spans="1:43" x14ac:dyDescent="0.55000000000000004">
      <c r="A60">
        <v>1775643306</v>
      </c>
      <c r="B60" t="s">
        <v>16</v>
      </c>
      <c r="C60" t="s">
        <v>17</v>
      </c>
      <c r="D60">
        <v>4782.6099999999997</v>
      </c>
      <c r="E60" t="s">
        <v>18</v>
      </c>
      <c r="F60">
        <v>4771.22</v>
      </c>
      <c r="G60">
        <v>4857.37</v>
      </c>
      <c r="H60">
        <v>4607.91</v>
      </c>
      <c r="I60">
        <v>4694.3100000000004</v>
      </c>
      <c r="J60">
        <v>4623.4799999999996</v>
      </c>
      <c r="K60">
        <v>4663.28</v>
      </c>
      <c r="L60">
        <v>-86.15</v>
      </c>
      <c r="M60">
        <v>-1.77</v>
      </c>
      <c r="N60">
        <v>3</v>
      </c>
      <c r="O60">
        <v>41</v>
      </c>
      <c r="P60" t="s">
        <v>22</v>
      </c>
      <c r="R60">
        <v>1775643306</v>
      </c>
      <c r="S60" t="s">
        <v>16</v>
      </c>
      <c r="T60" t="s">
        <v>17</v>
      </c>
      <c r="U60">
        <v>4782.6099999999997</v>
      </c>
      <c r="V60" t="s">
        <v>18</v>
      </c>
      <c r="W60">
        <v>4771.22</v>
      </c>
      <c r="X60">
        <v>-86.15</v>
      </c>
      <c r="Y60">
        <v>-1.77</v>
      </c>
      <c r="Z60">
        <v>3</v>
      </c>
      <c r="AA60">
        <v>41</v>
      </c>
      <c r="AB60">
        <v>4</v>
      </c>
      <c r="AC60">
        <v>-2.1012200000000001</v>
      </c>
      <c r="AD60">
        <v>3</v>
      </c>
      <c r="AE60">
        <v>-64.549599999999998</v>
      </c>
      <c r="AF60" t="s">
        <v>22</v>
      </c>
      <c r="AH60" t="b">
        <f t="shared" si="10"/>
        <v>1</v>
      </c>
      <c r="AI60" t="b">
        <f t="shared" si="11"/>
        <v>1</v>
      </c>
      <c r="AJ60" t="b">
        <f t="shared" si="12"/>
        <v>1</v>
      </c>
      <c r="AK60" t="b">
        <f t="shared" si="13"/>
        <v>1</v>
      </c>
      <c r="AL60" t="b">
        <f t="shared" si="14"/>
        <v>1</v>
      </c>
      <c r="AM60" t="b">
        <f t="shared" si="15"/>
        <v>1</v>
      </c>
      <c r="AN60" t="b">
        <f t="shared" si="16"/>
        <v>1</v>
      </c>
      <c r="AO60" t="b">
        <f t="shared" si="17"/>
        <v>1</v>
      </c>
      <c r="AP60" t="b">
        <f t="shared" si="18"/>
        <v>1</v>
      </c>
      <c r="AQ60" t="b">
        <f t="shared" si="19"/>
        <v>1</v>
      </c>
    </row>
    <row r="61" spans="1:43" x14ac:dyDescent="0.55000000000000004">
      <c r="A61">
        <v>1775649606</v>
      </c>
      <c r="B61" t="s">
        <v>16</v>
      </c>
      <c r="C61" t="s">
        <v>17</v>
      </c>
      <c r="D61">
        <v>4805.3100000000004</v>
      </c>
      <c r="E61" t="s">
        <v>20</v>
      </c>
      <c r="F61">
        <v>4807.34</v>
      </c>
      <c r="G61">
        <v>4771.22</v>
      </c>
      <c r="H61">
        <v>4857.37</v>
      </c>
      <c r="I61">
        <v>4607.91</v>
      </c>
      <c r="J61">
        <v>4694.3100000000004</v>
      </c>
      <c r="K61">
        <v>4623.4799999999996</v>
      </c>
      <c r="L61">
        <v>36.119999999999997</v>
      </c>
      <c r="M61">
        <v>0.76</v>
      </c>
      <c r="N61">
        <v>0</v>
      </c>
      <c r="O61">
        <v>7</v>
      </c>
      <c r="P61" t="s">
        <v>21</v>
      </c>
      <c r="R61">
        <v>1775649606</v>
      </c>
      <c r="S61" t="s">
        <v>16</v>
      </c>
      <c r="T61" t="s">
        <v>17</v>
      </c>
      <c r="U61">
        <v>4805.3100000000004</v>
      </c>
      <c r="V61" t="s">
        <v>20</v>
      </c>
      <c r="W61">
        <v>4807.34</v>
      </c>
      <c r="X61">
        <v>36.119999999999997</v>
      </c>
      <c r="Y61">
        <v>0.76</v>
      </c>
      <c r="Z61">
        <v>0</v>
      </c>
      <c r="AA61">
        <v>7</v>
      </c>
      <c r="AB61">
        <v>0</v>
      </c>
      <c r="AC61">
        <v>5.16</v>
      </c>
      <c r="AD61">
        <v>0</v>
      </c>
      <c r="AE61">
        <v>79.0321</v>
      </c>
      <c r="AF61" t="s">
        <v>21</v>
      </c>
      <c r="AH61" t="b">
        <f t="shared" si="10"/>
        <v>1</v>
      </c>
      <c r="AI61" t="b">
        <f t="shared" si="11"/>
        <v>1</v>
      </c>
      <c r="AJ61" t="b">
        <f t="shared" si="12"/>
        <v>1</v>
      </c>
      <c r="AK61" t="b">
        <f t="shared" si="13"/>
        <v>1</v>
      </c>
      <c r="AL61" t="b">
        <f t="shared" si="14"/>
        <v>1</v>
      </c>
      <c r="AM61" t="b">
        <f t="shared" si="15"/>
        <v>1</v>
      </c>
      <c r="AN61" t="b">
        <f t="shared" si="16"/>
        <v>1</v>
      </c>
      <c r="AO61" t="b">
        <f t="shared" si="17"/>
        <v>1</v>
      </c>
      <c r="AP61" t="b">
        <f t="shared" si="18"/>
        <v>1</v>
      </c>
      <c r="AQ61" t="b">
        <f t="shared" si="19"/>
        <v>1</v>
      </c>
    </row>
    <row r="62" spans="1:43" x14ac:dyDescent="0.55000000000000004">
      <c r="A62">
        <v>1775692806</v>
      </c>
      <c r="B62" t="s">
        <v>16</v>
      </c>
      <c r="C62" t="s">
        <v>17</v>
      </c>
      <c r="D62">
        <v>4702.29</v>
      </c>
      <c r="E62" t="s">
        <v>18</v>
      </c>
      <c r="F62">
        <v>4698.51</v>
      </c>
      <c r="G62">
        <v>4807.34</v>
      </c>
      <c r="H62">
        <v>4771.22</v>
      </c>
      <c r="I62">
        <v>4857.37</v>
      </c>
      <c r="J62">
        <v>4607.91</v>
      </c>
      <c r="K62">
        <v>4694.3100000000004</v>
      </c>
      <c r="L62">
        <v>-108.83</v>
      </c>
      <c r="M62">
        <v>-2.2599999999999998</v>
      </c>
      <c r="N62">
        <v>3</v>
      </c>
      <c r="O62">
        <v>44</v>
      </c>
      <c r="P62" t="s">
        <v>19</v>
      </c>
      <c r="R62">
        <v>1775692806</v>
      </c>
      <c r="S62" t="s">
        <v>16</v>
      </c>
      <c r="T62" t="s">
        <v>17</v>
      </c>
      <c r="U62">
        <v>4702.29</v>
      </c>
      <c r="V62" t="s">
        <v>18</v>
      </c>
      <c r="W62">
        <v>4698.51</v>
      </c>
      <c r="X62">
        <v>-108.83</v>
      </c>
      <c r="Y62">
        <v>-2.2599999999999998</v>
      </c>
      <c r="Z62">
        <v>3</v>
      </c>
      <c r="AA62">
        <v>44</v>
      </c>
      <c r="AB62">
        <v>4</v>
      </c>
      <c r="AC62">
        <v>-2.4734099999999999</v>
      </c>
      <c r="AD62">
        <v>3</v>
      </c>
      <c r="AE62">
        <v>-67.986500000000007</v>
      </c>
      <c r="AF62" t="s">
        <v>19</v>
      </c>
      <c r="AH62" t="b">
        <f t="shared" si="10"/>
        <v>1</v>
      </c>
      <c r="AI62" t="b">
        <f t="shared" si="11"/>
        <v>1</v>
      </c>
      <c r="AJ62" t="b">
        <f t="shared" si="12"/>
        <v>1</v>
      </c>
      <c r="AK62" t="b">
        <f t="shared" si="13"/>
        <v>1</v>
      </c>
      <c r="AL62" t="b">
        <f t="shared" si="14"/>
        <v>1</v>
      </c>
      <c r="AM62" t="b">
        <f t="shared" si="15"/>
        <v>1</v>
      </c>
      <c r="AN62" t="b">
        <f t="shared" si="16"/>
        <v>1</v>
      </c>
      <c r="AO62" t="b">
        <f t="shared" si="17"/>
        <v>1</v>
      </c>
      <c r="AP62" t="b">
        <f t="shared" si="18"/>
        <v>1</v>
      </c>
      <c r="AQ62" t="b">
        <f t="shared" si="19"/>
        <v>1</v>
      </c>
    </row>
    <row r="63" spans="1:43" x14ac:dyDescent="0.55000000000000004">
      <c r="A63">
        <v>1775702706</v>
      </c>
      <c r="B63" t="s">
        <v>16</v>
      </c>
      <c r="C63" t="s">
        <v>17</v>
      </c>
      <c r="D63">
        <v>4719.3</v>
      </c>
      <c r="E63" t="s">
        <v>20</v>
      </c>
      <c r="F63">
        <v>4733.0200000000004</v>
      </c>
      <c r="G63">
        <v>4698.51</v>
      </c>
      <c r="H63">
        <v>4807.34</v>
      </c>
      <c r="I63">
        <v>4771.22</v>
      </c>
      <c r="J63">
        <v>4857.37</v>
      </c>
      <c r="K63">
        <v>4607.91</v>
      </c>
      <c r="L63">
        <v>34.51</v>
      </c>
      <c r="M63">
        <v>0.73</v>
      </c>
      <c r="N63">
        <v>0</v>
      </c>
      <c r="O63">
        <v>11</v>
      </c>
      <c r="P63" t="s">
        <v>21</v>
      </c>
      <c r="R63">
        <v>1775702706</v>
      </c>
      <c r="S63" t="s">
        <v>16</v>
      </c>
      <c r="T63" t="s">
        <v>17</v>
      </c>
      <c r="U63">
        <v>4719.3</v>
      </c>
      <c r="V63" t="s">
        <v>20</v>
      </c>
      <c r="W63">
        <v>4733.0200000000004</v>
      </c>
      <c r="X63">
        <v>34.51</v>
      </c>
      <c r="Y63">
        <v>0.73</v>
      </c>
      <c r="Z63">
        <v>0</v>
      </c>
      <c r="AA63">
        <v>11</v>
      </c>
      <c r="AB63">
        <v>0</v>
      </c>
      <c r="AC63">
        <v>3.13727</v>
      </c>
      <c r="AD63">
        <v>0</v>
      </c>
      <c r="AE63">
        <v>72.320400000000006</v>
      </c>
      <c r="AF63" t="s">
        <v>21</v>
      </c>
      <c r="AH63" t="b">
        <f t="shared" si="10"/>
        <v>1</v>
      </c>
      <c r="AI63" t="b">
        <f t="shared" si="11"/>
        <v>1</v>
      </c>
      <c r="AJ63" t="b">
        <f t="shared" si="12"/>
        <v>1</v>
      </c>
      <c r="AK63" t="b">
        <f t="shared" si="13"/>
        <v>1</v>
      </c>
      <c r="AL63" t="b">
        <f t="shared" si="14"/>
        <v>1</v>
      </c>
      <c r="AM63" t="b">
        <f t="shared" si="15"/>
        <v>1</v>
      </c>
      <c r="AN63" t="b">
        <f t="shared" si="16"/>
        <v>1</v>
      </c>
      <c r="AO63" t="b">
        <f t="shared" si="17"/>
        <v>1</v>
      </c>
      <c r="AP63" t="b">
        <f t="shared" si="18"/>
        <v>1</v>
      </c>
      <c r="AQ63" t="b">
        <f t="shared" si="19"/>
        <v>1</v>
      </c>
    </row>
    <row r="64" spans="1:43" x14ac:dyDescent="0.55000000000000004">
      <c r="A64">
        <v>1775717106</v>
      </c>
      <c r="B64" t="s">
        <v>16</v>
      </c>
      <c r="C64" t="s">
        <v>17</v>
      </c>
      <c r="D64">
        <v>4712.5</v>
      </c>
      <c r="E64" t="s">
        <v>18</v>
      </c>
      <c r="F64">
        <v>4703.46</v>
      </c>
      <c r="G64">
        <v>4733.0200000000004</v>
      </c>
      <c r="H64">
        <v>4698.51</v>
      </c>
      <c r="I64">
        <v>4807.34</v>
      </c>
      <c r="J64">
        <v>4771.22</v>
      </c>
      <c r="K64">
        <v>4857.37</v>
      </c>
      <c r="L64">
        <v>-29.56</v>
      </c>
      <c r="M64">
        <v>-0.62</v>
      </c>
      <c r="N64">
        <v>3</v>
      </c>
      <c r="O64">
        <v>16</v>
      </c>
      <c r="P64" t="s">
        <v>22</v>
      </c>
      <c r="R64">
        <v>1775717106</v>
      </c>
      <c r="S64" t="s">
        <v>16</v>
      </c>
      <c r="T64" t="s">
        <v>17</v>
      </c>
      <c r="U64">
        <v>4712.5</v>
      </c>
      <c r="V64" t="s">
        <v>18</v>
      </c>
      <c r="W64">
        <v>4703.46</v>
      </c>
      <c r="X64">
        <v>-29.56</v>
      </c>
      <c r="Y64">
        <v>-0.62</v>
      </c>
      <c r="Z64">
        <v>3</v>
      </c>
      <c r="AA64">
        <v>16</v>
      </c>
      <c r="AB64">
        <v>3</v>
      </c>
      <c r="AC64">
        <v>-1.8474999999999999</v>
      </c>
      <c r="AD64">
        <v>3</v>
      </c>
      <c r="AE64">
        <v>-61.574599999999997</v>
      </c>
      <c r="AF64" t="s">
        <v>22</v>
      </c>
      <c r="AH64" t="b">
        <f t="shared" si="10"/>
        <v>1</v>
      </c>
      <c r="AI64" t="b">
        <f t="shared" si="11"/>
        <v>1</v>
      </c>
      <c r="AJ64" t="b">
        <f t="shared" si="12"/>
        <v>1</v>
      </c>
      <c r="AK64" t="b">
        <f t="shared" si="13"/>
        <v>1</v>
      </c>
      <c r="AL64" t="b">
        <f t="shared" si="14"/>
        <v>1</v>
      </c>
      <c r="AM64" t="b">
        <f t="shared" si="15"/>
        <v>1</v>
      </c>
      <c r="AN64" t="b">
        <f t="shared" si="16"/>
        <v>1</v>
      </c>
      <c r="AO64" t="b">
        <f t="shared" si="17"/>
        <v>1</v>
      </c>
      <c r="AP64" t="b">
        <f t="shared" si="18"/>
        <v>1</v>
      </c>
      <c r="AQ64" t="b">
        <f t="shared" si="19"/>
        <v>1</v>
      </c>
    </row>
    <row r="65" spans="1:43" x14ac:dyDescent="0.55000000000000004">
      <c r="A65">
        <v>1775755806</v>
      </c>
      <c r="B65" t="s">
        <v>16</v>
      </c>
      <c r="C65" t="s">
        <v>17</v>
      </c>
      <c r="D65">
        <v>4795.37</v>
      </c>
      <c r="E65" t="s">
        <v>20</v>
      </c>
      <c r="F65">
        <v>4800.93</v>
      </c>
      <c r="G65">
        <v>4703.46</v>
      </c>
      <c r="H65">
        <v>4733.0200000000004</v>
      </c>
      <c r="I65">
        <v>4698.51</v>
      </c>
      <c r="J65">
        <v>4807.34</v>
      </c>
      <c r="K65">
        <v>4771.22</v>
      </c>
      <c r="L65">
        <v>97.47</v>
      </c>
      <c r="M65">
        <v>2.0699999999999998</v>
      </c>
      <c r="N65">
        <v>0</v>
      </c>
      <c r="O65">
        <v>43</v>
      </c>
      <c r="P65" t="s">
        <v>23</v>
      </c>
      <c r="R65">
        <v>1775755806</v>
      </c>
      <c r="S65" t="s">
        <v>16</v>
      </c>
      <c r="T65" t="s">
        <v>17</v>
      </c>
      <c r="U65">
        <v>4795.37</v>
      </c>
      <c r="V65" t="s">
        <v>20</v>
      </c>
      <c r="W65">
        <v>4800.93</v>
      </c>
      <c r="X65">
        <v>97.47</v>
      </c>
      <c r="Y65">
        <v>2.0699999999999998</v>
      </c>
      <c r="Z65">
        <v>0</v>
      </c>
      <c r="AA65">
        <v>43</v>
      </c>
      <c r="AB65">
        <v>1</v>
      </c>
      <c r="AC65">
        <v>2.26674</v>
      </c>
      <c r="AD65">
        <v>0</v>
      </c>
      <c r="AE65">
        <v>66.194800000000001</v>
      </c>
      <c r="AF65" t="s">
        <v>23</v>
      </c>
      <c r="AH65" t="b">
        <f t="shared" ref="AH65:AH96" si="20">A65=R65</f>
        <v>1</v>
      </c>
      <c r="AI65" t="b">
        <f t="shared" ref="AI65:AI96" si="21">B65=S65</f>
        <v>1</v>
      </c>
      <c r="AJ65" t="b">
        <f t="shared" ref="AJ65:AJ96" si="22">C65=T65</f>
        <v>1</v>
      </c>
      <c r="AK65" t="b">
        <f t="shared" ref="AK65:AK96" si="23">D65=U65</f>
        <v>1</v>
      </c>
      <c r="AL65" t="b">
        <f t="shared" ref="AL65:AL96" si="24">E65=V65</f>
        <v>1</v>
      </c>
      <c r="AM65" t="b">
        <f t="shared" ref="AM65:AM96" si="25">F65=W65</f>
        <v>1</v>
      </c>
      <c r="AN65" t="b">
        <f t="shared" si="16"/>
        <v>1</v>
      </c>
      <c r="AO65" t="b">
        <f t="shared" si="17"/>
        <v>1</v>
      </c>
      <c r="AP65" t="b">
        <f t="shared" si="18"/>
        <v>1</v>
      </c>
      <c r="AQ65" t="b">
        <f t="shared" si="19"/>
        <v>1</v>
      </c>
    </row>
    <row r="66" spans="1:43" x14ac:dyDescent="0.55000000000000004">
      <c r="A66">
        <v>1775779206</v>
      </c>
      <c r="B66" t="s">
        <v>16</v>
      </c>
      <c r="C66" t="s">
        <v>17</v>
      </c>
      <c r="D66">
        <v>4754.03</v>
      </c>
      <c r="E66" t="s">
        <v>18</v>
      </c>
      <c r="F66">
        <v>4750.74</v>
      </c>
      <c r="G66">
        <v>4800.93</v>
      </c>
      <c r="H66">
        <v>4703.46</v>
      </c>
      <c r="I66">
        <v>4733.0200000000004</v>
      </c>
      <c r="J66">
        <v>4698.51</v>
      </c>
      <c r="K66">
        <v>4807.34</v>
      </c>
      <c r="L66">
        <v>-50.19</v>
      </c>
      <c r="M66">
        <v>-1.05</v>
      </c>
      <c r="N66">
        <v>3</v>
      </c>
      <c r="O66">
        <v>22</v>
      </c>
      <c r="P66" t="s">
        <v>22</v>
      </c>
      <c r="R66">
        <v>1775779206</v>
      </c>
      <c r="S66" t="s">
        <v>16</v>
      </c>
      <c r="T66" t="s">
        <v>17</v>
      </c>
      <c r="U66">
        <v>4754.03</v>
      </c>
      <c r="V66" t="s">
        <v>18</v>
      </c>
      <c r="W66">
        <v>4750.74</v>
      </c>
      <c r="X66">
        <v>-50.19</v>
      </c>
      <c r="Y66">
        <v>-1.05</v>
      </c>
      <c r="Z66">
        <v>3</v>
      </c>
      <c r="AA66">
        <v>22</v>
      </c>
      <c r="AB66">
        <v>3</v>
      </c>
      <c r="AC66">
        <v>-2.2813599999999998</v>
      </c>
      <c r="AD66">
        <v>3</v>
      </c>
      <c r="AE66">
        <v>-66.330500000000001</v>
      </c>
      <c r="AF66" t="s">
        <v>22</v>
      </c>
      <c r="AH66" t="b">
        <f t="shared" si="20"/>
        <v>1</v>
      </c>
      <c r="AI66" t="b">
        <f t="shared" si="21"/>
        <v>1</v>
      </c>
      <c r="AJ66" t="b">
        <f t="shared" si="22"/>
        <v>1</v>
      </c>
      <c r="AK66" t="b">
        <f t="shared" si="23"/>
        <v>1</v>
      </c>
      <c r="AL66" t="b">
        <f t="shared" si="24"/>
        <v>1</v>
      </c>
      <c r="AM66" t="b">
        <f t="shared" si="25"/>
        <v>1</v>
      </c>
      <c r="AN66" t="b">
        <f t="shared" ref="AN66:AN97" si="26">X66=L66</f>
        <v>1</v>
      </c>
      <c r="AO66" t="b">
        <f t="shared" ref="AO66:AO97" si="27">Y66=M66</f>
        <v>1</v>
      </c>
      <c r="AP66" t="b">
        <f t="shared" ref="AP66:AP97" si="28">Z66=N66</f>
        <v>1</v>
      </c>
      <c r="AQ66" t="b">
        <f t="shared" ref="AQ66:AQ97" si="29">AF66=P66</f>
        <v>1</v>
      </c>
    </row>
    <row r="67" spans="1:43" x14ac:dyDescent="0.55000000000000004">
      <c r="A67">
        <v>1775784606</v>
      </c>
      <c r="B67" t="s">
        <v>16</v>
      </c>
      <c r="C67" t="s">
        <v>17</v>
      </c>
      <c r="D67">
        <v>4771.97</v>
      </c>
      <c r="E67" t="s">
        <v>20</v>
      </c>
      <c r="F67">
        <v>4777.3100000000004</v>
      </c>
      <c r="G67">
        <v>4750.74</v>
      </c>
      <c r="H67">
        <v>4800.93</v>
      </c>
      <c r="I67">
        <v>4703.46</v>
      </c>
      <c r="J67">
        <v>4733.0200000000004</v>
      </c>
      <c r="K67">
        <v>4698.51</v>
      </c>
      <c r="L67">
        <v>26.57</v>
      </c>
      <c r="M67">
        <v>0.56000000000000005</v>
      </c>
      <c r="N67">
        <v>0</v>
      </c>
      <c r="O67">
        <v>6</v>
      </c>
      <c r="P67" t="s">
        <v>21</v>
      </c>
      <c r="R67">
        <v>1775784606</v>
      </c>
      <c r="S67" t="s">
        <v>16</v>
      </c>
      <c r="T67" t="s">
        <v>17</v>
      </c>
      <c r="U67">
        <v>4771.97</v>
      </c>
      <c r="V67" t="s">
        <v>20</v>
      </c>
      <c r="W67">
        <v>4777.3100000000004</v>
      </c>
      <c r="X67">
        <v>26.57</v>
      </c>
      <c r="Y67">
        <v>0.56000000000000005</v>
      </c>
      <c r="Z67">
        <v>0</v>
      </c>
      <c r="AA67">
        <v>6</v>
      </c>
      <c r="AB67">
        <v>0</v>
      </c>
      <c r="AC67">
        <v>4.4283299999999999</v>
      </c>
      <c r="AD67">
        <v>0</v>
      </c>
      <c r="AE67">
        <v>77.275000000000006</v>
      </c>
      <c r="AF67" t="s">
        <v>21</v>
      </c>
      <c r="AH67" t="b">
        <f t="shared" si="20"/>
        <v>1</v>
      </c>
      <c r="AI67" t="b">
        <f t="shared" si="21"/>
        <v>1</v>
      </c>
      <c r="AJ67" t="b">
        <f t="shared" si="22"/>
        <v>1</v>
      </c>
      <c r="AK67" t="b">
        <f t="shared" si="23"/>
        <v>1</v>
      </c>
      <c r="AL67" t="b">
        <f t="shared" si="24"/>
        <v>1</v>
      </c>
      <c r="AM67" t="b">
        <f t="shared" si="25"/>
        <v>1</v>
      </c>
      <c r="AN67" t="b">
        <f t="shared" si="26"/>
        <v>1</v>
      </c>
      <c r="AO67" t="b">
        <f t="shared" si="27"/>
        <v>1</v>
      </c>
      <c r="AP67" t="b">
        <f t="shared" si="28"/>
        <v>1</v>
      </c>
      <c r="AQ67" t="b">
        <f t="shared" si="29"/>
        <v>1</v>
      </c>
    </row>
    <row r="68" spans="1:43" x14ac:dyDescent="0.55000000000000004">
      <c r="A68">
        <v>1775810706</v>
      </c>
      <c r="B68" t="s">
        <v>16</v>
      </c>
      <c r="C68" t="s">
        <v>17</v>
      </c>
      <c r="D68">
        <v>4741.04</v>
      </c>
      <c r="E68" t="s">
        <v>18</v>
      </c>
      <c r="F68">
        <v>4730.8100000000004</v>
      </c>
      <c r="G68">
        <v>4777.3100000000004</v>
      </c>
      <c r="H68">
        <v>4750.74</v>
      </c>
      <c r="I68">
        <v>4800.93</v>
      </c>
      <c r="J68">
        <v>4703.46</v>
      </c>
      <c r="K68">
        <v>4733.0200000000004</v>
      </c>
      <c r="L68">
        <v>-46.5</v>
      </c>
      <c r="M68">
        <v>-0.97</v>
      </c>
      <c r="N68">
        <v>3</v>
      </c>
      <c r="O68">
        <v>29</v>
      </c>
      <c r="P68" t="s">
        <v>19</v>
      </c>
      <c r="R68">
        <v>1775810706</v>
      </c>
      <c r="S68" t="s">
        <v>16</v>
      </c>
      <c r="T68" t="s">
        <v>17</v>
      </c>
      <c r="U68">
        <v>4741.04</v>
      </c>
      <c r="V68" t="s">
        <v>18</v>
      </c>
      <c r="W68">
        <v>4730.8100000000004</v>
      </c>
      <c r="X68">
        <v>-46.5</v>
      </c>
      <c r="Y68">
        <v>-0.97</v>
      </c>
      <c r="Z68">
        <v>3</v>
      </c>
      <c r="AA68">
        <v>29</v>
      </c>
      <c r="AB68">
        <v>3</v>
      </c>
      <c r="AC68">
        <v>-1.60345</v>
      </c>
      <c r="AD68">
        <v>3</v>
      </c>
      <c r="AE68">
        <v>-58.05</v>
      </c>
      <c r="AF68" t="s">
        <v>19</v>
      </c>
      <c r="AH68" t="b">
        <f t="shared" si="20"/>
        <v>1</v>
      </c>
      <c r="AI68" t="b">
        <f t="shared" si="21"/>
        <v>1</v>
      </c>
      <c r="AJ68" t="b">
        <f t="shared" si="22"/>
        <v>1</v>
      </c>
      <c r="AK68" t="b">
        <f t="shared" si="23"/>
        <v>1</v>
      </c>
      <c r="AL68" t="b">
        <f t="shared" si="24"/>
        <v>1</v>
      </c>
      <c r="AM68" t="b">
        <f t="shared" si="25"/>
        <v>1</v>
      </c>
      <c r="AN68" t="b">
        <f t="shared" si="26"/>
        <v>1</v>
      </c>
      <c r="AO68" t="b">
        <f t="shared" si="27"/>
        <v>1</v>
      </c>
      <c r="AP68" t="b">
        <f t="shared" si="28"/>
        <v>1</v>
      </c>
      <c r="AQ68" t="b">
        <f t="shared" si="29"/>
        <v>1</v>
      </c>
    </row>
    <row r="69" spans="1:43" x14ac:dyDescent="0.55000000000000004">
      <c r="A69">
        <v>1775831406</v>
      </c>
      <c r="B69" t="s">
        <v>16</v>
      </c>
      <c r="C69" t="s">
        <v>17</v>
      </c>
      <c r="D69">
        <v>4780.79</v>
      </c>
      <c r="E69" t="s">
        <v>20</v>
      </c>
      <c r="F69">
        <v>4794.96</v>
      </c>
      <c r="G69">
        <v>4730.8100000000004</v>
      </c>
      <c r="H69">
        <v>4777.3100000000004</v>
      </c>
      <c r="I69">
        <v>4750.74</v>
      </c>
      <c r="J69">
        <v>4800.93</v>
      </c>
      <c r="K69">
        <v>4703.46</v>
      </c>
      <c r="L69">
        <v>64.150000000000006</v>
      </c>
      <c r="M69">
        <v>1.36</v>
      </c>
      <c r="N69">
        <v>0</v>
      </c>
      <c r="O69">
        <v>23</v>
      </c>
      <c r="P69" t="s">
        <v>23</v>
      </c>
      <c r="R69">
        <v>1775831406</v>
      </c>
      <c r="S69" t="s">
        <v>16</v>
      </c>
      <c r="T69" t="s">
        <v>17</v>
      </c>
      <c r="U69">
        <v>4780.79</v>
      </c>
      <c r="V69" t="s">
        <v>20</v>
      </c>
      <c r="W69">
        <v>4794.96</v>
      </c>
      <c r="X69">
        <v>64.150000000000006</v>
      </c>
      <c r="Y69">
        <v>1.36</v>
      </c>
      <c r="Z69">
        <v>0</v>
      </c>
      <c r="AA69">
        <v>23</v>
      </c>
      <c r="AB69">
        <v>0</v>
      </c>
      <c r="AC69">
        <v>2.7891300000000001</v>
      </c>
      <c r="AD69">
        <v>0</v>
      </c>
      <c r="AE69">
        <v>70.275499999999994</v>
      </c>
      <c r="AF69" t="s">
        <v>23</v>
      </c>
      <c r="AH69" t="b">
        <f t="shared" si="20"/>
        <v>1</v>
      </c>
      <c r="AI69" t="b">
        <f t="shared" si="21"/>
        <v>1</v>
      </c>
      <c r="AJ69" t="b">
        <f t="shared" si="22"/>
        <v>1</v>
      </c>
      <c r="AK69" t="b">
        <f t="shared" si="23"/>
        <v>1</v>
      </c>
      <c r="AL69" t="b">
        <f t="shared" si="24"/>
        <v>1</v>
      </c>
      <c r="AM69" t="b">
        <f t="shared" si="25"/>
        <v>1</v>
      </c>
      <c r="AN69" t="b">
        <f t="shared" si="26"/>
        <v>1</v>
      </c>
      <c r="AO69" t="b">
        <f t="shared" si="27"/>
        <v>1</v>
      </c>
      <c r="AP69" t="b">
        <f t="shared" si="28"/>
        <v>1</v>
      </c>
      <c r="AQ69" t="b">
        <f t="shared" si="29"/>
        <v>1</v>
      </c>
    </row>
    <row r="70" spans="1:43" x14ac:dyDescent="0.55000000000000004">
      <c r="A70">
        <v>1775836806</v>
      </c>
      <c r="B70" t="s">
        <v>16</v>
      </c>
      <c r="C70" t="s">
        <v>17</v>
      </c>
      <c r="D70">
        <v>4763.3599999999997</v>
      </c>
      <c r="E70" t="s">
        <v>18</v>
      </c>
      <c r="F70">
        <v>4747.5</v>
      </c>
      <c r="G70">
        <v>4794.96</v>
      </c>
      <c r="H70">
        <v>4730.8100000000004</v>
      </c>
      <c r="I70">
        <v>4777.3100000000004</v>
      </c>
      <c r="J70">
        <v>4750.74</v>
      </c>
      <c r="K70">
        <v>4800.93</v>
      </c>
      <c r="L70">
        <v>-47.46</v>
      </c>
      <c r="M70">
        <v>-0.99</v>
      </c>
      <c r="N70">
        <v>3</v>
      </c>
      <c r="O70">
        <v>6</v>
      </c>
      <c r="P70" t="s">
        <v>22</v>
      </c>
      <c r="R70">
        <v>1775836806</v>
      </c>
      <c r="S70" t="s">
        <v>16</v>
      </c>
      <c r="T70" t="s">
        <v>17</v>
      </c>
      <c r="U70">
        <v>4763.3599999999997</v>
      </c>
      <c r="V70" t="s">
        <v>18</v>
      </c>
      <c r="W70">
        <v>4747.5</v>
      </c>
      <c r="X70">
        <v>-47.46</v>
      </c>
      <c r="Y70">
        <v>-0.99</v>
      </c>
      <c r="Z70">
        <v>3</v>
      </c>
      <c r="AA70">
        <v>6</v>
      </c>
      <c r="AB70">
        <v>3</v>
      </c>
      <c r="AC70">
        <v>-7.91</v>
      </c>
      <c r="AD70">
        <v>3</v>
      </c>
      <c r="AE70">
        <v>-82.794799999999995</v>
      </c>
      <c r="AF70" t="s">
        <v>22</v>
      </c>
      <c r="AH70" t="b">
        <f t="shared" si="20"/>
        <v>1</v>
      </c>
      <c r="AI70" t="b">
        <f t="shared" si="21"/>
        <v>1</v>
      </c>
      <c r="AJ70" t="b">
        <f t="shared" si="22"/>
        <v>1</v>
      </c>
      <c r="AK70" t="b">
        <f t="shared" si="23"/>
        <v>1</v>
      </c>
      <c r="AL70" t="b">
        <f t="shared" si="24"/>
        <v>1</v>
      </c>
      <c r="AM70" t="b">
        <f t="shared" si="25"/>
        <v>1</v>
      </c>
      <c r="AN70" t="b">
        <f t="shared" si="26"/>
        <v>1</v>
      </c>
      <c r="AO70" t="b">
        <f t="shared" si="27"/>
        <v>1</v>
      </c>
      <c r="AP70" t="b">
        <f t="shared" si="28"/>
        <v>1</v>
      </c>
      <c r="AQ70" t="b">
        <f t="shared" si="29"/>
        <v>1</v>
      </c>
    </row>
    <row r="71" spans="1:43" x14ac:dyDescent="0.55000000000000004">
      <c r="A71">
        <v>1775845806</v>
      </c>
      <c r="B71" t="s">
        <v>16</v>
      </c>
      <c r="C71" t="s">
        <v>17</v>
      </c>
      <c r="D71">
        <v>4768.22</v>
      </c>
      <c r="E71" t="s">
        <v>20</v>
      </c>
      <c r="F71">
        <v>4773.08</v>
      </c>
      <c r="G71">
        <v>4747.5</v>
      </c>
      <c r="H71">
        <v>4794.96</v>
      </c>
      <c r="I71">
        <v>4730.8100000000004</v>
      </c>
      <c r="J71">
        <v>4777.3100000000004</v>
      </c>
      <c r="K71">
        <v>4750.74</v>
      </c>
      <c r="L71">
        <v>25.58</v>
      </c>
      <c r="M71">
        <v>0.54</v>
      </c>
      <c r="N71">
        <v>0</v>
      </c>
      <c r="O71">
        <v>10</v>
      </c>
      <c r="P71" t="s">
        <v>21</v>
      </c>
      <c r="R71">
        <v>1775845806</v>
      </c>
      <c r="S71" t="s">
        <v>16</v>
      </c>
      <c r="T71" t="s">
        <v>17</v>
      </c>
      <c r="U71">
        <v>4768.22</v>
      </c>
      <c r="V71" t="s">
        <v>20</v>
      </c>
      <c r="W71">
        <v>4773.08</v>
      </c>
      <c r="X71">
        <v>25.58</v>
      </c>
      <c r="Y71">
        <v>0.54</v>
      </c>
      <c r="Z71">
        <v>0</v>
      </c>
      <c r="AA71">
        <v>10</v>
      </c>
      <c r="AB71">
        <v>0</v>
      </c>
      <c r="AC71">
        <v>2.5579999999999998</v>
      </c>
      <c r="AD71">
        <v>0</v>
      </c>
      <c r="AE71">
        <v>68.647999999999996</v>
      </c>
      <c r="AF71" t="s">
        <v>21</v>
      </c>
      <c r="AH71" t="b">
        <f t="shared" si="20"/>
        <v>1</v>
      </c>
      <c r="AI71" t="b">
        <f t="shared" si="21"/>
        <v>1</v>
      </c>
      <c r="AJ71" t="b">
        <f t="shared" si="22"/>
        <v>1</v>
      </c>
      <c r="AK71" t="b">
        <f t="shared" si="23"/>
        <v>1</v>
      </c>
      <c r="AL71" t="b">
        <f t="shared" si="24"/>
        <v>1</v>
      </c>
      <c r="AM71" t="b">
        <f t="shared" si="25"/>
        <v>1</v>
      </c>
      <c r="AN71" t="b">
        <f t="shared" si="26"/>
        <v>1</v>
      </c>
      <c r="AO71" t="b">
        <f t="shared" si="27"/>
        <v>1</v>
      </c>
      <c r="AP71" t="b">
        <f t="shared" si="28"/>
        <v>1</v>
      </c>
      <c r="AQ71" t="b">
        <f t="shared" si="29"/>
        <v>1</v>
      </c>
    </row>
    <row r="72" spans="1:43" x14ac:dyDescent="0.55000000000000004">
      <c r="A72">
        <v>1776031206</v>
      </c>
      <c r="B72" t="s">
        <v>16</v>
      </c>
      <c r="C72" t="s">
        <v>17</v>
      </c>
      <c r="D72">
        <v>4676.5200000000004</v>
      </c>
      <c r="E72" t="s">
        <v>18</v>
      </c>
      <c r="F72">
        <v>4638.7</v>
      </c>
      <c r="G72">
        <v>4773.08</v>
      </c>
      <c r="H72">
        <v>4747.5</v>
      </c>
      <c r="I72">
        <v>4794.96</v>
      </c>
      <c r="J72">
        <v>4730.8100000000004</v>
      </c>
      <c r="K72">
        <v>4777.3100000000004</v>
      </c>
      <c r="L72">
        <v>-134.38</v>
      </c>
      <c r="M72">
        <v>-2.82</v>
      </c>
      <c r="N72">
        <v>3</v>
      </c>
      <c r="O72">
        <v>10</v>
      </c>
      <c r="P72" t="s">
        <v>19</v>
      </c>
      <c r="R72">
        <v>1776031206</v>
      </c>
      <c r="S72" t="s">
        <v>16</v>
      </c>
      <c r="T72" t="s">
        <v>17</v>
      </c>
      <c r="U72">
        <v>4676.5200000000004</v>
      </c>
      <c r="V72" t="s">
        <v>18</v>
      </c>
      <c r="W72">
        <v>4638.7</v>
      </c>
      <c r="X72">
        <v>-134.38</v>
      </c>
      <c r="Y72">
        <v>-2.82</v>
      </c>
      <c r="Z72">
        <v>3</v>
      </c>
      <c r="AA72">
        <v>10</v>
      </c>
      <c r="AB72">
        <v>3</v>
      </c>
      <c r="AC72">
        <v>-13.438000000000001</v>
      </c>
      <c r="AD72">
        <v>3</v>
      </c>
      <c r="AE72">
        <v>-85.744100000000003</v>
      </c>
      <c r="AF72" t="s">
        <v>19</v>
      </c>
      <c r="AH72" t="b">
        <f t="shared" si="20"/>
        <v>1</v>
      </c>
      <c r="AI72" t="b">
        <f t="shared" si="21"/>
        <v>1</v>
      </c>
      <c r="AJ72" t="b">
        <f t="shared" si="22"/>
        <v>1</v>
      </c>
      <c r="AK72" t="b">
        <f t="shared" si="23"/>
        <v>1</v>
      </c>
      <c r="AL72" t="b">
        <f t="shared" si="24"/>
        <v>1</v>
      </c>
      <c r="AM72" t="b">
        <f t="shared" si="25"/>
        <v>1</v>
      </c>
      <c r="AN72" t="b">
        <f t="shared" si="26"/>
        <v>1</v>
      </c>
      <c r="AO72" t="b">
        <f t="shared" si="27"/>
        <v>1</v>
      </c>
      <c r="AP72" t="b">
        <f t="shared" si="28"/>
        <v>1</v>
      </c>
      <c r="AQ72" t="b">
        <f t="shared" si="29"/>
        <v>1</v>
      </c>
    </row>
    <row r="73" spans="1:43" x14ac:dyDescent="0.55000000000000004">
      <c r="A73">
        <v>1776044706</v>
      </c>
      <c r="B73" t="s">
        <v>16</v>
      </c>
      <c r="C73" t="s">
        <v>17</v>
      </c>
      <c r="D73">
        <v>4721.37</v>
      </c>
      <c r="E73" t="s">
        <v>20</v>
      </c>
      <c r="F73">
        <v>4728.3599999999997</v>
      </c>
      <c r="G73">
        <v>4638.7</v>
      </c>
      <c r="H73">
        <v>4773.08</v>
      </c>
      <c r="I73">
        <v>4747.5</v>
      </c>
      <c r="J73">
        <v>4794.96</v>
      </c>
      <c r="K73">
        <v>4730.8100000000004</v>
      </c>
      <c r="L73">
        <v>89.66</v>
      </c>
      <c r="M73">
        <v>1.93</v>
      </c>
      <c r="N73">
        <v>0</v>
      </c>
      <c r="O73">
        <v>15</v>
      </c>
      <c r="P73" t="s">
        <v>21</v>
      </c>
      <c r="R73">
        <v>1776044706</v>
      </c>
      <c r="S73" t="s">
        <v>16</v>
      </c>
      <c r="T73" t="s">
        <v>17</v>
      </c>
      <c r="U73">
        <v>4721.37</v>
      </c>
      <c r="V73" t="s">
        <v>20</v>
      </c>
      <c r="W73">
        <v>4728.3599999999997</v>
      </c>
      <c r="X73">
        <v>89.66</v>
      </c>
      <c r="Y73">
        <v>1.93</v>
      </c>
      <c r="Z73">
        <v>0</v>
      </c>
      <c r="AA73">
        <v>15</v>
      </c>
      <c r="AB73">
        <v>0</v>
      </c>
      <c r="AC73">
        <v>5.9773300000000003</v>
      </c>
      <c r="AD73">
        <v>0</v>
      </c>
      <c r="AE73">
        <v>80.502399999999994</v>
      </c>
      <c r="AF73" t="s">
        <v>21</v>
      </c>
      <c r="AH73" t="b">
        <f t="shared" si="20"/>
        <v>1</v>
      </c>
      <c r="AI73" t="b">
        <f t="shared" si="21"/>
        <v>1</v>
      </c>
      <c r="AJ73" t="b">
        <f t="shared" si="22"/>
        <v>1</v>
      </c>
      <c r="AK73" t="b">
        <f t="shared" si="23"/>
        <v>1</v>
      </c>
      <c r="AL73" t="b">
        <f t="shared" si="24"/>
        <v>1</v>
      </c>
      <c r="AM73" t="b">
        <f t="shared" si="25"/>
        <v>1</v>
      </c>
      <c r="AN73" t="b">
        <f t="shared" si="26"/>
        <v>1</v>
      </c>
      <c r="AO73" t="b">
        <f t="shared" si="27"/>
        <v>1</v>
      </c>
      <c r="AP73" t="b">
        <f t="shared" si="28"/>
        <v>1</v>
      </c>
      <c r="AQ73" t="b">
        <f t="shared" si="29"/>
        <v>1</v>
      </c>
    </row>
    <row r="74" spans="1:43" x14ac:dyDescent="0.55000000000000004">
      <c r="A74">
        <v>1776052806</v>
      </c>
      <c r="B74" t="s">
        <v>16</v>
      </c>
      <c r="C74" t="s">
        <v>17</v>
      </c>
      <c r="D74">
        <v>4714.72</v>
      </c>
      <c r="E74" t="s">
        <v>18</v>
      </c>
      <c r="F74">
        <v>4708.62</v>
      </c>
      <c r="G74">
        <v>4728.3599999999997</v>
      </c>
      <c r="H74">
        <v>4638.7</v>
      </c>
      <c r="I74">
        <v>4773.08</v>
      </c>
      <c r="J74">
        <v>4747.5</v>
      </c>
      <c r="K74">
        <v>4794.96</v>
      </c>
      <c r="L74">
        <v>-19.739999999999998</v>
      </c>
      <c r="M74">
        <v>-0.42</v>
      </c>
      <c r="N74">
        <v>3</v>
      </c>
      <c r="O74">
        <v>9</v>
      </c>
      <c r="P74" t="s">
        <v>22</v>
      </c>
      <c r="R74">
        <v>1776052806</v>
      </c>
      <c r="S74" t="s">
        <v>16</v>
      </c>
      <c r="T74" t="s">
        <v>17</v>
      </c>
      <c r="U74">
        <v>4714.72</v>
      </c>
      <c r="V74" t="s">
        <v>18</v>
      </c>
      <c r="W74">
        <v>4708.62</v>
      </c>
      <c r="X74">
        <v>-19.739999999999998</v>
      </c>
      <c r="Y74">
        <v>-0.42</v>
      </c>
      <c r="Z74">
        <v>3</v>
      </c>
      <c r="AA74">
        <v>9</v>
      </c>
      <c r="AB74">
        <v>3</v>
      </c>
      <c r="AC74">
        <v>-2.19333</v>
      </c>
      <c r="AD74">
        <v>3</v>
      </c>
      <c r="AE74">
        <v>-65.490499999999997</v>
      </c>
      <c r="AF74" t="s">
        <v>22</v>
      </c>
      <c r="AH74" t="b">
        <f t="shared" si="20"/>
        <v>1</v>
      </c>
      <c r="AI74" t="b">
        <f t="shared" si="21"/>
        <v>1</v>
      </c>
      <c r="AJ74" t="b">
        <f t="shared" si="22"/>
        <v>1</v>
      </c>
      <c r="AK74" t="b">
        <f t="shared" si="23"/>
        <v>1</v>
      </c>
      <c r="AL74" t="b">
        <f t="shared" si="24"/>
        <v>1</v>
      </c>
      <c r="AM74" t="b">
        <f t="shared" si="25"/>
        <v>1</v>
      </c>
      <c r="AN74" t="b">
        <f t="shared" si="26"/>
        <v>1</v>
      </c>
      <c r="AO74" t="b">
        <f t="shared" si="27"/>
        <v>1</v>
      </c>
      <c r="AP74" t="b">
        <f t="shared" si="28"/>
        <v>1</v>
      </c>
      <c r="AQ74" t="b">
        <f t="shared" si="29"/>
        <v>1</v>
      </c>
    </row>
    <row r="75" spans="1:43" x14ac:dyDescent="0.55000000000000004">
      <c r="A75">
        <v>1776066306</v>
      </c>
      <c r="B75" t="s">
        <v>16</v>
      </c>
      <c r="C75" t="s">
        <v>17</v>
      </c>
      <c r="D75">
        <v>4733.67</v>
      </c>
      <c r="E75" t="s">
        <v>20</v>
      </c>
      <c r="F75">
        <v>4740.01</v>
      </c>
      <c r="G75">
        <v>4708.62</v>
      </c>
      <c r="H75">
        <v>4728.3599999999997</v>
      </c>
      <c r="I75">
        <v>4638.7</v>
      </c>
      <c r="J75">
        <v>4773.08</v>
      </c>
      <c r="K75">
        <v>4747.5</v>
      </c>
      <c r="L75">
        <v>31.39</v>
      </c>
      <c r="M75">
        <v>0.67</v>
      </c>
      <c r="N75">
        <v>0</v>
      </c>
      <c r="O75">
        <v>15</v>
      </c>
      <c r="P75" t="s">
        <v>23</v>
      </c>
      <c r="R75">
        <v>1776066306</v>
      </c>
      <c r="S75" t="s">
        <v>16</v>
      </c>
      <c r="T75" t="s">
        <v>17</v>
      </c>
      <c r="U75">
        <v>4733.67</v>
      </c>
      <c r="V75" t="s">
        <v>20</v>
      </c>
      <c r="W75">
        <v>4740.01</v>
      </c>
      <c r="X75">
        <v>31.39</v>
      </c>
      <c r="Y75">
        <v>0.67</v>
      </c>
      <c r="Z75">
        <v>0</v>
      </c>
      <c r="AA75">
        <v>15</v>
      </c>
      <c r="AB75">
        <v>0</v>
      </c>
      <c r="AC75">
        <v>2.09267</v>
      </c>
      <c r="AD75">
        <v>0</v>
      </c>
      <c r="AE75">
        <v>64.458799999999997</v>
      </c>
      <c r="AF75" t="s">
        <v>23</v>
      </c>
      <c r="AH75" t="b">
        <f t="shared" si="20"/>
        <v>1</v>
      </c>
      <c r="AI75" t="b">
        <f t="shared" si="21"/>
        <v>1</v>
      </c>
      <c r="AJ75" t="b">
        <f t="shared" si="22"/>
        <v>1</v>
      </c>
      <c r="AK75" t="b">
        <f t="shared" si="23"/>
        <v>1</v>
      </c>
      <c r="AL75" t="b">
        <f t="shared" si="24"/>
        <v>1</v>
      </c>
      <c r="AM75" t="b">
        <f t="shared" si="25"/>
        <v>1</v>
      </c>
      <c r="AN75" t="b">
        <f t="shared" si="26"/>
        <v>1</v>
      </c>
      <c r="AO75" t="b">
        <f t="shared" si="27"/>
        <v>1</v>
      </c>
      <c r="AP75" t="b">
        <f t="shared" si="28"/>
        <v>1</v>
      </c>
      <c r="AQ75" t="b">
        <f t="shared" si="29"/>
        <v>1</v>
      </c>
    </row>
    <row r="76" spans="1:43" x14ac:dyDescent="0.55000000000000004">
      <c r="A76">
        <v>1776080706</v>
      </c>
      <c r="B76" t="s">
        <v>16</v>
      </c>
      <c r="C76" t="s">
        <v>17</v>
      </c>
      <c r="D76">
        <v>4706.83</v>
      </c>
      <c r="E76" t="s">
        <v>18</v>
      </c>
      <c r="F76">
        <v>4703.7700000000004</v>
      </c>
      <c r="G76">
        <v>4740.01</v>
      </c>
      <c r="H76">
        <v>4708.62</v>
      </c>
      <c r="I76">
        <v>4728.3599999999997</v>
      </c>
      <c r="J76">
        <v>4638.7</v>
      </c>
      <c r="K76">
        <v>4773.08</v>
      </c>
      <c r="L76">
        <v>-36.24</v>
      </c>
      <c r="M76">
        <v>-0.76</v>
      </c>
      <c r="N76">
        <v>3</v>
      </c>
      <c r="O76">
        <v>16</v>
      </c>
      <c r="P76" t="s">
        <v>19</v>
      </c>
      <c r="R76">
        <v>1776080706</v>
      </c>
      <c r="S76" t="s">
        <v>16</v>
      </c>
      <c r="T76" t="s">
        <v>17</v>
      </c>
      <c r="U76">
        <v>4706.83</v>
      </c>
      <c r="V76" t="s">
        <v>18</v>
      </c>
      <c r="W76">
        <v>4703.7700000000004</v>
      </c>
      <c r="X76">
        <v>-36.24</v>
      </c>
      <c r="Y76">
        <v>-0.76</v>
      </c>
      <c r="Z76">
        <v>3</v>
      </c>
      <c r="AA76">
        <v>16</v>
      </c>
      <c r="AB76">
        <v>3</v>
      </c>
      <c r="AC76">
        <v>-2.2650000000000001</v>
      </c>
      <c r="AD76">
        <v>3</v>
      </c>
      <c r="AE76">
        <v>-66.1785</v>
      </c>
      <c r="AF76" t="s">
        <v>19</v>
      </c>
      <c r="AH76" t="b">
        <f t="shared" si="20"/>
        <v>1</v>
      </c>
      <c r="AI76" t="b">
        <f t="shared" si="21"/>
        <v>1</v>
      </c>
      <c r="AJ76" t="b">
        <f t="shared" si="22"/>
        <v>1</v>
      </c>
      <c r="AK76" t="b">
        <f t="shared" si="23"/>
        <v>1</v>
      </c>
      <c r="AL76" t="b">
        <f t="shared" si="24"/>
        <v>1</v>
      </c>
      <c r="AM76" t="b">
        <f t="shared" si="25"/>
        <v>1</v>
      </c>
      <c r="AN76" t="b">
        <f t="shared" si="26"/>
        <v>1</v>
      </c>
      <c r="AO76" t="b">
        <f t="shared" si="27"/>
        <v>1</v>
      </c>
      <c r="AP76" t="b">
        <f t="shared" si="28"/>
        <v>1</v>
      </c>
      <c r="AQ76" t="b">
        <f t="shared" si="29"/>
        <v>1</v>
      </c>
    </row>
    <row r="77" spans="1:43" x14ac:dyDescent="0.55000000000000004">
      <c r="A77">
        <v>1776087906</v>
      </c>
      <c r="B77" t="s">
        <v>16</v>
      </c>
      <c r="C77" t="s">
        <v>17</v>
      </c>
      <c r="D77">
        <v>4730.5600000000004</v>
      </c>
      <c r="E77" t="s">
        <v>20</v>
      </c>
      <c r="F77">
        <v>4744.59</v>
      </c>
      <c r="G77">
        <v>4703.7700000000004</v>
      </c>
      <c r="H77">
        <v>4740.01</v>
      </c>
      <c r="I77">
        <v>4708.62</v>
      </c>
      <c r="J77">
        <v>4728.3599999999997</v>
      </c>
      <c r="K77">
        <v>4638.7</v>
      </c>
      <c r="L77">
        <v>40.82</v>
      </c>
      <c r="M77">
        <v>0.87</v>
      </c>
      <c r="N77">
        <v>0</v>
      </c>
      <c r="O77">
        <v>8</v>
      </c>
      <c r="P77" t="s">
        <v>23</v>
      </c>
      <c r="R77">
        <v>1776087906</v>
      </c>
      <c r="S77" t="s">
        <v>16</v>
      </c>
      <c r="T77" t="s">
        <v>17</v>
      </c>
      <c r="U77">
        <v>4730.5600000000004</v>
      </c>
      <c r="V77" t="s">
        <v>20</v>
      </c>
      <c r="W77">
        <v>4744.59</v>
      </c>
      <c r="X77">
        <v>40.82</v>
      </c>
      <c r="Y77">
        <v>0.87</v>
      </c>
      <c r="Z77">
        <v>0</v>
      </c>
      <c r="AA77">
        <v>8</v>
      </c>
      <c r="AB77">
        <v>0</v>
      </c>
      <c r="AC77">
        <v>5.1025</v>
      </c>
      <c r="AD77">
        <v>0</v>
      </c>
      <c r="AE77">
        <v>78.911600000000007</v>
      </c>
      <c r="AF77" t="s">
        <v>23</v>
      </c>
      <c r="AH77" t="b">
        <f t="shared" si="20"/>
        <v>1</v>
      </c>
      <c r="AI77" t="b">
        <f t="shared" si="21"/>
        <v>1</v>
      </c>
      <c r="AJ77" t="b">
        <f t="shared" si="22"/>
        <v>1</v>
      </c>
      <c r="AK77" t="b">
        <f t="shared" si="23"/>
        <v>1</v>
      </c>
      <c r="AL77" t="b">
        <f t="shared" si="24"/>
        <v>1</v>
      </c>
      <c r="AM77" t="b">
        <f t="shared" si="25"/>
        <v>1</v>
      </c>
      <c r="AN77" t="b">
        <f t="shared" si="26"/>
        <v>1</v>
      </c>
      <c r="AO77" t="b">
        <f t="shared" si="27"/>
        <v>1</v>
      </c>
      <c r="AP77" t="b">
        <f t="shared" si="28"/>
        <v>1</v>
      </c>
      <c r="AQ77" t="b">
        <f t="shared" si="29"/>
        <v>1</v>
      </c>
    </row>
    <row r="78" spans="1:43" x14ac:dyDescent="0.55000000000000004">
      <c r="A78">
        <v>1776092406</v>
      </c>
      <c r="B78" t="s">
        <v>16</v>
      </c>
      <c r="C78" t="s">
        <v>17</v>
      </c>
      <c r="D78">
        <v>4707.72</v>
      </c>
      <c r="E78" t="s">
        <v>18</v>
      </c>
      <c r="F78">
        <v>4700.51</v>
      </c>
      <c r="G78">
        <v>4744.59</v>
      </c>
      <c r="H78">
        <v>4703.7700000000004</v>
      </c>
      <c r="I78">
        <v>4740.01</v>
      </c>
      <c r="J78">
        <v>4708.62</v>
      </c>
      <c r="K78">
        <v>4728.3599999999997</v>
      </c>
      <c r="L78">
        <v>-44.08</v>
      </c>
      <c r="M78">
        <v>-0.93</v>
      </c>
      <c r="N78">
        <v>3</v>
      </c>
      <c r="O78">
        <v>5</v>
      </c>
      <c r="P78" t="s">
        <v>19</v>
      </c>
      <c r="R78">
        <v>1776092406</v>
      </c>
      <c r="S78" t="s">
        <v>16</v>
      </c>
      <c r="T78" t="s">
        <v>17</v>
      </c>
      <c r="U78">
        <v>4707.72</v>
      </c>
      <c r="V78" t="s">
        <v>18</v>
      </c>
      <c r="W78">
        <v>4700.51</v>
      </c>
      <c r="X78">
        <v>-44.08</v>
      </c>
      <c r="Y78">
        <v>-0.93</v>
      </c>
      <c r="Z78">
        <v>3</v>
      </c>
      <c r="AA78">
        <v>5</v>
      </c>
      <c r="AB78">
        <v>3</v>
      </c>
      <c r="AC78">
        <v>-8.8160000000000007</v>
      </c>
      <c r="AD78">
        <v>3</v>
      </c>
      <c r="AE78">
        <v>-83.528599999999997</v>
      </c>
      <c r="AF78" t="s">
        <v>19</v>
      </c>
      <c r="AH78" t="b">
        <f t="shared" si="20"/>
        <v>1</v>
      </c>
      <c r="AI78" t="b">
        <f t="shared" si="21"/>
        <v>1</v>
      </c>
      <c r="AJ78" t="b">
        <f t="shared" si="22"/>
        <v>1</v>
      </c>
      <c r="AK78" t="b">
        <f t="shared" si="23"/>
        <v>1</v>
      </c>
      <c r="AL78" t="b">
        <f t="shared" si="24"/>
        <v>1</v>
      </c>
      <c r="AM78" t="b">
        <f t="shared" si="25"/>
        <v>1</v>
      </c>
      <c r="AN78" t="b">
        <f t="shared" si="26"/>
        <v>1</v>
      </c>
      <c r="AO78" t="b">
        <f t="shared" si="27"/>
        <v>1</v>
      </c>
      <c r="AP78" t="b">
        <f t="shared" si="28"/>
        <v>1</v>
      </c>
      <c r="AQ78" t="b">
        <f t="shared" si="29"/>
        <v>1</v>
      </c>
    </row>
    <row r="79" spans="1:43" x14ac:dyDescent="0.55000000000000004">
      <c r="A79">
        <v>1776134706</v>
      </c>
      <c r="B79" t="s">
        <v>16</v>
      </c>
      <c r="C79" t="s">
        <v>17</v>
      </c>
      <c r="D79">
        <v>4775.32</v>
      </c>
      <c r="E79" t="s">
        <v>20</v>
      </c>
      <c r="F79">
        <v>4777.24</v>
      </c>
      <c r="G79">
        <v>4700.51</v>
      </c>
      <c r="H79">
        <v>4744.59</v>
      </c>
      <c r="I79">
        <v>4703.7700000000004</v>
      </c>
      <c r="J79">
        <v>4740.01</v>
      </c>
      <c r="K79">
        <v>4708.62</v>
      </c>
      <c r="L79">
        <v>76.73</v>
      </c>
      <c r="M79">
        <v>1.63</v>
      </c>
      <c r="N79">
        <v>0</v>
      </c>
      <c r="O79">
        <v>43</v>
      </c>
      <c r="P79" t="s">
        <v>23</v>
      </c>
      <c r="R79">
        <v>1776134706</v>
      </c>
      <c r="S79" t="s">
        <v>16</v>
      </c>
      <c r="T79" t="s">
        <v>17</v>
      </c>
      <c r="U79">
        <v>4775.32</v>
      </c>
      <c r="V79" t="s">
        <v>20</v>
      </c>
      <c r="W79">
        <v>4777.24</v>
      </c>
      <c r="X79">
        <v>76.73</v>
      </c>
      <c r="Y79">
        <v>1.63</v>
      </c>
      <c r="Z79">
        <v>0</v>
      </c>
      <c r="AA79">
        <v>43</v>
      </c>
      <c r="AB79">
        <v>1</v>
      </c>
      <c r="AC79">
        <v>1.7844199999999999</v>
      </c>
      <c r="AD79">
        <v>0</v>
      </c>
      <c r="AE79">
        <v>60.733400000000003</v>
      </c>
      <c r="AF79" t="s">
        <v>23</v>
      </c>
      <c r="AH79" t="b">
        <f t="shared" si="20"/>
        <v>1</v>
      </c>
      <c r="AI79" t="b">
        <f t="shared" si="21"/>
        <v>1</v>
      </c>
      <c r="AJ79" t="b">
        <f t="shared" si="22"/>
        <v>1</v>
      </c>
      <c r="AK79" t="b">
        <f t="shared" si="23"/>
        <v>1</v>
      </c>
      <c r="AL79" t="b">
        <f t="shared" si="24"/>
        <v>1</v>
      </c>
      <c r="AM79" t="b">
        <f t="shared" si="25"/>
        <v>1</v>
      </c>
      <c r="AN79" t="b">
        <f t="shared" si="26"/>
        <v>1</v>
      </c>
      <c r="AO79" t="b">
        <f t="shared" si="27"/>
        <v>1</v>
      </c>
      <c r="AP79" t="b">
        <f t="shared" si="28"/>
        <v>1</v>
      </c>
      <c r="AQ79" t="b">
        <f t="shared" si="29"/>
        <v>1</v>
      </c>
    </row>
    <row r="80" spans="1:43" x14ac:dyDescent="0.55000000000000004">
      <c r="A80">
        <v>1776144606</v>
      </c>
      <c r="B80" t="s">
        <v>16</v>
      </c>
      <c r="C80" t="s">
        <v>17</v>
      </c>
      <c r="D80">
        <v>4761.1899999999996</v>
      </c>
      <c r="E80" t="s">
        <v>18</v>
      </c>
      <c r="F80">
        <v>4757.92</v>
      </c>
      <c r="G80">
        <v>4777.24</v>
      </c>
      <c r="H80">
        <v>4700.51</v>
      </c>
      <c r="I80">
        <v>4744.59</v>
      </c>
      <c r="J80">
        <v>4703.7700000000004</v>
      </c>
      <c r="K80">
        <v>4740.01</v>
      </c>
      <c r="L80">
        <v>-19.32</v>
      </c>
      <c r="M80">
        <v>-0.4</v>
      </c>
      <c r="N80">
        <v>3</v>
      </c>
      <c r="O80">
        <v>11</v>
      </c>
      <c r="P80" t="s">
        <v>22</v>
      </c>
      <c r="R80">
        <v>1776144606</v>
      </c>
      <c r="S80" t="s">
        <v>16</v>
      </c>
      <c r="T80" t="s">
        <v>17</v>
      </c>
      <c r="U80">
        <v>4761.1899999999996</v>
      </c>
      <c r="V80" t="s">
        <v>18</v>
      </c>
      <c r="W80">
        <v>4757.92</v>
      </c>
      <c r="X80">
        <v>-19.32</v>
      </c>
      <c r="Y80">
        <v>-0.4</v>
      </c>
      <c r="Z80">
        <v>3</v>
      </c>
      <c r="AA80">
        <v>11</v>
      </c>
      <c r="AB80">
        <v>3</v>
      </c>
      <c r="AC80">
        <v>-1.7563599999999999</v>
      </c>
      <c r="AD80">
        <v>3</v>
      </c>
      <c r="AE80">
        <v>-60.3446</v>
      </c>
      <c r="AF80" t="s">
        <v>22</v>
      </c>
      <c r="AH80" t="b">
        <f t="shared" si="20"/>
        <v>1</v>
      </c>
      <c r="AI80" t="b">
        <f t="shared" si="21"/>
        <v>1</v>
      </c>
      <c r="AJ80" t="b">
        <f t="shared" si="22"/>
        <v>1</v>
      </c>
      <c r="AK80" t="b">
        <f t="shared" si="23"/>
        <v>1</v>
      </c>
      <c r="AL80" t="b">
        <f t="shared" si="24"/>
        <v>1</v>
      </c>
      <c r="AM80" t="b">
        <f t="shared" si="25"/>
        <v>1</v>
      </c>
      <c r="AN80" t="b">
        <f t="shared" si="26"/>
        <v>1</v>
      </c>
      <c r="AO80" t="b">
        <f t="shared" si="27"/>
        <v>1</v>
      </c>
      <c r="AP80" t="b">
        <f t="shared" si="28"/>
        <v>1</v>
      </c>
      <c r="AQ80" t="b">
        <f t="shared" si="29"/>
        <v>1</v>
      </c>
    </row>
    <row r="81" spans="1:43" x14ac:dyDescent="0.55000000000000004">
      <c r="A81">
        <v>1776150006</v>
      </c>
      <c r="B81" t="s">
        <v>16</v>
      </c>
      <c r="C81" t="s">
        <v>17</v>
      </c>
      <c r="D81">
        <v>4790.2</v>
      </c>
      <c r="E81" t="s">
        <v>20</v>
      </c>
      <c r="F81">
        <v>4796.16</v>
      </c>
      <c r="G81">
        <v>4757.92</v>
      </c>
      <c r="H81">
        <v>4777.24</v>
      </c>
      <c r="I81">
        <v>4700.51</v>
      </c>
      <c r="J81">
        <v>4744.59</v>
      </c>
      <c r="K81">
        <v>4703.7700000000004</v>
      </c>
      <c r="L81">
        <v>38.24</v>
      </c>
      <c r="M81">
        <v>0.8</v>
      </c>
      <c r="N81">
        <v>0</v>
      </c>
      <c r="O81">
        <v>6</v>
      </c>
      <c r="P81" t="s">
        <v>23</v>
      </c>
      <c r="R81">
        <v>1776150006</v>
      </c>
      <c r="S81" t="s">
        <v>16</v>
      </c>
      <c r="T81" t="s">
        <v>17</v>
      </c>
      <c r="U81">
        <v>4790.2</v>
      </c>
      <c r="V81" t="s">
        <v>20</v>
      </c>
      <c r="W81">
        <v>4796.16</v>
      </c>
      <c r="X81">
        <v>38.24</v>
      </c>
      <c r="Y81">
        <v>0.8</v>
      </c>
      <c r="Z81">
        <v>0</v>
      </c>
      <c r="AA81">
        <v>6</v>
      </c>
      <c r="AB81">
        <v>0</v>
      </c>
      <c r="AC81">
        <v>6.3733300000000002</v>
      </c>
      <c r="AD81">
        <v>0</v>
      </c>
      <c r="AE81">
        <v>81.082800000000006</v>
      </c>
      <c r="AF81" t="s">
        <v>23</v>
      </c>
      <c r="AH81" t="b">
        <f t="shared" si="20"/>
        <v>1</v>
      </c>
      <c r="AI81" t="b">
        <f t="shared" si="21"/>
        <v>1</v>
      </c>
      <c r="AJ81" t="b">
        <f t="shared" si="22"/>
        <v>1</v>
      </c>
      <c r="AK81" t="b">
        <f t="shared" si="23"/>
        <v>1</v>
      </c>
      <c r="AL81" t="b">
        <f t="shared" si="24"/>
        <v>1</v>
      </c>
      <c r="AM81" t="b">
        <f t="shared" si="25"/>
        <v>1</v>
      </c>
      <c r="AN81" t="b">
        <f t="shared" si="26"/>
        <v>1</v>
      </c>
      <c r="AO81" t="b">
        <f t="shared" si="27"/>
        <v>1</v>
      </c>
      <c r="AP81" t="b">
        <f t="shared" si="28"/>
        <v>1</v>
      </c>
      <c r="AQ81" t="b">
        <f t="shared" si="29"/>
        <v>1</v>
      </c>
    </row>
    <row r="82" spans="1:43" x14ac:dyDescent="0.55000000000000004">
      <c r="A82">
        <v>1776162606</v>
      </c>
      <c r="B82" t="s">
        <v>16</v>
      </c>
      <c r="C82" t="s">
        <v>17</v>
      </c>
      <c r="D82">
        <v>4767.71</v>
      </c>
      <c r="E82" t="s">
        <v>18</v>
      </c>
      <c r="F82">
        <v>4752.6000000000004</v>
      </c>
      <c r="G82">
        <v>4796.16</v>
      </c>
      <c r="H82">
        <v>4757.92</v>
      </c>
      <c r="I82">
        <v>4777.24</v>
      </c>
      <c r="J82">
        <v>4700.51</v>
      </c>
      <c r="K82">
        <v>4744.59</v>
      </c>
      <c r="L82">
        <v>-43.56</v>
      </c>
      <c r="M82">
        <v>-0.91</v>
      </c>
      <c r="N82">
        <v>3</v>
      </c>
      <c r="O82">
        <v>14</v>
      </c>
      <c r="P82" t="s">
        <v>19</v>
      </c>
      <c r="R82">
        <v>1776162606</v>
      </c>
      <c r="S82" t="s">
        <v>16</v>
      </c>
      <c r="T82" t="s">
        <v>17</v>
      </c>
      <c r="U82">
        <v>4767.71</v>
      </c>
      <c r="V82" t="s">
        <v>18</v>
      </c>
      <c r="W82">
        <v>4752.6000000000004</v>
      </c>
      <c r="X82">
        <v>-43.56</v>
      </c>
      <c r="Y82">
        <v>-0.91</v>
      </c>
      <c r="Z82">
        <v>3</v>
      </c>
      <c r="AA82">
        <v>14</v>
      </c>
      <c r="AB82">
        <v>3</v>
      </c>
      <c r="AC82">
        <v>-3.1114299999999999</v>
      </c>
      <c r="AD82">
        <v>3</v>
      </c>
      <c r="AE82">
        <v>-72.1828</v>
      </c>
      <c r="AF82" t="s">
        <v>19</v>
      </c>
      <c r="AH82" t="b">
        <f t="shared" si="20"/>
        <v>1</v>
      </c>
      <c r="AI82" t="b">
        <f t="shared" si="21"/>
        <v>1</v>
      </c>
      <c r="AJ82" t="b">
        <f t="shared" si="22"/>
        <v>1</v>
      </c>
      <c r="AK82" t="b">
        <f t="shared" si="23"/>
        <v>1</v>
      </c>
      <c r="AL82" t="b">
        <f t="shared" si="24"/>
        <v>1</v>
      </c>
      <c r="AM82" t="b">
        <f t="shared" si="25"/>
        <v>1</v>
      </c>
      <c r="AN82" t="b">
        <f t="shared" si="26"/>
        <v>1</v>
      </c>
      <c r="AO82" t="b">
        <f t="shared" si="27"/>
        <v>1</v>
      </c>
      <c r="AP82" t="b">
        <f t="shared" si="28"/>
        <v>1</v>
      </c>
      <c r="AQ82" t="b">
        <f t="shared" si="29"/>
        <v>1</v>
      </c>
    </row>
    <row r="83" spans="1:43" x14ac:dyDescent="0.55000000000000004">
      <c r="A83">
        <v>1776204006</v>
      </c>
      <c r="B83" t="s">
        <v>16</v>
      </c>
      <c r="C83" t="s">
        <v>17</v>
      </c>
      <c r="D83">
        <v>4844.74</v>
      </c>
      <c r="E83" t="s">
        <v>20</v>
      </c>
      <c r="F83">
        <v>4850.7700000000004</v>
      </c>
      <c r="G83">
        <v>4752.6000000000004</v>
      </c>
      <c r="H83">
        <v>4796.16</v>
      </c>
      <c r="I83">
        <v>4757.92</v>
      </c>
      <c r="J83">
        <v>4777.24</v>
      </c>
      <c r="K83">
        <v>4700.51</v>
      </c>
      <c r="L83">
        <v>98.17</v>
      </c>
      <c r="M83">
        <v>2.0699999999999998</v>
      </c>
      <c r="N83">
        <v>0</v>
      </c>
      <c r="O83">
        <v>42</v>
      </c>
      <c r="P83" t="s">
        <v>23</v>
      </c>
      <c r="R83">
        <v>1776204006</v>
      </c>
      <c r="S83" t="s">
        <v>16</v>
      </c>
      <c r="T83" t="s">
        <v>17</v>
      </c>
      <c r="U83">
        <v>4844.74</v>
      </c>
      <c r="V83" t="s">
        <v>20</v>
      </c>
      <c r="W83">
        <v>4850.7700000000004</v>
      </c>
      <c r="X83">
        <v>98.17</v>
      </c>
      <c r="Y83">
        <v>2.0699999999999998</v>
      </c>
      <c r="Z83">
        <v>0</v>
      </c>
      <c r="AA83">
        <v>42</v>
      </c>
      <c r="AB83">
        <v>1</v>
      </c>
      <c r="AC83">
        <v>2.33738</v>
      </c>
      <c r="AD83">
        <v>0</v>
      </c>
      <c r="AE83">
        <v>66.837299999999999</v>
      </c>
      <c r="AF83" t="s">
        <v>23</v>
      </c>
      <c r="AH83" t="b">
        <f t="shared" si="20"/>
        <v>1</v>
      </c>
      <c r="AI83" t="b">
        <f t="shared" si="21"/>
        <v>1</v>
      </c>
      <c r="AJ83" t="b">
        <f t="shared" si="22"/>
        <v>1</v>
      </c>
      <c r="AK83" t="b">
        <f t="shared" si="23"/>
        <v>1</v>
      </c>
      <c r="AL83" t="b">
        <f t="shared" si="24"/>
        <v>1</v>
      </c>
      <c r="AM83" t="b">
        <f t="shared" si="25"/>
        <v>1</v>
      </c>
      <c r="AN83" t="b">
        <f t="shared" si="26"/>
        <v>1</v>
      </c>
      <c r="AO83" t="b">
        <f t="shared" si="27"/>
        <v>1</v>
      </c>
      <c r="AP83" t="b">
        <f t="shared" si="28"/>
        <v>1</v>
      </c>
      <c r="AQ83" t="b">
        <f t="shared" si="29"/>
        <v>1</v>
      </c>
    </row>
    <row r="84" spans="1:43" x14ac:dyDescent="0.55000000000000004">
      <c r="A84">
        <v>1776213006</v>
      </c>
      <c r="B84" t="s">
        <v>16</v>
      </c>
      <c r="C84" t="s">
        <v>17</v>
      </c>
      <c r="D84">
        <v>4830.1099999999997</v>
      </c>
      <c r="E84" t="s">
        <v>18</v>
      </c>
      <c r="F84">
        <v>4827.08</v>
      </c>
      <c r="G84">
        <v>4850.7700000000004</v>
      </c>
      <c r="H84">
        <v>4752.6000000000004</v>
      </c>
      <c r="I84">
        <v>4796.16</v>
      </c>
      <c r="J84">
        <v>4757.92</v>
      </c>
      <c r="K84">
        <v>4777.24</v>
      </c>
      <c r="L84">
        <v>-23.69</v>
      </c>
      <c r="M84">
        <v>-0.49</v>
      </c>
      <c r="N84">
        <v>3</v>
      </c>
      <c r="O84">
        <v>10</v>
      </c>
      <c r="P84" t="s">
        <v>22</v>
      </c>
      <c r="R84">
        <v>1776213006</v>
      </c>
      <c r="S84" t="s">
        <v>16</v>
      </c>
      <c r="T84" t="s">
        <v>17</v>
      </c>
      <c r="U84">
        <v>4830.1099999999997</v>
      </c>
      <c r="V84" t="s">
        <v>18</v>
      </c>
      <c r="W84">
        <v>4827.08</v>
      </c>
      <c r="X84">
        <v>-23.69</v>
      </c>
      <c r="Y84">
        <v>-0.49</v>
      </c>
      <c r="Z84">
        <v>3</v>
      </c>
      <c r="AA84">
        <v>10</v>
      </c>
      <c r="AB84">
        <v>3</v>
      </c>
      <c r="AC84">
        <v>-2.3690000000000002</v>
      </c>
      <c r="AD84">
        <v>3</v>
      </c>
      <c r="AE84">
        <v>-67.114500000000007</v>
      </c>
      <c r="AF84" t="s">
        <v>22</v>
      </c>
      <c r="AH84" t="b">
        <f t="shared" si="20"/>
        <v>1</v>
      </c>
      <c r="AI84" t="b">
        <f t="shared" si="21"/>
        <v>1</v>
      </c>
      <c r="AJ84" t="b">
        <f t="shared" si="22"/>
        <v>1</v>
      </c>
      <c r="AK84" t="b">
        <f t="shared" si="23"/>
        <v>1</v>
      </c>
      <c r="AL84" t="b">
        <f t="shared" si="24"/>
        <v>1</v>
      </c>
      <c r="AM84" t="b">
        <f t="shared" si="25"/>
        <v>1</v>
      </c>
      <c r="AN84" t="b">
        <f t="shared" si="26"/>
        <v>1</v>
      </c>
      <c r="AO84" t="b">
        <f t="shared" si="27"/>
        <v>1</v>
      </c>
      <c r="AP84" t="b">
        <f t="shared" si="28"/>
        <v>1</v>
      </c>
      <c r="AQ84" t="b">
        <f t="shared" si="29"/>
        <v>1</v>
      </c>
    </row>
    <row r="85" spans="1:43" x14ac:dyDescent="0.55000000000000004">
      <c r="A85">
        <v>1776215706</v>
      </c>
      <c r="B85" t="s">
        <v>16</v>
      </c>
      <c r="C85" t="s">
        <v>17</v>
      </c>
      <c r="D85">
        <v>4850.79</v>
      </c>
      <c r="E85" t="s">
        <v>20</v>
      </c>
      <c r="F85">
        <v>4871.22</v>
      </c>
      <c r="G85">
        <v>4827.08</v>
      </c>
      <c r="H85">
        <v>4850.7700000000004</v>
      </c>
      <c r="I85">
        <v>4752.6000000000004</v>
      </c>
      <c r="J85">
        <v>4796.16</v>
      </c>
      <c r="K85">
        <v>4757.92</v>
      </c>
      <c r="L85">
        <v>44.14</v>
      </c>
      <c r="M85">
        <v>0.91</v>
      </c>
      <c r="N85">
        <v>0</v>
      </c>
      <c r="O85">
        <v>3</v>
      </c>
      <c r="P85" t="s">
        <v>23</v>
      </c>
      <c r="R85">
        <v>1776215706</v>
      </c>
      <c r="S85" t="s">
        <v>16</v>
      </c>
      <c r="T85" t="s">
        <v>17</v>
      </c>
      <c r="U85">
        <v>4850.79</v>
      </c>
      <c r="V85" t="s">
        <v>20</v>
      </c>
      <c r="W85">
        <v>4871.22</v>
      </c>
      <c r="X85">
        <v>44.14</v>
      </c>
      <c r="Y85">
        <v>0.91</v>
      </c>
      <c r="Z85">
        <v>0</v>
      </c>
      <c r="AA85">
        <v>3</v>
      </c>
      <c r="AB85">
        <v>0</v>
      </c>
      <c r="AC85">
        <v>14.713329999999999</v>
      </c>
      <c r="AD85">
        <v>0</v>
      </c>
      <c r="AE85">
        <v>86.111800000000002</v>
      </c>
      <c r="AF85" t="s">
        <v>23</v>
      </c>
      <c r="AH85" t="b">
        <f t="shared" si="20"/>
        <v>1</v>
      </c>
      <c r="AI85" t="b">
        <f t="shared" si="21"/>
        <v>1</v>
      </c>
      <c r="AJ85" t="b">
        <f t="shared" si="22"/>
        <v>1</v>
      </c>
      <c r="AK85" t="b">
        <f t="shared" si="23"/>
        <v>1</v>
      </c>
      <c r="AL85" t="b">
        <f t="shared" si="24"/>
        <v>1</v>
      </c>
      <c r="AM85" t="b">
        <f t="shared" si="25"/>
        <v>1</v>
      </c>
      <c r="AN85" t="b">
        <f t="shared" si="26"/>
        <v>1</v>
      </c>
      <c r="AO85" t="b">
        <f t="shared" si="27"/>
        <v>1</v>
      </c>
      <c r="AP85" t="b">
        <f t="shared" si="28"/>
        <v>1</v>
      </c>
      <c r="AQ85" t="b">
        <f t="shared" si="29"/>
        <v>1</v>
      </c>
    </row>
    <row r="86" spans="1:43" x14ac:dyDescent="0.55000000000000004">
      <c r="A86">
        <v>1776246306</v>
      </c>
      <c r="B86" t="s">
        <v>16</v>
      </c>
      <c r="C86" t="s">
        <v>17</v>
      </c>
      <c r="D86">
        <v>4798.21</v>
      </c>
      <c r="E86" t="s">
        <v>18</v>
      </c>
      <c r="F86">
        <v>4786.2299999999996</v>
      </c>
      <c r="G86">
        <v>4871.22</v>
      </c>
      <c r="H86">
        <v>4827.08</v>
      </c>
      <c r="I86">
        <v>4850.7700000000004</v>
      </c>
      <c r="J86">
        <v>4752.6000000000004</v>
      </c>
      <c r="K86">
        <v>4796.16</v>
      </c>
      <c r="L86">
        <v>-84.99</v>
      </c>
      <c r="M86">
        <v>-1.74</v>
      </c>
      <c r="N86">
        <v>3</v>
      </c>
      <c r="O86">
        <v>34</v>
      </c>
      <c r="P86" t="s">
        <v>19</v>
      </c>
      <c r="R86">
        <v>1776246306</v>
      </c>
      <c r="S86" t="s">
        <v>16</v>
      </c>
      <c r="T86" t="s">
        <v>17</v>
      </c>
      <c r="U86">
        <v>4798.21</v>
      </c>
      <c r="V86" t="s">
        <v>18</v>
      </c>
      <c r="W86">
        <v>4786.2299999999996</v>
      </c>
      <c r="X86">
        <v>-84.99</v>
      </c>
      <c r="Y86">
        <v>-1.74</v>
      </c>
      <c r="Z86">
        <v>3</v>
      </c>
      <c r="AA86">
        <v>34</v>
      </c>
      <c r="AB86">
        <v>3</v>
      </c>
      <c r="AC86">
        <v>-2.4997099999999999</v>
      </c>
      <c r="AD86">
        <v>3</v>
      </c>
      <c r="AE86">
        <v>-68.196299999999994</v>
      </c>
      <c r="AF86" t="s">
        <v>19</v>
      </c>
      <c r="AH86" t="b">
        <f t="shared" si="20"/>
        <v>1</v>
      </c>
      <c r="AI86" t="b">
        <f t="shared" si="21"/>
        <v>1</v>
      </c>
      <c r="AJ86" t="b">
        <f t="shared" si="22"/>
        <v>1</v>
      </c>
      <c r="AK86" t="b">
        <f t="shared" si="23"/>
        <v>1</v>
      </c>
      <c r="AL86" t="b">
        <f t="shared" si="24"/>
        <v>1</v>
      </c>
      <c r="AM86" t="b">
        <f t="shared" si="25"/>
        <v>1</v>
      </c>
      <c r="AN86" t="b">
        <f t="shared" si="26"/>
        <v>1</v>
      </c>
      <c r="AO86" t="b">
        <f t="shared" si="27"/>
        <v>1</v>
      </c>
      <c r="AP86" t="b">
        <f t="shared" si="28"/>
        <v>1</v>
      </c>
      <c r="AQ86" t="b">
        <f t="shared" si="29"/>
        <v>1</v>
      </c>
    </row>
    <row r="87" spans="1:43" x14ac:dyDescent="0.55000000000000004">
      <c r="A87">
        <v>1776262506</v>
      </c>
      <c r="B87" t="s">
        <v>16</v>
      </c>
      <c r="C87" t="s">
        <v>17</v>
      </c>
      <c r="D87">
        <v>4825.22</v>
      </c>
      <c r="E87" t="s">
        <v>20</v>
      </c>
      <c r="F87">
        <v>4830.3900000000003</v>
      </c>
      <c r="G87">
        <v>4786.2299999999996</v>
      </c>
      <c r="H87">
        <v>4871.22</v>
      </c>
      <c r="I87">
        <v>4827.08</v>
      </c>
      <c r="J87">
        <v>4850.7700000000004</v>
      </c>
      <c r="K87">
        <v>4752.6000000000004</v>
      </c>
      <c r="L87">
        <v>44.16</v>
      </c>
      <c r="M87">
        <v>0.92</v>
      </c>
      <c r="N87">
        <v>0</v>
      </c>
      <c r="O87">
        <v>18</v>
      </c>
      <c r="P87" t="s">
        <v>21</v>
      </c>
      <c r="R87">
        <v>1776262506</v>
      </c>
      <c r="S87" t="s">
        <v>16</v>
      </c>
      <c r="T87" t="s">
        <v>17</v>
      </c>
      <c r="U87">
        <v>4825.22</v>
      </c>
      <c r="V87" t="s">
        <v>20</v>
      </c>
      <c r="W87">
        <v>4830.3900000000003</v>
      </c>
      <c r="X87">
        <v>44.16</v>
      </c>
      <c r="Y87">
        <v>0.92</v>
      </c>
      <c r="Z87">
        <v>0</v>
      </c>
      <c r="AA87">
        <v>18</v>
      </c>
      <c r="AB87">
        <v>0</v>
      </c>
      <c r="AC87">
        <v>2.4533299999999998</v>
      </c>
      <c r="AD87">
        <v>0</v>
      </c>
      <c r="AE87">
        <v>67.823800000000006</v>
      </c>
      <c r="AF87" t="s">
        <v>21</v>
      </c>
      <c r="AH87" t="b">
        <f t="shared" si="20"/>
        <v>1</v>
      </c>
      <c r="AI87" t="b">
        <f t="shared" si="21"/>
        <v>1</v>
      </c>
      <c r="AJ87" t="b">
        <f t="shared" si="22"/>
        <v>1</v>
      </c>
      <c r="AK87" t="b">
        <f t="shared" si="23"/>
        <v>1</v>
      </c>
      <c r="AL87" t="b">
        <f t="shared" si="24"/>
        <v>1</v>
      </c>
      <c r="AM87" t="b">
        <f t="shared" si="25"/>
        <v>1</v>
      </c>
      <c r="AN87" t="b">
        <f t="shared" si="26"/>
        <v>1</v>
      </c>
      <c r="AO87" t="b">
        <f t="shared" si="27"/>
        <v>1</v>
      </c>
      <c r="AP87" t="b">
        <f t="shared" si="28"/>
        <v>1</v>
      </c>
      <c r="AQ87" t="b">
        <f t="shared" si="29"/>
        <v>1</v>
      </c>
    </row>
    <row r="88" spans="1:43" x14ac:dyDescent="0.55000000000000004">
      <c r="A88">
        <v>1776267006</v>
      </c>
      <c r="B88" t="s">
        <v>16</v>
      </c>
      <c r="C88" t="s">
        <v>17</v>
      </c>
      <c r="D88">
        <v>4803.6400000000003</v>
      </c>
      <c r="E88" t="s">
        <v>18</v>
      </c>
      <c r="F88">
        <v>4787.17</v>
      </c>
      <c r="G88">
        <v>4830.3900000000003</v>
      </c>
      <c r="H88">
        <v>4786.2299999999996</v>
      </c>
      <c r="I88">
        <v>4871.22</v>
      </c>
      <c r="J88">
        <v>4827.08</v>
      </c>
      <c r="K88">
        <v>4850.7700000000004</v>
      </c>
      <c r="L88">
        <v>-43.22</v>
      </c>
      <c r="M88">
        <v>-0.89</v>
      </c>
      <c r="N88">
        <v>3</v>
      </c>
      <c r="O88">
        <v>5</v>
      </c>
      <c r="P88" t="s">
        <v>22</v>
      </c>
      <c r="R88">
        <v>1776267006</v>
      </c>
      <c r="S88" t="s">
        <v>16</v>
      </c>
      <c r="T88" t="s">
        <v>17</v>
      </c>
      <c r="U88">
        <v>4803.6400000000003</v>
      </c>
      <c r="V88" t="s">
        <v>18</v>
      </c>
      <c r="W88">
        <v>4787.17</v>
      </c>
      <c r="X88">
        <v>-43.22</v>
      </c>
      <c r="Y88">
        <v>-0.89</v>
      </c>
      <c r="Z88">
        <v>3</v>
      </c>
      <c r="AA88">
        <v>5</v>
      </c>
      <c r="AB88">
        <v>3</v>
      </c>
      <c r="AC88">
        <v>-8.6440000000000001</v>
      </c>
      <c r="AD88">
        <v>3</v>
      </c>
      <c r="AE88">
        <v>-83.400899999999993</v>
      </c>
      <c r="AF88" t="s">
        <v>22</v>
      </c>
      <c r="AH88" t="b">
        <f t="shared" si="20"/>
        <v>1</v>
      </c>
      <c r="AI88" t="b">
        <f t="shared" si="21"/>
        <v>1</v>
      </c>
      <c r="AJ88" t="b">
        <f t="shared" si="22"/>
        <v>1</v>
      </c>
      <c r="AK88" t="b">
        <f t="shared" si="23"/>
        <v>1</v>
      </c>
      <c r="AL88" t="b">
        <f t="shared" si="24"/>
        <v>1</v>
      </c>
      <c r="AM88" t="b">
        <f t="shared" si="25"/>
        <v>1</v>
      </c>
      <c r="AN88" t="b">
        <f t="shared" si="26"/>
        <v>1</v>
      </c>
      <c r="AO88" t="b">
        <f t="shared" si="27"/>
        <v>1</v>
      </c>
      <c r="AP88" t="b">
        <f t="shared" si="28"/>
        <v>1</v>
      </c>
      <c r="AQ88" t="b">
        <f t="shared" si="29"/>
        <v>1</v>
      </c>
    </row>
    <row r="89" spans="1:43" x14ac:dyDescent="0.55000000000000004">
      <c r="A89">
        <v>1776315606</v>
      </c>
      <c r="B89" t="s">
        <v>16</v>
      </c>
      <c r="C89" t="s">
        <v>17</v>
      </c>
      <c r="D89">
        <v>4834.26</v>
      </c>
      <c r="E89" t="s">
        <v>20</v>
      </c>
      <c r="F89">
        <v>4838.38</v>
      </c>
      <c r="G89">
        <v>4787.17</v>
      </c>
      <c r="H89">
        <v>4830.3900000000003</v>
      </c>
      <c r="I89">
        <v>4786.2299999999996</v>
      </c>
      <c r="J89">
        <v>4871.22</v>
      </c>
      <c r="K89">
        <v>4827.08</v>
      </c>
      <c r="L89">
        <v>51.21</v>
      </c>
      <c r="M89">
        <v>1.07</v>
      </c>
      <c r="N89">
        <v>0</v>
      </c>
      <c r="O89">
        <v>50</v>
      </c>
      <c r="P89" t="s">
        <v>23</v>
      </c>
      <c r="R89">
        <v>1776315606</v>
      </c>
      <c r="S89" t="s">
        <v>16</v>
      </c>
      <c r="T89" t="s">
        <v>17</v>
      </c>
      <c r="U89">
        <v>4834.26</v>
      </c>
      <c r="V89" t="s">
        <v>20</v>
      </c>
      <c r="W89">
        <v>4838.38</v>
      </c>
      <c r="X89">
        <v>51.21</v>
      </c>
      <c r="Y89">
        <v>1.07</v>
      </c>
      <c r="Z89">
        <v>0</v>
      </c>
      <c r="AA89">
        <v>50</v>
      </c>
      <c r="AB89">
        <v>2</v>
      </c>
      <c r="AC89">
        <v>1.0242</v>
      </c>
      <c r="AD89">
        <v>0</v>
      </c>
      <c r="AE89">
        <v>45.685000000000002</v>
      </c>
      <c r="AF89" t="s">
        <v>23</v>
      </c>
      <c r="AH89" t="b">
        <f t="shared" si="20"/>
        <v>1</v>
      </c>
      <c r="AI89" t="b">
        <f t="shared" si="21"/>
        <v>1</v>
      </c>
      <c r="AJ89" t="b">
        <f t="shared" si="22"/>
        <v>1</v>
      </c>
      <c r="AK89" t="b">
        <f t="shared" si="23"/>
        <v>1</v>
      </c>
      <c r="AL89" t="b">
        <f t="shared" si="24"/>
        <v>1</v>
      </c>
      <c r="AM89" t="b">
        <f t="shared" si="25"/>
        <v>1</v>
      </c>
      <c r="AN89" t="b">
        <f t="shared" si="26"/>
        <v>1</v>
      </c>
      <c r="AO89" t="b">
        <f t="shared" si="27"/>
        <v>1</v>
      </c>
      <c r="AP89" t="b">
        <f t="shared" si="28"/>
        <v>1</v>
      </c>
      <c r="AQ89" t="b">
        <f t="shared" si="29"/>
        <v>1</v>
      </c>
    </row>
    <row r="90" spans="1:43" x14ac:dyDescent="0.55000000000000004">
      <c r="A90">
        <v>1776335406</v>
      </c>
      <c r="B90" t="s">
        <v>16</v>
      </c>
      <c r="C90" t="s">
        <v>17</v>
      </c>
      <c r="D90">
        <v>4808.3999999999996</v>
      </c>
      <c r="E90" t="s">
        <v>18</v>
      </c>
      <c r="F90">
        <v>4805.21</v>
      </c>
      <c r="G90">
        <v>4838.38</v>
      </c>
      <c r="H90">
        <v>4787.17</v>
      </c>
      <c r="I90">
        <v>4830.3900000000003</v>
      </c>
      <c r="J90">
        <v>4786.2299999999996</v>
      </c>
      <c r="K90">
        <v>4871.22</v>
      </c>
      <c r="L90">
        <v>-33.17</v>
      </c>
      <c r="M90">
        <v>-0.69</v>
      </c>
      <c r="N90">
        <v>3</v>
      </c>
      <c r="O90">
        <v>22</v>
      </c>
      <c r="P90" t="s">
        <v>22</v>
      </c>
      <c r="R90">
        <v>1776335406</v>
      </c>
      <c r="S90" t="s">
        <v>16</v>
      </c>
      <c r="T90" t="s">
        <v>17</v>
      </c>
      <c r="U90">
        <v>4808.3999999999996</v>
      </c>
      <c r="V90" t="s">
        <v>18</v>
      </c>
      <c r="W90">
        <v>4805.21</v>
      </c>
      <c r="X90">
        <v>-33.17</v>
      </c>
      <c r="Y90">
        <v>-0.69</v>
      </c>
      <c r="Z90">
        <v>3</v>
      </c>
      <c r="AA90">
        <v>22</v>
      </c>
      <c r="AB90">
        <v>3</v>
      </c>
      <c r="AC90">
        <v>-1.50773</v>
      </c>
      <c r="AD90">
        <v>3</v>
      </c>
      <c r="AE90">
        <v>-56.445700000000002</v>
      </c>
      <c r="AF90" t="s">
        <v>22</v>
      </c>
      <c r="AH90" t="b">
        <f t="shared" si="20"/>
        <v>1</v>
      </c>
      <c r="AI90" t="b">
        <f t="shared" si="21"/>
        <v>1</v>
      </c>
      <c r="AJ90" t="b">
        <f t="shared" si="22"/>
        <v>1</v>
      </c>
      <c r="AK90" t="b">
        <f t="shared" si="23"/>
        <v>1</v>
      </c>
      <c r="AL90" t="b">
        <f t="shared" si="24"/>
        <v>1</v>
      </c>
      <c r="AM90" t="b">
        <f t="shared" si="25"/>
        <v>1</v>
      </c>
      <c r="AN90" t="b">
        <f t="shared" si="26"/>
        <v>1</v>
      </c>
      <c r="AO90" t="b">
        <f t="shared" si="27"/>
        <v>1</v>
      </c>
      <c r="AP90" t="b">
        <f t="shared" si="28"/>
        <v>1</v>
      </c>
      <c r="AQ90" t="b">
        <f t="shared" si="29"/>
        <v>1</v>
      </c>
    </row>
    <row r="91" spans="1:43" x14ac:dyDescent="0.55000000000000004">
      <c r="A91">
        <v>1776346206</v>
      </c>
      <c r="B91" t="s">
        <v>16</v>
      </c>
      <c r="C91" t="s">
        <v>17</v>
      </c>
      <c r="D91">
        <v>4816.26</v>
      </c>
      <c r="E91" t="s">
        <v>20</v>
      </c>
      <c r="F91">
        <v>4823.8100000000004</v>
      </c>
      <c r="G91">
        <v>4805.21</v>
      </c>
      <c r="H91">
        <v>4838.38</v>
      </c>
      <c r="I91">
        <v>4787.17</v>
      </c>
      <c r="J91">
        <v>4830.3900000000003</v>
      </c>
      <c r="K91">
        <v>4786.2299999999996</v>
      </c>
      <c r="L91">
        <v>18.600000000000001</v>
      </c>
      <c r="M91">
        <v>0.39</v>
      </c>
      <c r="N91">
        <v>0</v>
      </c>
      <c r="O91">
        <v>12</v>
      </c>
      <c r="P91" t="s">
        <v>21</v>
      </c>
      <c r="R91">
        <v>1776346206</v>
      </c>
      <c r="S91" t="s">
        <v>16</v>
      </c>
      <c r="T91" t="s">
        <v>17</v>
      </c>
      <c r="U91">
        <v>4816.26</v>
      </c>
      <c r="V91" t="s">
        <v>20</v>
      </c>
      <c r="W91">
        <v>4823.8100000000004</v>
      </c>
      <c r="X91">
        <v>18.600000000000001</v>
      </c>
      <c r="Y91">
        <v>0.39</v>
      </c>
      <c r="Z91">
        <v>0</v>
      </c>
      <c r="AA91">
        <v>12</v>
      </c>
      <c r="AB91">
        <v>0</v>
      </c>
      <c r="AC91">
        <v>1.55</v>
      </c>
      <c r="AD91">
        <v>0</v>
      </c>
      <c r="AE91">
        <v>57.171500000000002</v>
      </c>
      <c r="AF91" t="s">
        <v>21</v>
      </c>
      <c r="AH91" t="b">
        <f t="shared" si="20"/>
        <v>1</v>
      </c>
      <c r="AI91" t="b">
        <f t="shared" si="21"/>
        <v>1</v>
      </c>
      <c r="AJ91" t="b">
        <f t="shared" si="22"/>
        <v>1</v>
      </c>
      <c r="AK91" t="b">
        <f t="shared" si="23"/>
        <v>1</v>
      </c>
      <c r="AL91" t="b">
        <f t="shared" si="24"/>
        <v>1</v>
      </c>
      <c r="AM91" t="b">
        <f t="shared" si="25"/>
        <v>1</v>
      </c>
      <c r="AN91" t="b">
        <f t="shared" si="26"/>
        <v>1</v>
      </c>
      <c r="AO91" t="b">
        <f t="shared" si="27"/>
        <v>1</v>
      </c>
      <c r="AP91" t="b">
        <f t="shared" si="28"/>
        <v>1</v>
      </c>
      <c r="AQ91" t="b">
        <f t="shared" si="29"/>
        <v>1</v>
      </c>
    </row>
    <row r="92" spans="1:43" x14ac:dyDescent="0.55000000000000004">
      <c r="A92">
        <v>1776349806</v>
      </c>
      <c r="B92" t="s">
        <v>16</v>
      </c>
      <c r="C92" t="s">
        <v>17</v>
      </c>
      <c r="D92">
        <v>4787.7299999999996</v>
      </c>
      <c r="E92" t="s">
        <v>18</v>
      </c>
      <c r="F92">
        <v>4772.67</v>
      </c>
      <c r="G92">
        <v>4823.8100000000004</v>
      </c>
      <c r="H92">
        <v>4805.21</v>
      </c>
      <c r="I92">
        <v>4838.38</v>
      </c>
      <c r="J92">
        <v>4787.17</v>
      </c>
      <c r="K92">
        <v>4830.3900000000003</v>
      </c>
      <c r="L92">
        <v>-51.14</v>
      </c>
      <c r="M92">
        <v>-1.06</v>
      </c>
      <c r="N92">
        <v>3</v>
      </c>
      <c r="O92">
        <v>4</v>
      </c>
      <c r="P92" t="s">
        <v>19</v>
      </c>
      <c r="R92">
        <v>1776349806</v>
      </c>
      <c r="S92" t="s">
        <v>16</v>
      </c>
      <c r="T92" t="s">
        <v>17</v>
      </c>
      <c r="U92">
        <v>4787.7299999999996</v>
      </c>
      <c r="V92" t="s">
        <v>18</v>
      </c>
      <c r="W92">
        <v>4772.67</v>
      </c>
      <c r="X92">
        <v>-51.14</v>
      </c>
      <c r="Y92">
        <v>-1.06</v>
      </c>
      <c r="Z92">
        <v>3</v>
      </c>
      <c r="AA92">
        <v>4</v>
      </c>
      <c r="AB92">
        <v>3</v>
      </c>
      <c r="AC92">
        <v>-12.785</v>
      </c>
      <c r="AD92">
        <v>5</v>
      </c>
      <c r="AE92">
        <v>-85.527600000000007</v>
      </c>
      <c r="AF92" t="s">
        <v>19</v>
      </c>
      <c r="AH92" t="b">
        <f t="shared" si="20"/>
        <v>1</v>
      </c>
      <c r="AI92" t="b">
        <f t="shared" si="21"/>
        <v>1</v>
      </c>
      <c r="AJ92" t="b">
        <f t="shared" si="22"/>
        <v>1</v>
      </c>
      <c r="AK92" t="b">
        <f t="shared" si="23"/>
        <v>1</v>
      </c>
      <c r="AL92" t="b">
        <f t="shared" si="24"/>
        <v>1</v>
      </c>
      <c r="AM92" t="b">
        <f t="shared" si="25"/>
        <v>1</v>
      </c>
      <c r="AN92" t="b">
        <f t="shared" si="26"/>
        <v>1</v>
      </c>
      <c r="AO92" t="b">
        <f t="shared" si="27"/>
        <v>1</v>
      </c>
      <c r="AP92" t="b">
        <f t="shared" si="28"/>
        <v>1</v>
      </c>
      <c r="AQ92" t="b">
        <f t="shared" si="29"/>
        <v>1</v>
      </c>
    </row>
    <row r="93" spans="1:43" x14ac:dyDescent="0.55000000000000004">
      <c r="A93">
        <v>1776368706</v>
      </c>
      <c r="B93" t="s">
        <v>16</v>
      </c>
      <c r="C93" t="s">
        <v>17</v>
      </c>
      <c r="D93">
        <v>4793.5200000000004</v>
      </c>
      <c r="E93" t="s">
        <v>20</v>
      </c>
      <c r="F93">
        <v>4798.58</v>
      </c>
      <c r="G93">
        <v>4772.67</v>
      </c>
      <c r="H93">
        <v>4823.8100000000004</v>
      </c>
      <c r="I93">
        <v>4805.21</v>
      </c>
      <c r="J93">
        <v>4838.38</v>
      </c>
      <c r="K93">
        <v>4787.17</v>
      </c>
      <c r="L93">
        <v>25.91</v>
      </c>
      <c r="M93">
        <v>0.54</v>
      </c>
      <c r="N93">
        <v>0</v>
      </c>
      <c r="O93">
        <v>21</v>
      </c>
      <c r="P93" t="s">
        <v>21</v>
      </c>
      <c r="R93">
        <v>1776368706</v>
      </c>
      <c r="S93" t="s">
        <v>16</v>
      </c>
      <c r="T93" t="s">
        <v>17</v>
      </c>
      <c r="U93">
        <v>4793.5200000000004</v>
      </c>
      <c r="V93" t="s">
        <v>20</v>
      </c>
      <c r="W93">
        <v>4798.58</v>
      </c>
      <c r="X93">
        <v>25.91</v>
      </c>
      <c r="Y93">
        <v>0.54</v>
      </c>
      <c r="Z93">
        <v>0</v>
      </c>
      <c r="AA93">
        <v>21</v>
      </c>
      <c r="AB93">
        <v>0</v>
      </c>
      <c r="AC93">
        <v>1.2338100000000001</v>
      </c>
      <c r="AD93">
        <v>0</v>
      </c>
      <c r="AE93">
        <v>50.975299999999997</v>
      </c>
      <c r="AF93" t="s">
        <v>21</v>
      </c>
      <c r="AH93" t="b">
        <f t="shared" si="20"/>
        <v>1</v>
      </c>
      <c r="AI93" t="b">
        <f t="shared" si="21"/>
        <v>1</v>
      </c>
      <c r="AJ93" t="b">
        <f t="shared" si="22"/>
        <v>1</v>
      </c>
      <c r="AK93" t="b">
        <f t="shared" si="23"/>
        <v>1</v>
      </c>
      <c r="AL93" t="b">
        <f t="shared" si="24"/>
        <v>1</v>
      </c>
      <c r="AM93" t="b">
        <f t="shared" si="25"/>
        <v>1</v>
      </c>
      <c r="AN93" t="b">
        <f t="shared" si="26"/>
        <v>1</v>
      </c>
      <c r="AO93" t="b">
        <f t="shared" si="27"/>
        <v>1</v>
      </c>
      <c r="AP93" t="b">
        <f t="shared" si="28"/>
        <v>1</v>
      </c>
      <c r="AQ93" t="b">
        <f t="shared" si="29"/>
        <v>1</v>
      </c>
    </row>
    <row r="94" spans="1:43" x14ac:dyDescent="0.55000000000000004">
      <c r="A94">
        <v>1776384006</v>
      </c>
      <c r="B94" t="s">
        <v>16</v>
      </c>
      <c r="C94" t="s">
        <v>17</v>
      </c>
      <c r="D94">
        <v>4790.3999999999996</v>
      </c>
      <c r="E94" t="s">
        <v>18</v>
      </c>
      <c r="F94">
        <v>4786.1000000000004</v>
      </c>
      <c r="G94">
        <v>4798.58</v>
      </c>
      <c r="H94">
        <v>4772.67</v>
      </c>
      <c r="I94">
        <v>4823.8100000000004</v>
      </c>
      <c r="J94">
        <v>4805.21</v>
      </c>
      <c r="K94">
        <v>4838.38</v>
      </c>
      <c r="L94">
        <v>-12.48</v>
      </c>
      <c r="M94">
        <v>-0.26</v>
      </c>
      <c r="N94">
        <v>3</v>
      </c>
      <c r="O94">
        <v>13</v>
      </c>
      <c r="P94" t="s">
        <v>22</v>
      </c>
      <c r="R94">
        <v>1776384006</v>
      </c>
      <c r="S94" t="s">
        <v>16</v>
      </c>
      <c r="T94" t="s">
        <v>17</v>
      </c>
      <c r="U94">
        <v>4790.3999999999996</v>
      </c>
      <c r="V94" t="s">
        <v>18</v>
      </c>
      <c r="W94">
        <v>4786.1000000000004</v>
      </c>
      <c r="X94">
        <v>-12.48</v>
      </c>
      <c r="Y94">
        <v>-0.26</v>
      </c>
      <c r="Z94">
        <v>3</v>
      </c>
      <c r="AA94">
        <v>13</v>
      </c>
      <c r="AB94">
        <v>3</v>
      </c>
      <c r="AC94">
        <v>-0.96</v>
      </c>
      <c r="AD94">
        <v>3</v>
      </c>
      <c r="AE94">
        <v>-43.8309</v>
      </c>
      <c r="AF94" t="s">
        <v>22</v>
      </c>
      <c r="AH94" t="b">
        <f t="shared" si="20"/>
        <v>1</v>
      </c>
      <c r="AI94" t="b">
        <f t="shared" si="21"/>
        <v>1</v>
      </c>
      <c r="AJ94" t="b">
        <f t="shared" si="22"/>
        <v>1</v>
      </c>
      <c r="AK94" t="b">
        <f t="shared" si="23"/>
        <v>1</v>
      </c>
      <c r="AL94" t="b">
        <f t="shared" si="24"/>
        <v>1</v>
      </c>
      <c r="AM94" t="b">
        <f t="shared" si="25"/>
        <v>1</v>
      </c>
      <c r="AN94" t="b">
        <f t="shared" si="26"/>
        <v>1</v>
      </c>
      <c r="AO94" t="b">
        <f t="shared" si="27"/>
        <v>1</v>
      </c>
      <c r="AP94" t="b">
        <f t="shared" si="28"/>
        <v>1</v>
      </c>
      <c r="AQ94" t="b">
        <f t="shared" si="29"/>
        <v>1</v>
      </c>
    </row>
    <row r="95" spans="1:43" x14ac:dyDescent="0.55000000000000004">
      <c r="A95">
        <v>1776386706</v>
      </c>
      <c r="B95" t="s">
        <v>16</v>
      </c>
      <c r="C95" t="s">
        <v>17</v>
      </c>
      <c r="D95">
        <v>4794.8999999999996</v>
      </c>
      <c r="E95" t="s">
        <v>20</v>
      </c>
      <c r="F95">
        <v>4801.12</v>
      </c>
      <c r="G95">
        <v>4786.1000000000004</v>
      </c>
      <c r="H95">
        <v>4798.58</v>
      </c>
      <c r="I95">
        <v>4772.67</v>
      </c>
      <c r="J95">
        <v>4823.8100000000004</v>
      </c>
      <c r="K95">
        <v>4805.21</v>
      </c>
      <c r="L95">
        <v>15.02</v>
      </c>
      <c r="M95">
        <v>0.31</v>
      </c>
      <c r="N95">
        <v>0</v>
      </c>
      <c r="O95">
        <v>3</v>
      </c>
      <c r="P95" t="s">
        <v>23</v>
      </c>
      <c r="R95">
        <v>1776386706</v>
      </c>
      <c r="S95" t="s">
        <v>16</v>
      </c>
      <c r="T95" t="s">
        <v>17</v>
      </c>
      <c r="U95">
        <v>4794.8999999999996</v>
      </c>
      <c r="V95" t="s">
        <v>20</v>
      </c>
      <c r="W95">
        <v>4801.12</v>
      </c>
      <c r="X95">
        <v>15.02</v>
      </c>
      <c r="Y95">
        <v>0.31</v>
      </c>
      <c r="Z95">
        <v>0</v>
      </c>
      <c r="AA95">
        <v>3</v>
      </c>
      <c r="AB95">
        <v>0</v>
      </c>
      <c r="AC95">
        <v>5.0066699999999997</v>
      </c>
      <c r="AD95">
        <v>0</v>
      </c>
      <c r="AE95">
        <v>78.704700000000003</v>
      </c>
      <c r="AF95" t="s">
        <v>23</v>
      </c>
      <c r="AH95" t="b">
        <f t="shared" si="20"/>
        <v>1</v>
      </c>
      <c r="AI95" t="b">
        <f t="shared" si="21"/>
        <v>1</v>
      </c>
      <c r="AJ95" t="b">
        <f t="shared" si="22"/>
        <v>1</v>
      </c>
      <c r="AK95" t="b">
        <f t="shared" si="23"/>
        <v>1</v>
      </c>
      <c r="AL95" t="b">
        <f t="shared" si="24"/>
        <v>1</v>
      </c>
      <c r="AM95" t="b">
        <f t="shared" si="25"/>
        <v>1</v>
      </c>
      <c r="AN95" t="b">
        <f t="shared" si="26"/>
        <v>1</v>
      </c>
      <c r="AO95" t="b">
        <f t="shared" si="27"/>
        <v>1</v>
      </c>
      <c r="AP95" t="b">
        <f t="shared" si="28"/>
        <v>1</v>
      </c>
      <c r="AQ95" t="b">
        <f t="shared" si="29"/>
        <v>1</v>
      </c>
    </row>
    <row r="96" spans="1:43" x14ac:dyDescent="0.55000000000000004">
      <c r="A96">
        <v>1776389406</v>
      </c>
      <c r="B96" t="s">
        <v>16</v>
      </c>
      <c r="C96" t="s">
        <v>17</v>
      </c>
      <c r="D96">
        <v>4777.87</v>
      </c>
      <c r="E96" t="s">
        <v>18</v>
      </c>
      <c r="F96">
        <v>4768.07</v>
      </c>
      <c r="G96">
        <v>4801.12</v>
      </c>
      <c r="H96">
        <v>4786.1000000000004</v>
      </c>
      <c r="I96">
        <v>4798.58</v>
      </c>
      <c r="J96">
        <v>4772.67</v>
      </c>
      <c r="K96">
        <v>4823.8100000000004</v>
      </c>
      <c r="L96">
        <v>-33.049999999999997</v>
      </c>
      <c r="M96">
        <v>-0.69</v>
      </c>
      <c r="N96">
        <v>3</v>
      </c>
      <c r="O96">
        <v>3</v>
      </c>
      <c r="P96" t="s">
        <v>19</v>
      </c>
      <c r="R96">
        <v>1776389406</v>
      </c>
      <c r="S96" t="s">
        <v>16</v>
      </c>
      <c r="T96" t="s">
        <v>17</v>
      </c>
      <c r="U96">
        <v>4777.87</v>
      </c>
      <c r="V96" t="s">
        <v>18</v>
      </c>
      <c r="W96">
        <v>4768.07</v>
      </c>
      <c r="X96">
        <v>-33.049999999999997</v>
      </c>
      <c r="Y96">
        <v>-0.69</v>
      </c>
      <c r="Z96">
        <v>3</v>
      </c>
      <c r="AA96">
        <v>3</v>
      </c>
      <c r="AB96">
        <v>3</v>
      </c>
      <c r="AC96">
        <v>-11.01667</v>
      </c>
      <c r="AD96">
        <v>5</v>
      </c>
      <c r="AE96">
        <v>-84.813400000000001</v>
      </c>
      <c r="AF96" t="s">
        <v>19</v>
      </c>
      <c r="AH96" t="b">
        <f t="shared" si="20"/>
        <v>1</v>
      </c>
      <c r="AI96" t="b">
        <f t="shared" si="21"/>
        <v>1</v>
      </c>
      <c r="AJ96" t="b">
        <f t="shared" si="22"/>
        <v>1</v>
      </c>
      <c r="AK96" t="b">
        <f t="shared" si="23"/>
        <v>1</v>
      </c>
      <c r="AL96" t="b">
        <f t="shared" si="24"/>
        <v>1</v>
      </c>
      <c r="AM96" t="b">
        <f t="shared" si="25"/>
        <v>1</v>
      </c>
      <c r="AN96" t="b">
        <f t="shared" si="26"/>
        <v>1</v>
      </c>
      <c r="AO96" t="b">
        <f t="shared" si="27"/>
        <v>1</v>
      </c>
      <c r="AP96" t="b">
        <f t="shared" si="28"/>
        <v>1</v>
      </c>
      <c r="AQ96" t="b">
        <f t="shared" si="29"/>
        <v>1</v>
      </c>
    </row>
    <row r="97" spans="1:43" x14ac:dyDescent="0.55000000000000004">
      <c r="A97">
        <v>1776402006</v>
      </c>
      <c r="B97" t="s">
        <v>16</v>
      </c>
      <c r="C97" t="s">
        <v>17</v>
      </c>
      <c r="D97">
        <v>4804.78</v>
      </c>
      <c r="E97" t="s">
        <v>20</v>
      </c>
      <c r="F97">
        <v>4805.97</v>
      </c>
      <c r="G97">
        <v>4768.07</v>
      </c>
      <c r="H97">
        <v>4801.12</v>
      </c>
      <c r="I97">
        <v>4786.1000000000004</v>
      </c>
      <c r="J97">
        <v>4798.58</v>
      </c>
      <c r="K97">
        <v>4772.67</v>
      </c>
      <c r="L97">
        <v>37.9</v>
      </c>
      <c r="M97">
        <v>0.79</v>
      </c>
      <c r="N97">
        <v>0</v>
      </c>
      <c r="O97">
        <v>14</v>
      </c>
      <c r="P97" t="s">
        <v>23</v>
      </c>
      <c r="R97">
        <v>1776402006</v>
      </c>
      <c r="S97" t="s">
        <v>16</v>
      </c>
      <c r="T97" t="s">
        <v>17</v>
      </c>
      <c r="U97">
        <v>4804.78</v>
      </c>
      <c r="V97" t="s">
        <v>20</v>
      </c>
      <c r="W97">
        <v>4805.97</v>
      </c>
      <c r="X97">
        <v>37.9</v>
      </c>
      <c r="Y97">
        <v>0.79</v>
      </c>
      <c r="Z97">
        <v>0</v>
      </c>
      <c r="AA97">
        <v>14</v>
      </c>
      <c r="AB97">
        <v>0</v>
      </c>
      <c r="AC97">
        <v>2.7071399999999999</v>
      </c>
      <c r="AD97">
        <v>0</v>
      </c>
      <c r="AE97">
        <v>69.726100000000002</v>
      </c>
      <c r="AF97" t="s">
        <v>23</v>
      </c>
      <c r="AH97" t="b">
        <f t="shared" ref="AH97:AH128" si="30">A97=R97</f>
        <v>1</v>
      </c>
      <c r="AI97" t="b">
        <f t="shared" ref="AI97:AI128" si="31">B97=S97</f>
        <v>1</v>
      </c>
      <c r="AJ97" t="b">
        <f t="shared" ref="AJ97:AJ128" si="32">C97=T97</f>
        <v>1</v>
      </c>
      <c r="AK97" t="b">
        <f t="shared" ref="AK97:AK128" si="33">D97=U97</f>
        <v>1</v>
      </c>
      <c r="AL97" t="b">
        <f t="shared" ref="AL97:AL128" si="34">E97=V97</f>
        <v>1</v>
      </c>
      <c r="AM97" t="b">
        <f t="shared" ref="AM97:AM128" si="35">F97=W97</f>
        <v>1</v>
      </c>
      <c r="AN97" t="b">
        <f t="shared" si="26"/>
        <v>1</v>
      </c>
      <c r="AO97" t="b">
        <f t="shared" si="27"/>
        <v>1</v>
      </c>
      <c r="AP97" t="b">
        <f t="shared" si="28"/>
        <v>1</v>
      </c>
      <c r="AQ97" t="b">
        <f t="shared" si="29"/>
        <v>1</v>
      </c>
    </row>
    <row r="98" spans="1:43" x14ac:dyDescent="0.55000000000000004">
      <c r="A98">
        <v>1776411906</v>
      </c>
      <c r="B98" t="s">
        <v>16</v>
      </c>
      <c r="C98" t="s">
        <v>17</v>
      </c>
      <c r="D98">
        <v>4784.38</v>
      </c>
      <c r="E98" t="s">
        <v>18</v>
      </c>
      <c r="F98">
        <v>4778.83</v>
      </c>
      <c r="G98">
        <v>4805.97</v>
      </c>
      <c r="H98">
        <v>4768.07</v>
      </c>
      <c r="I98">
        <v>4801.12</v>
      </c>
      <c r="J98">
        <v>4786.1000000000004</v>
      </c>
      <c r="K98">
        <v>4798.58</v>
      </c>
      <c r="L98">
        <v>-27.14</v>
      </c>
      <c r="M98">
        <v>-0.56000000000000005</v>
      </c>
      <c r="N98">
        <v>3</v>
      </c>
      <c r="O98">
        <v>11</v>
      </c>
      <c r="P98" t="s">
        <v>22</v>
      </c>
      <c r="R98">
        <v>1776411906</v>
      </c>
      <c r="S98" t="s">
        <v>16</v>
      </c>
      <c r="T98" t="s">
        <v>17</v>
      </c>
      <c r="U98">
        <v>4784.38</v>
      </c>
      <c r="V98" t="s">
        <v>18</v>
      </c>
      <c r="W98">
        <v>4778.83</v>
      </c>
      <c r="X98">
        <v>-27.14</v>
      </c>
      <c r="Y98">
        <v>-0.56000000000000005</v>
      </c>
      <c r="Z98">
        <v>3</v>
      </c>
      <c r="AA98">
        <v>11</v>
      </c>
      <c r="AB98">
        <v>3</v>
      </c>
      <c r="AC98">
        <v>-2.4672700000000001</v>
      </c>
      <c r="AD98">
        <v>3</v>
      </c>
      <c r="AE98">
        <v>-67.936999999999998</v>
      </c>
      <c r="AF98" t="s">
        <v>22</v>
      </c>
      <c r="AH98" t="b">
        <f t="shared" si="30"/>
        <v>1</v>
      </c>
      <c r="AI98" t="b">
        <f t="shared" si="31"/>
        <v>1</v>
      </c>
      <c r="AJ98" t="b">
        <f t="shared" si="32"/>
        <v>1</v>
      </c>
      <c r="AK98" t="b">
        <f t="shared" si="33"/>
        <v>1</v>
      </c>
      <c r="AL98" t="b">
        <f t="shared" si="34"/>
        <v>1</v>
      </c>
      <c r="AM98" t="b">
        <f t="shared" si="35"/>
        <v>1</v>
      </c>
      <c r="AN98" t="b">
        <f t="shared" ref="AN98:AN129" si="36">X98=L98</f>
        <v>1</v>
      </c>
      <c r="AO98" t="b">
        <f t="shared" ref="AO98:AO129" si="37">Y98=M98</f>
        <v>1</v>
      </c>
      <c r="AP98" t="b">
        <f t="shared" ref="AP98:AP129" si="38">Z98=N98</f>
        <v>1</v>
      </c>
      <c r="AQ98" t="b">
        <f t="shared" ref="AQ98:AQ129" si="39">AF98=P98</f>
        <v>1</v>
      </c>
    </row>
    <row r="99" spans="1:43" x14ac:dyDescent="0.55000000000000004">
      <c r="A99">
        <v>1776430806</v>
      </c>
      <c r="B99" t="s">
        <v>16</v>
      </c>
      <c r="C99" t="s">
        <v>17</v>
      </c>
      <c r="D99">
        <v>4883.6000000000004</v>
      </c>
      <c r="E99" t="s">
        <v>20</v>
      </c>
      <c r="F99">
        <v>4889.21</v>
      </c>
      <c r="G99">
        <v>4778.83</v>
      </c>
      <c r="H99">
        <v>4805.97</v>
      </c>
      <c r="I99">
        <v>4768.07</v>
      </c>
      <c r="J99">
        <v>4801.12</v>
      </c>
      <c r="K99">
        <v>4786.1000000000004</v>
      </c>
      <c r="L99">
        <v>110.38</v>
      </c>
      <c r="M99">
        <v>2.31</v>
      </c>
      <c r="N99">
        <v>0</v>
      </c>
      <c r="O99">
        <v>21</v>
      </c>
      <c r="P99" t="s">
        <v>23</v>
      </c>
      <c r="R99">
        <v>1776430806</v>
      </c>
      <c r="S99" t="s">
        <v>16</v>
      </c>
      <c r="T99" t="s">
        <v>17</v>
      </c>
      <c r="U99">
        <v>4883.6000000000004</v>
      </c>
      <c r="V99" t="s">
        <v>20</v>
      </c>
      <c r="W99">
        <v>4889.21</v>
      </c>
      <c r="X99">
        <v>110.38</v>
      </c>
      <c r="Y99">
        <v>2.31</v>
      </c>
      <c r="Z99">
        <v>0</v>
      </c>
      <c r="AA99">
        <v>21</v>
      </c>
      <c r="AB99">
        <v>0</v>
      </c>
      <c r="AC99">
        <v>5.2561900000000001</v>
      </c>
      <c r="AD99">
        <v>0</v>
      </c>
      <c r="AE99">
        <v>79.228099999999998</v>
      </c>
      <c r="AF99" t="s">
        <v>23</v>
      </c>
      <c r="AH99" t="b">
        <f t="shared" si="30"/>
        <v>1</v>
      </c>
      <c r="AI99" t="b">
        <f t="shared" si="31"/>
        <v>1</v>
      </c>
      <c r="AJ99" t="b">
        <f t="shared" si="32"/>
        <v>1</v>
      </c>
      <c r="AK99" t="b">
        <f t="shared" si="33"/>
        <v>1</v>
      </c>
      <c r="AL99" t="b">
        <f t="shared" si="34"/>
        <v>1</v>
      </c>
      <c r="AM99" t="b">
        <f t="shared" si="35"/>
        <v>1</v>
      </c>
      <c r="AN99" t="b">
        <f t="shared" si="36"/>
        <v>1</v>
      </c>
      <c r="AO99" t="b">
        <f t="shared" si="37"/>
        <v>1</v>
      </c>
      <c r="AP99" t="b">
        <f t="shared" si="38"/>
        <v>1</v>
      </c>
      <c r="AQ99" t="b">
        <f t="shared" si="39"/>
        <v>1</v>
      </c>
    </row>
    <row r="100" spans="1:43" x14ac:dyDescent="0.55000000000000004">
      <c r="A100">
        <v>1776642306</v>
      </c>
      <c r="B100" t="s">
        <v>16</v>
      </c>
      <c r="C100" t="s">
        <v>17</v>
      </c>
      <c r="D100">
        <v>4755.07</v>
      </c>
      <c r="E100" t="s">
        <v>18</v>
      </c>
      <c r="F100">
        <v>4736.96</v>
      </c>
      <c r="G100">
        <v>4889.21</v>
      </c>
      <c r="H100">
        <v>4778.83</v>
      </c>
      <c r="I100">
        <v>4805.97</v>
      </c>
      <c r="J100">
        <v>4768.07</v>
      </c>
      <c r="K100">
        <v>4801.12</v>
      </c>
      <c r="L100">
        <v>-152.25</v>
      </c>
      <c r="M100">
        <v>-3.11</v>
      </c>
      <c r="N100">
        <v>5</v>
      </c>
      <c r="O100">
        <v>39</v>
      </c>
      <c r="P100" t="s">
        <v>19</v>
      </c>
      <c r="R100">
        <v>1776642306</v>
      </c>
      <c r="S100" t="s">
        <v>16</v>
      </c>
      <c r="T100" t="s">
        <v>17</v>
      </c>
      <c r="U100">
        <v>4755.07</v>
      </c>
      <c r="V100" t="s">
        <v>18</v>
      </c>
      <c r="W100">
        <v>4736.96</v>
      </c>
      <c r="X100">
        <v>-152.25</v>
      </c>
      <c r="Y100">
        <v>-3.11</v>
      </c>
      <c r="Z100">
        <v>5</v>
      </c>
      <c r="AA100">
        <v>39</v>
      </c>
      <c r="AB100">
        <v>4</v>
      </c>
      <c r="AC100">
        <v>-3.9038499999999998</v>
      </c>
      <c r="AD100">
        <v>3</v>
      </c>
      <c r="AE100">
        <v>-75.632199999999997</v>
      </c>
      <c r="AF100" t="s">
        <v>19</v>
      </c>
      <c r="AH100" t="b">
        <f t="shared" si="30"/>
        <v>1</v>
      </c>
      <c r="AI100" t="b">
        <f t="shared" si="31"/>
        <v>1</v>
      </c>
      <c r="AJ100" t="b">
        <f t="shared" si="32"/>
        <v>1</v>
      </c>
      <c r="AK100" t="b">
        <f t="shared" si="33"/>
        <v>1</v>
      </c>
      <c r="AL100" t="b">
        <f t="shared" si="34"/>
        <v>1</v>
      </c>
      <c r="AM100" t="b">
        <f t="shared" si="35"/>
        <v>1</v>
      </c>
      <c r="AN100" t="b">
        <f t="shared" si="36"/>
        <v>1</v>
      </c>
      <c r="AO100" t="b">
        <f t="shared" si="37"/>
        <v>1</v>
      </c>
      <c r="AP100" t="b">
        <f t="shared" si="38"/>
        <v>1</v>
      </c>
      <c r="AQ100" t="b">
        <f t="shared" si="39"/>
        <v>1</v>
      </c>
    </row>
    <row r="101" spans="1:43" x14ac:dyDescent="0.55000000000000004">
      <c r="A101">
        <v>1776649506</v>
      </c>
      <c r="B101" t="s">
        <v>16</v>
      </c>
      <c r="C101" t="s">
        <v>17</v>
      </c>
      <c r="D101">
        <v>4807.6000000000004</v>
      </c>
      <c r="E101" t="s">
        <v>20</v>
      </c>
      <c r="F101">
        <v>4814.28</v>
      </c>
      <c r="G101">
        <v>4736.96</v>
      </c>
      <c r="H101">
        <v>4889.21</v>
      </c>
      <c r="I101">
        <v>4778.83</v>
      </c>
      <c r="J101">
        <v>4805.97</v>
      </c>
      <c r="K101">
        <v>4768.07</v>
      </c>
      <c r="L101">
        <v>77.319999999999993</v>
      </c>
      <c r="M101">
        <v>1.63</v>
      </c>
      <c r="N101">
        <v>0</v>
      </c>
      <c r="O101">
        <v>8</v>
      </c>
      <c r="P101" t="s">
        <v>21</v>
      </c>
      <c r="R101">
        <v>1776649506</v>
      </c>
      <c r="S101" t="s">
        <v>16</v>
      </c>
      <c r="T101" t="s">
        <v>17</v>
      </c>
      <c r="U101">
        <v>4807.6000000000004</v>
      </c>
      <c r="V101" t="s">
        <v>20</v>
      </c>
      <c r="W101">
        <v>4814.28</v>
      </c>
      <c r="X101">
        <v>77.319999999999993</v>
      </c>
      <c r="Y101">
        <v>1.63</v>
      </c>
      <c r="Z101">
        <v>0</v>
      </c>
      <c r="AA101">
        <v>8</v>
      </c>
      <c r="AB101">
        <v>0</v>
      </c>
      <c r="AC101">
        <v>9.6649999999999991</v>
      </c>
      <c r="AD101">
        <v>1</v>
      </c>
      <c r="AE101">
        <v>84.092799999999997</v>
      </c>
      <c r="AF101" t="s">
        <v>21</v>
      </c>
      <c r="AH101" t="b">
        <f t="shared" si="30"/>
        <v>1</v>
      </c>
      <c r="AI101" t="b">
        <f t="shared" si="31"/>
        <v>1</v>
      </c>
      <c r="AJ101" t="b">
        <f t="shared" si="32"/>
        <v>1</v>
      </c>
      <c r="AK101" t="b">
        <f t="shared" si="33"/>
        <v>1</v>
      </c>
      <c r="AL101" t="b">
        <f t="shared" si="34"/>
        <v>1</v>
      </c>
      <c r="AM101" t="b">
        <f t="shared" si="35"/>
        <v>1</v>
      </c>
      <c r="AN101" t="b">
        <f t="shared" si="36"/>
        <v>1</v>
      </c>
      <c r="AO101" t="b">
        <f t="shared" si="37"/>
        <v>1</v>
      </c>
      <c r="AP101" t="b">
        <f t="shared" si="38"/>
        <v>1</v>
      </c>
      <c r="AQ101" t="b">
        <f t="shared" si="39"/>
        <v>1</v>
      </c>
    </row>
    <row r="102" spans="1:43" x14ac:dyDescent="0.55000000000000004">
      <c r="A102">
        <v>1776663006</v>
      </c>
      <c r="B102" t="s">
        <v>16</v>
      </c>
      <c r="C102" t="s">
        <v>17</v>
      </c>
      <c r="D102">
        <v>4780.97</v>
      </c>
      <c r="E102" t="s">
        <v>18</v>
      </c>
      <c r="F102">
        <v>4779.8</v>
      </c>
      <c r="G102">
        <v>4814.28</v>
      </c>
      <c r="H102">
        <v>4736.96</v>
      </c>
      <c r="I102">
        <v>4889.21</v>
      </c>
      <c r="J102">
        <v>4778.83</v>
      </c>
      <c r="K102">
        <v>4805.97</v>
      </c>
      <c r="L102">
        <v>-34.479999999999997</v>
      </c>
      <c r="M102">
        <v>-0.72</v>
      </c>
      <c r="N102">
        <v>3</v>
      </c>
      <c r="O102">
        <v>15</v>
      </c>
      <c r="P102" t="s">
        <v>22</v>
      </c>
      <c r="R102">
        <v>1776663006</v>
      </c>
      <c r="S102" t="s">
        <v>16</v>
      </c>
      <c r="T102" t="s">
        <v>17</v>
      </c>
      <c r="U102">
        <v>4780.97</v>
      </c>
      <c r="V102" t="s">
        <v>18</v>
      </c>
      <c r="W102">
        <v>4779.8</v>
      </c>
      <c r="X102">
        <v>-34.479999999999997</v>
      </c>
      <c r="Y102">
        <v>-0.72</v>
      </c>
      <c r="Z102">
        <v>3</v>
      </c>
      <c r="AA102">
        <v>15</v>
      </c>
      <c r="AB102">
        <v>3</v>
      </c>
      <c r="AC102">
        <v>-2.29867</v>
      </c>
      <c r="AD102">
        <v>3</v>
      </c>
      <c r="AE102">
        <v>-66.4893</v>
      </c>
      <c r="AF102" t="s">
        <v>22</v>
      </c>
      <c r="AH102" t="b">
        <f t="shared" si="30"/>
        <v>1</v>
      </c>
      <c r="AI102" t="b">
        <f t="shared" si="31"/>
        <v>1</v>
      </c>
      <c r="AJ102" t="b">
        <f t="shared" si="32"/>
        <v>1</v>
      </c>
      <c r="AK102" t="b">
        <f t="shared" si="33"/>
        <v>1</v>
      </c>
      <c r="AL102" t="b">
        <f t="shared" si="34"/>
        <v>1</v>
      </c>
      <c r="AM102" t="b">
        <f t="shared" si="35"/>
        <v>1</v>
      </c>
      <c r="AN102" t="b">
        <f t="shared" si="36"/>
        <v>1</v>
      </c>
      <c r="AO102" t="b">
        <f t="shared" si="37"/>
        <v>1</v>
      </c>
      <c r="AP102" t="b">
        <f t="shared" si="38"/>
        <v>1</v>
      </c>
      <c r="AQ102" t="b">
        <f t="shared" si="39"/>
        <v>1</v>
      </c>
    </row>
    <row r="103" spans="1:43" x14ac:dyDescent="0.55000000000000004">
      <c r="A103">
        <v>1776669306</v>
      </c>
      <c r="B103" t="s">
        <v>16</v>
      </c>
      <c r="C103" t="s">
        <v>17</v>
      </c>
      <c r="D103">
        <v>4797.92</v>
      </c>
      <c r="E103" t="s">
        <v>20</v>
      </c>
      <c r="F103">
        <v>4805.79</v>
      </c>
      <c r="G103">
        <v>4779.8</v>
      </c>
      <c r="H103">
        <v>4814.28</v>
      </c>
      <c r="I103">
        <v>4736.96</v>
      </c>
      <c r="J103">
        <v>4889.21</v>
      </c>
      <c r="K103">
        <v>4778.83</v>
      </c>
      <c r="L103">
        <v>25.99</v>
      </c>
      <c r="M103">
        <v>0.54</v>
      </c>
      <c r="N103">
        <v>0</v>
      </c>
      <c r="O103">
        <v>7</v>
      </c>
      <c r="P103" t="s">
        <v>21</v>
      </c>
      <c r="R103">
        <v>1776669306</v>
      </c>
      <c r="S103" t="s">
        <v>16</v>
      </c>
      <c r="T103" t="s">
        <v>17</v>
      </c>
      <c r="U103">
        <v>4797.92</v>
      </c>
      <c r="V103" t="s">
        <v>20</v>
      </c>
      <c r="W103">
        <v>4805.79</v>
      </c>
      <c r="X103">
        <v>25.99</v>
      </c>
      <c r="Y103">
        <v>0.54</v>
      </c>
      <c r="Z103">
        <v>0</v>
      </c>
      <c r="AA103">
        <v>7</v>
      </c>
      <c r="AB103">
        <v>0</v>
      </c>
      <c r="AC103">
        <v>3.71286</v>
      </c>
      <c r="AD103">
        <v>0</v>
      </c>
      <c r="AE103">
        <v>74.926000000000002</v>
      </c>
      <c r="AF103" t="s">
        <v>21</v>
      </c>
      <c r="AH103" t="b">
        <f t="shared" si="30"/>
        <v>1</v>
      </c>
      <c r="AI103" t="b">
        <f t="shared" si="31"/>
        <v>1</v>
      </c>
      <c r="AJ103" t="b">
        <f t="shared" si="32"/>
        <v>1</v>
      </c>
      <c r="AK103" t="b">
        <f t="shared" si="33"/>
        <v>1</v>
      </c>
      <c r="AL103" t="b">
        <f t="shared" si="34"/>
        <v>1</v>
      </c>
      <c r="AM103" t="b">
        <f t="shared" si="35"/>
        <v>1</v>
      </c>
      <c r="AN103" t="b">
        <f t="shared" si="36"/>
        <v>1</v>
      </c>
      <c r="AO103" t="b">
        <f t="shared" si="37"/>
        <v>1</v>
      </c>
      <c r="AP103" t="b">
        <f t="shared" si="38"/>
        <v>1</v>
      </c>
      <c r="AQ103" t="b">
        <f t="shared" si="39"/>
        <v>1</v>
      </c>
    </row>
    <row r="104" spans="1:43" x14ac:dyDescent="0.55000000000000004">
      <c r="A104">
        <v>1776677406</v>
      </c>
      <c r="B104" t="s">
        <v>16</v>
      </c>
      <c r="C104" t="s">
        <v>17</v>
      </c>
      <c r="D104">
        <v>4791.96</v>
      </c>
      <c r="E104" t="s">
        <v>18</v>
      </c>
      <c r="F104">
        <v>4783.51</v>
      </c>
      <c r="G104">
        <v>4805.79</v>
      </c>
      <c r="H104">
        <v>4779.8</v>
      </c>
      <c r="I104">
        <v>4814.28</v>
      </c>
      <c r="J104">
        <v>4736.96</v>
      </c>
      <c r="K104">
        <v>4889.21</v>
      </c>
      <c r="L104">
        <v>-22.28</v>
      </c>
      <c r="M104">
        <v>-0.46</v>
      </c>
      <c r="N104">
        <v>3</v>
      </c>
      <c r="O104">
        <v>9</v>
      </c>
      <c r="P104" t="s">
        <v>22</v>
      </c>
      <c r="R104">
        <v>1776677406</v>
      </c>
      <c r="S104" t="s">
        <v>16</v>
      </c>
      <c r="T104" t="s">
        <v>17</v>
      </c>
      <c r="U104">
        <v>4791.96</v>
      </c>
      <c r="V104" t="s">
        <v>18</v>
      </c>
      <c r="W104">
        <v>4783.51</v>
      </c>
      <c r="X104">
        <v>-22.28</v>
      </c>
      <c r="Y104">
        <v>-0.46</v>
      </c>
      <c r="Z104">
        <v>3</v>
      </c>
      <c r="AA104">
        <v>9</v>
      </c>
      <c r="AB104">
        <v>3</v>
      </c>
      <c r="AC104">
        <v>-2.4755600000000002</v>
      </c>
      <c r="AD104">
        <v>3</v>
      </c>
      <c r="AE104">
        <v>-68.003799999999998</v>
      </c>
      <c r="AF104" t="s">
        <v>22</v>
      </c>
      <c r="AH104" t="b">
        <f t="shared" si="30"/>
        <v>1</v>
      </c>
      <c r="AI104" t="b">
        <f t="shared" si="31"/>
        <v>1</v>
      </c>
      <c r="AJ104" t="b">
        <f t="shared" si="32"/>
        <v>1</v>
      </c>
      <c r="AK104" t="b">
        <f t="shared" si="33"/>
        <v>1</v>
      </c>
      <c r="AL104" t="b">
        <f t="shared" si="34"/>
        <v>1</v>
      </c>
      <c r="AM104" t="b">
        <f t="shared" si="35"/>
        <v>1</v>
      </c>
      <c r="AN104" t="b">
        <f t="shared" si="36"/>
        <v>1</v>
      </c>
      <c r="AO104" t="b">
        <f t="shared" si="37"/>
        <v>1</v>
      </c>
      <c r="AP104" t="b">
        <f t="shared" si="38"/>
        <v>1</v>
      </c>
      <c r="AQ104" t="b">
        <f t="shared" si="39"/>
        <v>1</v>
      </c>
    </row>
    <row r="105" spans="1:43" x14ac:dyDescent="0.55000000000000004">
      <c r="A105">
        <v>1776695406</v>
      </c>
      <c r="B105" t="s">
        <v>16</v>
      </c>
      <c r="C105" t="s">
        <v>17</v>
      </c>
      <c r="D105">
        <v>4814.18</v>
      </c>
      <c r="E105" t="s">
        <v>20</v>
      </c>
      <c r="F105">
        <v>4827.74</v>
      </c>
      <c r="G105">
        <v>4783.51</v>
      </c>
      <c r="H105">
        <v>4805.79</v>
      </c>
      <c r="I105">
        <v>4779.8</v>
      </c>
      <c r="J105">
        <v>4814.28</v>
      </c>
      <c r="K105">
        <v>4736.96</v>
      </c>
      <c r="L105">
        <v>44.23</v>
      </c>
      <c r="M105">
        <v>0.92</v>
      </c>
      <c r="N105">
        <v>0</v>
      </c>
      <c r="O105">
        <v>20</v>
      </c>
      <c r="P105" t="s">
        <v>23</v>
      </c>
      <c r="R105">
        <v>1776695406</v>
      </c>
      <c r="S105" t="s">
        <v>16</v>
      </c>
      <c r="T105" t="s">
        <v>17</v>
      </c>
      <c r="U105">
        <v>4814.18</v>
      </c>
      <c r="V105" t="s">
        <v>20</v>
      </c>
      <c r="W105">
        <v>4827.74</v>
      </c>
      <c r="X105">
        <v>44.23</v>
      </c>
      <c r="Y105">
        <v>0.92</v>
      </c>
      <c r="Z105">
        <v>0</v>
      </c>
      <c r="AA105">
        <v>20</v>
      </c>
      <c r="AB105">
        <v>0</v>
      </c>
      <c r="AC105">
        <v>2.2115</v>
      </c>
      <c r="AD105">
        <v>0</v>
      </c>
      <c r="AE105">
        <v>65.668400000000005</v>
      </c>
      <c r="AF105" t="s">
        <v>23</v>
      </c>
      <c r="AH105" t="b">
        <f t="shared" si="30"/>
        <v>1</v>
      </c>
      <c r="AI105" t="b">
        <f t="shared" si="31"/>
        <v>1</v>
      </c>
      <c r="AJ105" t="b">
        <f t="shared" si="32"/>
        <v>1</v>
      </c>
      <c r="AK105" t="b">
        <f t="shared" si="33"/>
        <v>1</v>
      </c>
      <c r="AL105" t="b">
        <f t="shared" si="34"/>
        <v>1</v>
      </c>
      <c r="AM105" t="b">
        <f t="shared" si="35"/>
        <v>1</v>
      </c>
      <c r="AN105" t="b">
        <f t="shared" si="36"/>
        <v>1</v>
      </c>
      <c r="AO105" t="b">
        <f t="shared" si="37"/>
        <v>1</v>
      </c>
      <c r="AP105" t="b">
        <f t="shared" si="38"/>
        <v>1</v>
      </c>
      <c r="AQ105" t="b">
        <f t="shared" si="39"/>
        <v>1</v>
      </c>
    </row>
    <row r="106" spans="1:43" x14ac:dyDescent="0.55000000000000004">
      <c r="A106">
        <v>1776696306</v>
      </c>
      <c r="B106" t="s">
        <v>16</v>
      </c>
      <c r="C106" t="s">
        <v>17</v>
      </c>
      <c r="D106">
        <v>4805.3100000000004</v>
      </c>
      <c r="E106" t="s">
        <v>18</v>
      </c>
      <c r="F106">
        <v>4792.42</v>
      </c>
      <c r="G106">
        <v>4827.74</v>
      </c>
      <c r="H106">
        <v>4783.51</v>
      </c>
      <c r="I106">
        <v>4805.79</v>
      </c>
      <c r="J106">
        <v>4779.8</v>
      </c>
      <c r="K106">
        <v>4814.28</v>
      </c>
      <c r="L106">
        <v>-35.32</v>
      </c>
      <c r="M106">
        <v>-0.73</v>
      </c>
      <c r="N106">
        <v>3</v>
      </c>
      <c r="O106">
        <v>1</v>
      </c>
      <c r="P106" t="s">
        <v>22</v>
      </c>
      <c r="R106">
        <v>1776696306</v>
      </c>
      <c r="S106" t="s">
        <v>16</v>
      </c>
      <c r="T106" t="s">
        <v>17</v>
      </c>
      <c r="U106">
        <v>4805.3100000000004</v>
      </c>
      <c r="V106" t="s">
        <v>18</v>
      </c>
      <c r="W106">
        <v>4792.42</v>
      </c>
      <c r="X106">
        <v>-35.32</v>
      </c>
      <c r="Y106">
        <v>-0.73</v>
      </c>
      <c r="Z106">
        <v>3</v>
      </c>
      <c r="AA106">
        <v>1</v>
      </c>
      <c r="AB106">
        <v>3</v>
      </c>
      <c r="AC106">
        <v>-35.32</v>
      </c>
      <c r="AD106">
        <v>5</v>
      </c>
      <c r="AE106">
        <v>-88.378200000000007</v>
      </c>
      <c r="AF106" t="s">
        <v>22</v>
      </c>
      <c r="AH106" t="b">
        <f t="shared" si="30"/>
        <v>1</v>
      </c>
      <c r="AI106" t="b">
        <f t="shared" si="31"/>
        <v>1</v>
      </c>
      <c r="AJ106" t="b">
        <f t="shared" si="32"/>
        <v>1</v>
      </c>
      <c r="AK106" t="b">
        <f t="shared" si="33"/>
        <v>1</v>
      </c>
      <c r="AL106" t="b">
        <f t="shared" si="34"/>
        <v>1</v>
      </c>
      <c r="AM106" t="b">
        <f t="shared" si="35"/>
        <v>1</v>
      </c>
      <c r="AN106" t="b">
        <f t="shared" si="36"/>
        <v>1</v>
      </c>
      <c r="AO106" t="b">
        <f t="shared" si="37"/>
        <v>1</v>
      </c>
      <c r="AP106" t="b">
        <f t="shared" si="38"/>
        <v>1</v>
      </c>
      <c r="AQ106" t="b">
        <f t="shared" si="39"/>
        <v>1</v>
      </c>
    </row>
    <row r="107" spans="1:43" x14ac:dyDescent="0.55000000000000004">
      <c r="A107">
        <v>1776723306</v>
      </c>
      <c r="B107" t="s">
        <v>16</v>
      </c>
      <c r="C107" t="s">
        <v>17</v>
      </c>
      <c r="D107">
        <v>4828.53</v>
      </c>
      <c r="E107" t="s">
        <v>20</v>
      </c>
      <c r="F107">
        <v>4833.25</v>
      </c>
      <c r="G107">
        <v>4792.42</v>
      </c>
      <c r="H107">
        <v>4827.74</v>
      </c>
      <c r="I107">
        <v>4783.51</v>
      </c>
      <c r="J107">
        <v>4805.79</v>
      </c>
      <c r="K107">
        <v>4779.8</v>
      </c>
      <c r="L107">
        <v>40.83</v>
      </c>
      <c r="M107">
        <v>0.85</v>
      </c>
      <c r="N107">
        <v>0</v>
      </c>
      <c r="O107">
        <v>26</v>
      </c>
      <c r="P107" t="s">
        <v>23</v>
      </c>
      <c r="R107">
        <v>1776723306</v>
      </c>
      <c r="S107" t="s">
        <v>16</v>
      </c>
      <c r="T107" t="s">
        <v>17</v>
      </c>
      <c r="U107">
        <v>4828.53</v>
      </c>
      <c r="V107" t="s">
        <v>20</v>
      </c>
      <c r="W107">
        <v>4833.25</v>
      </c>
      <c r="X107">
        <v>40.83</v>
      </c>
      <c r="Y107">
        <v>0.85</v>
      </c>
      <c r="Z107">
        <v>0</v>
      </c>
      <c r="AA107">
        <v>26</v>
      </c>
      <c r="AB107">
        <v>0</v>
      </c>
      <c r="AC107">
        <v>1.5703800000000001</v>
      </c>
      <c r="AD107">
        <v>0</v>
      </c>
      <c r="AE107">
        <v>57.511600000000001</v>
      </c>
      <c r="AF107" t="s">
        <v>23</v>
      </c>
      <c r="AH107" t="b">
        <f t="shared" si="30"/>
        <v>1</v>
      </c>
      <c r="AI107" t="b">
        <f t="shared" si="31"/>
        <v>1</v>
      </c>
      <c r="AJ107" t="b">
        <f t="shared" si="32"/>
        <v>1</v>
      </c>
      <c r="AK107" t="b">
        <f t="shared" si="33"/>
        <v>1</v>
      </c>
      <c r="AL107" t="b">
        <f t="shared" si="34"/>
        <v>1</v>
      </c>
      <c r="AM107" t="b">
        <f t="shared" si="35"/>
        <v>1</v>
      </c>
      <c r="AN107" t="b">
        <f t="shared" si="36"/>
        <v>1</v>
      </c>
      <c r="AO107" t="b">
        <f t="shared" si="37"/>
        <v>1</v>
      </c>
      <c r="AP107" t="b">
        <f t="shared" si="38"/>
        <v>1</v>
      </c>
      <c r="AQ107" t="b">
        <f t="shared" si="39"/>
        <v>1</v>
      </c>
    </row>
    <row r="108" spans="1:43" x14ac:dyDescent="0.55000000000000004">
      <c r="A108">
        <v>1776754806</v>
      </c>
      <c r="B108" t="s">
        <v>16</v>
      </c>
      <c r="C108" t="s">
        <v>17</v>
      </c>
      <c r="D108">
        <v>4782.82</v>
      </c>
      <c r="E108" t="s">
        <v>18</v>
      </c>
      <c r="F108">
        <v>4772.78</v>
      </c>
      <c r="G108">
        <v>4833.25</v>
      </c>
      <c r="H108">
        <v>4792.42</v>
      </c>
      <c r="I108">
        <v>4827.74</v>
      </c>
      <c r="J108">
        <v>4783.51</v>
      </c>
      <c r="K108">
        <v>4805.79</v>
      </c>
      <c r="L108">
        <v>-60.47</v>
      </c>
      <c r="M108">
        <v>-1.25</v>
      </c>
      <c r="N108">
        <v>3</v>
      </c>
      <c r="O108">
        <v>35</v>
      </c>
      <c r="P108" t="s">
        <v>19</v>
      </c>
      <c r="R108">
        <v>1776754806</v>
      </c>
      <c r="S108" t="s">
        <v>16</v>
      </c>
      <c r="T108" t="s">
        <v>17</v>
      </c>
      <c r="U108">
        <v>4782.82</v>
      </c>
      <c r="V108" t="s">
        <v>18</v>
      </c>
      <c r="W108">
        <v>4772.78</v>
      </c>
      <c r="X108">
        <v>-60.47</v>
      </c>
      <c r="Y108">
        <v>-1.25</v>
      </c>
      <c r="Z108">
        <v>3</v>
      </c>
      <c r="AA108">
        <v>35</v>
      </c>
      <c r="AB108">
        <v>3</v>
      </c>
      <c r="AC108">
        <v>-1.7277100000000001</v>
      </c>
      <c r="AD108">
        <v>3</v>
      </c>
      <c r="AE108">
        <v>-59.937800000000003</v>
      </c>
      <c r="AF108" t="s">
        <v>19</v>
      </c>
      <c r="AH108" t="b">
        <f t="shared" si="30"/>
        <v>1</v>
      </c>
      <c r="AI108" t="b">
        <f t="shared" si="31"/>
        <v>1</v>
      </c>
      <c r="AJ108" t="b">
        <f t="shared" si="32"/>
        <v>1</v>
      </c>
      <c r="AK108" t="b">
        <f t="shared" si="33"/>
        <v>1</v>
      </c>
      <c r="AL108" t="b">
        <f t="shared" si="34"/>
        <v>1</v>
      </c>
      <c r="AM108" t="b">
        <f t="shared" si="35"/>
        <v>1</v>
      </c>
      <c r="AN108" t="b">
        <f t="shared" si="36"/>
        <v>1</v>
      </c>
      <c r="AO108" t="b">
        <f t="shared" si="37"/>
        <v>1</v>
      </c>
      <c r="AP108" t="b">
        <f t="shared" si="38"/>
        <v>1</v>
      </c>
      <c r="AQ108" t="b">
        <f t="shared" si="39"/>
        <v>1</v>
      </c>
    </row>
    <row r="109" spans="1:43" x14ac:dyDescent="0.55000000000000004">
      <c r="A109">
        <v>1776771906</v>
      </c>
      <c r="B109" t="s">
        <v>16</v>
      </c>
      <c r="C109" t="s">
        <v>17</v>
      </c>
      <c r="D109">
        <v>4794.6099999999997</v>
      </c>
      <c r="E109" t="s">
        <v>20</v>
      </c>
      <c r="F109">
        <v>4797.91</v>
      </c>
      <c r="G109">
        <v>4772.78</v>
      </c>
      <c r="H109">
        <v>4833.25</v>
      </c>
      <c r="I109">
        <v>4792.42</v>
      </c>
      <c r="J109">
        <v>4827.74</v>
      </c>
      <c r="K109">
        <v>4783.51</v>
      </c>
      <c r="L109">
        <v>25.13</v>
      </c>
      <c r="M109">
        <v>0.53</v>
      </c>
      <c r="N109">
        <v>0</v>
      </c>
      <c r="O109">
        <v>19</v>
      </c>
      <c r="P109" t="s">
        <v>21</v>
      </c>
      <c r="R109">
        <v>1776771906</v>
      </c>
      <c r="S109" t="s">
        <v>16</v>
      </c>
      <c r="T109" t="s">
        <v>17</v>
      </c>
      <c r="U109">
        <v>4794.6099999999997</v>
      </c>
      <c r="V109" t="s">
        <v>20</v>
      </c>
      <c r="W109">
        <v>4797.91</v>
      </c>
      <c r="X109">
        <v>25.13</v>
      </c>
      <c r="Y109">
        <v>0.53</v>
      </c>
      <c r="Z109">
        <v>0</v>
      </c>
      <c r="AA109">
        <v>19</v>
      </c>
      <c r="AB109">
        <v>0</v>
      </c>
      <c r="AC109">
        <v>1.32263</v>
      </c>
      <c r="AD109">
        <v>0</v>
      </c>
      <c r="AE109">
        <v>52.908200000000001</v>
      </c>
      <c r="AF109" t="s">
        <v>21</v>
      </c>
      <c r="AH109" t="b">
        <f t="shared" si="30"/>
        <v>1</v>
      </c>
      <c r="AI109" t="b">
        <f t="shared" si="31"/>
        <v>1</v>
      </c>
      <c r="AJ109" t="b">
        <f t="shared" si="32"/>
        <v>1</v>
      </c>
      <c r="AK109" t="b">
        <f t="shared" si="33"/>
        <v>1</v>
      </c>
      <c r="AL109" t="b">
        <f t="shared" si="34"/>
        <v>1</v>
      </c>
      <c r="AM109" t="b">
        <f t="shared" si="35"/>
        <v>1</v>
      </c>
      <c r="AN109" t="b">
        <f t="shared" si="36"/>
        <v>1</v>
      </c>
      <c r="AO109" t="b">
        <f t="shared" si="37"/>
        <v>1</v>
      </c>
      <c r="AP109" t="b">
        <f t="shared" si="38"/>
        <v>1</v>
      </c>
      <c r="AQ109" t="b">
        <f t="shared" si="39"/>
        <v>1</v>
      </c>
    </row>
    <row r="110" spans="1:43" x14ac:dyDescent="0.55000000000000004">
      <c r="A110">
        <v>1776799806</v>
      </c>
      <c r="B110" t="s">
        <v>16</v>
      </c>
      <c r="C110" t="s">
        <v>17</v>
      </c>
      <c r="D110">
        <v>4671.47</v>
      </c>
      <c r="E110" t="s">
        <v>18</v>
      </c>
      <c r="F110">
        <v>4668.6099999999997</v>
      </c>
      <c r="G110">
        <v>4797.91</v>
      </c>
      <c r="H110">
        <v>4772.78</v>
      </c>
      <c r="I110">
        <v>4833.25</v>
      </c>
      <c r="J110">
        <v>4792.42</v>
      </c>
      <c r="K110">
        <v>4827.74</v>
      </c>
      <c r="L110">
        <v>-129.30000000000001</v>
      </c>
      <c r="M110">
        <v>-2.69</v>
      </c>
      <c r="N110">
        <v>5</v>
      </c>
      <c r="O110">
        <v>31</v>
      </c>
      <c r="P110" t="s">
        <v>19</v>
      </c>
      <c r="R110">
        <v>1776799806</v>
      </c>
      <c r="S110" t="s">
        <v>16</v>
      </c>
      <c r="T110" t="s">
        <v>17</v>
      </c>
      <c r="U110">
        <v>4671.47</v>
      </c>
      <c r="V110" t="s">
        <v>18</v>
      </c>
      <c r="W110">
        <v>4668.6099999999997</v>
      </c>
      <c r="X110">
        <v>-129.30000000000001</v>
      </c>
      <c r="Y110">
        <v>-2.69</v>
      </c>
      <c r="Z110">
        <v>5</v>
      </c>
      <c r="AA110">
        <v>31</v>
      </c>
      <c r="AB110">
        <v>3</v>
      </c>
      <c r="AC110">
        <v>-4.1709699999999996</v>
      </c>
      <c r="AD110">
        <v>3</v>
      </c>
      <c r="AE110">
        <v>-76.517700000000005</v>
      </c>
      <c r="AF110" t="s">
        <v>19</v>
      </c>
      <c r="AH110" t="b">
        <f t="shared" si="30"/>
        <v>1</v>
      </c>
      <c r="AI110" t="b">
        <f t="shared" si="31"/>
        <v>1</v>
      </c>
      <c r="AJ110" t="b">
        <f t="shared" si="32"/>
        <v>1</v>
      </c>
      <c r="AK110" t="b">
        <f t="shared" si="33"/>
        <v>1</v>
      </c>
      <c r="AL110" t="b">
        <f t="shared" si="34"/>
        <v>1</v>
      </c>
      <c r="AM110" t="b">
        <f t="shared" si="35"/>
        <v>1</v>
      </c>
      <c r="AN110" t="b">
        <f t="shared" si="36"/>
        <v>1</v>
      </c>
      <c r="AO110" t="b">
        <f t="shared" si="37"/>
        <v>1</v>
      </c>
      <c r="AP110" t="b">
        <f t="shared" si="38"/>
        <v>1</v>
      </c>
      <c r="AQ110" t="b">
        <f t="shared" si="39"/>
        <v>1</v>
      </c>
    </row>
    <row r="111" spans="1:43" x14ac:dyDescent="0.55000000000000004">
      <c r="A111">
        <v>1776841206</v>
      </c>
      <c r="B111" t="s">
        <v>16</v>
      </c>
      <c r="C111" t="s">
        <v>17</v>
      </c>
      <c r="D111">
        <v>4765.67</v>
      </c>
      <c r="E111" t="s">
        <v>20</v>
      </c>
      <c r="F111">
        <v>4772.1499999999996</v>
      </c>
      <c r="G111">
        <v>4668.6099999999997</v>
      </c>
      <c r="H111">
        <v>4797.91</v>
      </c>
      <c r="I111">
        <v>4772.78</v>
      </c>
      <c r="J111">
        <v>4833.25</v>
      </c>
      <c r="K111">
        <v>4792.42</v>
      </c>
      <c r="L111">
        <v>103.54</v>
      </c>
      <c r="M111">
        <v>2.2200000000000002</v>
      </c>
      <c r="N111">
        <v>1</v>
      </c>
      <c r="O111">
        <v>42</v>
      </c>
      <c r="P111" t="s">
        <v>21</v>
      </c>
      <c r="R111">
        <v>1776841206</v>
      </c>
      <c r="S111" t="s">
        <v>16</v>
      </c>
      <c r="T111" t="s">
        <v>17</v>
      </c>
      <c r="U111">
        <v>4765.67</v>
      </c>
      <c r="V111" t="s">
        <v>20</v>
      </c>
      <c r="W111">
        <v>4772.1499999999996</v>
      </c>
      <c r="X111">
        <v>103.54</v>
      </c>
      <c r="Y111">
        <v>2.2200000000000002</v>
      </c>
      <c r="Z111">
        <v>1</v>
      </c>
      <c r="AA111">
        <v>42</v>
      </c>
      <c r="AB111">
        <v>1</v>
      </c>
      <c r="AC111">
        <v>2.4652400000000001</v>
      </c>
      <c r="AD111">
        <v>0</v>
      </c>
      <c r="AE111">
        <v>67.920500000000004</v>
      </c>
      <c r="AF111" t="s">
        <v>21</v>
      </c>
      <c r="AH111" t="b">
        <f t="shared" si="30"/>
        <v>1</v>
      </c>
      <c r="AI111" t="b">
        <f t="shared" si="31"/>
        <v>1</v>
      </c>
      <c r="AJ111" t="b">
        <f t="shared" si="32"/>
        <v>1</v>
      </c>
      <c r="AK111" t="b">
        <f t="shared" si="33"/>
        <v>1</v>
      </c>
      <c r="AL111" t="b">
        <f t="shared" si="34"/>
        <v>1</v>
      </c>
      <c r="AM111" t="b">
        <f t="shared" si="35"/>
        <v>1</v>
      </c>
      <c r="AN111" t="b">
        <f t="shared" si="36"/>
        <v>1</v>
      </c>
      <c r="AO111" t="b">
        <f t="shared" si="37"/>
        <v>1</v>
      </c>
      <c r="AP111" t="b">
        <f t="shared" si="38"/>
        <v>1</v>
      </c>
      <c r="AQ111" t="b">
        <f t="shared" si="39"/>
        <v>1</v>
      </c>
    </row>
    <row r="112" spans="1:43" x14ac:dyDescent="0.55000000000000004">
      <c r="A112">
        <v>1776875406</v>
      </c>
      <c r="B112" t="s">
        <v>16</v>
      </c>
      <c r="C112" t="s">
        <v>17</v>
      </c>
      <c r="D112">
        <v>4728.3</v>
      </c>
      <c r="E112" t="s">
        <v>18</v>
      </c>
      <c r="F112">
        <v>4724.03</v>
      </c>
      <c r="G112">
        <v>4772.1499999999996</v>
      </c>
      <c r="H112">
        <v>4668.6099999999997</v>
      </c>
      <c r="I112">
        <v>4797.91</v>
      </c>
      <c r="J112">
        <v>4772.78</v>
      </c>
      <c r="K112">
        <v>4833.25</v>
      </c>
      <c r="L112">
        <v>-48.12</v>
      </c>
      <c r="M112">
        <v>-1.01</v>
      </c>
      <c r="N112">
        <v>3</v>
      </c>
      <c r="O112">
        <v>38</v>
      </c>
      <c r="P112" t="s">
        <v>22</v>
      </c>
      <c r="R112">
        <v>1776875406</v>
      </c>
      <c r="S112" t="s">
        <v>16</v>
      </c>
      <c r="T112" t="s">
        <v>17</v>
      </c>
      <c r="U112">
        <v>4728.3</v>
      </c>
      <c r="V112" t="s">
        <v>18</v>
      </c>
      <c r="W112">
        <v>4724.03</v>
      </c>
      <c r="X112">
        <v>-48.12</v>
      </c>
      <c r="Y112">
        <v>-1.01</v>
      </c>
      <c r="Z112">
        <v>3</v>
      </c>
      <c r="AA112">
        <v>38</v>
      </c>
      <c r="AB112">
        <v>4</v>
      </c>
      <c r="AC112">
        <v>-1.2663199999999999</v>
      </c>
      <c r="AD112">
        <v>3</v>
      </c>
      <c r="AE112">
        <v>-51.702100000000002</v>
      </c>
      <c r="AF112" t="s">
        <v>22</v>
      </c>
      <c r="AH112" t="b">
        <f t="shared" si="30"/>
        <v>1</v>
      </c>
      <c r="AI112" t="b">
        <f t="shared" si="31"/>
        <v>1</v>
      </c>
      <c r="AJ112" t="b">
        <f t="shared" si="32"/>
        <v>1</v>
      </c>
      <c r="AK112" t="b">
        <f t="shared" si="33"/>
        <v>1</v>
      </c>
      <c r="AL112" t="b">
        <f t="shared" si="34"/>
        <v>1</v>
      </c>
      <c r="AM112" t="b">
        <f t="shared" si="35"/>
        <v>1</v>
      </c>
      <c r="AN112" t="b">
        <f t="shared" si="36"/>
        <v>1</v>
      </c>
      <c r="AO112" t="b">
        <f t="shared" si="37"/>
        <v>1</v>
      </c>
      <c r="AP112" t="b">
        <f t="shared" si="38"/>
        <v>1</v>
      </c>
      <c r="AQ112" t="b">
        <f t="shared" si="39"/>
        <v>1</v>
      </c>
    </row>
    <row r="113" spans="1:43" x14ac:dyDescent="0.55000000000000004">
      <c r="A113">
        <v>1776883506</v>
      </c>
      <c r="B113" t="s">
        <v>16</v>
      </c>
      <c r="C113" t="s">
        <v>17</v>
      </c>
      <c r="D113">
        <v>4741.6899999999996</v>
      </c>
      <c r="E113" t="s">
        <v>20</v>
      </c>
      <c r="F113">
        <v>4749.34</v>
      </c>
      <c r="G113">
        <v>4724.03</v>
      </c>
      <c r="H113">
        <v>4772.1499999999996</v>
      </c>
      <c r="I113">
        <v>4668.6099999999997</v>
      </c>
      <c r="J113">
        <v>4797.91</v>
      </c>
      <c r="K113">
        <v>4772.78</v>
      </c>
      <c r="L113">
        <v>25.31</v>
      </c>
      <c r="M113">
        <v>0.54</v>
      </c>
      <c r="N113">
        <v>0</v>
      </c>
      <c r="O113">
        <v>9</v>
      </c>
      <c r="P113" t="s">
        <v>21</v>
      </c>
      <c r="R113">
        <v>1776883506</v>
      </c>
      <c r="S113" t="s">
        <v>16</v>
      </c>
      <c r="T113" t="s">
        <v>17</v>
      </c>
      <c r="U113">
        <v>4741.6899999999996</v>
      </c>
      <c r="V113" t="s">
        <v>20</v>
      </c>
      <c r="W113">
        <v>4749.34</v>
      </c>
      <c r="X113">
        <v>25.31</v>
      </c>
      <c r="Y113">
        <v>0.54</v>
      </c>
      <c r="Z113">
        <v>0</v>
      </c>
      <c r="AA113">
        <v>9</v>
      </c>
      <c r="AB113">
        <v>0</v>
      </c>
      <c r="AC113">
        <v>2.8122199999999999</v>
      </c>
      <c r="AD113">
        <v>0</v>
      </c>
      <c r="AE113">
        <v>70.4251</v>
      </c>
      <c r="AF113" t="s">
        <v>21</v>
      </c>
      <c r="AH113" t="b">
        <f t="shared" si="30"/>
        <v>1</v>
      </c>
      <c r="AI113" t="b">
        <f t="shared" si="31"/>
        <v>1</v>
      </c>
      <c r="AJ113" t="b">
        <f t="shared" si="32"/>
        <v>1</v>
      </c>
      <c r="AK113" t="b">
        <f t="shared" si="33"/>
        <v>1</v>
      </c>
      <c r="AL113" t="b">
        <f t="shared" si="34"/>
        <v>1</v>
      </c>
      <c r="AM113" t="b">
        <f t="shared" si="35"/>
        <v>1</v>
      </c>
      <c r="AN113" t="b">
        <f t="shared" si="36"/>
        <v>1</v>
      </c>
      <c r="AO113" t="b">
        <f t="shared" si="37"/>
        <v>1</v>
      </c>
      <c r="AP113" t="b">
        <f t="shared" si="38"/>
        <v>1</v>
      </c>
      <c r="AQ113" t="b">
        <f t="shared" si="39"/>
        <v>1</v>
      </c>
    </row>
    <row r="114" spans="1:43" x14ac:dyDescent="0.55000000000000004">
      <c r="A114">
        <v>1776903306</v>
      </c>
      <c r="B114" t="s">
        <v>16</v>
      </c>
      <c r="C114" t="s">
        <v>17</v>
      </c>
      <c r="D114">
        <v>4741.59</v>
      </c>
      <c r="E114" t="s">
        <v>18</v>
      </c>
      <c r="F114">
        <v>4694.34</v>
      </c>
      <c r="G114">
        <v>4749.34</v>
      </c>
      <c r="H114">
        <v>4724.03</v>
      </c>
      <c r="I114">
        <v>4772.1499999999996</v>
      </c>
      <c r="J114">
        <v>4668.6099999999997</v>
      </c>
      <c r="K114">
        <v>4797.91</v>
      </c>
      <c r="L114">
        <v>-55</v>
      </c>
      <c r="M114">
        <v>-1.1599999999999999</v>
      </c>
      <c r="N114">
        <v>3</v>
      </c>
      <c r="O114">
        <v>18</v>
      </c>
      <c r="P114" t="s">
        <v>19</v>
      </c>
      <c r="R114">
        <v>1776903306</v>
      </c>
      <c r="S114" t="s">
        <v>16</v>
      </c>
      <c r="T114" t="s">
        <v>17</v>
      </c>
      <c r="U114">
        <v>4741.59</v>
      </c>
      <c r="V114" t="s">
        <v>18</v>
      </c>
      <c r="W114">
        <v>4694.34</v>
      </c>
      <c r="X114">
        <v>-55</v>
      </c>
      <c r="Y114">
        <v>-1.1599999999999999</v>
      </c>
      <c r="Z114">
        <v>3</v>
      </c>
      <c r="AA114">
        <v>18</v>
      </c>
      <c r="AB114">
        <v>3</v>
      </c>
      <c r="AC114">
        <v>-3.0555599999999998</v>
      </c>
      <c r="AD114">
        <v>3</v>
      </c>
      <c r="AE114">
        <v>-71.878100000000003</v>
      </c>
      <c r="AF114" t="s">
        <v>19</v>
      </c>
      <c r="AH114" t="b">
        <f t="shared" si="30"/>
        <v>1</v>
      </c>
      <c r="AI114" t="b">
        <f t="shared" si="31"/>
        <v>1</v>
      </c>
      <c r="AJ114" t="b">
        <f t="shared" si="32"/>
        <v>1</v>
      </c>
      <c r="AK114" t="b">
        <f t="shared" si="33"/>
        <v>1</v>
      </c>
      <c r="AL114" t="b">
        <f t="shared" si="34"/>
        <v>1</v>
      </c>
      <c r="AM114" t="b">
        <f t="shared" si="35"/>
        <v>1</v>
      </c>
      <c r="AN114" t="b">
        <f t="shared" si="36"/>
        <v>1</v>
      </c>
      <c r="AO114" t="b">
        <f t="shared" si="37"/>
        <v>1</v>
      </c>
      <c r="AP114" t="b">
        <f t="shared" si="38"/>
        <v>1</v>
      </c>
      <c r="AQ114" t="b">
        <f t="shared" si="39"/>
        <v>1</v>
      </c>
    </row>
    <row r="115" spans="1:43" x14ac:dyDescent="0.55000000000000004">
      <c r="A115">
        <v>1776905106</v>
      </c>
      <c r="B115" t="s">
        <v>16</v>
      </c>
      <c r="C115" t="s">
        <v>17</v>
      </c>
      <c r="D115">
        <v>4748.05</v>
      </c>
      <c r="E115" t="s">
        <v>20</v>
      </c>
      <c r="F115">
        <v>4753.33</v>
      </c>
      <c r="G115">
        <v>4694.34</v>
      </c>
      <c r="H115">
        <v>4749.34</v>
      </c>
      <c r="I115">
        <v>4724.03</v>
      </c>
      <c r="J115">
        <v>4772.1499999999996</v>
      </c>
      <c r="K115">
        <v>4668.6099999999997</v>
      </c>
      <c r="L115">
        <v>58.99</v>
      </c>
      <c r="M115">
        <v>1.26</v>
      </c>
      <c r="N115">
        <v>0</v>
      </c>
      <c r="O115">
        <v>2</v>
      </c>
      <c r="P115" t="s">
        <v>23</v>
      </c>
      <c r="R115">
        <v>1776905106</v>
      </c>
      <c r="S115" t="s">
        <v>16</v>
      </c>
      <c r="T115" t="s">
        <v>17</v>
      </c>
      <c r="U115">
        <v>4748.05</v>
      </c>
      <c r="V115" t="s">
        <v>20</v>
      </c>
      <c r="W115">
        <v>4753.33</v>
      </c>
      <c r="X115">
        <v>58.99</v>
      </c>
      <c r="Y115">
        <v>1.26</v>
      </c>
      <c r="Z115">
        <v>0</v>
      </c>
      <c r="AA115">
        <v>2</v>
      </c>
      <c r="AB115">
        <v>0</v>
      </c>
      <c r="AC115">
        <v>29.495000000000001</v>
      </c>
      <c r="AD115">
        <v>2</v>
      </c>
      <c r="AE115">
        <v>88.058199999999999</v>
      </c>
      <c r="AF115" t="s">
        <v>23</v>
      </c>
      <c r="AH115" t="b">
        <f t="shared" si="30"/>
        <v>1</v>
      </c>
      <c r="AI115" t="b">
        <f t="shared" si="31"/>
        <v>1</v>
      </c>
      <c r="AJ115" t="b">
        <f t="shared" si="32"/>
        <v>1</v>
      </c>
      <c r="AK115" t="b">
        <f t="shared" si="33"/>
        <v>1</v>
      </c>
      <c r="AL115" t="b">
        <f t="shared" si="34"/>
        <v>1</v>
      </c>
      <c r="AM115" t="b">
        <f t="shared" si="35"/>
        <v>1</v>
      </c>
      <c r="AN115" t="b">
        <f t="shared" si="36"/>
        <v>1</v>
      </c>
      <c r="AO115" t="b">
        <f t="shared" si="37"/>
        <v>1</v>
      </c>
      <c r="AP115" t="b">
        <f t="shared" si="38"/>
        <v>1</v>
      </c>
      <c r="AQ115" t="b">
        <f t="shared" si="39"/>
        <v>1</v>
      </c>
    </row>
    <row r="116" spans="1:43" x14ac:dyDescent="0.55000000000000004">
      <c r="A116">
        <v>1776922206</v>
      </c>
      <c r="B116" t="s">
        <v>16</v>
      </c>
      <c r="C116" t="s">
        <v>17</v>
      </c>
      <c r="D116">
        <v>4701.58</v>
      </c>
      <c r="E116" t="s">
        <v>18</v>
      </c>
      <c r="F116">
        <v>4693.0600000000004</v>
      </c>
      <c r="G116">
        <v>4753.33</v>
      </c>
      <c r="H116">
        <v>4694.34</v>
      </c>
      <c r="I116">
        <v>4749.34</v>
      </c>
      <c r="J116">
        <v>4724.03</v>
      </c>
      <c r="K116">
        <v>4772.1499999999996</v>
      </c>
      <c r="L116">
        <v>-60.27</v>
      </c>
      <c r="M116">
        <v>-1.27</v>
      </c>
      <c r="N116">
        <v>3</v>
      </c>
      <c r="O116">
        <v>19</v>
      </c>
      <c r="P116" t="s">
        <v>19</v>
      </c>
      <c r="R116">
        <v>1776922206</v>
      </c>
      <c r="S116" t="s">
        <v>16</v>
      </c>
      <c r="T116" t="s">
        <v>17</v>
      </c>
      <c r="U116">
        <v>4701.58</v>
      </c>
      <c r="V116" t="s">
        <v>18</v>
      </c>
      <c r="W116">
        <v>4693.0600000000004</v>
      </c>
      <c r="X116">
        <v>-60.27</v>
      </c>
      <c r="Y116">
        <v>-1.27</v>
      </c>
      <c r="Z116">
        <v>3</v>
      </c>
      <c r="AA116">
        <v>19</v>
      </c>
      <c r="AB116">
        <v>3</v>
      </c>
      <c r="AC116">
        <v>-3.17211</v>
      </c>
      <c r="AD116">
        <v>3</v>
      </c>
      <c r="AE116">
        <v>-72.502600000000001</v>
      </c>
      <c r="AF116" t="s">
        <v>19</v>
      </c>
      <c r="AH116" t="b">
        <f t="shared" si="30"/>
        <v>1</v>
      </c>
      <c r="AI116" t="b">
        <f t="shared" si="31"/>
        <v>1</v>
      </c>
      <c r="AJ116" t="b">
        <f t="shared" si="32"/>
        <v>1</v>
      </c>
      <c r="AK116" t="b">
        <f t="shared" si="33"/>
        <v>1</v>
      </c>
      <c r="AL116" t="b">
        <f t="shared" si="34"/>
        <v>1</v>
      </c>
      <c r="AM116" t="b">
        <f t="shared" si="35"/>
        <v>1</v>
      </c>
      <c r="AN116" t="b">
        <f t="shared" si="36"/>
        <v>1</v>
      </c>
      <c r="AO116" t="b">
        <f t="shared" si="37"/>
        <v>1</v>
      </c>
      <c r="AP116" t="b">
        <f t="shared" si="38"/>
        <v>1</v>
      </c>
      <c r="AQ116" t="b">
        <f t="shared" si="39"/>
        <v>1</v>
      </c>
    </row>
    <row r="117" spans="1:43" x14ac:dyDescent="0.55000000000000004">
      <c r="A117">
        <v>1776931206</v>
      </c>
      <c r="B117" t="s">
        <v>16</v>
      </c>
      <c r="C117" t="s">
        <v>17</v>
      </c>
      <c r="D117">
        <v>4718.21</v>
      </c>
      <c r="E117" t="s">
        <v>20</v>
      </c>
      <c r="F117">
        <v>4724.8900000000003</v>
      </c>
      <c r="G117">
        <v>4693.0600000000004</v>
      </c>
      <c r="H117">
        <v>4753.33</v>
      </c>
      <c r="I117">
        <v>4694.34</v>
      </c>
      <c r="J117">
        <v>4749.34</v>
      </c>
      <c r="K117">
        <v>4724.03</v>
      </c>
      <c r="L117">
        <v>31.83</v>
      </c>
      <c r="M117">
        <v>0.68</v>
      </c>
      <c r="N117">
        <v>0</v>
      </c>
      <c r="O117">
        <v>10</v>
      </c>
      <c r="P117" t="s">
        <v>21</v>
      </c>
      <c r="R117">
        <v>1776931206</v>
      </c>
      <c r="S117" t="s">
        <v>16</v>
      </c>
      <c r="T117" t="s">
        <v>17</v>
      </c>
      <c r="U117">
        <v>4718.21</v>
      </c>
      <c r="V117" t="s">
        <v>20</v>
      </c>
      <c r="W117">
        <v>4724.8900000000003</v>
      </c>
      <c r="X117">
        <v>31.83</v>
      </c>
      <c r="Y117">
        <v>0.68</v>
      </c>
      <c r="Z117">
        <v>0</v>
      </c>
      <c r="AA117">
        <v>10</v>
      </c>
      <c r="AB117">
        <v>0</v>
      </c>
      <c r="AC117">
        <v>3.1829999999999998</v>
      </c>
      <c r="AD117">
        <v>0</v>
      </c>
      <c r="AE117">
        <v>72.558899999999994</v>
      </c>
      <c r="AF117" t="s">
        <v>21</v>
      </c>
      <c r="AH117" t="b">
        <f t="shared" si="30"/>
        <v>1</v>
      </c>
      <c r="AI117" t="b">
        <f t="shared" si="31"/>
        <v>1</v>
      </c>
      <c r="AJ117" t="b">
        <f t="shared" si="32"/>
        <v>1</v>
      </c>
      <c r="AK117" t="b">
        <f t="shared" si="33"/>
        <v>1</v>
      </c>
      <c r="AL117" t="b">
        <f t="shared" si="34"/>
        <v>1</v>
      </c>
      <c r="AM117" t="b">
        <f t="shared" si="35"/>
        <v>1</v>
      </c>
      <c r="AN117" t="b">
        <f t="shared" si="36"/>
        <v>1</v>
      </c>
      <c r="AO117" t="b">
        <f t="shared" si="37"/>
        <v>1</v>
      </c>
      <c r="AP117" t="b">
        <f t="shared" si="38"/>
        <v>1</v>
      </c>
      <c r="AQ117" t="b">
        <f t="shared" si="39"/>
        <v>1</v>
      </c>
    </row>
    <row r="118" spans="1:43" x14ac:dyDescent="0.55000000000000004">
      <c r="A118">
        <v>1776940206</v>
      </c>
      <c r="B118" t="s">
        <v>16</v>
      </c>
      <c r="C118" t="s">
        <v>17</v>
      </c>
      <c r="D118">
        <v>4690.7700000000004</v>
      </c>
      <c r="E118" t="s">
        <v>18</v>
      </c>
      <c r="F118">
        <v>4684.26</v>
      </c>
      <c r="G118">
        <v>4724.8900000000003</v>
      </c>
      <c r="H118">
        <v>4693.0600000000004</v>
      </c>
      <c r="I118">
        <v>4753.33</v>
      </c>
      <c r="J118">
        <v>4694.34</v>
      </c>
      <c r="K118">
        <v>4749.34</v>
      </c>
      <c r="L118">
        <v>-40.630000000000003</v>
      </c>
      <c r="M118">
        <v>-0.86</v>
      </c>
      <c r="N118">
        <v>3</v>
      </c>
      <c r="O118">
        <v>10</v>
      </c>
      <c r="P118" t="s">
        <v>19</v>
      </c>
      <c r="R118">
        <v>1776940206</v>
      </c>
      <c r="S118" t="s">
        <v>16</v>
      </c>
      <c r="T118" t="s">
        <v>17</v>
      </c>
      <c r="U118">
        <v>4690.7700000000004</v>
      </c>
      <c r="V118" t="s">
        <v>18</v>
      </c>
      <c r="W118">
        <v>4684.26</v>
      </c>
      <c r="X118">
        <v>-40.630000000000003</v>
      </c>
      <c r="Y118">
        <v>-0.86</v>
      </c>
      <c r="Z118">
        <v>3</v>
      </c>
      <c r="AA118">
        <v>10</v>
      </c>
      <c r="AB118">
        <v>3</v>
      </c>
      <c r="AC118">
        <v>-4.0629999999999997</v>
      </c>
      <c r="AD118">
        <v>3</v>
      </c>
      <c r="AE118">
        <v>-76.173000000000002</v>
      </c>
      <c r="AF118" t="s">
        <v>19</v>
      </c>
      <c r="AH118" t="b">
        <f t="shared" si="30"/>
        <v>1</v>
      </c>
      <c r="AI118" t="b">
        <f t="shared" si="31"/>
        <v>1</v>
      </c>
      <c r="AJ118" t="b">
        <f t="shared" si="32"/>
        <v>1</v>
      </c>
      <c r="AK118" t="b">
        <f t="shared" si="33"/>
        <v>1</v>
      </c>
      <c r="AL118" t="b">
        <f t="shared" si="34"/>
        <v>1</v>
      </c>
      <c r="AM118" t="b">
        <f t="shared" si="35"/>
        <v>1</v>
      </c>
      <c r="AN118" t="b">
        <f t="shared" si="36"/>
        <v>1</v>
      </c>
      <c r="AO118" t="b">
        <f t="shared" si="37"/>
        <v>1</v>
      </c>
      <c r="AP118" t="b">
        <f t="shared" si="38"/>
        <v>1</v>
      </c>
      <c r="AQ118" t="b">
        <f t="shared" si="39"/>
        <v>1</v>
      </c>
    </row>
    <row r="119" spans="1:43" x14ac:dyDescent="0.55000000000000004">
      <c r="A119">
        <v>1776948306</v>
      </c>
      <c r="B119" t="s">
        <v>16</v>
      </c>
      <c r="C119" t="s">
        <v>17</v>
      </c>
      <c r="D119">
        <v>4740.04</v>
      </c>
      <c r="E119" t="s">
        <v>20</v>
      </c>
      <c r="F119">
        <v>4743.22</v>
      </c>
      <c r="G119">
        <v>4684.26</v>
      </c>
      <c r="H119">
        <v>4724.8900000000003</v>
      </c>
      <c r="I119">
        <v>4693.0600000000004</v>
      </c>
      <c r="J119">
        <v>4753.33</v>
      </c>
      <c r="K119">
        <v>4694.34</v>
      </c>
      <c r="L119">
        <v>58.96</v>
      </c>
      <c r="M119">
        <v>1.26</v>
      </c>
      <c r="N119">
        <v>0</v>
      </c>
      <c r="O119">
        <v>9</v>
      </c>
      <c r="P119" t="s">
        <v>23</v>
      </c>
      <c r="R119">
        <v>1776948306</v>
      </c>
      <c r="S119" t="s">
        <v>16</v>
      </c>
      <c r="T119" t="s">
        <v>17</v>
      </c>
      <c r="U119">
        <v>4740.04</v>
      </c>
      <c r="V119" t="s">
        <v>20</v>
      </c>
      <c r="W119">
        <v>4743.22</v>
      </c>
      <c r="X119">
        <v>58.96</v>
      </c>
      <c r="Y119">
        <v>1.26</v>
      </c>
      <c r="Z119">
        <v>0</v>
      </c>
      <c r="AA119">
        <v>9</v>
      </c>
      <c r="AB119">
        <v>0</v>
      </c>
      <c r="AC119">
        <v>6.5511100000000004</v>
      </c>
      <c r="AD119">
        <v>0</v>
      </c>
      <c r="AE119">
        <v>81.320999999999998</v>
      </c>
      <c r="AF119" t="s">
        <v>23</v>
      </c>
      <c r="AH119" t="b">
        <f t="shared" si="30"/>
        <v>1</v>
      </c>
      <c r="AI119" t="b">
        <f t="shared" si="31"/>
        <v>1</v>
      </c>
      <c r="AJ119" t="b">
        <f t="shared" si="32"/>
        <v>1</v>
      </c>
      <c r="AK119" t="b">
        <f t="shared" si="33"/>
        <v>1</v>
      </c>
      <c r="AL119" t="b">
        <f t="shared" si="34"/>
        <v>1</v>
      </c>
      <c r="AM119" t="b">
        <f t="shared" si="35"/>
        <v>1</v>
      </c>
      <c r="AN119" t="b">
        <f t="shared" si="36"/>
        <v>1</v>
      </c>
      <c r="AO119" t="b">
        <f t="shared" si="37"/>
        <v>1</v>
      </c>
      <c r="AP119" t="b">
        <f t="shared" si="38"/>
        <v>1</v>
      </c>
      <c r="AQ119" t="b">
        <f t="shared" si="39"/>
        <v>1</v>
      </c>
    </row>
    <row r="120" spans="1:43" x14ac:dyDescent="0.55000000000000004">
      <c r="A120">
        <v>1776966306</v>
      </c>
      <c r="B120" t="s">
        <v>16</v>
      </c>
      <c r="C120" t="s">
        <v>17</v>
      </c>
      <c r="D120">
        <v>4709.41</v>
      </c>
      <c r="E120" t="s">
        <v>18</v>
      </c>
      <c r="F120">
        <v>4664.3</v>
      </c>
      <c r="G120">
        <v>4743.22</v>
      </c>
      <c r="H120">
        <v>4684.26</v>
      </c>
      <c r="I120">
        <v>4724.8900000000003</v>
      </c>
      <c r="J120">
        <v>4693.0600000000004</v>
      </c>
      <c r="K120">
        <v>4753.33</v>
      </c>
      <c r="L120">
        <v>-78.92</v>
      </c>
      <c r="M120">
        <v>-1.66</v>
      </c>
      <c r="N120">
        <v>3</v>
      </c>
      <c r="O120">
        <v>20</v>
      </c>
      <c r="P120" t="s">
        <v>19</v>
      </c>
      <c r="R120">
        <v>1776966306</v>
      </c>
      <c r="S120" t="s">
        <v>16</v>
      </c>
      <c r="T120" t="s">
        <v>17</v>
      </c>
      <c r="U120">
        <v>4709.41</v>
      </c>
      <c r="V120" t="s">
        <v>18</v>
      </c>
      <c r="W120">
        <v>4664.3</v>
      </c>
      <c r="X120">
        <v>-78.92</v>
      </c>
      <c r="Y120">
        <v>-1.66</v>
      </c>
      <c r="Z120">
        <v>3</v>
      </c>
      <c r="AA120">
        <v>20</v>
      </c>
      <c r="AB120">
        <v>3</v>
      </c>
      <c r="AC120">
        <v>-3.9460000000000002</v>
      </c>
      <c r="AD120">
        <v>3</v>
      </c>
      <c r="AE120">
        <v>-75.779399999999995</v>
      </c>
      <c r="AF120" t="s">
        <v>19</v>
      </c>
      <c r="AH120" t="b">
        <f t="shared" si="30"/>
        <v>1</v>
      </c>
      <c r="AI120" t="b">
        <f t="shared" si="31"/>
        <v>1</v>
      </c>
      <c r="AJ120" t="b">
        <f t="shared" si="32"/>
        <v>1</v>
      </c>
      <c r="AK120" t="b">
        <f t="shared" si="33"/>
        <v>1</v>
      </c>
      <c r="AL120" t="b">
        <f t="shared" si="34"/>
        <v>1</v>
      </c>
      <c r="AM120" t="b">
        <f t="shared" si="35"/>
        <v>1</v>
      </c>
      <c r="AN120" t="b">
        <f t="shared" si="36"/>
        <v>1</v>
      </c>
      <c r="AO120" t="b">
        <f t="shared" si="37"/>
        <v>1</v>
      </c>
      <c r="AP120" t="b">
        <f t="shared" si="38"/>
        <v>1</v>
      </c>
      <c r="AQ120" t="b">
        <f t="shared" si="39"/>
        <v>1</v>
      </c>
    </row>
    <row r="121" spans="1:43" x14ac:dyDescent="0.55000000000000004">
      <c r="A121">
        <v>1776993306</v>
      </c>
      <c r="B121" t="s">
        <v>16</v>
      </c>
      <c r="C121" t="s">
        <v>17</v>
      </c>
      <c r="D121">
        <v>4698.41</v>
      </c>
      <c r="E121" t="s">
        <v>20</v>
      </c>
      <c r="F121">
        <v>4711.2299999999996</v>
      </c>
      <c r="G121">
        <v>4664.3</v>
      </c>
      <c r="H121">
        <v>4743.22</v>
      </c>
      <c r="I121">
        <v>4684.26</v>
      </c>
      <c r="J121">
        <v>4724.8900000000003</v>
      </c>
      <c r="K121">
        <v>4693.0600000000004</v>
      </c>
      <c r="L121">
        <v>46.93</v>
      </c>
      <c r="M121">
        <v>1.01</v>
      </c>
      <c r="N121">
        <v>0</v>
      </c>
      <c r="O121">
        <v>26</v>
      </c>
      <c r="P121" t="s">
        <v>21</v>
      </c>
      <c r="R121">
        <v>1776993306</v>
      </c>
      <c r="S121" t="s">
        <v>16</v>
      </c>
      <c r="T121" t="s">
        <v>17</v>
      </c>
      <c r="U121">
        <v>4698.41</v>
      </c>
      <c r="V121" t="s">
        <v>20</v>
      </c>
      <c r="W121">
        <v>4711.2299999999996</v>
      </c>
      <c r="X121">
        <v>46.93</v>
      </c>
      <c r="Y121">
        <v>1.01</v>
      </c>
      <c r="Z121">
        <v>0</v>
      </c>
      <c r="AA121">
        <v>26</v>
      </c>
      <c r="AB121">
        <v>0</v>
      </c>
      <c r="AC121">
        <v>1.8049999999999999</v>
      </c>
      <c r="AD121">
        <v>0</v>
      </c>
      <c r="AE121">
        <v>61.012799999999999</v>
      </c>
      <c r="AF121" t="s">
        <v>21</v>
      </c>
      <c r="AH121" t="b">
        <f t="shared" si="30"/>
        <v>1</v>
      </c>
      <c r="AI121" t="b">
        <f t="shared" si="31"/>
        <v>1</v>
      </c>
      <c r="AJ121" t="b">
        <f t="shared" si="32"/>
        <v>1</v>
      </c>
      <c r="AK121" t="b">
        <f t="shared" si="33"/>
        <v>1</v>
      </c>
      <c r="AL121" t="b">
        <f t="shared" si="34"/>
        <v>1</v>
      </c>
      <c r="AM121" t="b">
        <f t="shared" si="35"/>
        <v>1</v>
      </c>
      <c r="AN121" t="b">
        <f t="shared" si="36"/>
        <v>1</v>
      </c>
      <c r="AO121" t="b">
        <f t="shared" si="37"/>
        <v>1</v>
      </c>
      <c r="AP121" t="b">
        <f t="shared" si="38"/>
        <v>1</v>
      </c>
      <c r="AQ121" t="b">
        <f t="shared" si="39"/>
        <v>1</v>
      </c>
    </row>
    <row r="122" spans="1:43" x14ac:dyDescent="0.55000000000000004">
      <c r="A122">
        <v>1777005006</v>
      </c>
      <c r="B122" t="s">
        <v>16</v>
      </c>
      <c r="C122" t="s">
        <v>17</v>
      </c>
      <c r="D122">
        <v>4668.58</v>
      </c>
      <c r="E122" t="s">
        <v>18</v>
      </c>
      <c r="F122">
        <v>4658.17</v>
      </c>
      <c r="G122">
        <v>4711.2299999999996</v>
      </c>
      <c r="H122">
        <v>4664.3</v>
      </c>
      <c r="I122">
        <v>4743.22</v>
      </c>
      <c r="J122">
        <v>4684.26</v>
      </c>
      <c r="K122">
        <v>4724.8900000000003</v>
      </c>
      <c r="L122">
        <v>-53.06</v>
      </c>
      <c r="M122">
        <v>-1.1299999999999999</v>
      </c>
      <c r="N122">
        <v>3</v>
      </c>
      <c r="O122">
        <v>13</v>
      </c>
      <c r="P122" t="s">
        <v>19</v>
      </c>
      <c r="R122">
        <v>1777005006</v>
      </c>
      <c r="S122" t="s">
        <v>16</v>
      </c>
      <c r="T122" t="s">
        <v>17</v>
      </c>
      <c r="U122">
        <v>4668.58</v>
      </c>
      <c r="V122" t="s">
        <v>18</v>
      </c>
      <c r="W122">
        <v>4658.17</v>
      </c>
      <c r="X122">
        <v>-53.06</v>
      </c>
      <c r="Y122">
        <v>-1.1299999999999999</v>
      </c>
      <c r="Z122">
        <v>3</v>
      </c>
      <c r="AA122">
        <v>13</v>
      </c>
      <c r="AB122">
        <v>3</v>
      </c>
      <c r="AC122">
        <v>-4.0815400000000004</v>
      </c>
      <c r="AD122">
        <v>3</v>
      </c>
      <c r="AE122">
        <v>-76.233400000000003</v>
      </c>
      <c r="AF122" t="s">
        <v>19</v>
      </c>
      <c r="AH122" t="b">
        <f t="shared" si="30"/>
        <v>1</v>
      </c>
      <c r="AI122" t="b">
        <f t="shared" si="31"/>
        <v>1</v>
      </c>
      <c r="AJ122" t="b">
        <f t="shared" si="32"/>
        <v>1</v>
      </c>
      <c r="AK122" t="b">
        <f t="shared" si="33"/>
        <v>1</v>
      </c>
      <c r="AL122" t="b">
        <f t="shared" si="34"/>
        <v>1</v>
      </c>
      <c r="AM122" t="b">
        <f t="shared" si="35"/>
        <v>1</v>
      </c>
      <c r="AN122" t="b">
        <f t="shared" si="36"/>
        <v>1</v>
      </c>
      <c r="AO122" t="b">
        <f t="shared" si="37"/>
        <v>1</v>
      </c>
      <c r="AP122" t="b">
        <f t="shared" si="38"/>
        <v>1</v>
      </c>
      <c r="AQ122" t="b">
        <f t="shared" si="39"/>
        <v>1</v>
      </c>
    </row>
    <row r="123" spans="1:43" x14ac:dyDescent="0.55000000000000004">
      <c r="A123">
        <v>1777018506</v>
      </c>
      <c r="B123" t="s">
        <v>16</v>
      </c>
      <c r="C123" t="s">
        <v>17</v>
      </c>
      <c r="D123">
        <v>4687.83</v>
      </c>
      <c r="E123" t="s">
        <v>20</v>
      </c>
      <c r="F123">
        <v>4697.42</v>
      </c>
      <c r="G123">
        <v>4658.17</v>
      </c>
      <c r="H123">
        <v>4711.2299999999996</v>
      </c>
      <c r="I123">
        <v>4664.3</v>
      </c>
      <c r="J123">
        <v>4743.22</v>
      </c>
      <c r="K123">
        <v>4684.26</v>
      </c>
      <c r="L123">
        <v>39.25</v>
      </c>
      <c r="M123">
        <v>0.84</v>
      </c>
      <c r="N123">
        <v>0</v>
      </c>
      <c r="O123">
        <v>15</v>
      </c>
      <c r="P123" t="s">
        <v>21</v>
      </c>
      <c r="R123">
        <v>1777018506</v>
      </c>
      <c r="S123" t="s">
        <v>16</v>
      </c>
      <c r="T123" t="s">
        <v>17</v>
      </c>
      <c r="U123">
        <v>4687.83</v>
      </c>
      <c r="V123" t="s">
        <v>20</v>
      </c>
      <c r="W123">
        <v>4697.42</v>
      </c>
      <c r="X123">
        <v>39.25</v>
      </c>
      <c r="Y123">
        <v>0.84</v>
      </c>
      <c r="Z123">
        <v>0</v>
      </c>
      <c r="AA123">
        <v>15</v>
      </c>
      <c r="AB123">
        <v>0</v>
      </c>
      <c r="AC123">
        <v>2.6166700000000001</v>
      </c>
      <c r="AD123">
        <v>0</v>
      </c>
      <c r="AE123">
        <v>69.084900000000005</v>
      </c>
      <c r="AF123" t="s">
        <v>21</v>
      </c>
      <c r="AH123" t="b">
        <f t="shared" si="30"/>
        <v>1</v>
      </c>
      <c r="AI123" t="b">
        <f t="shared" si="31"/>
        <v>1</v>
      </c>
      <c r="AJ123" t="b">
        <f t="shared" si="32"/>
        <v>1</v>
      </c>
      <c r="AK123" t="b">
        <f t="shared" si="33"/>
        <v>1</v>
      </c>
      <c r="AL123" t="b">
        <f t="shared" si="34"/>
        <v>1</v>
      </c>
      <c r="AM123" t="b">
        <f t="shared" si="35"/>
        <v>1</v>
      </c>
      <c r="AN123" t="b">
        <f t="shared" si="36"/>
        <v>1</v>
      </c>
      <c r="AO123" t="b">
        <f t="shared" si="37"/>
        <v>1</v>
      </c>
      <c r="AP123" t="b">
        <f t="shared" si="38"/>
        <v>1</v>
      </c>
      <c r="AQ123" t="b">
        <f t="shared" si="39"/>
        <v>1</v>
      </c>
    </row>
    <row r="124" spans="1:43" x14ac:dyDescent="0.55000000000000004">
      <c r="A124">
        <v>1777026606</v>
      </c>
      <c r="B124" t="s">
        <v>16</v>
      </c>
      <c r="C124" t="s">
        <v>17</v>
      </c>
      <c r="D124">
        <v>4679.01</v>
      </c>
      <c r="E124" t="s">
        <v>18</v>
      </c>
      <c r="F124">
        <v>4674.72</v>
      </c>
      <c r="G124">
        <v>4697.42</v>
      </c>
      <c r="H124">
        <v>4658.17</v>
      </c>
      <c r="I124">
        <v>4711.2299999999996</v>
      </c>
      <c r="J124">
        <v>4664.3</v>
      </c>
      <c r="K124">
        <v>4743.22</v>
      </c>
      <c r="L124">
        <v>-22.7</v>
      </c>
      <c r="M124">
        <v>-0.48</v>
      </c>
      <c r="N124">
        <v>3</v>
      </c>
      <c r="O124">
        <v>9</v>
      </c>
      <c r="P124" t="s">
        <v>22</v>
      </c>
      <c r="R124">
        <v>1777026606</v>
      </c>
      <c r="S124" t="s">
        <v>16</v>
      </c>
      <c r="T124" t="s">
        <v>17</v>
      </c>
      <c r="U124">
        <v>4679.01</v>
      </c>
      <c r="V124" t="s">
        <v>18</v>
      </c>
      <c r="W124">
        <v>4674.72</v>
      </c>
      <c r="X124">
        <v>-22.7</v>
      </c>
      <c r="Y124">
        <v>-0.48</v>
      </c>
      <c r="Z124">
        <v>3</v>
      </c>
      <c r="AA124">
        <v>9</v>
      </c>
      <c r="AB124">
        <v>3</v>
      </c>
      <c r="AC124">
        <v>-2.5222199999999999</v>
      </c>
      <c r="AD124">
        <v>3</v>
      </c>
      <c r="AE124">
        <v>-68.372900000000001</v>
      </c>
      <c r="AF124" t="s">
        <v>22</v>
      </c>
      <c r="AH124" t="b">
        <f t="shared" si="30"/>
        <v>1</v>
      </c>
      <c r="AI124" t="b">
        <f t="shared" si="31"/>
        <v>1</v>
      </c>
      <c r="AJ124" t="b">
        <f t="shared" si="32"/>
        <v>1</v>
      </c>
      <c r="AK124" t="b">
        <f t="shared" si="33"/>
        <v>1</v>
      </c>
      <c r="AL124" t="b">
        <f t="shared" si="34"/>
        <v>1</v>
      </c>
      <c r="AM124" t="b">
        <f t="shared" si="35"/>
        <v>1</v>
      </c>
      <c r="AN124" t="b">
        <f t="shared" si="36"/>
        <v>1</v>
      </c>
      <c r="AO124" t="b">
        <f t="shared" si="37"/>
        <v>1</v>
      </c>
      <c r="AP124" t="b">
        <f t="shared" si="38"/>
        <v>1</v>
      </c>
      <c r="AQ124" t="b">
        <f t="shared" si="39"/>
        <v>1</v>
      </c>
    </row>
    <row r="125" spans="1:43" x14ac:dyDescent="0.55000000000000004">
      <c r="A125">
        <v>1777039206</v>
      </c>
      <c r="B125" t="s">
        <v>16</v>
      </c>
      <c r="C125" t="s">
        <v>17</v>
      </c>
      <c r="D125">
        <v>4731.95</v>
      </c>
      <c r="E125" t="s">
        <v>20</v>
      </c>
      <c r="F125">
        <v>4740.49</v>
      </c>
      <c r="G125">
        <v>4674.72</v>
      </c>
      <c r="H125">
        <v>4697.42</v>
      </c>
      <c r="I125">
        <v>4658.17</v>
      </c>
      <c r="J125">
        <v>4711.2299999999996</v>
      </c>
      <c r="K125">
        <v>4664.3</v>
      </c>
      <c r="L125">
        <v>65.77</v>
      </c>
      <c r="M125">
        <v>1.41</v>
      </c>
      <c r="N125">
        <v>0</v>
      </c>
      <c r="O125">
        <v>14</v>
      </c>
      <c r="P125" t="s">
        <v>23</v>
      </c>
      <c r="R125">
        <v>1777039206</v>
      </c>
      <c r="S125" t="s">
        <v>16</v>
      </c>
      <c r="T125" t="s">
        <v>17</v>
      </c>
      <c r="U125">
        <v>4731.95</v>
      </c>
      <c r="V125" t="s">
        <v>20</v>
      </c>
      <c r="W125">
        <v>4740.49</v>
      </c>
      <c r="X125">
        <v>65.77</v>
      </c>
      <c r="Y125">
        <v>1.41</v>
      </c>
      <c r="Z125">
        <v>0</v>
      </c>
      <c r="AA125">
        <v>14</v>
      </c>
      <c r="AB125">
        <v>0</v>
      </c>
      <c r="AC125">
        <v>4.6978600000000004</v>
      </c>
      <c r="AD125">
        <v>0</v>
      </c>
      <c r="AE125">
        <v>77.983199999999997</v>
      </c>
      <c r="AF125" t="s">
        <v>23</v>
      </c>
      <c r="AH125" t="b">
        <f t="shared" si="30"/>
        <v>1</v>
      </c>
      <c r="AI125" t="b">
        <f t="shared" si="31"/>
        <v>1</v>
      </c>
      <c r="AJ125" t="b">
        <f t="shared" si="32"/>
        <v>1</v>
      </c>
      <c r="AK125" t="b">
        <f t="shared" si="33"/>
        <v>1</v>
      </c>
      <c r="AL125" t="b">
        <f t="shared" si="34"/>
        <v>1</v>
      </c>
      <c r="AM125" t="b">
        <f t="shared" si="35"/>
        <v>1</v>
      </c>
      <c r="AN125" t="b">
        <f t="shared" si="36"/>
        <v>1</v>
      </c>
      <c r="AO125" t="b">
        <f t="shared" si="37"/>
        <v>1</v>
      </c>
      <c r="AP125" t="b">
        <f t="shared" si="38"/>
        <v>1</v>
      </c>
      <c r="AQ125" t="b">
        <f t="shared" si="39"/>
        <v>1</v>
      </c>
    </row>
    <row r="126" spans="1:43" x14ac:dyDescent="0.55000000000000004">
      <c r="A126">
        <v>1777248006</v>
      </c>
      <c r="B126" t="s">
        <v>16</v>
      </c>
      <c r="C126" t="s">
        <v>17</v>
      </c>
      <c r="D126">
        <v>4679.8599999999997</v>
      </c>
      <c r="E126" t="s">
        <v>18</v>
      </c>
      <c r="F126">
        <v>4672.3500000000004</v>
      </c>
      <c r="G126">
        <v>4740.49</v>
      </c>
      <c r="H126">
        <v>4674.72</v>
      </c>
      <c r="I126">
        <v>4697.42</v>
      </c>
      <c r="J126">
        <v>4658.17</v>
      </c>
      <c r="K126">
        <v>4711.2299999999996</v>
      </c>
      <c r="L126">
        <v>-68.14</v>
      </c>
      <c r="M126">
        <v>-1.44</v>
      </c>
      <c r="N126">
        <v>3</v>
      </c>
      <c r="O126">
        <v>36</v>
      </c>
      <c r="P126" t="s">
        <v>19</v>
      </c>
      <c r="R126">
        <v>1777248006</v>
      </c>
      <c r="S126" t="s">
        <v>16</v>
      </c>
      <c r="T126" t="s">
        <v>17</v>
      </c>
      <c r="U126">
        <v>4679.8599999999997</v>
      </c>
      <c r="V126" t="s">
        <v>18</v>
      </c>
      <c r="W126">
        <v>4672.3500000000004</v>
      </c>
      <c r="X126">
        <v>-68.14</v>
      </c>
      <c r="Y126">
        <v>-1.44</v>
      </c>
      <c r="Z126">
        <v>3</v>
      </c>
      <c r="AA126">
        <v>36</v>
      </c>
      <c r="AB126">
        <v>4</v>
      </c>
      <c r="AC126">
        <v>-1.8927799999999999</v>
      </c>
      <c r="AD126">
        <v>3</v>
      </c>
      <c r="AE126">
        <v>-62.151400000000002</v>
      </c>
      <c r="AF126" t="s">
        <v>19</v>
      </c>
      <c r="AH126" t="b">
        <f t="shared" si="30"/>
        <v>1</v>
      </c>
      <c r="AI126" t="b">
        <f t="shared" si="31"/>
        <v>1</v>
      </c>
      <c r="AJ126" t="b">
        <f t="shared" si="32"/>
        <v>1</v>
      </c>
      <c r="AK126" t="b">
        <f t="shared" si="33"/>
        <v>1</v>
      </c>
      <c r="AL126" t="b">
        <f t="shared" si="34"/>
        <v>1</v>
      </c>
      <c r="AM126" t="b">
        <f t="shared" si="35"/>
        <v>1</v>
      </c>
      <c r="AN126" t="b">
        <f t="shared" si="36"/>
        <v>1</v>
      </c>
      <c r="AO126" t="b">
        <f t="shared" si="37"/>
        <v>1</v>
      </c>
      <c r="AP126" t="b">
        <f t="shared" si="38"/>
        <v>1</v>
      </c>
      <c r="AQ126" t="b">
        <f t="shared" si="39"/>
        <v>1</v>
      </c>
    </row>
    <row r="127" spans="1:43" x14ac:dyDescent="0.55000000000000004">
      <c r="A127">
        <v>1777264206</v>
      </c>
      <c r="B127" t="s">
        <v>16</v>
      </c>
      <c r="C127" t="s">
        <v>17</v>
      </c>
      <c r="D127">
        <v>4726.18</v>
      </c>
      <c r="E127" t="s">
        <v>20</v>
      </c>
      <c r="F127">
        <v>4729.92</v>
      </c>
      <c r="G127">
        <v>4672.3500000000004</v>
      </c>
      <c r="H127">
        <v>4740.49</v>
      </c>
      <c r="I127">
        <v>4674.72</v>
      </c>
      <c r="J127">
        <v>4697.42</v>
      </c>
      <c r="K127">
        <v>4658.17</v>
      </c>
      <c r="L127">
        <v>57.57</v>
      </c>
      <c r="M127">
        <v>1.23</v>
      </c>
      <c r="N127">
        <v>0</v>
      </c>
      <c r="O127">
        <v>18</v>
      </c>
      <c r="P127" t="s">
        <v>21</v>
      </c>
      <c r="R127">
        <v>1777264206</v>
      </c>
      <c r="S127" t="s">
        <v>16</v>
      </c>
      <c r="T127" t="s">
        <v>17</v>
      </c>
      <c r="U127">
        <v>4726.18</v>
      </c>
      <c r="V127" t="s">
        <v>20</v>
      </c>
      <c r="W127">
        <v>4729.92</v>
      </c>
      <c r="X127">
        <v>57.57</v>
      </c>
      <c r="Y127">
        <v>1.23</v>
      </c>
      <c r="Z127">
        <v>0</v>
      </c>
      <c r="AA127">
        <v>18</v>
      </c>
      <c r="AB127">
        <v>0</v>
      </c>
      <c r="AC127">
        <v>3.1983299999999999</v>
      </c>
      <c r="AD127">
        <v>0</v>
      </c>
      <c r="AE127">
        <v>72.637500000000003</v>
      </c>
      <c r="AF127" t="s">
        <v>21</v>
      </c>
      <c r="AH127" t="b">
        <f t="shared" si="30"/>
        <v>1</v>
      </c>
      <c r="AI127" t="b">
        <f t="shared" si="31"/>
        <v>1</v>
      </c>
      <c r="AJ127" t="b">
        <f t="shared" si="32"/>
        <v>1</v>
      </c>
      <c r="AK127" t="b">
        <f t="shared" si="33"/>
        <v>1</v>
      </c>
      <c r="AL127" t="b">
        <f t="shared" si="34"/>
        <v>1</v>
      </c>
      <c r="AM127" t="b">
        <f t="shared" si="35"/>
        <v>1</v>
      </c>
      <c r="AN127" t="b">
        <f t="shared" si="36"/>
        <v>1</v>
      </c>
      <c r="AO127" t="b">
        <f t="shared" si="37"/>
        <v>1</v>
      </c>
      <c r="AP127" t="b">
        <f t="shared" si="38"/>
        <v>1</v>
      </c>
      <c r="AQ127" t="b">
        <f t="shared" si="39"/>
        <v>1</v>
      </c>
    </row>
    <row r="128" spans="1:43" x14ac:dyDescent="0.55000000000000004">
      <c r="A128">
        <v>1777282206</v>
      </c>
      <c r="B128" t="s">
        <v>16</v>
      </c>
      <c r="C128" t="s">
        <v>17</v>
      </c>
      <c r="D128">
        <v>4704.6400000000003</v>
      </c>
      <c r="E128" t="s">
        <v>18</v>
      </c>
      <c r="F128">
        <v>4699.29</v>
      </c>
      <c r="G128">
        <v>4729.92</v>
      </c>
      <c r="H128">
        <v>4672.3500000000004</v>
      </c>
      <c r="I128">
        <v>4740.49</v>
      </c>
      <c r="J128">
        <v>4674.72</v>
      </c>
      <c r="K128">
        <v>4697.42</v>
      </c>
      <c r="L128">
        <v>-30.63</v>
      </c>
      <c r="M128">
        <v>-0.65</v>
      </c>
      <c r="N128">
        <v>3</v>
      </c>
      <c r="O128">
        <v>20</v>
      </c>
      <c r="P128" t="s">
        <v>22</v>
      </c>
      <c r="R128">
        <v>1777282206</v>
      </c>
      <c r="S128" t="s">
        <v>16</v>
      </c>
      <c r="T128" t="s">
        <v>17</v>
      </c>
      <c r="U128">
        <v>4704.6400000000003</v>
      </c>
      <c r="V128" t="s">
        <v>18</v>
      </c>
      <c r="W128">
        <v>4699.29</v>
      </c>
      <c r="X128">
        <v>-30.63</v>
      </c>
      <c r="Y128">
        <v>-0.65</v>
      </c>
      <c r="Z128">
        <v>3</v>
      </c>
      <c r="AA128">
        <v>20</v>
      </c>
      <c r="AB128">
        <v>3</v>
      </c>
      <c r="AC128">
        <v>-1.5315000000000001</v>
      </c>
      <c r="AD128">
        <v>3</v>
      </c>
      <c r="AE128">
        <v>-56.857300000000002</v>
      </c>
      <c r="AF128" t="s">
        <v>22</v>
      </c>
      <c r="AH128" t="b">
        <f t="shared" si="30"/>
        <v>1</v>
      </c>
      <c r="AI128" t="b">
        <f t="shared" si="31"/>
        <v>1</v>
      </c>
      <c r="AJ128" t="b">
        <f t="shared" si="32"/>
        <v>1</v>
      </c>
      <c r="AK128" t="b">
        <f t="shared" si="33"/>
        <v>1</v>
      </c>
      <c r="AL128" t="b">
        <f t="shared" si="34"/>
        <v>1</v>
      </c>
      <c r="AM128" t="b">
        <f t="shared" si="35"/>
        <v>1</v>
      </c>
      <c r="AN128" t="b">
        <f t="shared" si="36"/>
        <v>1</v>
      </c>
      <c r="AO128" t="b">
        <f t="shared" si="37"/>
        <v>1</v>
      </c>
      <c r="AP128" t="b">
        <f t="shared" si="38"/>
        <v>1</v>
      </c>
      <c r="AQ128" t="b">
        <f t="shared" si="39"/>
        <v>1</v>
      </c>
    </row>
    <row r="129" spans="1:43" x14ac:dyDescent="0.55000000000000004">
      <c r="A129">
        <v>1777292106</v>
      </c>
      <c r="B129" t="s">
        <v>16</v>
      </c>
      <c r="C129" t="s">
        <v>17</v>
      </c>
      <c r="D129">
        <v>4707.09</v>
      </c>
      <c r="E129" t="s">
        <v>20</v>
      </c>
      <c r="F129">
        <v>4712.59</v>
      </c>
      <c r="G129">
        <v>4699.29</v>
      </c>
      <c r="H129">
        <v>4729.92</v>
      </c>
      <c r="I129">
        <v>4672.3500000000004</v>
      </c>
      <c r="J129">
        <v>4740.49</v>
      </c>
      <c r="K129">
        <v>4674.72</v>
      </c>
      <c r="L129">
        <v>13.3</v>
      </c>
      <c r="M129">
        <v>0.28000000000000003</v>
      </c>
      <c r="N129">
        <v>0</v>
      </c>
      <c r="O129">
        <v>11</v>
      </c>
      <c r="P129" t="s">
        <v>21</v>
      </c>
      <c r="R129">
        <v>1777292106</v>
      </c>
      <c r="S129" t="s">
        <v>16</v>
      </c>
      <c r="T129" t="s">
        <v>17</v>
      </c>
      <c r="U129">
        <v>4707.09</v>
      </c>
      <c r="V129" t="s">
        <v>20</v>
      </c>
      <c r="W129">
        <v>4712.59</v>
      </c>
      <c r="X129">
        <v>13.3</v>
      </c>
      <c r="Y129">
        <v>0.28000000000000003</v>
      </c>
      <c r="Z129">
        <v>0</v>
      </c>
      <c r="AA129">
        <v>11</v>
      </c>
      <c r="AB129">
        <v>0</v>
      </c>
      <c r="AC129">
        <v>1.20909</v>
      </c>
      <c r="AD129">
        <v>0</v>
      </c>
      <c r="AE129">
        <v>50.4069</v>
      </c>
      <c r="AF129" t="s">
        <v>21</v>
      </c>
      <c r="AH129" t="b">
        <f t="shared" ref="AH129:AH160" si="40">A129=R129</f>
        <v>1</v>
      </c>
      <c r="AI129" t="b">
        <f t="shared" ref="AI129:AI160" si="41">B129=S129</f>
        <v>1</v>
      </c>
      <c r="AJ129" t="b">
        <f t="shared" ref="AJ129:AJ160" si="42">C129=T129</f>
        <v>1</v>
      </c>
      <c r="AK129" t="b">
        <f t="shared" ref="AK129:AK160" si="43">D129=U129</f>
        <v>1</v>
      </c>
      <c r="AL129" t="b">
        <f t="shared" ref="AL129:AL160" si="44">E129=V129</f>
        <v>1</v>
      </c>
      <c r="AM129" t="b">
        <f t="shared" ref="AM129:AM160" si="45">F129=W129</f>
        <v>1</v>
      </c>
      <c r="AN129" t="b">
        <f t="shared" si="36"/>
        <v>1</v>
      </c>
      <c r="AO129" t="b">
        <f t="shared" si="37"/>
        <v>1</v>
      </c>
      <c r="AP129" t="b">
        <f t="shared" si="38"/>
        <v>1</v>
      </c>
      <c r="AQ129" t="b">
        <f t="shared" si="39"/>
        <v>1</v>
      </c>
    </row>
    <row r="130" spans="1:43" x14ac:dyDescent="0.55000000000000004">
      <c r="A130">
        <v>1777302006</v>
      </c>
      <c r="B130" t="s">
        <v>16</v>
      </c>
      <c r="C130" t="s">
        <v>17</v>
      </c>
      <c r="D130">
        <v>4674.6499999999996</v>
      </c>
      <c r="E130" t="s">
        <v>18</v>
      </c>
      <c r="F130">
        <v>4667.32</v>
      </c>
      <c r="G130">
        <v>4712.59</v>
      </c>
      <c r="H130">
        <v>4699.29</v>
      </c>
      <c r="I130">
        <v>4729.92</v>
      </c>
      <c r="J130">
        <v>4672.3500000000004</v>
      </c>
      <c r="K130">
        <v>4740.49</v>
      </c>
      <c r="L130">
        <v>-45.27</v>
      </c>
      <c r="M130">
        <v>-0.96</v>
      </c>
      <c r="N130">
        <v>3</v>
      </c>
      <c r="O130">
        <v>11</v>
      </c>
      <c r="P130" t="s">
        <v>19</v>
      </c>
      <c r="R130">
        <v>1777302006</v>
      </c>
      <c r="S130" t="s">
        <v>16</v>
      </c>
      <c r="T130" t="s">
        <v>17</v>
      </c>
      <c r="U130">
        <v>4674.6499999999996</v>
      </c>
      <c r="V130" t="s">
        <v>18</v>
      </c>
      <c r="W130">
        <v>4667.32</v>
      </c>
      <c r="X130">
        <v>-45.27</v>
      </c>
      <c r="Y130">
        <v>-0.96</v>
      </c>
      <c r="Z130">
        <v>3</v>
      </c>
      <c r="AA130">
        <v>11</v>
      </c>
      <c r="AB130">
        <v>3</v>
      </c>
      <c r="AC130">
        <v>-4.1154500000000001</v>
      </c>
      <c r="AD130">
        <v>3</v>
      </c>
      <c r="AE130">
        <v>-76.342600000000004</v>
      </c>
      <c r="AF130" t="s">
        <v>19</v>
      </c>
      <c r="AH130" t="b">
        <f t="shared" si="40"/>
        <v>1</v>
      </c>
      <c r="AI130" t="b">
        <f t="shared" si="41"/>
        <v>1</v>
      </c>
      <c r="AJ130" t="b">
        <f t="shared" si="42"/>
        <v>1</v>
      </c>
      <c r="AK130" t="b">
        <f t="shared" si="43"/>
        <v>1</v>
      </c>
      <c r="AL130" t="b">
        <f t="shared" si="44"/>
        <v>1</v>
      </c>
      <c r="AM130" t="b">
        <f t="shared" si="45"/>
        <v>1</v>
      </c>
      <c r="AN130" t="b">
        <f t="shared" ref="AN130:AN161" si="46">X130=L130</f>
        <v>1</v>
      </c>
      <c r="AO130" t="b">
        <f t="shared" ref="AO130:AO161" si="47">Y130=M130</f>
        <v>1</v>
      </c>
      <c r="AP130" t="b">
        <f t="shared" ref="AP130:AP161" si="48">Z130=N130</f>
        <v>1</v>
      </c>
      <c r="AQ130" t="b">
        <f t="shared" ref="AQ130:AQ161" si="49">AF130=P130</f>
        <v>1</v>
      </c>
    </row>
    <row r="131" spans="1:43" x14ac:dyDescent="0.55000000000000004">
      <c r="A131">
        <v>1777334406</v>
      </c>
      <c r="B131" t="s">
        <v>16</v>
      </c>
      <c r="C131" t="s">
        <v>17</v>
      </c>
      <c r="D131">
        <v>4697.91</v>
      </c>
      <c r="E131" t="s">
        <v>20</v>
      </c>
      <c r="F131">
        <v>4701.1400000000003</v>
      </c>
      <c r="G131">
        <v>4667.32</v>
      </c>
      <c r="H131">
        <v>4712.59</v>
      </c>
      <c r="I131">
        <v>4699.29</v>
      </c>
      <c r="J131">
        <v>4729.92</v>
      </c>
      <c r="K131">
        <v>4672.3500000000004</v>
      </c>
      <c r="L131">
        <v>33.82</v>
      </c>
      <c r="M131">
        <v>0.72</v>
      </c>
      <c r="N131">
        <v>0</v>
      </c>
      <c r="O131">
        <v>32</v>
      </c>
      <c r="P131" t="s">
        <v>21</v>
      </c>
      <c r="R131">
        <v>1777334406</v>
      </c>
      <c r="S131" t="s">
        <v>16</v>
      </c>
      <c r="T131" t="s">
        <v>17</v>
      </c>
      <c r="U131">
        <v>4697.91</v>
      </c>
      <c r="V131" t="s">
        <v>20</v>
      </c>
      <c r="W131">
        <v>4701.1400000000003</v>
      </c>
      <c r="X131">
        <v>33.82</v>
      </c>
      <c r="Y131">
        <v>0.72</v>
      </c>
      <c r="Z131">
        <v>0</v>
      </c>
      <c r="AA131">
        <v>32</v>
      </c>
      <c r="AB131">
        <v>0</v>
      </c>
      <c r="AC131">
        <v>1.05688</v>
      </c>
      <c r="AD131">
        <v>0</v>
      </c>
      <c r="AE131">
        <v>46.5839</v>
      </c>
      <c r="AF131" t="s">
        <v>21</v>
      </c>
      <c r="AH131" t="b">
        <f t="shared" si="40"/>
        <v>1</v>
      </c>
      <c r="AI131" t="b">
        <f t="shared" si="41"/>
        <v>1</v>
      </c>
      <c r="AJ131" t="b">
        <f t="shared" si="42"/>
        <v>1</v>
      </c>
      <c r="AK131" t="b">
        <f t="shared" si="43"/>
        <v>1</v>
      </c>
      <c r="AL131" t="b">
        <f t="shared" si="44"/>
        <v>1</v>
      </c>
      <c r="AM131" t="b">
        <f t="shared" si="45"/>
        <v>1</v>
      </c>
      <c r="AN131" t="b">
        <f t="shared" si="46"/>
        <v>1</v>
      </c>
      <c r="AO131" t="b">
        <f t="shared" si="47"/>
        <v>1</v>
      </c>
      <c r="AP131" t="b">
        <f t="shared" si="48"/>
        <v>1</v>
      </c>
      <c r="AQ131" t="b">
        <f t="shared" si="49"/>
        <v>1</v>
      </c>
    </row>
    <row r="132" spans="1:43" x14ac:dyDescent="0.55000000000000004">
      <c r="A132">
        <v>1777377606</v>
      </c>
      <c r="B132" t="s">
        <v>16</v>
      </c>
      <c r="C132" t="s">
        <v>17</v>
      </c>
      <c r="D132">
        <v>4581.7299999999996</v>
      </c>
      <c r="E132" t="s">
        <v>18</v>
      </c>
      <c r="F132">
        <v>4555.12</v>
      </c>
      <c r="G132">
        <v>4701.1400000000003</v>
      </c>
      <c r="H132">
        <v>4667.32</v>
      </c>
      <c r="I132">
        <v>4712.59</v>
      </c>
      <c r="J132">
        <v>4699.29</v>
      </c>
      <c r="K132">
        <v>4729.92</v>
      </c>
      <c r="L132">
        <v>-146.02000000000001</v>
      </c>
      <c r="M132">
        <v>-3.11</v>
      </c>
      <c r="N132">
        <v>5</v>
      </c>
      <c r="O132">
        <v>48</v>
      </c>
      <c r="P132" t="s">
        <v>19</v>
      </c>
      <c r="R132">
        <v>1777377606</v>
      </c>
      <c r="S132" t="s">
        <v>16</v>
      </c>
      <c r="T132" t="s">
        <v>17</v>
      </c>
      <c r="U132">
        <v>4581.7299999999996</v>
      </c>
      <c r="V132" t="s">
        <v>18</v>
      </c>
      <c r="W132">
        <v>4555.12</v>
      </c>
      <c r="X132">
        <v>-146.02000000000001</v>
      </c>
      <c r="Y132">
        <v>-3.11</v>
      </c>
      <c r="Z132">
        <v>5</v>
      </c>
      <c r="AA132">
        <v>48</v>
      </c>
      <c r="AB132">
        <v>5</v>
      </c>
      <c r="AC132">
        <v>-3.0420799999999999</v>
      </c>
      <c r="AD132">
        <v>3</v>
      </c>
      <c r="AE132">
        <v>-71.803200000000004</v>
      </c>
      <c r="AF132" t="s">
        <v>19</v>
      </c>
      <c r="AH132" t="b">
        <f t="shared" si="40"/>
        <v>1</v>
      </c>
      <c r="AI132" t="b">
        <f t="shared" si="41"/>
        <v>1</v>
      </c>
      <c r="AJ132" t="b">
        <f t="shared" si="42"/>
        <v>1</v>
      </c>
      <c r="AK132" t="b">
        <f t="shared" si="43"/>
        <v>1</v>
      </c>
      <c r="AL132" t="b">
        <f t="shared" si="44"/>
        <v>1</v>
      </c>
      <c r="AM132" t="b">
        <f t="shared" si="45"/>
        <v>1</v>
      </c>
      <c r="AN132" t="b">
        <f t="shared" si="46"/>
        <v>1</v>
      </c>
      <c r="AO132" t="b">
        <f t="shared" si="47"/>
        <v>1</v>
      </c>
      <c r="AP132" t="b">
        <f t="shared" si="48"/>
        <v>1</v>
      </c>
      <c r="AQ132" t="b">
        <f t="shared" si="49"/>
        <v>1</v>
      </c>
    </row>
    <row r="133" spans="1:43" x14ac:dyDescent="0.55000000000000004">
      <c r="A133">
        <v>1777397406</v>
      </c>
      <c r="B133" t="s">
        <v>16</v>
      </c>
      <c r="C133" t="s">
        <v>17</v>
      </c>
      <c r="D133">
        <v>4599.0200000000004</v>
      </c>
      <c r="E133" t="s">
        <v>20</v>
      </c>
      <c r="F133">
        <v>4601.49</v>
      </c>
      <c r="G133">
        <v>4555.12</v>
      </c>
      <c r="H133">
        <v>4701.1400000000003</v>
      </c>
      <c r="I133">
        <v>4667.32</v>
      </c>
      <c r="J133">
        <v>4712.59</v>
      </c>
      <c r="K133">
        <v>4699.29</v>
      </c>
      <c r="L133">
        <v>46.37</v>
      </c>
      <c r="M133">
        <v>1.02</v>
      </c>
      <c r="N133">
        <v>0</v>
      </c>
      <c r="O133">
        <v>22</v>
      </c>
      <c r="P133" t="s">
        <v>21</v>
      </c>
      <c r="R133">
        <v>1777397406</v>
      </c>
      <c r="S133" t="s">
        <v>16</v>
      </c>
      <c r="T133" t="s">
        <v>17</v>
      </c>
      <c r="U133">
        <v>4599.0200000000004</v>
      </c>
      <c r="V133" t="s">
        <v>20</v>
      </c>
      <c r="W133">
        <v>4601.49</v>
      </c>
      <c r="X133">
        <v>46.37</v>
      </c>
      <c r="Y133">
        <v>1.02</v>
      </c>
      <c r="Z133">
        <v>0</v>
      </c>
      <c r="AA133">
        <v>22</v>
      </c>
      <c r="AB133">
        <v>0</v>
      </c>
      <c r="AC133">
        <v>2.1077300000000001</v>
      </c>
      <c r="AD133">
        <v>0</v>
      </c>
      <c r="AE133">
        <v>64.618200000000002</v>
      </c>
      <c r="AF133" t="s">
        <v>21</v>
      </c>
      <c r="AH133" t="b">
        <f t="shared" si="40"/>
        <v>1</v>
      </c>
      <c r="AI133" t="b">
        <f t="shared" si="41"/>
        <v>1</v>
      </c>
      <c r="AJ133" t="b">
        <f t="shared" si="42"/>
        <v>1</v>
      </c>
      <c r="AK133" t="b">
        <f t="shared" si="43"/>
        <v>1</v>
      </c>
      <c r="AL133" t="b">
        <f t="shared" si="44"/>
        <v>1</v>
      </c>
      <c r="AM133" t="b">
        <f t="shared" si="45"/>
        <v>1</v>
      </c>
      <c r="AN133" t="b">
        <f t="shared" si="46"/>
        <v>1</v>
      </c>
      <c r="AO133" t="b">
        <f t="shared" si="47"/>
        <v>1</v>
      </c>
      <c r="AP133" t="b">
        <f t="shared" si="48"/>
        <v>1</v>
      </c>
      <c r="AQ133" t="b">
        <f t="shared" si="49"/>
        <v>1</v>
      </c>
    </row>
    <row r="134" spans="1:43" x14ac:dyDescent="0.55000000000000004">
      <c r="A134">
        <v>1777419006</v>
      </c>
      <c r="B134" t="s">
        <v>16</v>
      </c>
      <c r="C134" t="s">
        <v>17</v>
      </c>
      <c r="D134">
        <v>4589.91</v>
      </c>
      <c r="E134" t="s">
        <v>18</v>
      </c>
      <c r="F134">
        <v>4587.93</v>
      </c>
      <c r="G134">
        <v>4601.49</v>
      </c>
      <c r="H134">
        <v>4555.12</v>
      </c>
      <c r="I134">
        <v>4701.1400000000003</v>
      </c>
      <c r="J134">
        <v>4667.32</v>
      </c>
      <c r="K134">
        <v>4712.59</v>
      </c>
      <c r="L134">
        <v>-13.56</v>
      </c>
      <c r="M134">
        <v>-0.28999999999999998</v>
      </c>
      <c r="N134">
        <v>3</v>
      </c>
      <c r="O134">
        <v>20</v>
      </c>
      <c r="P134" t="s">
        <v>22</v>
      </c>
      <c r="R134">
        <v>1777419006</v>
      </c>
      <c r="S134" t="s">
        <v>16</v>
      </c>
      <c r="T134" t="s">
        <v>17</v>
      </c>
      <c r="U134">
        <v>4589.91</v>
      </c>
      <c r="V134" t="s">
        <v>18</v>
      </c>
      <c r="W134">
        <v>4587.93</v>
      </c>
      <c r="X134">
        <v>-13.56</v>
      </c>
      <c r="Y134">
        <v>-0.28999999999999998</v>
      </c>
      <c r="Z134">
        <v>3</v>
      </c>
      <c r="AA134">
        <v>20</v>
      </c>
      <c r="AB134">
        <v>3</v>
      </c>
      <c r="AC134">
        <v>-0.67800000000000005</v>
      </c>
      <c r="AD134">
        <v>3</v>
      </c>
      <c r="AE134">
        <v>-34.137300000000003</v>
      </c>
      <c r="AF134" t="s">
        <v>22</v>
      </c>
      <c r="AH134" t="b">
        <f t="shared" si="40"/>
        <v>1</v>
      </c>
      <c r="AI134" t="b">
        <f t="shared" si="41"/>
        <v>1</v>
      </c>
      <c r="AJ134" t="b">
        <f t="shared" si="42"/>
        <v>1</v>
      </c>
      <c r="AK134" t="b">
        <f t="shared" si="43"/>
        <v>1</v>
      </c>
      <c r="AL134" t="b">
        <f t="shared" si="44"/>
        <v>1</v>
      </c>
      <c r="AM134" t="b">
        <f t="shared" si="45"/>
        <v>1</v>
      </c>
      <c r="AN134" t="b">
        <f t="shared" si="46"/>
        <v>1</v>
      </c>
      <c r="AO134" t="b">
        <f t="shared" si="47"/>
        <v>1</v>
      </c>
      <c r="AP134" t="b">
        <f t="shared" si="48"/>
        <v>1</v>
      </c>
      <c r="AQ134" t="b">
        <f t="shared" si="49"/>
        <v>1</v>
      </c>
    </row>
    <row r="135" spans="1:43" x14ac:dyDescent="0.55000000000000004">
      <c r="A135">
        <v>1777420806</v>
      </c>
      <c r="B135" t="s">
        <v>16</v>
      </c>
      <c r="C135" t="s">
        <v>17</v>
      </c>
      <c r="D135">
        <v>4607.37</v>
      </c>
      <c r="E135" t="s">
        <v>20</v>
      </c>
      <c r="F135">
        <v>4610.1499999999996</v>
      </c>
      <c r="G135">
        <v>4587.93</v>
      </c>
      <c r="H135">
        <v>4601.49</v>
      </c>
      <c r="I135">
        <v>4555.12</v>
      </c>
      <c r="J135">
        <v>4701.1400000000003</v>
      </c>
      <c r="K135">
        <v>4667.32</v>
      </c>
      <c r="L135">
        <v>22.22</v>
      </c>
      <c r="M135">
        <v>0.48</v>
      </c>
      <c r="N135">
        <v>0</v>
      </c>
      <c r="O135">
        <v>2</v>
      </c>
      <c r="P135" t="s">
        <v>23</v>
      </c>
      <c r="R135">
        <v>1777420806</v>
      </c>
      <c r="S135" t="s">
        <v>16</v>
      </c>
      <c r="T135" t="s">
        <v>17</v>
      </c>
      <c r="U135">
        <v>4607.37</v>
      </c>
      <c r="V135" t="s">
        <v>20</v>
      </c>
      <c r="W135">
        <v>4610.1499999999996</v>
      </c>
      <c r="X135">
        <v>22.22</v>
      </c>
      <c r="Y135">
        <v>0.48</v>
      </c>
      <c r="Z135">
        <v>0</v>
      </c>
      <c r="AA135">
        <v>2</v>
      </c>
      <c r="AB135">
        <v>0</v>
      </c>
      <c r="AC135">
        <v>11.11</v>
      </c>
      <c r="AD135">
        <v>0</v>
      </c>
      <c r="AE135">
        <v>84.856700000000004</v>
      </c>
      <c r="AF135" t="s">
        <v>23</v>
      </c>
      <c r="AH135" t="b">
        <f t="shared" si="40"/>
        <v>1</v>
      </c>
      <c r="AI135" t="b">
        <f t="shared" si="41"/>
        <v>1</v>
      </c>
      <c r="AJ135" t="b">
        <f t="shared" si="42"/>
        <v>1</v>
      </c>
      <c r="AK135" t="b">
        <f t="shared" si="43"/>
        <v>1</v>
      </c>
      <c r="AL135" t="b">
        <f t="shared" si="44"/>
        <v>1</v>
      </c>
      <c r="AM135" t="b">
        <f t="shared" si="45"/>
        <v>1</v>
      </c>
      <c r="AN135" t="b">
        <f t="shared" si="46"/>
        <v>1</v>
      </c>
      <c r="AO135" t="b">
        <f t="shared" si="47"/>
        <v>1</v>
      </c>
      <c r="AP135" t="b">
        <f t="shared" si="48"/>
        <v>1</v>
      </c>
      <c r="AQ135" t="b">
        <f t="shared" si="49"/>
        <v>1</v>
      </c>
    </row>
    <row r="136" spans="1:43" x14ac:dyDescent="0.55000000000000004">
      <c r="A136">
        <v>1777424406</v>
      </c>
      <c r="B136" t="s">
        <v>16</v>
      </c>
      <c r="C136" t="s">
        <v>17</v>
      </c>
      <c r="D136">
        <v>4582.6499999999996</v>
      </c>
      <c r="E136" t="s">
        <v>18</v>
      </c>
      <c r="F136">
        <v>4575.84</v>
      </c>
      <c r="G136">
        <v>4610.1499999999996</v>
      </c>
      <c r="H136">
        <v>4587.93</v>
      </c>
      <c r="I136">
        <v>4601.49</v>
      </c>
      <c r="J136">
        <v>4555.12</v>
      </c>
      <c r="K136">
        <v>4701.1400000000003</v>
      </c>
      <c r="L136">
        <v>-34.31</v>
      </c>
      <c r="M136">
        <v>-0.74</v>
      </c>
      <c r="N136">
        <v>3</v>
      </c>
      <c r="O136">
        <v>4</v>
      </c>
      <c r="P136" t="s">
        <v>19</v>
      </c>
      <c r="R136">
        <v>1777424406</v>
      </c>
      <c r="S136" t="s">
        <v>16</v>
      </c>
      <c r="T136" t="s">
        <v>17</v>
      </c>
      <c r="U136">
        <v>4582.6499999999996</v>
      </c>
      <c r="V136" t="s">
        <v>18</v>
      </c>
      <c r="W136">
        <v>4575.84</v>
      </c>
      <c r="X136">
        <v>-34.31</v>
      </c>
      <c r="Y136">
        <v>-0.74</v>
      </c>
      <c r="Z136">
        <v>3</v>
      </c>
      <c r="AA136">
        <v>4</v>
      </c>
      <c r="AB136">
        <v>3</v>
      </c>
      <c r="AC136">
        <v>-8.5775000000000006</v>
      </c>
      <c r="AD136">
        <v>3</v>
      </c>
      <c r="AE136">
        <v>-83.350200000000001</v>
      </c>
      <c r="AF136" t="s">
        <v>19</v>
      </c>
      <c r="AH136" t="b">
        <f t="shared" si="40"/>
        <v>1</v>
      </c>
      <c r="AI136" t="b">
        <f t="shared" si="41"/>
        <v>1</v>
      </c>
      <c r="AJ136" t="b">
        <f t="shared" si="42"/>
        <v>1</v>
      </c>
      <c r="AK136" t="b">
        <f t="shared" si="43"/>
        <v>1</v>
      </c>
      <c r="AL136" t="b">
        <f t="shared" si="44"/>
        <v>1</v>
      </c>
      <c r="AM136" t="b">
        <f t="shared" si="45"/>
        <v>1</v>
      </c>
      <c r="AN136" t="b">
        <f t="shared" si="46"/>
        <v>1</v>
      </c>
      <c r="AO136" t="b">
        <f t="shared" si="47"/>
        <v>1</v>
      </c>
      <c r="AP136" t="b">
        <f t="shared" si="48"/>
        <v>1</v>
      </c>
      <c r="AQ136" t="b">
        <f t="shared" si="49"/>
        <v>1</v>
      </c>
    </row>
    <row r="137" spans="1:43" x14ac:dyDescent="0.55000000000000004">
      <c r="A137">
        <v>1777438806</v>
      </c>
      <c r="B137" t="s">
        <v>16</v>
      </c>
      <c r="C137" t="s">
        <v>17</v>
      </c>
      <c r="D137">
        <v>4601.1499999999996</v>
      </c>
      <c r="E137" t="s">
        <v>20</v>
      </c>
      <c r="F137">
        <v>4607.7700000000004</v>
      </c>
      <c r="G137">
        <v>4575.84</v>
      </c>
      <c r="H137">
        <v>4610.1499999999996</v>
      </c>
      <c r="I137">
        <v>4587.93</v>
      </c>
      <c r="J137">
        <v>4601.49</v>
      </c>
      <c r="K137">
        <v>4555.12</v>
      </c>
      <c r="L137">
        <v>31.93</v>
      </c>
      <c r="M137">
        <v>0.7</v>
      </c>
      <c r="N137">
        <v>0</v>
      </c>
      <c r="O137">
        <v>16</v>
      </c>
      <c r="P137" t="s">
        <v>21</v>
      </c>
      <c r="R137">
        <v>1777438806</v>
      </c>
      <c r="S137" t="s">
        <v>16</v>
      </c>
      <c r="T137" t="s">
        <v>17</v>
      </c>
      <c r="U137">
        <v>4601.1499999999996</v>
      </c>
      <c r="V137" t="s">
        <v>20</v>
      </c>
      <c r="W137">
        <v>4607.7700000000004</v>
      </c>
      <c r="X137">
        <v>31.93</v>
      </c>
      <c r="Y137">
        <v>0.7</v>
      </c>
      <c r="Z137">
        <v>0</v>
      </c>
      <c r="AA137">
        <v>16</v>
      </c>
      <c r="AB137">
        <v>0</v>
      </c>
      <c r="AC137">
        <v>1.99563</v>
      </c>
      <c r="AD137">
        <v>0</v>
      </c>
      <c r="AE137">
        <v>63.384700000000002</v>
      </c>
      <c r="AF137" t="s">
        <v>21</v>
      </c>
      <c r="AH137" t="b">
        <f t="shared" si="40"/>
        <v>1</v>
      </c>
      <c r="AI137" t="b">
        <f t="shared" si="41"/>
        <v>1</v>
      </c>
      <c r="AJ137" t="b">
        <f t="shared" si="42"/>
        <v>1</v>
      </c>
      <c r="AK137" t="b">
        <f t="shared" si="43"/>
        <v>1</v>
      </c>
      <c r="AL137" t="b">
        <f t="shared" si="44"/>
        <v>1</v>
      </c>
      <c r="AM137" t="b">
        <f t="shared" si="45"/>
        <v>1</v>
      </c>
      <c r="AN137" t="b">
        <f t="shared" si="46"/>
        <v>1</v>
      </c>
      <c r="AO137" t="b">
        <f t="shared" si="47"/>
        <v>1</v>
      </c>
      <c r="AP137" t="b">
        <f t="shared" si="48"/>
        <v>1</v>
      </c>
      <c r="AQ137" t="b">
        <f t="shared" si="49"/>
        <v>1</v>
      </c>
    </row>
    <row r="138" spans="1:43" x14ac:dyDescent="0.55000000000000004">
      <c r="A138">
        <v>1777470306</v>
      </c>
      <c r="B138" t="s">
        <v>16</v>
      </c>
      <c r="C138" t="s">
        <v>17</v>
      </c>
      <c r="D138">
        <v>4521.71</v>
      </c>
      <c r="E138" t="s">
        <v>18</v>
      </c>
      <c r="F138">
        <v>4510.28</v>
      </c>
      <c r="G138">
        <v>4607.7700000000004</v>
      </c>
      <c r="H138">
        <v>4575.84</v>
      </c>
      <c r="I138">
        <v>4610.1499999999996</v>
      </c>
      <c r="J138">
        <v>4587.93</v>
      </c>
      <c r="K138">
        <v>4601.49</v>
      </c>
      <c r="L138">
        <v>-97.49</v>
      </c>
      <c r="M138">
        <v>-2.12</v>
      </c>
      <c r="N138">
        <v>4</v>
      </c>
      <c r="O138">
        <v>35</v>
      </c>
      <c r="P138" t="s">
        <v>19</v>
      </c>
      <c r="R138">
        <v>1777470306</v>
      </c>
      <c r="S138" t="s">
        <v>16</v>
      </c>
      <c r="T138" t="s">
        <v>17</v>
      </c>
      <c r="U138">
        <v>4521.71</v>
      </c>
      <c r="V138" t="s">
        <v>18</v>
      </c>
      <c r="W138">
        <v>4510.28</v>
      </c>
      <c r="X138">
        <v>-97.49</v>
      </c>
      <c r="Y138">
        <v>-2.12</v>
      </c>
      <c r="Z138">
        <v>4</v>
      </c>
      <c r="AA138">
        <v>35</v>
      </c>
      <c r="AB138">
        <v>3</v>
      </c>
      <c r="AC138">
        <v>-2.7854299999999999</v>
      </c>
      <c r="AD138">
        <v>3</v>
      </c>
      <c r="AE138">
        <v>-70.251300000000001</v>
      </c>
      <c r="AF138" t="s">
        <v>19</v>
      </c>
      <c r="AH138" t="b">
        <f t="shared" si="40"/>
        <v>1</v>
      </c>
      <c r="AI138" t="b">
        <f t="shared" si="41"/>
        <v>1</v>
      </c>
      <c r="AJ138" t="b">
        <f t="shared" si="42"/>
        <v>1</v>
      </c>
      <c r="AK138" t="b">
        <f t="shared" si="43"/>
        <v>1</v>
      </c>
      <c r="AL138" t="b">
        <f t="shared" si="44"/>
        <v>1</v>
      </c>
      <c r="AM138" t="b">
        <f t="shared" si="45"/>
        <v>1</v>
      </c>
      <c r="AN138" t="b">
        <f t="shared" si="46"/>
        <v>1</v>
      </c>
      <c r="AO138" t="b">
        <f t="shared" si="47"/>
        <v>1</v>
      </c>
      <c r="AP138" t="b">
        <f t="shared" si="48"/>
        <v>1</v>
      </c>
      <c r="AQ138" t="b">
        <f t="shared" si="49"/>
        <v>1</v>
      </c>
    </row>
    <row r="139" spans="1:43" x14ac:dyDescent="0.55000000000000004">
      <c r="A139">
        <v>1777478406</v>
      </c>
      <c r="B139" t="s">
        <v>16</v>
      </c>
      <c r="C139" t="s">
        <v>17</v>
      </c>
      <c r="D139">
        <v>4559.1000000000004</v>
      </c>
      <c r="E139" t="s">
        <v>20</v>
      </c>
      <c r="F139">
        <v>4564.75</v>
      </c>
      <c r="G139">
        <v>4510.28</v>
      </c>
      <c r="H139">
        <v>4607.7700000000004</v>
      </c>
      <c r="I139">
        <v>4575.84</v>
      </c>
      <c r="J139">
        <v>4610.1499999999996</v>
      </c>
      <c r="K139">
        <v>4587.93</v>
      </c>
      <c r="L139">
        <v>54.47</v>
      </c>
      <c r="M139">
        <v>1.21</v>
      </c>
      <c r="N139">
        <v>0</v>
      </c>
      <c r="O139">
        <v>9</v>
      </c>
      <c r="P139" t="s">
        <v>21</v>
      </c>
      <c r="R139">
        <v>1777478406</v>
      </c>
      <c r="S139" t="s">
        <v>16</v>
      </c>
      <c r="T139" t="s">
        <v>17</v>
      </c>
      <c r="U139">
        <v>4559.1000000000004</v>
      </c>
      <c r="V139" t="s">
        <v>20</v>
      </c>
      <c r="W139">
        <v>4564.75</v>
      </c>
      <c r="X139">
        <v>54.47</v>
      </c>
      <c r="Y139">
        <v>1.21</v>
      </c>
      <c r="Z139">
        <v>0</v>
      </c>
      <c r="AA139">
        <v>9</v>
      </c>
      <c r="AB139">
        <v>0</v>
      </c>
      <c r="AC139">
        <v>6.0522200000000002</v>
      </c>
      <c r="AD139">
        <v>0</v>
      </c>
      <c r="AE139">
        <v>80.617900000000006</v>
      </c>
      <c r="AF139" t="s">
        <v>21</v>
      </c>
      <c r="AH139" t="b">
        <f t="shared" si="40"/>
        <v>1</v>
      </c>
      <c r="AI139" t="b">
        <f t="shared" si="41"/>
        <v>1</v>
      </c>
      <c r="AJ139" t="b">
        <f t="shared" si="42"/>
        <v>1</v>
      </c>
      <c r="AK139" t="b">
        <f t="shared" si="43"/>
        <v>1</v>
      </c>
      <c r="AL139" t="b">
        <f t="shared" si="44"/>
        <v>1</v>
      </c>
      <c r="AM139" t="b">
        <f t="shared" si="45"/>
        <v>1</v>
      </c>
      <c r="AN139" t="b">
        <f t="shared" si="46"/>
        <v>1</v>
      </c>
      <c r="AO139" t="b">
        <f t="shared" si="47"/>
        <v>1</v>
      </c>
      <c r="AP139" t="b">
        <f t="shared" si="48"/>
        <v>1</v>
      </c>
      <c r="AQ139" t="b">
        <f t="shared" si="49"/>
        <v>1</v>
      </c>
    </row>
    <row r="140" spans="1:43" x14ac:dyDescent="0.55000000000000004">
      <c r="A140">
        <v>1777488306</v>
      </c>
      <c r="B140" t="s">
        <v>16</v>
      </c>
      <c r="C140" t="s">
        <v>17</v>
      </c>
      <c r="D140">
        <v>4538.1899999999996</v>
      </c>
      <c r="E140" t="s">
        <v>18</v>
      </c>
      <c r="F140">
        <v>4518.41</v>
      </c>
      <c r="G140">
        <v>4564.75</v>
      </c>
      <c r="H140">
        <v>4510.28</v>
      </c>
      <c r="I140">
        <v>4607.7700000000004</v>
      </c>
      <c r="J140">
        <v>4575.84</v>
      </c>
      <c r="K140">
        <v>4610.1499999999996</v>
      </c>
      <c r="L140">
        <v>-46.34</v>
      </c>
      <c r="M140">
        <v>-1.02</v>
      </c>
      <c r="N140">
        <v>3</v>
      </c>
      <c r="O140">
        <v>11</v>
      </c>
      <c r="P140" t="s">
        <v>22</v>
      </c>
      <c r="R140">
        <v>1777488306</v>
      </c>
      <c r="S140" t="s">
        <v>16</v>
      </c>
      <c r="T140" t="s">
        <v>17</v>
      </c>
      <c r="U140">
        <v>4538.1899999999996</v>
      </c>
      <c r="V140" t="s">
        <v>18</v>
      </c>
      <c r="W140">
        <v>4518.41</v>
      </c>
      <c r="X140">
        <v>-46.34</v>
      </c>
      <c r="Y140">
        <v>-1.02</v>
      </c>
      <c r="Z140">
        <v>3</v>
      </c>
      <c r="AA140">
        <v>11</v>
      </c>
      <c r="AB140">
        <v>3</v>
      </c>
      <c r="AC140">
        <v>-4.2127299999999996</v>
      </c>
      <c r="AD140">
        <v>3</v>
      </c>
      <c r="AE140">
        <v>-76.646500000000003</v>
      </c>
      <c r="AF140" t="s">
        <v>22</v>
      </c>
      <c r="AH140" t="b">
        <f t="shared" si="40"/>
        <v>1</v>
      </c>
      <c r="AI140" t="b">
        <f t="shared" si="41"/>
        <v>1</v>
      </c>
      <c r="AJ140" t="b">
        <f t="shared" si="42"/>
        <v>1</v>
      </c>
      <c r="AK140" t="b">
        <f t="shared" si="43"/>
        <v>1</v>
      </c>
      <c r="AL140" t="b">
        <f t="shared" si="44"/>
        <v>1</v>
      </c>
      <c r="AM140" t="b">
        <f t="shared" si="45"/>
        <v>1</v>
      </c>
      <c r="AN140" t="b">
        <f t="shared" si="46"/>
        <v>1</v>
      </c>
      <c r="AO140" t="b">
        <f t="shared" si="47"/>
        <v>1</v>
      </c>
      <c r="AP140" t="b">
        <f t="shared" si="48"/>
        <v>1</v>
      </c>
      <c r="AQ140" t="b">
        <f t="shared" si="49"/>
        <v>1</v>
      </c>
    </row>
    <row r="141" spans="1:43" x14ac:dyDescent="0.55000000000000004">
      <c r="A141">
        <v>1777513506</v>
      </c>
      <c r="B141" t="s">
        <v>16</v>
      </c>
      <c r="C141" t="s">
        <v>17</v>
      </c>
      <c r="D141">
        <v>4579.13</v>
      </c>
      <c r="E141" t="s">
        <v>20</v>
      </c>
      <c r="F141">
        <v>4582.32</v>
      </c>
      <c r="G141">
        <v>4518.41</v>
      </c>
      <c r="H141">
        <v>4564.75</v>
      </c>
      <c r="I141">
        <v>4510.28</v>
      </c>
      <c r="J141">
        <v>4607.7700000000004</v>
      </c>
      <c r="K141">
        <v>4575.84</v>
      </c>
      <c r="L141">
        <v>63.91</v>
      </c>
      <c r="M141">
        <v>1.41</v>
      </c>
      <c r="N141">
        <v>0</v>
      </c>
      <c r="O141">
        <v>24</v>
      </c>
      <c r="P141" t="s">
        <v>23</v>
      </c>
      <c r="R141">
        <v>1777513506</v>
      </c>
      <c r="S141" t="s">
        <v>16</v>
      </c>
      <c r="T141" t="s">
        <v>17</v>
      </c>
      <c r="U141">
        <v>4579.13</v>
      </c>
      <c r="V141" t="s">
        <v>20</v>
      </c>
      <c r="W141">
        <v>4582.32</v>
      </c>
      <c r="X141">
        <v>63.91</v>
      </c>
      <c r="Y141">
        <v>1.41</v>
      </c>
      <c r="Z141">
        <v>0</v>
      </c>
      <c r="AA141">
        <v>24</v>
      </c>
      <c r="AB141">
        <v>0</v>
      </c>
      <c r="AC141">
        <v>2.6629200000000002</v>
      </c>
      <c r="AD141">
        <v>0</v>
      </c>
      <c r="AE141">
        <v>69.417400000000001</v>
      </c>
      <c r="AF141" t="s">
        <v>23</v>
      </c>
      <c r="AH141" t="b">
        <f t="shared" si="40"/>
        <v>1</v>
      </c>
      <c r="AI141" t="b">
        <f t="shared" si="41"/>
        <v>1</v>
      </c>
      <c r="AJ141" t="b">
        <f t="shared" si="42"/>
        <v>1</v>
      </c>
      <c r="AK141" t="b">
        <f t="shared" si="43"/>
        <v>1</v>
      </c>
      <c r="AL141" t="b">
        <f t="shared" si="44"/>
        <v>1</v>
      </c>
      <c r="AM141" t="b">
        <f t="shared" si="45"/>
        <v>1</v>
      </c>
      <c r="AN141" t="b">
        <f t="shared" si="46"/>
        <v>1</v>
      </c>
      <c r="AO141" t="b">
        <f t="shared" si="47"/>
        <v>1</v>
      </c>
      <c r="AP141" t="b">
        <f t="shared" si="48"/>
        <v>1</v>
      </c>
      <c r="AQ141" t="b">
        <f t="shared" si="49"/>
        <v>1</v>
      </c>
    </row>
    <row r="142" spans="1:43" x14ac:dyDescent="0.55000000000000004">
      <c r="A142">
        <v>1777523406</v>
      </c>
      <c r="B142" t="s">
        <v>16</v>
      </c>
      <c r="C142" t="s">
        <v>17</v>
      </c>
      <c r="D142">
        <v>4544.74</v>
      </c>
      <c r="E142" t="s">
        <v>18</v>
      </c>
      <c r="F142">
        <v>4540.82</v>
      </c>
      <c r="G142">
        <v>4582.32</v>
      </c>
      <c r="H142">
        <v>4518.41</v>
      </c>
      <c r="I142">
        <v>4564.75</v>
      </c>
      <c r="J142">
        <v>4510.28</v>
      </c>
      <c r="K142">
        <v>4607.7700000000004</v>
      </c>
      <c r="L142">
        <v>-41.5</v>
      </c>
      <c r="M142">
        <v>-0.91</v>
      </c>
      <c r="N142">
        <v>3</v>
      </c>
      <c r="O142">
        <v>11</v>
      </c>
      <c r="P142" t="s">
        <v>22</v>
      </c>
      <c r="R142">
        <v>1777523406</v>
      </c>
      <c r="S142" t="s">
        <v>16</v>
      </c>
      <c r="T142" t="s">
        <v>17</v>
      </c>
      <c r="U142">
        <v>4544.74</v>
      </c>
      <c r="V142" t="s">
        <v>18</v>
      </c>
      <c r="W142">
        <v>4540.82</v>
      </c>
      <c r="X142">
        <v>-41.5</v>
      </c>
      <c r="Y142">
        <v>-0.91</v>
      </c>
      <c r="Z142">
        <v>3</v>
      </c>
      <c r="AA142">
        <v>11</v>
      </c>
      <c r="AB142">
        <v>3</v>
      </c>
      <c r="AC142">
        <v>-3.7727300000000001</v>
      </c>
      <c r="AD142">
        <v>3</v>
      </c>
      <c r="AE142">
        <v>-75.154499999999999</v>
      </c>
      <c r="AF142" t="s">
        <v>22</v>
      </c>
      <c r="AH142" t="b">
        <f t="shared" si="40"/>
        <v>1</v>
      </c>
      <c r="AI142" t="b">
        <f t="shared" si="41"/>
        <v>1</v>
      </c>
      <c r="AJ142" t="b">
        <f t="shared" si="42"/>
        <v>1</v>
      </c>
      <c r="AK142" t="b">
        <f t="shared" si="43"/>
        <v>1</v>
      </c>
      <c r="AL142" t="b">
        <f t="shared" si="44"/>
        <v>1</v>
      </c>
      <c r="AM142" t="b">
        <f t="shared" si="45"/>
        <v>1</v>
      </c>
      <c r="AN142" t="b">
        <f t="shared" si="46"/>
        <v>1</v>
      </c>
      <c r="AO142" t="b">
        <f t="shared" si="47"/>
        <v>1</v>
      </c>
      <c r="AP142" t="b">
        <f t="shared" si="48"/>
        <v>1</v>
      </c>
      <c r="AQ142" t="b">
        <f t="shared" si="49"/>
        <v>1</v>
      </c>
    </row>
    <row r="143" spans="1:43" x14ac:dyDescent="0.55000000000000004">
      <c r="A143">
        <v>1777545006</v>
      </c>
      <c r="B143" t="s">
        <v>16</v>
      </c>
      <c r="C143" t="s">
        <v>17</v>
      </c>
      <c r="D143">
        <v>4636.62</v>
      </c>
      <c r="E143" t="s">
        <v>20</v>
      </c>
      <c r="F143">
        <v>4647.1000000000004</v>
      </c>
      <c r="G143">
        <v>4540.82</v>
      </c>
      <c r="H143">
        <v>4582.32</v>
      </c>
      <c r="I143">
        <v>4518.41</v>
      </c>
      <c r="J143">
        <v>4564.75</v>
      </c>
      <c r="K143">
        <v>4510.28</v>
      </c>
      <c r="L143">
        <v>106.28</v>
      </c>
      <c r="M143">
        <v>2.34</v>
      </c>
      <c r="N143">
        <v>1</v>
      </c>
      <c r="O143">
        <v>24</v>
      </c>
      <c r="P143" t="s">
        <v>23</v>
      </c>
      <c r="R143">
        <v>1777545006</v>
      </c>
      <c r="S143" t="s">
        <v>16</v>
      </c>
      <c r="T143" t="s">
        <v>17</v>
      </c>
      <c r="U143">
        <v>4636.62</v>
      </c>
      <c r="V143" t="s">
        <v>20</v>
      </c>
      <c r="W143">
        <v>4647.1000000000004</v>
      </c>
      <c r="X143">
        <v>106.28</v>
      </c>
      <c r="Y143">
        <v>2.34</v>
      </c>
      <c r="Z143">
        <v>1</v>
      </c>
      <c r="AA143">
        <v>24</v>
      </c>
      <c r="AB143">
        <v>0</v>
      </c>
      <c r="AC143">
        <v>4.4283299999999999</v>
      </c>
      <c r="AD143">
        <v>0</v>
      </c>
      <c r="AE143">
        <v>77.275000000000006</v>
      </c>
      <c r="AF143" t="s">
        <v>23</v>
      </c>
      <c r="AH143" t="b">
        <f t="shared" si="40"/>
        <v>1</v>
      </c>
      <c r="AI143" t="b">
        <f t="shared" si="41"/>
        <v>1</v>
      </c>
      <c r="AJ143" t="b">
        <f t="shared" si="42"/>
        <v>1</v>
      </c>
      <c r="AK143" t="b">
        <f t="shared" si="43"/>
        <v>1</v>
      </c>
      <c r="AL143" t="b">
        <f t="shared" si="44"/>
        <v>1</v>
      </c>
      <c r="AM143" t="b">
        <f t="shared" si="45"/>
        <v>1</v>
      </c>
      <c r="AN143" t="b">
        <f t="shared" si="46"/>
        <v>1</v>
      </c>
      <c r="AO143" t="b">
        <f t="shared" si="47"/>
        <v>1</v>
      </c>
      <c r="AP143" t="b">
        <f t="shared" si="48"/>
        <v>1</v>
      </c>
      <c r="AQ143" t="b">
        <f t="shared" si="49"/>
        <v>1</v>
      </c>
    </row>
    <row r="144" spans="1:43" x14ac:dyDescent="0.55000000000000004">
      <c r="A144">
        <v>1777567506</v>
      </c>
      <c r="B144" t="s">
        <v>16</v>
      </c>
      <c r="C144" t="s">
        <v>17</v>
      </c>
      <c r="D144">
        <v>4607.62</v>
      </c>
      <c r="E144" t="s">
        <v>18</v>
      </c>
      <c r="F144">
        <v>4605.5600000000004</v>
      </c>
      <c r="G144">
        <v>4647.1000000000004</v>
      </c>
      <c r="H144">
        <v>4540.82</v>
      </c>
      <c r="I144">
        <v>4582.32</v>
      </c>
      <c r="J144">
        <v>4518.41</v>
      </c>
      <c r="K144">
        <v>4564.75</v>
      </c>
      <c r="L144">
        <v>-41.54</v>
      </c>
      <c r="M144">
        <v>-0.89</v>
      </c>
      <c r="N144">
        <v>3</v>
      </c>
      <c r="O144">
        <v>25</v>
      </c>
      <c r="P144" t="s">
        <v>22</v>
      </c>
      <c r="R144">
        <v>1777567506</v>
      </c>
      <c r="S144" t="s">
        <v>16</v>
      </c>
      <c r="T144" t="s">
        <v>17</v>
      </c>
      <c r="U144">
        <v>4607.62</v>
      </c>
      <c r="V144" t="s">
        <v>18</v>
      </c>
      <c r="W144">
        <v>4605.5600000000004</v>
      </c>
      <c r="X144">
        <v>-41.54</v>
      </c>
      <c r="Y144">
        <v>-0.89</v>
      </c>
      <c r="Z144">
        <v>3</v>
      </c>
      <c r="AA144">
        <v>25</v>
      </c>
      <c r="AB144">
        <v>3</v>
      </c>
      <c r="AC144">
        <v>-1.6616</v>
      </c>
      <c r="AD144">
        <v>3</v>
      </c>
      <c r="AE144">
        <v>-58.959200000000003</v>
      </c>
      <c r="AF144" t="s">
        <v>22</v>
      </c>
      <c r="AH144" t="b">
        <f t="shared" si="40"/>
        <v>1</v>
      </c>
      <c r="AI144" t="b">
        <f t="shared" si="41"/>
        <v>1</v>
      </c>
      <c r="AJ144" t="b">
        <f t="shared" si="42"/>
        <v>1</v>
      </c>
      <c r="AK144" t="b">
        <f t="shared" si="43"/>
        <v>1</v>
      </c>
      <c r="AL144" t="b">
        <f t="shared" si="44"/>
        <v>1</v>
      </c>
      <c r="AM144" t="b">
        <f t="shared" si="45"/>
        <v>1</v>
      </c>
      <c r="AN144" t="b">
        <f t="shared" si="46"/>
        <v>1</v>
      </c>
      <c r="AO144" t="b">
        <f t="shared" si="47"/>
        <v>1</v>
      </c>
      <c r="AP144" t="b">
        <f t="shared" si="48"/>
        <v>1</v>
      </c>
      <c r="AQ144" t="b">
        <f t="shared" si="49"/>
        <v>1</v>
      </c>
    </row>
    <row r="145" spans="1:43" x14ac:dyDescent="0.55000000000000004">
      <c r="A145">
        <v>1777591806</v>
      </c>
      <c r="B145" t="s">
        <v>16</v>
      </c>
      <c r="C145" t="s">
        <v>17</v>
      </c>
      <c r="D145">
        <v>4631.3100000000004</v>
      </c>
      <c r="E145" t="s">
        <v>20</v>
      </c>
      <c r="F145">
        <v>4634.1400000000003</v>
      </c>
      <c r="G145">
        <v>4605.5600000000004</v>
      </c>
      <c r="H145">
        <v>4647.1000000000004</v>
      </c>
      <c r="I145">
        <v>4540.82</v>
      </c>
      <c r="J145">
        <v>4582.32</v>
      </c>
      <c r="K145">
        <v>4518.41</v>
      </c>
      <c r="L145">
        <v>28.58</v>
      </c>
      <c r="M145">
        <v>0.62</v>
      </c>
      <c r="N145">
        <v>0</v>
      </c>
      <c r="O145">
        <v>23</v>
      </c>
      <c r="P145" t="s">
        <v>21</v>
      </c>
      <c r="R145">
        <v>1777591806</v>
      </c>
      <c r="S145" t="s">
        <v>16</v>
      </c>
      <c r="T145" t="s">
        <v>17</v>
      </c>
      <c r="U145">
        <v>4631.3100000000004</v>
      </c>
      <c r="V145" t="s">
        <v>20</v>
      </c>
      <c r="W145">
        <v>4634.1400000000003</v>
      </c>
      <c r="X145">
        <v>28.58</v>
      </c>
      <c r="Y145">
        <v>0.62</v>
      </c>
      <c r="Z145">
        <v>0</v>
      </c>
      <c r="AA145">
        <v>23</v>
      </c>
      <c r="AB145">
        <v>0</v>
      </c>
      <c r="AC145">
        <v>1.24261</v>
      </c>
      <c r="AD145">
        <v>0</v>
      </c>
      <c r="AE145">
        <v>51.174300000000002</v>
      </c>
      <c r="AF145" t="s">
        <v>21</v>
      </c>
      <c r="AH145" t="b">
        <f t="shared" si="40"/>
        <v>1</v>
      </c>
      <c r="AI145" t="b">
        <f t="shared" si="41"/>
        <v>1</v>
      </c>
      <c r="AJ145" t="b">
        <f t="shared" si="42"/>
        <v>1</v>
      </c>
      <c r="AK145" t="b">
        <f t="shared" si="43"/>
        <v>1</v>
      </c>
      <c r="AL145" t="b">
        <f t="shared" si="44"/>
        <v>1</v>
      </c>
      <c r="AM145" t="b">
        <f t="shared" si="45"/>
        <v>1</v>
      </c>
      <c r="AN145" t="b">
        <f t="shared" si="46"/>
        <v>1</v>
      </c>
      <c r="AO145" t="b">
        <f t="shared" si="47"/>
        <v>1</v>
      </c>
      <c r="AP145" t="b">
        <f t="shared" si="48"/>
        <v>1</v>
      </c>
      <c r="AQ145" t="b">
        <f t="shared" si="49"/>
        <v>1</v>
      </c>
    </row>
    <row r="146" spans="1:43" x14ac:dyDescent="0.55000000000000004">
      <c r="A146">
        <v>1777598106</v>
      </c>
      <c r="B146" t="s">
        <v>16</v>
      </c>
      <c r="C146" t="s">
        <v>17</v>
      </c>
      <c r="D146">
        <v>4616.68</v>
      </c>
      <c r="E146" t="s">
        <v>18</v>
      </c>
      <c r="F146">
        <v>4614.2700000000004</v>
      </c>
      <c r="G146">
        <v>4634.1400000000003</v>
      </c>
      <c r="H146">
        <v>4605.5600000000004</v>
      </c>
      <c r="I146">
        <v>4647.1000000000004</v>
      </c>
      <c r="J146">
        <v>4540.82</v>
      </c>
      <c r="K146">
        <v>4582.32</v>
      </c>
      <c r="L146">
        <v>-19.87</v>
      </c>
      <c r="M146">
        <v>-0.43</v>
      </c>
      <c r="N146">
        <v>3</v>
      </c>
      <c r="O146">
        <v>7</v>
      </c>
      <c r="P146" t="s">
        <v>22</v>
      </c>
      <c r="R146">
        <v>1777598106</v>
      </c>
      <c r="S146" t="s">
        <v>16</v>
      </c>
      <c r="T146" t="s">
        <v>17</v>
      </c>
      <c r="U146">
        <v>4616.68</v>
      </c>
      <c r="V146" t="s">
        <v>18</v>
      </c>
      <c r="W146">
        <v>4614.2700000000004</v>
      </c>
      <c r="X146">
        <v>-19.87</v>
      </c>
      <c r="Y146">
        <v>-0.43</v>
      </c>
      <c r="Z146">
        <v>3</v>
      </c>
      <c r="AA146">
        <v>7</v>
      </c>
      <c r="AB146">
        <v>3</v>
      </c>
      <c r="AC146">
        <v>-2.8385699999999998</v>
      </c>
      <c r="AD146">
        <v>3</v>
      </c>
      <c r="AE146">
        <v>-70.593199999999996</v>
      </c>
      <c r="AF146" t="s">
        <v>22</v>
      </c>
      <c r="AH146" t="b">
        <f t="shared" si="40"/>
        <v>1</v>
      </c>
      <c r="AI146" t="b">
        <f t="shared" si="41"/>
        <v>1</v>
      </c>
      <c r="AJ146" t="b">
        <f t="shared" si="42"/>
        <v>1</v>
      </c>
      <c r="AK146" t="b">
        <f t="shared" si="43"/>
        <v>1</v>
      </c>
      <c r="AL146" t="b">
        <f t="shared" si="44"/>
        <v>1</v>
      </c>
      <c r="AM146" t="b">
        <f t="shared" si="45"/>
        <v>1</v>
      </c>
      <c r="AN146" t="b">
        <f t="shared" si="46"/>
        <v>1</v>
      </c>
      <c r="AO146" t="b">
        <f t="shared" si="47"/>
        <v>1</v>
      </c>
      <c r="AP146" t="b">
        <f t="shared" si="48"/>
        <v>1</v>
      </c>
      <c r="AQ146" t="b">
        <f t="shared" si="49"/>
        <v>1</v>
      </c>
    </row>
    <row r="147" spans="1:43" x14ac:dyDescent="0.55000000000000004">
      <c r="A147">
        <v>1777601706</v>
      </c>
      <c r="B147" t="s">
        <v>16</v>
      </c>
      <c r="C147" t="s">
        <v>17</v>
      </c>
      <c r="D147">
        <v>4629.3900000000003</v>
      </c>
      <c r="E147" t="s">
        <v>20</v>
      </c>
      <c r="F147">
        <v>4635.83</v>
      </c>
      <c r="G147">
        <v>4614.2700000000004</v>
      </c>
      <c r="H147">
        <v>4634.1400000000003</v>
      </c>
      <c r="I147">
        <v>4605.5600000000004</v>
      </c>
      <c r="J147">
        <v>4647.1000000000004</v>
      </c>
      <c r="K147">
        <v>4540.82</v>
      </c>
      <c r="L147">
        <v>21.56</v>
      </c>
      <c r="M147">
        <v>0.47</v>
      </c>
      <c r="N147">
        <v>0</v>
      </c>
      <c r="O147">
        <v>4</v>
      </c>
      <c r="P147" t="s">
        <v>23</v>
      </c>
      <c r="R147">
        <v>1777601706</v>
      </c>
      <c r="S147" t="s">
        <v>16</v>
      </c>
      <c r="T147" t="s">
        <v>17</v>
      </c>
      <c r="U147">
        <v>4629.3900000000003</v>
      </c>
      <c r="V147" t="s">
        <v>20</v>
      </c>
      <c r="W147">
        <v>4635.83</v>
      </c>
      <c r="X147">
        <v>21.56</v>
      </c>
      <c r="Y147">
        <v>0.47</v>
      </c>
      <c r="Z147">
        <v>0</v>
      </c>
      <c r="AA147">
        <v>4</v>
      </c>
      <c r="AB147">
        <v>0</v>
      </c>
      <c r="AC147">
        <v>5.39</v>
      </c>
      <c r="AD147">
        <v>0</v>
      </c>
      <c r="AE147">
        <v>79.489500000000007</v>
      </c>
      <c r="AF147" t="s">
        <v>23</v>
      </c>
      <c r="AH147" t="b">
        <f t="shared" si="40"/>
        <v>1</v>
      </c>
      <c r="AI147" t="b">
        <f t="shared" si="41"/>
        <v>1</v>
      </c>
      <c r="AJ147" t="b">
        <f t="shared" si="42"/>
        <v>1</v>
      </c>
      <c r="AK147" t="b">
        <f t="shared" si="43"/>
        <v>1</v>
      </c>
      <c r="AL147" t="b">
        <f t="shared" si="44"/>
        <v>1</v>
      </c>
      <c r="AM147" t="b">
        <f t="shared" si="45"/>
        <v>1</v>
      </c>
      <c r="AN147" t="b">
        <f t="shared" si="46"/>
        <v>1</v>
      </c>
      <c r="AO147" t="b">
        <f t="shared" si="47"/>
        <v>1</v>
      </c>
      <c r="AP147" t="b">
        <f t="shared" si="48"/>
        <v>1</v>
      </c>
      <c r="AQ147" t="b">
        <f t="shared" si="49"/>
        <v>1</v>
      </c>
    </row>
    <row r="148" spans="1:43" x14ac:dyDescent="0.55000000000000004">
      <c r="A148">
        <v>1777628706</v>
      </c>
      <c r="B148" t="s">
        <v>16</v>
      </c>
      <c r="C148" t="s">
        <v>17</v>
      </c>
      <c r="D148">
        <v>4563.12</v>
      </c>
      <c r="E148" t="s">
        <v>18</v>
      </c>
      <c r="F148">
        <v>4560.4399999999996</v>
      </c>
      <c r="G148">
        <v>4635.83</v>
      </c>
      <c r="H148">
        <v>4614.2700000000004</v>
      </c>
      <c r="I148">
        <v>4634.1400000000003</v>
      </c>
      <c r="J148">
        <v>4605.5600000000004</v>
      </c>
      <c r="K148">
        <v>4647.1000000000004</v>
      </c>
      <c r="L148">
        <v>-75.39</v>
      </c>
      <c r="M148">
        <v>-1.63</v>
      </c>
      <c r="N148">
        <v>3</v>
      </c>
      <c r="O148">
        <v>30</v>
      </c>
      <c r="P148" t="s">
        <v>19</v>
      </c>
      <c r="R148">
        <v>1777628706</v>
      </c>
      <c r="S148" t="s">
        <v>16</v>
      </c>
      <c r="T148" t="s">
        <v>17</v>
      </c>
      <c r="U148">
        <v>4563.12</v>
      </c>
      <c r="V148" t="s">
        <v>18</v>
      </c>
      <c r="W148">
        <v>4560.4399999999996</v>
      </c>
      <c r="X148">
        <v>-75.39</v>
      </c>
      <c r="Y148">
        <v>-1.63</v>
      </c>
      <c r="Z148">
        <v>3</v>
      </c>
      <c r="AA148">
        <v>30</v>
      </c>
      <c r="AB148">
        <v>3</v>
      </c>
      <c r="AC148">
        <v>-2.5129999999999999</v>
      </c>
      <c r="AD148">
        <v>3</v>
      </c>
      <c r="AE148">
        <v>-68.300899999999999</v>
      </c>
      <c r="AF148" t="s">
        <v>19</v>
      </c>
      <c r="AH148" t="b">
        <f t="shared" si="40"/>
        <v>1</v>
      </c>
      <c r="AI148" t="b">
        <f t="shared" si="41"/>
        <v>1</v>
      </c>
      <c r="AJ148" t="b">
        <f t="shared" si="42"/>
        <v>1</v>
      </c>
      <c r="AK148" t="b">
        <f t="shared" si="43"/>
        <v>1</v>
      </c>
      <c r="AL148" t="b">
        <f t="shared" si="44"/>
        <v>1</v>
      </c>
      <c r="AM148" t="b">
        <f t="shared" si="45"/>
        <v>1</v>
      </c>
      <c r="AN148" t="b">
        <f t="shared" si="46"/>
        <v>1</v>
      </c>
      <c r="AO148" t="b">
        <f t="shared" si="47"/>
        <v>1</v>
      </c>
      <c r="AP148" t="b">
        <f t="shared" si="48"/>
        <v>1</v>
      </c>
      <c r="AQ148" t="b">
        <f t="shared" si="49"/>
        <v>1</v>
      </c>
    </row>
    <row r="149" spans="1:43" x14ac:dyDescent="0.55000000000000004">
      <c r="A149">
        <v>1777644906</v>
      </c>
      <c r="B149" t="s">
        <v>16</v>
      </c>
      <c r="C149" t="s">
        <v>17</v>
      </c>
      <c r="D149">
        <v>4644.67</v>
      </c>
      <c r="E149" t="s">
        <v>20</v>
      </c>
      <c r="F149">
        <v>4660.32</v>
      </c>
      <c r="G149">
        <v>4560.4399999999996</v>
      </c>
      <c r="H149">
        <v>4635.83</v>
      </c>
      <c r="I149">
        <v>4614.2700000000004</v>
      </c>
      <c r="J149">
        <v>4634.1400000000003</v>
      </c>
      <c r="K149">
        <v>4605.5600000000004</v>
      </c>
      <c r="L149">
        <v>99.88</v>
      </c>
      <c r="M149">
        <v>2.19</v>
      </c>
      <c r="N149">
        <v>1</v>
      </c>
      <c r="O149">
        <v>18</v>
      </c>
      <c r="P149" t="s">
        <v>23</v>
      </c>
      <c r="R149">
        <v>1777644906</v>
      </c>
      <c r="S149" t="s">
        <v>16</v>
      </c>
      <c r="T149" t="s">
        <v>17</v>
      </c>
      <c r="U149">
        <v>4644.67</v>
      </c>
      <c r="V149" t="s">
        <v>20</v>
      </c>
      <c r="W149">
        <v>4660.32</v>
      </c>
      <c r="X149">
        <v>99.88</v>
      </c>
      <c r="Y149">
        <v>2.19</v>
      </c>
      <c r="Z149">
        <v>1</v>
      </c>
      <c r="AA149">
        <v>18</v>
      </c>
      <c r="AB149">
        <v>0</v>
      </c>
      <c r="AC149">
        <v>5.5488900000000001</v>
      </c>
      <c r="AD149">
        <v>0</v>
      </c>
      <c r="AE149">
        <v>79.784000000000006</v>
      </c>
      <c r="AF149" t="s">
        <v>23</v>
      </c>
      <c r="AH149" t="b">
        <f t="shared" si="40"/>
        <v>1</v>
      </c>
      <c r="AI149" t="b">
        <f t="shared" si="41"/>
        <v>1</v>
      </c>
      <c r="AJ149" t="b">
        <f t="shared" si="42"/>
        <v>1</v>
      </c>
      <c r="AK149" t="b">
        <f t="shared" si="43"/>
        <v>1</v>
      </c>
      <c r="AL149" t="b">
        <f t="shared" si="44"/>
        <v>1</v>
      </c>
      <c r="AM149" t="b">
        <f t="shared" si="45"/>
        <v>1</v>
      </c>
      <c r="AN149" t="b">
        <f t="shared" si="46"/>
        <v>1</v>
      </c>
      <c r="AO149" t="b">
        <f t="shared" si="47"/>
        <v>1</v>
      </c>
      <c r="AP149" t="b">
        <f t="shared" si="48"/>
        <v>1</v>
      </c>
      <c r="AQ149" t="b">
        <f t="shared" si="49"/>
        <v>1</v>
      </c>
    </row>
    <row r="150" spans="1:43" x14ac:dyDescent="0.55000000000000004">
      <c r="A150">
        <v>1777665606</v>
      </c>
      <c r="B150" t="s">
        <v>16</v>
      </c>
      <c r="C150" t="s">
        <v>17</v>
      </c>
      <c r="D150">
        <v>4611.41</v>
      </c>
      <c r="E150" t="s">
        <v>18</v>
      </c>
      <c r="F150">
        <v>4607.09</v>
      </c>
      <c r="G150">
        <v>4660.32</v>
      </c>
      <c r="H150">
        <v>4560.4399999999996</v>
      </c>
      <c r="I150">
        <v>4635.83</v>
      </c>
      <c r="J150">
        <v>4614.2700000000004</v>
      </c>
      <c r="K150">
        <v>4634.1400000000003</v>
      </c>
      <c r="L150">
        <v>-53.23</v>
      </c>
      <c r="M150">
        <v>-1.1399999999999999</v>
      </c>
      <c r="N150">
        <v>3</v>
      </c>
      <c r="O150">
        <v>23</v>
      </c>
      <c r="P150" t="s">
        <v>22</v>
      </c>
      <c r="R150">
        <v>1777665606</v>
      </c>
      <c r="S150" t="s">
        <v>16</v>
      </c>
      <c r="T150" t="s">
        <v>17</v>
      </c>
      <c r="U150">
        <v>4611.41</v>
      </c>
      <c r="V150" t="s">
        <v>18</v>
      </c>
      <c r="W150">
        <v>4607.09</v>
      </c>
      <c r="X150">
        <v>-53.23</v>
      </c>
      <c r="Y150">
        <v>-1.1399999999999999</v>
      </c>
      <c r="Z150">
        <v>3</v>
      </c>
      <c r="AA150">
        <v>23</v>
      </c>
      <c r="AB150">
        <v>3</v>
      </c>
      <c r="AC150">
        <v>-2.3143500000000001</v>
      </c>
      <c r="AD150">
        <v>3</v>
      </c>
      <c r="AE150">
        <v>-66.631399999999999</v>
      </c>
      <c r="AF150" t="s">
        <v>22</v>
      </c>
      <c r="AH150" t="b">
        <f t="shared" si="40"/>
        <v>1</v>
      </c>
      <c r="AI150" t="b">
        <f t="shared" si="41"/>
        <v>1</v>
      </c>
      <c r="AJ150" t="b">
        <f t="shared" si="42"/>
        <v>1</v>
      </c>
      <c r="AK150" t="b">
        <f t="shared" si="43"/>
        <v>1</v>
      </c>
      <c r="AL150" t="b">
        <f t="shared" si="44"/>
        <v>1</v>
      </c>
      <c r="AM150" t="b">
        <f t="shared" si="45"/>
        <v>1</v>
      </c>
      <c r="AN150" t="b">
        <f t="shared" si="46"/>
        <v>1</v>
      </c>
      <c r="AO150" t="b">
        <f t="shared" si="47"/>
        <v>1</v>
      </c>
      <c r="AP150" t="b">
        <f t="shared" si="48"/>
        <v>1</v>
      </c>
      <c r="AQ150" t="b">
        <f t="shared" si="49"/>
        <v>1</v>
      </c>
    </row>
    <row r="151" spans="1:43" x14ac:dyDescent="0.55000000000000004">
      <c r="A151">
        <v>1777845606</v>
      </c>
      <c r="B151" t="s">
        <v>16</v>
      </c>
      <c r="C151" t="s">
        <v>17</v>
      </c>
      <c r="D151">
        <v>4623.1099999999997</v>
      </c>
      <c r="E151" t="s">
        <v>20</v>
      </c>
      <c r="F151">
        <v>4632.1099999999997</v>
      </c>
      <c r="G151">
        <v>4607.09</v>
      </c>
      <c r="H151">
        <v>4660.32</v>
      </c>
      <c r="I151">
        <v>4560.4399999999996</v>
      </c>
      <c r="J151">
        <v>4635.83</v>
      </c>
      <c r="K151">
        <v>4614.2700000000004</v>
      </c>
      <c r="L151">
        <v>25.02</v>
      </c>
      <c r="M151">
        <v>0.54</v>
      </c>
      <c r="N151">
        <v>0</v>
      </c>
      <c r="O151">
        <v>4</v>
      </c>
      <c r="P151" t="s">
        <v>21</v>
      </c>
      <c r="R151">
        <v>1777845606</v>
      </c>
      <c r="S151" t="s">
        <v>16</v>
      </c>
      <c r="T151" t="s">
        <v>17</v>
      </c>
      <c r="U151">
        <v>4623.1099999999997</v>
      </c>
      <c r="V151" t="s">
        <v>20</v>
      </c>
      <c r="W151">
        <v>4632.1099999999997</v>
      </c>
      <c r="X151">
        <v>25.02</v>
      </c>
      <c r="Y151">
        <v>0.54</v>
      </c>
      <c r="Z151">
        <v>0</v>
      </c>
      <c r="AA151">
        <v>4</v>
      </c>
      <c r="AB151">
        <v>0</v>
      </c>
      <c r="AC151">
        <v>6.2549999999999999</v>
      </c>
      <c r="AD151">
        <v>0</v>
      </c>
      <c r="AE151">
        <v>80.916899999999998</v>
      </c>
      <c r="AF151" t="s">
        <v>21</v>
      </c>
      <c r="AH151" t="b">
        <f t="shared" si="40"/>
        <v>1</v>
      </c>
      <c r="AI151" t="b">
        <f t="shared" si="41"/>
        <v>1</v>
      </c>
      <c r="AJ151" t="b">
        <f t="shared" si="42"/>
        <v>1</v>
      </c>
      <c r="AK151" t="b">
        <f t="shared" si="43"/>
        <v>1</v>
      </c>
      <c r="AL151" t="b">
        <f t="shared" si="44"/>
        <v>1</v>
      </c>
      <c r="AM151" t="b">
        <f t="shared" si="45"/>
        <v>1</v>
      </c>
      <c r="AN151" t="b">
        <f t="shared" si="46"/>
        <v>1</v>
      </c>
      <c r="AO151" t="b">
        <f t="shared" si="47"/>
        <v>1</v>
      </c>
      <c r="AP151" t="b">
        <f t="shared" si="48"/>
        <v>1</v>
      </c>
      <c r="AQ151" t="b">
        <f t="shared" si="49"/>
        <v>1</v>
      </c>
    </row>
    <row r="152" spans="1:43" x14ac:dyDescent="0.55000000000000004">
      <c r="A152">
        <v>1777858206</v>
      </c>
      <c r="B152" t="s">
        <v>16</v>
      </c>
      <c r="C152" t="s">
        <v>17</v>
      </c>
      <c r="D152">
        <v>4601.59</v>
      </c>
      <c r="E152" t="s">
        <v>18</v>
      </c>
      <c r="F152">
        <v>4592.93</v>
      </c>
      <c r="G152">
        <v>4632.1099999999997</v>
      </c>
      <c r="H152">
        <v>4607.09</v>
      </c>
      <c r="I152">
        <v>4660.32</v>
      </c>
      <c r="J152">
        <v>4560.4399999999996</v>
      </c>
      <c r="K152">
        <v>4635.83</v>
      </c>
      <c r="L152">
        <v>-39.18</v>
      </c>
      <c r="M152">
        <v>-0.85</v>
      </c>
      <c r="N152">
        <v>3</v>
      </c>
      <c r="O152">
        <v>14</v>
      </c>
      <c r="P152" t="s">
        <v>19</v>
      </c>
      <c r="R152">
        <v>1777858206</v>
      </c>
      <c r="S152" t="s">
        <v>16</v>
      </c>
      <c r="T152" t="s">
        <v>17</v>
      </c>
      <c r="U152">
        <v>4601.59</v>
      </c>
      <c r="V152" t="s">
        <v>18</v>
      </c>
      <c r="W152">
        <v>4592.93</v>
      </c>
      <c r="X152">
        <v>-39.18</v>
      </c>
      <c r="Y152">
        <v>-0.85</v>
      </c>
      <c r="Z152">
        <v>3</v>
      </c>
      <c r="AA152">
        <v>14</v>
      </c>
      <c r="AB152">
        <v>3</v>
      </c>
      <c r="AC152">
        <v>-2.7985699999999998</v>
      </c>
      <c r="AD152">
        <v>3</v>
      </c>
      <c r="AE152">
        <v>-70.3369</v>
      </c>
      <c r="AF152" t="s">
        <v>19</v>
      </c>
      <c r="AH152" t="b">
        <f t="shared" si="40"/>
        <v>1</v>
      </c>
      <c r="AI152" t="b">
        <f t="shared" si="41"/>
        <v>1</v>
      </c>
      <c r="AJ152" t="b">
        <f t="shared" si="42"/>
        <v>1</v>
      </c>
      <c r="AK152" t="b">
        <f t="shared" si="43"/>
        <v>1</v>
      </c>
      <c r="AL152" t="b">
        <f t="shared" si="44"/>
        <v>1</v>
      </c>
      <c r="AM152" t="b">
        <f t="shared" si="45"/>
        <v>1</v>
      </c>
      <c r="AN152" t="b">
        <f t="shared" si="46"/>
        <v>1</v>
      </c>
      <c r="AO152" t="b">
        <f t="shared" si="47"/>
        <v>1</v>
      </c>
      <c r="AP152" t="b">
        <f t="shared" si="48"/>
        <v>1</v>
      </c>
      <c r="AQ152" t="b">
        <f t="shared" si="49"/>
        <v>1</v>
      </c>
    </row>
    <row r="153" spans="1:43" x14ac:dyDescent="0.55000000000000004">
      <c r="A153">
        <v>1777860006</v>
      </c>
      <c r="B153" t="s">
        <v>16</v>
      </c>
      <c r="C153" t="s">
        <v>17</v>
      </c>
      <c r="D153">
        <v>4608.34</v>
      </c>
      <c r="E153" t="s">
        <v>20</v>
      </c>
      <c r="F153">
        <v>4618.59</v>
      </c>
      <c r="G153">
        <v>4592.93</v>
      </c>
      <c r="H153">
        <v>4632.1099999999997</v>
      </c>
      <c r="I153">
        <v>4607.09</v>
      </c>
      <c r="J153">
        <v>4660.32</v>
      </c>
      <c r="K153">
        <v>4560.4399999999996</v>
      </c>
      <c r="L153">
        <v>25.66</v>
      </c>
      <c r="M153">
        <v>0.56000000000000005</v>
      </c>
      <c r="N153">
        <v>0</v>
      </c>
      <c r="O153">
        <v>2</v>
      </c>
      <c r="P153" t="s">
        <v>21</v>
      </c>
      <c r="R153">
        <v>1777860006</v>
      </c>
      <c r="S153" t="s">
        <v>16</v>
      </c>
      <c r="T153" t="s">
        <v>17</v>
      </c>
      <c r="U153">
        <v>4608.34</v>
      </c>
      <c r="V153" t="s">
        <v>20</v>
      </c>
      <c r="W153">
        <v>4618.59</v>
      </c>
      <c r="X153">
        <v>25.66</v>
      </c>
      <c r="Y153">
        <v>0.56000000000000005</v>
      </c>
      <c r="Z153">
        <v>0</v>
      </c>
      <c r="AA153">
        <v>2</v>
      </c>
      <c r="AB153">
        <v>0</v>
      </c>
      <c r="AC153">
        <v>12.83</v>
      </c>
      <c r="AD153">
        <v>0</v>
      </c>
      <c r="AE153">
        <v>85.543199999999999</v>
      </c>
      <c r="AF153" t="s">
        <v>21</v>
      </c>
      <c r="AH153" t="b">
        <f t="shared" si="40"/>
        <v>1</v>
      </c>
      <c r="AI153" t="b">
        <f t="shared" si="41"/>
        <v>1</v>
      </c>
      <c r="AJ153" t="b">
        <f t="shared" si="42"/>
        <v>1</v>
      </c>
      <c r="AK153" t="b">
        <f t="shared" si="43"/>
        <v>1</v>
      </c>
      <c r="AL153" t="b">
        <f t="shared" si="44"/>
        <v>1</v>
      </c>
      <c r="AM153" t="b">
        <f t="shared" si="45"/>
        <v>1</v>
      </c>
      <c r="AN153" t="b">
        <f t="shared" si="46"/>
        <v>1</v>
      </c>
      <c r="AO153" t="b">
        <f t="shared" si="47"/>
        <v>1</v>
      </c>
      <c r="AP153" t="b">
        <f t="shared" si="48"/>
        <v>1</v>
      </c>
      <c r="AQ153" t="b">
        <f t="shared" si="49"/>
        <v>1</v>
      </c>
    </row>
    <row r="154" spans="1:43" x14ac:dyDescent="0.55000000000000004">
      <c r="A154">
        <v>1777889706</v>
      </c>
      <c r="B154" t="s">
        <v>16</v>
      </c>
      <c r="C154" t="s">
        <v>17</v>
      </c>
      <c r="D154">
        <v>4545</v>
      </c>
      <c r="E154" t="s">
        <v>18</v>
      </c>
      <c r="F154">
        <v>4526.3999999999996</v>
      </c>
      <c r="G154">
        <v>4618.59</v>
      </c>
      <c r="H154">
        <v>4592.93</v>
      </c>
      <c r="I154">
        <v>4632.1099999999997</v>
      </c>
      <c r="J154">
        <v>4607.09</v>
      </c>
      <c r="K154">
        <v>4660.32</v>
      </c>
      <c r="L154">
        <v>-92.19</v>
      </c>
      <c r="M154">
        <v>-2</v>
      </c>
      <c r="N154">
        <v>4</v>
      </c>
      <c r="O154">
        <v>33</v>
      </c>
      <c r="P154" t="s">
        <v>19</v>
      </c>
      <c r="R154">
        <v>1777889706</v>
      </c>
      <c r="S154" t="s">
        <v>16</v>
      </c>
      <c r="T154" t="s">
        <v>17</v>
      </c>
      <c r="U154">
        <v>4545</v>
      </c>
      <c r="V154" t="s">
        <v>18</v>
      </c>
      <c r="W154">
        <v>4526.3999999999996</v>
      </c>
      <c r="X154">
        <v>-92.19</v>
      </c>
      <c r="Y154">
        <v>-2</v>
      </c>
      <c r="Z154">
        <v>4</v>
      </c>
      <c r="AA154">
        <v>33</v>
      </c>
      <c r="AB154">
        <v>3</v>
      </c>
      <c r="AC154">
        <v>-2.7936399999999999</v>
      </c>
      <c r="AD154">
        <v>3</v>
      </c>
      <c r="AE154">
        <v>-70.3048</v>
      </c>
      <c r="AF154" t="s">
        <v>19</v>
      </c>
      <c r="AH154" t="b">
        <f t="shared" si="40"/>
        <v>1</v>
      </c>
      <c r="AI154" t="b">
        <f t="shared" si="41"/>
        <v>1</v>
      </c>
      <c r="AJ154" t="b">
        <f t="shared" si="42"/>
        <v>1</v>
      </c>
      <c r="AK154" t="b">
        <f t="shared" si="43"/>
        <v>1</v>
      </c>
      <c r="AL154" t="b">
        <f t="shared" si="44"/>
        <v>1</v>
      </c>
      <c r="AM154" t="b">
        <f t="shared" si="45"/>
        <v>1</v>
      </c>
      <c r="AN154" t="b">
        <f t="shared" si="46"/>
        <v>1</v>
      </c>
      <c r="AO154" t="b">
        <f t="shared" si="47"/>
        <v>1</v>
      </c>
      <c r="AP154" t="b">
        <f t="shared" si="48"/>
        <v>1</v>
      </c>
      <c r="AQ154" t="b">
        <f t="shared" si="49"/>
        <v>1</v>
      </c>
    </row>
    <row r="155" spans="1:43" x14ac:dyDescent="0.55000000000000004">
      <c r="A155">
        <v>1777905006</v>
      </c>
      <c r="B155" t="s">
        <v>16</v>
      </c>
      <c r="C155" t="s">
        <v>17</v>
      </c>
      <c r="D155">
        <v>4574.38</v>
      </c>
      <c r="E155" t="s">
        <v>20</v>
      </c>
      <c r="F155">
        <v>4583.16</v>
      </c>
      <c r="G155">
        <v>4526.3999999999996</v>
      </c>
      <c r="H155">
        <v>4618.59</v>
      </c>
      <c r="I155">
        <v>4592.93</v>
      </c>
      <c r="J155">
        <v>4632.1099999999997</v>
      </c>
      <c r="K155">
        <v>4607.09</v>
      </c>
      <c r="L155">
        <v>56.76</v>
      </c>
      <c r="M155">
        <v>1.25</v>
      </c>
      <c r="N155">
        <v>0</v>
      </c>
      <c r="O155">
        <v>17</v>
      </c>
      <c r="P155" t="s">
        <v>21</v>
      </c>
      <c r="R155">
        <v>1777905006</v>
      </c>
      <c r="S155" t="s">
        <v>16</v>
      </c>
      <c r="T155" t="s">
        <v>17</v>
      </c>
      <c r="U155">
        <v>4574.38</v>
      </c>
      <c r="V155" t="s">
        <v>20</v>
      </c>
      <c r="W155">
        <v>4583.16</v>
      </c>
      <c r="X155">
        <v>56.76</v>
      </c>
      <c r="Y155">
        <v>1.25</v>
      </c>
      <c r="Z155">
        <v>0</v>
      </c>
      <c r="AA155">
        <v>17</v>
      </c>
      <c r="AB155">
        <v>0</v>
      </c>
      <c r="AC155">
        <v>3.3388200000000001</v>
      </c>
      <c r="AD155">
        <v>0</v>
      </c>
      <c r="AE155">
        <v>73.326700000000002</v>
      </c>
      <c r="AF155" t="s">
        <v>21</v>
      </c>
      <c r="AH155" t="b">
        <f t="shared" si="40"/>
        <v>1</v>
      </c>
      <c r="AI155" t="b">
        <f t="shared" si="41"/>
        <v>1</v>
      </c>
      <c r="AJ155" t="b">
        <f t="shared" si="42"/>
        <v>1</v>
      </c>
      <c r="AK155" t="b">
        <f t="shared" si="43"/>
        <v>1</v>
      </c>
      <c r="AL155" t="b">
        <f t="shared" si="44"/>
        <v>1</v>
      </c>
      <c r="AM155" t="b">
        <f t="shared" si="45"/>
        <v>1</v>
      </c>
      <c r="AN155" t="b">
        <f t="shared" si="46"/>
        <v>1</v>
      </c>
      <c r="AO155" t="b">
        <f t="shared" si="47"/>
        <v>1</v>
      </c>
      <c r="AP155" t="b">
        <f t="shared" si="48"/>
        <v>1</v>
      </c>
      <c r="AQ155" t="b">
        <f t="shared" si="49"/>
        <v>1</v>
      </c>
    </row>
    <row r="156" spans="1:43" x14ac:dyDescent="0.55000000000000004">
      <c r="A156">
        <v>1777910406</v>
      </c>
      <c r="B156" t="s">
        <v>16</v>
      </c>
      <c r="C156" t="s">
        <v>17</v>
      </c>
      <c r="D156">
        <v>4509.88</v>
      </c>
      <c r="E156" t="s">
        <v>18</v>
      </c>
      <c r="F156">
        <v>4500.8599999999997</v>
      </c>
      <c r="G156">
        <v>4583.16</v>
      </c>
      <c r="H156">
        <v>4526.3999999999996</v>
      </c>
      <c r="I156">
        <v>4618.59</v>
      </c>
      <c r="J156">
        <v>4592.93</v>
      </c>
      <c r="K156">
        <v>4632.1099999999997</v>
      </c>
      <c r="L156">
        <v>-82.3</v>
      </c>
      <c r="M156">
        <v>-1.8</v>
      </c>
      <c r="N156">
        <v>3</v>
      </c>
      <c r="O156">
        <v>6</v>
      </c>
      <c r="P156" t="s">
        <v>19</v>
      </c>
      <c r="R156">
        <v>1777910406</v>
      </c>
      <c r="S156" t="s">
        <v>16</v>
      </c>
      <c r="T156" t="s">
        <v>17</v>
      </c>
      <c r="U156">
        <v>4509.88</v>
      </c>
      <c r="V156" t="s">
        <v>18</v>
      </c>
      <c r="W156">
        <v>4500.8599999999997</v>
      </c>
      <c r="X156">
        <v>-82.3</v>
      </c>
      <c r="Y156">
        <v>-1.8</v>
      </c>
      <c r="Z156">
        <v>3</v>
      </c>
      <c r="AA156">
        <v>6</v>
      </c>
      <c r="AB156">
        <v>3</v>
      </c>
      <c r="AC156">
        <v>-13.716670000000001</v>
      </c>
      <c r="AD156">
        <v>5</v>
      </c>
      <c r="AE156">
        <v>-85.830299999999994</v>
      </c>
      <c r="AF156" t="s">
        <v>19</v>
      </c>
      <c r="AH156" t="b">
        <f t="shared" si="40"/>
        <v>1</v>
      </c>
      <c r="AI156" t="b">
        <f t="shared" si="41"/>
        <v>1</v>
      </c>
      <c r="AJ156" t="b">
        <f t="shared" si="42"/>
        <v>1</v>
      </c>
      <c r="AK156" t="b">
        <f t="shared" si="43"/>
        <v>1</v>
      </c>
      <c r="AL156" t="b">
        <f t="shared" si="44"/>
        <v>1</v>
      </c>
      <c r="AM156" t="b">
        <f t="shared" si="45"/>
        <v>1</v>
      </c>
      <c r="AN156" t="b">
        <f t="shared" si="46"/>
        <v>1</v>
      </c>
      <c r="AO156" t="b">
        <f t="shared" si="47"/>
        <v>1</v>
      </c>
      <c r="AP156" t="b">
        <f t="shared" si="48"/>
        <v>1</v>
      </c>
      <c r="AQ156" t="b">
        <f t="shared" si="49"/>
        <v>1</v>
      </c>
    </row>
    <row r="157" spans="1:43" x14ac:dyDescent="0.55000000000000004">
      <c r="A157">
        <v>1777939206</v>
      </c>
      <c r="B157" t="s">
        <v>16</v>
      </c>
      <c r="C157" t="s">
        <v>17</v>
      </c>
      <c r="D157">
        <v>4527.7700000000004</v>
      </c>
      <c r="E157" t="s">
        <v>20</v>
      </c>
      <c r="F157">
        <v>4528.57</v>
      </c>
      <c r="G157">
        <v>4500.8599999999997</v>
      </c>
      <c r="H157">
        <v>4583.16</v>
      </c>
      <c r="I157">
        <v>4526.3999999999996</v>
      </c>
      <c r="J157">
        <v>4618.59</v>
      </c>
      <c r="K157">
        <v>4592.93</v>
      </c>
      <c r="L157">
        <v>27.71</v>
      </c>
      <c r="M157">
        <v>0.62</v>
      </c>
      <c r="N157">
        <v>0</v>
      </c>
      <c r="O157">
        <v>28</v>
      </c>
      <c r="P157" t="s">
        <v>21</v>
      </c>
      <c r="R157">
        <v>1777939206</v>
      </c>
      <c r="S157" t="s">
        <v>16</v>
      </c>
      <c r="T157" t="s">
        <v>17</v>
      </c>
      <c r="U157">
        <v>4527.7700000000004</v>
      </c>
      <c r="V157" t="s">
        <v>20</v>
      </c>
      <c r="W157">
        <v>4528.57</v>
      </c>
      <c r="X157">
        <v>27.71</v>
      </c>
      <c r="Y157">
        <v>0.62</v>
      </c>
      <c r="Z157">
        <v>0</v>
      </c>
      <c r="AA157">
        <v>28</v>
      </c>
      <c r="AB157">
        <v>0</v>
      </c>
      <c r="AC157">
        <v>0.98963999999999996</v>
      </c>
      <c r="AD157">
        <v>0</v>
      </c>
      <c r="AE157">
        <v>44.701700000000002</v>
      </c>
      <c r="AF157" t="s">
        <v>21</v>
      </c>
      <c r="AH157" t="b">
        <f t="shared" si="40"/>
        <v>1</v>
      </c>
      <c r="AI157" t="b">
        <f t="shared" si="41"/>
        <v>1</v>
      </c>
      <c r="AJ157" t="b">
        <f t="shared" si="42"/>
        <v>1</v>
      </c>
      <c r="AK157" t="b">
        <f t="shared" si="43"/>
        <v>1</v>
      </c>
      <c r="AL157" t="b">
        <f t="shared" si="44"/>
        <v>1</v>
      </c>
      <c r="AM157" t="b">
        <f t="shared" si="45"/>
        <v>1</v>
      </c>
      <c r="AN157" t="b">
        <f t="shared" si="46"/>
        <v>1</v>
      </c>
      <c r="AO157" t="b">
        <f t="shared" si="47"/>
        <v>1</v>
      </c>
      <c r="AP157" t="b">
        <f t="shared" si="48"/>
        <v>1</v>
      </c>
      <c r="AQ157" t="b">
        <f t="shared" si="49"/>
        <v>1</v>
      </c>
    </row>
    <row r="158" spans="1:43" x14ac:dyDescent="0.55000000000000004">
      <c r="A158">
        <v>1777940106</v>
      </c>
      <c r="B158" t="s">
        <v>16</v>
      </c>
      <c r="C158" t="s">
        <v>17</v>
      </c>
      <c r="D158">
        <v>4517.12</v>
      </c>
      <c r="E158" t="s">
        <v>18</v>
      </c>
      <c r="F158">
        <v>4513.5600000000004</v>
      </c>
      <c r="G158">
        <v>4528.57</v>
      </c>
      <c r="H158">
        <v>4500.8599999999997</v>
      </c>
      <c r="I158">
        <v>4583.16</v>
      </c>
      <c r="J158">
        <v>4526.3999999999996</v>
      </c>
      <c r="K158">
        <v>4618.59</v>
      </c>
      <c r="L158">
        <v>-15.01</v>
      </c>
      <c r="M158">
        <v>-0.33</v>
      </c>
      <c r="N158">
        <v>3</v>
      </c>
      <c r="O158">
        <v>1</v>
      </c>
      <c r="P158" t="s">
        <v>22</v>
      </c>
      <c r="R158">
        <v>1777940106</v>
      </c>
      <c r="S158" t="s">
        <v>16</v>
      </c>
      <c r="T158" t="s">
        <v>17</v>
      </c>
      <c r="U158">
        <v>4517.12</v>
      </c>
      <c r="V158" t="s">
        <v>18</v>
      </c>
      <c r="W158">
        <v>4513.5600000000004</v>
      </c>
      <c r="X158">
        <v>-15.01</v>
      </c>
      <c r="Y158">
        <v>-0.33</v>
      </c>
      <c r="Z158">
        <v>3</v>
      </c>
      <c r="AA158">
        <v>1</v>
      </c>
      <c r="AB158">
        <v>3</v>
      </c>
      <c r="AC158">
        <v>-15.01</v>
      </c>
      <c r="AD158">
        <v>5</v>
      </c>
      <c r="AE158">
        <v>-86.188500000000005</v>
      </c>
      <c r="AF158" t="s">
        <v>22</v>
      </c>
      <c r="AH158" t="b">
        <f t="shared" si="40"/>
        <v>1</v>
      </c>
      <c r="AI158" t="b">
        <f t="shared" si="41"/>
        <v>1</v>
      </c>
      <c r="AJ158" t="b">
        <f t="shared" si="42"/>
        <v>1</v>
      </c>
      <c r="AK158" t="b">
        <f t="shared" si="43"/>
        <v>1</v>
      </c>
      <c r="AL158" t="b">
        <f t="shared" si="44"/>
        <v>1</v>
      </c>
      <c r="AM158" t="b">
        <f t="shared" si="45"/>
        <v>1</v>
      </c>
      <c r="AN158" t="b">
        <f t="shared" si="46"/>
        <v>1</v>
      </c>
      <c r="AO158" t="b">
        <f t="shared" si="47"/>
        <v>1</v>
      </c>
      <c r="AP158" t="b">
        <f t="shared" si="48"/>
        <v>1</v>
      </c>
      <c r="AQ158" t="b">
        <f t="shared" si="49"/>
        <v>1</v>
      </c>
    </row>
    <row r="159" spans="1:43" x14ac:dyDescent="0.55000000000000004">
      <c r="A159">
        <v>1777949106</v>
      </c>
      <c r="B159" t="s">
        <v>16</v>
      </c>
      <c r="C159" t="s">
        <v>17</v>
      </c>
      <c r="D159">
        <v>4539.17</v>
      </c>
      <c r="E159" t="s">
        <v>20</v>
      </c>
      <c r="F159">
        <v>4546.78</v>
      </c>
      <c r="G159">
        <v>4513.5600000000004</v>
      </c>
      <c r="H159">
        <v>4528.57</v>
      </c>
      <c r="I159">
        <v>4500.8599999999997</v>
      </c>
      <c r="J159">
        <v>4583.16</v>
      </c>
      <c r="K159">
        <v>4526.3999999999996</v>
      </c>
      <c r="L159">
        <v>33.22</v>
      </c>
      <c r="M159">
        <v>0.74</v>
      </c>
      <c r="N159">
        <v>0</v>
      </c>
      <c r="O159">
        <v>10</v>
      </c>
      <c r="P159" t="s">
        <v>23</v>
      </c>
      <c r="R159">
        <v>1777949106</v>
      </c>
      <c r="S159" t="s">
        <v>16</v>
      </c>
      <c r="T159" t="s">
        <v>17</v>
      </c>
      <c r="U159">
        <v>4539.17</v>
      </c>
      <c r="V159" t="s">
        <v>20</v>
      </c>
      <c r="W159">
        <v>4546.78</v>
      </c>
      <c r="X159">
        <v>33.22</v>
      </c>
      <c r="Y159">
        <v>0.74</v>
      </c>
      <c r="Z159">
        <v>0</v>
      </c>
      <c r="AA159">
        <v>10</v>
      </c>
      <c r="AB159">
        <v>0</v>
      </c>
      <c r="AC159">
        <v>3.3220000000000001</v>
      </c>
      <c r="AD159">
        <v>0</v>
      </c>
      <c r="AE159">
        <v>73.247</v>
      </c>
      <c r="AF159" t="s">
        <v>23</v>
      </c>
      <c r="AH159" t="b">
        <f t="shared" si="40"/>
        <v>1</v>
      </c>
      <c r="AI159" t="b">
        <f t="shared" si="41"/>
        <v>1</v>
      </c>
      <c r="AJ159" t="b">
        <f t="shared" si="42"/>
        <v>1</v>
      </c>
      <c r="AK159" t="b">
        <f t="shared" si="43"/>
        <v>1</v>
      </c>
      <c r="AL159" t="b">
        <f t="shared" si="44"/>
        <v>1</v>
      </c>
      <c r="AM159" t="b">
        <f t="shared" si="45"/>
        <v>1</v>
      </c>
      <c r="AN159" t="b">
        <f t="shared" si="46"/>
        <v>1</v>
      </c>
      <c r="AO159" t="b">
        <f t="shared" si="47"/>
        <v>1</v>
      </c>
      <c r="AP159" t="b">
        <f t="shared" si="48"/>
        <v>1</v>
      </c>
      <c r="AQ159" t="b">
        <f t="shared" si="49"/>
        <v>1</v>
      </c>
    </row>
    <row r="160" spans="1:43" x14ac:dyDescent="0.55000000000000004">
      <c r="A160">
        <v>1777955406</v>
      </c>
      <c r="B160" t="s">
        <v>16</v>
      </c>
      <c r="C160" t="s">
        <v>17</v>
      </c>
      <c r="D160">
        <v>4531.71</v>
      </c>
      <c r="E160" t="s">
        <v>18</v>
      </c>
      <c r="F160">
        <v>4527.8900000000003</v>
      </c>
      <c r="G160">
        <v>4546.78</v>
      </c>
      <c r="H160">
        <v>4513.5600000000004</v>
      </c>
      <c r="I160">
        <v>4528.57</v>
      </c>
      <c r="J160">
        <v>4500.8599999999997</v>
      </c>
      <c r="K160">
        <v>4583.16</v>
      </c>
      <c r="L160">
        <v>-18.89</v>
      </c>
      <c r="M160">
        <v>-0.42</v>
      </c>
      <c r="N160">
        <v>3</v>
      </c>
      <c r="O160">
        <v>7</v>
      </c>
      <c r="P160" t="s">
        <v>22</v>
      </c>
      <c r="R160">
        <v>1777955406</v>
      </c>
      <c r="S160" t="s">
        <v>16</v>
      </c>
      <c r="T160" t="s">
        <v>17</v>
      </c>
      <c r="U160">
        <v>4531.71</v>
      </c>
      <c r="V160" t="s">
        <v>18</v>
      </c>
      <c r="W160">
        <v>4527.8900000000003</v>
      </c>
      <c r="X160">
        <v>-18.89</v>
      </c>
      <c r="Y160">
        <v>-0.42</v>
      </c>
      <c r="Z160">
        <v>3</v>
      </c>
      <c r="AA160">
        <v>7</v>
      </c>
      <c r="AB160">
        <v>3</v>
      </c>
      <c r="AC160">
        <v>-2.6985700000000001</v>
      </c>
      <c r="AD160">
        <v>3</v>
      </c>
      <c r="AE160">
        <v>-69.667000000000002</v>
      </c>
      <c r="AF160" t="s">
        <v>22</v>
      </c>
      <c r="AH160" t="b">
        <f t="shared" si="40"/>
        <v>1</v>
      </c>
      <c r="AI160" t="b">
        <f t="shared" si="41"/>
        <v>1</v>
      </c>
      <c r="AJ160" t="b">
        <f t="shared" si="42"/>
        <v>1</v>
      </c>
      <c r="AK160" t="b">
        <f t="shared" si="43"/>
        <v>1</v>
      </c>
      <c r="AL160" t="b">
        <f t="shared" si="44"/>
        <v>1</v>
      </c>
      <c r="AM160" t="b">
        <f t="shared" si="45"/>
        <v>1</v>
      </c>
      <c r="AN160" t="b">
        <f t="shared" si="46"/>
        <v>1</v>
      </c>
      <c r="AO160" t="b">
        <f t="shared" si="47"/>
        <v>1</v>
      </c>
      <c r="AP160" t="b">
        <f t="shared" si="48"/>
        <v>1</v>
      </c>
      <c r="AQ160" t="b">
        <f t="shared" si="49"/>
        <v>1</v>
      </c>
    </row>
    <row r="161" spans="1:43" x14ac:dyDescent="0.55000000000000004">
      <c r="A161">
        <v>1777971606</v>
      </c>
      <c r="B161" t="s">
        <v>16</v>
      </c>
      <c r="C161" t="s">
        <v>17</v>
      </c>
      <c r="D161">
        <v>4557.6099999999997</v>
      </c>
      <c r="E161" t="s">
        <v>20</v>
      </c>
      <c r="F161">
        <v>4560.53</v>
      </c>
      <c r="G161">
        <v>4527.8900000000003</v>
      </c>
      <c r="H161">
        <v>4546.78</v>
      </c>
      <c r="I161">
        <v>4513.5600000000004</v>
      </c>
      <c r="J161">
        <v>4528.57</v>
      </c>
      <c r="K161">
        <v>4500.8599999999997</v>
      </c>
      <c r="L161">
        <v>32.64</v>
      </c>
      <c r="M161">
        <v>0.72</v>
      </c>
      <c r="N161">
        <v>0</v>
      </c>
      <c r="O161">
        <v>18</v>
      </c>
      <c r="P161" t="s">
        <v>23</v>
      </c>
      <c r="R161">
        <v>1777971606</v>
      </c>
      <c r="S161" t="s">
        <v>16</v>
      </c>
      <c r="T161" t="s">
        <v>17</v>
      </c>
      <c r="U161">
        <v>4557.6099999999997</v>
      </c>
      <c r="V161" t="s">
        <v>20</v>
      </c>
      <c r="W161">
        <v>4560.53</v>
      </c>
      <c r="X161">
        <v>32.64</v>
      </c>
      <c r="Y161">
        <v>0.72</v>
      </c>
      <c r="Z161">
        <v>0</v>
      </c>
      <c r="AA161">
        <v>18</v>
      </c>
      <c r="AB161">
        <v>0</v>
      </c>
      <c r="AC161">
        <v>1.8133300000000001</v>
      </c>
      <c r="AD161">
        <v>0</v>
      </c>
      <c r="AE161">
        <v>61.124600000000001</v>
      </c>
      <c r="AF161" t="s">
        <v>23</v>
      </c>
      <c r="AH161" t="b">
        <f t="shared" ref="AH161:AH172" si="50">A161=R161</f>
        <v>1</v>
      </c>
      <c r="AI161" t="b">
        <f t="shared" ref="AI161:AI172" si="51">B161=S161</f>
        <v>1</v>
      </c>
      <c r="AJ161" t="b">
        <f t="shared" ref="AJ161:AJ172" si="52">C161=T161</f>
        <v>1</v>
      </c>
      <c r="AK161" t="b">
        <f t="shared" ref="AK161:AK172" si="53">D161=U161</f>
        <v>1</v>
      </c>
      <c r="AL161" t="b">
        <f t="shared" ref="AL161:AL172" si="54">E161=V161</f>
        <v>1</v>
      </c>
      <c r="AM161" t="b">
        <f t="shared" ref="AM161:AM172" si="55">F161=W161</f>
        <v>1</v>
      </c>
      <c r="AN161" t="b">
        <f t="shared" si="46"/>
        <v>1</v>
      </c>
      <c r="AO161" t="b">
        <f t="shared" si="47"/>
        <v>1</v>
      </c>
      <c r="AP161" t="b">
        <f t="shared" si="48"/>
        <v>1</v>
      </c>
      <c r="AQ161" t="b">
        <f t="shared" si="49"/>
        <v>1</v>
      </c>
    </row>
    <row r="162" spans="1:43" x14ac:dyDescent="0.55000000000000004">
      <c r="A162">
        <v>1777978806</v>
      </c>
      <c r="B162" t="s">
        <v>16</v>
      </c>
      <c r="C162" t="s">
        <v>17</v>
      </c>
      <c r="D162">
        <v>4552.62</v>
      </c>
      <c r="E162" t="s">
        <v>18</v>
      </c>
      <c r="F162">
        <v>4540</v>
      </c>
      <c r="G162">
        <v>4560.53</v>
      </c>
      <c r="H162">
        <v>4527.8900000000003</v>
      </c>
      <c r="I162">
        <v>4546.78</v>
      </c>
      <c r="J162">
        <v>4513.5600000000004</v>
      </c>
      <c r="K162">
        <v>4528.57</v>
      </c>
      <c r="L162">
        <v>-20.53</v>
      </c>
      <c r="M162">
        <v>-0.45</v>
      </c>
      <c r="N162">
        <v>3</v>
      </c>
      <c r="O162">
        <v>8</v>
      </c>
      <c r="P162" t="s">
        <v>22</v>
      </c>
      <c r="R162">
        <v>1777978806</v>
      </c>
      <c r="S162" t="s">
        <v>16</v>
      </c>
      <c r="T162" t="s">
        <v>17</v>
      </c>
      <c r="U162">
        <v>4552.62</v>
      </c>
      <c r="V162" t="s">
        <v>18</v>
      </c>
      <c r="W162">
        <v>4540</v>
      </c>
      <c r="X162">
        <v>-20.53</v>
      </c>
      <c r="Y162">
        <v>-0.45</v>
      </c>
      <c r="Z162">
        <v>3</v>
      </c>
      <c r="AA162">
        <v>8</v>
      </c>
      <c r="AB162">
        <v>3</v>
      </c>
      <c r="AC162">
        <v>-2.5662500000000001</v>
      </c>
      <c r="AD162">
        <v>3</v>
      </c>
      <c r="AE162">
        <v>-68.710400000000007</v>
      </c>
      <c r="AF162" t="s">
        <v>22</v>
      </c>
      <c r="AH162" t="b">
        <f t="shared" si="50"/>
        <v>1</v>
      </c>
      <c r="AI162" t="b">
        <f t="shared" si="51"/>
        <v>1</v>
      </c>
      <c r="AJ162" t="b">
        <f t="shared" si="52"/>
        <v>1</v>
      </c>
      <c r="AK162" t="b">
        <f t="shared" si="53"/>
        <v>1</v>
      </c>
      <c r="AL162" t="b">
        <f t="shared" si="54"/>
        <v>1</v>
      </c>
      <c r="AM162" t="b">
        <f t="shared" si="55"/>
        <v>1</v>
      </c>
      <c r="AN162" t="b">
        <f t="shared" ref="AN162:AN172" si="56">X162=L162</f>
        <v>1</v>
      </c>
      <c r="AO162" t="b">
        <f t="shared" ref="AO162:AO172" si="57">Y162=M162</f>
        <v>1</v>
      </c>
      <c r="AP162" t="b">
        <f t="shared" ref="AP162:AP172" si="58">Z162=N162</f>
        <v>1</v>
      </c>
      <c r="AQ162" t="b">
        <f t="shared" ref="AQ162:AQ172" si="59">AF162=P162</f>
        <v>1</v>
      </c>
    </row>
    <row r="163" spans="1:43" x14ac:dyDescent="0.55000000000000004">
      <c r="A163">
        <v>1777990506</v>
      </c>
      <c r="B163" t="s">
        <v>16</v>
      </c>
      <c r="C163" t="s">
        <v>17</v>
      </c>
      <c r="D163">
        <v>4584.37</v>
      </c>
      <c r="E163" t="s">
        <v>20</v>
      </c>
      <c r="F163">
        <v>4586.5600000000004</v>
      </c>
      <c r="G163">
        <v>4540</v>
      </c>
      <c r="H163">
        <v>4560.53</v>
      </c>
      <c r="I163">
        <v>4527.8900000000003</v>
      </c>
      <c r="J163">
        <v>4546.78</v>
      </c>
      <c r="K163">
        <v>4513.5600000000004</v>
      </c>
      <c r="L163">
        <v>46.56</v>
      </c>
      <c r="M163">
        <v>1.03</v>
      </c>
      <c r="N163">
        <v>0</v>
      </c>
      <c r="O163">
        <v>13</v>
      </c>
      <c r="P163" t="s">
        <v>23</v>
      </c>
      <c r="R163">
        <v>1777990506</v>
      </c>
      <c r="S163" t="s">
        <v>16</v>
      </c>
      <c r="T163" t="s">
        <v>17</v>
      </c>
      <c r="U163">
        <v>4584.37</v>
      </c>
      <c r="V163" t="s">
        <v>20</v>
      </c>
      <c r="W163">
        <v>4586.5600000000004</v>
      </c>
      <c r="X163">
        <v>46.56</v>
      </c>
      <c r="Y163">
        <v>1.03</v>
      </c>
      <c r="Z163">
        <v>0</v>
      </c>
      <c r="AA163">
        <v>13</v>
      </c>
      <c r="AB163">
        <v>0</v>
      </c>
      <c r="AC163">
        <v>3.5815399999999999</v>
      </c>
      <c r="AD163">
        <v>0</v>
      </c>
      <c r="AE163">
        <v>74.399799999999999</v>
      </c>
      <c r="AF163" t="s">
        <v>23</v>
      </c>
      <c r="AH163" t="b">
        <f t="shared" si="50"/>
        <v>1</v>
      </c>
      <c r="AI163" t="b">
        <f t="shared" si="51"/>
        <v>1</v>
      </c>
      <c r="AJ163" t="b">
        <f t="shared" si="52"/>
        <v>1</v>
      </c>
      <c r="AK163" t="b">
        <f t="shared" si="53"/>
        <v>1</v>
      </c>
      <c r="AL163" t="b">
        <f t="shared" si="54"/>
        <v>1</v>
      </c>
      <c r="AM163" t="b">
        <f t="shared" si="55"/>
        <v>1</v>
      </c>
      <c r="AN163" t="b">
        <f t="shared" si="56"/>
        <v>1</v>
      </c>
      <c r="AO163" t="b">
        <f t="shared" si="57"/>
        <v>1</v>
      </c>
      <c r="AP163" t="b">
        <f t="shared" si="58"/>
        <v>1</v>
      </c>
      <c r="AQ163" t="b">
        <f t="shared" si="59"/>
        <v>1</v>
      </c>
    </row>
    <row r="164" spans="1:43" x14ac:dyDescent="0.55000000000000004">
      <c r="A164">
        <v>1778020206</v>
      </c>
      <c r="B164" t="s">
        <v>16</v>
      </c>
      <c r="C164" t="s">
        <v>17</v>
      </c>
      <c r="D164">
        <v>4548.82</v>
      </c>
      <c r="E164" t="s">
        <v>18</v>
      </c>
      <c r="F164">
        <v>4546.3100000000004</v>
      </c>
      <c r="G164">
        <v>4586.5600000000004</v>
      </c>
      <c r="H164">
        <v>4540</v>
      </c>
      <c r="I164">
        <v>4560.53</v>
      </c>
      <c r="J164">
        <v>4527.8900000000003</v>
      </c>
      <c r="K164">
        <v>4546.78</v>
      </c>
      <c r="L164">
        <v>-40.25</v>
      </c>
      <c r="M164">
        <v>-0.88</v>
      </c>
      <c r="N164">
        <v>3</v>
      </c>
      <c r="O164">
        <v>29</v>
      </c>
      <c r="P164" t="s">
        <v>22</v>
      </c>
      <c r="R164">
        <v>1778020206</v>
      </c>
      <c r="S164" t="s">
        <v>16</v>
      </c>
      <c r="T164" t="s">
        <v>17</v>
      </c>
      <c r="U164">
        <v>4548.82</v>
      </c>
      <c r="V164" t="s">
        <v>18</v>
      </c>
      <c r="W164">
        <v>4546.3100000000004</v>
      </c>
      <c r="X164">
        <v>-40.25</v>
      </c>
      <c r="Y164">
        <v>-0.88</v>
      </c>
      <c r="Z164">
        <v>3</v>
      </c>
      <c r="AA164">
        <v>29</v>
      </c>
      <c r="AB164">
        <v>3</v>
      </c>
      <c r="AC164">
        <v>-1.3879300000000001</v>
      </c>
      <c r="AD164">
        <v>3</v>
      </c>
      <c r="AE164">
        <v>-54.227400000000003</v>
      </c>
      <c r="AF164" t="s">
        <v>22</v>
      </c>
      <c r="AH164" t="b">
        <f t="shared" si="50"/>
        <v>1</v>
      </c>
      <c r="AI164" t="b">
        <f t="shared" si="51"/>
        <v>1</v>
      </c>
      <c r="AJ164" t="b">
        <f t="shared" si="52"/>
        <v>1</v>
      </c>
      <c r="AK164" t="b">
        <f t="shared" si="53"/>
        <v>1</v>
      </c>
      <c r="AL164" t="b">
        <f t="shared" si="54"/>
        <v>1</v>
      </c>
      <c r="AM164" t="b">
        <f t="shared" si="55"/>
        <v>1</v>
      </c>
      <c r="AN164" t="b">
        <f t="shared" si="56"/>
        <v>1</v>
      </c>
      <c r="AO164" t="b">
        <f t="shared" si="57"/>
        <v>1</v>
      </c>
      <c r="AP164" t="b">
        <f t="shared" si="58"/>
        <v>1</v>
      </c>
      <c r="AQ164" t="b">
        <f t="shared" si="59"/>
        <v>1</v>
      </c>
    </row>
    <row r="165" spans="1:43" x14ac:dyDescent="0.55000000000000004">
      <c r="A165">
        <v>1778064306</v>
      </c>
      <c r="B165" t="s">
        <v>16</v>
      </c>
      <c r="C165" t="s">
        <v>17</v>
      </c>
      <c r="D165">
        <v>4718.25</v>
      </c>
      <c r="E165" t="s">
        <v>20</v>
      </c>
      <c r="F165">
        <v>4722.76</v>
      </c>
      <c r="G165">
        <v>4546.3100000000004</v>
      </c>
      <c r="H165">
        <v>4586.5600000000004</v>
      </c>
      <c r="I165">
        <v>4540</v>
      </c>
      <c r="J165">
        <v>4560.53</v>
      </c>
      <c r="K165">
        <v>4527.8900000000003</v>
      </c>
      <c r="L165">
        <v>176.45</v>
      </c>
      <c r="M165">
        <v>3.88</v>
      </c>
      <c r="N165">
        <v>2</v>
      </c>
      <c r="O165">
        <v>49</v>
      </c>
      <c r="P165" t="s">
        <v>23</v>
      </c>
      <c r="R165">
        <v>1778064306</v>
      </c>
      <c r="S165" t="s">
        <v>16</v>
      </c>
      <c r="T165" t="s">
        <v>17</v>
      </c>
      <c r="U165">
        <v>4718.25</v>
      </c>
      <c r="V165" t="s">
        <v>20</v>
      </c>
      <c r="W165">
        <v>4722.76</v>
      </c>
      <c r="X165">
        <v>176.45</v>
      </c>
      <c r="Y165">
        <v>3.88</v>
      </c>
      <c r="Z165">
        <v>2</v>
      </c>
      <c r="AA165">
        <v>49</v>
      </c>
      <c r="AB165">
        <v>2</v>
      </c>
      <c r="AC165">
        <v>3.6010200000000001</v>
      </c>
      <c r="AD165">
        <v>0</v>
      </c>
      <c r="AE165">
        <v>74.480099999999993</v>
      </c>
      <c r="AF165" t="s">
        <v>23</v>
      </c>
      <c r="AH165" t="b">
        <f t="shared" si="50"/>
        <v>1</v>
      </c>
      <c r="AI165" t="b">
        <f t="shared" si="51"/>
        <v>1</v>
      </c>
      <c r="AJ165" t="b">
        <f t="shared" si="52"/>
        <v>1</v>
      </c>
      <c r="AK165" t="b">
        <f t="shared" si="53"/>
        <v>1</v>
      </c>
      <c r="AL165" t="b">
        <f t="shared" si="54"/>
        <v>1</v>
      </c>
      <c r="AM165" t="b">
        <f t="shared" si="55"/>
        <v>1</v>
      </c>
      <c r="AN165" t="b">
        <f t="shared" si="56"/>
        <v>1</v>
      </c>
      <c r="AO165" t="b">
        <f t="shared" si="57"/>
        <v>1</v>
      </c>
      <c r="AP165" t="b">
        <f t="shared" si="58"/>
        <v>1</v>
      </c>
      <c r="AQ165" t="b">
        <f t="shared" si="59"/>
        <v>1</v>
      </c>
    </row>
    <row r="166" spans="1:43" x14ac:dyDescent="0.55000000000000004">
      <c r="A166">
        <v>1778069706</v>
      </c>
      <c r="B166" t="s">
        <v>16</v>
      </c>
      <c r="C166" t="s">
        <v>17</v>
      </c>
      <c r="D166">
        <v>4683.3599999999997</v>
      </c>
      <c r="E166" t="s">
        <v>18</v>
      </c>
      <c r="F166">
        <v>4660.71</v>
      </c>
      <c r="G166">
        <v>4722.76</v>
      </c>
      <c r="H166">
        <v>4546.3100000000004</v>
      </c>
      <c r="I166">
        <v>4586.5600000000004</v>
      </c>
      <c r="J166">
        <v>4540</v>
      </c>
      <c r="K166">
        <v>4560.53</v>
      </c>
      <c r="L166">
        <v>-62.05</v>
      </c>
      <c r="M166">
        <v>-1.31</v>
      </c>
      <c r="N166">
        <v>3</v>
      </c>
      <c r="O166">
        <v>6</v>
      </c>
      <c r="P166" t="s">
        <v>22</v>
      </c>
      <c r="R166">
        <v>1778069706</v>
      </c>
      <c r="S166" t="s">
        <v>16</v>
      </c>
      <c r="T166" t="s">
        <v>17</v>
      </c>
      <c r="U166">
        <v>4683.3599999999997</v>
      </c>
      <c r="V166" t="s">
        <v>18</v>
      </c>
      <c r="W166">
        <v>4660.71</v>
      </c>
      <c r="X166">
        <v>-62.05</v>
      </c>
      <c r="Y166">
        <v>-1.31</v>
      </c>
      <c r="Z166">
        <v>3</v>
      </c>
      <c r="AA166">
        <v>6</v>
      </c>
      <c r="AB166">
        <v>3</v>
      </c>
      <c r="AC166">
        <v>-10.341670000000001</v>
      </c>
      <c r="AD166">
        <v>5</v>
      </c>
      <c r="AE166">
        <v>-84.476900000000001</v>
      </c>
      <c r="AF166" t="s">
        <v>22</v>
      </c>
      <c r="AH166" t="b">
        <f t="shared" si="50"/>
        <v>1</v>
      </c>
      <c r="AI166" t="b">
        <f t="shared" si="51"/>
        <v>1</v>
      </c>
      <c r="AJ166" t="b">
        <f t="shared" si="52"/>
        <v>1</v>
      </c>
      <c r="AK166" t="b">
        <f t="shared" si="53"/>
        <v>1</v>
      </c>
      <c r="AL166" t="b">
        <f t="shared" si="54"/>
        <v>1</v>
      </c>
      <c r="AM166" t="b">
        <f t="shared" si="55"/>
        <v>1</v>
      </c>
      <c r="AN166" t="b">
        <f t="shared" si="56"/>
        <v>1</v>
      </c>
      <c r="AO166" t="b">
        <f t="shared" si="57"/>
        <v>1</v>
      </c>
      <c r="AP166" t="b">
        <f t="shared" si="58"/>
        <v>1</v>
      </c>
      <c r="AQ166" t="b">
        <f t="shared" si="59"/>
        <v>1</v>
      </c>
    </row>
    <row r="167" spans="1:43" x14ac:dyDescent="0.55000000000000004">
      <c r="A167">
        <v>1778076906</v>
      </c>
      <c r="B167" t="s">
        <v>16</v>
      </c>
      <c r="C167" t="s">
        <v>17</v>
      </c>
      <c r="D167">
        <v>4705.66</v>
      </c>
      <c r="E167" t="s">
        <v>20</v>
      </c>
      <c r="F167">
        <v>4717.43</v>
      </c>
      <c r="G167">
        <v>4660.71</v>
      </c>
      <c r="H167">
        <v>4722.76</v>
      </c>
      <c r="I167">
        <v>4546.3100000000004</v>
      </c>
      <c r="J167">
        <v>4586.5600000000004</v>
      </c>
      <c r="K167">
        <v>4540</v>
      </c>
      <c r="L167">
        <v>56.72</v>
      </c>
      <c r="M167">
        <v>1.22</v>
      </c>
      <c r="N167">
        <v>0</v>
      </c>
      <c r="O167">
        <v>8</v>
      </c>
      <c r="P167" t="s">
        <v>21</v>
      </c>
      <c r="R167">
        <v>1778076906</v>
      </c>
      <c r="S167" t="s">
        <v>16</v>
      </c>
      <c r="T167" t="s">
        <v>17</v>
      </c>
      <c r="U167">
        <v>4705.66</v>
      </c>
      <c r="V167" t="s">
        <v>20</v>
      </c>
      <c r="W167">
        <v>4717.43</v>
      </c>
      <c r="X167">
        <v>56.72</v>
      </c>
      <c r="Y167">
        <v>1.22</v>
      </c>
      <c r="Z167">
        <v>0</v>
      </c>
      <c r="AA167">
        <v>8</v>
      </c>
      <c r="AB167">
        <v>0</v>
      </c>
      <c r="AC167">
        <v>7.09</v>
      </c>
      <c r="AD167">
        <v>0</v>
      </c>
      <c r="AE167">
        <v>81.971699999999998</v>
      </c>
      <c r="AF167" t="s">
        <v>21</v>
      </c>
      <c r="AH167" t="b">
        <f t="shared" si="50"/>
        <v>1</v>
      </c>
      <c r="AI167" t="b">
        <f t="shared" si="51"/>
        <v>1</v>
      </c>
      <c r="AJ167" t="b">
        <f t="shared" si="52"/>
        <v>1</v>
      </c>
      <c r="AK167" t="b">
        <f t="shared" si="53"/>
        <v>1</v>
      </c>
      <c r="AL167" t="b">
        <f t="shared" si="54"/>
        <v>1</v>
      </c>
      <c r="AM167" t="b">
        <f t="shared" si="55"/>
        <v>1</v>
      </c>
      <c r="AN167" t="b">
        <f t="shared" si="56"/>
        <v>1</v>
      </c>
      <c r="AO167" t="b">
        <f t="shared" si="57"/>
        <v>1</v>
      </c>
      <c r="AP167" t="b">
        <f t="shared" si="58"/>
        <v>1</v>
      </c>
      <c r="AQ167" t="b">
        <f t="shared" si="59"/>
        <v>1</v>
      </c>
    </row>
    <row r="168" spans="1:43" x14ac:dyDescent="0.55000000000000004">
      <c r="A168">
        <v>1778088606</v>
      </c>
      <c r="B168" t="s">
        <v>16</v>
      </c>
      <c r="C168" t="s">
        <v>17</v>
      </c>
      <c r="D168">
        <v>4680.6400000000003</v>
      </c>
      <c r="E168" t="s">
        <v>18</v>
      </c>
      <c r="F168">
        <v>4678.99</v>
      </c>
      <c r="G168">
        <v>4717.43</v>
      </c>
      <c r="H168">
        <v>4660.71</v>
      </c>
      <c r="I168">
        <v>4722.76</v>
      </c>
      <c r="J168">
        <v>4546.3100000000004</v>
      </c>
      <c r="K168">
        <v>4586.5600000000004</v>
      </c>
      <c r="L168">
        <v>-38.44</v>
      </c>
      <c r="M168">
        <v>-0.81</v>
      </c>
      <c r="N168">
        <v>3</v>
      </c>
      <c r="O168">
        <v>13</v>
      </c>
      <c r="P168" t="s">
        <v>22</v>
      </c>
      <c r="R168">
        <v>1778088606</v>
      </c>
      <c r="S168" t="s">
        <v>16</v>
      </c>
      <c r="T168" t="s">
        <v>17</v>
      </c>
      <c r="U168">
        <v>4680.6400000000003</v>
      </c>
      <c r="V168" t="s">
        <v>18</v>
      </c>
      <c r="W168">
        <v>4678.99</v>
      </c>
      <c r="X168">
        <v>-38.44</v>
      </c>
      <c r="Y168">
        <v>-0.81</v>
      </c>
      <c r="Z168">
        <v>3</v>
      </c>
      <c r="AA168">
        <v>13</v>
      </c>
      <c r="AB168">
        <v>3</v>
      </c>
      <c r="AC168">
        <v>-2.9569200000000002</v>
      </c>
      <c r="AD168">
        <v>3</v>
      </c>
      <c r="AE168">
        <v>-71.314999999999998</v>
      </c>
      <c r="AF168" t="s">
        <v>22</v>
      </c>
      <c r="AH168" t="b">
        <f t="shared" si="50"/>
        <v>1</v>
      </c>
      <c r="AI168" t="b">
        <f t="shared" si="51"/>
        <v>1</v>
      </c>
      <c r="AJ168" t="b">
        <f t="shared" si="52"/>
        <v>1</v>
      </c>
      <c r="AK168" t="b">
        <f t="shared" si="53"/>
        <v>1</v>
      </c>
      <c r="AL168" t="b">
        <f t="shared" si="54"/>
        <v>1</v>
      </c>
      <c r="AM168" t="b">
        <f t="shared" si="55"/>
        <v>1</v>
      </c>
      <c r="AN168" t="b">
        <f t="shared" si="56"/>
        <v>1</v>
      </c>
      <c r="AO168" t="b">
        <f t="shared" si="57"/>
        <v>1</v>
      </c>
      <c r="AP168" t="b">
        <f t="shared" si="58"/>
        <v>1</v>
      </c>
      <c r="AQ168" t="b">
        <f t="shared" si="59"/>
        <v>1</v>
      </c>
    </row>
    <row r="169" spans="1:43" x14ac:dyDescent="0.55000000000000004">
      <c r="A169">
        <v>1778112906</v>
      </c>
      <c r="B169" t="s">
        <v>16</v>
      </c>
      <c r="C169" t="s">
        <v>17</v>
      </c>
      <c r="D169">
        <v>4692.51</v>
      </c>
      <c r="E169" t="s">
        <v>20</v>
      </c>
      <c r="F169">
        <v>4701.18</v>
      </c>
      <c r="G169">
        <v>4678.99</v>
      </c>
      <c r="H169">
        <v>4717.43</v>
      </c>
      <c r="I169">
        <v>4660.71</v>
      </c>
      <c r="J169">
        <v>4722.76</v>
      </c>
      <c r="K169">
        <v>4546.3100000000004</v>
      </c>
      <c r="L169">
        <v>22.19</v>
      </c>
      <c r="M169">
        <v>0.47</v>
      </c>
      <c r="N169">
        <v>0</v>
      </c>
      <c r="O169">
        <v>23</v>
      </c>
      <c r="P169" t="s">
        <v>21</v>
      </c>
      <c r="R169">
        <v>1778112906</v>
      </c>
      <c r="S169" t="s">
        <v>16</v>
      </c>
      <c r="T169" t="s">
        <v>17</v>
      </c>
      <c r="U169">
        <v>4692.51</v>
      </c>
      <c r="V169" t="s">
        <v>20</v>
      </c>
      <c r="W169">
        <v>4701.18</v>
      </c>
      <c r="X169">
        <v>22.19</v>
      </c>
      <c r="Y169">
        <v>0.47</v>
      </c>
      <c r="Z169">
        <v>0</v>
      </c>
      <c r="AA169">
        <v>23</v>
      </c>
      <c r="AB169">
        <v>0</v>
      </c>
      <c r="AC169">
        <v>0.96477999999999997</v>
      </c>
      <c r="AD169">
        <v>0</v>
      </c>
      <c r="AE169">
        <v>43.973100000000002</v>
      </c>
      <c r="AF169" t="s">
        <v>21</v>
      </c>
      <c r="AH169" t="b">
        <f t="shared" si="50"/>
        <v>1</v>
      </c>
      <c r="AI169" t="b">
        <f t="shared" si="51"/>
        <v>1</v>
      </c>
      <c r="AJ169" t="b">
        <f t="shared" si="52"/>
        <v>1</v>
      </c>
      <c r="AK169" t="b">
        <f t="shared" si="53"/>
        <v>1</v>
      </c>
      <c r="AL169" t="b">
        <f t="shared" si="54"/>
        <v>1</v>
      </c>
      <c r="AM169" t="b">
        <f t="shared" si="55"/>
        <v>1</v>
      </c>
      <c r="AN169" t="b">
        <f t="shared" si="56"/>
        <v>1</v>
      </c>
      <c r="AO169" t="b">
        <f t="shared" si="57"/>
        <v>1</v>
      </c>
      <c r="AP169" t="b">
        <f t="shared" si="58"/>
        <v>1</v>
      </c>
      <c r="AQ169" t="b">
        <f t="shared" si="59"/>
        <v>1</v>
      </c>
    </row>
    <row r="170" spans="1:43" x14ac:dyDescent="0.55000000000000004">
      <c r="A170">
        <v>1778114706</v>
      </c>
      <c r="B170" t="s">
        <v>16</v>
      </c>
      <c r="C170" t="s">
        <v>17</v>
      </c>
      <c r="D170">
        <v>4688.57</v>
      </c>
      <c r="E170" t="s">
        <v>18</v>
      </c>
      <c r="F170">
        <v>4685.59</v>
      </c>
      <c r="G170">
        <v>4701.18</v>
      </c>
      <c r="H170">
        <v>4678.99</v>
      </c>
      <c r="I170">
        <v>4717.43</v>
      </c>
      <c r="J170">
        <v>4660.71</v>
      </c>
      <c r="K170">
        <v>4722.76</v>
      </c>
      <c r="L170">
        <v>-15.59</v>
      </c>
      <c r="M170">
        <v>-0.33</v>
      </c>
      <c r="N170">
        <v>3</v>
      </c>
      <c r="O170">
        <v>2</v>
      </c>
      <c r="P170" t="s">
        <v>22</v>
      </c>
      <c r="R170">
        <v>1778114706</v>
      </c>
      <c r="S170" t="s">
        <v>16</v>
      </c>
      <c r="T170" t="s">
        <v>17</v>
      </c>
      <c r="U170">
        <v>4688.57</v>
      </c>
      <c r="V170" t="s">
        <v>18</v>
      </c>
      <c r="W170">
        <v>4685.59</v>
      </c>
      <c r="X170">
        <v>-15.59</v>
      </c>
      <c r="Y170">
        <v>-0.33</v>
      </c>
      <c r="Z170">
        <v>3</v>
      </c>
      <c r="AA170">
        <v>2</v>
      </c>
      <c r="AB170">
        <v>3</v>
      </c>
      <c r="AC170">
        <v>-7.7949999999999999</v>
      </c>
      <c r="AD170">
        <v>3</v>
      </c>
      <c r="AE170">
        <v>-82.689599999999999</v>
      </c>
      <c r="AF170" t="s">
        <v>22</v>
      </c>
      <c r="AH170" t="b">
        <f t="shared" si="50"/>
        <v>1</v>
      </c>
      <c r="AI170" t="b">
        <f t="shared" si="51"/>
        <v>1</v>
      </c>
      <c r="AJ170" t="b">
        <f t="shared" si="52"/>
        <v>1</v>
      </c>
      <c r="AK170" t="b">
        <f t="shared" si="53"/>
        <v>1</v>
      </c>
      <c r="AL170" t="b">
        <f t="shared" si="54"/>
        <v>1</v>
      </c>
      <c r="AM170" t="b">
        <f t="shared" si="55"/>
        <v>1</v>
      </c>
      <c r="AN170" t="b">
        <f t="shared" si="56"/>
        <v>1</v>
      </c>
      <c r="AO170" t="b">
        <f t="shared" si="57"/>
        <v>1</v>
      </c>
      <c r="AP170" t="b">
        <f t="shared" si="58"/>
        <v>1</v>
      </c>
      <c r="AQ170" t="b">
        <f t="shared" si="59"/>
        <v>1</v>
      </c>
    </row>
    <row r="171" spans="1:43" x14ac:dyDescent="0.55000000000000004">
      <c r="A171">
        <v>1778118306</v>
      </c>
      <c r="B171" t="s">
        <v>16</v>
      </c>
      <c r="C171" t="s">
        <v>17</v>
      </c>
      <c r="D171">
        <v>4714.8599999999997</v>
      </c>
      <c r="E171" t="s">
        <v>20</v>
      </c>
      <c r="F171">
        <v>4721.4399999999996</v>
      </c>
      <c r="G171">
        <v>4685.59</v>
      </c>
      <c r="H171">
        <v>4701.18</v>
      </c>
      <c r="I171">
        <v>4678.99</v>
      </c>
      <c r="J171">
        <v>4717.43</v>
      </c>
      <c r="K171">
        <v>4660.71</v>
      </c>
      <c r="L171">
        <v>35.85</v>
      </c>
      <c r="M171">
        <v>0.77</v>
      </c>
      <c r="N171">
        <v>0</v>
      </c>
      <c r="O171">
        <v>4</v>
      </c>
      <c r="P171" t="s">
        <v>23</v>
      </c>
      <c r="R171">
        <v>1778118306</v>
      </c>
      <c r="S171" t="s">
        <v>16</v>
      </c>
      <c r="T171" t="s">
        <v>17</v>
      </c>
      <c r="U171">
        <v>4714.8599999999997</v>
      </c>
      <c r="V171" t="s">
        <v>20</v>
      </c>
      <c r="W171">
        <v>4721.4399999999996</v>
      </c>
      <c r="X171">
        <v>35.85</v>
      </c>
      <c r="Y171">
        <v>0.77</v>
      </c>
      <c r="Z171">
        <v>0</v>
      </c>
      <c r="AA171">
        <v>4</v>
      </c>
      <c r="AB171">
        <v>0</v>
      </c>
      <c r="AC171">
        <v>8.9625000000000004</v>
      </c>
      <c r="AD171">
        <v>0</v>
      </c>
      <c r="AE171">
        <v>83.633499999999998</v>
      </c>
      <c r="AF171" t="s">
        <v>23</v>
      </c>
      <c r="AH171" t="b">
        <f t="shared" si="50"/>
        <v>1</v>
      </c>
      <c r="AI171" t="b">
        <f t="shared" si="51"/>
        <v>1</v>
      </c>
      <c r="AJ171" t="b">
        <f t="shared" si="52"/>
        <v>1</v>
      </c>
      <c r="AK171" t="b">
        <f t="shared" si="53"/>
        <v>1</v>
      </c>
      <c r="AL171" t="b">
        <f t="shared" si="54"/>
        <v>1</v>
      </c>
      <c r="AM171" t="b">
        <f t="shared" si="55"/>
        <v>1</v>
      </c>
      <c r="AN171" t="b">
        <f t="shared" si="56"/>
        <v>1</v>
      </c>
      <c r="AO171" t="b">
        <f t="shared" si="57"/>
        <v>1</v>
      </c>
      <c r="AP171" t="b">
        <f t="shared" si="58"/>
        <v>1</v>
      </c>
      <c r="AQ171" t="b">
        <f t="shared" si="59"/>
        <v>1</v>
      </c>
    </row>
    <row r="172" spans="1:43" x14ac:dyDescent="0.55000000000000004">
      <c r="A172">
        <v>1778123001</v>
      </c>
      <c r="B172" t="s">
        <v>16</v>
      </c>
      <c r="C172" t="s">
        <v>17</v>
      </c>
      <c r="D172">
        <v>4706.42</v>
      </c>
      <c r="E172" t="s">
        <v>18</v>
      </c>
      <c r="F172">
        <v>4700.0200000000004</v>
      </c>
      <c r="G172">
        <v>4721.4399999999996</v>
      </c>
      <c r="H172">
        <v>4685.59</v>
      </c>
      <c r="I172">
        <v>4701.18</v>
      </c>
      <c r="J172">
        <v>4678.99</v>
      </c>
      <c r="K172">
        <v>4717.43</v>
      </c>
      <c r="L172">
        <v>-21.42</v>
      </c>
      <c r="M172">
        <v>-0.45</v>
      </c>
      <c r="N172">
        <v>3</v>
      </c>
      <c r="O172">
        <v>5</v>
      </c>
      <c r="P172" t="s">
        <v>22</v>
      </c>
      <c r="R172">
        <v>1778122930</v>
      </c>
      <c r="S172" t="s">
        <v>16</v>
      </c>
      <c r="T172" t="s">
        <v>17</v>
      </c>
      <c r="U172">
        <v>4707.29</v>
      </c>
      <c r="V172" t="s">
        <v>18</v>
      </c>
      <c r="W172">
        <v>4700.0200000000004</v>
      </c>
      <c r="X172">
        <v>-21.42</v>
      </c>
      <c r="Y172">
        <v>-0.45</v>
      </c>
      <c r="Z172">
        <v>3</v>
      </c>
      <c r="AA172">
        <v>5</v>
      </c>
      <c r="AB172">
        <v>3</v>
      </c>
      <c r="AC172">
        <v>-4.2839999999999998</v>
      </c>
      <c r="AD172">
        <v>3</v>
      </c>
      <c r="AE172">
        <v>-76.860900000000001</v>
      </c>
      <c r="AF172" t="s">
        <v>22</v>
      </c>
      <c r="AH172" t="b">
        <f t="shared" si="50"/>
        <v>0</v>
      </c>
      <c r="AI172" t="b">
        <f t="shared" si="51"/>
        <v>1</v>
      </c>
      <c r="AJ172" t="b">
        <f t="shared" si="52"/>
        <v>1</v>
      </c>
      <c r="AK172" t="b">
        <f t="shared" si="53"/>
        <v>0</v>
      </c>
      <c r="AL172" t="b">
        <f t="shared" si="54"/>
        <v>1</v>
      </c>
      <c r="AM172" t="b">
        <f t="shared" si="55"/>
        <v>1</v>
      </c>
      <c r="AN172" t="b">
        <f t="shared" si="56"/>
        <v>1</v>
      </c>
      <c r="AO172" t="b">
        <f t="shared" si="57"/>
        <v>1</v>
      </c>
      <c r="AP172" t="b">
        <f t="shared" si="58"/>
        <v>1</v>
      </c>
      <c r="AQ172" t="b">
        <f t="shared" si="59"/>
        <v>1</v>
      </c>
    </row>
  </sheetData>
  <conditionalFormatting sqref="AN2:AQ172">
    <cfRule type="containsText" dxfId="1" priority="2" operator="containsText" text="true">
      <formula>NOT(ISERROR(SEARCH("true",AN2)))</formula>
    </cfRule>
  </conditionalFormatting>
  <conditionalFormatting sqref="AH1:AM172 AN2:AO172">
    <cfRule type="containsText" dxfId="0" priority="3" operator="containsText" text="True">
      <formula>NOT(ISERROR(SEARCH("True",AH1)))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O173"/>
  <sheetViews>
    <sheetView tabSelected="1" zoomScale="50" zoomScaleNormal="50" workbookViewId="0">
      <pane xSplit="5" topLeftCell="FG1" activePane="topRight" state="frozen"/>
      <selection activeCell="A43" sqref="A43"/>
      <selection pane="topRight" activeCell="FN2" sqref="FN2"/>
    </sheetView>
  </sheetViews>
  <sheetFormatPr defaultColWidth="8.83984375" defaultRowHeight="14.4" x14ac:dyDescent="0.55000000000000004"/>
  <cols>
    <col min="1" max="1" width="10.68359375" style="22" customWidth="1"/>
    <col min="2" max="3" width="8.83984375" style="22"/>
    <col min="4" max="4" width="7.68359375" style="22" customWidth="1"/>
    <col min="5" max="5" width="6.734375" style="22" customWidth="1"/>
    <col min="6" max="17" width="11" style="22" customWidth="1"/>
    <col min="18" max="29" width="11.5234375" style="22" customWidth="1"/>
    <col min="30" max="41" width="11.26171875" style="22" customWidth="1"/>
    <col min="42" max="53" width="15.41796875" style="22" customWidth="1"/>
    <col min="54" max="65" width="10.41796875" style="22" customWidth="1"/>
    <col min="66" max="77" width="14.5234375" style="22" customWidth="1"/>
    <col min="78" max="89" width="14" style="22" customWidth="1"/>
    <col min="90" max="101" width="18.1015625" style="22" customWidth="1"/>
    <col min="102" max="113" width="11.26171875" style="22" customWidth="1"/>
    <col min="114" max="114" width="14.1015625" style="22" customWidth="1"/>
    <col min="115" max="118" width="12.41796875" style="22" customWidth="1"/>
    <col min="119" max="125" width="13.3671875" style="22" customWidth="1"/>
    <col min="126" max="129" width="9.5234375" style="22" customWidth="1"/>
    <col min="130" max="136" width="10.47265625" style="22" customWidth="1"/>
    <col min="137" max="137" width="9.5234375" style="22" customWidth="1"/>
    <col min="138" max="138" width="9.20703125" style="22" customWidth="1"/>
    <col min="139" max="139" width="9.5234375" style="22" customWidth="1"/>
    <col min="140" max="140" width="9.20703125" style="22" customWidth="1"/>
    <col min="141" max="141" width="10.5234375" style="22" customWidth="1"/>
    <col min="142" max="142" width="8.9453125" style="22" customWidth="1"/>
    <col min="143" max="145" width="10.5234375" style="22" customWidth="1"/>
    <col min="146" max="146" width="8.47265625" style="22" customWidth="1"/>
    <col min="147" max="147" width="10.5234375" style="22" customWidth="1"/>
    <col min="148" max="148" width="8.47265625" style="22" bestFit="1" customWidth="1"/>
    <col min="149" max="151" width="8.83984375" style="22"/>
    <col min="152" max="158" width="9.47265625" style="22" bestFit="1" customWidth="1"/>
    <col min="159" max="162" width="12.578125" style="22" bestFit="1" customWidth="1"/>
    <col min="163" max="169" width="13.62890625" style="22" bestFit="1" customWidth="1"/>
    <col min="170" max="171" width="14.5234375" style="22" bestFit="1" customWidth="1"/>
    <col min="172" max="16384" width="8.83984375" style="22"/>
  </cols>
  <sheetData>
    <row r="1" spans="1:171" s="15" customFormat="1" x14ac:dyDescent="0.5500000000000000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6" t="s">
        <v>24</v>
      </c>
      <c r="H1" s="16" t="s">
        <v>25</v>
      </c>
      <c r="I1" s="16" t="s">
        <v>26</v>
      </c>
      <c r="J1" s="16" t="s">
        <v>27</v>
      </c>
      <c r="K1" s="16" t="s">
        <v>28</v>
      </c>
      <c r="L1" s="16" t="s">
        <v>29</v>
      </c>
      <c r="M1" s="16" t="s">
        <v>30</v>
      </c>
      <c r="N1" s="16" t="s">
        <v>31</v>
      </c>
      <c r="O1" s="16" t="s">
        <v>32</v>
      </c>
      <c r="P1" s="16" t="s">
        <v>33</v>
      </c>
      <c r="Q1" s="16" t="s">
        <v>34</v>
      </c>
      <c r="R1" s="17" t="s">
        <v>35</v>
      </c>
      <c r="S1" s="17" t="s">
        <v>36</v>
      </c>
      <c r="T1" s="17" t="s">
        <v>37</v>
      </c>
      <c r="U1" s="17" t="s">
        <v>38</v>
      </c>
      <c r="V1" s="17" t="s">
        <v>39</v>
      </c>
      <c r="W1" s="17" t="s">
        <v>40</v>
      </c>
      <c r="X1" s="17" t="s">
        <v>41</v>
      </c>
      <c r="Y1" s="17" t="s">
        <v>42</v>
      </c>
      <c r="Z1" s="17" t="s">
        <v>43</v>
      </c>
      <c r="AA1" s="17" t="s">
        <v>44</v>
      </c>
      <c r="AB1" s="17" t="s">
        <v>45</v>
      </c>
      <c r="AC1" s="17" t="s">
        <v>46</v>
      </c>
      <c r="AD1" s="16" t="s">
        <v>47</v>
      </c>
      <c r="AE1" s="16" t="s">
        <v>48</v>
      </c>
      <c r="AF1" s="16" t="s">
        <v>49</v>
      </c>
      <c r="AG1" s="16" t="s">
        <v>50</v>
      </c>
      <c r="AH1" s="16" t="s">
        <v>51</v>
      </c>
      <c r="AI1" s="16" t="s">
        <v>52</v>
      </c>
      <c r="AJ1" s="16" t="s">
        <v>53</v>
      </c>
      <c r="AK1" s="16" t="s">
        <v>54</v>
      </c>
      <c r="AL1" s="16" t="s">
        <v>55</v>
      </c>
      <c r="AM1" s="16" t="s">
        <v>56</v>
      </c>
      <c r="AN1" s="16" t="s">
        <v>57</v>
      </c>
      <c r="AO1" s="16" t="s">
        <v>58</v>
      </c>
      <c r="AP1" s="17" t="s">
        <v>59</v>
      </c>
      <c r="AQ1" s="17" t="s">
        <v>60</v>
      </c>
      <c r="AR1" s="17" t="s">
        <v>61</v>
      </c>
      <c r="AS1" s="17" t="s">
        <v>62</v>
      </c>
      <c r="AT1" s="17" t="s">
        <v>63</v>
      </c>
      <c r="AU1" s="17" t="s">
        <v>64</v>
      </c>
      <c r="AV1" s="17" t="s">
        <v>65</v>
      </c>
      <c r="AW1" s="17" t="s">
        <v>66</v>
      </c>
      <c r="AX1" s="17" t="s">
        <v>67</v>
      </c>
      <c r="AY1" s="17" t="s">
        <v>68</v>
      </c>
      <c r="AZ1" s="17" t="s">
        <v>69</v>
      </c>
      <c r="BA1" s="17" t="s">
        <v>70</v>
      </c>
      <c r="BB1" s="16" t="s">
        <v>71</v>
      </c>
      <c r="BC1" s="16" t="s">
        <v>72</v>
      </c>
      <c r="BD1" s="16" t="s">
        <v>73</v>
      </c>
      <c r="BE1" s="16" t="s">
        <v>74</v>
      </c>
      <c r="BF1" s="16" t="s">
        <v>75</v>
      </c>
      <c r="BG1" s="16" t="s">
        <v>76</v>
      </c>
      <c r="BH1" s="16" t="s">
        <v>77</v>
      </c>
      <c r="BI1" s="16" t="s">
        <v>78</v>
      </c>
      <c r="BJ1" s="16" t="s">
        <v>79</v>
      </c>
      <c r="BK1" s="16" t="s">
        <v>80</v>
      </c>
      <c r="BL1" s="16" t="s">
        <v>81</v>
      </c>
      <c r="BM1" s="16" t="s">
        <v>82</v>
      </c>
      <c r="BN1" s="17" t="s">
        <v>83</v>
      </c>
      <c r="BO1" s="17" t="s">
        <v>84</v>
      </c>
      <c r="BP1" s="17" t="s">
        <v>85</v>
      </c>
      <c r="BQ1" s="17" t="s">
        <v>86</v>
      </c>
      <c r="BR1" s="17" t="s">
        <v>87</v>
      </c>
      <c r="BS1" s="17" t="s">
        <v>88</v>
      </c>
      <c r="BT1" s="17" t="s">
        <v>89</v>
      </c>
      <c r="BU1" s="17" t="s">
        <v>90</v>
      </c>
      <c r="BV1" s="17" t="s">
        <v>91</v>
      </c>
      <c r="BW1" s="17" t="s">
        <v>92</v>
      </c>
      <c r="BX1" s="17" t="s">
        <v>93</v>
      </c>
      <c r="BY1" s="17" t="s">
        <v>94</v>
      </c>
      <c r="BZ1" s="16" t="s">
        <v>95</v>
      </c>
      <c r="CA1" s="16" t="s">
        <v>96</v>
      </c>
      <c r="CB1" s="16" t="s">
        <v>97</v>
      </c>
      <c r="CC1" s="16" t="s">
        <v>98</v>
      </c>
      <c r="CD1" s="16" t="s">
        <v>99</v>
      </c>
      <c r="CE1" s="16" t="s">
        <v>100</v>
      </c>
      <c r="CF1" s="16" t="s">
        <v>101</v>
      </c>
      <c r="CG1" s="16" t="s">
        <v>102</v>
      </c>
      <c r="CH1" s="16" t="s">
        <v>103</v>
      </c>
      <c r="CI1" s="16" t="s">
        <v>104</v>
      </c>
      <c r="CJ1" s="16" t="s">
        <v>105</v>
      </c>
      <c r="CK1" s="16" t="s">
        <v>106</v>
      </c>
      <c r="CL1" s="17" t="s">
        <v>107</v>
      </c>
      <c r="CM1" s="17" t="s">
        <v>108</v>
      </c>
      <c r="CN1" s="17" t="s">
        <v>109</v>
      </c>
      <c r="CO1" s="17" t="s">
        <v>110</v>
      </c>
      <c r="CP1" s="17" t="s">
        <v>111</v>
      </c>
      <c r="CQ1" s="17" t="s">
        <v>112</v>
      </c>
      <c r="CR1" s="17" t="s">
        <v>113</v>
      </c>
      <c r="CS1" s="17" t="s">
        <v>114</v>
      </c>
      <c r="CT1" s="17" t="s">
        <v>115</v>
      </c>
      <c r="CU1" s="17" t="s">
        <v>116</v>
      </c>
      <c r="CV1" s="17" t="s">
        <v>117</v>
      </c>
      <c r="CW1" s="17" t="s">
        <v>118</v>
      </c>
      <c r="CX1" s="16" t="s">
        <v>119</v>
      </c>
      <c r="CY1" s="16" t="s">
        <v>120</v>
      </c>
      <c r="CZ1" s="16" t="s">
        <v>121</v>
      </c>
      <c r="DA1" s="16" t="s">
        <v>122</v>
      </c>
      <c r="DB1" s="16" t="s">
        <v>123</v>
      </c>
      <c r="DC1" s="16" t="s">
        <v>124</v>
      </c>
      <c r="DD1" s="16" t="s">
        <v>125</v>
      </c>
      <c r="DE1" s="16" t="s">
        <v>126</v>
      </c>
      <c r="DF1" s="16" t="s">
        <v>127</v>
      </c>
      <c r="DG1" s="16" t="s">
        <v>128</v>
      </c>
      <c r="DH1" s="16" t="s">
        <v>129</v>
      </c>
      <c r="DI1" s="16" t="s">
        <v>130</v>
      </c>
      <c r="DJ1" s="17" t="s">
        <v>131</v>
      </c>
      <c r="DK1" s="17" t="s">
        <v>132</v>
      </c>
      <c r="DL1" s="17" t="s">
        <v>133</v>
      </c>
      <c r="DM1" s="17" t="s">
        <v>134</v>
      </c>
      <c r="DN1" s="17" t="s">
        <v>135</v>
      </c>
      <c r="DO1" s="17" t="s">
        <v>136</v>
      </c>
      <c r="DP1" s="17" t="s">
        <v>137</v>
      </c>
      <c r="DQ1" s="17" t="s">
        <v>138</v>
      </c>
      <c r="DR1" s="17" t="s">
        <v>139</v>
      </c>
      <c r="DS1" s="17" t="s">
        <v>140</v>
      </c>
      <c r="DT1" s="17" t="s">
        <v>141</v>
      </c>
      <c r="DU1" s="17" t="s">
        <v>142</v>
      </c>
      <c r="DV1" s="18" t="s">
        <v>143</v>
      </c>
      <c r="DW1" s="18" t="s">
        <v>144</v>
      </c>
      <c r="DX1" s="18" t="s">
        <v>145</v>
      </c>
      <c r="DY1" s="18" t="s">
        <v>146</v>
      </c>
      <c r="DZ1" s="18" t="s">
        <v>147</v>
      </c>
      <c r="EA1" s="18" t="s">
        <v>148</v>
      </c>
      <c r="EB1" s="18" t="s">
        <v>149</v>
      </c>
      <c r="EC1" s="18" t="s">
        <v>150</v>
      </c>
      <c r="ED1" s="18" t="s">
        <v>151</v>
      </c>
      <c r="EE1" s="18" t="s">
        <v>152</v>
      </c>
      <c r="EF1" s="18" t="s">
        <v>153</v>
      </c>
      <c r="EG1" s="19" t="s">
        <v>154</v>
      </c>
      <c r="EH1" s="19" t="s">
        <v>155</v>
      </c>
      <c r="EI1" s="19" t="s">
        <v>156</v>
      </c>
      <c r="EJ1" s="19" t="s">
        <v>157</v>
      </c>
      <c r="EK1" s="19" t="s">
        <v>158</v>
      </c>
      <c r="EL1" s="19" t="s">
        <v>159</v>
      </c>
      <c r="EM1" s="19" t="s">
        <v>160</v>
      </c>
      <c r="EN1" s="19" t="s">
        <v>161</v>
      </c>
      <c r="EO1" s="19" t="s">
        <v>162</v>
      </c>
      <c r="EP1" s="19" t="s">
        <v>163</v>
      </c>
      <c r="EQ1" s="19" t="s">
        <v>164</v>
      </c>
      <c r="ER1" s="20" t="s">
        <v>176</v>
      </c>
      <c r="ES1" s="20" t="s">
        <v>177</v>
      </c>
      <c r="ET1" s="20" t="s">
        <v>178</v>
      </c>
      <c r="EU1" s="20" t="s">
        <v>179</v>
      </c>
      <c r="EV1" s="20" t="s">
        <v>180</v>
      </c>
      <c r="EW1" s="20" t="s">
        <v>181</v>
      </c>
      <c r="EX1" s="20" t="s">
        <v>182</v>
      </c>
      <c r="EY1" s="20" t="s">
        <v>183</v>
      </c>
      <c r="EZ1" s="20" t="s">
        <v>184</v>
      </c>
      <c r="FA1" s="20" t="s">
        <v>185</v>
      </c>
      <c r="FB1" s="20" t="s">
        <v>186</v>
      </c>
      <c r="FC1" s="21" t="s">
        <v>165</v>
      </c>
      <c r="FD1" s="21" t="s">
        <v>166</v>
      </c>
      <c r="FE1" s="21" t="s">
        <v>167</v>
      </c>
      <c r="FF1" s="21" t="s">
        <v>168</v>
      </c>
      <c r="FG1" s="21" t="s">
        <v>169</v>
      </c>
      <c r="FH1" s="21" t="s">
        <v>170</v>
      </c>
      <c r="FI1" s="21" t="s">
        <v>171</v>
      </c>
      <c r="FJ1" s="21" t="s">
        <v>172</v>
      </c>
      <c r="FK1" s="21" t="s">
        <v>173</v>
      </c>
      <c r="FL1" s="21" t="s">
        <v>174</v>
      </c>
      <c r="FM1" s="21" t="s">
        <v>175</v>
      </c>
      <c r="FN1" s="20" t="s">
        <v>187</v>
      </c>
      <c r="FO1" s="21" t="s">
        <v>188</v>
      </c>
    </row>
    <row r="2" spans="1:171" s="15" customFormat="1" x14ac:dyDescent="0.55000000000000004">
      <c r="A2" s="15">
        <v>1774250106</v>
      </c>
      <c r="B2" s="15" t="s">
        <v>16</v>
      </c>
      <c r="C2" s="15" t="s">
        <v>17</v>
      </c>
      <c r="D2" s="15">
        <v>4135.63</v>
      </c>
      <c r="E2" s="15" t="s">
        <v>18</v>
      </c>
      <c r="F2" s="15">
        <v>4098.6899999999996</v>
      </c>
      <c r="R2" s="15">
        <v>-636.09</v>
      </c>
      <c r="AD2" s="15">
        <v>-13.43</v>
      </c>
      <c r="AP2" s="15">
        <v>5</v>
      </c>
      <c r="BB2" s="15">
        <v>88</v>
      </c>
      <c r="BN2" s="15">
        <v>5</v>
      </c>
      <c r="BZ2" s="15">
        <v>-7.2282999999999999</v>
      </c>
      <c r="CL2" s="15">
        <v>3</v>
      </c>
      <c r="CX2" s="15">
        <v>-82.123400000000004</v>
      </c>
      <c r="DJ2" s="15" t="s">
        <v>19</v>
      </c>
      <c r="EG2" s="15" t="str">
        <f>IF(DV2="","",IF(AND(ABS(DV2)&lt;=0.25,$E2="Bottom",DK2="LL"),"EQL",IF(AND(ABS(DV2)&lt;=0.25,$E2="Peak",DK2="HH"),"EQH","")))</f>
        <v/>
      </c>
      <c r="EH2" s="15" t="str">
        <f>IF(DW2="","",IF(AND(ABS(DW2)&lt;=0.25,$E2="Bottom",DL2="LL"),"EQL",IF(AND(ABS(DW2)&lt;=0.25,$E2="Peak",DL2="HH"),"EQH","")))</f>
        <v/>
      </c>
      <c r="EI2" s="15" t="str">
        <f>IF(DX2="","",IF(AND(ABS(DX2)&lt;=0.25,$E2="Bottom",DM2="LL"),"EQL",IF(AND(ABS(DX2)&lt;=0.25,$E2="Peak",DM2="HH"),"EQH","")))</f>
        <v/>
      </c>
      <c r="EJ2" s="15" t="str">
        <f>IF(DY2="","",IF(AND(ABS(DY2)&lt;=0.25,$E2="Bottom",DN2="LL"),"EQL",IF(AND(ABS(DY2)&lt;=0.25,$E2="Peak",DN2="HH"),"EQH","")))</f>
        <v/>
      </c>
      <c r="EK2" s="15" t="str">
        <f>IF(DZ2="","",IF(AND(ABS(DZ2)&lt;=0.25,$E2="Bottom",DO2="LL"),"EQL",IF(AND(ABS(DZ2)&lt;=0.25,$E2="Peak",DO2="HH"),"EQH","")))</f>
        <v/>
      </c>
      <c r="EL2" s="15" t="str">
        <f>IF(EA2="","",IF(AND(ABS(EA2)&lt;=0.25,$E2="Bottom",DP2="LL"),"EQL",IF(AND(ABS(EA2)&lt;=0.25,$E2="Peak",DP2="HH"),"EQH","")))</f>
        <v/>
      </c>
      <c r="EM2" s="15" t="str">
        <f>IF(EB2="","",IF(AND(ABS(EB2)&lt;=0.25,$E2="Bottom",DQ2="LL"),"EQL",IF(AND(ABS(EB2)&lt;=0.25,$E2="Peak",DQ2="HH"),"EQH","")))</f>
        <v/>
      </c>
      <c r="EN2" s="15" t="str">
        <f>IF(EC2="","",IF(AND(ABS(EC2)&lt;=0.25,$E2="Bottom",DR2="LL"),"EQL",IF(AND(ABS(EC2)&lt;=0.25,$E2="Peak",DR2="HH"),"EQH","")))</f>
        <v/>
      </c>
      <c r="EO2" s="15" t="str">
        <f>IF(ED2="","",IF(AND(ABS(ED2)&lt;=0.25,$E2="Bottom",DS2="LL"),"EQL",IF(AND(ABS(ED2)&lt;=0.25,$E2="Peak",DS2="HH"),"EQH","")))</f>
        <v/>
      </c>
      <c r="EP2" s="15" t="str">
        <f>IF(EE2="","",IF(AND(ABS(EE2)&lt;=0.25,$E2="Bottom",DT2="LL"),"EQL",IF(AND(ABS(EE2)&lt;=0.25,$E2="Peak",DT2="HH"),"EQH","")))</f>
        <v/>
      </c>
      <c r="EQ2" s="15" t="str">
        <f>IF(EF2="","",IF(AND(ABS(EF2)&lt;=0.25,$E2="Bottom",DU2="LL"),"EQL",IF(AND(ABS(EF2)&lt;=0.25,$E2="Peak",DU2="HH"),"EQH","")))</f>
        <v/>
      </c>
      <c r="ER2" s="15" t="str">
        <f>IF(OR(EG2="EQL",EG2="EQH"),F2,"")</f>
        <v/>
      </c>
      <c r="ES2" s="15" t="str">
        <f>IF(OR(EH2="EQL",EH2="EQH"),G2,"")</f>
        <v/>
      </c>
      <c r="ET2" s="15" t="str">
        <f>IF(OR(EI2="EQL",EI2="EQH"),H2,"")</f>
        <v/>
      </c>
      <c r="EU2" s="15" t="str">
        <f>IF(OR(EJ2="EQL",EJ2="EQH"),I2,"")</f>
        <v/>
      </c>
      <c r="EV2" s="15" t="str">
        <f>IF(OR(EK2="EQL",EK2="EQH"),J2,"")</f>
        <v/>
      </c>
      <c r="EW2" s="15" t="str">
        <f>IF(OR(EL2="EQL",EL2="EQH"),K2,"")</f>
        <v/>
      </c>
      <c r="EX2" s="15" t="str">
        <f>IF(OR(EM2="EQL",EM2="EQH"),L2,"")</f>
        <v/>
      </c>
      <c r="EY2" s="15" t="str">
        <f>IF(OR(EN2="EQL",EN2="EQH"),M2,"")</f>
        <v/>
      </c>
      <c r="EZ2" s="15" t="str">
        <f>IF(OR(EO2="EQL",EO2="EQH"),N2,"")</f>
        <v/>
      </c>
      <c r="FA2" s="15" t="str">
        <f>IF(OR(EP2="EQL",EP2="EQH"),O2,"")</f>
        <v/>
      </c>
      <c r="FB2" s="15" t="str">
        <f>IF(OR(EQ2="EQL",EQ2="EQH"),P2,"")</f>
        <v/>
      </c>
      <c r="FC2" s="15" t="str">
        <f>IF(AND(EG2="EQL",OR(AQ2=4,AQ2=5)),"IEQL",IF(AND(EG2="EQH",OR(AQ2=1,AQ2=2)),"IEQH",""))</f>
        <v/>
      </c>
      <c r="FD2" s="15" t="str">
        <f>IF(AND(EH2="EQL",OR(AR2=4,AR2=5)),"IEQL",IF(AND(EH2="EQH",OR(AR2=1,AR2=2)),"IEQH",""))</f>
        <v/>
      </c>
      <c r="FE2" s="15" t="str">
        <f>IF(AND(EI2="EQL",OR(AS2=4,AS2=5)),"IEQL",IF(AND(EI2="EQH",OR(AS2=1,AS2=2)),"IEQH",""))</f>
        <v/>
      </c>
      <c r="FF2" s="15" t="str">
        <f>IF(AND(EJ2="EQL",OR(AT2=4,AT2=5)),"IEQL",IF(AND(EJ2="EQH",OR(AT2=1,AT2=2)),"IEQH",""))</f>
        <v/>
      </c>
      <c r="FG2" s="15" t="str">
        <f>IF(AND(EK2="EQL",OR(AU2=4,AU2=5)),"IEQL",IF(AND(EK2="EQH",OR(AU2=1,AU2=2)),"IEQH",""))</f>
        <v/>
      </c>
      <c r="FH2" s="15" t="str">
        <f>IF(AND(EL2="EQL",OR(AV2=4,AV2=5)),"IEQL",IF(AND(EL2="EQH",OR(AV2=1,AV2=2)),"IEQH",""))</f>
        <v/>
      </c>
      <c r="FI2" s="15" t="str">
        <f>IF(AND(EM2="EQL",OR(AW2=4,AW2=5)),"IEQL",IF(AND(EM2="EQH",OR(AW2=1,AW2=2)),"IEQH",""))</f>
        <v/>
      </c>
      <c r="FJ2" s="15" t="str">
        <f>IF(AND(EN2="EQL",OR(AX2=4,AX2=5)),"IEQL",IF(AND(EN2="EQH",OR(AX2=1,AX2=2)),"IEQH",""))</f>
        <v/>
      </c>
      <c r="FK2" s="15" t="str">
        <f>IF(AND(EO2="EQL",OR(AY2=4,AY2=5)),"IEQL",IF(AND(EO2="EQH",OR(AY2=1,AY2=2)),"IEQH",""))</f>
        <v/>
      </c>
      <c r="FL2" s="15" t="str">
        <f>IF(AND(EP2="EQL",OR(AZ2=4,AZ2=5)),"IEQL",IF(AND(EP2="EQH",OR(AZ2=1,AZ2=2)),"IEQH",""))</f>
        <v/>
      </c>
      <c r="FM2" s="15" t="str">
        <f>IF(AND(EQ2="EQL",OR(BA2=4,BA2=5)),"IEQL",IF(AND(EQ2="EQH",OR(BA2=1,BA2=2)),"IEQH",""))</f>
        <v/>
      </c>
      <c r="FN2" s="15">
        <f>IF(OR(AND(DJ2="LL",AP2=5),AND(DJ2="HH",AP2=2)),F2,"")</f>
        <v>4098.6899999999996</v>
      </c>
    </row>
    <row r="3" spans="1:171" s="15" customFormat="1" x14ac:dyDescent="0.55000000000000004">
      <c r="A3" s="15">
        <v>1774275306</v>
      </c>
      <c r="B3" s="15" t="s">
        <v>16</v>
      </c>
      <c r="C3" s="15" t="s">
        <v>17</v>
      </c>
      <c r="D3" s="15">
        <v>4486.9799999999996</v>
      </c>
      <c r="E3" s="15" t="s">
        <v>20</v>
      </c>
      <c r="F3" s="15">
        <v>4512.91</v>
      </c>
      <c r="R3" s="15">
        <v>414.22</v>
      </c>
      <c r="AD3" s="15">
        <v>10.11</v>
      </c>
      <c r="AP3" s="15">
        <v>2</v>
      </c>
      <c r="BB3" s="15">
        <v>28</v>
      </c>
      <c r="BN3" s="15">
        <v>0</v>
      </c>
      <c r="BZ3" s="15">
        <v>14.793570000000001</v>
      </c>
      <c r="CL3" s="15">
        <v>2</v>
      </c>
      <c r="CX3" s="15">
        <v>86.132900000000006</v>
      </c>
      <c r="DJ3" s="15" t="s">
        <v>21</v>
      </c>
      <c r="EG3" s="15" t="str">
        <f>IF(DV3="","",IF(AND(ABS(DV3)&lt;=0.25,$E3="Bottom",DK3="LL"),"EQL",IF(AND(ABS(DV3)&lt;=0.25,$E3="Peak",DK3="HH"),"EQH","")))</f>
        <v/>
      </c>
      <c r="EH3" s="15" t="str">
        <f>IF(DW3="","",IF(AND(ABS(DW3)&lt;=0.25,$E3="Bottom",DL3="LL"),"EQL",IF(AND(ABS(DW3)&lt;=0.25,$E3="Peak",DL3="HH"),"EQH","")))</f>
        <v/>
      </c>
      <c r="EI3" s="15" t="str">
        <f>IF(DX3="","",IF(AND(ABS(DX3)&lt;=0.25,$E3="Bottom",DM3="LL"),"EQL",IF(AND(ABS(DX3)&lt;=0.25,$E3="Peak",DM3="HH"),"EQH","")))</f>
        <v/>
      </c>
      <c r="EJ3" s="15" t="str">
        <f>IF(DY3="","",IF(AND(ABS(DY3)&lt;=0.25,$E3="Bottom",DN3="LL"),"EQL",IF(AND(ABS(DY3)&lt;=0.25,$E3="Peak",DN3="HH"),"EQH","")))</f>
        <v/>
      </c>
      <c r="EK3" s="15" t="str">
        <f>IF(DZ3="","",IF(AND(ABS(DZ3)&lt;=0.25,$E3="Bottom",DO3="LL"),"EQL",IF(AND(ABS(DZ3)&lt;=0.25,$E3="Peak",DO3="HH"),"EQH","")))</f>
        <v/>
      </c>
      <c r="EL3" s="15" t="str">
        <f>IF(EA3="","",IF(AND(ABS(EA3)&lt;=0.25,$E3="Bottom",DP3="LL"),"EQL",IF(AND(ABS(EA3)&lt;=0.25,$E3="Peak",DP3="HH"),"EQH","")))</f>
        <v/>
      </c>
      <c r="EM3" s="15" t="str">
        <f>IF(EB3="","",IF(AND(ABS(EB3)&lt;=0.25,$E3="Bottom",DQ3="LL"),"EQL",IF(AND(ABS(EB3)&lt;=0.25,$E3="Peak",DQ3="HH"),"EQH","")))</f>
        <v/>
      </c>
      <c r="EN3" s="15" t="str">
        <f>IF(EC3="","",IF(AND(ABS(EC3)&lt;=0.25,$E3="Bottom",DR3="LL"),"EQL",IF(AND(ABS(EC3)&lt;=0.25,$E3="Peak",DR3="HH"),"EQH","")))</f>
        <v/>
      </c>
      <c r="EO3" s="15" t="str">
        <f>IF(ED3="","",IF(AND(ABS(ED3)&lt;=0.25,$E3="Bottom",DS3="LL"),"EQL",IF(AND(ABS(ED3)&lt;=0.25,$E3="Peak",DS3="HH"),"EQH","")))</f>
        <v/>
      </c>
      <c r="EP3" s="15" t="str">
        <f>IF(EE3="","",IF(AND(ABS(EE3)&lt;=0.25,$E3="Bottom",DT3="LL"),"EQL",IF(AND(ABS(EE3)&lt;=0.25,$E3="Peak",DT3="HH"),"EQH","")))</f>
        <v/>
      </c>
      <c r="EQ3" s="15" t="str">
        <f>IF(EF3="","",IF(AND(ABS(EF3)&lt;=0.25,$E3="Bottom",DU3="LL"),"EQL",IF(AND(ABS(EF3)&lt;=0.25,$E3="Peak",DU3="HH"),"EQH","")))</f>
        <v/>
      </c>
      <c r="ER3" s="15" t="str">
        <f>IF(OR(EG3="EQL",EG3="EQH"),F3,"")</f>
        <v/>
      </c>
      <c r="ES3" s="15" t="str">
        <f>IF(OR(EH3="EQL",EH3="EQH"),G3,"")</f>
        <v/>
      </c>
      <c r="ET3" s="15" t="str">
        <f>IF(OR(EI3="EQL",EI3="EQH"),H3,"")</f>
        <v/>
      </c>
      <c r="EU3" s="15" t="str">
        <f>IF(OR(EJ3="EQL",EJ3="EQH"),I3,"")</f>
        <v/>
      </c>
      <c r="EV3" s="15" t="str">
        <f>IF(OR(EK3="EQL",EK3="EQH"),J3,"")</f>
        <v/>
      </c>
      <c r="EW3" s="15" t="str">
        <f>IF(OR(EL3="EQL",EL3="EQH"),K3,"")</f>
        <v/>
      </c>
      <c r="EX3" s="15" t="str">
        <f>IF(OR(EM3="EQL",EM3="EQH"),L3,"")</f>
        <v/>
      </c>
      <c r="EY3" s="15" t="str">
        <f>IF(OR(EN3="EQL",EN3="EQH"),M3,"")</f>
        <v/>
      </c>
      <c r="EZ3" s="15" t="str">
        <f>IF(OR(EO3="EQL",EO3="EQH"),N3,"")</f>
        <v/>
      </c>
      <c r="FA3" s="15" t="str">
        <f>IF(OR(EP3="EQL",EP3="EQH"),O3,"")</f>
        <v/>
      </c>
      <c r="FB3" s="15" t="str">
        <f>IF(OR(EQ3="EQL",EQ3="EQH"),P3,"")</f>
        <v/>
      </c>
      <c r="FC3" s="15" t="str">
        <f>IF(AND(EG3="EQL",OR(AQ3=4,AQ3=5)),"IEQL",IF(AND(EG3="EQH",OR(AQ3=1,AQ3=2)),"IEQH",""))</f>
        <v/>
      </c>
      <c r="FD3" s="15" t="str">
        <f>IF(AND(EH3="EQL",OR(AR3=4,AR3=5)),"IEQL",IF(AND(EH3="EQH",OR(AR3=1,AR3=2)),"IEQH",""))</f>
        <v/>
      </c>
      <c r="FE3" s="15" t="str">
        <f>IF(AND(EI3="EQL",OR(AS3=4,AS3=5)),"IEQL",IF(AND(EI3="EQH",OR(AS3=1,AS3=2)),"IEQH",""))</f>
        <v/>
      </c>
      <c r="FF3" s="15" t="str">
        <f>IF(AND(EJ3="EQL",OR(AT3=4,AT3=5)),"IEQL",IF(AND(EJ3="EQH",OR(AT3=1,AT3=2)),"IEQH",""))</f>
        <v/>
      </c>
      <c r="FG3" s="15" t="str">
        <f>IF(AND(EK3="EQL",OR(AU3=4,AU3=5)),"IEQL",IF(AND(EK3="EQH",OR(AU3=1,AU3=2)),"IEQH",""))</f>
        <v/>
      </c>
      <c r="FH3" s="15" t="str">
        <f>IF(AND(EL3="EQL",OR(AV3=4,AV3=5)),"IEQL",IF(AND(EL3="EQH",OR(AV3=1,AV3=2)),"IEQH",""))</f>
        <v/>
      </c>
      <c r="FI3" s="15" t="str">
        <f>IF(AND(EM3="EQL",OR(AW3=4,AW3=5)),"IEQL",IF(AND(EM3="EQH",OR(AW3=1,AW3=2)),"IEQH",""))</f>
        <v/>
      </c>
      <c r="FJ3" s="15" t="str">
        <f>IF(AND(EN3="EQL",OR(AX3=4,AX3=5)),"IEQL",IF(AND(EN3="EQH",OR(AX3=1,AX3=2)),"IEQH",""))</f>
        <v/>
      </c>
      <c r="FK3" s="15" t="str">
        <f>IF(AND(EO3="EQL",OR(AY3=4,AY3=5)),"IEQL",IF(AND(EO3="EQH",OR(AY3=1,AY3=2)),"IEQH",""))</f>
        <v/>
      </c>
      <c r="FL3" s="15" t="str">
        <f>IF(AND(EP3="EQL",OR(AZ3=4,AZ3=5)),"IEQL",IF(AND(EP3="EQH",OR(AZ3=1,AZ3=2)),"IEQH",""))</f>
        <v/>
      </c>
      <c r="FM3" s="15" t="str">
        <f>IF(AND(EQ3="EQL",OR(BA3=4,BA3=5)),"IEQL",IF(AND(EQ3="EQH",OR(BA3=1,BA3=2)),"IEQH",""))</f>
        <v/>
      </c>
      <c r="FN3" s="15" t="str">
        <f>IF(OR(AND(DJ3="LL",AP3=5),AND(DJ3="HH",AP3=2)),F3,"")</f>
        <v/>
      </c>
      <c r="FO3" s="15" t="str">
        <f>IF(FN3&lt;&gt;"",F2,"")</f>
        <v/>
      </c>
    </row>
    <row r="4" spans="1:171" s="15" customFormat="1" x14ac:dyDescent="0.55000000000000004">
      <c r="A4" s="15">
        <v>1774280706</v>
      </c>
      <c r="B4" s="15" t="s">
        <v>16</v>
      </c>
      <c r="C4" s="15" t="s">
        <v>17</v>
      </c>
      <c r="D4" s="15">
        <v>4364.25</v>
      </c>
      <c r="E4" s="15" t="s">
        <v>18</v>
      </c>
      <c r="F4" s="15">
        <v>4351.03</v>
      </c>
      <c r="G4" s="15">
        <f t="shared" ref="G4:G35" si="0">F2</f>
        <v>4098.6899999999996</v>
      </c>
      <c r="R4" s="15">
        <v>-161.88</v>
      </c>
      <c r="S4" s="15">
        <f t="shared" ref="S4:S35" si="1">R2</f>
        <v>-636.09</v>
      </c>
      <c r="AD4" s="15">
        <v>-3.59</v>
      </c>
      <c r="AE4" s="15">
        <f t="shared" ref="AE4:AE35" si="2">AD2</f>
        <v>-13.43</v>
      </c>
      <c r="AP4" s="15">
        <v>3</v>
      </c>
      <c r="AQ4" s="15">
        <f t="shared" ref="AQ4:AQ35" si="3">AP2</f>
        <v>5</v>
      </c>
      <c r="BB4" s="15">
        <v>6</v>
      </c>
      <c r="BC4" s="15">
        <f t="shared" ref="BC4:BC35" si="4">BB2</f>
        <v>88</v>
      </c>
      <c r="BN4" s="15">
        <v>3</v>
      </c>
      <c r="BO4" s="15">
        <f t="shared" ref="BO4:BO35" si="5">BN2</f>
        <v>5</v>
      </c>
      <c r="BZ4" s="15">
        <v>-26.98</v>
      </c>
      <c r="CA4" s="15">
        <f t="shared" ref="CA4:CA35" si="6">BZ2</f>
        <v>-7.2282999999999999</v>
      </c>
      <c r="CL4" s="15">
        <v>5</v>
      </c>
      <c r="CM4" s="15">
        <f t="shared" ref="CM4:CM35" si="7">CL2</f>
        <v>3</v>
      </c>
      <c r="CX4" s="15">
        <v>-87.877300000000005</v>
      </c>
      <c r="CY4" s="15">
        <f t="shared" ref="CY4:CY35" si="8">CX2</f>
        <v>-82.123400000000004</v>
      </c>
      <c r="DJ4" s="15" t="s">
        <v>22</v>
      </c>
      <c r="DK4" s="15" t="str">
        <f t="shared" ref="DK4:DK35" si="9">DJ2</f>
        <v>LL</v>
      </c>
      <c r="DV4" s="15">
        <f>IFERROR((G4-$F4)/$F4*100,"")</f>
        <v>-5.7995463143209802</v>
      </c>
      <c r="EG4" s="15" t="str">
        <f>IF(DV4="","",IF(AND(ABS(DV4)&lt;=0.25,$E4="Bottom",DK4="LL"),"EQL",IF(AND(ABS(DV4)&lt;=0.25,$E4="Peak",DK4="HH"),"EQH","")))</f>
        <v/>
      </c>
      <c r="EH4" s="15" t="str">
        <f>IF(DW4="","",IF(AND(ABS(DW4)&lt;=0.25,$E4="Bottom",DL4="LL"),"EQL",IF(AND(ABS(DW4)&lt;=0.25,$E4="Peak",DL4="HH"),"EQH","")))</f>
        <v/>
      </c>
      <c r="EI4" s="15" t="str">
        <f>IF(DX4="","",IF(AND(ABS(DX4)&lt;=0.25,$E4="Bottom",DM4="LL"),"EQL",IF(AND(ABS(DX4)&lt;=0.25,$E4="Peak",DM4="HH"),"EQH","")))</f>
        <v/>
      </c>
      <c r="EJ4" s="15" t="str">
        <f>IF(DY4="","",IF(AND(ABS(DY4)&lt;=0.25,$E4="Bottom",DN4="LL"),"EQL",IF(AND(ABS(DY4)&lt;=0.25,$E4="Peak",DN4="HH"),"EQH","")))</f>
        <v/>
      </c>
      <c r="EK4" s="15" t="str">
        <f>IF(DZ4="","",IF(AND(ABS(DZ4)&lt;=0.25,$E4="Bottom",DO4="LL"),"EQL",IF(AND(ABS(DZ4)&lt;=0.25,$E4="Peak",DO4="HH"),"EQH","")))</f>
        <v/>
      </c>
      <c r="EL4" s="15" t="str">
        <f>IF(EA4="","",IF(AND(ABS(EA4)&lt;=0.25,$E4="Bottom",DP4="LL"),"EQL",IF(AND(ABS(EA4)&lt;=0.25,$E4="Peak",DP4="HH"),"EQH","")))</f>
        <v/>
      </c>
      <c r="EM4" s="15" t="str">
        <f>IF(EB4="","",IF(AND(ABS(EB4)&lt;=0.25,$E4="Bottom",DQ4="LL"),"EQL",IF(AND(ABS(EB4)&lt;=0.25,$E4="Peak",DQ4="HH"),"EQH","")))</f>
        <v/>
      </c>
      <c r="EN4" s="15" t="str">
        <f>IF(EC4="","",IF(AND(ABS(EC4)&lt;=0.25,$E4="Bottom",DR4="LL"),"EQL",IF(AND(ABS(EC4)&lt;=0.25,$E4="Peak",DR4="HH"),"EQH","")))</f>
        <v/>
      </c>
      <c r="EO4" s="15" t="str">
        <f>IF(ED4="","",IF(AND(ABS(ED4)&lt;=0.25,$E4="Bottom",DS4="LL"),"EQL",IF(AND(ABS(ED4)&lt;=0.25,$E4="Peak",DS4="HH"),"EQH","")))</f>
        <v/>
      </c>
      <c r="EP4" s="15" t="str">
        <f>IF(EE4="","",IF(AND(ABS(EE4)&lt;=0.25,$E4="Bottom",DT4="LL"),"EQL",IF(AND(ABS(EE4)&lt;=0.25,$E4="Peak",DT4="HH"),"EQH","")))</f>
        <v/>
      </c>
      <c r="EQ4" s="15" t="str">
        <f>IF(EF4="","",IF(AND(ABS(EF4)&lt;=0.25,$E4="Bottom",DU4="LL"),"EQL",IF(AND(ABS(EF4)&lt;=0.25,$E4="Peak",DU4="HH"),"EQH","")))</f>
        <v/>
      </c>
      <c r="ER4" s="15" t="str">
        <f>IF(OR(EG4="EQL",EG4="EQH"),F4,"")</f>
        <v/>
      </c>
      <c r="ES4" s="15" t="str">
        <f>IF(OR(EH4="EQL",EH4="EQH"),G4,"")</f>
        <v/>
      </c>
      <c r="ET4" s="15" t="str">
        <f>IF(OR(EI4="EQL",EI4="EQH"),H4,"")</f>
        <v/>
      </c>
      <c r="EU4" s="15" t="str">
        <f>IF(OR(EJ4="EQL",EJ4="EQH"),I4,"")</f>
        <v/>
      </c>
      <c r="EV4" s="15" t="str">
        <f>IF(OR(EK4="EQL",EK4="EQH"),J4,"")</f>
        <v/>
      </c>
      <c r="EW4" s="15" t="str">
        <f>IF(OR(EL4="EQL",EL4="EQH"),K4,"")</f>
        <v/>
      </c>
      <c r="EX4" s="15" t="str">
        <f>IF(OR(EM4="EQL",EM4="EQH"),L4,"")</f>
        <v/>
      </c>
      <c r="EY4" s="15" t="str">
        <f>IF(OR(EN4="EQL",EN4="EQH"),M4,"")</f>
        <v/>
      </c>
      <c r="EZ4" s="15" t="str">
        <f>IF(OR(EO4="EQL",EO4="EQH"),N4,"")</f>
        <v/>
      </c>
      <c r="FA4" s="15" t="str">
        <f>IF(OR(EP4="EQL",EP4="EQH"),O4,"")</f>
        <v/>
      </c>
      <c r="FB4" s="15" t="str">
        <f>IF(OR(EQ4="EQL",EQ4="EQH"),P4,"")</f>
        <v/>
      </c>
      <c r="FC4" s="15" t="str">
        <f>IF(AND(EG4="EQL",OR(AQ4=4,AQ4=5)),"IEQL",IF(AND(EG4="EQH",OR(AQ4=1,AQ4=2)),"IEQH",""))</f>
        <v/>
      </c>
      <c r="FD4" s="15" t="str">
        <f>IF(AND(EH4="EQL",OR(AR4=4,AR4=5)),"IEQL",IF(AND(EH4="EQH",OR(AR4=1,AR4=2)),"IEQH",""))</f>
        <v/>
      </c>
      <c r="FE4" s="15" t="str">
        <f>IF(AND(EI4="EQL",OR(AS4=4,AS4=5)),"IEQL",IF(AND(EI4="EQH",OR(AS4=1,AS4=2)),"IEQH",""))</f>
        <v/>
      </c>
      <c r="FF4" s="15" t="str">
        <f>IF(AND(EJ4="EQL",OR(AT4=4,AT4=5)),"IEQL",IF(AND(EJ4="EQH",OR(AT4=1,AT4=2)),"IEQH",""))</f>
        <v/>
      </c>
      <c r="FG4" s="15" t="str">
        <f>IF(AND(EK4="EQL",OR(AU4=4,AU4=5)),"IEQL",IF(AND(EK4="EQH",OR(AU4=1,AU4=2)),"IEQH",""))</f>
        <v/>
      </c>
      <c r="FH4" s="15" t="str">
        <f>IF(AND(EL4="EQL",OR(AV4=4,AV4=5)),"IEQL",IF(AND(EL4="EQH",OR(AV4=1,AV4=2)),"IEQH",""))</f>
        <v/>
      </c>
      <c r="FI4" s="15" t="str">
        <f>IF(AND(EM4="EQL",OR(AW4=4,AW4=5)),"IEQL",IF(AND(EM4="EQH",OR(AW4=1,AW4=2)),"IEQH",""))</f>
        <v/>
      </c>
      <c r="FJ4" s="15" t="str">
        <f>IF(AND(EN4="EQL",OR(AX4=4,AX4=5)),"IEQL",IF(AND(EN4="EQH",OR(AX4=1,AX4=2)),"IEQH",""))</f>
        <v/>
      </c>
      <c r="FK4" s="15" t="str">
        <f>IF(AND(EO4="EQL",OR(AY4=4,AY4=5)),"IEQL",IF(AND(EO4="EQH",OR(AY4=1,AY4=2)),"IEQH",""))</f>
        <v/>
      </c>
      <c r="FL4" s="15" t="str">
        <f>IF(AND(EP4="EQL",OR(AZ4=4,AZ4=5)),"IEQL",IF(AND(EP4="EQH",OR(AZ4=1,AZ4=2)),"IEQH",""))</f>
        <v/>
      </c>
      <c r="FM4" s="15" t="str">
        <f>IF(AND(EQ4="EQL",OR(BA4=4,BA4=5)),"IEQL",IF(AND(EQ4="EQH",OR(BA4=1,BA4=2)),"IEQH",""))</f>
        <v/>
      </c>
      <c r="FN4" s="15" t="str">
        <f>IF(OR(AND(DJ4="LL",AP4=5),AND(DJ4="HH",AP4=2)),F4,"")</f>
        <v/>
      </c>
      <c r="FO4" s="15" t="str">
        <f>IF(FN4&lt;&gt;"",F3,"")</f>
        <v/>
      </c>
    </row>
    <row r="5" spans="1:171" s="15" customFormat="1" x14ac:dyDescent="0.55000000000000004">
      <c r="A5" s="15">
        <v>1774291506</v>
      </c>
      <c r="B5" s="15" t="s">
        <v>16</v>
      </c>
      <c r="C5" s="15" t="s">
        <v>17</v>
      </c>
      <c r="D5" s="15">
        <v>4448.9799999999996</v>
      </c>
      <c r="E5" s="15" t="s">
        <v>20</v>
      </c>
      <c r="F5" s="15">
        <v>4467.12</v>
      </c>
      <c r="G5" s="15">
        <f t="shared" si="0"/>
        <v>4512.91</v>
      </c>
      <c r="R5" s="15">
        <v>116.09</v>
      </c>
      <c r="S5" s="15">
        <f t="shared" si="1"/>
        <v>414.22</v>
      </c>
      <c r="AD5" s="15">
        <v>2.67</v>
      </c>
      <c r="AE5" s="15">
        <f t="shared" si="2"/>
        <v>10.11</v>
      </c>
      <c r="AP5" s="15">
        <v>0</v>
      </c>
      <c r="AQ5" s="15">
        <f t="shared" si="3"/>
        <v>2</v>
      </c>
      <c r="BB5" s="15">
        <v>12</v>
      </c>
      <c r="BC5" s="15">
        <f t="shared" si="4"/>
        <v>28</v>
      </c>
      <c r="BN5" s="15">
        <v>0</v>
      </c>
      <c r="BO5" s="15">
        <f t="shared" si="5"/>
        <v>0</v>
      </c>
      <c r="BZ5" s="15">
        <v>9.6741700000000002</v>
      </c>
      <c r="CA5" s="15">
        <f t="shared" si="6"/>
        <v>14.793570000000001</v>
      </c>
      <c r="CL5" s="15">
        <v>0</v>
      </c>
      <c r="CM5" s="15">
        <f t="shared" si="7"/>
        <v>2</v>
      </c>
      <c r="CX5" s="15">
        <v>84.098399999999998</v>
      </c>
      <c r="CY5" s="15">
        <f t="shared" si="8"/>
        <v>86.132900000000006</v>
      </c>
      <c r="DJ5" s="15" t="s">
        <v>21</v>
      </c>
      <c r="DK5" s="15" t="str">
        <f t="shared" si="9"/>
        <v>LH</v>
      </c>
      <c r="DV5" s="15">
        <f>IFERROR((G5-$F5)/$F5*100,"")</f>
        <v>1.0250452192911756</v>
      </c>
      <c r="EG5" s="15" t="str">
        <f>IF(DV5="","",IF(AND(ABS(DV5)&lt;=0.25,$E5="Bottom",DK5="LL"),"EQL",IF(AND(ABS(DV5)&lt;=0.25,$E5="Peak",DK5="HH"),"EQH","")))</f>
        <v/>
      </c>
      <c r="EH5" s="15" t="str">
        <f>IF(DW5="","",IF(AND(ABS(DW5)&lt;=0.25,$E5="Bottom",DL5="LL"),"EQL",IF(AND(ABS(DW5)&lt;=0.25,$E5="Peak",DL5="HH"),"EQH","")))</f>
        <v/>
      </c>
      <c r="EI5" s="15" t="str">
        <f>IF(DX5="","",IF(AND(ABS(DX5)&lt;=0.25,$E5="Bottom",DM5="LL"),"EQL",IF(AND(ABS(DX5)&lt;=0.25,$E5="Peak",DM5="HH"),"EQH","")))</f>
        <v/>
      </c>
      <c r="EJ5" s="15" t="str">
        <f>IF(DY5="","",IF(AND(ABS(DY5)&lt;=0.25,$E5="Bottom",DN5="LL"),"EQL",IF(AND(ABS(DY5)&lt;=0.25,$E5="Peak",DN5="HH"),"EQH","")))</f>
        <v/>
      </c>
      <c r="EK5" s="15" t="str">
        <f>IF(DZ5="","",IF(AND(ABS(DZ5)&lt;=0.25,$E5="Bottom",DO5="LL"),"EQL",IF(AND(ABS(DZ5)&lt;=0.25,$E5="Peak",DO5="HH"),"EQH","")))</f>
        <v/>
      </c>
      <c r="EL5" s="15" t="str">
        <f>IF(EA5="","",IF(AND(ABS(EA5)&lt;=0.25,$E5="Bottom",DP5="LL"),"EQL",IF(AND(ABS(EA5)&lt;=0.25,$E5="Peak",DP5="HH"),"EQH","")))</f>
        <v/>
      </c>
      <c r="EM5" s="15" t="str">
        <f>IF(EB5="","",IF(AND(ABS(EB5)&lt;=0.25,$E5="Bottom",DQ5="LL"),"EQL",IF(AND(ABS(EB5)&lt;=0.25,$E5="Peak",DQ5="HH"),"EQH","")))</f>
        <v/>
      </c>
      <c r="EN5" s="15" t="str">
        <f>IF(EC5="","",IF(AND(ABS(EC5)&lt;=0.25,$E5="Bottom",DR5="LL"),"EQL",IF(AND(ABS(EC5)&lt;=0.25,$E5="Peak",DR5="HH"),"EQH","")))</f>
        <v/>
      </c>
      <c r="EO5" s="15" t="str">
        <f>IF(ED5="","",IF(AND(ABS(ED5)&lt;=0.25,$E5="Bottom",DS5="LL"),"EQL",IF(AND(ABS(ED5)&lt;=0.25,$E5="Peak",DS5="HH"),"EQH","")))</f>
        <v/>
      </c>
      <c r="EP5" s="15" t="str">
        <f>IF(EE5="","",IF(AND(ABS(EE5)&lt;=0.25,$E5="Bottom",DT5="LL"),"EQL",IF(AND(ABS(EE5)&lt;=0.25,$E5="Peak",DT5="HH"),"EQH","")))</f>
        <v/>
      </c>
      <c r="EQ5" s="15" t="str">
        <f>IF(EF5="","",IF(AND(ABS(EF5)&lt;=0.25,$E5="Bottom",DU5="LL"),"EQL",IF(AND(ABS(EF5)&lt;=0.25,$E5="Peak",DU5="HH"),"EQH","")))</f>
        <v/>
      </c>
      <c r="ER5" s="15" t="str">
        <f>IF(OR(EG5="EQL",EG5="EQH"),F5,"")</f>
        <v/>
      </c>
      <c r="ES5" s="15" t="str">
        <f>IF(OR(EH5="EQL",EH5="EQH"),G5,"")</f>
        <v/>
      </c>
      <c r="ET5" s="15" t="str">
        <f>IF(OR(EI5="EQL",EI5="EQH"),H5,"")</f>
        <v/>
      </c>
      <c r="EU5" s="15" t="str">
        <f>IF(OR(EJ5="EQL",EJ5="EQH"),I5,"")</f>
        <v/>
      </c>
      <c r="EV5" s="15" t="str">
        <f>IF(OR(EK5="EQL",EK5="EQH"),J5,"")</f>
        <v/>
      </c>
      <c r="EW5" s="15" t="str">
        <f>IF(OR(EL5="EQL",EL5="EQH"),K5,"")</f>
        <v/>
      </c>
      <c r="EX5" s="15" t="str">
        <f>IF(OR(EM5="EQL",EM5="EQH"),L5,"")</f>
        <v/>
      </c>
      <c r="EY5" s="15" t="str">
        <f>IF(OR(EN5="EQL",EN5="EQH"),M5,"")</f>
        <v/>
      </c>
      <c r="EZ5" s="15" t="str">
        <f>IF(OR(EO5="EQL",EO5="EQH"),N5,"")</f>
        <v/>
      </c>
      <c r="FA5" s="15" t="str">
        <f>IF(OR(EP5="EQL",EP5="EQH"),O5,"")</f>
        <v/>
      </c>
      <c r="FB5" s="15" t="str">
        <f>IF(OR(EQ5="EQL",EQ5="EQH"),P5,"")</f>
        <v/>
      </c>
      <c r="FC5" s="15" t="str">
        <f>IF(AND(EG5="EQL",OR(AQ5=4,AQ5=5)),"IEQL",IF(AND(EG5="EQH",OR(AQ5=1,AQ5=2)),"IEQH",""))</f>
        <v/>
      </c>
      <c r="FD5" s="15" t="str">
        <f>IF(AND(EH5="EQL",OR(AR5=4,AR5=5)),"IEQL",IF(AND(EH5="EQH",OR(AR5=1,AR5=2)),"IEQH",""))</f>
        <v/>
      </c>
      <c r="FE5" s="15" t="str">
        <f>IF(AND(EI5="EQL",OR(AS5=4,AS5=5)),"IEQL",IF(AND(EI5="EQH",OR(AS5=1,AS5=2)),"IEQH",""))</f>
        <v/>
      </c>
      <c r="FF5" s="15" t="str">
        <f>IF(AND(EJ5="EQL",OR(AT5=4,AT5=5)),"IEQL",IF(AND(EJ5="EQH",OR(AT5=1,AT5=2)),"IEQH",""))</f>
        <v/>
      </c>
      <c r="FG5" s="15" t="str">
        <f>IF(AND(EK5="EQL",OR(AU5=4,AU5=5)),"IEQL",IF(AND(EK5="EQH",OR(AU5=1,AU5=2)),"IEQH",""))</f>
        <v/>
      </c>
      <c r="FH5" s="15" t="str">
        <f>IF(AND(EL5="EQL",OR(AV5=4,AV5=5)),"IEQL",IF(AND(EL5="EQH",OR(AV5=1,AV5=2)),"IEQH",""))</f>
        <v/>
      </c>
      <c r="FI5" s="15" t="str">
        <f>IF(AND(EM5="EQL",OR(AW5=4,AW5=5)),"IEQL",IF(AND(EM5="EQH",OR(AW5=1,AW5=2)),"IEQH",""))</f>
        <v/>
      </c>
      <c r="FJ5" s="15" t="str">
        <f>IF(AND(EN5="EQL",OR(AX5=4,AX5=5)),"IEQL",IF(AND(EN5="EQH",OR(AX5=1,AX5=2)),"IEQH",""))</f>
        <v/>
      </c>
      <c r="FK5" s="15" t="str">
        <f>IF(AND(EO5="EQL",OR(AY5=4,AY5=5)),"IEQL",IF(AND(EO5="EQH",OR(AY5=1,AY5=2)),"IEQH",""))</f>
        <v/>
      </c>
      <c r="FL5" s="15" t="str">
        <f>IF(AND(EP5="EQL",OR(AZ5=4,AZ5=5)),"IEQL",IF(AND(EP5="EQH",OR(AZ5=1,AZ5=2)),"IEQH",""))</f>
        <v/>
      </c>
      <c r="FM5" s="15" t="str">
        <f>IF(AND(EQ5="EQL",OR(BA5=4,BA5=5)),"IEQL",IF(AND(EQ5="EQH",OR(BA5=1,BA5=2)),"IEQH",""))</f>
        <v/>
      </c>
      <c r="FN5" s="15" t="str">
        <f>IF(OR(AND(DJ5="LL",AP5=5),AND(DJ5="HH",AP5=2)),F5,"")</f>
        <v/>
      </c>
      <c r="FO5" s="15" t="str">
        <f>IF(FN5&lt;&gt;"",F4,"")</f>
        <v/>
      </c>
    </row>
    <row r="6" spans="1:171" s="15" customFormat="1" x14ac:dyDescent="0.55000000000000004">
      <c r="A6" s="15">
        <v>1774303206</v>
      </c>
      <c r="B6" s="15" t="s">
        <v>16</v>
      </c>
      <c r="C6" s="15" t="s">
        <v>17</v>
      </c>
      <c r="D6" s="15">
        <v>4398.29</v>
      </c>
      <c r="E6" s="15" t="s">
        <v>18</v>
      </c>
      <c r="F6" s="15">
        <v>4360.47</v>
      </c>
      <c r="G6" s="15">
        <f t="shared" si="0"/>
        <v>4351.03</v>
      </c>
      <c r="H6" s="15">
        <f t="shared" ref="H6:H37" si="10">F2</f>
        <v>4098.6899999999996</v>
      </c>
      <c r="R6" s="15">
        <v>-106.65</v>
      </c>
      <c r="S6" s="15">
        <f t="shared" si="1"/>
        <v>-161.88</v>
      </c>
      <c r="T6" s="15">
        <f t="shared" ref="T6:T37" si="11">R2</f>
        <v>-636.09</v>
      </c>
      <c r="AD6" s="15">
        <v>-2.39</v>
      </c>
      <c r="AE6" s="15">
        <f t="shared" si="2"/>
        <v>-3.59</v>
      </c>
      <c r="AF6" s="15">
        <f t="shared" ref="AF6:AF37" si="12">AD2</f>
        <v>-13.43</v>
      </c>
      <c r="AP6" s="15">
        <v>3</v>
      </c>
      <c r="AQ6" s="15">
        <f t="shared" si="3"/>
        <v>3</v>
      </c>
      <c r="AR6" s="15">
        <f t="shared" ref="AR6:AR37" si="13">AP2</f>
        <v>5</v>
      </c>
      <c r="BB6" s="15">
        <v>9</v>
      </c>
      <c r="BC6" s="15">
        <f t="shared" si="4"/>
        <v>6</v>
      </c>
      <c r="BD6" s="15">
        <f t="shared" ref="BD6:BD37" si="14">BB2</f>
        <v>88</v>
      </c>
      <c r="BN6" s="15">
        <v>3</v>
      </c>
      <c r="BO6" s="15">
        <f t="shared" si="5"/>
        <v>3</v>
      </c>
      <c r="BP6" s="15">
        <f t="shared" ref="BP6:BP37" si="15">BN2</f>
        <v>5</v>
      </c>
      <c r="BZ6" s="15">
        <v>-11.85</v>
      </c>
      <c r="CA6" s="15">
        <f t="shared" si="6"/>
        <v>-26.98</v>
      </c>
      <c r="CB6" s="15">
        <f t="shared" ref="CB6:CB37" si="16">BZ2</f>
        <v>-7.2282999999999999</v>
      </c>
      <c r="CL6" s="15">
        <v>3</v>
      </c>
      <c r="CM6" s="15">
        <f t="shared" si="7"/>
        <v>5</v>
      </c>
      <c r="CN6" s="15">
        <f t="shared" ref="CN6:CN37" si="17">CL2</f>
        <v>3</v>
      </c>
      <c r="CX6" s="15">
        <v>-85.176299999999998</v>
      </c>
      <c r="CY6" s="15">
        <f t="shared" si="8"/>
        <v>-87.877300000000005</v>
      </c>
      <c r="CZ6" s="15">
        <f t="shared" ref="CZ6:CZ37" si="18">CX2</f>
        <v>-82.123400000000004</v>
      </c>
      <c r="DJ6" s="15" t="s">
        <v>22</v>
      </c>
      <c r="DK6" s="15" t="str">
        <f t="shared" si="9"/>
        <v>HL</v>
      </c>
      <c r="DL6" s="15" t="str">
        <f t="shared" ref="DL6:DL37" si="19">DJ2</f>
        <v>LL</v>
      </c>
      <c r="DV6" s="15">
        <f>IFERROR((G6-$F6)/$F6*100,"")</f>
        <v>-0.21649042419740325</v>
      </c>
      <c r="DW6" s="15">
        <f>IFERROR((H6-$F6)/$F6*100,"")</f>
        <v>-6.0034812761009855</v>
      </c>
      <c r="EG6" s="15" t="str">
        <f>IF(DV6="","",IF(AND(ABS(DV6)&lt;=0.25,$E6="Bottom",DK6="LL"),"EQL",IF(AND(ABS(DV6)&lt;=0.25,$E6="Peak",DK6="HH"),"EQH","")))</f>
        <v/>
      </c>
      <c r="EH6" s="15" t="str">
        <f>IF(DW6="","",IF(AND(ABS(DW6)&lt;=0.25,$E6="Bottom",DL6="LL"),"EQL",IF(AND(ABS(DW6)&lt;=0.25,$E6="Peak",DL6="HH"),"EQH","")))</f>
        <v/>
      </c>
      <c r="EI6" s="15" t="str">
        <f>IF(DX6="","",IF(AND(ABS(DX6)&lt;=0.25,$E6="Bottom",DM6="LL"),"EQL",IF(AND(ABS(DX6)&lt;=0.25,$E6="Peak",DM6="HH"),"EQH","")))</f>
        <v/>
      </c>
      <c r="EJ6" s="15" t="str">
        <f>IF(DY6="","",IF(AND(ABS(DY6)&lt;=0.25,$E6="Bottom",DN6="LL"),"EQL",IF(AND(ABS(DY6)&lt;=0.25,$E6="Peak",DN6="HH"),"EQH","")))</f>
        <v/>
      </c>
      <c r="EK6" s="15" t="str">
        <f>IF(DZ6="","",IF(AND(ABS(DZ6)&lt;=0.25,$E6="Bottom",DO6="LL"),"EQL",IF(AND(ABS(DZ6)&lt;=0.25,$E6="Peak",DO6="HH"),"EQH","")))</f>
        <v/>
      </c>
      <c r="EL6" s="15" t="str">
        <f>IF(EA6="","",IF(AND(ABS(EA6)&lt;=0.25,$E6="Bottom",DP6="LL"),"EQL",IF(AND(ABS(EA6)&lt;=0.25,$E6="Peak",DP6="HH"),"EQH","")))</f>
        <v/>
      </c>
      <c r="EM6" s="15" t="str">
        <f>IF(EB6="","",IF(AND(ABS(EB6)&lt;=0.25,$E6="Bottom",DQ6="LL"),"EQL",IF(AND(ABS(EB6)&lt;=0.25,$E6="Peak",DQ6="HH"),"EQH","")))</f>
        <v/>
      </c>
      <c r="EN6" s="15" t="str">
        <f>IF(EC6="","",IF(AND(ABS(EC6)&lt;=0.25,$E6="Bottom",DR6="LL"),"EQL",IF(AND(ABS(EC6)&lt;=0.25,$E6="Peak",DR6="HH"),"EQH","")))</f>
        <v/>
      </c>
      <c r="EO6" s="15" t="str">
        <f>IF(ED6="","",IF(AND(ABS(ED6)&lt;=0.25,$E6="Bottom",DS6="LL"),"EQL",IF(AND(ABS(ED6)&lt;=0.25,$E6="Peak",DS6="HH"),"EQH","")))</f>
        <v/>
      </c>
      <c r="EP6" s="15" t="str">
        <f>IF(EE6="","",IF(AND(ABS(EE6)&lt;=0.25,$E6="Bottom",DT6="LL"),"EQL",IF(AND(ABS(EE6)&lt;=0.25,$E6="Peak",DT6="HH"),"EQH","")))</f>
        <v/>
      </c>
      <c r="EQ6" s="15" t="str">
        <f>IF(EF6="","",IF(AND(ABS(EF6)&lt;=0.25,$E6="Bottom",DU6="LL"),"EQL",IF(AND(ABS(EF6)&lt;=0.25,$E6="Peak",DU6="HH"),"EQH","")))</f>
        <v/>
      </c>
      <c r="ER6" s="15" t="str">
        <f>IF(OR(EG6="EQL",EG6="EQH"),F6,"")</f>
        <v/>
      </c>
      <c r="ES6" s="15" t="str">
        <f>IF(OR(EH6="EQL",EH6="EQH"),G6,"")</f>
        <v/>
      </c>
      <c r="ET6" s="15" t="str">
        <f>IF(OR(EI6="EQL",EI6="EQH"),H6,"")</f>
        <v/>
      </c>
      <c r="EU6" s="15" t="str">
        <f>IF(OR(EJ6="EQL",EJ6="EQH"),I6,"")</f>
        <v/>
      </c>
      <c r="EV6" s="15" t="str">
        <f>IF(OR(EK6="EQL",EK6="EQH"),J6,"")</f>
        <v/>
      </c>
      <c r="EW6" s="15" t="str">
        <f>IF(OR(EL6="EQL",EL6="EQH"),K6,"")</f>
        <v/>
      </c>
      <c r="EX6" s="15" t="str">
        <f>IF(OR(EM6="EQL",EM6="EQH"),L6,"")</f>
        <v/>
      </c>
      <c r="EY6" s="15" t="str">
        <f>IF(OR(EN6="EQL",EN6="EQH"),M6,"")</f>
        <v/>
      </c>
      <c r="EZ6" s="15" t="str">
        <f>IF(OR(EO6="EQL",EO6="EQH"),N6,"")</f>
        <v/>
      </c>
      <c r="FA6" s="15" t="str">
        <f>IF(OR(EP6="EQL",EP6="EQH"),O6,"")</f>
        <v/>
      </c>
      <c r="FB6" s="15" t="str">
        <f>IF(OR(EQ6="EQL",EQ6="EQH"),P6,"")</f>
        <v/>
      </c>
      <c r="FC6" s="15" t="str">
        <f>IF(AND(EG6="EQL",OR(AQ6=4,AQ6=5)),"IEQL",IF(AND(EG6="EQH",OR(AQ6=1,AQ6=2)),"IEQH",""))</f>
        <v/>
      </c>
      <c r="FD6" s="15" t="str">
        <f>IF(AND(EH6="EQL",OR(AR6=4,AR6=5)),"IEQL",IF(AND(EH6="EQH",OR(AR6=1,AR6=2)),"IEQH",""))</f>
        <v/>
      </c>
      <c r="FE6" s="15" t="str">
        <f>IF(AND(EI6="EQL",OR(AS6=4,AS6=5)),"IEQL",IF(AND(EI6="EQH",OR(AS6=1,AS6=2)),"IEQH",""))</f>
        <v/>
      </c>
      <c r="FF6" s="15" t="str">
        <f>IF(AND(EJ6="EQL",OR(AT6=4,AT6=5)),"IEQL",IF(AND(EJ6="EQH",OR(AT6=1,AT6=2)),"IEQH",""))</f>
        <v/>
      </c>
      <c r="FG6" s="15" t="str">
        <f>IF(AND(EK6="EQL",OR(AU6=4,AU6=5)),"IEQL",IF(AND(EK6="EQH",OR(AU6=1,AU6=2)),"IEQH",""))</f>
        <v/>
      </c>
      <c r="FH6" s="15" t="str">
        <f>IF(AND(EL6="EQL",OR(AV6=4,AV6=5)),"IEQL",IF(AND(EL6="EQH",OR(AV6=1,AV6=2)),"IEQH",""))</f>
        <v/>
      </c>
      <c r="FI6" s="15" t="str">
        <f>IF(AND(EM6="EQL",OR(AW6=4,AW6=5)),"IEQL",IF(AND(EM6="EQH",OR(AW6=1,AW6=2)),"IEQH",""))</f>
        <v/>
      </c>
      <c r="FJ6" s="15" t="str">
        <f>IF(AND(EN6="EQL",OR(AX6=4,AX6=5)),"IEQL",IF(AND(EN6="EQH",OR(AX6=1,AX6=2)),"IEQH",""))</f>
        <v/>
      </c>
      <c r="FK6" s="15" t="str">
        <f>IF(AND(EO6="EQL",OR(AY6=4,AY6=5)),"IEQL",IF(AND(EO6="EQH",OR(AY6=1,AY6=2)),"IEQH",""))</f>
        <v/>
      </c>
      <c r="FL6" s="15" t="str">
        <f>IF(AND(EP6="EQL",OR(AZ6=4,AZ6=5)),"IEQL",IF(AND(EP6="EQH",OR(AZ6=1,AZ6=2)),"IEQH",""))</f>
        <v/>
      </c>
      <c r="FM6" s="15" t="str">
        <f>IF(AND(EQ6="EQL",OR(BA6=4,BA6=5)),"IEQL",IF(AND(EQ6="EQH",OR(BA6=1,BA6=2)),"IEQH",""))</f>
        <v/>
      </c>
      <c r="FN6" s="15" t="str">
        <f>IF(OR(AND(DJ6="LL",AP6=5),AND(DJ6="HH",AP6=2)),F6,"")</f>
        <v/>
      </c>
      <c r="FO6" s="15" t="str">
        <f>IF(FN6&lt;&gt;"",F5,"")</f>
        <v/>
      </c>
    </row>
    <row r="7" spans="1:171" s="15" customFormat="1" x14ac:dyDescent="0.55000000000000004">
      <c r="A7" s="15">
        <v>1774307706</v>
      </c>
      <c r="B7" s="15" t="s">
        <v>16</v>
      </c>
      <c r="C7" s="15" t="s">
        <v>17</v>
      </c>
      <c r="D7" s="15">
        <v>4441.71</v>
      </c>
      <c r="E7" s="15" t="s">
        <v>20</v>
      </c>
      <c r="F7" s="15">
        <v>4448.04</v>
      </c>
      <c r="G7" s="15">
        <f t="shared" si="0"/>
        <v>4467.12</v>
      </c>
      <c r="H7" s="15">
        <f t="shared" si="10"/>
        <v>4512.91</v>
      </c>
      <c r="R7" s="15">
        <v>87.57</v>
      </c>
      <c r="S7" s="15">
        <f t="shared" si="1"/>
        <v>116.09</v>
      </c>
      <c r="T7" s="15">
        <f t="shared" si="11"/>
        <v>414.22</v>
      </c>
      <c r="AD7" s="15">
        <v>2.0099999999999998</v>
      </c>
      <c r="AE7" s="15">
        <f t="shared" si="2"/>
        <v>2.67</v>
      </c>
      <c r="AF7" s="15">
        <f t="shared" si="12"/>
        <v>10.11</v>
      </c>
      <c r="AP7" s="15">
        <v>0</v>
      </c>
      <c r="AQ7" s="15">
        <f t="shared" si="3"/>
        <v>0</v>
      </c>
      <c r="AR7" s="15">
        <f t="shared" si="13"/>
        <v>2</v>
      </c>
      <c r="BB7" s="15">
        <v>5</v>
      </c>
      <c r="BC7" s="15">
        <f t="shared" si="4"/>
        <v>12</v>
      </c>
      <c r="BD7" s="15">
        <f t="shared" si="14"/>
        <v>28</v>
      </c>
      <c r="BN7" s="15">
        <v>0</v>
      </c>
      <c r="BO7" s="15">
        <f t="shared" si="5"/>
        <v>0</v>
      </c>
      <c r="BP7" s="15">
        <f t="shared" si="15"/>
        <v>0</v>
      </c>
      <c r="BZ7" s="15">
        <v>17.513999999999999</v>
      </c>
      <c r="CA7" s="15">
        <f t="shared" si="6"/>
        <v>9.6741700000000002</v>
      </c>
      <c r="CB7" s="15">
        <f t="shared" si="16"/>
        <v>14.793570000000001</v>
      </c>
      <c r="CL7" s="15">
        <v>2</v>
      </c>
      <c r="CM7" s="15">
        <f t="shared" si="7"/>
        <v>0</v>
      </c>
      <c r="CN7" s="15">
        <f t="shared" si="17"/>
        <v>2</v>
      </c>
      <c r="CX7" s="15">
        <v>86.732100000000003</v>
      </c>
      <c r="CY7" s="15">
        <f t="shared" si="8"/>
        <v>84.098399999999998</v>
      </c>
      <c r="CZ7" s="15">
        <f t="shared" si="18"/>
        <v>86.132900000000006</v>
      </c>
      <c r="DJ7" s="15" t="s">
        <v>21</v>
      </c>
      <c r="DK7" s="15" t="str">
        <f t="shared" si="9"/>
        <v>LH</v>
      </c>
      <c r="DL7" s="15" t="str">
        <f t="shared" si="19"/>
        <v>LH</v>
      </c>
      <c r="DV7" s="15">
        <f>IFERROR((G7-$F7)/$F7*100,"")</f>
        <v>0.42895297704157176</v>
      </c>
      <c r="DW7" s="15">
        <f>IFERROR((H7-$F7)/$F7*100,"")</f>
        <v>1.458395158316919</v>
      </c>
      <c r="EG7" s="15" t="str">
        <f>IF(DV7="","",IF(AND(ABS(DV7)&lt;=0.25,$E7="Bottom",DK7="LL"),"EQL",IF(AND(ABS(DV7)&lt;=0.25,$E7="Peak",DK7="HH"),"EQH","")))</f>
        <v/>
      </c>
      <c r="EH7" s="15" t="str">
        <f>IF(DW7="","",IF(AND(ABS(DW7)&lt;=0.25,$E7="Bottom",DL7="LL"),"EQL",IF(AND(ABS(DW7)&lt;=0.25,$E7="Peak",DL7="HH"),"EQH","")))</f>
        <v/>
      </c>
      <c r="EI7" s="15" t="str">
        <f>IF(DX7="","",IF(AND(ABS(DX7)&lt;=0.25,$E7="Bottom",DM7="LL"),"EQL",IF(AND(ABS(DX7)&lt;=0.25,$E7="Peak",DM7="HH"),"EQH","")))</f>
        <v/>
      </c>
      <c r="EJ7" s="15" t="str">
        <f>IF(DY7="","",IF(AND(ABS(DY7)&lt;=0.25,$E7="Bottom",DN7="LL"),"EQL",IF(AND(ABS(DY7)&lt;=0.25,$E7="Peak",DN7="HH"),"EQH","")))</f>
        <v/>
      </c>
      <c r="EK7" s="15" t="str">
        <f>IF(DZ7="","",IF(AND(ABS(DZ7)&lt;=0.25,$E7="Bottom",DO7="LL"),"EQL",IF(AND(ABS(DZ7)&lt;=0.25,$E7="Peak",DO7="HH"),"EQH","")))</f>
        <v/>
      </c>
      <c r="EL7" s="15" t="str">
        <f>IF(EA7="","",IF(AND(ABS(EA7)&lt;=0.25,$E7="Bottom",DP7="LL"),"EQL",IF(AND(ABS(EA7)&lt;=0.25,$E7="Peak",DP7="HH"),"EQH","")))</f>
        <v/>
      </c>
      <c r="EM7" s="15" t="str">
        <f>IF(EB7="","",IF(AND(ABS(EB7)&lt;=0.25,$E7="Bottom",DQ7="LL"),"EQL",IF(AND(ABS(EB7)&lt;=0.25,$E7="Peak",DQ7="HH"),"EQH","")))</f>
        <v/>
      </c>
      <c r="EN7" s="15" t="str">
        <f>IF(EC7="","",IF(AND(ABS(EC7)&lt;=0.25,$E7="Bottom",DR7="LL"),"EQL",IF(AND(ABS(EC7)&lt;=0.25,$E7="Peak",DR7="HH"),"EQH","")))</f>
        <v/>
      </c>
      <c r="EO7" s="15" t="str">
        <f>IF(ED7="","",IF(AND(ABS(ED7)&lt;=0.25,$E7="Bottom",DS7="LL"),"EQL",IF(AND(ABS(ED7)&lt;=0.25,$E7="Peak",DS7="HH"),"EQH","")))</f>
        <v/>
      </c>
      <c r="EP7" s="15" t="str">
        <f>IF(EE7="","",IF(AND(ABS(EE7)&lt;=0.25,$E7="Bottom",DT7="LL"),"EQL",IF(AND(ABS(EE7)&lt;=0.25,$E7="Peak",DT7="HH"),"EQH","")))</f>
        <v/>
      </c>
      <c r="EQ7" s="15" t="str">
        <f>IF(EF7="","",IF(AND(ABS(EF7)&lt;=0.25,$E7="Bottom",DU7="LL"),"EQL",IF(AND(ABS(EF7)&lt;=0.25,$E7="Peak",DU7="HH"),"EQH","")))</f>
        <v/>
      </c>
      <c r="ER7" s="15" t="str">
        <f>IF(OR(EG7="EQL",EG7="EQH"),F7,"")</f>
        <v/>
      </c>
      <c r="ES7" s="15" t="str">
        <f>IF(OR(EH7="EQL",EH7="EQH"),G7,"")</f>
        <v/>
      </c>
      <c r="ET7" s="15" t="str">
        <f>IF(OR(EI7="EQL",EI7="EQH"),H7,"")</f>
        <v/>
      </c>
      <c r="EU7" s="15" t="str">
        <f>IF(OR(EJ7="EQL",EJ7="EQH"),I7,"")</f>
        <v/>
      </c>
      <c r="EV7" s="15" t="str">
        <f>IF(OR(EK7="EQL",EK7="EQH"),J7,"")</f>
        <v/>
      </c>
      <c r="EW7" s="15" t="str">
        <f>IF(OR(EL7="EQL",EL7="EQH"),K7,"")</f>
        <v/>
      </c>
      <c r="EX7" s="15" t="str">
        <f>IF(OR(EM7="EQL",EM7="EQH"),L7,"")</f>
        <v/>
      </c>
      <c r="EY7" s="15" t="str">
        <f>IF(OR(EN7="EQL",EN7="EQH"),M7,"")</f>
        <v/>
      </c>
      <c r="EZ7" s="15" t="str">
        <f>IF(OR(EO7="EQL",EO7="EQH"),N7,"")</f>
        <v/>
      </c>
      <c r="FA7" s="15" t="str">
        <f>IF(OR(EP7="EQL",EP7="EQH"),O7,"")</f>
        <v/>
      </c>
      <c r="FB7" s="15" t="str">
        <f>IF(OR(EQ7="EQL",EQ7="EQH"),P7,"")</f>
        <v/>
      </c>
      <c r="FC7" s="15" t="str">
        <f>IF(AND(EG7="EQL",OR(AQ7=4,AQ7=5)),"IEQL",IF(AND(EG7="EQH",OR(AQ7=1,AQ7=2)),"IEQH",""))</f>
        <v/>
      </c>
      <c r="FD7" s="15" t="str">
        <f>IF(AND(EH7="EQL",OR(AR7=4,AR7=5)),"IEQL",IF(AND(EH7="EQH",OR(AR7=1,AR7=2)),"IEQH",""))</f>
        <v/>
      </c>
      <c r="FE7" s="15" t="str">
        <f>IF(AND(EI7="EQL",OR(AS7=4,AS7=5)),"IEQL",IF(AND(EI7="EQH",OR(AS7=1,AS7=2)),"IEQH",""))</f>
        <v/>
      </c>
      <c r="FF7" s="15" t="str">
        <f>IF(AND(EJ7="EQL",OR(AT7=4,AT7=5)),"IEQL",IF(AND(EJ7="EQH",OR(AT7=1,AT7=2)),"IEQH",""))</f>
        <v/>
      </c>
      <c r="FG7" s="15" t="str">
        <f>IF(AND(EK7="EQL",OR(AU7=4,AU7=5)),"IEQL",IF(AND(EK7="EQH",OR(AU7=1,AU7=2)),"IEQH",""))</f>
        <v/>
      </c>
      <c r="FH7" s="15" t="str">
        <f>IF(AND(EL7="EQL",OR(AV7=4,AV7=5)),"IEQL",IF(AND(EL7="EQH",OR(AV7=1,AV7=2)),"IEQH",""))</f>
        <v/>
      </c>
      <c r="FI7" s="15" t="str">
        <f>IF(AND(EM7="EQL",OR(AW7=4,AW7=5)),"IEQL",IF(AND(EM7="EQH",OR(AW7=1,AW7=2)),"IEQH",""))</f>
        <v/>
      </c>
      <c r="FJ7" s="15" t="str">
        <f>IF(AND(EN7="EQL",OR(AX7=4,AX7=5)),"IEQL",IF(AND(EN7="EQH",OR(AX7=1,AX7=2)),"IEQH",""))</f>
        <v/>
      </c>
      <c r="FK7" s="15" t="str">
        <f>IF(AND(EO7="EQL",OR(AY7=4,AY7=5)),"IEQL",IF(AND(EO7="EQH",OR(AY7=1,AY7=2)),"IEQH",""))</f>
        <v/>
      </c>
      <c r="FL7" s="15" t="str">
        <f>IF(AND(EP7="EQL",OR(AZ7=4,AZ7=5)),"IEQL",IF(AND(EP7="EQH",OR(AZ7=1,AZ7=2)),"IEQH",""))</f>
        <v/>
      </c>
      <c r="FM7" s="15" t="str">
        <f>IF(AND(EQ7="EQL",OR(BA7=4,BA7=5)),"IEQL",IF(AND(EQ7="EQH",OR(BA7=1,BA7=2)),"IEQH",""))</f>
        <v/>
      </c>
      <c r="FN7" s="15" t="str">
        <f>IF(OR(AND(DJ7="LL",AP7=5),AND(DJ7="HH",AP7=2)),F7,"")</f>
        <v/>
      </c>
      <c r="FO7" s="15" t="str">
        <f>IF(FN7&lt;&gt;"",F6,"")</f>
        <v/>
      </c>
    </row>
    <row r="8" spans="1:171" s="15" customFormat="1" x14ac:dyDescent="0.55000000000000004">
      <c r="A8" s="15">
        <v>1774317606</v>
      </c>
      <c r="B8" s="15" t="s">
        <v>16</v>
      </c>
      <c r="C8" s="15" t="s">
        <v>17</v>
      </c>
      <c r="D8" s="15">
        <v>4312.34</v>
      </c>
      <c r="E8" s="15" t="s">
        <v>18</v>
      </c>
      <c r="F8" s="15">
        <v>4306.09</v>
      </c>
      <c r="G8" s="15">
        <f t="shared" si="0"/>
        <v>4360.47</v>
      </c>
      <c r="H8" s="15">
        <f t="shared" si="10"/>
        <v>4351.03</v>
      </c>
      <c r="I8" s="15">
        <f t="shared" ref="I8:I39" si="20">F2</f>
        <v>4098.6899999999996</v>
      </c>
      <c r="R8" s="15">
        <v>-141.94999999999999</v>
      </c>
      <c r="S8" s="15">
        <f t="shared" si="1"/>
        <v>-106.65</v>
      </c>
      <c r="T8" s="15">
        <f t="shared" si="11"/>
        <v>-161.88</v>
      </c>
      <c r="U8" s="15">
        <f t="shared" ref="U8:U39" si="21">R2</f>
        <v>-636.09</v>
      </c>
      <c r="AD8" s="15">
        <v>-3.19</v>
      </c>
      <c r="AE8" s="15">
        <f t="shared" si="2"/>
        <v>-2.39</v>
      </c>
      <c r="AF8" s="15">
        <f t="shared" si="12"/>
        <v>-3.59</v>
      </c>
      <c r="AG8" s="15">
        <f t="shared" ref="AG8:AG39" si="22">AD2</f>
        <v>-13.43</v>
      </c>
      <c r="AP8" s="15">
        <v>3</v>
      </c>
      <c r="AQ8" s="15">
        <f t="shared" si="3"/>
        <v>3</v>
      </c>
      <c r="AR8" s="15">
        <f t="shared" si="13"/>
        <v>3</v>
      </c>
      <c r="AS8" s="15">
        <f t="shared" ref="AS8:AS39" si="23">AP2</f>
        <v>5</v>
      </c>
      <c r="BB8" s="15">
        <v>11</v>
      </c>
      <c r="BC8" s="15">
        <f t="shared" si="4"/>
        <v>9</v>
      </c>
      <c r="BD8" s="15">
        <f t="shared" si="14"/>
        <v>6</v>
      </c>
      <c r="BE8" s="15">
        <f t="shared" ref="BE8:BE39" si="24">BB2</f>
        <v>88</v>
      </c>
      <c r="BN8" s="15">
        <v>3</v>
      </c>
      <c r="BO8" s="15">
        <f t="shared" si="5"/>
        <v>3</v>
      </c>
      <c r="BP8" s="15">
        <f t="shared" si="15"/>
        <v>3</v>
      </c>
      <c r="BQ8" s="15">
        <f t="shared" ref="BQ8:BQ39" si="25">BN2</f>
        <v>5</v>
      </c>
      <c r="BZ8" s="15">
        <v>-12.90455</v>
      </c>
      <c r="CA8" s="15">
        <f t="shared" si="6"/>
        <v>-11.85</v>
      </c>
      <c r="CB8" s="15">
        <f t="shared" si="16"/>
        <v>-26.98</v>
      </c>
      <c r="CC8" s="15">
        <f t="shared" ref="CC8:CC39" si="26">BZ2</f>
        <v>-7.2282999999999999</v>
      </c>
      <c r="CL8" s="15">
        <v>4</v>
      </c>
      <c r="CM8" s="15">
        <f t="shared" si="7"/>
        <v>3</v>
      </c>
      <c r="CN8" s="15">
        <f t="shared" si="17"/>
        <v>5</v>
      </c>
      <c r="CO8" s="15">
        <f t="shared" ref="CO8:CO39" si="27">CL2</f>
        <v>3</v>
      </c>
      <c r="CX8" s="15">
        <v>-85.568899999999999</v>
      </c>
      <c r="CY8" s="15">
        <f t="shared" si="8"/>
        <v>-85.176299999999998</v>
      </c>
      <c r="CZ8" s="15">
        <f t="shared" si="18"/>
        <v>-87.877300000000005</v>
      </c>
      <c r="DA8" s="15">
        <f t="shared" ref="DA8:DA39" si="28">CX2</f>
        <v>-82.123400000000004</v>
      </c>
      <c r="DJ8" s="15" t="s">
        <v>19</v>
      </c>
      <c r="DK8" s="15" t="str">
        <f t="shared" si="9"/>
        <v>HL</v>
      </c>
      <c r="DL8" s="15" t="str">
        <f t="shared" si="19"/>
        <v>HL</v>
      </c>
      <c r="DM8" s="15" t="str">
        <f t="shared" ref="DM8:DM39" si="29">DJ2</f>
        <v>LL</v>
      </c>
      <c r="DV8" s="15">
        <f>IFERROR((G8-$F8)/$F8*100,"")</f>
        <v>1.2628625969266809</v>
      </c>
      <c r="DW8" s="15">
        <f>IFERROR((H8-$F8)/$F8*100,"")</f>
        <v>1.0436381961361607</v>
      </c>
      <c r="DX8" s="15">
        <f>IFERROR((I8-$F8)/$F8*100,"")</f>
        <v>-4.8164343987236808</v>
      </c>
      <c r="EG8" s="15" t="str">
        <f>IF(DV8="","",IF(AND(ABS(DV8)&lt;=0.25,$E8="Bottom",DK8="LL"),"EQL",IF(AND(ABS(DV8)&lt;=0.25,$E8="Peak",DK8="HH"),"EQH","")))</f>
        <v/>
      </c>
      <c r="EH8" s="15" t="str">
        <f>IF(DW8="","",IF(AND(ABS(DW8)&lt;=0.25,$E8="Bottom",DL8="LL"),"EQL",IF(AND(ABS(DW8)&lt;=0.25,$E8="Peak",DL8="HH"),"EQH","")))</f>
        <v/>
      </c>
      <c r="EI8" s="15" t="str">
        <f>IF(DX8="","",IF(AND(ABS(DX8)&lt;=0.25,$E8="Bottom",DM8="LL"),"EQL",IF(AND(ABS(DX8)&lt;=0.25,$E8="Peak",DM8="HH"),"EQH","")))</f>
        <v/>
      </c>
      <c r="EJ8" s="15" t="str">
        <f>IF(DY8="","",IF(AND(ABS(DY8)&lt;=0.25,$E8="Bottom",DN8="LL"),"EQL",IF(AND(ABS(DY8)&lt;=0.25,$E8="Peak",DN8="HH"),"EQH","")))</f>
        <v/>
      </c>
      <c r="EK8" s="15" t="str">
        <f>IF(DZ8="","",IF(AND(ABS(DZ8)&lt;=0.25,$E8="Bottom",DO8="LL"),"EQL",IF(AND(ABS(DZ8)&lt;=0.25,$E8="Peak",DO8="HH"),"EQH","")))</f>
        <v/>
      </c>
      <c r="EL8" s="15" t="str">
        <f>IF(EA8="","",IF(AND(ABS(EA8)&lt;=0.25,$E8="Bottom",DP8="LL"),"EQL",IF(AND(ABS(EA8)&lt;=0.25,$E8="Peak",DP8="HH"),"EQH","")))</f>
        <v/>
      </c>
      <c r="EM8" s="15" t="str">
        <f>IF(EB8="","",IF(AND(ABS(EB8)&lt;=0.25,$E8="Bottom",DQ8="LL"),"EQL",IF(AND(ABS(EB8)&lt;=0.25,$E8="Peak",DQ8="HH"),"EQH","")))</f>
        <v/>
      </c>
      <c r="EN8" s="15" t="str">
        <f>IF(EC8="","",IF(AND(ABS(EC8)&lt;=0.25,$E8="Bottom",DR8="LL"),"EQL",IF(AND(ABS(EC8)&lt;=0.25,$E8="Peak",DR8="HH"),"EQH","")))</f>
        <v/>
      </c>
      <c r="EO8" s="15" t="str">
        <f>IF(ED8="","",IF(AND(ABS(ED8)&lt;=0.25,$E8="Bottom",DS8="LL"),"EQL",IF(AND(ABS(ED8)&lt;=0.25,$E8="Peak",DS8="HH"),"EQH","")))</f>
        <v/>
      </c>
      <c r="EP8" s="15" t="str">
        <f>IF(EE8="","",IF(AND(ABS(EE8)&lt;=0.25,$E8="Bottom",DT8="LL"),"EQL",IF(AND(ABS(EE8)&lt;=0.25,$E8="Peak",DT8="HH"),"EQH","")))</f>
        <v/>
      </c>
      <c r="EQ8" s="15" t="str">
        <f>IF(EF8="","",IF(AND(ABS(EF8)&lt;=0.25,$E8="Bottom",DU8="LL"),"EQL",IF(AND(ABS(EF8)&lt;=0.25,$E8="Peak",DU8="HH"),"EQH","")))</f>
        <v/>
      </c>
      <c r="ER8" s="15" t="str">
        <f>IF(OR(EG8="EQL",EG8="EQH"),F8,"")</f>
        <v/>
      </c>
      <c r="ES8" s="15" t="str">
        <f>IF(OR(EH8="EQL",EH8="EQH"),G8,"")</f>
        <v/>
      </c>
      <c r="ET8" s="15" t="str">
        <f>IF(OR(EI8="EQL",EI8="EQH"),H8,"")</f>
        <v/>
      </c>
      <c r="EU8" s="15" t="str">
        <f>IF(OR(EJ8="EQL",EJ8="EQH"),I8,"")</f>
        <v/>
      </c>
      <c r="EV8" s="15" t="str">
        <f>IF(OR(EK8="EQL",EK8="EQH"),J8,"")</f>
        <v/>
      </c>
      <c r="EW8" s="15" t="str">
        <f>IF(OR(EL8="EQL",EL8="EQH"),K8,"")</f>
        <v/>
      </c>
      <c r="EX8" s="15" t="str">
        <f>IF(OR(EM8="EQL",EM8="EQH"),L8,"")</f>
        <v/>
      </c>
      <c r="EY8" s="15" t="str">
        <f>IF(OR(EN8="EQL",EN8="EQH"),M8,"")</f>
        <v/>
      </c>
      <c r="EZ8" s="15" t="str">
        <f>IF(OR(EO8="EQL",EO8="EQH"),N8,"")</f>
        <v/>
      </c>
      <c r="FA8" s="15" t="str">
        <f>IF(OR(EP8="EQL",EP8="EQH"),O8,"")</f>
        <v/>
      </c>
      <c r="FB8" s="15" t="str">
        <f>IF(OR(EQ8="EQL",EQ8="EQH"),P8,"")</f>
        <v/>
      </c>
      <c r="FC8" s="15" t="str">
        <f>IF(AND(EG8="EQL",OR(AQ8=4,AQ8=5)),"IEQL",IF(AND(EG8="EQH",OR(AQ8=1,AQ8=2)),"IEQH",""))</f>
        <v/>
      </c>
      <c r="FD8" s="15" t="str">
        <f>IF(AND(EH8="EQL",OR(AR8=4,AR8=5)),"IEQL",IF(AND(EH8="EQH",OR(AR8=1,AR8=2)),"IEQH",""))</f>
        <v/>
      </c>
      <c r="FE8" s="15" t="str">
        <f>IF(AND(EI8="EQL",OR(AS8=4,AS8=5)),"IEQL",IF(AND(EI8="EQH",OR(AS8=1,AS8=2)),"IEQH",""))</f>
        <v/>
      </c>
      <c r="FF8" s="15" t="str">
        <f>IF(AND(EJ8="EQL",OR(AT8=4,AT8=5)),"IEQL",IF(AND(EJ8="EQH",OR(AT8=1,AT8=2)),"IEQH",""))</f>
        <v/>
      </c>
      <c r="FG8" s="15" t="str">
        <f>IF(AND(EK8="EQL",OR(AU8=4,AU8=5)),"IEQL",IF(AND(EK8="EQH",OR(AU8=1,AU8=2)),"IEQH",""))</f>
        <v/>
      </c>
      <c r="FH8" s="15" t="str">
        <f>IF(AND(EL8="EQL",OR(AV8=4,AV8=5)),"IEQL",IF(AND(EL8="EQH",OR(AV8=1,AV8=2)),"IEQH",""))</f>
        <v/>
      </c>
      <c r="FI8" s="15" t="str">
        <f>IF(AND(EM8="EQL",OR(AW8=4,AW8=5)),"IEQL",IF(AND(EM8="EQH",OR(AW8=1,AW8=2)),"IEQH",""))</f>
        <v/>
      </c>
      <c r="FJ8" s="15" t="str">
        <f>IF(AND(EN8="EQL",OR(AX8=4,AX8=5)),"IEQL",IF(AND(EN8="EQH",OR(AX8=1,AX8=2)),"IEQH",""))</f>
        <v/>
      </c>
      <c r="FK8" s="15" t="str">
        <f>IF(AND(EO8="EQL",OR(AY8=4,AY8=5)),"IEQL",IF(AND(EO8="EQH",OR(AY8=1,AY8=2)),"IEQH",""))</f>
        <v/>
      </c>
      <c r="FL8" s="15" t="str">
        <f>IF(AND(EP8="EQL",OR(AZ8=4,AZ8=5)),"IEQL",IF(AND(EP8="EQH",OR(AZ8=1,AZ8=2)),"IEQH",""))</f>
        <v/>
      </c>
      <c r="FM8" s="15" t="str">
        <f>IF(AND(EQ8="EQL",OR(BA8=4,BA8=5)),"IEQL",IF(AND(EQ8="EQH",OR(BA8=1,BA8=2)),"IEQH",""))</f>
        <v/>
      </c>
      <c r="FN8" s="15" t="str">
        <f>IF(OR(AND(DJ8="LL",AP8=5),AND(DJ8="HH",AP8=2)),F8,"")</f>
        <v/>
      </c>
      <c r="FO8" s="15" t="str">
        <f>IF(FN8&lt;&gt;"",F7,"")</f>
        <v/>
      </c>
    </row>
    <row r="9" spans="1:171" s="15" customFormat="1" x14ac:dyDescent="0.55000000000000004">
      <c r="A9" s="15">
        <v>1774349106</v>
      </c>
      <c r="B9" s="15" t="s">
        <v>16</v>
      </c>
      <c r="C9" s="15" t="s">
        <v>17</v>
      </c>
      <c r="D9" s="15">
        <v>4438.66</v>
      </c>
      <c r="E9" s="15" t="s">
        <v>20</v>
      </c>
      <c r="F9" s="15">
        <v>4441.87</v>
      </c>
      <c r="G9" s="15">
        <f t="shared" si="0"/>
        <v>4448.04</v>
      </c>
      <c r="H9" s="15">
        <f t="shared" si="10"/>
        <v>4467.12</v>
      </c>
      <c r="I9" s="15">
        <f t="shared" si="20"/>
        <v>4512.91</v>
      </c>
      <c r="R9" s="15">
        <v>135.78</v>
      </c>
      <c r="S9" s="15">
        <f t="shared" si="1"/>
        <v>87.57</v>
      </c>
      <c r="T9" s="15">
        <f t="shared" si="11"/>
        <v>116.09</v>
      </c>
      <c r="U9" s="15">
        <f t="shared" si="21"/>
        <v>414.22</v>
      </c>
      <c r="AD9" s="15">
        <v>3.15</v>
      </c>
      <c r="AE9" s="15">
        <f t="shared" si="2"/>
        <v>2.0099999999999998</v>
      </c>
      <c r="AF9" s="15">
        <f t="shared" si="12"/>
        <v>2.67</v>
      </c>
      <c r="AG9" s="15">
        <f t="shared" si="22"/>
        <v>10.11</v>
      </c>
      <c r="AP9" s="15">
        <v>0</v>
      </c>
      <c r="AQ9" s="15">
        <f t="shared" si="3"/>
        <v>0</v>
      </c>
      <c r="AR9" s="15">
        <f t="shared" si="13"/>
        <v>0</v>
      </c>
      <c r="AS9" s="15">
        <f t="shared" si="23"/>
        <v>2</v>
      </c>
      <c r="BB9" s="15">
        <v>35</v>
      </c>
      <c r="BC9" s="15">
        <f t="shared" si="4"/>
        <v>5</v>
      </c>
      <c r="BD9" s="15">
        <f t="shared" si="14"/>
        <v>12</v>
      </c>
      <c r="BE9" s="15">
        <f t="shared" si="24"/>
        <v>28</v>
      </c>
      <c r="BN9" s="15">
        <v>0</v>
      </c>
      <c r="BO9" s="15">
        <f t="shared" si="5"/>
        <v>0</v>
      </c>
      <c r="BP9" s="15">
        <f t="shared" si="15"/>
        <v>0</v>
      </c>
      <c r="BQ9" s="15">
        <f t="shared" si="25"/>
        <v>0</v>
      </c>
      <c r="BZ9" s="15">
        <v>3.8794300000000002</v>
      </c>
      <c r="CA9" s="15">
        <f t="shared" si="6"/>
        <v>17.513999999999999</v>
      </c>
      <c r="CB9" s="15">
        <f t="shared" si="16"/>
        <v>9.6741700000000002</v>
      </c>
      <c r="CC9" s="15">
        <f t="shared" si="26"/>
        <v>14.793570000000001</v>
      </c>
      <c r="CL9" s="15">
        <v>0</v>
      </c>
      <c r="CM9" s="15">
        <f t="shared" si="7"/>
        <v>2</v>
      </c>
      <c r="CN9" s="15">
        <f t="shared" si="17"/>
        <v>0</v>
      </c>
      <c r="CO9" s="15">
        <f t="shared" si="27"/>
        <v>2</v>
      </c>
      <c r="CX9" s="15">
        <v>75.545500000000004</v>
      </c>
      <c r="CY9" s="15">
        <f t="shared" si="8"/>
        <v>86.732100000000003</v>
      </c>
      <c r="CZ9" s="15">
        <f t="shared" si="18"/>
        <v>84.098399999999998</v>
      </c>
      <c r="DA9" s="15">
        <f t="shared" si="28"/>
        <v>86.132900000000006</v>
      </c>
      <c r="DJ9" s="15" t="s">
        <v>21</v>
      </c>
      <c r="DK9" s="15" t="str">
        <f t="shared" si="9"/>
        <v>LH</v>
      </c>
      <c r="DL9" s="15" t="str">
        <f t="shared" si="19"/>
        <v>LH</v>
      </c>
      <c r="DM9" s="15" t="str">
        <f t="shared" si="29"/>
        <v>LH</v>
      </c>
      <c r="DV9" s="15">
        <f>IFERROR((G9-$F9)/$F9*100,"")</f>
        <v>0.13890546098827911</v>
      </c>
      <c r="DW9" s="15">
        <f>IFERROR((H9-$F9)/$F9*100,"")</f>
        <v>0.56845427714003338</v>
      </c>
      <c r="DX9" s="15">
        <f>IFERROR((I9-$F9)/$F9*100,"")</f>
        <v>1.599326409822889</v>
      </c>
      <c r="EG9" s="15" t="str">
        <f>IF(DV9="","",IF(AND(ABS(DV9)&lt;=0.25,$E9="Bottom",DK9="LL"),"EQL",IF(AND(ABS(DV9)&lt;=0.25,$E9="Peak",DK9="HH"),"EQH","")))</f>
        <v/>
      </c>
      <c r="EH9" s="15" t="str">
        <f>IF(DW9="","",IF(AND(ABS(DW9)&lt;=0.25,$E9="Bottom",DL9="LL"),"EQL",IF(AND(ABS(DW9)&lt;=0.25,$E9="Peak",DL9="HH"),"EQH","")))</f>
        <v/>
      </c>
      <c r="EI9" s="15" t="str">
        <f>IF(DX9="","",IF(AND(ABS(DX9)&lt;=0.25,$E9="Bottom",DM9="LL"),"EQL",IF(AND(ABS(DX9)&lt;=0.25,$E9="Peak",DM9="HH"),"EQH","")))</f>
        <v/>
      </c>
      <c r="EJ9" s="15" t="str">
        <f>IF(DY9="","",IF(AND(ABS(DY9)&lt;=0.25,$E9="Bottom",DN9="LL"),"EQL",IF(AND(ABS(DY9)&lt;=0.25,$E9="Peak",DN9="HH"),"EQH","")))</f>
        <v/>
      </c>
      <c r="EK9" s="15" t="str">
        <f>IF(DZ9="","",IF(AND(ABS(DZ9)&lt;=0.25,$E9="Bottom",DO9="LL"),"EQL",IF(AND(ABS(DZ9)&lt;=0.25,$E9="Peak",DO9="HH"),"EQH","")))</f>
        <v/>
      </c>
      <c r="EL9" s="15" t="str">
        <f>IF(EA9="","",IF(AND(ABS(EA9)&lt;=0.25,$E9="Bottom",DP9="LL"),"EQL",IF(AND(ABS(EA9)&lt;=0.25,$E9="Peak",DP9="HH"),"EQH","")))</f>
        <v/>
      </c>
      <c r="EM9" s="15" t="str">
        <f>IF(EB9="","",IF(AND(ABS(EB9)&lt;=0.25,$E9="Bottom",DQ9="LL"),"EQL",IF(AND(ABS(EB9)&lt;=0.25,$E9="Peak",DQ9="HH"),"EQH","")))</f>
        <v/>
      </c>
      <c r="EN9" s="15" t="str">
        <f>IF(EC9="","",IF(AND(ABS(EC9)&lt;=0.25,$E9="Bottom",DR9="LL"),"EQL",IF(AND(ABS(EC9)&lt;=0.25,$E9="Peak",DR9="HH"),"EQH","")))</f>
        <v/>
      </c>
      <c r="EO9" s="15" t="str">
        <f>IF(ED9="","",IF(AND(ABS(ED9)&lt;=0.25,$E9="Bottom",DS9="LL"),"EQL",IF(AND(ABS(ED9)&lt;=0.25,$E9="Peak",DS9="HH"),"EQH","")))</f>
        <v/>
      </c>
      <c r="EP9" s="15" t="str">
        <f>IF(EE9="","",IF(AND(ABS(EE9)&lt;=0.25,$E9="Bottom",DT9="LL"),"EQL",IF(AND(ABS(EE9)&lt;=0.25,$E9="Peak",DT9="HH"),"EQH","")))</f>
        <v/>
      </c>
      <c r="EQ9" s="15" t="str">
        <f>IF(EF9="","",IF(AND(ABS(EF9)&lt;=0.25,$E9="Bottom",DU9="LL"),"EQL",IF(AND(ABS(EF9)&lt;=0.25,$E9="Peak",DU9="HH"),"EQH","")))</f>
        <v/>
      </c>
      <c r="ER9" s="15" t="str">
        <f>IF(OR(EG9="EQL",EG9="EQH"),F9,"")</f>
        <v/>
      </c>
      <c r="ES9" s="15" t="str">
        <f>IF(OR(EH9="EQL",EH9="EQH"),G9,"")</f>
        <v/>
      </c>
      <c r="ET9" s="15" t="str">
        <f>IF(OR(EI9="EQL",EI9="EQH"),H9,"")</f>
        <v/>
      </c>
      <c r="EU9" s="15" t="str">
        <f>IF(OR(EJ9="EQL",EJ9="EQH"),I9,"")</f>
        <v/>
      </c>
      <c r="EV9" s="15" t="str">
        <f>IF(OR(EK9="EQL",EK9="EQH"),J9,"")</f>
        <v/>
      </c>
      <c r="EW9" s="15" t="str">
        <f>IF(OR(EL9="EQL",EL9="EQH"),K9,"")</f>
        <v/>
      </c>
      <c r="EX9" s="15" t="str">
        <f>IF(OR(EM9="EQL",EM9="EQH"),L9,"")</f>
        <v/>
      </c>
      <c r="EY9" s="15" t="str">
        <f>IF(OR(EN9="EQL",EN9="EQH"),M9,"")</f>
        <v/>
      </c>
      <c r="EZ9" s="15" t="str">
        <f>IF(OR(EO9="EQL",EO9="EQH"),N9,"")</f>
        <v/>
      </c>
      <c r="FA9" s="15" t="str">
        <f>IF(OR(EP9="EQL",EP9="EQH"),O9,"")</f>
        <v/>
      </c>
      <c r="FB9" s="15" t="str">
        <f>IF(OR(EQ9="EQL",EQ9="EQH"),P9,"")</f>
        <v/>
      </c>
      <c r="FC9" s="15" t="str">
        <f>IF(AND(EG9="EQL",OR(AQ9=4,AQ9=5)),"IEQL",IF(AND(EG9="EQH",OR(AQ9=1,AQ9=2)),"IEQH",""))</f>
        <v/>
      </c>
      <c r="FD9" s="15" t="str">
        <f>IF(AND(EH9="EQL",OR(AR9=4,AR9=5)),"IEQL",IF(AND(EH9="EQH",OR(AR9=1,AR9=2)),"IEQH",""))</f>
        <v/>
      </c>
      <c r="FE9" s="15" t="str">
        <f>IF(AND(EI9="EQL",OR(AS9=4,AS9=5)),"IEQL",IF(AND(EI9="EQH",OR(AS9=1,AS9=2)),"IEQH",""))</f>
        <v/>
      </c>
      <c r="FF9" s="15" t="str">
        <f>IF(AND(EJ9="EQL",OR(AT9=4,AT9=5)),"IEQL",IF(AND(EJ9="EQH",OR(AT9=1,AT9=2)),"IEQH",""))</f>
        <v/>
      </c>
      <c r="FG9" s="15" t="str">
        <f>IF(AND(EK9="EQL",OR(AU9=4,AU9=5)),"IEQL",IF(AND(EK9="EQH",OR(AU9=1,AU9=2)),"IEQH",""))</f>
        <v/>
      </c>
      <c r="FH9" s="15" t="str">
        <f>IF(AND(EL9="EQL",OR(AV9=4,AV9=5)),"IEQL",IF(AND(EL9="EQH",OR(AV9=1,AV9=2)),"IEQH",""))</f>
        <v/>
      </c>
      <c r="FI9" s="15" t="str">
        <f>IF(AND(EM9="EQL",OR(AW9=4,AW9=5)),"IEQL",IF(AND(EM9="EQH",OR(AW9=1,AW9=2)),"IEQH",""))</f>
        <v/>
      </c>
      <c r="FJ9" s="15" t="str">
        <f>IF(AND(EN9="EQL",OR(AX9=4,AX9=5)),"IEQL",IF(AND(EN9="EQH",OR(AX9=1,AX9=2)),"IEQH",""))</f>
        <v/>
      </c>
      <c r="FK9" s="15" t="str">
        <f>IF(AND(EO9="EQL",OR(AY9=4,AY9=5)),"IEQL",IF(AND(EO9="EQH",OR(AY9=1,AY9=2)),"IEQH",""))</f>
        <v/>
      </c>
      <c r="FL9" s="15" t="str">
        <f>IF(AND(EP9="EQL",OR(AZ9=4,AZ9=5)),"IEQL",IF(AND(EP9="EQH",OR(AZ9=1,AZ9=2)),"IEQH",""))</f>
        <v/>
      </c>
      <c r="FM9" s="15" t="str">
        <f>IF(AND(EQ9="EQL",OR(BA9=4,BA9=5)),"IEQL",IF(AND(EQ9="EQH",OR(BA9=1,BA9=2)),"IEQH",""))</f>
        <v/>
      </c>
      <c r="FN9" s="15" t="str">
        <f>IF(OR(AND(DJ9="LL",AP9=5),AND(DJ9="HH",AP9=2)),F9,"")</f>
        <v/>
      </c>
      <c r="FO9" s="15" t="str">
        <f>IF(FN9&lt;&gt;"",F8,"")</f>
        <v/>
      </c>
    </row>
    <row r="10" spans="1:171" s="15" customFormat="1" x14ac:dyDescent="0.55000000000000004">
      <c r="A10" s="15">
        <v>1774359906</v>
      </c>
      <c r="B10" s="15" t="s">
        <v>16</v>
      </c>
      <c r="C10" s="15" t="s">
        <v>17</v>
      </c>
      <c r="D10" s="15">
        <v>4381.79</v>
      </c>
      <c r="E10" s="15" t="s">
        <v>18</v>
      </c>
      <c r="F10" s="15">
        <v>4351.7</v>
      </c>
      <c r="G10" s="15">
        <f t="shared" si="0"/>
        <v>4306.09</v>
      </c>
      <c r="H10" s="15">
        <f t="shared" si="10"/>
        <v>4360.47</v>
      </c>
      <c r="I10" s="15">
        <f t="shared" si="20"/>
        <v>4351.03</v>
      </c>
      <c r="J10" s="15">
        <f t="shared" ref="J10:J41" si="30">F2</f>
        <v>4098.6899999999996</v>
      </c>
      <c r="R10" s="15">
        <v>-90.17</v>
      </c>
      <c r="S10" s="15">
        <f t="shared" si="1"/>
        <v>-141.94999999999999</v>
      </c>
      <c r="T10" s="15">
        <f t="shared" si="11"/>
        <v>-106.65</v>
      </c>
      <c r="U10" s="15">
        <f t="shared" si="21"/>
        <v>-161.88</v>
      </c>
      <c r="V10" s="15">
        <f t="shared" ref="V10:V41" si="31">R2</f>
        <v>-636.09</v>
      </c>
      <c r="AD10" s="15">
        <v>-2.0299999999999998</v>
      </c>
      <c r="AE10" s="15">
        <f t="shared" si="2"/>
        <v>-3.19</v>
      </c>
      <c r="AF10" s="15">
        <f t="shared" si="12"/>
        <v>-2.39</v>
      </c>
      <c r="AG10" s="15">
        <f t="shared" si="22"/>
        <v>-3.59</v>
      </c>
      <c r="AH10" s="15">
        <f t="shared" ref="AH10:AH41" si="32">AD2</f>
        <v>-13.43</v>
      </c>
      <c r="AP10" s="15">
        <v>3</v>
      </c>
      <c r="AQ10" s="15">
        <f t="shared" si="3"/>
        <v>3</v>
      </c>
      <c r="AR10" s="15">
        <f t="shared" si="13"/>
        <v>3</v>
      </c>
      <c r="AS10" s="15">
        <f t="shared" si="23"/>
        <v>3</v>
      </c>
      <c r="AT10" s="15">
        <f t="shared" ref="AT10:AT41" si="33">AP2</f>
        <v>5</v>
      </c>
      <c r="BB10" s="15">
        <v>12</v>
      </c>
      <c r="BC10" s="15">
        <f t="shared" si="4"/>
        <v>11</v>
      </c>
      <c r="BD10" s="15">
        <f t="shared" si="14"/>
        <v>9</v>
      </c>
      <c r="BE10" s="15">
        <f t="shared" si="24"/>
        <v>6</v>
      </c>
      <c r="BF10" s="15">
        <f t="shared" ref="BF10:BF41" si="34">BB2</f>
        <v>88</v>
      </c>
      <c r="BN10" s="15">
        <v>3</v>
      </c>
      <c r="BO10" s="15">
        <f t="shared" si="5"/>
        <v>3</v>
      </c>
      <c r="BP10" s="15">
        <f t="shared" si="15"/>
        <v>3</v>
      </c>
      <c r="BQ10" s="15">
        <f t="shared" si="25"/>
        <v>3</v>
      </c>
      <c r="BR10" s="15">
        <f t="shared" ref="BR10:BR41" si="35">BN2</f>
        <v>5</v>
      </c>
      <c r="BZ10" s="15">
        <v>-7.51417</v>
      </c>
      <c r="CA10" s="15">
        <f t="shared" si="6"/>
        <v>-12.90455</v>
      </c>
      <c r="CB10" s="15">
        <f t="shared" si="16"/>
        <v>-11.85</v>
      </c>
      <c r="CC10" s="15">
        <f t="shared" si="26"/>
        <v>-26.98</v>
      </c>
      <c r="CD10" s="15">
        <f t="shared" ref="CD10:CD41" si="36">BZ2</f>
        <v>-7.2282999999999999</v>
      </c>
      <c r="CL10" s="15">
        <v>3</v>
      </c>
      <c r="CM10" s="15">
        <f t="shared" si="7"/>
        <v>4</v>
      </c>
      <c r="CN10" s="15">
        <f t="shared" si="17"/>
        <v>3</v>
      </c>
      <c r="CO10" s="15">
        <f t="shared" si="27"/>
        <v>5</v>
      </c>
      <c r="CP10" s="15">
        <f t="shared" ref="CP10:CP41" si="37">CL2</f>
        <v>3</v>
      </c>
      <c r="CX10" s="15">
        <v>-82.419499999999999</v>
      </c>
      <c r="CY10" s="15">
        <f t="shared" si="8"/>
        <v>-85.568899999999999</v>
      </c>
      <c r="CZ10" s="15">
        <f t="shared" si="18"/>
        <v>-85.176299999999998</v>
      </c>
      <c r="DA10" s="15">
        <f t="shared" si="28"/>
        <v>-87.877300000000005</v>
      </c>
      <c r="DB10" s="15">
        <f t="shared" ref="DB10:DB41" si="38">CX2</f>
        <v>-82.123400000000004</v>
      </c>
      <c r="DJ10" s="15" t="s">
        <v>22</v>
      </c>
      <c r="DK10" s="15" t="str">
        <f t="shared" si="9"/>
        <v>LL</v>
      </c>
      <c r="DL10" s="15" t="str">
        <f t="shared" si="19"/>
        <v>HL</v>
      </c>
      <c r="DM10" s="15" t="str">
        <f t="shared" si="29"/>
        <v>HL</v>
      </c>
      <c r="DN10" s="15" t="str">
        <f t="shared" ref="DN10:DN41" si="39">DJ2</f>
        <v>LL</v>
      </c>
      <c r="DV10" s="15">
        <f>IFERROR((G10-$F10)/$F10*100,"")</f>
        <v>-1.0480961463336091</v>
      </c>
      <c r="DW10" s="15">
        <f>IFERROR((H10-$F10)/$F10*100,"")</f>
        <v>0.20153043638119439</v>
      </c>
      <c r="DX10" s="15">
        <f>IFERROR((I10-$F10)/$F10*100,"")</f>
        <v>-1.5396281912817354E-2</v>
      </c>
      <c r="DY10" s="15">
        <f>IFERROR((J10-$F10)/$F10*100,"")</f>
        <v>-5.8140496817335805</v>
      </c>
      <c r="EG10" s="15" t="str">
        <f>IF(DV10="","",IF(AND(ABS(DV10)&lt;=0.25,$E10="Bottom",DK10="LL"),"EQL",IF(AND(ABS(DV10)&lt;=0.25,$E10="Peak",DK10="HH"),"EQH","")))</f>
        <v/>
      </c>
      <c r="EH10" s="15" t="str">
        <f>IF(DW10="","",IF(AND(ABS(DW10)&lt;=0.25,$E10="Bottom",DL10="LL"),"EQL",IF(AND(ABS(DW10)&lt;=0.25,$E10="Peak",DL10="HH"),"EQH","")))</f>
        <v/>
      </c>
      <c r="EI10" s="15" t="str">
        <f>IF(DX10="","",IF(AND(ABS(DX10)&lt;=0.25,$E10="Bottom",DM10="LL"),"EQL",IF(AND(ABS(DX10)&lt;=0.25,$E10="Peak",DM10="HH"),"EQH","")))</f>
        <v/>
      </c>
      <c r="EJ10" s="15" t="str">
        <f>IF(DY10="","",IF(AND(ABS(DY10)&lt;=0.25,$E10="Bottom",DN10="LL"),"EQL",IF(AND(ABS(DY10)&lt;=0.25,$E10="Peak",DN10="HH"),"EQH","")))</f>
        <v/>
      </c>
      <c r="EK10" s="15" t="str">
        <f>IF(DZ10="","",IF(AND(ABS(DZ10)&lt;=0.25,$E10="Bottom",DO10="LL"),"EQL",IF(AND(ABS(DZ10)&lt;=0.25,$E10="Peak",DO10="HH"),"EQH","")))</f>
        <v/>
      </c>
      <c r="EL10" s="15" t="str">
        <f>IF(EA10="","",IF(AND(ABS(EA10)&lt;=0.25,$E10="Bottom",DP10="LL"),"EQL",IF(AND(ABS(EA10)&lt;=0.25,$E10="Peak",DP10="HH"),"EQH","")))</f>
        <v/>
      </c>
      <c r="EM10" s="15" t="str">
        <f>IF(EB10="","",IF(AND(ABS(EB10)&lt;=0.25,$E10="Bottom",DQ10="LL"),"EQL",IF(AND(ABS(EB10)&lt;=0.25,$E10="Peak",DQ10="HH"),"EQH","")))</f>
        <v/>
      </c>
      <c r="EN10" s="15" t="str">
        <f>IF(EC10="","",IF(AND(ABS(EC10)&lt;=0.25,$E10="Bottom",DR10="LL"),"EQL",IF(AND(ABS(EC10)&lt;=0.25,$E10="Peak",DR10="HH"),"EQH","")))</f>
        <v/>
      </c>
      <c r="EO10" s="15" t="str">
        <f>IF(ED10="","",IF(AND(ABS(ED10)&lt;=0.25,$E10="Bottom",DS10="LL"),"EQL",IF(AND(ABS(ED10)&lt;=0.25,$E10="Peak",DS10="HH"),"EQH","")))</f>
        <v/>
      </c>
      <c r="EP10" s="15" t="str">
        <f>IF(EE10="","",IF(AND(ABS(EE10)&lt;=0.25,$E10="Bottom",DT10="LL"),"EQL",IF(AND(ABS(EE10)&lt;=0.25,$E10="Peak",DT10="HH"),"EQH","")))</f>
        <v/>
      </c>
      <c r="EQ10" s="15" t="str">
        <f>IF(EF10="","",IF(AND(ABS(EF10)&lt;=0.25,$E10="Bottom",DU10="LL"),"EQL",IF(AND(ABS(EF10)&lt;=0.25,$E10="Peak",DU10="HH"),"EQH","")))</f>
        <v/>
      </c>
      <c r="ER10" s="15" t="str">
        <f>IF(OR(EG10="EQL",EG10="EQH"),F10,"")</f>
        <v/>
      </c>
      <c r="ES10" s="15" t="str">
        <f>IF(OR(EH10="EQL",EH10="EQH"),G10,"")</f>
        <v/>
      </c>
      <c r="ET10" s="15" t="str">
        <f>IF(OR(EI10="EQL",EI10="EQH"),H10,"")</f>
        <v/>
      </c>
      <c r="EU10" s="15" t="str">
        <f>IF(OR(EJ10="EQL",EJ10="EQH"),I10,"")</f>
        <v/>
      </c>
      <c r="EV10" s="15" t="str">
        <f>IF(OR(EK10="EQL",EK10="EQH"),J10,"")</f>
        <v/>
      </c>
      <c r="EW10" s="15" t="str">
        <f>IF(OR(EL10="EQL",EL10="EQH"),K10,"")</f>
        <v/>
      </c>
      <c r="EX10" s="15" t="str">
        <f>IF(OR(EM10="EQL",EM10="EQH"),L10,"")</f>
        <v/>
      </c>
      <c r="EY10" s="15" t="str">
        <f>IF(OR(EN10="EQL",EN10="EQH"),M10,"")</f>
        <v/>
      </c>
      <c r="EZ10" s="15" t="str">
        <f>IF(OR(EO10="EQL",EO10="EQH"),N10,"")</f>
        <v/>
      </c>
      <c r="FA10" s="15" t="str">
        <f>IF(OR(EP10="EQL",EP10="EQH"),O10,"")</f>
        <v/>
      </c>
      <c r="FB10" s="15" t="str">
        <f>IF(OR(EQ10="EQL",EQ10="EQH"),P10,"")</f>
        <v/>
      </c>
      <c r="FC10" s="15" t="str">
        <f>IF(AND(EG10="EQL",OR(AQ10=4,AQ10=5)),"IEQL",IF(AND(EG10="EQH",OR(AQ10=1,AQ10=2)),"IEQH",""))</f>
        <v/>
      </c>
      <c r="FD10" s="15" t="str">
        <f>IF(AND(EH10="EQL",OR(AR10=4,AR10=5)),"IEQL",IF(AND(EH10="EQH",OR(AR10=1,AR10=2)),"IEQH",""))</f>
        <v/>
      </c>
      <c r="FE10" s="15" t="str">
        <f>IF(AND(EI10="EQL",OR(AS10=4,AS10=5)),"IEQL",IF(AND(EI10="EQH",OR(AS10=1,AS10=2)),"IEQH",""))</f>
        <v/>
      </c>
      <c r="FF10" s="15" t="str">
        <f>IF(AND(EJ10="EQL",OR(AT10=4,AT10=5)),"IEQL",IF(AND(EJ10="EQH",OR(AT10=1,AT10=2)),"IEQH",""))</f>
        <v/>
      </c>
      <c r="FG10" s="15" t="str">
        <f>IF(AND(EK10="EQL",OR(AU10=4,AU10=5)),"IEQL",IF(AND(EK10="EQH",OR(AU10=1,AU10=2)),"IEQH",""))</f>
        <v/>
      </c>
      <c r="FH10" s="15" t="str">
        <f>IF(AND(EL10="EQL",OR(AV10=4,AV10=5)),"IEQL",IF(AND(EL10="EQH",OR(AV10=1,AV10=2)),"IEQH",""))</f>
        <v/>
      </c>
      <c r="FI10" s="15" t="str">
        <f>IF(AND(EM10="EQL",OR(AW10=4,AW10=5)),"IEQL",IF(AND(EM10="EQH",OR(AW10=1,AW10=2)),"IEQH",""))</f>
        <v/>
      </c>
      <c r="FJ10" s="15" t="str">
        <f>IF(AND(EN10="EQL",OR(AX10=4,AX10=5)),"IEQL",IF(AND(EN10="EQH",OR(AX10=1,AX10=2)),"IEQH",""))</f>
        <v/>
      </c>
      <c r="FK10" s="15" t="str">
        <f>IF(AND(EO10="EQL",OR(AY10=4,AY10=5)),"IEQL",IF(AND(EO10="EQH",OR(AY10=1,AY10=2)),"IEQH",""))</f>
        <v/>
      </c>
      <c r="FL10" s="15" t="str">
        <f>IF(AND(EP10="EQL",OR(AZ10=4,AZ10=5)),"IEQL",IF(AND(EP10="EQH",OR(AZ10=1,AZ10=2)),"IEQH",""))</f>
        <v/>
      </c>
      <c r="FM10" s="15" t="str">
        <f>IF(AND(EQ10="EQL",OR(BA10=4,BA10=5)),"IEQL",IF(AND(EQ10="EQH",OR(BA10=1,BA10=2)),"IEQH",""))</f>
        <v/>
      </c>
      <c r="FN10" s="15" t="str">
        <f>IF(OR(AND(DJ10="LL",AP10=5),AND(DJ10="HH",AP10=2)),F10,"")</f>
        <v/>
      </c>
      <c r="FO10" s="15" t="str">
        <f>IF(FN10&lt;&gt;"",F9,"")</f>
        <v/>
      </c>
    </row>
    <row r="11" spans="1:171" s="15" customFormat="1" x14ac:dyDescent="0.55000000000000004">
      <c r="A11" s="15">
        <v>1774363506</v>
      </c>
      <c r="B11" s="15" t="s">
        <v>16</v>
      </c>
      <c r="C11" s="15" t="s">
        <v>17</v>
      </c>
      <c r="D11" s="15">
        <v>4415.63</v>
      </c>
      <c r="E11" s="15" t="s">
        <v>20</v>
      </c>
      <c r="F11" s="15">
        <v>4433.51</v>
      </c>
      <c r="G11" s="15">
        <f t="shared" si="0"/>
        <v>4441.87</v>
      </c>
      <c r="H11" s="15">
        <f t="shared" si="10"/>
        <v>4448.04</v>
      </c>
      <c r="I11" s="15">
        <f t="shared" si="20"/>
        <v>4467.12</v>
      </c>
      <c r="J11" s="15">
        <f t="shared" si="30"/>
        <v>4512.91</v>
      </c>
      <c r="R11" s="15">
        <v>81.81</v>
      </c>
      <c r="S11" s="15">
        <f t="shared" si="1"/>
        <v>135.78</v>
      </c>
      <c r="T11" s="15">
        <f t="shared" si="11"/>
        <v>87.57</v>
      </c>
      <c r="U11" s="15">
        <f t="shared" si="21"/>
        <v>116.09</v>
      </c>
      <c r="V11" s="15">
        <f t="shared" si="31"/>
        <v>414.22</v>
      </c>
      <c r="AD11" s="15">
        <v>1.88</v>
      </c>
      <c r="AE11" s="15">
        <f t="shared" si="2"/>
        <v>3.15</v>
      </c>
      <c r="AF11" s="15">
        <f t="shared" si="12"/>
        <v>2.0099999999999998</v>
      </c>
      <c r="AG11" s="15">
        <f t="shared" si="22"/>
        <v>2.67</v>
      </c>
      <c r="AH11" s="15">
        <f t="shared" si="32"/>
        <v>10.11</v>
      </c>
      <c r="AP11" s="15">
        <v>0</v>
      </c>
      <c r="AQ11" s="15">
        <f t="shared" si="3"/>
        <v>0</v>
      </c>
      <c r="AR11" s="15">
        <f t="shared" si="13"/>
        <v>0</v>
      </c>
      <c r="AS11" s="15">
        <f t="shared" si="23"/>
        <v>0</v>
      </c>
      <c r="AT11" s="15">
        <f t="shared" si="33"/>
        <v>2</v>
      </c>
      <c r="BB11" s="15">
        <v>4</v>
      </c>
      <c r="BC11" s="15">
        <f t="shared" si="4"/>
        <v>35</v>
      </c>
      <c r="BD11" s="15">
        <f t="shared" si="14"/>
        <v>5</v>
      </c>
      <c r="BE11" s="15">
        <f t="shared" si="24"/>
        <v>12</v>
      </c>
      <c r="BF11" s="15">
        <f t="shared" si="34"/>
        <v>28</v>
      </c>
      <c r="BN11" s="15">
        <v>0</v>
      </c>
      <c r="BO11" s="15">
        <f t="shared" si="5"/>
        <v>0</v>
      </c>
      <c r="BP11" s="15">
        <f t="shared" si="15"/>
        <v>0</v>
      </c>
      <c r="BQ11" s="15">
        <f t="shared" si="25"/>
        <v>0</v>
      </c>
      <c r="BR11" s="15">
        <f t="shared" si="35"/>
        <v>0</v>
      </c>
      <c r="BZ11" s="15">
        <v>20.452500000000001</v>
      </c>
      <c r="CA11" s="15">
        <f t="shared" si="6"/>
        <v>3.8794300000000002</v>
      </c>
      <c r="CB11" s="15">
        <f t="shared" si="16"/>
        <v>17.513999999999999</v>
      </c>
      <c r="CC11" s="15">
        <f t="shared" si="26"/>
        <v>9.6741700000000002</v>
      </c>
      <c r="CD11" s="15">
        <f t="shared" si="36"/>
        <v>14.793570000000001</v>
      </c>
      <c r="CL11" s="15">
        <v>2</v>
      </c>
      <c r="CM11" s="15">
        <f t="shared" si="7"/>
        <v>0</v>
      </c>
      <c r="CN11" s="15">
        <f t="shared" si="17"/>
        <v>2</v>
      </c>
      <c r="CO11" s="15">
        <f t="shared" si="27"/>
        <v>0</v>
      </c>
      <c r="CP11" s="15">
        <f t="shared" si="37"/>
        <v>2</v>
      </c>
      <c r="CX11" s="15">
        <v>87.200800000000001</v>
      </c>
      <c r="CY11" s="15">
        <f t="shared" si="8"/>
        <v>75.545500000000004</v>
      </c>
      <c r="CZ11" s="15">
        <f t="shared" si="18"/>
        <v>86.732100000000003</v>
      </c>
      <c r="DA11" s="15">
        <f t="shared" si="28"/>
        <v>84.098399999999998</v>
      </c>
      <c r="DB11" s="15">
        <f t="shared" si="38"/>
        <v>86.132900000000006</v>
      </c>
      <c r="DJ11" s="15" t="s">
        <v>21</v>
      </c>
      <c r="DK11" s="15" t="str">
        <f t="shared" si="9"/>
        <v>LH</v>
      </c>
      <c r="DL11" s="15" t="str">
        <f t="shared" si="19"/>
        <v>LH</v>
      </c>
      <c r="DM11" s="15" t="str">
        <f t="shared" si="29"/>
        <v>LH</v>
      </c>
      <c r="DN11" s="15" t="str">
        <f t="shared" si="39"/>
        <v>LH</v>
      </c>
      <c r="DV11" s="15">
        <f>IFERROR((G11-$F11)/$F11*100,"")</f>
        <v>0.18856391437032219</v>
      </c>
      <c r="DW11" s="15">
        <f>IFERROR((H11-$F11)/$F11*100,"")</f>
        <v>0.32773130093311498</v>
      </c>
      <c r="DX11" s="15">
        <f>IFERROR((I11-$F11)/$F11*100,"")</f>
        <v>0.75809009114673631</v>
      </c>
      <c r="DY11" s="15">
        <f>IFERROR((J11-$F11)/$F11*100,"")</f>
        <v>1.7909060766751317</v>
      </c>
      <c r="EG11" s="15" t="str">
        <f>IF(DV11="","",IF(AND(ABS(DV11)&lt;=0.25,$E11="Bottom",DK11="LL"),"EQL",IF(AND(ABS(DV11)&lt;=0.25,$E11="Peak",DK11="HH"),"EQH","")))</f>
        <v/>
      </c>
      <c r="EH11" s="15" t="str">
        <f>IF(DW11="","",IF(AND(ABS(DW11)&lt;=0.25,$E11="Bottom",DL11="LL"),"EQL",IF(AND(ABS(DW11)&lt;=0.25,$E11="Peak",DL11="HH"),"EQH","")))</f>
        <v/>
      </c>
      <c r="EI11" s="15" t="str">
        <f>IF(DX11="","",IF(AND(ABS(DX11)&lt;=0.25,$E11="Bottom",DM11="LL"),"EQL",IF(AND(ABS(DX11)&lt;=0.25,$E11="Peak",DM11="HH"),"EQH","")))</f>
        <v/>
      </c>
      <c r="EJ11" s="15" t="str">
        <f>IF(DY11="","",IF(AND(ABS(DY11)&lt;=0.25,$E11="Bottom",DN11="LL"),"EQL",IF(AND(ABS(DY11)&lt;=0.25,$E11="Peak",DN11="HH"),"EQH","")))</f>
        <v/>
      </c>
      <c r="EK11" s="15" t="str">
        <f>IF(DZ11="","",IF(AND(ABS(DZ11)&lt;=0.25,$E11="Bottom",DO11="LL"),"EQL",IF(AND(ABS(DZ11)&lt;=0.25,$E11="Peak",DO11="HH"),"EQH","")))</f>
        <v/>
      </c>
      <c r="EL11" s="15" t="str">
        <f>IF(EA11="","",IF(AND(ABS(EA11)&lt;=0.25,$E11="Bottom",DP11="LL"),"EQL",IF(AND(ABS(EA11)&lt;=0.25,$E11="Peak",DP11="HH"),"EQH","")))</f>
        <v/>
      </c>
      <c r="EM11" s="15" t="str">
        <f>IF(EB11="","",IF(AND(ABS(EB11)&lt;=0.25,$E11="Bottom",DQ11="LL"),"EQL",IF(AND(ABS(EB11)&lt;=0.25,$E11="Peak",DQ11="HH"),"EQH","")))</f>
        <v/>
      </c>
      <c r="EN11" s="15" t="str">
        <f>IF(EC11="","",IF(AND(ABS(EC11)&lt;=0.25,$E11="Bottom",DR11="LL"),"EQL",IF(AND(ABS(EC11)&lt;=0.25,$E11="Peak",DR11="HH"),"EQH","")))</f>
        <v/>
      </c>
      <c r="EO11" s="15" t="str">
        <f>IF(ED11="","",IF(AND(ABS(ED11)&lt;=0.25,$E11="Bottom",DS11="LL"),"EQL",IF(AND(ABS(ED11)&lt;=0.25,$E11="Peak",DS11="HH"),"EQH","")))</f>
        <v/>
      </c>
      <c r="EP11" s="15" t="str">
        <f>IF(EE11="","",IF(AND(ABS(EE11)&lt;=0.25,$E11="Bottom",DT11="LL"),"EQL",IF(AND(ABS(EE11)&lt;=0.25,$E11="Peak",DT11="HH"),"EQH","")))</f>
        <v/>
      </c>
      <c r="EQ11" s="15" t="str">
        <f>IF(EF11="","",IF(AND(ABS(EF11)&lt;=0.25,$E11="Bottom",DU11="LL"),"EQL",IF(AND(ABS(EF11)&lt;=0.25,$E11="Peak",DU11="HH"),"EQH","")))</f>
        <v/>
      </c>
      <c r="ER11" s="15" t="str">
        <f>IF(OR(EG11="EQL",EG11="EQH"),F11,"")</f>
        <v/>
      </c>
      <c r="ES11" s="15" t="str">
        <f>IF(OR(EH11="EQL",EH11="EQH"),G11,"")</f>
        <v/>
      </c>
      <c r="ET11" s="15" t="str">
        <f>IF(OR(EI11="EQL",EI11="EQH"),H11,"")</f>
        <v/>
      </c>
      <c r="EU11" s="15" t="str">
        <f>IF(OR(EJ11="EQL",EJ11="EQH"),I11,"")</f>
        <v/>
      </c>
      <c r="EV11" s="15" t="str">
        <f>IF(OR(EK11="EQL",EK11="EQH"),J11,"")</f>
        <v/>
      </c>
      <c r="EW11" s="15" t="str">
        <f>IF(OR(EL11="EQL",EL11="EQH"),K11,"")</f>
        <v/>
      </c>
      <c r="EX11" s="15" t="str">
        <f>IF(OR(EM11="EQL",EM11="EQH"),L11,"")</f>
        <v/>
      </c>
      <c r="EY11" s="15" t="str">
        <f>IF(OR(EN11="EQL",EN11="EQH"),M11,"")</f>
        <v/>
      </c>
      <c r="EZ11" s="15" t="str">
        <f>IF(OR(EO11="EQL",EO11="EQH"),N11,"")</f>
        <v/>
      </c>
      <c r="FA11" s="15" t="str">
        <f>IF(OR(EP11="EQL",EP11="EQH"),O11,"")</f>
        <v/>
      </c>
      <c r="FB11" s="15" t="str">
        <f>IF(OR(EQ11="EQL",EQ11="EQH"),P11,"")</f>
        <v/>
      </c>
      <c r="FC11" s="15" t="str">
        <f>IF(AND(EG11="EQL",OR(AQ11=4,AQ11=5)),"IEQL",IF(AND(EG11="EQH",OR(AQ11=1,AQ11=2)),"IEQH",""))</f>
        <v/>
      </c>
      <c r="FD11" s="15" t="str">
        <f>IF(AND(EH11="EQL",OR(AR11=4,AR11=5)),"IEQL",IF(AND(EH11="EQH",OR(AR11=1,AR11=2)),"IEQH",""))</f>
        <v/>
      </c>
      <c r="FE11" s="15" t="str">
        <f>IF(AND(EI11="EQL",OR(AS11=4,AS11=5)),"IEQL",IF(AND(EI11="EQH",OR(AS11=1,AS11=2)),"IEQH",""))</f>
        <v/>
      </c>
      <c r="FF11" s="15" t="str">
        <f>IF(AND(EJ11="EQL",OR(AT11=4,AT11=5)),"IEQL",IF(AND(EJ11="EQH",OR(AT11=1,AT11=2)),"IEQH",""))</f>
        <v/>
      </c>
      <c r="FG11" s="15" t="str">
        <f>IF(AND(EK11="EQL",OR(AU11=4,AU11=5)),"IEQL",IF(AND(EK11="EQH",OR(AU11=1,AU11=2)),"IEQH",""))</f>
        <v/>
      </c>
      <c r="FH11" s="15" t="str">
        <f>IF(AND(EL11="EQL",OR(AV11=4,AV11=5)),"IEQL",IF(AND(EL11="EQH",OR(AV11=1,AV11=2)),"IEQH",""))</f>
        <v/>
      </c>
      <c r="FI11" s="15" t="str">
        <f>IF(AND(EM11="EQL",OR(AW11=4,AW11=5)),"IEQL",IF(AND(EM11="EQH",OR(AW11=1,AW11=2)),"IEQH",""))</f>
        <v/>
      </c>
      <c r="FJ11" s="15" t="str">
        <f>IF(AND(EN11="EQL",OR(AX11=4,AX11=5)),"IEQL",IF(AND(EN11="EQH",OR(AX11=1,AX11=2)),"IEQH",""))</f>
        <v/>
      </c>
      <c r="FK11" s="15" t="str">
        <f>IF(AND(EO11="EQL",OR(AY11=4,AY11=5)),"IEQL",IF(AND(EO11="EQH",OR(AY11=1,AY11=2)),"IEQH",""))</f>
        <v/>
      </c>
      <c r="FL11" s="15" t="str">
        <f>IF(AND(EP11="EQL",OR(AZ11=4,AZ11=5)),"IEQL",IF(AND(EP11="EQH",OR(AZ11=1,AZ11=2)),"IEQH",""))</f>
        <v/>
      </c>
      <c r="FM11" s="15" t="str">
        <f>IF(AND(EQ11="EQL",OR(BA11=4,BA11=5)),"IEQL",IF(AND(EQ11="EQH",OR(BA11=1,BA11=2)),"IEQH",""))</f>
        <v/>
      </c>
      <c r="FN11" s="15" t="str">
        <f>IF(OR(AND(DJ11="LL",AP11=5),AND(DJ11="HH",AP11=2)),F11,"")</f>
        <v/>
      </c>
      <c r="FO11" s="15" t="str">
        <f>IF(FN11&lt;&gt;"",F10,"")</f>
        <v/>
      </c>
    </row>
    <row r="12" spans="1:171" s="15" customFormat="1" x14ac:dyDescent="0.55000000000000004">
      <c r="A12" s="15">
        <v>1774374306</v>
      </c>
      <c r="B12" s="15" t="s">
        <v>16</v>
      </c>
      <c r="C12" s="15" t="s">
        <v>17</v>
      </c>
      <c r="D12" s="15">
        <v>4388.6400000000003</v>
      </c>
      <c r="E12" s="15" t="s">
        <v>18</v>
      </c>
      <c r="F12" s="15">
        <v>4372.58</v>
      </c>
      <c r="G12" s="15">
        <f t="shared" si="0"/>
        <v>4351.7</v>
      </c>
      <c r="H12" s="15">
        <f t="shared" si="10"/>
        <v>4306.09</v>
      </c>
      <c r="I12" s="15">
        <f t="shared" si="20"/>
        <v>4360.47</v>
      </c>
      <c r="J12" s="15">
        <f t="shared" si="30"/>
        <v>4351.03</v>
      </c>
      <c r="K12" s="15">
        <f t="shared" ref="K12:K43" si="40">F2</f>
        <v>4098.6899999999996</v>
      </c>
      <c r="R12" s="15">
        <v>-60.93</v>
      </c>
      <c r="S12" s="15">
        <f t="shared" si="1"/>
        <v>-90.17</v>
      </c>
      <c r="T12" s="15">
        <f t="shared" si="11"/>
        <v>-141.94999999999999</v>
      </c>
      <c r="U12" s="15">
        <f t="shared" si="21"/>
        <v>-106.65</v>
      </c>
      <c r="V12" s="15">
        <f t="shared" si="31"/>
        <v>-161.88</v>
      </c>
      <c r="W12" s="15">
        <f t="shared" ref="W12:W43" si="41">R2</f>
        <v>-636.09</v>
      </c>
      <c r="AD12" s="15">
        <v>-1.37</v>
      </c>
      <c r="AE12" s="15">
        <f t="shared" si="2"/>
        <v>-2.0299999999999998</v>
      </c>
      <c r="AF12" s="15">
        <f t="shared" si="12"/>
        <v>-3.19</v>
      </c>
      <c r="AG12" s="15">
        <f t="shared" si="22"/>
        <v>-2.39</v>
      </c>
      <c r="AH12" s="15">
        <f t="shared" si="32"/>
        <v>-3.59</v>
      </c>
      <c r="AI12" s="15">
        <f t="shared" ref="AI12:AI43" si="42">AD2</f>
        <v>-13.43</v>
      </c>
      <c r="AP12" s="15">
        <v>3</v>
      </c>
      <c r="AQ12" s="15">
        <f t="shared" si="3"/>
        <v>3</v>
      </c>
      <c r="AR12" s="15">
        <f t="shared" si="13"/>
        <v>3</v>
      </c>
      <c r="AS12" s="15">
        <f t="shared" si="23"/>
        <v>3</v>
      </c>
      <c r="AT12" s="15">
        <f t="shared" si="33"/>
        <v>3</v>
      </c>
      <c r="AU12" s="15">
        <f t="shared" ref="AU12:AU43" si="43">AP2</f>
        <v>5</v>
      </c>
      <c r="BB12" s="15">
        <v>12</v>
      </c>
      <c r="BC12" s="15">
        <f t="shared" si="4"/>
        <v>12</v>
      </c>
      <c r="BD12" s="15">
        <f t="shared" si="14"/>
        <v>11</v>
      </c>
      <c r="BE12" s="15">
        <f t="shared" si="24"/>
        <v>9</v>
      </c>
      <c r="BF12" s="15">
        <f t="shared" si="34"/>
        <v>6</v>
      </c>
      <c r="BG12" s="15">
        <f t="shared" ref="BG12:BG43" si="44">BB2</f>
        <v>88</v>
      </c>
      <c r="BN12" s="15">
        <v>3</v>
      </c>
      <c r="BO12" s="15">
        <f t="shared" si="5"/>
        <v>3</v>
      </c>
      <c r="BP12" s="15">
        <f t="shared" si="15"/>
        <v>3</v>
      </c>
      <c r="BQ12" s="15">
        <f t="shared" si="25"/>
        <v>3</v>
      </c>
      <c r="BR12" s="15">
        <f t="shared" si="35"/>
        <v>3</v>
      </c>
      <c r="BS12" s="15">
        <f t="shared" ref="BS12:BS43" si="45">BN2</f>
        <v>5</v>
      </c>
      <c r="BZ12" s="15">
        <v>-5.0774999999999997</v>
      </c>
      <c r="CA12" s="15">
        <f t="shared" si="6"/>
        <v>-7.51417</v>
      </c>
      <c r="CB12" s="15">
        <f t="shared" si="16"/>
        <v>-12.90455</v>
      </c>
      <c r="CC12" s="15">
        <f t="shared" si="26"/>
        <v>-11.85</v>
      </c>
      <c r="CD12" s="15">
        <f t="shared" si="36"/>
        <v>-26.98</v>
      </c>
      <c r="CE12" s="15">
        <f t="shared" ref="CE12:CE43" si="46">BZ2</f>
        <v>-7.2282999999999999</v>
      </c>
      <c r="CL12" s="15">
        <v>3</v>
      </c>
      <c r="CM12" s="15">
        <f t="shared" si="7"/>
        <v>3</v>
      </c>
      <c r="CN12" s="15">
        <f t="shared" si="17"/>
        <v>4</v>
      </c>
      <c r="CO12" s="15">
        <f t="shared" si="27"/>
        <v>3</v>
      </c>
      <c r="CP12" s="15">
        <f t="shared" si="37"/>
        <v>5</v>
      </c>
      <c r="CQ12" s="15">
        <f t="shared" ref="CQ12:CQ43" si="47">CL2</f>
        <v>3</v>
      </c>
      <c r="CX12" s="15">
        <v>-78.8583</v>
      </c>
      <c r="CY12" s="15">
        <f t="shared" si="8"/>
        <v>-82.419499999999999</v>
      </c>
      <c r="CZ12" s="15">
        <f t="shared" si="18"/>
        <v>-85.568899999999999</v>
      </c>
      <c r="DA12" s="15">
        <f t="shared" si="28"/>
        <v>-85.176299999999998</v>
      </c>
      <c r="DB12" s="15">
        <f t="shared" si="38"/>
        <v>-87.877300000000005</v>
      </c>
      <c r="DC12" s="15">
        <f t="shared" ref="DC12:DC43" si="48">CX2</f>
        <v>-82.123400000000004</v>
      </c>
      <c r="DJ12" s="15" t="s">
        <v>22</v>
      </c>
      <c r="DK12" s="15" t="str">
        <f t="shared" si="9"/>
        <v>HL</v>
      </c>
      <c r="DL12" s="15" t="str">
        <f t="shared" si="19"/>
        <v>LL</v>
      </c>
      <c r="DM12" s="15" t="str">
        <f t="shared" si="29"/>
        <v>HL</v>
      </c>
      <c r="DN12" s="15" t="str">
        <f t="shared" si="39"/>
        <v>HL</v>
      </c>
      <c r="DO12" s="15" t="str">
        <f t="shared" ref="DO12:DO43" si="49">DJ2</f>
        <v>LL</v>
      </c>
      <c r="DV12" s="15">
        <f>IFERROR((G12-$F12)/$F12*100,"")</f>
        <v>-0.47752128034250052</v>
      </c>
      <c r="DW12" s="15">
        <f>IFERROR((H12-$F12)/$F12*100,"")</f>
        <v>-1.5206125445389171</v>
      </c>
      <c r="DX12" s="15">
        <f>IFERROR((I12-$F12)/$F12*100,"")</f>
        <v>-0.2769531946813934</v>
      </c>
      <c r="DY12" s="15">
        <f>IFERROR((J12-$F12)/$F12*100,"")</f>
        <v>-0.49284404173280266</v>
      </c>
      <c r="DZ12" s="15">
        <f>IFERROR((K12-$F12)/$F12*100,"")</f>
        <v>-6.263807637596118</v>
      </c>
      <c r="EG12" s="15" t="str">
        <f>IF(DV12="","",IF(AND(ABS(DV12)&lt;=0.25,$E12="Bottom",DK12="LL"),"EQL",IF(AND(ABS(DV12)&lt;=0.25,$E12="Peak",DK12="HH"),"EQH","")))</f>
        <v/>
      </c>
      <c r="EH12" s="15" t="str">
        <f>IF(DW12="","",IF(AND(ABS(DW12)&lt;=0.25,$E12="Bottom",DL12="LL"),"EQL",IF(AND(ABS(DW12)&lt;=0.25,$E12="Peak",DL12="HH"),"EQH","")))</f>
        <v/>
      </c>
      <c r="EI12" s="15" t="str">
        <f>IF(DX12="","",IF(AND(ABS(DX12)&lt;=0.25,$E12="Bottom",DM12="LL"),"EQL",IF(AND(ABS(DX12)&lt;=0.25,$E12="Peak",DM12="HH"),"EQH","")))</f>
        <v/>
      </c>
      <c r="EJ12" s="15" t="str">
        <f>IF(DY12="","",IF(AND(ABS(DY12)&lt;=0.25,$E12="Bottom",DN12="LL"),"EQL",IF(AND(ABS(DY12)&lt;=0.25,$E12="Peak",DN12="HH"),"EQH","")))</f>
        <v/>
      </c>
      <c r="EK12" s="15" t="str">
        <f>IF(DZ12="","",IF(AND(ABS(DZ12)&lt;=0.25,$E12="Bottom",DO12="LL"),"EQL",IF(AND(ABS(DZ12)&lt;=0.25,$E12="Peak",DO12="HH"),"EQH","")))</f>
        <v/>
      </c>
      <c r="EL12" s="15" t="str">
        <f>IF(EA12="","",IF(AND(ABS(EA12)&lt;=0.25,$E12="Bottom",DP12="LL"),"EQL",IF(AND(ABS(EA12)&lt;=0.25,$E12="Peak",DP12="HH"),"EQH","")))</f>
        <v/>
      </c>
      <c r="EM12" s="15" t="str">
        <f>IF(EB12="","",IF(AND(ABS(EB12)&lt;=0.25,$E12="Bottom",DQ12="LL"),"EQL",IF(AND(ABS(EB12)&lt;=0.25,$E12="Peak",DQ12="HH"),"EQH","")))</f>
        <v/>
      </c>
      <c r="EN12" s="15" t="str">
        <f>IF(EC12="","",IF(AND(ABS(EC12)&lt;=0.25,$E12="Bottom",DR12="LL"),"EQL",IF(AND(ABS(EC12)&lt;=0.25,$E12="Peak",DR12="HH"),"EQH","")))</f>
        <v/>
      </c>
      <c r="EO12" s="15" t="str">
        <f>IF(ED12="","",IF(AND(ABS(ED12)&lt;=0.25,$E12="Bottom",DS12="LL"),"EQL",IF(AND(ABS(ED12)&lt;=0.25,$E12="Peak",DS12="HH"),"EQH","")))</f>
        <v/>
      </c>
      <c r="EP12" s="15" t="str">
        <f>IF(EE12="","",IF(AND(ABS(EE12)&lt;=0.25,$E12="Bottom",DT12="LL"),"EQL",IF(AND(ABS(EE12)&lt;=0.25,$E12="Peak",DT12="HH"),"EQH","")))</f>
        <v/>
      </c>
      <c r="EQ12" s="15" t="str">
        <f>IF(EF12="","",IF(AND(ABS(EF12)&lt;=0.25,$E12="Bottom",DU12="LL"),"EQL",IF(AND(ABS(EF12)&lt;=0.25,$E12="Peak",DU12="HH"),"EQH","")))</f>
        <v/>
      </c>
      <c r="ER12" s="15" t="str">
        <f>IF(OR(EG12="EQL",EG12="EQH"),F12,"")</f>
        <v/>
      </c>
      <c r="ES12" s="15" t="str">
        <f>IF(OR(EH12="EQL",EH12="EQH"),G12,"")</f>
        <v/>
      </c>
      <c r="ET12" s="15" t="str">
        <f>IF(OR(EI12="EQL",EI12="EQH"),H12,"")</f>
        <v/>
      </c>
      <c r="EU12" s="15" t="str">
        <f>IF(OR(EJ12="EQL",EJ12="EQH"),I12,"")</f>
        <v/>
      </c>
      <c r="EV12" s="15" t="str">
        <f>IF(OR(EK12="EQL",EK12="EQH"),J12,"")</f>
        <v/>
      </c>
      <c r="EW12" s="15" t="str">
        <f>IF(OR(EL12="EQL",EL12="EQH"),K12,"")</f>
        <v/>
      </c>
      <c r="EX12" s="15" t="str">
        <f>IF(OR(EM12="EQL",EM12="EQH"),L12,"")</f>
        <v/>
      </c>
      <c r="EY12" s="15" t="str">
        <f>IF(OR(EN12="EQL",EN12="EQH"),M12,"")</f>
        <v/>
      </c>
      <c r="EZ12" s="15" t="str">
        <f>IF(OR(EO12="EQL",EO12="EQH"),N12,"")</f>
        <v/>
      </c>
      <c r="FA12" s="15" t="str">
        <f>IF(OR(EP12="EQL",EP12="EQH"),O12,"")</f>
        <v/>
      </c>
      <c r="FB12" s="15" t="str">
        <f>IF(OR(EQ12="EQL",EQ12="EQH"),P12,"")</f>
        <v/>
      </c>
      <c r="FC12" s="15" t="str">
        <f>IF(AND(EG12="EQL",OR(AQ12=4,AQ12=5)),"IEQL",IF(AND(EG12="EQH",OR(AQ12=1,AQ12=2)),"IEQH",""))</f>
        <v/>
      </c>
      <c r="FD12" s="15" t="str">
        <f>IF(AND(EH12="EQL",OR(AR12=4,AR12=5)),"IEQL",IF(AND(EH12="EQH",OR(AR12=1,AR12=2)),"IEQH",""))</f>
        <v/>
      </c>
      <c r="FE12" s="15" t="str">
        <f>IF(AND(EI12="EQL",OR(AS12=4,AS12=5)),"IEQL",IF(AND(EI12="EQH",OR(AS12=1,AS12=2)),"IEQH",""))</f>
        <v/>
      </c>
      <c r="FF12" s="15" t="str">
        <f>IF(AND(EJ12="EQL",OR(AT12=4,AT12=5)),"IEQL",IF(AND(EJ12="EQH",OR(AT12=1,AT12=2)),"IEQH",""))</f>
        <v/>
      </c>
      <c r="FG12" s="15" t="str">
        <f>IF(AND(EK12="EQL",OR(AU12=4,AU12=5)),"IEQL",IF(AND(EK12="EQH",OR(AU12=1,AU12=2)),"IEQH",""))</f>
        <v/>
      </c>
      <c r="FH12" s="15" t="str">
        <f>IF(AND(EL12="EQL",OR(AV12=4,AV12=5)),"IEQL",IF(AND(EL12="EQH",OR(AV12=1,AV12=2)),"IEQH",""))</f>
        <v/>
      </c>
      <c r="FI12" s="15" t="str">
        <f>IF(AND(EM12="EQL",OR(AW12=4,AW12=5)),"IEQL",IF(AND(EM12="EQH",OR(AW12=1,AW12=2)),"IEQH",""))</f>
        <v/>
      </c>
      <c r="FJ12" s="15" t="str">
        <f>IF(AND(EN12="EQL",OR(AX12=4,AX12=5)),"IEQL",IF(AND(EN12="EQH",OR(AX12=1,AX12=2)),"IEQH",""))</f>
        <v/>
      </c>
      <c r="FK12" s="15" t="str">
        <f>IF(AND(EO12="EQL",OR(AY12=4,AY12=5)),"IEQL",IF(AND(EO12="EQH",OR(AY12=1,AY12=2)),"IEQH",""))</f>
        <v/>
      </c>
      <c r="FL12" s="15" t="str">
        <f>IF(AND(EP12="EQL",OR(AZ12=4,AZ12=5)),"IEQL",IF(AND(EP12="EQH",OR(AZ12=1,AZ12=2)),"IEQH",""))</f>
        <v/>
      </c>
      <c r="FM12" s="15" t="str">
        <f>IF(AND(EQ12="EQL",OR(BA12=4,BA12=5)),"IEQL",IF(AND(EQ12="EQH",OR(BA12=1,BA12=2)),"IEQH",""))</f>
        <v/>
      </c>
      <c r="FN12" s="15" t="str">
        <f>IF(OR(AND(DJ12="LL",AP12=5),AND(DJ12="HH",AP12=2)),F12,"")</f>
        <v/>
      </c>
      <c r="FO12" s="15" t="str">
        <f>IF(FN12&lt;&gt;"",F11,"")</f>
        <v/>
      </c>
    </row>
    <row r="13" spans="1:171" s="15" customFormat="1" x14ac:dyDescent="0.55000000000000004">
      <c r="A13" s="15">
        <v>1774406706</v>
      </c>
      <c r="B13" s="15" t="s">
        <v>16</v>
      </c>
      <c r="C13" s="15" t="s">
        <v>17</v>
      </c>
      <c r="D13" s="15">
        <v>4583.92</v>
      </c>
      <c r="E13" s="15" t="s">
        <v>20</v>
      </c>
      <c r="F13" s="15">
        <v>4602.3</v>
      </c>
      <c r="G13" s="15">
        <f t="shared" si="0"/>
        <v>4433.51</v>
      </c>
      <c r="H13" s="15">
        <f t="shared" si="10"/>
        <v>4441.87</v>
      </c>
      <c r="I13" s="15">
        <f t="shared" si="20"/>
        <v>4448.04</v>
      </c>
      <c r="J13" s="15">
        <f t="shared" si="30"/>
        <v>4467.12</v>
      </c>
      <c r="K13" s="15">
        <f t="shared" si="40"/>
        <v>4512.91</v>
      </c>
      <c r="R13" s="15">
        <v>229.72</v>
      </c>
      <c r="S13" s="15">
        <f t="shared" si="1"/>
        <v>81.81</v>
      </c>
      <c r="T13" s="15">
        <f t="shared" si="11"/>
        <v>135.78</v>
      </c>
      <c r="U13" s="15">
        <f t="shared" si="21"/>
        <v>87.57</v>
      </c>
      <c r="V13" s="15">
        <f t="shared" si="31"/>
        <v>116.09</v>
      </c>
      <c r="W13" s="15">
        <f t="shared" si="41"/>
        <v>414.22</v>
      </c>
      <c r="AD13" s="15">
        <v>5.25</v>
      </c>
      <c r="AE13" s="15">
        <f t="shared" si="2"/>
        <v>1.88</v>
      </c>
      <c r="AF13" s="15">
        <f t="shared" si="12"/>
        <v>3.15</v>
      </c>
      <c r="AG13" s="15">
        <f t="shared" si="22"/>
        <v>2.0099999999999998</v>
      </c>
      <c r="AH13" s="15">
        <f t="shared" si="32"/>
        <v>2.67</v>
      </c>
      <c r="AI13" s="15">
        <f t="shared" si="42"/>
        <v>10.11</v>
      </c>
      <c r="AP13" s="15">
        <v>0</v>
      </c>
      <c r="AQ13" s="15">
        <f t="shared" si="3"/>
        <v>0</v>
      </c>
      <c r="AR13" s="15">
        <f t="shared" si="13"/>
        <v>0</v>
      </c>
      <c r="AS13" s="15">
        <f t="shared" si="23"/>
        <v>0</v>
      </c>
      <c r="AT13" s="15">
        <f t="shared" si="33"/>
        <v>0</v>
      </c>
      <c r="AU13" s="15">
        <f t="shared" si="43"/>
        <v>2</v>
      </c>
      <c r="BB13" s="15">
        <v>32</v>
      </c>
      <c r="BC13" s="15">
        <f t="shared" si="4"/>
        <v>4</v>
      </c>
      <c r="BD13" s="15">
        <f t="shared" si="14"/>
        <v>35</v>
      </c>
      <c r="BE13" s="15">
        <f t="shared" si="24"/>
        <v>5</v>
      </c>
      <c r="BF13" s="15">
        <f t="shared" si="34"/>
        <v>12</v>
      </c>
      <c r="BG13" s="15">
        <f t="shared" si="44"/>
        <v>28</v>
      </c>
      <c r="BN13" s="15">
        <v>0</v>
      </c>
      <c r="BO13" s="15">
        <f t="shared" si="5"/>
        <v>0</v>
      </c>
      <c r="BP13" s="15">
        <f t="shared" si="15"/>
        <v>0</v>
      </c>
      <c r="BQ13" s="15">
        <f t="shared" si="25"/>
        <v>0</v>
      </c>
      <c r="BR13" s="15">
        <f t="shared" si="35"/>
        <v>0</v>
      </c>
      <c r="BS13" s="15">
        <f t="shared" si="45"/>
        <v>0</v>
      </c>
      <c r="BZ13" s="15">
        <v>7.17875</v>
      </c>
      <c r="CA13" s="15">
        <f t="shared" si="6"/>
        <v>20.452500000000001</v>
      </c>
      <c r="CB13" s="15">
        <f t="shared" si="16"/>
        <v>3.8794300000000002</v>
      </c>
      <c r="CC13" s="15">
        <f t="shared" si="26"/>
        <v>17.513999999999999</v>
      </c>
      <c r="CD13" s="15">
        <f t="shared" si="36"/>
        <v>9.6741700000000002</v>
      </c>
      <c r="CE13" s="15">
        <f t="shared" si="46"/>
        <v>14.793570000000001</v>
      </c>
      <c r="CL13" s="15">
        <v>0</v>
      </c>
      <c r="CM13" s="15">
        <f t="shared" si="7"/>
        <v>2</v>
      </c>
      <c r="CN13" s="15">
        <f t="shared" si="17"/>
        <v>0</v>
      </c>
      <c r="CO13" s="15">
        <f t="shared" si="27"/>
        <v>2</v>
      </c>
      <c r="CP13" s="15">
        <f t="shared" si="37"/>
        <v>0</v>
      </c>
      <c r="CQ13" s="15">
        <f t="shared" si="47"/>
        <v>2</v>
      </c>
      <c r="CX13" s="15">
        <v>82.069699999999997</v>
      </c>
      <c r="CY13" s="15">
        <f t="shared" si="8"/>
        <v>87.200800000000001</v>
      </c>
      <c r="CZ13" s="15">
        <f t="shared" si="18"/>
        <v>75.545500000000004</v>
      </c>
      <c r="DA13" s="15">
        <f t="shared" si="28"/>
        <v>86.732100000000003</v>
      </c>
      <c r="DB13" s="15">
        <f t="shared" si="38"/>
        <v>84.098399999999998</v>
      </c>
      <c r="DC13" s="15">
        <f t="shared" si="48"/>
        <v>86.132900000000006</v>
      </c>
      <c r="DJ13" s="15" t="s">
        <v>23</v>
      </c>
      <c r="DK13" s="15" t="str">
        <f t="shared" si="9"/>
        <v>LH</v>
      </c>
      <c r="DL13" s="15" t="str">
        <f t="shared" si="19"/>
        <v>LH</v>
      </c>
      <c r="DM13" s="15" t="str">
        <f t="shared" si="29"/>
        <v>LH</v>
      </c>
      <c r="DN13" s="15" t="str">
        <f t="shared" si="39"/>
        <v>LH</v>
      </c>
      <c r="DO13" s="15" t="str">
        <f t="shared" si="49"/>
        <v>LH</v>
      </c>
      <c r="DV13" s="15">
        <f>IFERROR((G13-$F13)/$F13*100,"")</f>
        <v>-3.6675140690524293</v>
      </c>
      <c r="DW13" s="15">
        <f>IFERROR((H13-$F13)/$F13*100,"")</f>
        <v>-3.485865762770795</v>
      </c>
      <c r="DX13" s="15">
        <f>IFERROR((I13-$F13)/$F13*100,"")</f>
        <v>-3.3518023596897248</v>
      </c>
      <c r="DY13" s="15">
        <f>IFERROR((J13-$F13)/$F13*100,"")</f>
        <v>-2.937227038654592</v>
      </c>
      <c r="DZ13" s="15">
        <f>IFERROR((K13-$F13)/$F13*100,"")</f>
        <v>-1.942289724702873</v>
      </c>
      <c r="EG13" s="15" t="str">
        <f>IF(DV13="","",IF(AND(ABS(DV13)&lt;=0.25,$E13="Bottom",DK13="LL"),"EQL",IF(AND(ABS(DV13)&lt;=0.25,$E13="Peak",DK13="HH"),"EQH","")))</f>
        <v/>
      </c>
      <c r="EH13" s="15" t="str">
        <f>IF(DW13="","",IF(AND(ABS(DW13)&lt;=0.25,$E13="Bottom",DL13="LL"),"EQL",IF(AND(ABS(DW13)&lt;=0.25,$E13="Peak",DL13="HH"),"EQH","")))</f>
        <v/>
      </c>
      <c r="EI13" s="15" t="str">
        <f>IF(DX13="","",IF(AND(ABS(DX13)&lt;=0.25,$E13="Bottom",DM13="LL"),"EQL",IF(AND(ABS(DX13)&lt;=0.25,$E13="Peak",DM13="HH"),"EQH","")))</f>
        <v/>
      </c>
      <c r="EJ13" s="15" t="str">
        <f>IF(DY13="","",IF(AND(ABS(DY13)&lt;=0.25,$E13="Bottom",DN13="LL"),"EQL",IF(AND(ABS(DY13)&lt;=0.25,$E13="Peak",DN13="HH"),"EQH","")))</f>
        <v/>
      </c>
      <c r="EK13" s="15" t="str">
        <f>IF(DZ13="","",IF(AND(ABS(DZ13)&lt;=0.25,$E13="Bottom",DO13="LL"),"EQL",IF(AND(ABS(DZ13)&lt;=0.25,$E13="Peak",DO13="HH"),"EQH","")))</f>
        <v/>
      </c>
      <c r="EL13" s="15" t="str">
        <f>IF(EA13="","",IF(AND(ABS(EA13)&lt;=0.25,$E13="Bottom",DP13="LL"),"EQL",IF(AND(ABS(EA13)&lt;=0.25,$E13="Peak",DP13="HH"),"EQH","")))</f>
        <v/>
      </c>
      <c r="EM13" s="15" t="str">
        <f>IF(EB13="","",IF(AND(ABS(EB13)&lt;=0.25,$E13="Bottom",DQ13="LL"),"EQL",IF(AND(ABS(EB13)&lt;=0.25,$E13="Peak",DQ13="HH"),"EQH","")))</f>
        <v/>
      </c>
      <c r="EN13" s="15" t="str">
        <f>IF(EC13="","",IF(AND(ABS(EC13)&lt;=0.25,$E13="Bottom",DR13="LL"),"EQL",IF(AND(ABS(EC13)&lt;=0.25,$E13="Peak",DR13="HH"),"EQH","")))</f>
        <v/>
      </c>
      <c r="EO13" s="15" t="str">
        <f>IF(ED13="","",IF(AND(ABS(ED13)&lt;=0.25,$E13="Bottom",DS13="LL"),"EQL",IF(AND(ABS(ED13)&lt;=0.25,$E13="Peak",DS13="HH"),"EQH","")))</f>
        <v/>
      </c>
      <c r="EP13" s="15" t="str">
        <f>IF(EE13="","",IF(AND(ABS(EE13)&lt;=0.25,$E13="Bottom",DT13="LL"),"EQL",IF(AND(ABS(EE13)&lt;=0.25,$E13="Peak",DT13="HH"),"EQH","")))</f>
        <v/>
      </c>
      <c r="EQ13" s="15" t="str">
        <f>IF(EF13="","",IF(AND(ABS(EF13)&lt;=0.25,$E13="Bottom",DU13="LL"),"EQL",IF(AND(ABS(EF13)&lt;=0.25,$E13="Peak",DU13="HH"),"EQH","")))</f>
        <v/>
      </c>
      <c r="ER13" s="15" t="str">
        <f>IF(OR(EG13="EQL",EG13="EQH"),F13,"")</f>
        <v/>
      </c>
      <c r="ES13" s="15" t="str">
        <f>IF(OR(EH13="EQL",EH13="EQH"),G13,"")</f>
        <v/>
      </c>
      <c r="ET13" s="15" t="str">
        <f>IF(OR(EI13="EQL",EI13="EQH"),H13,"")</f>
        <v/>
      </c>
      <c r="EU13" s="15" t="str">
        <f>IF(OR(EJ13="EQL",EJ13="EQH"),I13,"")</f>
        <v/>
      </c>
      <c r="EV13" s="15" t="str">
        <f>IF(OR(EK13="EQL",EK13="EQH"),J13,"")</f>
        <v/>
      </c>
      <c r="EW13" s="15" t="str">
        <f>IF(OR(EL13="EQL",EL13="EQH"),K13,"")</f>
        <v/>
      </c>
      <c r="EX13" s="15" t="str">
        <f>IF(OR(EM13="EQL",EM13="EQH"),L13,"")</f>
        <v/>
      </c>
      <c r="EY13" s="15" t="str">
        <f>IF(OR(EN13="EQL",EN13="EQH"),M13,"")</f>
        <v/>
      </c>
      <c r="EZ13" s="15" t="str">
        <f>IF(OR(EO13="EQL",EO13="EQH"),N13,"")</f>
        <v/>
      </c>
      <c r="FA13" s="15" t="str">
        <f>IF(OR(EP13="EQL",EP13="EQH"),O13,"")</f>
        <v/>
      </c>
      <c r="FB13" s="15" t="str">
        <f>IF(OR(EQ13="EQL",EQ13="EQH"),P13,"")</f>
        <v/>
      </c>
      <c r="FC13" s="15" t="str">
        <f>IF(AND(EG13="EQL",OR(AQ13=4,AQ13=5)),"IEQL",IF(AND(EG13="EQH",OR(AQ13=1,AQ13=2)),"IEQH",""))</f>
        <v/>
      </c>
      <c r="FD13" s="15" t="str">
        <f>IF(AND(EH13="EQL",OR(AR13=4,AR13=5)),"IEQL",IF(AND(EH13="EQH",OR(AR13=1,AR13=2)),"IEQH",""))</f>
        <v/>
      </c>
      <c r="FE13" s="15" t="str">
        <f>IF(AND(EI13="EQL",OR(AS13=4,AS13=5)),"IEQL",IF(AND(EI13="EQH",OR(AS13=1,AS13=2)),"IEQH",""))</f>
        <v/>
      </c>
      <c r="FF13" s="15" t="str">
        <f>IF(AND(EJ13="EQL",OR(AT13=4,AT13=5)),"IEQL",IF(AND(EJ13="EQH",OR(AT13=1,AT13=2)),"IEQH",""))</f>
        <v/>
      </c>
      <c r="FG13" s="15" t="str">
        <f>IF(AND(EK13="EQL",OR(AU13=4,AU13=5)),"IEQL",IF(AND(EK13="EQH",OR(AU13=1,AU13=2)),"IEQH",""))</f>
        <v/>
      </c>
      <c r="FH13" s="15" t="str">
        <f>IF(AND(EL13="EQL",OR(AV13=4,AV13=5)),"IEQL",IF(AND(EL13="EQH",OR(AV13=1,AV13=2)),"IEQH",""))</f>
        <v/>
      </c>
      <c r="FI13" s="15" t="str">
        <f>IF(AND(EM13="EQL",OR(AW13=4,AW13=5)),"IEQL",IF(AND(EM13="EQH",OR(AW13=1,AW13=2)),"IEQH",""))</f>
        <v/>
      </c>
      <c r="FJ13" s="15" t="str">
        <f>IF(AND(EN13="EQL",OR(AX13=4,AX13=5)),"IEQL",IF(AND(EN13="EQH",OR(AX13=1,AX13=2)),"IEQH",""))</f>
        <v/>
      </c>
      <c r="FK13" s="15" t="str">
        <f>IF(AND(EO13="EQL",OR(AY13=4,AY13=5)),"IEQL",IF(AND(EO13="EQH",OR(AY13=1,AY13=2)),"IEQH",""))</f>
        <v/>
      </c>
      <c r="FL13" s="15" t="str">
        <f>IF(AND(EP13="EQL",OR(AZ13=4,AZ13=5)),"IEQL",IF(AND(EP13="EQH",OR(AZ13=1,AZ13=2)),"IEQH",""))</f>
        <v/>
      </c>
      <c r="FM13" s="15" t="str">
        <f>IF(AND(EQ13="EQL",OR(BA13=4,BA13=5)),"IEQL",IF(AND(EQ13="EQH",OR(BA13=1,BA13=2)),"IEQH",""))</f>
        <v/>
      </c>
      <c r="FN13" s="15" t="str">
        <f>IF(OR(AND(DJ13="LL",AP13=5),AND(DJ13="HH",AP13=2)),F13,"")</f>
        <v/>
      </c>
      <c r="FO13" s="15" t="str">
        <f>IF(FN13&lt;&gt;"",F12,"")</f>
        <v/>
      </c>
    </row>
    <row r="14" spans="1:171" s="15" customFormat="1" x14ac:dyDescent="0.55000000000000004">
      <c r="A14" s="15">
        <v>1774418406</v>
      </c>
      <c r="B14" s="15" t="s">
        <v>16</v>
      </c>
      <c r="C14" s="15" t="s">
        <v>17</v>
      </c>
      <c r="D14" s="15">
        <v>4534.37</v>
      </c>
      <c r="E14" s="15" t="s">
        <v>18</v>
      </c>
      <c r="F14" s="15">
        <v>4532.82</v>
      </c>
      <c r="G14" s="15">
        <f t="shared" si="0"/>
        <v>4372.58</v>
      </c>
      <c r="H14" s="15">
        <f t="shared" si="10"/>
        <v>4351.7</v>
      </c>
      <c r="I14" s="15">
        <f t="shared" si="20"/>
        <v>4306.09</v>
      </c>
      <c r="J14" s="15">
        <f t="shared" si="30"/>
        <v>4360.47</v>
      </c>
      <c r="K14" s="15">
        <f t="shared" si="40"/>
        <v>4351.03</v>
      </c>
      <c r="L14" s="15">
        <f t="shared" ref="L14:L45" si="50">F2</f>
        <v>4098.6899999999996</v>
      </c>
      <c r="R14" s="15">
        <v>-69.48</v>
      </c>
      <c r="S14" s="15">
        <f t="shared" si="1"/>
        <v>-60.93</v>
      </c>
      <c r="T14" s="15">
        <f t="shared" si="11"/>
        <v>-90.17</v>
      </c>
      <c r="U14" s="15">
        <f t="shared" si="21"/>
        <v>-141.94999999999999</v>
      </c>
      <c r="V14" s="15">
        <f t="shared" si="31"/>
        <v>-106.65</v>
      </c>
      <c r="W14" s="15">
        <f t="shared" si="41"/>
        <v>-161.88</v>
      </c>
      <c r="X14" s="15">
        <f t="shared" ref="X14:X45" si="51">R2</f>
        <v>-636.09</v>
      </c>
      <c r="AD14" s="15">
        <v>-1.51</v>
      </c>
      <c r="AE14" s="15">
        <f t="shared" si="2"/>
        <v>-1.37</v>
      </c>
      <c r="AF14" s="15">
        <f t="shared" si="12"/>
        <v>-2.0299999999999998</v>
      </c>
      <c r="AG14" s="15">
        <f t="shared" si="22"/>
        <v>-3.19</v>
      </c>
      <c r="AH14" s="15">
        <f t="shared" si="32"/>
        <v>-2.39</v>
      </c>
      <c r="AI14" s="15">
        <f t="shared" si="42"/>
        <v>-3.59</v>
      </c>
      <c r="AJ14" s="15">
        <f t="shared" ref="AJ14:AJ45" si="52">AD2</f>
        <v>-13.43</v>
      </c>
      <c r="AP14" s="15">
        <v>3</v>
      </c>
      <c r="AQ14" s="15">
        <f t="shared" si="3"/>
        <v>3</v>
      </c>
      <c r="AR14" s="15">
        <f t="shared" si="13"/>
        <v>3</v>
      </c>
      <c r="AS14" s="15">
        <f t="shared" si="23"/>
        <v>3</v>
      </c>
      <c r="AT14" s="15">
        <f t="shared" si="33"/>
        <v>3</v>
      </c>
      <c r="AU14" s="15">
        <f t="shared" si="43"/>
        <v>3</v>
      </c>
      <c r="AV14" s="15">
        <f t="shared" ref="AV14:AV45" si="53">AP2</f>
        <v>5</v>
      </c>
      <c r="BB14" s="15">
        <v>13</v>
      </c>
      <c r="BC14" s="15">
        <f t="shared" si="4"/>
        <v>12</v>
      </c>
      <c r="BD14" s="15">
        <f t="shared" si="14"/>
        <v>12</v>
      </c>
      <c r="BE14" s="15">
        <f t="shared" si="24"/>
        <v>11</v>
      </c>
      <c r="BF14" s="15">
        <f t="shared" si="34"/>
        <v>9</v>
      </c>
      <c r="BG14" s="15">
        <f t="shared" si="44"/>
        <v>6</v>
      </c>
      <c r="BH14" s="15">
        <f t="shared" ref="BH14:BH45" si="54">BB2</f>
        <v>88</v>
      </c>
      <c r="BN14" s="15">
        <v>3</v>
      </c>
      <c r="BO14" s="15">
        <f t="shared" si="5"/>
        <v>3</v>
      </c>
      <c r="BP14" s="15">
        <f t="shared" si="15"/>
        <v>3</v>
      </c>
      <c r="BQ14" s="15">
        <f t="shared" si="25"/>
        <v>3</v>
      </c>
      <c r="BR14" s="15">
        <f t="shared" si="35"/>
        <v>3</v>
      </c>
      <c r="BS14" s="15">
        <f t="shared" si="45"/>
        <v>3</v>
      </c>
      <c r="BT14" s="15">
        <f t="shared" ref="BT14:BT45" si="55">BN2</f>
        <v>5</v>
      </c>
      <c r="BZ14" s="15">
        <v>-5.3446199999999999</v>
      </c>
      <c r="CA14" s="15">
        <f t="shared" si="6"/>
        <v>-5.0774999999999997</v>
      </c>
      <c r="CB14" s="15">
        <f t="shared" si="16"/>
        <v>-7.51417</v>
      </c>
      <c r="CC14" s="15">
        <f t="shared" si="26"/>
        <v>-12.90455</v>
      </c>
      <c r="CD14" s="15">
        <f t="shared" si="36"/>
        <v>-11.85</v>
      </c>
      <c r="CE14" s="15">
        <f t="shared" si="46"/>
        <v>-26.98</v>
      </c>
      <c r="CF14" s="15">
        <f t="shared" ref="CF14:CF45" si="56">BZ2</f>
        <v>-7.2282999999999999</v>
      </c>
      <c r="CL14" s="15">
        <v>3</v>
      </c>
      <c r="CM14" s="15">
        <f t="shared" si="7"/>
        <v>3</v>
      </c>
      <c r="CN14" s="15">
        <f t="shared" si="17"/>
        <v>3</v>
      </c>
      <c r="CO14" s="15">
        <f t="shared" si="27"/>
        <v>4</v>
      </c>
      <c r="CP14" s="15">
        <f t="shared" si="37"/>
        <v>3</v>
      </c>
      <c r="CQ14" s="15">
        <f t="shared" si="47"/>
        <v>5</v>
      </c>
      <c r="CR14" s="15">
        <f t="shared" ref="CR14:CR45" si="57">CL2</f>
        <v>3</v>
      </c>
      <c r="CX14" s="15">
        <v>-79.402299999999997</v>
      </c>
      <c r="CY14" s="15">
        <f t="shared" si="8"/>
        <v>-78.8583</v>
      </c>
      <c r="CZ14" s="15">
        <f t="shared" si="18"/>
        <v>-82.419499999999999</v>
      </c>
      <c r="DA14" s="15">
        <f t="shared" si="28"/>
        <v>-85.568899999999999</v>
      </c>
      <c r="DB14" s="15">
        <f t="shared" si="38"/>
        <v>-85.176299999999998</v>
      </c>
      <c r="DC14" s="15">
        <f t="shared" si="48"/>
        <v>-87.877300000000005</v>
      </c>
      <c r="DD14" s="15">
        <f t="shared" ref="DD14:DD45" si="58">CX2</f>
        <v>-82.123400000000004</v>
      </c>
      <c r="DJ14" s="15" t="s">
        <v>22</v>
      </c>
      <c r="DK14" s="15" t="str">
        <f t="shared" si="9"/>
        <v>HL</v>
      </c>
      <c r="DL14" s="15" t="str">
        <f t="shared" si="19"/>
        <v>HL</v>
      </c>
      <c r="DM14" s="15" t="str">
        <f t="shared" si="29"/>
        <v>LL</v>
      </c>
      <c r="DN14" s="15" t="str">
        <f t="shared" si="39"/>
        <v>HL</v>
      </c>
      <c r="DO14" s="15" t="str">
        <f t="shared" si="49"/>
        <v>HL</v>
      </c>
      <c r="DP14" s="15" t="str">
        <f t="shared" ref="DP14:DP45" si="59">DJ2</f>
        <v>LL</v>
      </c>
      <c r="DV14" s="15">
        <f>IFERROR((G14-$F14)/$F14*100,"")</f>
        <v>-3.5351061811410958</v>
      </c>
      <c r="DW14" s="15">
        <f>IFERROR((H14-$F14)/$F14*100,"")</f>
        <v>-3.9957465771859444</v>
      </c>
      <c r="DX14" s="15">
        <f>IFERROR((I14-$F14)/$F14*100,"")</f>
        <v>-5.0019634576268102</v>
      </c>
      <c r="DY14" s="15">
        <f>IFERROR((J14-$F14)/$F14*100,"")</f>
        <v>-3.802268786318439</v>
      </c>
      <c r="DZ14" s="15">
        <f>IFERROR((K14-$F14)/$F14*100,"")</f>
        <v>-4.0105276626912154</v>
      </c>
      <c r="EA14" s="15">
        <f>IFERROR((L14-$F14)/$F14*100,"")</f>
        <v>-9.5774815677657656</v>
      </c>
      <c r="EG14" s="15" t="str">
        <f>IF(DV14="","",IF(AND(ABS(DV14)&lt;=0.25,$E14="Bottom",DK14="LL"),"EQL",IF(AND(ABS(DV14)&lt;=0.25,$E14="Peak",DK14="HH"),"EQH","")))</f>
        <v/>
      </c>
      <c r="EH14" s="15" t="str">
        <f>IF(DW14="","",IF(AND(ABS(DW14)&lt;=0.25,$E14="Bottom",DL14="LL"),"EQL",IF(AND(ABS(DW14)&lt;=0.25,$E14="Peak",DL14="HH"),"EQH","")))</f>
        <v/>
      </c>
      <c r="EI14" s="15" t="str">
        <f>IF(DX14="","",IF(AND(ABS(DX14)&lt;=0.25,$E14="Bottom",DM14="LL"),"EQL",IF(AND(ABS(DX14)&lt;=0.25,$E14="Peak",DM14="HH"),"EQH","")))</f>
        <v/>
      </c>
      <c r="EJ14" s="15" t="str">
        <f>IF(DY14="","",IF(AND(ABS(DY14)&lt;=0.25,$E14="Bottom",DN14="LL"),"EQL",IF(AND(ABS(DY14)&lt;=0.25,$E14="Peak",DN14="HH"),"EQH","")))</f>
        <v/>
      </c>
      <c r="EK14" s="15" t="str">
        <f>IF(DZ14="","",IF(AND(ABS(DZ14)&lt;=0.25,$E14="Bottom",DO14="LL"),"EQL",IF(AND(ABS(DZ14)&lt;=0.25,$E14="Peak",DO14="HH"),"EQH","")))</f>
        <v/>
      </c>
      <c r="EL14" s="15" t="str">
        <f>IF(EA14="","",IF(AND(ABS(EA14)&lt;=0.25,$E14="Bottom",DP14="LL"),"EQL",IF(AND(ABS(EA14)&lt;=0.25,$E14="Peak",DP14="HH"),"EQH","")))</f>
        <v/>
      </c>
      <c r="EM14" s="15" t="str">
        <f>IF(EB14="","",IF(AND(ABS(EB14)&lt;=0.25,$E14="Bottom",DQ14="LL"),"EQL",IF(AND(ABS(EB14)&lt;=0.25,$E14="Peak",DQ14="HH"),"EQH","")))</f>
        <v/>
      </c>
      <c r="EN14" s="15" t="str">
        <f>IF(EC14="","",IF(AND(ABS(EC14)&lt;=0.25,$E14="Bottom",DR14="LL"),"EQL",IF(AND(ABS(EC14)&lt;=0.25,$E14="Peak",DR14="HH"),"EQH","")))</f>
        <v/>
      </c>
      <c r="EO14" s="15" t="str">
        <f>IF(ED14="","",IF(AND(ABS(ED14)&lt;=0.25,$E14="Bottom",DS14="LL"),"EQL",IF(AND(ABS(ED14)&lt;=0.25,$E14="Peak",DS14="HH"),"EQH","")))</f>
        <v/>
      </c>
      <c r="EP14" s="15" t="str">
        <f>IF(EE14="","",IF(AND(ABS(EE14)&lt;=0.25,$E14="Bottom",DT14="LL"),"EQL",IF(AND(ABS(EE14)&lt;=0.25,$E14="Peak",DT14="HH"),"EQH","")))</f>
        <v/>
      </c>
      <c r="EQ14" s="15" t="str">
        <f>IF(EF14="","",IF(AND(ABS(EF14)&lt;=0.25,$E14="Bottom",DU14="LL"),"EQL",IF(AND(ABS(EF14)&lt;=0.25,$E14="Peak",DU14="HH"),"EQH","")))</f>
        <v/>
      </c>
      <c r="ER14" s="15" t="str">
        <f>IF(OR(EG14="EQL",EG14="EQH"),F14,"")</f>
        <v/>
      </c>
      <c r="ES14" s="15" t="str">
        <f>IF(OR(EH14="EQL",EH14="EQH"),G14,"")</f>
        <v/>
      </c>
      <c r="ET14" s="15" t="str">
        <f>IF(OR(EI14="EQL",EI14="EQH"),H14,"")</f>
        <v/>
      </c>
      <c r="EU14" s="15" t="str">
        <f>IF(OR(EJ14="EQL",EJ14="EQH"),I14,"")</f>
        <v/>
      </c>
      <c r="EV14" s="15" t="str">
        <f>IF(OR(EK14="EQL",EK14="EQH"),J14,"")</f>
        <v/>
      </c>
      <c r="EW14" s="15" t="str">
        <f>IF(OR(EL14="EQL",EL14="EQH"),K14,"")</f>
        <v/>
      </c>
      <c r="EX14" s="15" t="str">
        <f>IF(OR(EM14="EQL",EM14="EQH"),L14,"")</f>
        <v/>
      </c>
      <c r="EY14" s="15" t="str">
        <f>IF(OR(EN14="EQL",EN14="EQH"),M14,"")</f>
        <v/>
      </c>
      <c r="EZ14" s="15" t="str">
        <f>IF(OR(EO14="EQL",EO14="EQH"),N14,"")</f>
        <v/>
      </c>
      <c r="FA14" s="15" t="str">
        <f>IF(OR(EP14="EQL",EP14="EQH"),O14,"")</f>
        <v/>
      </c>
      <c r="FB14" s="15" t="str">
        <f>IF(OR(EQ14="EQL",EQ14="EQH"),P14,"")</f>
        <v/>
      </c>
      <c r="FC14" s="15" t="str">
        <f>IF(AND(EG14="EQL",OR(AQ14=4,AQ14=5)),"IEQL",IF(AND(EG14="EQH",OR(AQ14=1,AQ14=2)),"IEQH",""))</f>
        <v/>
      </c>
      <c r="FD14" s="15" t="str">
        <f>IF(AND(EH14="EQL",OR(AR14=4,AR14=5)),"IEQL",IF(AND(EH14="EQH",OR(AR14=1,AR14=2)),"IEQH",""))</f>
        <v/>
      </c>
      <c r="FE14" s="15" t="str">
        <f>IF(AND(EI14="EQL",OR(AS14=4,AS14=5)),"IEQL",IF(AND(EI14="EQH",OR(AS14=1,AS14=2)),"IEQH",""))</f>
        <v/>
      </c>
      <c r="FF14" s="15" t="str">
        <f>IF(AND(EJ14="EQL",OR(AT14=4,AT14=5)),"IEQL",IF(AND(EJ14="EQH",OR(AT14=1,AT14=2)),"IEQH",""))</f>
        <v/>
      </c>
      <c r="FG14" s="15" t="str">
        <f>IF(AND(EK14="EQL",OR(AU14=4,AU14=5)),"IEQL",IF(AND(EK14="EQH",OR(AU14=1,AU14=2)),"IEQH",""))</f>
        <v/>
      </c>
      <c r="FH14" s="15" t="str">
        <f>IF(AND(EL14="EQL",OR(AV14=4,AV14=5)),"IEQL",IF(AND(EL14="EQH",OR(AV14=1,AV14=2)),"IEQH",""))</f>
        <v/>
      </c>
      <c r="FI14" s="15" t="str">
        <f>IF(AND(EM14="EQL",OR(AW14=4,AW14=5)),"IEQL",IF(AND(EM14="EQH",OR(AW14=1,AW14=2)),"IEQH",""))</f>
        <v/>
      </c>
      <c r="FJ14" s="15" t="str">
        <f>IF(AND(EN14="EQL",OR(AX14=4,AX14=5)),"IEQL",IF(AND(EN14="EQH",OR(AX14=1,AX14=2)),"IEQH",""))</f>
        <v/>
      </c>
      <c r="FK14" s="15" t="str">
        <f>IF(AND(EO14="EQL",OR(AY14=4,AY14=5)),"IEQL",IF(AND(EO14="EQH",OR(AY14=1,AY14=2)),"IEQH",""))</f>
        <v/>
      </c>
      <c r="FL14" s="15" t="str">
        <f>IF(AND(EP14="EQL",OR(AZ14=4,AZ14=5)),"IEQL",IF(AND(EP14="EQH",OR(AZ14=1,AZ14=2)),"IEQH",""))</f>
        <v/>
      </c>
      <c r="FM14" s="15" t="str">
        <f>IF(AND(EQ14="EQL",OR(BA14=4,BA14=5)),"IEQL",IF(AND(EQ14="EQH",OR(BA14=1,BA14=2)),"IEQH",""))</f>
        <v/>
      </c>
      <c r="FN14" s="15" t="str">
        <f>IF(OR(AND(DJ14="LL",AP14=5),AND(DJ14="HH",AP14=2)),F14,"")</f>
        <v/>
      </c>
      <c r="FO14" s="15" t="str">
        <f>IF(FN14&lt;&gt;"",F13,"")</f>
        <v/>
      </c>
    </row>
    <row r="15" spans="1:171" s="15" customFormat="1" x14ac:dyDescent="0.55000000000000004">
      <c r="A15" s="15">
        <v>1774429206</v>
      </c>
      <c r="B15" s="15" t="s">
        <v>16</v>
      </c>
      <c r="C15" s="15" t="s">
        <v>17</v>
      </c>
      <c r="D15" s="15">
        <v>4562.2299999999996</v>
      </c>
      <c r="E15" s="15" t="s">
        <v>20</v>
      </c>
      <c r="F15" s="15">
        <v>4567.7299999999996</v>
      </c>
      <c r="G15" s="15">
        <f t="shared" si="0"/>
        <v>4602.3</v>
      </c>
      <c r="H15" s="15">
        <f t="shared" si="10"/>
        <v>4433.51</v>
      </c>
      <c r="I15" s="15">
        <f t="shared" si="20"/>
        <v>4441.87</v>
      </c>
      <c r="J15" s="15">
        <f t="shared" si="30"/>
        <v>4448.04</v>
      </c>
      <c r="K15" s="15">
        <f t="shared" si="40"/>
        <v>4467.12</v>
      </c>
      <c r="L15" s="15">
        <f t="shared" si="50"/>
        <v>4512.91</v>
      </c>
      <c r="R15" s="15">
        <v>34.909999999999997</v>
      </c>
      <c r="S15" s="15">
        <f t="shared" si="1"/>
        <v>229.72</v>
      </c>
      <c r="T15" s="15">
        <f t="shared" si="11"/>
        <v>81.81</v>
      </c>
      <c r="U15" s="15">
        <f t="shared" si="21"/>
        <v>135.78</v>
      </c>
      <c r="V15" s="15">
        <f t="shared" si="31"/>
        <v>87.57</v>
      </c>
      <c r="W15" s="15">
        <f t="shared" si="41"/>
        <v>116.09</v>
      </c>
      <c r="X15" s="15">
        <f t="shared" si="51"/>
        <v>414.22</v>
      </c>
      <c r="AD15" s="15">
        <v>0.77</v>
      </c>
      <c r="AE15" s="15">
        <f t="shared" si="2"/>
        <v>5.25</v>
      </c>
      <c r="AF15" s="15">
        <f t="shared" si="12"/>
        <v>1.88</v>
      </c>
      <c r="AG15" s="15">
        <f t="shared" si="22"/>
        <v>3.15</v>
      </c>
      <c r="AH15" s="15">
        <f t="shared" si="32"/>
        <v>2.0099999999999998</v>
      </c>
      <c r="AI15" s="15">
        <f t="shared" si="42"/>
        <v>2.67</v>
      </c>
      <c r="AJ15" s="15">
        <f t="shared" si="52"/>
        <v>10.11</v>
      </c>
      <c r="AP15" s="15">
        <v>0</v>
      </c>
      <c r="AQ15" s="15">
        <f t="shared" si="3"/>
        <v>0</v>
      </c>
      <c r="AR15" s="15">
        <f t="shared" si="13"/>
        <v>0</v>
      </c>
      <c r="AS15" s="15">
        <f t="shared" si="23"/>
        <v>0</v>
      </c>
      <c r="AT15" s="15">
        <f t="shared" si="33"/>
        <v>0</v>
      </c>
      <c r="AU15" s="15">
        <f t="shared" si="43"/>
        <v>0</v>
      </c>
      <c r="AV15" s="15">
        <f t="shared" si="53"/>
        <v>2</v>
      </c>
      <c r="BB15" s="15">
        <v>12</v>
      </c>
      <c r="BC15" s="15">
        <f t="shared" si="4"/>
        <v>32</v>
      </c>
      <c r="BD15" s="15">
        <f t="shared" si="14"/>
        <v>4</v>
      </c>
      <c r="BE15" s="15">
        <f t="shared" si="24"/>
        <v>35</v>
      </c>
      <c r="BF15" s="15">
        <f t="shared" si="34"/>
        <v>5</v>
      </c>
      <c r="BG15" s="15">
        <f t="shared" si="44"/>
        <v>12</v>
      </c>
      <c r="BH15" s="15">
        <f t="shared" si="54"/>
        <v>28</v>
      </c>
      <c r="BN15" s="15">
        <v>0</v>
      </c>
      <c r="BO15" s="15">
        <f t="shared" si="5"/>
        <v>0</v>
      </c>
      <c r="BP15" s="15">
        <f t="shared" si="15"/>
        <v>0</v>
      </c>
      <c r="BQ15" s="15">
        <f t="shared" si="25"/>
        <v>0</v>
      </c>
      <c r="BR15" s="15">
        <f t="shared" si="35"/>
        <v>0</v>
      </c>
      <c r="BS15" s="15">
        <f t="shared" si="45"/>
        <v>0</v>
      </c>
      <c r="BT15" s="15">
        <f t="shared" si="55"/>
        <v>0</v>
      </c>
      <c r="BZ15" s="15">
        <v>2.90917</v>
      </c>
      <c r="CA15" s="15">
        <f t="shared" si="6"/>
        <v>7.17875</v>
      </c>
      <c r="CB15" s="15">
        <f t="shared" si="16"/>
        <v>20.452500000000001</v>
      </c>
      <c r="CC15" s="15">
        <f t="shared" si="26"/>
        <v>3.8794300000000002</v>
      </c>
      <c r="CD15" s="15">
        <f t="shared" si="36"/>
        <v>17.513999999999999</v>
      </c>
      <c r="CE15" s="15">
        <f t="shared" si="46"/>
        <v>9.6741700000000002</v>
      </c>
      <c r="CF15" s="15">
        <f t="shared" si="56"/>
        <v>14.793570000000001</v>
      </c>
      <c r="CL15" s="15">
        <v>0</v>
      </c>
      <c r="CM15" s="15">
        <f t="shared" si="7"/>
        <v>0</v>
      </c>
      <c r="CN15" s="15">
        <f t="shared" si="17"/>
        <v>2</v>
      </c>
      <c r="CO15" s="15">
        <f t="shared" si="27"/>
        <v>0</v>
      </c>
      <c r="CP15" s="15">
        <f t="shared" si="37"/>
        <v>2</v>
      </c>
      <c r="CQ15" s="15">
        <f t="shared" si="47"/>
        <v>0</v>
      </c>
      <c r="CR15" s="15">
        <f t="shared" si="57"/>
        <v>2</v>
      </c>
      <c r="CX15" s="15">
        <v>71.030100000000004</v>
      </c>
      <c r="CY15" s="15">
        <f t="shared" si="8"/>
        <v>82.069699999999997</v>
      </c>
      <c r="CZ15" s="15">
        <f t="shared" si="18"/>
        <v>87.200800000000001</v>
      </c>
      <c r="DA15" s="15">
        <f t="shared" si="28"/>
        <v>75.545500000000004</v>
      </c>
      <c r="DB15" s="15">
        <f t="shared" si="38"/>
        <v>86.732100000000003</v>
      </c>
      <c r="DC15" s="15">
        <f t="shared" si="48"/>
        <v>84.098399999999998</v>
      </c>
      <c r="DD15" s="15">
        <f t="shared" si="58"/>
        <v>86.132900000000006</v>
      </c>
      <c r="DJ15" s="15" t="s">
        <v>21</v>
      </c>
      <c r="DK15" s="15" t="str">
        <f t="shared" si="9"/>
        <v>HH</v>
      </c>
      <c r="DL15" s="15" t="str">
        <f t="shared" si="19"/>
        <v>LH</v>
      </c>
      <c r="DM15" s="15" t="str">
        <f t="shared" si="29"/>
        <v>LH</v>
      </c>
      <c r="DN15" s="15" t="str">
        <f t="shared" si="39"/>
        <v>LH</v>
      </c>
      <c r="DO15" s="15" t="str">
        <f t="shared" si="49"/>
        <v>LH</v>
      </c>
      <c r="DP15" s="15" t="str">
        <f t="shared" si="59"/>
        <v>LH</v>
      </c>
      <c r="DV15" s="15">
        <f>IFERROR((G15-$F15)/$F15*100,"")</f>
        <v>0.75683107364053093</v>
      </c>
      <c r="DW15" s="15">
        <f>IFERROR((H15-$F15)/$F15*100,"")</f>
        <v>-2.9384398815166257</v>
      </c>
      <c r="DX15" s="15">
        <f>IFERROR((I15-$F15)/$F15*100,"")</f>
        <v>-2.75541680440831</v>
      </c>
      <c r="DY15" s="15">
        <f>IFERROR((J15-$F15)/$F15*100,"")</f>
        <v>-2.6203387678343426</v>
      </c>
      <c r="DZ15" s="15">
        <f>IFERROR((K15-$F15)/$F15*100,"")</f>
        <v>-2.2026258119459707</v>
      </c>
      <c r="EA15" s="15">
        <f>IFERROR((L15-$F15)/$F15*100,"")</f>
        <v>-1.2001585032390205</v>
      </c>
      <c r="EG15" s="15" t="str">
        <f>IF(DV15="","",IF(AND(ABS(DV15)&lt;=0.25,$E15="Bottom",DK15="LL"),"EQL",IF(AND(ABS(DV15)&lt;=0.25,$E15="Peak",DK15="HH"),"EQH","")))</f>
        <v/>
      </c>
      <c r="EH15" s="15" t="str">
        <f>IF(DW15="","",IF(AND(ABS(DW15)&lt;=0.25,$E15="Bottom",DL15="LL"),"EQL",IF(AND(ABS(DW15)&lt;=0.25,$E15="Peak",DL15="HH"),"EQH","")))</f>
        <v/>
      </c>
      <c r="EI15" s="15" t="str">
        <f>IF(DX15="","",IF(AND(ABS(DX15)&lt;=0.25,$E15="Bottom",DM15="LL"),"EQL",IF(AND(ABS(DX15)&lt;=0.25,$E15="Peak",DM15="HH"),"EQH","")))</f>
        <v/>
      </c>
      <c r="EJ15" s="15" t="str">
        <f>IF(DY15="","",IF(AND(ABS(DY15)&lt;=0.25,$E15="Bottom",DN15="LL"),"EQL",IF(AND(ABS(DY15)&lt;=0.25,$E15="Peak",DN15="HH"),"EQH","")))</f>
        <v/>
      </c>
      <c r="EK15" s="15" t="str">
        <f>IF(DZ15="","",IF(AND(ABS(DZ15)&lt;=0.25,$E15="Bottom",DO15="LL"),"EQL",IF(AND(ABS(DZ15)&lt;=0.25,$E15="Peak",DO15="HH"),"EQH","")))</f>
        <v/>
      </c>
      <c r="EL15" s="15" t="str">
        <f>IF(EA15="","",IF(AND(ABS(EA15)&lt;=0.25,$E15="Bottom",DP15="LL"),"EQL",IF(AND(ABS(EA15)&lt;=0.25,$E15="Peak",DP15="HH"),"EQH","")))</f>
        <v/>
      </c>
      <c r="EM15" s="15" t="str">
        <f>IF(EB15="","",IF(AND(ABS(EB15)&lt;=0.25,$E15="Bottom",DQ15="LL"),"EQL",IF(AND(ABS(EB15)&lt;=0.25,$E15="Peak",DQ15="HH"),"EQH","")))</f>
        <v/>
      </c>
      <c r="EN15" s="15" t="str">
        <f>IF(EC15="","",IF(AND(ABS(EC15)&lt;=0.25,$E15="Bottom",DR15="LL"),"EQL",IF(AND(ABS(EC15)&lt;=0.25,$E15="Peak",DR15="HH"),"EQH","")))</f>
        <v/>
      </c>
      <c r="EO15" s="15" t="str">
        <f>IF(ED15="","",IF(AND(ABS(ED15)&lt;=0.25,$E15="Bottom",DS15="LL"),"EQL",IF(AND(ABS(ED15)&lt;=0.25,$E15="Peak",DS15="HH"),"EQH","")))</f>
        <v/>
      </c>
      <c r="EP15" s="15" t="str">
        <f>IF(EE15="","",IF(AND(ABS(EE15)&lt;=0.25,$E15="Bottom",DT15="LL"),"EQL",IF(AND(ABS(EE15)&lt;=0.25,$E15="Peak",DT15="HH"),"EQH","")))</f>
        <v/>
      </c>
      <c r="EQ15" s="15" t="str">
        <f>IF(EF15="","",IF(AND(ABS(EF15)&lt;=0.25,$E15="Bottom",DU15="LL"),"EQL",IF(AND(ABS(EF15)&lt;=0.25,$E15="Peak",DU15="HH"),"EQH","")))</f>
        <v/>
      </c>
      <c r="ER15" s="15" t="str">
        <f>IF(OR(EG15="EQL",EG15="EQH"),F15,"")</f>
        <v/>
      </c>
      <c r="ES15" s="15" t="str">
        <f>IF(OR(EH15="EQL",EH15="EQH"),G15,"")</f>
        <v/>
      </c>
      <c r="ET15" s="15" t="str">
        <f>IF(OR(EI15="EQL",EI15="EQH"),H15,"")</f>
        <v/>
      </c>
      <c r="EU15" s="15" t="str">
        <f>IF(OR(EJ15="EQL",EJ15="EQH"),I15,"")</f>
        <v/>
      </c>
      <c r="EV15" s="15" t="str">
        <f>IF(OR(EK15="EQL",EK15="EQH"),J15,"")</f>
        <v/>
      </c>
      <c r="EW15" s="15" t="str">
        <f>IF(OR(EL15="EQL",EL15="EQH"),K15,"")</f>
        <v/>
      </c>
      <c r="EX15" s="15" t="str">
        <f>IF(OR(EM15="EQL",EM15="EQH"),L15,"")</f>
        <v/>
      </c>
      <c r="EY15" s="15" t="str">
        <f>IF(OR(EN15="EQL",EN15="EQH"),M15,"")</f>
        <v/>
      </c>
      <c r="EZ15" s="15" t="str">
        <f>IF(OR(EO15="EQL",EO15="EQH"),N15,"")</f>
        <v/>
      </c>
      <c r="FA15" s="15" t="str">
        <f>IF(OR(EP15="EQL",EP15="EQH"),O15,"")</f>
        <v/>
      </c>
      <c r="FB15" s="15" t="str">
        <f>IF(OR(EQ15="EQL",EQ15="EQH"),P15,"")</f>
        <v/>
      </c>
      <c r="FC15" s="15" t="str">
        <f>IF(AND(EG15="EQL",OR(AQ15=4,AQ15=5)),"IEQL",IF(AND(EG15="EQH",OR(AQ15=1,AQ15=2)),"IEQH",""))</f>
        <v/>
      </c>
      <c r="FD15" s="15" t="str">
        <f>IF(AND(EH15="EQL",OR(AR15=4,AR15=5)),"IEQL",IF(AND(EH15="EQH",OR(AR15=1,AR15=2)),"IEQH",""))</f>
        <v/>
      </c>
      <c r="FE15" s="15" t="str">
        <f>IF(AND(EI15="EQL",OR(AS15=4,AS15=5)),"IEQL",IF(AND(EI15="EQH",OR(AS15=1,AS15=2)),"IEQH",""))</f>
        <v/>
      </c>
      <c r="FF15" s="15" t="str">
        <f>IF(AND(EJ15="EQL",OR(AT15=4,AT15=5)),"IEQL",IF(AND(EJ15="EQH",OR(AT15=1,AT15=2)),"IEQH",""))</f>
        <v/>
      </c>
      <c r="FG15" s="15" t="str">
        <f>IF(AND(EK15="EQL",OR(AU15=4,AU15=5)),"IEQL",IF(AND(EK15="EQH",OR(AU15=1,AU15=2)),"IEQH",""))</f>
        <v/>
      </c>
      <c r="FH15" s="15" t="str">
        <f>IF(AND(EL15="EQL",OR(AV15=4,AV15=5)),"IEQL",IF(AND(EL15="EQH",OR(AV15=1,AV15=2)),"IEQH",""))</f>
        <v/>
      </c>
      <c r="FI15" s="15" t="str">
        <f>IF(AND(EM15="EQL",OR(AW15=4,AW15=5)),"IEQL",IF(AND(EM15="EQH",OR(AW15=1,AW15=2)),"IEQH",""))</f>
        <v/>
      </c>
      <c r="FJ15" s="15" t="str">
        <f>IF(AND(EN15="EQL",OR(AX15=4,AX15=5)),"IEQL",IF(AND(EN15="EQH",OR(AX15=1,AX15=2)),"IEQH",""))</f>
        <v/>
      </c>
      <c r="FK15" s="15" t="str">
        <f>IF(AND(EO15="EQL",OR(AY15=4,AY15=5)),"IEQL",IF(AND(EO15="EQH",OR(AY15=1,AY15=2)),"IEQH",""))</f>
        <v/>
      </c>
      <c r="FL15" s="15" t="str">
        <f>IF(AND(EP15="EQL",OR(AZ15=4,AZ15=5)),"IEQL",IF(AND(EP15="EQH",OR(AZ15=1,AZ15=2)),"IEQH",""))</f>
        <v/>
      </c>
      <c r="FM15" s="15" t="str">
        <f>IF(AND(EQ15="EQL",OR(BA15=4,BA15=5)),"IEQL",IF(AND(EQ15="EQH",OR(BA15=1,BA15=2)),"IEQH",""))</f>
        <v/>
      </c>
      <c r="FN15" s="15" t="str">
        <f>IF(OR(AND(DJ15="LL",AP15=5),AND(DJ15="HH",AP15=2)),F15,"")</f>
        <v/>
      </c>
      <c r="FO15" s="15" t="str">
        <f>IF(FN15&lt;&gt;"",F14,"")</f>
        <v/>
      </c>
    </row>
    <row r="16" spans="1:171" s="15" customFormat="1" x14ac:dyDescent="0.55000000000000004">
      <c r="A16" s="15">
        <v>1774431906</v>
      </c>
      <c r="B16" s="15" t="s">
        <v>16</v>
      </c>
      <c r="C16" s="15" t="s">
        <v>17</v>
      </c>
      <c r="D16" s="15">
        <v>4551.67</v>
      </c>
      <c r="E16" s="15" t="s">
        <v>18</v>
      </c>
      <c r="F16" s="15">
        <v>4527.99</v>
      </c>
      <c r="G16" s="15">
        <f t="shared" si="0"/>
        <v>4532.82</v>
      </c>
      <c r="H16" s="15">
        <f t="shared" si="10"/>
        <v>4372.58</v>
      </c>
      <c r="I16" s="15">
        <f t="shared" si="20"/>
        <v>4351.7</v>
      </c>
      <c r="J16" s="15">
        <f t="shared" si="30"/>
        <v>4306.09</v>
      </c>
      <c r="K16" s="15">
        <f t="shared" si="40"/>
        <v>4360.47</v>
      </c>
      <c r="L16" s="15">
        <f t="shared" si="50"/>
        <v>4351.03</v>
      </c>
      <c r="M16" s="15">
        <f t="shared" ref="M16:M47" si="60">F2</f>
        <v>4098.6899999999996</v>
      </c>
      <c r="R16" s="15">
        <v>-39.74</v>
      </c>
      <c r="S16" s="15">
        <f t="shared" si="1"/>
        <v>-69.48</v>
      </c>
      <c r="T16" s="15">
        <f t="shared" si="11"/>
        <v>-60.93</v>
      </c>
      <c r="U16" s="15">
        <f t="shared" si="21"/>
        <v>-90.17</v>
      </c>
      <c r="V16" s="15">
        <f t="shared" si="31"/>
        <v>-141.94999999999999</v>
      </c>
      <c r="W16" s="15">
        <f t="shared" si="41"/>
        <v>-106.65</v>
      </c>
      <c r="X16" s="15">
        <f t="shared" si="51"/>
        <v>-161.88</v>
      </c>
      <c r="Y16" s="15">
        <f t="shared" ref="Y16:Y47" si="61">R2</f>
        <v>-636.09</v>
      </c>
      <c r="AD16" s="15">
        <v>-0.87</v>
      </c>
      <c r="AE16" s="15">
        <f t="shared" si="2"/>
        <v>-1.51</v>
      </c>
      <c r="AF16" s="15">
        <f t="shared" si="12"/>
        <v>-1.37</v>
      </c>
      <c r="AG16" s="15">
        <f t="shared" si="22"/>
        <v>-2.0299999999999998</v>
      </c>
      <c r="AH16" s="15">
        <f t="shared" si="32"/>
        <v>-3.19</v>
      </c>
      <c r="AI16" s="15">
        <f t="shared" si="42"/>
        <v>-2.39</v>
      </c>
      <c r="AJ16" s="15">
        <f t="shared" si="52"/>
        <v>-3.59</v>
      </c>
      <c r="AK16" s="15">
        <f t="shared" ref="AK16:AK47" si="62">AD2</f>
        <v>-13.43</v>
      </c>
      <c r="AP16" s="15">
        <v>3</v>
      </c>
      <c r="AQ16" s="15">
        <f t="shared" si="3"/>
        <v>3</v>
      </c>
      <c r="AR16" s="15">
        <f t="shared" si="13"/>
        <v>3</v>
      </c>
      <c r="AS16" s="15">
        <f t="shared" si="23"/>
        <v>3</v>
      </c>
      <c r="AT16" s="15">
        <f t="shared" si="33"/>
        <v>3</v>
      </c>
      <c r="AU16" s="15">
        <f t="shared" si="43"/>
        <v>3</v>
      </c>
      <c r="AV16" s="15">
        <f t="shared" si="53"/>
        <v>3</v>
      </c>
      <c r="AW16" s="15">
        <f t="shared" ref="AW16:AW47" si="63">AP2</f>
        <v>5</v>
      </c>
      <c r="BB16" s="15">
        <v>3</v>
      </c>
      <c r="BC16" s="15">
        <f t="shared" si="4"/>
        <v>13</v>
      </c>
      <c r="BD16" s="15">
        <f t="shared" si="14"/>
        <v>12</v>
      </c>
      <c r="BE16" s="15">
        <f t="shared" si="24"/>
        <v>12</v>
      </c>
      <c r="BF16" s="15">
        <f t="shared" si="34"/>
        <v>11</v>
      </c>
      <c r="BG16" s="15">
        <f t="shared" si="44"/>
        <v>9</v>
      </c>
      <c r="BH16" s="15">
        <f t="shared" si="54"/>
        <v>6</v>
      </c>
      <c r="BI16" s="15">
        <f t="shared" ref="BI16:BI47" si="64">BB2</f>
        <v>88</v>
      </c>
      <c r="BN16" s="15">
        <v>3</v>
      </c>
      <c r="BO16" s="15">
        <f t="shared" si="5"/>
        <v>3</v>
      </c>
      <c r="BP16" s="15">
        <f t="shared" si="15"/>
        <v>3</v>
      </c>
      <c r="BQ16" s="15">
        <f t="shared" si="25"/>
        <v>3</v>
      </c>
      <c r="BR16" s="15">
        <f t="shared" si="35"/>
        <v>3</v>
      </c>
      <c r="BS16" s="15">
        <f t="shared" si="45"/>
        <v>3</v>
      </c>
      <c r="BT16" s="15">
        <f t="shared" si="55"/>
        <v>3</v>
      </c>
      <c r="BU16" s="15">
        <f t="shared" ref="BU16:BU47" si="65">BN2</f>
        <v>5</v>
      </c>
      <c r="BZ16" s="15">
        <v>-13.24667</v>
      </c>
      <c r="CA16" s="15">
        <f t="shared" si="6"/>
        <v>-5.3446199999999999</v>
      </c>
      <c r="CB16" s="15">
        <f t="shared" si="16"/>
        <v>-5.0774999999999997</v>
      </c>
      <c r="CC16" s="15">
        <f t="shared" si="26"/>
        <v>-7.51417</v>
      </c>
      <c r="CD16" s="15">
        <f t="shared" si="36"/>
        <v>-12.90455</v>
      </c>
      <c r="CE16" s="15">
        <f t="shared" si="46"/>
        <v>-11.85</v>
      </c>
      <c r="CF16" s="15">
        <f t="shared" si="56"/>
        <v>-26.98</v>
      </c>
      <c r="CG16" s="15">
        <f t="shared" ref="CG16:CG47" si="66">BZ2</f>
        <v>-7.2282999999999999</v>
      </c>
      <c r="CL16" s="15">
        <v>3</v>
      </c>
      <c r="CM16" s="15">
        <f t="shared" si="7"/>
        <v>3</v>
      </c>
      <c r="CN16" s="15">
        <f t="shared" si="17"/>
        <v>3</v>
      </c>
      <c r="CO16" s="15">
        <f t="shared" si="27"/>
        <v>3</v>
      </c>
      <c r="CP16" s="15">
        <f t="shared" si="37"/>
        <v>4</v>
      </c>
      <c r="CQ16" s="15">
        <f t="shared" si="47"/>
        <v>3</v>
      </c>
      <c r="CR16" s="15">
        <f t="shared" si="57"/>
        <v>5</v>
      </c>
      <c r="CS16" s="15">
        <f t="shared" ref="CS16:CS47" si="67">CL2</f>
        <v>3</v>
      </c>
      <c r="CX16" s="15">
        <v>-85.682900000000004</v>
      </c>
      <c r="CY16" s="15">
        <f t="shared" si="8"/>
        <v>-79.402299999999997</v>
      </c>
      <c r="CZ16" s="15">
        <f t="shared" si="18"/>
        <v>-78.8583</v>
      </c>
      <c r="DA16" s="15">
        <f t="shared" si="28"/>
        <v>-82.419499999999999</v>
      </c>
      <c r="DB16" s="15">
        <f t="shared" si="38"/>
        <v>-85.568899999999999</v>
      </c>
      <c r="DC16" s="15">
        <f t="shared" si="48"/>
        <v>-85.176299999999998</v>
      </c>
      <c r="DD16" s="15">
        <f t="shared" si="58"/>
        <v>-87.877300000000005</v>
      </c>
      <c r="DE16" s="15">
        <f t="shared" ref="DE16:DE47" si="68">CX2</f>
        <v>-82.123400000000004</v>
      </c>
      <c r="DJ16" s="15" t="s">
        <v>19</v>
      </c>
      <c r="DK16" s="15" t="str">
        <f t="shared" si="9"/>
        <v>HL</v>
      </c>
      <c r="DL16" s="15" t="str">
        <f t="shared" si="19"/>
        <v>HL</v>
      </c>
      <c r="DM16" s="15" t="str">
        <f t="shared" si="29"/>
        <v>HL</v>
      </c>
      <c r="DN16" s="15" t="str">
        <f t="shared" si="39"/>
        <v>LL</v>
      </c>
      <c r="DO16" s="15" t="str">
        <f t="shared" si="49"/>
        <v>HL</v>
      </c>
      <c r="DP16" s="15" t="str">
        <f t="shared" si="59"/>
        <v>HL</v>
      </c>
      <c r="DQ16" s="15" t="str">
        <f t="shared" ref="DQ16:DQ47" si="69">DJ2</f>
        <v>LL</v>
      </c>
      <c r="DV16" s="15">
        <f>IFERROR((G16-$F16)/$F16*100,"")</f>
        <v>0.10666984688570266</v>
      </c>
      <c r="DW16" s="15">
        <f>IFERROR((H16-$F16)/$F16*100,"")</f>
        <v>-3.4322072266060628</v>
      </c>
      <c r="DX16" s="15">
        <f>IFERROR((I16-$F16)/$F16*100,"")</f>
        <v>-3.8933389870560662</v>
      </c>
      <c r="DY16" s="15">
        <f>IFERROR((J16-$F16)/$F16*100,"")</f>
        <v>-4.9006291975026368</v>
      </c>
      <c r="DZ16" s="15">
        <f>IFERROR((K16-$F16)/$F16*100,"")</f>
        <v>-3.6996548137252852</v>
      </c>
      <c r="EA16" s="15">
        <f>IFERROR((L16-$F16)/$F16*100,"")</f>
        <v>-3.9081358395226147</v>
      </c>
      <c r="EB16" s="15">
        <f>IFERROR((M16-$F16)/$F16*100,"")</f>
        <v>-9.4810280058039034</v>
      </c>
      <c r="EG16" s="15" t="str">
        <f>IF(DV16="","",IF(AND(ABS(DV16)&lt;=0.25,$E16="Bottom",DK16="LL"),"EQL",IF(AND(ABS(DV16)&lt;=0.25,$E16="Peak",DK16="HH"),"EQH","")))</f>
        <v/>
      </c>
      <c r="EH16" s="15" t="str">
        <f>IF(DW16="","",IF(AND(ABS(DW16)&lt;=0.25,$E16="Bottom",DL16="LL"),"EQL",IF(AND(ABS(DW16)&lt;=0.25,$E16="Peak",DL16="HH"),"EQH","")))</f>
        <v/>
      </c>
      <c r="EI16" s="15" t="str">
        <f>IF(DX16="","",IF(AND(ABS(DX16)&lt;=0.25,$E16="Bottom",DM16="LL"),"EQL",IF(AND(ABS(DX16)&lt;=0.25,$E16="Peak",DM16="HH"),"EQH","")))</f>
        <v/>
      </c>
      <c r="EJ16" s="15" t="str">
        <f>IF(DY16="","",IF(AND(ABS(DY16)&lt;=0.25,$E16="Bottom",DN16="LL"),"EQL",IF(AND(ABS(DY16)&lt;=0.25,$E16="Peak",DN16="HH"),"EQH","")))</f>
        <v/>
      </c>
      <c r="EK16" s="15" t="str">
        <f>IF(DZ16="","",IF(AND(ABS(DZ16)&lt;=0.25,$E16="Bottom",DO16="LL"),"EQL",IF(AND(ABS(DZ16)&lt;=0.25,$E16="Peak",DO16="HH"),"EQH","")))</f>
        <v/>
      </c>
      <c r="EL16" s="15" t="str">
        <f>IF(EA16="","",IF(AND(ABS(EA16)&lt;=0.25,$E16="Bottom",DP16="LL"),"EQL",IF(AND(ABS(EA16)&lt;=0.25,$E16="Peak",DP16="HH"),"EQH","")))</f>
        <v/>
      </c>
      <c r="EM16" s="15" t="str">
        <f>IF(EB16="","",IF(AND(ABS(EB16)&lt;=0.25,$E16="Bottom",DQ16="LL"),"EQL",IF(AND(ABS(EB16)&lt;=0.25,$E16="Peak",DQ16="HH"),"EQH","")))</f>
        <v/>
      </c>
      <c r="EN16" s="15" t="str">
        <f>IF(EC16="","",IF(AND(ABS(EC16)&lt;=0.25,$E16="Bottom",DR16="LL"),"EQL",IF(AND(ABS(EC16)&lt;=0.25,$E16="Peak",DR16="HH"),"EQH","")))</f>
        <v/>
      </c>
      <c r="EO16" s="15" t="str">
        <f>IF(ED16="","",IF(AND(ABS(ED16)&lt;=0.25,$E16="Bottom",DS16="LL"),"EQL",IF(AND(ABS(ED16)&lt;=0.25,$E16="Peak",DS16="HH"),"EQH","")))</f>
        <v/>
      </c>
      <c r="EP16" s="15" t="str">
        <f>IF(EE16="","",IF(AND(ABS(EE16)&lt;=0.25,$E16="Bottom",DT16="LL"),"EQL",IF(AND(ABS(EE16)&lt;=0.25,$E16="Peak",DT16="HH"),"EQH","")))</f>
        <v/>
      </c>
      <c r="EQ16" s="15" t="str">
        <f>IF(EF16="","",IF(AND(ABS(EF16)&lt;=0.25,$E16="Bottom",DU16="LL"),"EQL",IF(AND(ABS(EF16)&lt;=0.25,$E16="Peak",DU16="HH"),"EQH","")))</f>
        <v/>
      </c>
      <c r="ER16" s="15" t="str">
        <f>IF(OR(EG16="EQL",EG16="EQH"),F16,"")</f>
        <v/>
      </c>
      <c r="ES16" s="15" t="str">
        <f>IF(OR(EH16="EQL",EH16="EQH"),G16,"")</f>
        <v/>
      </c>
      <c r="ET16" s="15" t="str">
        <f>IF(OR(EI16="EQL",EI16="EQH"),H16,"")</f>
        <v/>
      </c>
      <c r="EU16" s="15" t="str">
        <f>IF(OR(EJ16="EQL",EJ16="EQH"),I16,"")</f>
        <v/>
      </c>
      <c r="EV16" s="15" t="str">
        <f>IF(OR(EK16="EQL",EK16="EQH"),J16,"")</f>
        <v/>
      </c>
      <c r="EW16" s="15" t="str">
        <f>IF(OR(EL16="EQL",EL16="EQH"),K16,"")</f>
        <v/>
      </c>
      <c r="EX16" s="15" t="str">
        <f>IF(OR(EM16="EQL",EM16="EQH"),L16,"")</f>
        <v/>
      </c>
      <c r="EY16" s="15" t="str">
        <f>IF(OR(EN16="EQL",EN16="EQH"),M16,"")</f>
        <v/>
      </c>
      <c r="EZ16" s="15" t="str">
        <f>IF(OR(EO16="EQL",EO16="EQH"),N16,"")</f>
        <v/>
      </c>
      <c r="FA16" s="15" t="str">
        <f>IF(OR(EP16="EQL",EP16="EQH"),O16,"")</f>
        <v/>
      </c>
      <c r="FB16" s="15" t="str">
        <f>IF(OR(EQ16="EQL",EQ16="EQH"),P16,"")</f>
        <v/>
      </c>
      <c r="FC16" s="15" t="str">
        <f>IF(AND(EG16="EQL",OR(AQ16=4,AQ16=5)),"IEQL",IF(AND(EG16="EQH",OR(AQ16=1,AQ16=2)),"IEQH",""))</f>
        <v/>
      </c>
      <c r="FD16" s="15" t="str">
        <f>IF(AND(EH16="EQL",OR(AR16=4,AR16=5)),"IEQL",IF(AND(EH16="EQH",OR(AR16=1,AR16=2)),"IEQH",""))</f>
        <v/>
      </c>
      <c r="FE16" s="15" t="str">
        <f>IF(AND(EI16="EQL",OR(AS16=4,AS16=5)),"IEQL",IF(AND(EI16="EQH",OR(AS16=1,AS16=2)),"IEQH",""))</f>
        <v/>
      </c>
      <c r="FF16" s="15" t="str">
        <f>IF(AND(EJ16="EQL",OR(AT16=4,AT16=5)),"IEQL",IF(AND(EJ16="EQH",OR(AT16=1,AT16=2)),"IEQH",""))</f>
        <v/>
      </c>
      <c r="FG16" s="15" t="str">
        <f>IF(AND(EK16="EQL",OR(AU16=4,AU16=5)),"IEQL",IF(AND(EK16="EQH",OR(AU16=1,AU16=2)),"IEQH",""))</f>
        <v/>
      </c>
      <c r="FH16" s="15" t="str">
        <f>IF(AND(EL16="EQL",OR(AV16=4,AV16=5)),"IEQL",IF(AND(EL16="EQH",OR(AV16=1,AV16=2)),"IEQH",""))</f>
        <v/>
      </c>
      <c r="FI16" s="15" t="str">
        <f>IF(AND(EM16="EQL",OR(AW16=4,AW16=5)),"IEQL",IF(AND(EM16="EQH",OR(AW16=1,AW16=2)),"IEQH",""))</f>
        <v/>
      </c>
      <c r="FJ16" s="15" t="str">
        <f>IF(AND(EN16="EQL",OR(AX16=4,AX16=5)),"IEQL",IF(AND(EN16="EQH",OR(AX16=1,AX16=2)),"IEQH",""))</f>
        <v/>
      </c>
      <c r="FK16" s="15" t="str">
        <f>IF(AND(EO16="EQL",OR(AY16=4,AY16=5)),"IEQL",IF(AND(EO16="EQH",OR(AY16=1,AY16=2)),"IEQH",""))</f>
        <v/>
      </c>
      <c r="FL16" s="15" t="str">
        <f>IF(AND(EP16="EQL",OR(AZ16=4,AZ16=5)),"IEQL",IF(AND(EP16="EQH",OR(AZ16=1,AZ16=2)),"IEQH",""))</f>
        <v/>
      </c>
      <c r="FM16" s="15" t="str">
        <f>IF(AND(EQ16="EQL",OR(BA16=4,BA16=5)),"IEQL",IF(AND(EQ16="EQH",OR(BA16=1,BA16=2)),"IEQH",""))</f>
        <v/>
      </c>
      <c r="FN16" s="15" t="str">
        <f>IF(OR(AND(DJ16="LL",AP16=5),AND(DJ16="HH",AP16=2)),F16,"")</f>
        <v/>
      </c>
      <c r="FO16" s="15" t="str">
        <f>IF(FN16&lt;&gt;"",F15,"")</f>
        <v/>
      </c>
    </row>
    <row r="17" spans="1:171" s="15" customFormat="1" x14ac:dyDescent="0.55000000000000004">
      <c r="A17" s="15">
        <v>1774438206</v>
      </c>
      <c r="B17" s="15" t="s">
        <v>16</v>
      </c>
      <c r="C17" s="15" t="s">
        <v>17</v>
      </c>
      <c r="D17" s="15">
        <v>4583.78</v>
      </c>
      <c r="E17" s="15" t="s">
        <v>20</v>
      </c>
      <c r="F17" s="15">
        <v>4585.51</v>
      </c>
      <c r="G17" s="15">
        <f t="shared" si="0"/>
        <v>4567.7299999999996</v>
      </c>
      <c r="H17" s="15">
        <f t="shared" si="10"/>
        <v>4602.3</v>
      </c>
      <c r="I17" s="15">
        <f t="shared" si="20"/>
        <v>4433.51</v>
      </c>
      <c r="J17" s="15">
        <f t="shared" si="30"/>
        <v>4441.87</v>
      </c>
      <c r="K17" s="15">
        <f t="shared" si="40"/>
        <v>4448.04</v>
      </c>
      <c r="L17" s="15">
        <f t="shared" si="50"/>
        <v>4467.12</v>
      </c>
      <c r="M17" s="15">
        <f t="shared" si="60"/>
        <v>4512.91</v>
      </c>
      <c r="R17" s="15">
        <v>57.52</v>
      </c>
      <c r="S17" s="15">
        <f t="shared" si="1"/>
        <v>34.909999999999997</v>
      </c>
      <c r="T17" s="15">
        <f t="shared" si="11"/>
        <v>229.72</v>
      </c>
      <c r="U17" s="15">
        <f t="shared" si="21"/>
        <v>81.81</v>
      </c>
      <c r="V17" s="15">
        <f t="shared" si="31"/>
        <v>135.78</v>
      </c>
      <c r="W17" s="15">
        <f t="shared" si="41"/>
        <v>87.57</v>
      </c>
      <c r="X17" s="15">
        <f t="shared" si="51"/>
        <v>116.09</v>
      </c>
      <c r="Y17" s="15">
        <f t="shared" si="61"/>
        <v>414.22</v>
      </c>
      <c r="AD17" s="15">
        <v>1.27</v>
      </c>
      <c r="AE17" s="15">
        <f t="shared" si="2"/>
        <v>0.77</v>
      </c>
      <c r="AF17" s="15">
        <f t="shared" si="12"/>
        <v>5.25</v>
      </c>
      <c r="AG17" s="15">
        <f t="shared" si="22"/>
        <v>1.88</v>
      </c>
      <c r="AH17" s="15">
        <f t="shared" si="32"/>
        <v>3.15</v>
      </c>
      <c r="AI17" s="15">
        <f t="shared" si="42"/>
        <v>2.0099999999999998</v>
      </c>
      <c r="AJ17" s="15">
        <f t="shared" si="52"/>
        <v>2.67</v>
      </c>
      <c r="AK17" s="15">
        <f t="shared" si="62"/>
        <v>10.11</v>
      </c>
      <c r="AP17" s="15">
        <v>0</v>
      </c>
      <c r="AQ17" s="15">
        <f t="shared" si="3"/>
        <v>0</v>
      </c>
      <c r="AR17" s="15">
        <f t="shared" si="13"/>
        <v>0</v>
      </c>
      <c r="AS17" s="15">
        <f t="shared" si="23"/>
        <v>0</v>
      </c>
      <c r="AT17" s="15">
        <f t="shared" si="33"/>
        <v>0</v>
      </c>
      <c r="AU17" s="15">
        <f t="shared" si="43"/>
        <v>0</v>
      </c>
      <c r="AV17" s="15">
        <f t="shared" si="53"/>
        <v>0</v>
      </c>
      <c r="AW17" s="15">
        <f t="shared" si="63"/>
        <v>2</v>
      </c>
      <c r="BB17" s="15">
        <v>7</v>
      </c>
      <c r="BC17" s="15">
        <f t="shared" si="4"/>
        <v>12</v>
      </c>
      <c r="BD17" s="15">
        <f t="shared" si="14"/>
        <v>32</v>
      </c>
      <c r="BE17" s="15">
        <f t="shared" si="24"/>
        <v>4</v>
      </c>
      <c r="BF17" s="15">
        <f t="shared" si="34"/>
        <v>35</v>
      </c>
      <c r="BG17" s="15">
        <f t="shared" si="44"/>
        <v>5</v>
      </c>
      <c r="BH17" s="15">
        <f t="shared" si="54"/>
        <v>12</v>
      </c>
      <c r="BI17" s="15">
        <f t="shared" si="64"/>
        <v>28</v>
      </c>
      <c r="BN17" s="15">
        <v>0</v>
      </c>
      <c r="BO17" s="15">
        <f t="shared" si="5"/>
        <v>0</v>
      </c>
      <c r="BP17" s="15">
        <f t="shared" si="15"/>
        <v>0</v>
      </c>
      <c r="BQ17" s="15">
        <f t="shared" si="25"/>
        <v>0</v>
      </c>
      <c r="BR17" s="15">
        <f t="shared" si="35"/>
        <v>0</v>
      </c>
      <c r="BS17" s="15">
        <f t="shared" si="45"/>
        <v>0</v>
      </c>
      <c r="BT17" s="15">
        <f t="shared" si="55"/>
        <v>0</v>
      </c>
      <c r="BU17" s="15">
        <f t="shared" si="65"/>
        <v>0</v>
      </c>
      <c r="BZ17" s="15">
        <v>8.2171400000000006</v>
      </c>
      <c r="CA17" s="15">
        <f t="shared" si="6"/>
        <v>2.90917</v>
      </c>
      <c r="CB17" s="15">
        <f t="shared" si="16"/>
        <v>7.17875</v>
      </c>
      <c r="CC17" s="15">
        <f t="shared" si="26"/>
        <v>20.452500000000001</v>
      </c>
      <c r="CD17" s="15">
        <f t="shared" si="36"/>
        <v>3.8794300000000002</v>
      </c>
      <c r="CE17" s="15">
        <f t="shared" si="46"/>
        <v>17.513999999999999</v>
      </c>
      <c r="CF17" s="15">
        <f t="shared" si="56"/>
        <v>9.6741700000000002</v>
      </c>
      <c r="CG17" s="15">
        <f t="shared" si="66"/>
        <v>14.793570000000001</v>
      </c>
      <c r="CL17" s="15">
        <v>0</v>
      </c>
      <c r="CM17" s="15">
        <f t="shared" si="7"/>
        <v>0</v>
      </c>
      <c r="CN17" s="15">
        <f t="shared" si="17"/>
        <v>0</v>
      </c>
      <c r="CO17" s="15">
        <f t="shared" si="27"/>
        <v>2</v>
      </c>
      <c r="CP17" s="15">
        <f t="shared" si="37"/>
        <v>0</v>
      </c>
      <c r="CQ17" s="15">
        <f t="shared" si="47"/>
        <v>2</v>
      </c>
      <c r="CR17" s="15">
        <f t="shared" si="57"/>
        <v>0</v>
      </c>
      <c r="CS17" s="15">
        <f t="shared" si="67"/>
        <v>2</v>
      </c>
      <c r="CX17" s="15">
        <v>83.061400000000006</v>
      </c>
      <c r="CY17" s="15">
        <f t="shared" si="8"/>
        <v>71.030100000000004</v>
      </c>
      <c r="CZ17" s="15">
        <f t="shared" si="18"/>
        <v>82.069699999999997</v>
      </c>
      <c r="DA17" s="15">
        <f t="shared" si="28"/>
        <v>87.200800000000001</v>
      </c>
      <c r="DB17" s="15">
        <f t="shared" si="38"/>
        <v>75.545500000000004</v>
      </c>
      <c r="DC17" s="15">
        <f t="shared" si="48"/>
        <v>86.732100000000003</v>
      </c>
      <c r="DD17" s="15">
        <f t="shared" si="58"/>
        <v>84.098399999999998</v>
      </c>
      <c r="DE17" s="15">
        <f t="shared" si="68"/>
        <v>86.132900000000006</v>
      </c>
      <c r="DJ17" s="15" t="s">
        <v>23</v>
      </c>
      <c r="DK17" s="15" t="str">
        <f t="shared" si="9"/>
        <v>LH</v>
      </c>
      <c r="DL17" s="15" t="str">
        <f t="shared" si="19"/>
        <v>HH</v>
      </c>
      <c r="DM17" s="15" t="str">
        <f t="shared" si="29"/>
        <v>LH</v>
      </c>
      <c r="DN17" s="15" t="str">
        <f t="shared" si="39"/>
        <v>LH</v>
      </c>
      <c r="DO17" s="15" t="str">
        <f t="shared" si="49"/>
        <v>LH</v>
      </c>
      <c r="DP17" s="15" t="str">
        <f t="shared" si="59"/>
        <v>LH</v>
      </c>
      <c r="DQ17" s="15" t="str">
        <f t="shared" si="69"/>
        <v>LH</v>
      </c>
      <c r="DV17" s="15">
        <f>IFERROR((G17-$F17)/$F17*100,"")</f>
        <v>-0.38774312998991728</v>
      </c>
      <c r="DW17" s="15">
        <f>IFERROR((H17-$F17)/$F17*100,"")</f>
        <v>0.36615338315694357</v>
      </c>
      <c r="DX17" s="15">
        <f>IFERROR((I17-$F17)/$F17*100,"")</f>
        <v>-3.3147894127370785</v>
      </c>
      <c r="DY17" s="15">
        <f>IFERROR((J17-$F17)/$F17*100,"")</f>
        <v>-3.1324759950365459</v>
      </c>
      <c r="DZ17" s="15">
        <f>IFERROR((K17-$F17)/$F17*100,"")</f>
        <v>-2.9979217142695194</v>
      </c>
      <c r="EA17" s="15">
        <f>IFERROR((L17-$F17)/$F17*100,"")</f>
        <v>-2.5818284116706827</v>
      </c>
      <c r="EB17" s="15">
        <f>IFERROR((M17-$F17)/$F17*100,"")</f>
        <v>-1.5832481010836386</v>
      </c>
      <c r="EG17" s="15" t="str">
        <f>IF(DV17="","",IF(AND(ABS(DV17)&lt;=0.25,$E17="Bottom",DK17="LL"),"EQL",IF(AND(ABS(DV17)&lt;=0.25,$E17="Peak",DK17="HH"),"EQH","")))</f>
        <v/>
      </c>
      <c r="EH17" s="15" t="str">
        <f>IF(DW17="","",IF(AND(ABS(DW17)&lt;=0.25,$E17="Bottom",DL17="LL"),"EQL",IF(AND(ABS(DW17)&lt;=0.25,$E17="Peak",DL17="HH"),"EQH","")))</f>
        <v/>
      </c>
      <c r="EI17" s="15" t="str">
        <f>IF(DX17="","",IF(AND(ABS(DX17)&lt;=0.25,$E17="Bottom",DM17="LL"),"EQL",IF(AND(ABS(DX17)&lt;=0.25,$E17="Peak",DM17="HH"),"EQH","")))</f>
        <v/>
      </c>
      <c r="EJ17" s="15" t="str">
        <f>IF(DY17="","",IF(AND(ABS(DY17)&lt;=0.25,$E17="Bottom",DN17="LL"),"EQL",IF(AND(ABS(DY17)&lt;=0.25,$E17="Peak",DN17="HH"),"EQH","")))</f>
        <v/>
      </c>
      <c r="EK17" s="15" t="str">
        <f>IF(DZ17="","",IF(AND(ABS(DZ17)&lt;=0.25,$E17="Bottom",DO17="LL"),"EQL",IF(AND(ABS(DZ17)&lt;=0.25,$E17="Peak",DO17="HH"),"EQH","")))</f>
        <v/>
      </c>
      <c r="EL17" s="15" t="str">
        <f>IF(EA17="","",IF(AND(ABS(EA17)&lt;=0.25,$E17="Bottom",DP17="LL"),"EQL",IF(AND(ABS(EA17)&lt;=0.25,$E17="Peak",DP17="HH"),"EQH","")))</f>
        <v/>
      </c>
      <c r="EM17" s="15" t="str">
        <f>IF(EB17="","",IF(AND(ABS(EB17)&lt;=0.25,$E17="Bottom",DQ17="LL"),"EQL",IF(AND(ABS(EB17)&lt;=0.25,$E17="Peak",DQ17="HH"),"EQH","")))</f>
        <v/>
      </c>
      <c r="EN17" s="15" t="str">
        <f>IF(EC17="","",IF(AND(ABS(EC17)&lt;=0.25,$E17="Bottom",DR17="LL"),"EQL",IF(AND(ABS(EC17)&lt;=0.25,$E17="Peak",DR17="HH"),"EQH","")))</f>
        <v/>
      </c>
      <c r="EO17" s="15" t="str">
        <f>IF(ED17="","",IF(AND(ABS(ED17)&lt;=0.25,$E17="Bottom",DS17="LL"),"EQL",IF(AND(ABS(ED17)&lt;=0.25,$E17="Peak",DS17="HH"),"EQH","")))</f>
        <v/>
      </c>
      <c r="EP17" s="15" t="str">
        <f>IF(EE17="","",IF(AND(ABS(EE17)&lt;=0.25,$E17="Bottom",DT17="LL"),"EQL",IF(AND(ABS(EE17)&lt;=0.25,$E17="Peak",DT17="HH"),"EQH","")))</f>
        <v/>
      </c>
      <c r="EQ17" s="15" t="str">
        <f>IF(EF17="","",IF(AND(ABS(EF17)&lt;=0.25,$E17="Bottom",DU17="LL"),"EQL",IF(AND(ABS(EF17)&lt;=0.25,$E17="Peak",DU17="HH"),"EQH","")))</f>
        <v/>
      </c>
      <c r="ER17" s="15" t="str">
        <f>IF(OR(EG17="EQL",EG17="EQH"),F17,"")</f>
        <v/>
      </c>
      <c r="ES17" s="15" t="str">
        <f>IF(OR(EH17="EQL",EH17="EQH"),G17,"")</f>
        <v/>
      </c>
      <c r="ET17" s="15" t="str">
        <f>IF(OR(EI17="EQL",EI17="EQH"),H17,"")</f>
        <v/>
      </c>
      <c r="EU17" s="15" t="str">
        <f>IF(OR(EJ17="EQL",EJ17="EQH"),I17,"")</f>
        <v/>
      </c>
      <c r="EV17" s="15" t="str">
        <f>IF(OR(EK17="EQL",EK17="EQH"),J17,"")</f>
        <v/>
      </c>
      <c r="EW17" s="15" t="str">
        <f>IF(OR(EL17="EQL",EL17="EQH"),K17,"")</f>
        <v/>
      </c>
      <c r="EX17" s="15" t="str">
        <f>IF(OR(EM17="EQL",EM17="EQH"),L17,"")</f>
        <v/>
      </c>
      <c r="EY17" s="15" t="str">
        <f>IF(OR(EN17="EQL",EN17="EQH"),M17,"")</f>
        <v/>
      </c>
      <c r="EZ17" s="15" t="str">
        <f>IF(OR(EO17="EQL",EO17="EQH"),N17,"")</f>
        <v/>
      </c>
      <c r="FA17" s="15" t="str">
        <f>IF(OR(EP17="EQL",EP17="EQH"),O17,"")</f>
        <v/>
      </c>
      <c r="FB17" s="15" t="str">
        <f>IF(OR(EQ17="EQL",EQ17="EQH"),P17,"")</f>
        <v/>
      </c>
      <c r="FC17" s="15" t="str">
        <f>IF(AND(EG17="EQL",OR(AQ17=4,AQ17=5)),"IEQL",IF(AND(EG17="EQH",OR(AQ17=1,AQ17=2)),"IEQH",""))</f>
        <v/>
      </c>
      <c r="FD17" s="15" t="str">
        <f>IF(AND(EH17="EQL",OR(AR17=4,AR17=5)),"IEQL",IF(AND(EH17="EQH",OR(AR17=1,AR17=2)),"IEQH",""))</f>
        <v/>
      </c>
      <c r="FE17" s="15" t="str">
        <f>IF(AND(EI17="EQL",OR(AS17=4,AS17=5)),"IEQL",IF(AND(EI17="EQH",OR(AS17=1,AS17=2)),"IEQH",""))</f>
        <v/>
      </c>
      <c r="FF17" s="15" t="str">
        <f>IF(AND(EJ17="EQL",OR(AT17=4,AT17=5)),"IEQL",IF(AND(EJ17="EQH",OR(AT17=1,AT17=2)),"IEQH",""))</f>
        <v/>
      </c>
      <c r="FG17" s="15" t="str">
        <f>IF(AND(EK17="EQL",OR(AU17=4,AU17=5)),"IEQL",IF(AND(EK17="EQH",OR(AU17=1,AU17=2)),"IEQH",""))</f>
        <v/>
      </c>
      <c r="FH17" s="15" t="str">
        <f>IF(AND(EL17="EQL",OR(AV17=4,AV17=5)),"IEQL",IF(AND(EL17="EQH",OR(AV17=1,AV17=2)),"IEQH",""))</f>
        <v/>
      </c>
      <c r="FI17" s="15" t="str">
        <f>IF(AND(EM17="EQL",OR(AW17=4,AW17=5)),"IEQL",IF(AND(EM17="EQH",OR(AW17=1,AW17=2)),"IEQH",""))</f>
        <v/>
      </c>
      <c r="FJ17" s="15" t="str">
        <f>IF(AND(EN17="EQL",OR(AX17=4,AX17=5)),"IEQL",IF(AND(EN17="EQH",OR(AX17=1,AX17=2)),"IEQH",""))</f>
        <v/>
      </c>
      <c r="FK17" s="15" t="str">
        <f>IF(AND(EO17="EQL",OR(AY17=4,AY17=5)),"IEQL",IF(AND(EO17="EQH",OR(AY17=1,AY17=2)),"IEQH",""))</f>
        <v/>
      </c>
      <c r="FL17" s="15" t="str">
        <f>IF(AND(EP17="EQL",OR(AZ17=4,AZ17=5)),"IEQL",IF(AND(EP17="EQH",OR(AZ17=1,AZ17=2)),"IEQH",""))</f>
        <v/>
      </c>
      <c r="FM17" s="15" t="str">
        <f>IF(AND(EQ17="EQL",OR(BA17=4,BA17=5)),"IEQL",IF(AND(EQ17="EQH",OR(BA17=1,BA17=2)),"IEQH",""))</f>
        <v/>
      </c>
      <c r="FN17" s="15" t="str">
        <f>IF(OR(AND(DJ17="LL",AP17=5),AND(DJ17="HH",AP17=2)),F17,"")</f>
        <v/>
      </c>
      <c r="FO17" s="15" t="str">
        <f>IF(FN17&lt;&gt;"",F16,"")</f>
        <v/>
      </c>
    </row>
    <row r="18" spans="1:171" s="15" customFormat="1" x14ac:dyDescent="0.55000000000000004">
      <c r="A18" s="15">
        <v>1774441806</v>
      </c>
      <c r="B18" s="15" t="s">
        <v>16</v>
      </c>
      <c r="C18" s="15" t="s">
        <v>17</v>
      </c>
      <c r="D18" s="15">
        <v>4547.41</v>
      </c>
      <c r="E18" s="15" t="s">
        <v>18</v>
      </c>
      <c r="F18" s="15">
        <v>4522.33</v>
      </c>
      <c r="G18" s="15">
        <f t="shared" si="0"/>
        <v>4527.99</v>
      </c>
      <c r="H18" s="15">
        <f t="shared" si="10"/>
        <v>4532.82</v>
      </c>
      <c r="I18" s="15">
        <f t="shared" si="20"/>
        <v>4372.58</v>
      </c>
      <c r="J18" s="15">
        <f t="shared" si="30"/>
        <v>4351.7</v>
      </c>
      <c r="K18" s="15">
        <f t="shared" si="40"/>
        <v>4306.09</v>
      </c>
      <c r="L18" s="15">
        <f t="shared" si="50"/>
        <v>4360.47</v>
      </c>
      <c r="M18" s="15">
        <f t="shared" si="60"/>
        <v>4351.03</v>
      </c>
      <c r="N18" s="15">
        <f t="shared" ref="N18:N49" si="70">F2</f>
        <v>4098.6899999999996</v>
      </c>
      <c r="R18" s="15">
        <v>-63.18</v>
      </c>
      <c r="S18" s="15">
        <f t="shared" si="1"/>
        <v>-39.74</v>
      </c>
      <c r="T18" s="15">
        <f t="shared" si="11"/>
        <v>-69.48</v>
      </c>
      <c r="U18" s="15">
        <f t="shared" si="21"/>
        <v>-60.93</v>
      </c>
      <c r="V18" s="15">
        <f t="shared" si="31"/>
        <v>-90.17</v>
      </c>
      <c r="W18" s="15">
        <f t="shared" si="41"/>
        <v>-141.94999999999999</v>
      </c>
      <c r="X18" s="15">
        <f t="shared" si="51"/>
        <v>-106.65</v>
      </c>
      <c r="Y18" s="15">
        <f t="shared" si="61"/>
        <v>-161.88</v>
      </c>
      <c r="Z18" s="15">
        <f t="shared" ref="Z18:Z49" si="71">R2</f>
        <v>-636.09</v>
      </c>
      <c r="AD18" s="15">
        <v>-1.38</v>
      </c>
      <c r="AE18" s="15">
        <f t="shared" si="2"/>
        <v>-0.87</v>
      </c>
      <c r="AF18" s="15">
        <f t="shared" si="12"/>
        <v>-1.51</v>
      </c>
      <c r="AG18" s="15">
        <f t="shared" si="22"/>
        <v>-1.37</v>
      </c>
      <c r="AH18" s="15">
        <f t="shared" si="32"/>
        <v>-2.0299999999999998</v>
      </c>
      <c r="AI18" s="15">
        <f t="shared" si="42"/>
        <v>-3.19</v>
      </c>
      <c r="AJ18" s="15">
        <f t="shared" si="52"/>
        <v>-2.39</v>
      </c>
      <c r="AK18" s="15">
        <f t="shared" si="62"/>
        <v>-3.59</v>
      </c>
      <c r="AL18" s="15">
        <f t="shared" ref="AL18:AL49" si="72">AD2</f>
        <v>-13.43</v>
      </c>
      <c r="AP18" s="15">
        <v>3</v>
      </c>
      <c r="AQ18" s="15">
        <f t="shared" si="3"/>
        <v>3</v>
      </c>
      <c r="AR18" s="15">
        <f t="shared" si="13"/>
        <v>3</v>
      </c>
      <c r="AS18" s="15">
        <f t="shared" si="23"/>
        <v>3</v>
      </c>
      <c r="AT18" s="15">
        <f t="shared" si="33"/>
        <v>3</v>
      </c>
      <c r="AU18" s="15">
        <f t="shared" si="43"/>
        <v>3</v>
      </c>
      <c r="AV18" s="15">
        <f t="shared" si="53"/>
        <v>3</v>
      </c>
      <c r="AW18" s="15">
        <f t="shared" si="63"/>
        <v>3</v>
      </c>
      <c r="AX18" s="15">
        <f t="shared" ref="AX18:AX49" si="73">AP2</f>
        <v>5</v>
      </c>
      <c r="BB18" s="15">
        <v>4</v>
      </c>
      <c r="BC18" s="15">
        <f t="shared" si="4"/>
        <v>3</v>
      </c>
      <c r="BD18" s="15">
        <f t="shared" si="14"/>
        <v>13</v>
      </c>
      <c r="BE18" s="15">
        <f t="shared" si="24"/>
        <v>12</v>
      </c>
      <c r="BF18" s="15">
        <f t="shared" si="34"/>
        <v>12</v>
      </c>
      <c r="BG18" s="15">
        <f t="shared" si="44"/>
        <v>11</v>
      </c>
      <c r="BH18" s="15">
        <f t="shared" si="54"/>
        <v>9</v>
      </c>
      <c r="BI18" s="15">
        <f t="shared" si="64"/>
        <v>6</v>
      </c>
      <c r="BJ18" s="15">
        <f t="shared" ref="BJ18:BJ49" si="74">BB2</f>
        <v>88</v>
      </c>
      <c r="BN18" s="15">
        <v>3</v>
      </c>
      <c r="BO18" s="15">
        <f t="shared" si="5"/>
        <v>3</v>
      </c>
      <c r="BP18" s="15">
        <f t="shared" si="15"/>
        <v>3</v>
      </c>
      <c r="BQ18" s="15">
        <f t="shared" si="25"/>
        <v>3</v>
      </c>
      <c r="BR18" s="15">
        <f t="shared" si="35"/>
        <v>3</v>
      </c>
      <c r="BS18" s="15">
        <f t="shared" si="45"/>
        <v>3</v>
      </c>
      <c r="BT18" s="15">
        <f t="shared" si="55"/>
        <v>3</v>
      </c>
      <c r="BU18" s="15">
        <f t="shared" si="65"/>
        <v>3</v>
      </c>
      <c r="BV18" s="15">
        <f t="shared" ref="BV18:BV49" si="75">BN2</f>
        <v>5</v>
      </c>
      <c r="BZ18" s="15">
        <v>-15.795</v>
      </c>
      <c r="CA18" s="15">
        <f t="shared" si="6"/>
        <v>-13.24667</v>
      </c>
      <c r="CB18" s="15">
        <f t="shared" si="16"/>
        <v>-5.3446199999999999</v>
      </c>
      <c r="CC18" s="15">
        <f t="shared" si="26"/>
        <v>-5.0774999999999997</v>
      </c>
      <c r="CD18" s="15">
        <f t="shared" si="36"/>
        <v>-7.51417</v>
      </c>
      <c r="CE18" s="15">
        <f t="shared" si="46"/>
        <v>-12.90455</v>
      </c>
      <c r="CF18" s="15">
        <f t="shared" si="56"/>
        <v>-11.85</v>
      </c>
      <c r="CG18" s="15">
        <f t="shared" si="66"/>
        <v>-26.98</v>
      </c>
      <c r="CH18" s="15">
        <f t="shared" ref="CH18:CH49" si="76">BZ2</f>
        <v>-7.2282999999999999</v>
      </c>
      <c r="CL18" s="15">
        <v>4</v>
      </c>
      <c r="CM18" s="15">
        <f t="shared" si="7"/>
        <v>3</v>
      </c>
      <c r="CN18" s="15">
        <f t="shared" si="17"/>
        <v>3</v>
      </c>
      <c r="CO18" s="15">
        <f t="shared" si="27"/>
        <v>3</v>
      </c>
      <c r="CP18" s="15">
        <f t="shared" si="37"/>
        <v>3</v>
      </c>
      <c r="CQ18" s="15">
        <f t="shared" si="47"/>
        <v>4</v>
      </c>
      <c r="CR18" s="15">
        <f t="shared" si="57"/>
        <v>3</v>
      </c>
      <c r="CS18" s="15">
        <f t="shared" si="67"/>
        <v>5</v>
      </c>
      <c r="CT18" s="15">
        <f t="shared" ref="CT18:CT49" si="77">CL2</f>
        <v>3</v>
      </c>
      <c r="CX18" s="15">
        <v>-86.377399999999994</v>
      </c>
      <c r="CY18" s="15">
        <f t="shared" si="8"/>
        <v>-85.682900000000004</v>
      </c>
      <c r="CZ18" s="15">
        <f t="shared" si="18"/>
        <v>-79.402299999999997</v>
      </c>
      <c r="DA18" s="15">
        <f t="shared" si="28"/>
        <v>-78.8583</v>
      </c>
      <c r="DB18" s="15">
        <f t="shared" si="38"/>
        <v>-82.419499999999999</v>
      </c>
      <c r="DC18" s="15">
        <f t="shared" si="48"/>
        <v>-85.568899999999999</v>
      </c>
      <c r="DD18" s="15">
        <f t="shared" si="58"/>
        <v>-85.176299999999998</v>
      </c>
      <c r="DE18" s="15">
        <f t="shared" si="68"/>
        <v>-87.877300000000005</v>
      </c>
      <c r="DF18" s="15">
        <f t="shared" ref="DF18:DF49" si="78">CX2</f>
        <v>-82.123400000000004</v>
      </c>
      <c r="DJ18" s="15" t="s">
        <v>19</v>
      </c>
      <c r="DK18" s="15" t="str">
        <f t="shared" si="9"/>
        <v>LL</v>
      </c>
      <c r="DL18" s="15" t="str">
        <f t="shared" si="19"/>
        <v>HL</v>
      </c>
      <c r="DM18" s="15" t="str">
        <f t="shared" si="29"/>
        <v>HL</v>
      </c>
      <c r="DN18" s="15" t="str">
        <f t="shared" si="39"/>
        <v>HL</v>
      </c>
      <c r="DO18" s="15" t="str">
        <f t="shared" si="49"/>
        <v>LL</v>
      </c>
      <c r="DP18" s="15" t="str">
        <f t="shared" si="59"/>
        <v>HL</v>
      </c>
      <c r="DQ18" s="15" t="str">
        <f t="shared" si="69"/>
        <v>HL</v>
      </c>
      <c r="DR18" s="15" t="str">
        <f t="shared" ref="DR18:DR49" si="79">DJ2</f>
        <v>LL</v>
      </c>
      <c r="DV18" s="15">
        <f>IFERROR((G18-$F18)/$F18*100,"")</f>
        <v>0.12515672230907199</v>
      </c>
      <c r="DW18" s="15">
        <f>IFERROR((H18-$F18)/$F18*100,"")</f>
        <v>0.23196007367882887</v>
      </c>
      <c r="DX18" s="15">
        <f>IFERROR((I18-$F18)/$F18*100,"")</f>
        <v>-3.3113461423646662</v>
      </c>
      <c r="DY18" s="15">
        <f>IFERROR((J18-$F18)/$F18*100,"")</f>
        <v>-3.7730550402115743</v>
      </c>
      <c r="DZ18" s="15">
        <f>IFERROR((K18-$F18)/$F18*100,"")</f>
        <v>-4.7816059420696808</v>
      </c>
      <c r="EA18" s="15">
        <f>IFERROR((L18-$F18)/$F18*100,"")</f>
        <v>-3.5791284581178218</v>
      </c>
      <c r="EB18" s="15">
        <f>IFERROR((M18-$F18)/$F18*100,"")</f>
        <v>-3.7878704119336755</v>
      </c>
      <c r="EC18" s="15">
        <f>IFERROR((N18-$F18)/$F18*100,"")</f>
        <v>-9.3677374273881</v>
      </c>
      <c r="EG18" s="15" t="str">
        <f>IF(DV18="","",IF(AND(ABS(DV18)&lt;=0.25,$E18="Bottom",DK18="LL"),"EQL",IF(AND(ABS(DV18)&lt;=0.25,$E18="Peak",DK18="HH"),"EQH","")))</f>
        <v>EQL</v>
      </c>
      <c r="EH18" s="15" t="str">
        <f>IF(DW18="","",IF(AND(ABS(DW18)&lt;=0.25,$E18="Bottom",DL18="LL"),"EQL",IF(AND(ABS(DW18)&lt;=0.25,$E18="Peak",DL18="HH"),"EQH","")))</f>
        <v/>
      </c>
      <c r="EI18" s="15" t="str">
        <f>IF(DX18="","",IF(AND(ABS(DX18)&lt;=0.25,$E18="Bottom",DM18="LL"),"EQL",IF(AND(ABS(DX18)&lt;=0.25,$E18="Peak",DM18="HH"),"EQH","")))</f>
        <v/>
      </c>
      <c r="EJ18" s="15" t="str">
        <f>IF(DY18="","",IF(AND(ABS(DY18)&lt;=0.25,$E18="Bottom",DN18="LL"),"EQL",IF(AND(ABS(DY18)&lt;=0.25,$E18="Peak",DN18="HH"),"EQH","")))</f>
        <v/>
      </c>
      <c r="EK18" s="15" t="str">
        <f>IF(DZ18="","",IF(AND(ABS(DZ18)&lt;=0.25,$E18="Bottom",DO18="LL"),"EQL",IF(AND(ABS(DZ18)&lt;=0.25,$E18="Peak",DO18="HH"),"EQH","")))</f>
        <v/>
      </c>
      <c r="EL18" s="15" t="str">
        <f>IF(EA18="","",IF(AND(ABS(EA18)&lt;=0.25,$E18="Bottom",DP18="LL"),"EQL",IF(AND(ABS(EA18)&lt;=0.25,$E18="Peak",DP18="HH"),"EQH","")))</f>
        <v/>
      </c>
      <c r="EM18" s="15" t="str">
        <f>IF(EB18="","",IF(AND(ABS(EB18)&lt;=0.25,$E18="Bottom",DQ18="LL"),"EQL",IF(AND(ABS(EB18)&lt;=0.25,$E18="Peak",DQ18="HH"),"EQH","")))</f>
        <v/>
      </c>
      <c r="EN18" s="15" t="str">
        <f>IF(EC18="","",IF(AND(ABS(EC18)&lt;=0.25,$E18="Bottom",DR18="LL"),"EQL",IF(AND(ABS(EC18)&lt;=0.25,$E18="Peak",DR18="HH"),"EQH","")))</f>
        <v/>
      </c>
      <c r="EO18" s="15" t="str">
        <f>IF(ED18="","",IF(AND(ABS(ED18)&lt;=0.25,$E18="Bottom",DS18="LL"),"EQL",IF(AND(ABS(ED18)&lt;=0.25,$E18="Peak",DS18="HH"),"EQH","")))</f>
        <v/>
      </c>
      <c r="EP18" s="15" t="str">
        <f>IF(EE18="","",IF(AND(ABS(EE18)&lt;=0.25,$E18="Bottom",DT18="LL"),"EQL",IF(AND(ABS(EE18)&lt;=0.25,$E18="Peak",DT18="HH"),"EQH","")))</f>
        <v/>
      </c>
      <c r="EQ18" s="15" t="str">
        <f>IF(EF18="","",IF(AND(ABS(EF18)&lt;=0.25,$E18="Bottom",DU18="LL"),"EQL",IF(AND(ABS(EF18)&lt;=0.25,$E18="Peak",DU18="HH"),"EQH","")))</f>
        <v/>
      </c>
      <c r="ER18" s="15">
        <f>IF(OR(EG18="EQL",EG18="EQH"),F18,"")</f>
        <v>4522.33</v>
      </c>
      <c r="ES18" s="15" t="str">
        <f>IF(OR(EH18="EQL",EH18="EQH"),G18,"")</f>
        <v/>
      </c>
      <c r="ET18" s="15" t="str">
        <f>IF(OR(EI18="EQL",EI18="EQH"),H18,"")</f>
        <v/>
      </c>
      <c r="EU18" s="15" t="str">
        <f>IF(OR(EJ18="EQL",EJ18="EQH"),I18,"")</f>
        <v/>
      </c>
      <c r="EV18" s="15" t="str">
        <f>IF(OR(EK18="EQL",EK18="EQH"),J18,"")</f>
        <v/>
      </c>
      <c r="EW18" s="15" t="str">
        <f>IF(OR(EL18="EQL",EL18="EQH"),K18,"")</f>
        <v/>
      </c>
      <c r="EX18" s="15" t="str">
        <f>IF(OR(EM18="EQL",EM18="EQH"),L18,"")</f>
        <v/>
      </c>
      <c r="EY18" s="15" t="str">
        <f>IF(OR(EN18="EQL",EN18="EQH"),M18,"")</f>
        <v/>
      </c>
      <c r="EZ18" s="15" t="str">
        <f>IF(OR(EO18="EQL",EO18="EQH"),N18,"")</f>
        <v/>
      </c>
      <c r="FA18" s="15" t="str">
        <f>IF(OR(EP18="EQL",EP18="EQH"),O18,"")</f>
        <v/>
      </c>
      <c r="FB18" s="15" t="str">
        <f>IF(OR(EQ18="EQL",EQ18="EQH"),P18,"")</f>
        <v/>
      </c>
      <c r="FC18" s="15" t="str">
        <f>IF(AND(EG18="EQL",OR(AQ18=4,AQ18=5)),"IEQL",IF(AND(EG18="EQH",OR(AQ18=1,AQ18=2)),"IEQH",""))</f>
        <v/>
      </c>
      <c r="FD18" s="15" t="str">
        <f>IF(AND(EH18="EQL",OR(AR18=4,AR18=5)),"IEQL",IF(AND(EH18="EQH",OR(AR18=1,AR18=2)),"IEQH",""))</f>
        <v/>
      </c>
      <c r="FE18" s="15" t="str">
        <f>IF(AND(EI18="EQL",OR(AS18=4,AS18=5)),"IEQL",IF(AND(EI18="EQH",OR(AS18=1,AS18=2)),"IEQH",""))</f>
        <v/>
      </c>
      <c r="FF18" s="15" t="str">
        <f>IF(AND(EJ18="EQL",OR(AT18=4,AT18=5)),"IEQL",IF(AND(EJ18="EQH",OR(AT18=1,AT18=2)),"IEQH",""))</f>
        <v/>
      </c>
      <c r="FG18" s="15" t="str">
        <f>IF(AND(EK18="EQL",OR(AU18=4,AU18=5)),"IEQL",IF(AND(EK18="EQH",OR(AU18=1,AU18=2)),"IEQH",""))</f>
        <v/>
      </c>
      <c r="FH18" s="15" t="str">
        <f>IF(AND(EL18="EQL",OR(AV18=4,AV18=5)),"IEQL",IF(AND(EL18="EQH",OR(AV18=1,AV18=2)),"IEQH",""))</f>
        <v/>
      </c>
      <c r="FI18" s="15" t="str">
        <f>IF(AND(EM18="EQL",OR(AW18=4,AW18=5)),"IEQL",IF(AND(EM18="EQH",OR(AW18=1,AW18=2)),"IEQH",""))</f>
        <v/>
      </c>
      <c r="FJ18" s="15" t="str">
        <f>IF(AND(EN18="EQL",OR(AX18=4,AX18=5)),"IEQL",IF(AND(EN18="EQH",OR(AX18=1,AX18=2)),"IEQH",""))</f>
        <v/>
      </c>
      <c r="FK18" s="15" t="str">
        <f>IF(AND(EO18="EQL",OR(AY18=4,AY18=5)),"IEQL",IF(AND(EO18="EQH",OR(AY18=1,AY18=2)),"IEQH",""))</f>
        <v/>
      </c>
      <c r="FL18" s="15" t="str">
        <f>IF(AND(EP18="EQL",OR(AZ18=4,AZ18=5)),"IEQL",IF(AND(EP18="EQH",OR(AZ18=1,AZ18=2)),"IEQH",""))</f>
        <v/>
      </c>
      <c r="FM18" s="15" t="str">
        <f>IF(AND(EQ18="EQL",OR(BA18=4,BA18=5)),"IEQL",IF(AND(EQ18="EQH",OR(BA18=1,BA18=2)),"IEQH",""))</f>
        <v/>
      </c>
      <c r="FN18" s="15" t="str">
        <f>IF(OR(AND(DJ18="LL",AP18=5),AND(DJ18="HH",AP18=2)),F18,"")</f>
        <v/>
      </c>
      <c r="FO18" s="15" t="str">
        <f>IF(FN18&lt;&gt;"",F17,"")</f>
        <v/>
      </c>
    </row>
    <row r="19" spans="1:171" s="15" customFormat="1" x14ac:dyDescent="0.55000000000000004">
      <c r="A19" s="15">
        <v>1774461606</v>
      </c>
      <c r="B19" s="15" t="s">
        <v>16</v>
      </c>
      <c r="C19" s="15" t="s">
        <v>17</v>
      </c>
      <c r="D19" s="15">
        <v>4551.37</v>
      </c>
      <c r="E19" s="15" t="s">
        <v>20</v>
      </c>
      <c r="F19" s="15">
        <v>4568.96</v>
      </c>
      <c r="G19" s="15">
        <f t="shared" si="0"/>
        <v>4585.51</v>
      </c>
      <c r="H19" s="15">
        <f t="shared" si="10"/>
        <v>4567.7299999999996</v>
      </c>
      <c r="I19" s="15">
        <f t="shared" si="20"/>
        <v>4602.3</v>
      </c>
      <c r="J19" s="15">
        <f t="shared" si="30"/>
        <v>4433.51</v>
      </c>
      <c r="K19" s="15">
        <f t="shared" si="40"/>
        <v>4441.87</v>
      </c>
      <c r="L19" s="15">
        <f t="shared" si="50"/>
        <v>4448.04</v>
      </c>
      <c r="M19" s="15">
        <f t="shared" si="60"/>
        <v>4467.12</v>
      </c>
      <c r="N19" s="15">
        <f t="shared" si="70"/>
        <v>4512.91</v>
      </c>
      <c r="R19" s="15">
        <v>46.63</v>
      </c>
      <c r="S19" s="15">
        <f t="shared" si="1"/>
        <v>57.52</v>
      </c>
      <c r="T19" s="15">
        <f t="shared" si="11"/>
        <v>34.909999999999997</v>
      </c>
      <c r="U19" s="15">
        <f t="shared" si="21"/>
        <v>229.72</v>
      </c>
      <c r="V19" s="15">
        <f t="shared" si="31"/>
        <v>81.81</v>
      </c>
      <c r="W19" s="15">
        <f t="shared" si="41"/>
        <v>135.78</v>
      </c>
      <c r="X19" s="15">
        <f t="shared" si="51"/>
        <v>87.57</v>
      </c>
      <c r="Y19" s="15">
        <f t="shared" si="61"/>
        <v>116.09</v>
      </c>
      <c r="Z19" s="15">
        <f t="shared" si="71"/>
        <v>414.22</v>
      </c>
      <c r="AD19" s="15">
        <v>1.03</v>
      </c>
      <c r="AE19" s="15">
        <f t="shared" si="2"/>
        <v>1.27</v>
      </c>
      <c r="AF19" s="15">
        <f t="shared" si="12"/>
        <v>0.77</v>
      </c>
      <c r="AG19" s="15">
        <f t="shared" si="22"/>
        <v>5.25</v>
      </c>
      <c r="AH19" s="15">
        <f t="shared" si="32"/>
        <v>1.88</v>
      </c>
      <c r="AI19" s="15">
        <f t="shared" si="42"/>
        <v>3.15</v>
      </c>
      <c r="AJ19" s="15">
        <f t="shared" si="52"/>
        <v>2.0099999999999998</v>
      </c>
      <c r="AK19" s="15">
        <f t="shared" si="62"/>
        <v>2.67</v>
      </c>
      <c r="AL19" s="15">
        <f t="shared" si="72"/>
        <v>10.11</v>
      </c>
      <c r="AP19" s="15">
        <v>0</v>
      </c>
      <c r="AQ19" s="15">
        <f t="shared" si="3"/>
        <v>0</v>
      </c>
      <c r="AR19" s="15">
        <f t="shared" si="13"/>
        <v>0</v>
      </c>
      <c r="AS19" s="15">
        <f t="shared" si="23"/>
        <v>0</v>
      </c>
      <c r="AT19" s="15">
        <f t="shared" si="33"/>
        <v>0</v>
      </c>
      <c r="AU19" s="15">
        <f t="shared" si="43"/>
        <v>0</v>
      </c>
      <c r="AV19" s="15">
        <f t="shared" si="53"/>
        <v>0</v>
      </c>
      <c r="AW19" s="15">
        <f t="shared" si="63"/>
        <v>0</v>
      </c>
      <c r="AX19" s="15">
        <f t="shared" si="73"/>
        <v>2</v>
      </c>
      <c r="BB19" s="15">
        <v>22</v>
      </c>
      <c r="BC19" s="15">
        <f t="shared" si="4"/>
        <v>7</v>
      </c>
      <c r="BD19" s="15">
        <f t="shared" si="14"/>
        <v>12</v>
      </c>
      <c r="BE19" s="15">
        <f t="shared" si="24"/>
        <v>32</v>
      </c>
      <c r="BF19" s="15">
        <f t="shared" si="34"/>
        <v>4</v>
      </c>
      <c r="BG19" s="15">
        <f t="shared" si="44"/>
        <v>35</v>
      </c>
      <c r="BH19" s="15">
        <f t="shared" si="54"/>
        <v>5</v>
      </c>
      <c r="BI19" s="15">
        <f t="shared" si="64"/>
        <v>12</v>
      </c>
      <c r="BJ19" s="15">
        <f t="shared" si="74"/>
        <v>28</v>
      </c>
      <c r="BN19" s="15">
        <v>0</v>
      </c>
      <c r="BO19" s="15">
        <f t="shared" si="5"/>
        <v>0</v>
      </c>
      <c r="BP19" s="15">
        <f t="shared" si="15"/>
        <v>0</v>
      </c>
      <c r="BQ19" s="15">
        <f t="shared" si="25"/>
        <v>0</v>
      </c>
      <c r="BR19" s="15">
        <f t="shared" si="35"/>
        <v>0</v>
      </c>
      <c r="BS19" s="15">
        <f t="shared" si="45"/>
        <v>0</v>
      </c>
      <c r="BT19" s="15">
        <f t="shared" si="55"/>
        <v>0</v>
      </c>
      <c r="BU19" s="15">
        <f t="shared" si="65"/>
        <v>0</v>
      </c>
      <c r="BV19" s="15">
        <f t="shared" si="75"/>
        <v>0</v>
      </c>
      <c r="BZ19" s="15">
        <v>2.1195499999999998</v>
      </c>
      <c r="CA19" s="15">
        <f t="shared" si="6"/>
        <v>8.2171400000000006</v>
      </c>
      <c r="CB19" s="15">
        <f t="shared" si="16"/>
        <v>2.90917</v>
      </c>
      <c r="CC19" s="15">
        <f t="shared" si="26"/>
        <v>7.17875</v>
      </c>
      <c r="CD19" s="15">
        <f t="shared" si="36"/>
        <v>20.452500000000001</v>
      </c>
      <c r="CE19" s="15">
        <f t="shared" si="46"/>
        <v>3.8794300000000002</v>
      </c>
      <c r="CF19" s="15">
        <f t="shared" si="56"/>
        <v>17.513999999999999</v>
      </c>
      <c r="CG19" s="15">
        <f t="shared" si="66"/>
        <v>9.6741700000000002</v>
      </c>
      <c r="CH19" s="15">
        <f t="shared" si="76"/>
        <v>14.793570000000001</v>
      </c>
      <c r="CL19" s="15">
        <v>0</v>
      </c>
      <c r="CM19" s="15">
        <f t="shared" si="7"/>
        <v>0</v>
      </c>
      <c r="CN19" s="15">
        <f t="shared" si="17"/>
        <v>0</v>
      </c>
      <c r="CO19" s="15">
        <f t="shared" si="27"/>
        <v>0</v>
      </c>
      <c r="CP19" s="15">
        <f t="shared" si="37"/>
        <v>2</v>
      </c>
      <c r="CQ19" s="15">
        <f t="shared" si="47"/>
        <v>0</v>
      </c>
      <c r="CR19" s="15">
        <f t="shared" si="57"/>
        <v>2</v>
      </c>
      <c r="CS19" s="15">
        <f t="shared" si="67"/>
        <v>0</v>
      </c>
      <c r="CT19" s="15">
        <f t="shared" si="77"/>
        <v>2</v>
      </c>
      <c r="CX19" s="15">
        <v>64.742099999999994</v>
      </c>
      <c r="CY19" s="15">
        <f t="shared" si="8"/>
        <v>83.061400000000006</v>
      </c>
      <c r="CZ19" s="15">
        <f t="shared" si="18"/>
        <v>71.030100000000004</v>
      </c>
      <c r="DA19" s="15">
        <f t="shared" si="28"/>
        <v>82.069699999999997</v>
      </c>
      <c r="DB19" s="15">
        <f t="shared" si="38"/>
        <v>87.200800000000001</v>
      </c>
      <c r="DC19" s="15">
        <f t="shared" si="48"/>
        <v>75.545500000000004</v>
      </c>
      <c r="DD19" s="15">
        <f t="shared" si="58"/>
        <v>86.732100000000003</v>
      </c>
      <c r="DE19" s="15">
        <f t="shared" si="68"/>
        <v>84.098399999999998</v>
      </c>
      <c r="DF19" s="15">
        <f t="shared" si="78"/>
        <v>86.132900000000006</v>
      </c>
      <c r="DJ19" s="15" t="s">
        <v>21</v>
      </c>
      <c r="DK19" s="15" t="str">
        <f t="shared" si="9"/>
        <v>HH</v>
      </c>
      <c r="DL19" s="15" t="str">
        <f t="shared" si="19"/>
        <v>LH</v>
      </c>
      <c r="DM19" s="15" t="str">
        <f t="shared" si="29"/>
        <v>HH</v>
      </c>
      <c r="DN19" s="15" t="str">
        <f t="shared" si="39"/>
        <v>LH</v>
      </c>
      <c r="DO19" s="15" t="str">
        <f t="shared" si="49"/>
        <v>LH</v>
      </c>
      <c r="DP19" s="15" t="str">
        <f t="shared" si="59"/>
        <v>LH</v>
      </c>
      <c r="DQ19" s="15" t="str">
        <f t="shared" si="69"/>
        <v>LH</v>
      </c>
      <c r="DR19" s="15" t="str">
        <f t="shared" si="79"/>
        <v>LH</v>
      </c>
      <c r="DV19" s="15">
        <f>IFERROR((G19-$F19)/$F19*100,"")</f>
        <v>0.36222685250035414</v>
      </c>
      <c r="DW19" s="15">
        <f>IFERROR((H19-$F19)/$F19*100,"")</f>
        <v>-2.692078722511191E-2</v>
      </c>
      <c r="DX19" s="15">
        <f>IFERROR((I19-$F19)/$F19*100,"")</f>
        <v>0.72970654153243075</v>
      </c>
      <c r="DY19" s="15">
        <f>IFERROR((J19-$F19)/$F19*100,"")</f>
        <v>-2.9645696175934964</v>
      </c>
      <c r="DZ19" s="15">
        <f>IFERROR((K19-$F19)/$F19*100,"")</f>
        <v>-2.7815958117383417</v>
      </c>
      <c r="EA19" s="15">
        <f>IFERROR((L19-$F19)/$F19*100,"")</f>
        <v>-2.6465541392351888</v>
      </c>
      <c r="EB19" s="15">
        <f>IFERROR((M19-$F19)/$F19*100,"")</f>
        <v>-2.2289536349628833</v>
      </c>
      <c r="EC19" s="15">
        <f>IFERROR((N19-$F19)/$F19*100,"")</f>
        <v>-1.2267561983471114</v>
      </c>
      <c r="EG19" s="15" t="str">
        <f>IF(DV19="","",IF(AND(ABS(DV19)&lt;=0.25,$E19="Bottom",DK19="LL"),"EQL",IF(AND(ABS(DV19)&lt;=0.25,$E19="Peak",DK19="HH"),"EQH","")))</f>
        <v/>
      </c>
      <c r="EH19" s="15" t="str">
        <f>IF(DW19="","",IF(AND(ABS(DW19)&lt;=0.25,$E19="Bottom",DL19="LL"),"EQL",IF(AND(ABS(DW19)&lt;=0.25,$E19="Peak",DL19="HH"),"EQH","")))</f>
        <v/>
      </c>
      <c r="EI19" s="15" t="str">
        <f>IF(DX19="","",IF(AND(ABS(DX19)&lt;=0.25,$E19="Bottom",DM19="LL"),"EQL",IF(AND(ABS(DX19)&lt;=0.25,$E19="Peak",DM19="HH"),"EQH","")))</f>
        <v/>
      </c>
      <c r="EJ19" s="15" t="str">
        <f>IF(DY19="","",IF(AND(ABS(DY19)&lt;=0.25,$E19="Bottom",DN19="LL"),"EQL",IF(AND(ABS(DY19)&lt;=0.25,$E19="Peak",DN19="HH"),"EQH","")))</f>
        <v/>
      </c>
      <c r="EK19" s="15" t="str">
        <f>IF(DZ19="","",IF(AND(ABS(DZ19)&lt;=0.25,$E19="Bottom",DO19="LL"),"EQL",IF(AND(ABS(DZ19)&lt;=0.25,$E19="Peak",DO19="HH"),"EQH","")))</f>
        <v/>
      </c>
      <c r="EL19" s="15" t="str">
        <f>IF(EA19="","",IF(AND(ABS(EA19)&lt;=0.25,$E19="Bottom",DP19="LL"),"EQL",IF(AND(ABS(EA19)&lt;=0.25,$E19="Peak",DP19="HH"),"EQH","")))</f>
        <v/>
      </c>
      <c r="EM19" s="15" t="str">
        <f>IF(EB19="","",IF(AND(ABS(EB19)&lt;=0.25,$E19="Bottom",DQ19="LL"),"EQL",IF(AND(ABS(EB19)&lt;=0.25,$E19="Peak",DQ19="HH"),"EQH","")))</f>
        <v/>
      </c>
      <c r="EN19" s="15" t="str">
        <f>IF(EC19="","",IF(AND(ABS(EC19)&lt;=0.25,$E19="Bottom",DR19="LL"),"EQL",IF(AND(ABS(EC19)&lt;=0.25,$E19="Peak",DR19="HH"),"EQH","")))</f>
        <v/>
      </c>
      <c r="EO19" s="15" t="str">
        <f>IF(ED19="","",IF(AND(ABS(ED19)&lt;=0.25,$E19="Bottom",DS19="LL"),"EQL",IF(AND(ABS(ED19)&lt;=0.25,$E19="Peak",DS19="HH"),"EQH","")))</f>
        <v/>
      </c>
      <c r="EP19" s="15" t="str">
        <f>IF(EE19="","",IF(AND(ABS(EE19)&lt;=0.25,$E19="Bottom",DT19="LL"),"EQL",IF(AND(ABS(EE19)&lt;=0.25,$E19="Peak",DT19="HH"),"EQH","")))</f>
        <v/>
      </c>
      <c r="EQ19" s="15" t="str">
        <f>IF(EF19="","",IF(AND(ABS(EF19)&lt;=0.25,$E19="Bottom",DU19="LL"),"EQL",IF(AND(ABS(EF19)&lt;=0.25,$E19="Peak",DU19="HH"),"EQH","")))</f>
        <v/>
      </c>
      <c r="ER19" s="15" t="str">
        <f>IF(OR(EG19="EQL",EG19="EQH"),F19,"")</f>
        <v/>
      </c>
      <c r="ES19" s="15" t="str">
        <f>IF(OR(EH19="EQL",EH19="EQH"),G19,"")</f>
        <v/>
      </c>
      <c r="ET19" s="15" t="str">
        <f>IF(OR(EI19="EQL",EI19="EQH"),H19,"")</f>
        <v/>
      </c>
      <c r="EU19" s="15" t="str">
        <f>IF(OR(EJ19="EQL",EJ19="EQH"),I19,"")</f>
        <v/>
      </c>
      <c r="EV19" s="15" t="str">
        <f>IF(OR(EK19="EQL",EK19="EQH"),J19,"")</f>
        <v/>
      </c>
      <c r="EW19" s="15" t="str">
        <f>IF(OR(EL19="EQL",EL19="EQH"),K19,"")</f>
        <v/>
      </c>
      <c r="EX19" s="15" t="str">
        <f>IF(OR(EM19="EQL",EM19="EQH"),L19,"")</f>
        <v/>
      </c>
      <c r="EY19" s="15" t="str">
        <f>IF(OR(EN19="EQL",EN19="EQH"),M19,"")</f>
        <v/>
      </c>
      <c r="EZ19" s="15" t="str">
        <f>IF(OR(EO19="EQL",EO19="EQH"),N19,"")</f>
        <v/>
      </c>
      <c r="FA19" s="15" t="str">
        <f>IF(OR(EP19="EQL",EP19="EQH"),O19,"")</f>
        <v/>
      </c>
      <c r="FB19" s="15" t="str">
        <f>IF(OR(EQ19="EQL",EQ19="EQH"),P19,"")</f>
        <v/>
      </c>
      <c r="FC19" s="15" t="str">
        <f>IF(AND(EG19="EQL",OR(AQ19=4,AQ19=5)),"IEQL",IF(AND(EG19="EQH",OR(AQ19=1,AQ19=2)),"IEQH",""))</f>
        <v/>
      </c>
      <c r="FD19" s="15" t="str">
        <f>IF(AND(EH19="EQL",OR(AR19=4,AR19=5)),"IEQL",IF(AND(EH19="EQH",OR(AR19=1,AR19=2)),"IEQH",""))</f>
        <v/>
      </c>
      <c r="FE19" s="15" t="str">
        <f>IF(AND(EI19="EQL",OR(AS19=4,AS19=5)),"IEQL",IF(AND(EI19="EQH",OR(AS19=1,AS19=2)),"IEQH",""))</f>
        <v/>
      </c>
      <c r="FF19" s="15" t="str">
        <f>IF(AND(EJ19="EQL",OR(AT19=4,AT19=5)),"IEQL",IF(AND(EJ19="EQH",OR(AT19=1,AT19=2)),"IEQH",""))</f>
        <v/>
      </c>
      <c r="FG19" s="15" t="str">
        <f>IF(AND(EK19="EQL",OR(AU19=4,AU19=5)),"IEQL",IF(AND(EK19="EQH",OR(AU19=1,AU19=2)),"IEQH",""))</f>
        <v/>
      </c>
      <c r="FH19" s="15" t="str">
        <f>IF(AND(EL19="EQL",OR(AV19=4,AV19=5)),"IEQL",IF(AND(EL19="EQH",OR(AV19=1,AV19=2)),"IEQH",""))</f>
        <v/>
      </c>
      <c r="FI19" s="15" t="str">
        <f>IF(AND(EM19="EQL",OR(AW19=4,AW19=5)),"IEQL",IF(AND(EM19="EQH",OR(AW19=1,AW19=2)),"IEQH",""))</f>
        <v/>
      </c>
      <c r="FJ19" s="15" t="str">
        <f>IF(AND(EN19="EQL",OR(AX19=4,AX19=5)),"IEQL",IF(AND(EN19="EQH",OR(AX19=1,AX19=2)),"IEQH",""))</f>
        <v/>
      </c>
      <c r="FK19" s="15" t="str">
        <f>IF(AND(EO19="EQL",OR(AY19=4,AY19=5)),"IEQL",IF(AND(EO19="EQH",OR(AY19=1,AY19=2)),"IEQH",""))</f>
        <v/>
      </c>
      <c r="FL19" s="15" t="str">
        <f>IF(AND(EP19="EQL",OR(AZ19=4,AZ19=5)),"IEQL",IF(AND(EP19="EQH",OR(AZ19=1,AZ19=2)),"IEQH",""))</f>
        <v/>
      </c>
      <c r="FM19" s="15" t="str">
        <f>IF(AND(EQ19="EQL",OR(BA19=4,BA19=5)),"IEQL",IF(AND(EQ19="EQH",OR(BA19=1,BA19=2)),"IEQH",""))</f>
        <v/>
      </c>
      <c r="FN19" s="15" t="str">
        <f>IF(OR(AND(DJ19="LL",AP19=5),AND(DJ19="HH",AP19=2)),F19,"")</f>
        <v/>
      </c>
      <c r="FO19" s="15" t="str">
        <f>IF(FN19&lt;&gt;"",F18,"")</f>
        <v/>
      </c>
    </row>
    <row r="20" spans="1:171" s="15" customFormat="1" x14ac:dyDescent="0.55000000000000004">
      <c r="A20" s="15">
        <v>1774465206</v>
      </c>
      <c r="B20" s="15" t="s">
        <v>16</v>
      </c>
      <c r="C20" s="15" t="s">
        <v>17</v>
      </c>
      <c r="D20" s="15">
        <v>4509.08</v>
      </c>
      <c r="E20" s="15" t="s">
        <v>18</v>
      </c>
      <c r="F20" s="15">
        <v>4487.1000000000004</v>
      </c>
      <c r="G20" s="15">
        <f t="shared" si="0"/>
        <v>4522.33</v>
      </c>
      <c r="H20" s="15">
        <f t="shared" si="10"/>
        <v>4527.99</v>
      </c>
      <c r="I20" s="15">
        <f t="shared" si="20"/>
        <v>4532.82</v>
      </c>
      <c r="J20" s="15">
        <f t="shared" si="30"/>
        <v>4372.58</v>
      </c>
      <c r="K20" s="15">
        <f t="shared" si="40"/>
        <v>4351.7</v>
      </c>
      <c r="L20" s="15">
        <f t="shared" si="50"/>
        <v>4306.09</v>
      </c>
      <c r="M20" s="15">
        <f t="shared" si="60"/>
        <v>4360.47</v>
      </c>
      <c r="N20" s="15">
        <f t="shared" si="70"/>
        <v>4351.03</v>
      </c>
      <c r="O20" s="15">
        <f t="shared" ref="O20:O51" si="80">F2</f>
        <v>4098.6899999999996</v>
      </c>
      <c r="R20" s="15">
        <v>-81.86</v>
      </c>
      <c r="S20" s="15">
        <f t="shared" si="1"/>
        <v>-63.18</v>
      </c>
      <c r="T20" s="15">
        <f t="shared" si="11"/>
        <v>-39.74</v>
      </c>
      <c r="U20" s="15">
        <f t="shared" si="21"/>
        <v>-69.48</v>
      </c>
      <c r="V20" s="15">
        <f t="shared" si="31"/>
        <v>-60.93</v>
      </c>
      <c r="W20" s="15">
        <f t="shared" si="41"/>
        <v>-90.17</v>
      </c>
      <c r="X20" s="15">
        <f t="shared" si="51"/>
        <v>-141.94999999999999</v>
      </c>
      <c r="Y20" s="15">
        <f t="shared" si="61"/>
        <v>-106.65</v>
      </c>
      <c r="Z20" s="15">
        <f t="shared" si="71"/>
        <v>-161.88</v>
      </c>
      <c r="AA20" s="15">
        <f t="shared" ref="AA20:AA51" si="81">R2</f>
        <v>-636.09</v>
      </c>
      <c r="AD20" s="15">
        <v>-1.79</v>
      </c>
      <c r="AE20" s="15">
        <f t="shared" si="2"/>
        <v>-1.38</v>
      </c>
      <c r="AF20" s="15">
        <f t="shared" si="12"/>
        <v>-0.87</v>
      </c>
      <c r="AG20" s="15">
        <f t="shared" si="22"/>
        <v>-1.51</v>
      </c>
      <c r="AH20" s="15">
        <f t="shared" si="32"/>
        <v>-1.37</v>
      </c>
      <c r="AI20" s="15">
        <f t="shared" si="42"/>
        <v>-2.0299999999999998</v>
      </c>
      <c r="AJ20" s="15">
        <f t="shared" si="52"/>
        <v>-3.19</v>
      </c>
      <c r="AK20" s="15">
        <f t="shared" si="62"/>
        <v>-2.39</v>
      </c>
      <c r="AL20" s="15">
        <f t="shared" si="72"/>
        <v>-3.59</v>
      </c>
      <c r="AM20" s="15">
        <f t="shared" ref="AM20:AM51" si="82">AD2</f>
        <v>-13.43</v>
      </c>
      <c r="AP20" s="15">
        <v>3</v>
      </c>
      <c r="AQ20" s="15">
        <f t="shared" si="3"/>
        <v>3</v>
      </c>
      <c r="AR20" s="15">
        <f t="shared" si="13"/>
        <v>3</v>
      </c>
      <c r="AS20" s="15">
        <f t="shared" si="23"/>
        <v>3</v>
      </c>
      <c r="AT20" s="15">
        <f t="shared" si="33"/>
        <v>3</v>
      </c>
      <c r="AU20" s="15">
        <f t="shared" si="43"/>
        <v>3</v>
      </c>
      <c r="AV20" s="15">
        <f t="shared" si="53"/>
        <v>3</v>
      </c>
      <c r="AW20" s="15">
        <f t="shared" si="63"/>
        <v>3</v>
      </c>
      <c r="AX20" s="15">
        <f t="shared" si="73"/>
        <v>3</v>
      </c>
      <c r="AY20" s="15">
        <f t="shared" ref="AY20:AY51" si="83">AP2</f>
        <v>5</v>
      </c>
      <c r="BB20" s="15">
        <v>4</v>
      </c>
      <c r="BC20" s="15">
        <f t="shared" si="4"/>
        <v>4</v>
      </c>
      <c r="BD20" s="15">
        <f t="shared" si="14"/>
        <v>3</v>
      </c>
      <c r="BE20" s="15">
        <f t="shared" si="24"/>
        <v>13</v>
      </c>
      <c r="BF20" s="15">
        <f t="shared" si="34"/>
        <v>12</v>
      </c>
      <c r="BG20" s="15">
        <f t="shared" si="44"/>
        <v>12</v>
      </c>
      <c r="BH20" s="15">
        <f t="shared" si="54"/>
        <v>11</v>
      </c>
      <c r="BI20" s="15">
        <f t="shared" si="64"/>
        <v>9</v>
      </c>
      <c r="BJ20" s="15">
        <f t="shared" si="74"/>
        <v>6</v>
      </c>
      <c r="BK20" s="15">
        <f t="shared" ref="BK20:BK51" si="84">BB2</f>
        <v>88</v>
      </c>
      <c r="BN20" s="15">
        <v>3</v>
      </c>
      <c r="BO20" s="15">
        <f t="shared" si="5"/>
        <v>3</v>
      </c>
      <c r="BP20" s="15">
        <f t="shared" si="15"/>
        <v>3</v>
      </c>
      <c r="BQ20" s="15">
        <f t="shared" si="25"/>
        <v>3</v>
      </c>
      <c r="BR20" s="15">
        <f t="shared" si="35"/>
        <v>3</v>
      </c>
      <c r="BS20" s="15">
        <f t="shared" si="45"/>
        <v>3</v>
      </c>
      <c r="BT20" s="15">
        <f t="shared" si="55"/>
        <v>3</v>
      </c>
      <c r="BU20" s="15">
        <f t="shared" si="65"/>
        <v>3</v>
      </c>
      <c r="BV20" s="15">
        <f t="shared" si="75"/>
        <v>3</v>
      </c>
      <c r="BW20" s="15">
        <f t="shared" ref="BW20:BW51" si="85">BN2</f>
        <v>5</v>
      </c>
      <c r="BZ20" s="15">
        <v>-20.465</v>
      </c>
      <c r="CA20" s="15">
        <f t="shared" si="6"/>
        <v>-15.795</v>
      </c>
      <c r="CB20" s="15">
        <f t="shared" si="16"/>
        <v>-13.24667</v>
      </c>
      <c r="CC20" s="15">
        <f t="shared" si="26"/>
        <v>-5.3446199999999999</v>
      </c>
      <c r="CD20" s="15">
        <f t="shared" si="36"/>
        <v>-5.0774999999999997</v>
      </c>
      <c r="CE20" s="15">
        <f t="shared" si="46"/>
        <v>-7.51417</v>
      </c>
      <c r="CF20" s="15">
        <f t="shared" si="56"/>
        <v>-12.90455</v>
      </c>
      <c r="CG20" s="15">
        <f t="shared" si="66"/>
        <v>-11.85</v>
      </c>
      <c r="CH20" s="15">
        <f t="shared" si="76"/>
        <v>-26.98</v>
      </c>
      <c r="CI20" s="15">
        <f t="shared" ref="CI20:CI51" si="86">BZ2</f>
        <v>-7.2282999999999999</v>
      </c>
      <c r="CL20" s="15">
        <v>5</v>
      </c>
      <c r="CM20" s="15">
        <f t="shared" si="7"/>
        <v>4</v>
      </c>
      <c r="CN20" s="15">
        <f t="shared" si="17"/>
        <v>3</v>
      </c>
      <c r="CO20" s="15">
        <f t="shared" si="27"/>
        <v>3</v>
      </c>
      <c r="CP20" s="15">
        <f t="shared" si="37"/>
        <v>3</v>
      </c>
      <c r="CQ20" s="15">
        <f t="shared" si="47"/>
        <v>3</v>
      </c>
      <c r="CR20" s="15">
        <f t="shared" si="57"/>
        <v>4</v>
      </c>
      <c r="CS20" s="15">
        <f t="shared" si="67"/>
        <v>3</v>
      </c>
      <c r="CT20" s="15">
        <f t="shared" si="77"/>
        <v>5</v>
      </c>
      <c r="CU20" s="15">
        <f t="shared" ref="CU20:CU51" si="87">CL2</f>
        <v>3</v>
      </c>
      <c r="CX20" s="15">
        <v>-87.202500000000001</v>
      </c>
      <c r="CY20" s="15">
        <f t="shared" si="8"/>
        <v>-86.377399999999994</v>
      </c>
      <c r="CZ20" s="15">
        <f t="shared" si="18"/>
        <v>-85.682900000000004</v>
      </c>
      <c r="DA20" s="15">
        <f t="shared" si="28"/>
        <v>-79.402299999999997</v>
      </c>
      <c r="DB20" s="15">
        <f t="shared" si="38"/>
        <v>-78.8583</v>
      </c>
      <c r="DC20" s="15">
        <f t="shared" si="48"/>
        <v>-82.419499999999999</v>
      </c>
      <c r="DD20" s="15">
        <f t="shared" si="58"/>
        <v>-85.568899999999999</v>
      </c>
      <c r="DE20" s="15">
        <f t="shared" si="68"/>
        <v>-85.176299999999998</v>
      </c>
      <c r="DF20" s="15">
        <f t="shared" si="78"/>
        <v>-87.877300000000005</v>
      </c>
      <c r="DG20" s="15">
        <f t="shared" ref="DG20:DG51" si="88">CX2</f>
        <v>-82.123400000000004</v>
      </c>
      <c r="DJ20" s="15" t="s">
        <v>19</v>
      </c>
      <c r="DK20" s="15" t="str">
        <f t="shared" si="9"/>
        <v>LL</v>
      </c>
      <c r="DL20" s="15" t="str">
        <f t="shared" si="19"/>
        <v>LL</v>
      </c>
      <c r="DM20" s="15" t="str">
        <f t="shared" si="29"/>
        <v>HL</v>
      </c>
      <c r="DN20" s="15" t="str">
        <f t="shared" si="39"/>
        <v>HL</v>
      </c>
      <c r="DO20" s="15" t="str">
        <f t="shared" si="49"/>
        <v>HL</v>
      </c>
      <c r="DP20" s="15" t="str">
        <f t="shared" si="59"/>
        <v>LL</v>
      </c>
      <c r="DQ20" s="15" t="str">
        <f t="shared" si="69"/>
        <v>HL</v>
      </c>
      <c r="DR20" s="15" t="str">
        <f t="shared" si="79"/>
        <v>HL</v>
      </c>
      <c r="DS20" s="15" t="str">
        <f t="shared" ref="DS20:DS51" si="89">DJ2</f>
        <v>LL</v>
      </c>
      <c r="DV20" s="15">
        <f>IFERROR((G20-$F20)/$F20*100,"")</f>
        <v>0.7851396224733026</v>
      </c>
      <c r="DW20" s="15">
        <f>IFERROR((H20-$F20)/$F20*100,"")</f>
        <v>0.91127899979941196</v>
      </c>
      <c r="DX20" s="15">
        <f>IFERROR((I20-$F20)/$F20*100,"")</f>
        <v>1.0189209065989022</v>
      </c>
      <c r="DY20" s="15">
        <f>IFERROR((J20-$F20)/$F20*100,"")</f>
        <v>-2.5522052104923096</v>
      </c>
      <c r="DZ20" s="15">
        <f>IFERROR((K20-$F20)/$F20*100,"")</f>
        <v>-3.0175391678366994</v>
      </c>
      <c r="EA20" s="15">
        <f>IFERROR((L20-$F20)/$F20*100,"")</f>
        <v>-4.0340086024381048</v>
      </c>
      <c r="EB20" s="15">
        <f>IFERROR((M20-$F20)/$F20*100,"")</f>
        <v>-2.8220899913084194</v>
      </c>
      <c r="EC20" s="15">
        <f>IFERROR((N20-$F20)/$F20*100,"")</f>
        <v>-3.0324708609124071</v>
      </c>
      <c r="ED20" s="15">
        <f>IFERROR((O20-$F20)/$F20*100,"")</f>
        <v>-8.6561476231864845</v>
      </c>
      <c r="EG20" s="15" t="str">
        <f>IF(DV20="","",IF(AND(ABS(DV20)&lt;=0.25,$E20="Bottom",DK20="LL"),"EQL",IF(AND(ABS(DV20)&lt;=0.25,$E20="Peak",DK20="HH"),"EQH","")))</f>
        <v/>
      </c>
      <c r="EH20" s="15" t="str">
        <f>IF(DW20="","",IF(AND(ABS(DW20)&lt;=0.25,$E20="Bottom",DL20="LL"),"EQL",IF(AND(ABS(DW20)&lt;=0.25,$E20="Peak",DL20="HH"),"EQH","")))</f>
        <v/>
      </c>
      <c r="EI20" s="15" t="str">
        <f>IF(DX20="","",IF(AND(ABS(DX20)&lt;=0.25,$E20="Bottom",DM20="LL"),"EQL",IF(AND(ABS(DX20)&lt;=0.25,$E20="Peak",DM20="HH"),"EQH","")))</f>
        <v/>
      </c>
      <c r="EJ20" s="15" t="str">
        <f>IF(DY20="","",IF(AND(ABS(DY20)&lt;=0.25,$E20="Bottom",DN20="LL"),"EQL",IF(AND(ABS(DY20)&lt;=0.25,$E20="Peak",DN20="HH"),"EQH","")))</f>
        <v/>
      </c>
      <c r="EK20" s="15" t="str">
        <f>IF(DZ20="","",IF(AND(ABS(DZ20)&lt;=0.25,$E20="Bottom",DO20="LL"),"EQL",IF(AND(ABS(DZ20)&lt;=0.25,$E20="Peak",DO20="HH"),"EQH","")))</f>
        <v/>
      </c>
      <c r="EL20" s="15" t="str">
        <f>IF(EA20="","",IF(AND(ABS(EA20)&lt;=0.25,$E20="Bottom",DP20="LL"),"EQL",IF(AND(ABS(EA20)&lt;=0.25,$E20="Peak",DP20="HH"),"EQH","")))</f>
        <v/>
      </c>
      <c r="EM20" s="15" t="str">
        <f>IF(EB20="","",IF(AND(ABS(EB20)&lt;=0.25,$E20="Bottom",DQ20="LL"),"EQL",IF(AND(ABS(EB20)&lt;=0.25,$E20="Peak",DQ20="HH"),"EQH","")))</f>
        <v/>
      </c>
      <c r="EN20" s="15" t="str">
        <f>IF(EC20="","",IF(AND(ABS(EC20)&lt;=0.25,$E20="Bottom",DR20="LL"),"EQL",IF(AND(ABS(EC20)&lt;=0.25,$E20="Peak",DR20="HH"),"EQH","")))</f>
        <v/>
      </c>
      <c r="EO20" s="15" t="str">
        <f>IF(ED20="","",IF(AND(ABS(ED20)&lt;=0.25,$E20="Bottom",DS20="LL"),"EQL",IF(AND(ABS(ED20)&lt;=0.25,$E20="Peak",DS20="HH"),"EQH","")))</f>
        <v/>
      </c>
      <c r="EP20" s="15" t="str">
        <f>IF(EE20="","",IF(AND(ABS(EE20)&lt;=0.25,$E20="Bottom",DT20="LL"),"EQL",IF(AND(ABS(EE20)&lt;=0.25,$E20="Peak",DT20="HH"),"EQH","")))</f>
        <v/>
      </c>
      <c r="EQ20" s="15" t="str">
        <f>IF(EF20="","",IF(AND(ABS(EF20)&lt;=0.25,$E20="Bottom",DU20="LL"),"EQL",IF(AND(ABS(EF20)&lt;=0.25,$E20="Peak",DU20="HH"),"EQH","")))</f>
        <v/>
      </c>
      <c r="ER20" s="15" t="str">
        <f>IF(OR(EG20="EQL",EG20="EQH"),F20,"")</f>
        <v/>
      </c>
      <c r="ES20" s="15" t="str">
        <f>IF(OR(EH20="EQL",EH20="EQH"),G20,"")</f>
        <v/>
      </c>
      <c r="ET20" s="15" t="str">
        <f>IF(OR(EI20="EQL",EI20="EQH"),H20,"")</f>
        <v/>
      </c>
      <c r="EU20" s="15" t="str">
        <f>IF(OR(EJ20="EQL",EJ20="EQH"),I20,"")</f>
        <v/>
      </c>
      <c r="EV20" s="15" t="str">
        <f>IF(OR(EK20="EQL",EK20="EQH"),J20,"")</f>
        <v/>
      </c>
      <c r="EW20" s="15" t="str">
        <f>IF(OR(EL20="EQL",EL20="EQH"),K20,"")</f>
        <v/>
      </c>
      <c r="EX20" s="15" t="str">
        <f>IF(OR(EM20="EQL",EM20="EQH"),L20,"")</f>
        <v/>
      </c>
      <c r="EY20" s="15" t="str">
        <f>IF(OR(EN20="EQL",EN20="EQH"),M20,"")</f>
        <v/>
      </c>
      <c r="EZ20" s="15" t="str">
        <f>IF(OR(EO20="EQL",EO20="EQH"),N20,"")</f>
        <v/>
      </c>
      <c r="FA20" s="15" t="str">
        <f>IF(OR(EP20="EQL",EP20="EQH"),O20,"")</f>
        <v/>
      </c>
      <c r="FB20" s="15" t="str">
        <f>IF(OR(EQ20="EQL",EQ20="EQH"),P20,"")</f>
        <v/>
      </c>
      <c r="FC20" s="15" t="str">
        <f>IF(AND(EG20="EQL",OR(AQ20=4,AQ20=5)),"IEQL",IF(AND(EG20="EQH",OR(AQ20=1,AQ20=2)),"IEQH",""))</f>
        <v/>
      </c>
      <c r="FD20" s="15" t="str">
        <f>IF(AND(EH20="EQL",OR(AR20=4,AR20=5)),"IEQL",IF(AND(EH20="EQH",OR(AR20=1,AR20=2)),"IEQH",""))</f>
        <v/>
      </c>
      <c r="FE20" s="15" t="str">
        <f>IF(AND(EI20="EQL",OR(AS20=4,AS20=5)),"IEQL",IF(AND(EI20="EQH",OR(AS20=1,AS20=2)),"IEQH",""))</f>
        <v/>
      </c>
      <c r="FF20" s="15" t="str">
        <f>IF(AND(EJ20="EQL",OR(AT20=4,AT20=5)),"IEQL",IF(AND(EJ20="EQH",OR(AT20=1,AT20=2)),"IEQH",""))</f>
        <v/>
      </c>
      <c r="FG20" s="15" t="str">
        <f>IF(AND(EK20="EQL",OR(AU20=4,AU20=5)),"IEQL",IF(AND(EK20="EQH",OR(AU20=1,AU20=2)),"IEQH",""))</f>
        <v/>
      </c>
      <c r="FH20" s="15" t="str">
        <f>IF(AND(EL20="EQL",OR(AV20=4,AV20=5)),"IEQL",IF(AND(EL20="EQH",OR(AV20=1,AV20=2)),"IEQH",""))</f>
        <v/>
      </c>
      <c r="FI20" s="15" t="str">
        <f>IF(AND(EM20="EQL",OR(AW20=4,AW20=5)),"IEQL",IF(AND(EM20="EQH",OR(AW20=1,AW20=2)),"IEQH",""))</f>
        <v/>
      </c>
      <c r="FJ20" s="15" t="str">
        <f>IF(AND(EN20="EQL",OR(AX20=4,AX20=5)),"IEQL",IF(AND(EN20="EQH",OR(AX20=1,AX20=2)),"IEQH",""))</f>
        <v/>
      </c>
      <c r="FK20" s="15" t="str">
        <f>IF(AND(EO20="EQL",OR(AY20=4,AY20=5)),"IEQL",IF(AND(EO20="EQH",OR(AY20=1,AY20=2)),"IEQH",""))</f>
        <v/>
      </c>
      <c r="FL20" s="15" t="str">
        <f>IF(AND(EP20="EQL",OR(AZ20=4,AZ20=5)),"IEQL",IF(AND(EP20="EQH",OR(AZ20=1,AZ20=2)),"IEQH",""))</f>
        <v/>
      </c>
      <c r="FM20" s="15" t="str">
        <f>IF(AND(EQ20="EQL",OR(BA20=4,BA20=5)),"IEQL",IF(AND(EQ20="EQH",OR(BA20=1,BA20=2)),"IEQH",""))</f>
        <v/>
      </c>
      <c r="FN20" s="15" t="str">
        <f>IF(OR(AND(DJ20="LL",AP20=5),AND(DJ20="HH",AP20=2)),F20,"")</f>
        <v/>
      </c>
      <c r="FO20" s="15" t="str">
        <f>IF(FN20&lt;&gt;"",F19,"")</f>
        <v/>
      </c>
    </row>
    <row r="21" spans="1:171" s="15" customFormat="1" x14ac:dyDescent="0.55000000000000004">
      <c r="A21" s="15">
        <v>1774486806</v>
      </c>
      <c r="B21" s="15" t="s">
        <v>16</v>
      </c>
      <c r="C21" s="15" t="s">
        <v>17</v>
      </c>
      <c r="D21" s="15">
        <v>4538.3999999999996</v>
      </c>
      <c r="E21" s="15" t="s">
        <v>20</v>
      </c>
      <c r="F21" s="15">
        <v>4544.29</v>
      </c>
      <c r="G21" s="15">
        <f t="shared" si="0"/>
        <v>4568.96</v>
      </c>
      <c r="H21" s="15">
        <f t="shared" si="10"/>
        <v>4585.51</v>
      </c>
      <c r="I21" s="15">
        <f t="shared" si="20"/>
        <v>4567.7299999999996</v>
      </c>
      <c r="J21" s="15">
        <f t="shared" si="30"/>
        <v>4602.3</v>
      </c>
      <c r="K21" s="15">
        <f t="shared" si="40"/>
        <v>4433.51</v>
      </c>
      <c r="L21" s="15">
        <f t="shared" si="50"/>
        <v>4441.87</v>
      </c>
      <c r="M21" s="15">
        <f t="shared" si="60"/>
        <v>4448.04</v>
      </c>
      <c r="N21" s="15">
        <f t="shared" si="70"/>
        <v>4467.12</v>
      </c>
      <c r="O21" s="15">
        <f t="shared" si="80"/>
        <v>4512.91</v>
      </c>
      <c r="R21" s="15">
        <v>57.19</v>
      </c>
      <c r="S21" s="15">
        <f t="shared" si="1"/>
        <v>46.63</v>
      </c>
      <c r="T21" s="15">
        <f t="shared" si="11"/>
        <v>57.52</v>
      </c>
      <c r="U21" s="15">
        <f t="shared" si="21"/>
        <v>34.909999999999997</v>
      </c>
      <c r="V21" s="15">
        <f t="shared" si="31"/>
        <v>229.72</v>
      </c>
      <c r="W21" s="15">
        <f t="shared" si="41"/>
        <v>81.81</v>
      </c>
      <c r="X21" s="15">
        <f t="shared" si="51"/>
        <v>135.78</v>
      </c>
      <c r="Y21" s="15">
        <f t="shared" si="61"/>
        <v>87.57</v>
      </c>
      <c r="Z21" s="15">
        <f t="shared" si="71"/>
        <v>116.09</v>
      </c>
      <c r="AA21" s="15">
        <f t="shared" si="81"/>
        <v>414.22</v>
      </c>
      <c r="AD21" s="15">
        <v>1.27</v>
      </c>
      <c r="AE21" s="15">
        <f t="shared" si="2"/>
        <v>1.03</v>
      </c>
      <c r="AF21" s="15">
        <f t="shared" si="12"/>
        <v>1.27</v>
      </c>
      <c r="AG21" s="15">
        <f t="shared" si="22"/>
        <v>0.77</v>
      </c>
      <c r="AH21" s="15">
        <f t="shared" si="32"/>
        <v>5.25</v>
      </c>
      <c r="AI21" s="15">
        <f t="shared" si="42"/>
        <v>1.88</v>
      </c>
      <c r="AJ21" s="15">
        <f t="shared" si="52"/>
        <v>3.15</v>
      </c>
      <c r="AK21" s="15">
        <f t="shared" si="62"/>
        <v>2.0099999999999998</v>
      </c>
      <c r="AL21" s="15">
        <f t="shared" si="72"/>
        <v>2.67</v>
      </c>
      <c r="AM21" s="15">
        <f t="shared" si="82"/>
        <v>10.11</v>
      </c>
      <c r="AP21" s="15">
        <v>0</v>
      </c>
      <c r="AQ21" s="15">
        <f t="shared" si="3"/>
        <v>0</v>
      </c>
      <c r="AR21" s="15">
        <f t="shared" si="13"/>
        <v>0</v>
      </c>
      <c r="AS21" s="15">
        <f t="shared" si="23"/>
        <v>0</v>
      </c>
      <c r="AT21" s="15">
        <f t="shared" si="33"/>
        <v>0</v>
      </c>
      <c r="AU21" s="15">
        <f t="shared" si="43"/>
        <v>0</v>
      </c>
      <c r="AV21" s="15">
        <f t="shared" si="53"/>
        <v>0</v>
      </c>
      <c r="AW21" s="15">
        <f t="shared" si="63"/>
        <v>0</v>
      </c>
      <c r="AX21" s="15">
        <f t="shared" si="73"/>
        <v>0</v>
      </c>
      <c r="AY21" s="15">
        <f t="shared" si="83"/>
        <v>2</v>
      </c>
      <c r="BB21" s="15">
        <v>20</v>
      </c>
      <c r="BC21" s="15">
        <f t="shared" si="4"/>
        <v>22</v>
      </c>
      <c r="BD21" s="15">
        <f t="shared" si="14"/>
        <v>7</v>
      </c>
      <c r="BE21" s="15">
        <f t="shared" si="24"/>
        <v>12</v>
      </c>
      <c r="BF21" s="15">
        <f t="shared" si="34"/>
        <v>32</v>
      </c>
      <c r="BG21" s="15">
        <f t="shared" si="44"/>
        <v>4</v>
      </c>
      <c r="BH21" s="15">
        <f t="shared" si="54"/>
        <v>35</v>
      </c>
      <c r="BI21" s="15">
        <f t="shared" si="64"/>
        <v>5</v>
      </c>
      <c r="BJ21" s="15">
        <f t="shared" si="74"/>
        <v>12</v>
      </c>
      <c r="BK21" s="15">
        <f t="shared" si="84"/>
        <v>28</v>
      </c>
      <c r="BN21" s="15">
        <v>0</v>
      </c>
      <c r="BO21" s="15">
        <f t="shared" si="5"/>
        <v>0</v>
      </c>
      <c r="BP21" s="15">
        <f t="shared" si="15"/>
        <v>0</v>
      </c>
      <c r="BQ21" s="15">
        <f t="shared" si="25"/>
        <v>0</v>
      </c>
      <c r="BR21" s="15">
        <f t="shared" si="35"/>
        <v>0</v>
      </c>
      <c r="BS21" s="15">
        <f t="shared" si="45"/>
        <v>0</v>
      </c>
      <c r="BT21" s="15">
        <f t="shared" si="55"/>
        <v>0</v>
      </c>
      <c r="BU21" s="15">
        <f t="shared" si="65"/>
        <v>0</v>
      </c>
      <c r="BV21" s="15">
        <f t="shared" si="75"/>
        <v>0</v>
      </c>
      <c r="BW21" s="15">
        <f t="shared" si="85"/>
        <v>0</v>
      </c>
      <c r="BZ21" s="15">
        <v>2.8595000000000002</v>
      </c>
      <c r="CA21" s="15">
        <f t="shared" si="6"/>
        <v>2.1195499999999998</v>
      </c>
      <c r="CB21" s="15">
        <f t="shared" si="16"/>
        <v>8.2171400000000006</v>
      </c>
      <c r="CC21" s="15">
        <f t="shared" si="26"/>
        <v>2.90917</v>
      </c>
      <c r="CD21" s="15">
        <f t="shared" si="36"/>
        <v>7.17875</v>
      </c>
      <c r="CE21" s="15">
        <f t="shared" si="46"/>
        <v>20.452500000000001</v>
      </c>
      <c r="CF21" s="15">
        <f t="shared" si="56"/>
        <v>3.8794300000000002</v>
      </c>
      <c r="CG21" s="15">
        <f t="shared" si="66"/>
        <v>17.513999999999999</v>
      </c>
      <c r="CH21" s="15">
        <f t="shared" si="76"/>
        <v>9.6741700000000002</v>
      </c>
      <c r="CI21" s="15">
        <f t="shared" si="86"/>
        <v>14.793570000000001</v>
      </c>
      <c r="CL21" s="15">
        <v>0</v>
      </c>
      <c r="CM21" s="15">
        <f t="shared" si="7"/>
        <v>0</v>
      </c>
      <c r="CN21" s="15">
        <f t="shared" si="17"/>
        <v>0</v>
      </c>
      <c r="CO21" s="15">
        <f t="shared" si="27"/>
        <v>0</v>
      </c>
      <c r="CP21" s="15">
        <f t="shared" si="37"/>
        <v>0</v>
      </c>
      <c r="CQ21" s="15">
        <f t="shared" si="47"/>
        <v>2</v>
      </c>
      <c r="CR21" s="15">
        <f t="shared" si="57"/>
        <v>0</v>
      </c>
      <c r="CS21" s="15">
        <f t="shared" si="67"/>
        <v>2</v>
      </c>
      <c r="CT21" s="15">
        <f t="shared" si="77"/>
        <v>0</v>
      </c>
      <c r="CU21" s="15">
        <f t="shared" si="87"/>
        <v>2</v>
      </c>
      <c r="CX21" s="15">
        <v>70.724699999999999</v>
      </c>
      <c r="CY21" s="15">
        <f t="shared" si="8"/>
        <v>64.742099999999994</v>
      </c>
      <c r="CZ21" s="15">
        <f t="shared" si="18"/>
        <v>83.061400000000006</v>
      </c>
      <c r="DA21" s="15">
        <f t="shared" si="28"/>
        <v>71.030100000000004</v>
      </c>
      <c r="DB21" s="15">
        <f t="shared" si="38"/>
        <v>82.069699999999997</v>
      </c>
      <c r="DC21" s="15">
        <f t="shared" si="48"/>
        <v>87.200800000000001</v>
      </c>
      <c r="DD21" s="15">
        <f t="shared" si="58"/>
        <v>75.545500000000004</v>
      </c>
      <c r="DE21" s="15">
        <f t="shared" si="68"/>
        <v>86.732100000000003</v>
      </c>
      <c r="DF21" s="15">
        <f t="shared" si="78"/>
        <v>84.098399999999998</v>
      </c>
      <c r="DG21" s="15">
        <f t="shared" si="88"/>
        <v>86.132900000000006</v>
      </c>
      <c r="DJ21" s="15" t="s">
        <v>21</v>
      </c>
      <c r="DK21" s="15" t="str">
        <f t="shared" si="9"/>
        <v>LH</v>
      </c>
      <c r="DL21" s="15" t="str">
        <f t="shared" si="19"/>
        <v>HH</v>
      </c>
      <c r="DM21" s="15" t="str">
        <f t="shared" si="29"/>
        <v>LH</v>
      </c>
      <c r="DN21" s="15" t="str">
        <f t="shared" si="39"/>
        <v>HH</v>
      </c>
      <c r="DO21" s="15" t="str">
        <f t="shared" si="49"/>
        <v>LH</v>
      </c>
      <c r="DP21" s="15" t="str">
        <f t="shared" si="59"/>
        <v>LH</v>
      </c>
      <c r="DQ21" s="15" t="str">
        <f t="shared" si="69"/>
        <v>LH</v>
      </c>
      <c r="DR21" s="15" t="str">
        <f t="shared" si="79"/>
        <v>LH</v>
      </c>
      <c r="DS21" s="15" t="str">
        <f t="shared" si="89"/>
        <v>LH</v>
      </c>
      <c r="DV21" s="15">
        <f>IFERROR((G21-$F21)/$F21*100,"")</f>
        <v>0.54287908562173792</v>
      </c>
      <c r="DW21" s="15">
        <f>IFERROR((H21-$F21)/$F21*100,"")</f>
        <v>0.90707239194682232</v>
      </c>
      <c r="DX21" s="15">
        <f>IFERROR((I21-$F21)/$F21*100,"")</f>
        <v>0.51581215107309608</v>
      </c>
      <c r="DY21" s="15">
        <f>IFERROR((J21-$F21)/$F21*100,"")</f>
        <v>1.2765470513545618</v>
      </c>
      <c r="DZ21" s="15">
        <f>IFERROR((K21-$F21)/$F21*100,"")</f>
        <v>-2.4377845604043697</v>
      </c>
      <c r="EA21" s="15">
        <f>IFERROR((L21-$F21)/$F21*100,"")</f>
        <v>-2.2538174280250614</v>
      </c>
      <c r="EB21" s="15">
        <f>IFERROR((M21-$F21)/$F21*100,"")</f>
        <v>-2.118042642525015</v>
      </c>
      <c r="EC21" s="15">
        <f>IFERROR((N21-$F21)/$F21*100,"")</f>
        <v>-1.6981750724535645</v>
      </c>
      <c r="ED21" s="15">
        <f>IFERROR((O21-$F21)/$F21*100,"")</f>
        <v>-0.6905369155577683</v>
      </c>
      <c r="EG21" s="15" t="str">
        <f>IF(DV21="","",IF(AND(ABS(DV21)&lt;=0.25,$E21="Bottom",DK21="LL"),"EQL",IF(AND(ABS(DV21)&lt;=0.25,$E21="Peak",DK21="HH"),"EQH","")))</f>
        <v/>
      </c>
      <c r="EH21" s="15" t="str">
        <f>IF(DW21="","",IF(AND(ABS(DW21)&lt;=0.25,$E21="Bottom",DL21="LL"),"EQL",IF(AND(ABS(DW21)&lt;=0.25,$E21="Peak",DL21="HH"),"EQH","")))</f>
        <v/>
      </c>
      <c r="EI21" s="15" t="str">
        <f>IF(DX21="","",IF(AND(ABS(DX21)&lt;=0.25,$E21="Bottom",DM21="LL"),"EQL",IF(AND(ABS(DX21)&lt;=0.25,$E21="Peak",DM21="HH"),"EQH","")))</f>
        <v/>
      </c>
      <c r="EJ21" s="15" t="str">
        <f>IF(DY21="","",IF(AND(ABS(DY21)&lt;=0.25,$E21="Bottom",DN21="LL"),"EQL",IF(AND(ABS(DY21)&lt;=0.25,$E21="Peak",DN21="HH"),"EQH","")))</f>
        <v/>
      </c>
      <c r="EK21" s="15" t="str">
        <f>IF(DZ21="","",IF(AND(ABS(DZ21)&lt;=0.25,$E21="Bottom",DO21="LL"),"EQL",IF(AND(ABS(DZ21)&lt;=0.25,$E21="Peak",DO21="HH"),"EQH","")))</f>
        <v/>
      </c>
      <c r="EL21" s="15" t="str">
        <f>IF(EA21="","",IF(AND(ABS(EA21)&lt;=0.25,$E21="Bottom",DP21="LL"),"EQL",IF(AND(ABS(EA21)&lt;=0.25,$E21="Peak",DP21="HH"),"EQH","")))</f>
        <v/>
      </c>
      <c r="EM21" s="15" t="str">
        <f>IF(EB21="","",IF(AND(ABS(EB21)&lt;=0.25,$E21="Bottom",DQ21="LL"),"EQL",IF(AND(ABS(EB21)&lt;=0.25,$E21="Peak",DQ21="HH"),"EQH","")))</f>
        <v/>
      </c>
      <c r="EN21" s="15" t="str">
        <f>IF(EC21="","",IF(AND(ABS(EC21)&lt;=0.25,$E21="Bottom",DR21="LL"),"EQL",IF(AND(ABS(EC21)&lt;=0.25,$E21="Peak",DR21="HH"),"EQH","")))</f>
        <v/>
      </c>
      <c r="EO21" s="15" t="str">
        <f>IF(ED21="","",IF(AND(ABS(ED21)&lt;=0.25,$E21="Bottom",DS21="LL"),"EQL",IF(AND(ABS(ED21)&lt;=0.25,$E21="Peak",DS21="HH"),"EQH","")))</f>
        <v/>
      </c>
      <c r="EP21" s="15" t="str">
        <f>IF(EE21="","",IF(AND(ABS(EE21)&lt;=0.25,$E21="Bottom",DT21="LL"),"EQL",IF(AND(ABS(EE21)&lt;=0.25,$E21="Peak",DT21="HH"),"EQH","")))</f>
        <v/>
      </c>
      <c r="EQ21" s="15" t="str">
        <f>IF(EF21="","",IF(AND(ABS(EF21)&lt;=0.25,$E21="Bottom",DU21="LL"),"EQL",IF(AND(ABS(EF21)&lt;=0.25,$E21="Peak",DU21="HH"),"EQH","")))</f>
        <v/>
      </c>
      <c r="ER21" s="15" t="str">
        <f>IF(OR(EG21="EQL",EG21="EQH"),F21,"")</f>
        <v/>
      </c>
      <c r="ES21" s="15" t="str">
        <f>IF(OR(EH21="EQL",EH21="EQH"),G21,"")</f>
        <v/>
      </c>
      <c r="ET21" s="15" t="str">
        <f>IF(OR(EI21="EQL",EI21="EQH"),H21,"")</f>
        <v/>
      </c>
      <c r="EU21" s="15" t="str">
        <f>IF(OR(EJ21="EQL",EJ21="EQH"),I21,"")</f>
        <v/>
      </c>
      <c r="EV21" s="15" t="str">
        <f>IF(OR(EK21="EQL",EK21="EQH"),J21,"")</f>
        <v/>
      </c>
      <c r="EW21" s="15" t="str">
        <f>IF(OR(EL21="EQL",EL21="EQH"),K21,"")</f>
        <v/>
      </c>
      <c r="EX21" s="15" t="str">
        <f>IF(OR(EM21="EQL",EM21="EQH"),L21,"")</f>
        <v/>
      </c>
      <c r="EY21" s="15" t="str">
        <f>IF(OR(EN21="EQL",EN21="EQH"),M21,"")</f>
        <v/>
      </c>
      <c r="EZ21" s="15" t="str">
        <f>IF(OR(EO21="EQL",EO21="EQH"),N21,"")</f>
        <v/>
      </c>
      <c r="FA21" s="15" t="str">
        <f>IF(OR(EP21="EQL",EP21="EQH"),O21,"")</f>
        <v/>
      </c>
      <c r="FB21" s="15" t="str">
        <f>IF(OR(EQ21="EQL",EQ21="EQH"),P21,"")</f>
        <v/>
      </c>
      <c r="FC21" s="15" t="str">
        <f>IF(AND(EG21="EQL",OR(AQ21=4,AQ21=5)),"IEQL",IF(AND(EG21="EQH",OR(AQ21=1,AQ21=2)),"IEQH",""))</f>
        <v/>
      </c>
      <c r="FD21" s="15" t="str">
        <f>IF(AND(EH21="EQL",OR(AR21=4,AR21=5)),"IEQL",IF(AND(EH21="EQH",OR(AR21=1,AR21=2)),"IEQH",""))</f>
        <v/>
      </c>
      <c r="FE21" s="15" t="str">
        <f>IF(AND(EI21="EQL",OR(AS21=4,AS21=5)),"IEQL",IF(AND(EI21="EQH",OR(AS21=1,AS21=2)),"IEQH",""))</f>
        <v/>
      </c>
      <c r="FF21" s="15" t="str">
        <f>IF(AND(EJ21="EQL",OR(AT21=4,AT21=5)),"IEQL",IF(AND(EJ21="EQH",OR(AT21=1,AT21=2)),"IEQH",""))</f>
        <v/>
      </c>
      <c r="FG21" s="15" t="str">
        <f>IF(AND(EK21="EQL",OR(AU21=4,AU21=5)),"IEQL",IF(AND(EK21="EQH",OR(AU21=1,AU21=2)),"IEQH",""))</f>
        <v/>
      </c>
      <c r="FH21" s="15" t="str">
        <f>IF(AND(EL21="EQL",OR(AV21=4,AV21=5)),"IEQL",IF(AND(EL21="EQH",OR(AV21=1,AV21=2)),"IEQH",""))</f>
        <v/>
      </c>
      <c r="FI21" s="15" t="str">
        <f>IF(AND(EM21="EQL",OR(AW21=4,AW21=5)),"IEQL",IF(AND(EM21="EQH",OR(AW21=1,AW21=2)),"IEQH",""))</f>
        <v/>
      </c>
      <c r="FJ21" s="15" t="str">
        <f>IF(AND(EN21="EQL",OR(AX21=4,AX21=5)),"IEQL",IF(AND(EN21="EQH",OR(AX21=1,AX21=2)),"IEQH",""))</f>
        <v/>
      </c>
      <c r="FK21" s="15" t="str">
        <f>IF(AND(EO21="EQL",OR(AY21=4,AY21=5)),"IEQL",IF(AND(EO21="EQH",OR(AY21=1,AY21=2)),"IEQH",""))</f>
        <v/>
      </c>
      <c r="FL21" s="15" t="str">
        <f>IF(AND(EP21="EQL",OR(AZ21=4,AZ21=5)),"IEQL",IF(AND(EP21="EQH",OR(AZ21=1,AZ21=2)),"IEQH",""))</f>
        <v/>
      </c>
      <c r="FM21" s="15" t="str">
        <f>IF(AND(EQ21="EQL",OR(BA21=4,BA21=5)),"IEQL",IF(AND(EQ21="EQH",OR(BA21=1,BA21=2)),"IEQH",""))</f>
        <v/>
      </c>
      <c r="FN21" s="15" t="str">
        <f>IF(OR(AND(DJ21="LL",AP21=5),AND(DJ21="HH",AP21=2)),F21,"")</f>
        <v/>
      </c>
      <c r="FO21" s="15" t="str">
        <f>IF(FN21&lt;&gt;"",F20,"")</f>
        <v/>
      </c>
    </row>
    <row r="22" spans="1:171" s="15" customFormat="1" x14ac:dyDescent="0.55000000000000004">
      <c r="A22" s="15">
        <v>1774513806</v>
      </c>
      <c r="B22" s="15" t="s">
        <v>16</v>
      </c>
      <c r="C22" s="15" t="s">
        <v>17</v>
      </c>
      <c r="D22" s="15">
        <v>4420.09</v>
      </c>
      <c r="E22" s="15" t="s">
        <v>18</v>
      </c>
      <c r="F22" s="15">
        <v>4413.24</v>
      </c>
      <c r="G22" s="15">
        <f t="shared" si="0"/>
        <v>4487.1000000000004</v>
      </c>
      <c r="H22" s="15">
        <f t="shared" si="10"/>
        <v>4522.33</v>
      </c>
      <c r="I22" s="15">
        <f t="shared" si="20"/>
        <v>4527.99</v>
      </c>
      <c r="J22" s="15">
        <f t="shared" si="30"/>
        <v>4532.82</v>
      </c>
      <c r="K22" s="15">
        <f t="shared" si="40"/>
        <v>4372.58</v>
      </c>
      <c r="L22" s="15">
        <f t="shared" si="50"/>
        <v>4351.7</v>
      </c>
      <c r="M22" s="15">
        <f t="shared" si="60"/>
        <v>4306.09</v>
      </c>
      <c r="N22" s="15">
        <f t="shared" si="70"/>
        <v>4360.47</v>
      </c>
      <c r="O22" s="15">
        <f t="shared" si="80"/>
        <v>4351.03</v>
      </c>
      <c r="P22" s="15">
        <f t="shared" ref="P22:P53" si="90">F2</f>
        <v>4098.6899999999996</v>
      </c>
      <c r="R22" s="15">
        <v>-131.05000000000001</v>
      </c>
      <c r="S22" s="15">
        <f t="shared" si="1"/>
        <v>-81.86</v>
      </c>
      <c r="T22" s="15">
        <f t="shared" si="11"/>
        <v>-63.18</v>
      </c>
      <c r="U22" s="15">
        <f t="shared" si="21"/>
        <v>-39.74</v>
      </c>
      <c r="V22" s="15">
        <f t="shared" si="31"/>
        <v>-69.48</v>
      </c>
      <c r="W22" s="15">
        <f t="shared" si="41"/>
        <v>-60.93</v>
      </c>
      <c r="X22" s="15">
        <f t="shared" si="51"/>
        <v>-90.17</v>
      </c>
      <c r="Y22" s="15">
        <f t="shared" si="61"/>
        <v>-141.94999999999999</v>
      </c>
      <c r="Z22" s="15">
        <f t="shared" si="71"/>
        <v>-106.65</v>
      </c>
      <c r="AA22" s="15">
        <f t="shared" si="81"/>
        <v>-161.88</v>
      </c>
      <c r="AB22" s="15">
        <f t="shared" ref="AB22:AB53" si="91">R2</f>
        <v>-636.09</v>
      </c>
      <c r="AD22" s="15">
        <v>-2.88</v>
      </c>
      <c r="AE22" s="15">
        <f t="shared" si="2"/>
        <v>-1.79</v>
      </c>
      <c r="AF22" s="15">
        <f t="shared" si="12"/>
        <v>-1.38</v>
      </c>
      <c r="AG22" s="15">
        <f t="shared" si="22"/>
        <v>-0.87</v>
      </c>
      <c r="AH22" s="15">
        <f t="shared" si="32"/>
        <v>-1.51</v>
      </c>
      <c r="AI22" s="15">
        <f t="shared" si="42"/>
        <v>-1.37</v>
      </c>
      <c r="AJ22" s="15">
        <f t="shared" si="52"/>
        <v>-2.0299999999999998</v>
      </c>
      <c r="AK22" s="15">
        <f t="shared" si="62"/>
        <v>-3.19</v>
      </c>
      <c r="AL22" s="15">
        <f t="shared" si="72"/>
        <v>-2.39</v>
      </c>
      <c r="AM22" s="15">
        <f t="shared" si="82"/>
        <v>-3.59</v>
      </c>
      <c r="AN22" s="15">
        <f t="shared" ref="AN22:AN53" si="92">AD2</f>
        <v>-13.43</v>
      </c>
      <c r="AP22" s="15">
        <v>3</v>
      </c>
      <c r="AQ22" s="15">
        <f t="shared" si="3"/>
        <v>3</v>
      </c>
      <c r="AR22" s="15">
        <f t="shared" si="13"/>
        <v>3</v>
      </c>
      <c r="AS22" s="15">
        <f t="shared" si="23"/>
        <v>3</v>
      </c>
      <c r="AT22" s="15">
        <f t="shared" si="33"/>
        <v>3</v>
      </c>
      <c r="AU22" s="15">
        <f t="shared" si="43"/>
        <v>3</v>
      </c>
      <c r="AV22" s="15">
        <f t="shared" si="53"/>
        <v>3</v>
      </c>
      <c r="AW22" s="15">
        <f t="shared" si="63"/>
        <v>3</v>
      </c>
      <c r="AX22" s="15">
        <f t="shared" si="73"/>
        <v>3</v>
      </c>
      <c r="AY22" s="15">
        <f t="shared" si="83"/>
        <v>3</v>
      </c>
      <c r="AZ22" s="15">
        <f t="shared" ref="AZ22:AZ53" si="93">AP2</f>
        <v>5</v>
      </c>
      <c r="BB22" s="15">
        <v>30</v>
      </c>
      <c r="BC22" s="15">
        <f t="shared" si="4"/>
        <v>4</v>
      </c>
      <c r="BD22" s="15">
        <f t="shared" si="14"/>
        <v>4</v>
      </c>
      <c r="BE22" s="15">
        <f t="shared" si="24"/>
        <v>3</v>
      </c>
      <c r="BF22" s="15">
        <f t="shared" si="34"/>
        <v>13</v>
      </c>
      <c r="BG22" s="15">
        <f t="shared" si="44"/>
        <v>12</v>
      </c>
      <c r="BH22" s="15">
        <f t="shared" si="54"/>
        <v>12</v>
      </c>
      <c r="BI22" s="15">
        <f t="shared" si="64"/>
        <v>11</v>
      </c>
      <c r="BJ22" s="15">
        <f t="shared" si="74"/>
        <v>9</v>
      </c>
      <c r="BK22" s="15">
        <f t="shared" si="84"/>
        <v>6</v>
      </c>
      <c r="BL22" s="15">
        <f t="shared" ref="BL22:BL53" si="94">BB2</f>
        <v>88</v>
      </c>
      <c r="BN22" s="15">
        <v>3</v>
      </c>
      <c r="BO22" s="15">
        <f t="shared" si="5"/>
        <v>3</v>
      </c>
      <c r="BP22" s="15">
        <f t="shared" si="15"/>
        <v>3</v>
      </c>
      <c r="BQ22" s="15">
        <f t="shared" si="25"/>
        <v>3</v>
      </c>
      <c r="BR22" s="15">
        <f t="shared" si="35"/>
        <v>3</v>
      </c>
      <c r="BS22" s="15">
        <f t="shared" si="45"/>
        <v>3</v>
      </c>
      <c r="BT22" s="15">
        <f t="shared" si="55"/>
        <v>3</v>
      </c>
      <c r="BU22" s="15">
        <f t="shared" si="65"/>
        <v>3</v>
      </c>
      <c r="BV22" s="15">
        <f t="shared" si="75"/>
        <v>3</v>
      </c>
      <c r="BW22" s="15">
        <f t="shared" si="85"/>
        <v>3</v>
      </c>
      <c r="BX22" s="15">
        <f t="shared" ref="BX22:BX53" si="95">BN2</f>
        <v>5</v>
      </c>
      <c r="BZ22" s="15">
        <v>-4.3683300000000003</v>
      </c>
      <c r="CA22" s="15">
        <f t="shared" si="6"/>
        <v>-20.465</v>
      </c>
      <c r="CB22" s="15">
        <f t="shared" si="16"/>
        <v>-15.795</v>
      </c>
      <c r="CC22" s="15">
        <f t="shared" si="26"/>
        <v>-13.24667</v>
      </c>
      <c r="CD22" s="15">
        <f t="shared" si="36"/>
        <v>-5.3446199999999999</v>
      </c>
      <c r="CE22" s="15">
        <f t="shared" si="46"/>
        <v>-5.0774999999999997</v>
      </c>
      <c r="CF22" s="15">
        <f t="shared" si="56"/>
        <v>-7.51417</v>
      </c>
      <c r="CG22" s="15">
        <f t="shared" si="66"/>
        <v>-12.90455</v>
      </c>
      <c r="CH22" s="15">
        <f t="shared" si="76"/>
        <v>-11.85</v>
      </c>
      <c r="CI22" s="15">
        <f t="shared" si="86"/>
        <v>-26.98</v>
      </c>
      <c r="CJ22" s="15">
        <f t="shared" ref="CJ22:CJ53" si="96">BZ2</f>
        <v>-7.2282999999999999</v>
      </c>
      <c r="CL22" s="15">
        <v>3</v>
      </c>
      <c r="CM22" s="15">
        <f t="shared" si="7"/>
        <v>5</v>
      </c>
      <c r="CN22" s="15">
        <f t="shared" si="17"/>
        <v>4</v>
      </c>
      <c r="CO22" s="15">
        <f t="shared" si="27"/>
        <v>3</v>
      </c>
      <c r="CP22" s="15">
        <f t="shared" si="37"/>
        <v>3</v>
      </c>
      <c r="CQ22" s="15">
        <f t="shared" si="47"/>
        <v>3</v>
      </c>
      <c r="CR22" s="15">
        <f t="shared" si="57"/>
        <v>3</v>
      </c>
      <c r="CS22" s="15">
        <f t="shared" si="67"/>
        <v>4</v>
      </c>
      <c r="CT22" s="15">
        <f t="shared" si="77"/>
        <v>3</v>
      </c>
      <c r="CU22" s="15">
        <f t="shared" si="87"/>
        <v>5</v>
      </c>
      <c r="CV22" s="15">
        <f t="shared" ref="CV22:CV53" si="97">CL2</f>
        <v>3</v>
      </c>
      <c r="CX22" s="15">
        <v>-77.105999999999995</v>
      </c>
      <c r="CY22" s="15">
        <f t="shared" si="8"/>
        <v>-87.202500000000001</v>
      </c>
      <c r="CZ22" s="15">
        <f t="shared" si="18"/>
        <v>-86.377399999999994</v>
      </c>
      <c r="DA22" s="15">
        <f t="shared" si="28"/>
        <v>-85.682900000000004</v>
      </c>
      <c r="DB22" s="15">
        <f t="shared" si="38"/>
        <v>-79.402299999999997</v>
      </c>
      <c r="DC22" s="15">
        <f t="shared" si="48"/>
        <v>-78.8583</v>
      </c>
      <c r="DD22" s="15">
        <f t="shared" si="58"/>
        <v>-82.419499999999999</v>
      </c>
      <c r="DE22" s="15">
        <f t="shared" si="68"/>
        <v>-85.568899999999999</v>
      </c>
      <c r="DF22" s="15">
        <f t="shared" si="78"/>
        <v>-85.176299999999998</v>
      </c>
      <c r="DG22" s="15">
        <f t="shared" si="88"/>
        <v>-87.877300000000005</v>
      </c>
      <c r="DH22" s="15">
        <f t="shared" ref="DH22:DH53" si="98">CX2</f>
        <v>-82.123400000000004</v>
      </c>
      <c r="DJ22" s="15" t="s">
        <v>19</v>
      </c>
      <c r="DK22" s="15" t="str">
        <f t="shared" si="9"/>
        <v>LL</v>
      </c>
      <c r="DL22" s="15" t="str">
        <f t="shared" si="19"/>
        <v>LL</v>
      </c>
      <c r="DM22" s="15" t="str">
        <f t="shared" si="29"/>
        <v>LL</v>
      </c>
      <c r="DN22" s="15" t="str">
        <f t="shared" si="39"/>
        <v>HL</v>
      </c>
      <c r="DO22" s="15" t="str">
        <f t="shared" si="49"/>
        <v>HL</v>
      </c>
      <c r="DP22" s="15" t="str">
        <f t="shared" si="59"/>
        <v>HL</v>
      </c>
      <c r="DQ22" s="15" t="str">
        <f t="shared" si="69"/>
        <v>LL</v>
      </c>
      <c r="DR22" s="15" t="str">
        <f t="shared" si="79"/>
        <v>HL</v>
      </c>
      <c r="DS22" s="15" t="str">
        <f t="shared" si="89"/>
        <v>HL</v>
      </c>
      <c r="DT22" s="15" t="str">
        <f t="shared" ref="DT22:DT53" si="99">DJ2</f>
        <v>LL</v>
      </c>
      <c r="DV22" s="15">
        <f>IFERROR((G22-$F22)/$F22*100,"")</f>
        <v>1.6736003480436272</v>
      </c>
      <c r="DW22" s="15">
        <f>IFERROR((H22-$F22)/$F22*100,"")</f>
        <v>2.471880069971272</v>
      </c>
      <c r="DX22" s="15">
        <f>IFERROR((I22-$F22)/$F22*100,"")</f>
        <v>2.600130516355331</v>
      </c>
      <c r="DY22" s="15">
        <f>IFERROR((J22-$F22)/$F22*100,"")</f>
        <v>2.7095739184816581</v>
      </c>
      <c r="DZ22" s="15">
        <f>IFERROR((K22-$F22)/$F22*100,"")</f>
        <v>-0.92131857773426906</v>
      </c>
      <c r="EA22" s="15">
        <f>IFERROR((L22-$F22)/$F22*100,"")</f>
        <v>-1.3944403658083395</v>
      </c>
      <c r="EB22" s="15">
        <f>IFERROR((M22-$F22)/$F22*100,"")</f>
        <v>-2.4279214364049913</v>
      </c>
      <c r="EC22" s="15">
        <f>IFERROR((N22-$F22)/$F22*100,"")</f>
        <v>-1.1957201511814344</v>
      </c>
      <c r="ED22" s="15">
        <f>IFERROR((O22-$F22)/$F22*100,"")</f>
        <v>-1.409621955751331</v>
      </c>
      <c r="EE22" s="15">
        <f>IFERROR((P22-$F22)/$F22*100,"")</f>
        <v>-7.1274165918916763</v>
      </c>
      <c r="EG22" s="15" t="str">
        <f>IF(DV22="","",IF(AND(ABS(DV22)&lt;=0.25,$E22="Bottom",DK22="LL"),"EQL",IF(AND(ABS(DV22)&lt;=0.25,$E22="Peak",DK22="HH"),"EQH","")))</f>
        <v/>
      </c>
      <c r="EH22" s="15" t="str">
        <f>IF(DW22="","",IF(AND(ABS(DW22)&lt;=0.25,$E22="Bottom",DL22="LL"),"EQL",IF(AND(ABS(DW22)&lt;=0.25,$E22="Peak",DL22="HH"),"EQH","")))</f>
        <v/>
      </c>
      <c r="EI22" s="15" t="str">
        <f>IF(DX22="","",IF(AND(ABS(DX22)&lt;=0.25,$E22="Bottom",DM22="LL"),"EQL",IF(AND(ABS(DX22)&lt;=0.25,$E22="Peak",DM22="HH"),"EQH","")))</f>
        <v/>
      </c>
      <c r="EJ22" s="15" t="str">
        <f>IF(DY22="","",IF(AND(ABS(DY22)&lt;=0.25,$E22="Bottom",DN22="LL"),"EQL",IF(AND(ABS(DY22)&lt;=0.25,$E22="Peak",DN22="HH"),"EQH","")))</f>
        <v/>
      </c>
      <c r="EK22" s="15" t="str">
        <f>IF(DZ22="","",IF(AND(ABS(DZ22)&lt;=0.25,$E22="Bottom",DO22="LL"),"EQL",IF(AND(ABS(DZ22)&lt;=0.25,$E22="Peak",DO22="HH"),"EQH","")))</f>
        <v/>
      </c>
      <c r="EL22" s="15" t="str">
        <f>IF(EA22="","",IF(AND(ABS(EA22)&lt;=0.25,$E22="Bottom",DP22="LL"),"EQL",IF(AND(ABS(EA22)&lt;=0.25,$E22="Peak",DP22="HH"),"EQH","")))</f>
        <v/>
      </c>
      <c r="EM22" s="15" t="str">
        <f>IF(EB22="","",IF(AND(ABS(EB22)&lt;=0.25,$E22="Bottom",DQ22="LL"),"EQL",IF(AND(ABS(EB22)&lt;=0.25,$E22="Peak",DQ22="HH"),"EQH","")))</f>
        <v/>
      </c>
      <c r="EN22" s="15" t="str">
        <f>IF(EC22="","",IF(AND(ABS(EC22)&lt;=0.25,$E22="Bottom",DR22="LL"),"EQL",IF(AND(ABS(EC22)&lt;=0.25,$E22="Peak",DR22="HH"),"EQH","")))</f>
        <v/>
      </c>
      <c r="EO22" s="15" t="str">
        <f>IF(ED22="","",IF(AND(ABS(ED22)&lt;=0.25,$E22="Bottom",DS22="LL"),"EQL",IF(AND(ABS(ED22)&lt;=0.25,$E22="Peak",DS22="HH"),"EQH","")))</f>
        <v/>
      </c>
      <c r="EP22" s="15" t="str">
        <f>IF(EE22="","",IF(AND(ABS(EE22)&lt;=0.25,$E22="Bottom",DT22="LL"),"EQL",IF(AND(ABS(EE22)&lt;=0.25,$E22="Peak",DT22="HH"),"EQH","")))</f>
        <v/>
      </c>
      <c r="EQ22" s="15" t="str">
        <f>IF(EF22="","",IF(AND(ABS(EF22)&lt;=0.25,$E22="Bottom",DU22="LL"),"EQL",IF(AND(ABS(EF22)&lt;=0.25,$E22="Peak",DU22="HH"),"EQH","")))</f>
        <v/>
      </c>
      <c r="ER22" s="15" t="str">
        <f>IF(OR(EG22="EQL",EG22="EQH"),F22,"")</f>
        <v/>
      </c>
      <c r="ES22" s="15" t="str">
        <f>IF(OR(EH22="EQL",EH22="EQH"),G22,"")</f>
        <v/>
      </c>
      <c r="ET22" s="15" t="str">
        <f>IF(OR(EI22="EQL",EI22="EQH"),H22,"")</f>
        <v/>
      </c>
      <c r="EU22" s="15" t="str">
        <f>IF(OR(EJ22="EQL",EJ22="EQH"),I22,"")</f>
        <v/>
      </c>
      <c r="EV22" s="15" t="str">
        <f>IF(OR(EK22="EQL",EK22="EQH"),J22,"")</f>
        <v/>
      </c>
      <c r="EW22" s="15" t="str">
        <f>IF(OR(EL22="EQL",EL22="EQH"),K22,"")</f>
        <v/>
      </c>
      <c r="EX22" s="15" t="str">
        <f>IF(OR(EM22="EQL",EM22="EQH"),L22,"")</f>
        <v/>
      </c>
      <c r="EY22" s="15" t="str">
        <f>IF(OR(EN22="EQL",EN22="EQH"),M22,"")</f>
        <v/>
      </c>
      <c r="EZ22" s="15" t="str">
        <f>IF(OR(EO22="EQL",EO22="EQH"),N22,"")</f>
        <v/>
      </c>
      <c r="FA22" s="15" t="str">
        <f>IF(OR(EP22="EQL",EP22="EQH"),O22,"")</f>
        <v/>
      </c>
      <c r="FB22" s="15" t="str">
        <f>IF(OR(EQ22="EQL",EQ22="EQH"),P22,"")</f>
        <v/>
      </c>
      <c r="FC22" s="15" t="str">
        <f>IF(AND(EG22="EQL",OR(AQ22=4,AQ22=5)),"IEQL",IF(AND(EG22="EQH",OR(AQ22=1,AQ22=2)),"IEQH",""))</f>
        <v/>
      </c>
      <c r="FD22" s="15" t="str">
        <f>IF(AND(EH22="EQL",OR(AR22=4,AR22=5)),"IEQL",IF(AND(EH22="EQH",OR(AR22=1,AR22=2)),"IEQH",""))</f>
        <v/>
      </c>
      <c r="FE22" s="15" t="str">
        <f>IF(AND(EI22="EQL",OR(AS22=4,AS22=5)),"IEQL",IF(AND(EI22="EQH",OR(AS22=1,AS22=2)),"IEQH",""))</f>
        <v/>
      </c>
      <c r="FF22" s="15" t="str">
        <f>IF(AND(EJ22="EQL",OR(AT22=4,AT22=5)),"IEQL",IF(AND(EJ22="EQH",OR(AT22=1,AT22=2)),"IEQH",""))</f>
        <v/>
      </c>
      <c r="FG22" s="15" t="str">
        <f>IF(AND(EK22="EQL",OR(AU22=4,AU22=5)),"IEQL",IF(AND(EK22="EQH",OR(AU22=1,AU22=2)),"IEQH",""))</f>
        <v/>
      </c>
      <c r="FH22" s="15" t="str">
        <f>IF(AND(EL22="EQL",OR(AV22=4,AV22=5)),"IEQL",IF(AND(EL22="EQH",OR(AV22=1,AV22=2)),"IEQH",""))</f>
        <v/>
      </c>
      <c r="FI22" s="15" t="str">
        <f>IF(AND(EM22="EQL",OR(AW22=4,AW22=5)),"IEQL",IF(AND(EM22="EQH",OR(AW22=1,AW22=2)),"IEQH",""))</f>
        <v/>
      </c>
      <c r="FJ22" s="15" t="str">
        <f>IF(AND(EN22="EQL",OR(AX22=4,AX22=5)),"IEQL",IF(AND(EN22="EQH",OR(AX22=1,AX22=2)),"IEQH",""))</f>
        <v/>
      </c>
      <c r="FK22" s="15" t="str">
        <f>IF(AND(EO22="EQL",OR(AY22=4,AY22=5)),"IEQL",IF(AND(EO22="EQH",OR(AY22=1,AY22=2)),"IEQH",""))</f>
        <v/>
      </c>
      <c r="FL22" s="15" t="str">
        <f>IF(AND(EP22="EQL",OR(AZ22=4,AZ22=5)),"IEQL",IF(AND(EP22="EQH",OR(AZ22=1,AZ22=2)),"IEQH",""))</f>
        <v/>
      </c>
      <c r="FM22" s="15" t="str">
        <f>IF(AND(EQ22="EQL",OR(BA22=4,BA22=5)),"IEQL",IF(AND(EQ22="EQH",OR(BA22=1,BA22=2)),"IEQH",""))</f>
        <v/>
      </c>
      <c r="FN22" s="15" t="str">
        <f>IF(OR(AND(DJ22="LL",AP22=5),AND(DJ22="HH",AP22=2)),F22,"")</f>
        <v/>
      </c>
      <c r="FO22" s="15" t="str">
        <f>IF(FN22&lt;&gt;"",F21,"")</f>
        <v/>
      </c>
    </row>
    <row r="23" spans="1:171" s="15" customFormat="1" x14ac:dyDescent="0.55000000000000004">
      <c r="A23" s="15">
        <v>1774535406</v>
      </c>
      <c r="B23" s="15" t="s">
        <v>16</v>
      </c>
      <c r="C23" s="15" t="s">
        <v>17</v>
      </c>
      <c r="D23" s="15">
        <v>4461.2700000000004</v>
      </c>
      <c r="E23" s="15" t="s">
        <v>20</v>
      </c>
      <c r="F23" s="15">
        <v>4479.1400000000003</v>
      </c>
      <c r="G23" s="15">
        <f t="shared" si="0"/>
        <v>4544.29</v>
      </c>
      <c r="H23" s="15">
        <f t="shared" si="10"/>
        <v>4568.96</v>
      </c>
      <c r="I23" s="15">
        <f t="shared" si="20"/>
        <v>4585.51</v>
      </c>
      <c r="J23" s="15">
        <f t="shared" si="30"/>
        <v>4567.7299999999996</v>
      </c>
      <c r="K23" s="15">
        <f t="shared" si="40"/>
        <v>4602.3</v>
      </c>
      <c r="L23" s="15">
        <f t="shared" si="50"/>
        <v>4433.51</v>
      </c>
      <c r="M23" s="15">
        <f t="shared" si="60"/>
        <v>4441.87</v>
      </c>
      <c r="N23" s="15">
        <f t="shared" si="70"/>
        <v>4448.04</v>
      </c>
      <c r="O23" s="15">
        <f t="shared" si="80"/>
        <v>4467.12</v>
      </c>
      <c r="P23" s="15">
        <f t="shared" si="90"/>
        <v>4512.91</v>
      </c>
      <c r="R23" s="15">
        <v>65.900000000000006</v>
      </c>
      <c r="S23" s="15">
        <f t="shared" si="1"/>
        <v>57.19</v>
      </c>
      <c r="T23" s="15">
        <f t="shared" si="11"/>
        <v>46.63</v>
      </c>
      <c r="U23" s="15">
        <f t="shared" si="21"/>
        <v>57.52</v>
      </c>
      <c r="V23" s="15">
        <f t="shared" si="31"/>
        <v>34.909999999999997</v>
      </c>
      <c r="W23" s="15">
        <f t="shared" si="41"/>
        <v>229.72</v>
      </c>
      <c r="X23" s="15">
        <f t="shared" si="51"/>
        <v>81.81</v>
      </c>
      <c r="Y23" s="15">
        <f t="shared" si="61"/>
        <v>135.78</v>
      </c>
      <c r="Z23" s="15">
        <f t="shared" si="71"/>
        <v>87.57</v>
      </c>
      <c r="AA23" s="15">
        <f t="shared" si="81"/>
        <v>116.09</v>
      </c>
      <c r="AB23" s="15">
        <f t="shared" si="91"/>
        <v>414.22</v>
      </c>
      <c r="AD23" s="15">
        <v>1.49</v>
      </c>
      <c r="AE23" s="15">
        <f t="shared" si="2"/>
        <v>1.27</v>
      </c>
      <c r="AF23" s="15">
        <f t="shared" si="12"/>
        <v>1.03</v>
      </c>
      <c r="AG23" s="15">
        <f t="shared" si="22"/>
        <v>1.27</v>
      </c>
      <c r="AH23" s="15">
        <f t="shared" si="32"/>
        <v>0.77</v>
      </c>
      <c r="AI23" s="15">
        <f t="shared" si="42"/>
        <v>5.25</v>
      </c>
      <c r="AJ23" s="15">
        <f t="shared" si="52"/>
        <v>1.88</v>
      </c>
      <c r="AK23" s="15">
        <f t="shared" si="62"/>
        <v>3.15</v>
      </c>
      <c r="AL23" s="15">
        <f t="shared" si="72"/>
        <v>2.0099999999999998</v>
      </c>
      <c r="AM23" s="15">
        <f t="shared" si="82"/>
        <v>2.67</v>
      </c>
      <c r="AN23" s="15">
        <f t="shared" si="92"/>
        <v>10.11</v>
      </c>
      <c r="AP23" s="15">
        <v>0</v>
      </c>
      <c r="AQ23" s="15">
        <f t="shared" si="3"/>
        <v>0</v>
      </c>
      <c r="AR23" s="15">
        <f t="shared" si="13"/>
        <v>0</v>
      </c>
      <c r="AS23" s="15">
        <f t="shared" si="23"/>
        <v>0</v>
      </c>
      <c r="AT23" s="15">
        <f t="shared" si="33"/>
        <v>0</v>
      </c>
      <c r="AU23" s="15">
        <f t="shared" si="43"/>
        <v>0</v>
      </c>
      <c r="AV23" s="15">
        <f t="shared" si="53"/>
        <v>0</v>
      </c>
      <c r="AW23" s="15">
        <f t="shared" si="63"/>
        <v>0</v>
      </c>
      <c r="AX23" s="15">
        <f t="shared" si="73"/>
        <v>0</v>
      </c>
      <c r="AY23" s="15">
        <f t="shared" si="83"/>
        <v>0</v>
      </c>
      <c r="AZ23" s="15">
        <f t="shared" si="93"/>
        <v>2</v>
      </c>
      <c r="BB23" s="15">
        <v>24</v>
      </c>
      <c r="BC23" s="15">
        <f t="shared" si="4"/>
        <v>20</v>
      </c>
      <c r="BD23" s="15">
        <f t="shared" si="14"/>
        <v>22</v>
      </c>
      <c r="BE23" s="15">
        <f t="shared" si="24"/>
        <v>7</v>
      </c>
      <c r="BF23" s="15">
        <f t="shared" si="34"/>
        <v>12</v>
      </c>
      <c r="BG23" s="15">
        <f t="shared" si="44"/>
        <v>32</v>
      </c>
      <c r="BH23" s="15">
        <f t="shared" si="54"/>
        <v>4</v>
      </c>
      <c r="BI23" s="15">
        <f t="shared" si="64"/>
        <v>35</v>
      </c>
      <c r="BJ23" s="15">
        <f t="shared" si="74"/>
        <v>5</v>
      </c>
      <c r="BK23" s="15">
        <f t="shared" si="84"/>
        <v>12</v>
      </c>
      <c r="BL23" s="15">
        <f t="shared" si="94"/>
        <v>28</v>
      </c>
      <c r="BN23" s="15">
        <v>0</v>
      </c>
      <c r="BO23" s="15">
        <f t="shared" si="5"/>
        <v>0</v>
      </c>
      <c r="BP23" s="15">
        <f t="shared" si="15"/>
        <v>0</v>
      </c>
      <c r="BQ23" s="15">
        <f t="shared" si="25"/>
        <v>0</v>
      </c>
      <c r="BR23" s="15">
        <f t="shared" si="35"/>
        <v>0</v>
      </c>
      <c r="BS23" s="15">
        <f t="shared" si="45"/>
        <v>0</v>
      </c>
      <c r="BT23" s="15">
        <f t="shared" si="55"/>
        <v>0</v>
      </c>
      <c r="BU23" s="15">
        <f t="shared" si="65"/>
        <v>0</v>
      </c>
      <c r="BV23" s="15">
        <f t="shared" si="75"/>
        <v>0</v>
      </c>
      <c r="BW23" s="15">
        <f t="shared" si="85"/>
        <v>0</v>
      </c>
      <c r="BX23" s="15">
        <f t="shared" si="95"/>
        <v>0</v>
      </c>
      <c r="BZ23" s="15">
        <v>2.7458300000000002</v>
      </c>
      <c r="CA23" s="15">
        <f t="shared" si="6"/>
        <v>2.8595000000000002</v>
      </c>
      <c r="CB23" s="15">
        <f t="shared" si="16"/>
        <v>2.1195499999999998</v>
      </c>
      <c r="CC23" s="15">
        <f t="shared" si="26"/>
        <v>8.2171400000000006</v>
      </c>
      <c r="CD23" s="15">
        <f t="shared" si="36"/>
        <v>2.90917</v>
      </c>
      <c r="CE23" s="15">
        <f t="shared" si="46"/>
        <v>7.17875</v>
      </c>
      <c r="CF23" s="15">
        <f t="shared" si="56"/>
        <v>20.452500000000001</v>
      </c>
      <c r="CG23" s="15">
        <f t="shared" si="66"/>
        <v>3.8794300000000002</v>
      </c>
      <c r="CH23" s="15">
        <f t="shared" si="76"/>
        <v>17.513999999999999</v>
      </c>
      <c r="CI23" s="15">
        <f t="shared" si="86"/>
        <v>9.6741700000000002</v>
      </c>
      <c r="CJ23" s="15">
        <f t="shared" si="96"/>
        <v>14.793570000000001</v>
      </c>
      <c r="CL23" s="15">
        <v>0</v>
      </c>
      <c r="CM23" s="15">
        <f t="shared" si="7"/>
        <v>0</v>
      </c>
      <c r="CN23" s="15">
        <f t="shared" si="17"/>
        <v>0</v>
      </c>
      <c r="CO23" s="15">
        <f t="shared" si="27"/>
        <v>0</v>
      </c>
      <c r="CP23" s="15">
        <f t="shared" si="37"/>
        <v>0</v>
      </c>
      <c r="CQ23" s="15">
        <f t="shared" si="47"/>
        <v>0</v>
      </c>
      <c r="CR23" s="15">
        <f t="shared" si="57"/>
        <v>2</v>
      </c>
      <c r="CS23" s="15">
        <f t="shared" si="67"/>
        <v>0</v>
      </c>
      <c r="CT23" s="15">
        <f t="shared" si="77"/>
        <v>2</v>
      </c>
      <c r="CU23" s="15">
        <f t="shared" si="87"/>
        <v>0</v>
      </c>
      <c r="CV23" s="15">
        <f t="shared" si="97"/>
        <v>2</v>
      </c>
      <c r="CX23" s="15">
        <v>69.989000000000004</v>
      </c>
      <c r="CY23" s="15">
        <f t="shared" si="8"/>
        <v>70.724699999999999</v>
      </c>
      <c r="CZ23" s="15">
        <f t="shared" si="18"/>
        <v>64.742099999999994</v>
      </c>
      <c r="DA23" s="15">
        <f t="shared" si="28"/>
        <v>83.061400000000006</v>
      </c>
      <c r="DB23" s="15">
        <f t="shared" si="38"/>
        <v>71.030100000000004</v>
      </c>
      <c r="DC23" s="15">
        <f t="shared" si="48"/>
        <v>82.069699999999997</v>
      </c>
      <c r="DD23" s="15">
        <f t="shared" si="58"/>
        <v>87.200800000000001</v>
      </c>
      <c r="DE23" s="15">
        <f t="shared" si="68"/>
        <v>75.545500000000004</v>
      </c>
      <c r="DF23" s="15">
        <f t="shared" si="78"/>
        <v>86.732100000000003</v>
      </c>
      <c r="DG23" s="15">
        <f t="shared" si="88"/>
        <v>84.098399999999998</v>
      </c>
      <c r="DH23" s="15">
        <f t="shared" si="98"/>
        <v>86.132900000000006</v>
      </c>
      <c r="DJ23" s="15" t="s">
        <v>21</v>
      </c>
      <c r="DK23" s="15" t="str">
        <f t="shared" si="9"/>
        <v>LH</v>
      </c>
      <c r="DL23" s="15" t="str">
        <f t="shared" si="19"/>
        <v>LH</v>
      </c>
      <c r="DM23" s="15" t="str">
        <f t="shared" si="29"/>
        <v>HH</v>
      </c>
      <c r="DN23" s="15" t="str">
        <f t="shared" si="39"/>
        <v>LH</v>
      </c>
      <c r="DO23" s="15" t="str">
        <f t="shared" si="49"/>
        <v>HH</v>
      </c>
      <c r="DP23" s="15" t="str">
        <f t="shared" si="59"/>
        <v>LH</v>
      </c>
      <c r="DQ23" s="15" t="str">
        <f t="shared" si="69"/>
        <v>LH</v>
      </c>
      <c r="DR23" s="15" t="str">
        <f t="shared" si="79"/>
        <v>LH</v>
      </c>
      <c r="DS23" s="15" t="str">
        <f t="shared" si="89"/>
        <v>LH</v>
      </c>
      <c r="DT23" s="15" t="str">
        <f t="shared" si="99"/>
        <v>LH</v>
      </c>
      <c r="DV23" s="15">
        <f>IFERROR((G23-$F23)/$F23*100,"")</f>
        <v>1.4545202873765863</v>
      </c>
      <c r="DW23" s="15">
        <f>IFERROR((H23-$F23)/$F23*100,"")</f>
        <v>2.005295659434617</v>
      </c>
      <c r="DX23" s="15">
        <f>IFERROR((I23-$F23)/$F23*100,"")</f>
        <v>2.3747862312854675</v>
      </c>
      <c r="DY23" s="15">
        <f>IFERROR((J23-$F23)/$F23*100,"")</f>
        <v>1.9778350308317945</v>
      </c>
      <c r="DZ23" s="15">
        <f>IFERROR((K23-$F23)/$F23*100,"")</f>
        <v>2.7496349745710083</v>
      </c>
      <c r="EA23" s="15">
        <f>IFERROR((L23-$F23)/$F23*100,"")</f>
        <v>-1.0187223440213993</v>
      </c>
      <c r="EB23" s="15">
        <f>IFERROR((M23-$F23)/$F23*100,"")</f>
        <v>-0.83207937237952889</v>
      </c>
      <c r="EC23" s="15">
        <f>IFERROR((N23-$F23)/$F23*100,"")</f>
        <v>-0.69432971507924202</v>
      </c>
      <c r="ED23" s="15">
        <f>IFERROR((O23-$F23)/$F23*100,"")</f>
        <v>-0.26835508602098695</v>
      </c>
      <c r="EE23" s="15">
        <f>IFERROR((P23-$F23)/$F23*100,"")</f>
        <v>0.7539393722902058</v>
      </c>
      <c r="EG23" s="15" t="str">
        <f>IF(DV23="","",IF(AND(ABS(DV23)&lt;=0.25,$E23="Bottom",DK23="LL"),"EQL",IF(AND(ABS(DV23)&lt;=0.25,$E23="Peak",DK23="HH"),"EQH","")))</f>
        <v/>
      </c>
      <c r="EH23" s="15" t="str">
        <f>IF(DW23="","",IF(AND(ABS(DW23)&lt;=0.25,$E23="Bottom",DL23="LL"),"EQL",IF(AND(ABS(DW23)&lt;=0.25,$E23="Peak",DL23="HH"),"EQH","")))</f>
        <v/>
      </c>
      <c r="EI23" s="15" t="str">
        <f>IF(DX23="","",IF(AND(ABS(DX23)&lt;=0.25,$E23="Bottom",DM23="LL"),"EQL",IF(AND(ABS(DX23)&lt;=0.25,$E23="Peak",DM23="HH"),"EQH","")))</f>
        <v/>
      </c>
      <c r="EJ23" s="15" t="str">
        <f>IF(DY23="","",IF(AND(ABS(DY23)&lt;=0.25,$E23="Bottom",DN23="LL"),"EQL",IF(AND(ABS(DY23)&lt;=0.25,$E23="Peak",DN23="HH"),"EQH","")))</f>
        <v/>
      </c>
      <c r="EK23" s="15" t="str">
        <f>IF(DZ23="","",IF(AND(ABS(DZ23)&lt;=0.25,$E23="Bottom",DO23="LL"),"EQL",IF(AND(ABS(DZ23)&lt;=0.25,$E23="Peak",DO23="HH"),"EQH","")))</f>
        <v/>
      </c>
      <c r="EL23" s="15" t="str">
        <f>IF(EA23="","",IF(AND(ABS(EA23)&lt;=0.25,$E23="Bottom",DP23="LL"),"EQL",IF(AND(ABS(EA23)&lt;=0.25,$E23="Peak",DP23="HH"),"EQH","")))</f>
        <v/>
      </c>
      <c r="EM23" s="15" t="str">
        <f>IF(EB23="","",IF(AND(ABS(EB23)&lt;=0.25,$E23="Bottom",DQ23="LL"),"EQL",IF(AND(ABS(EB23)&lt;=0.25,$E23="Peak",DQ23="HH"),"EQH","")))</f>
        <v/>
      </c>
      <c r="EN23" s="15" t="str">
        <f>IF(EC23="","",IF(AND(ABS(EC23)&lt;=0.25,$E23="Bottom",DR23="LL"),"EQL",IF(AND(ABS(EC23)&lt;=0.25,$E23="Peak",DR23="HH"),"EQH","")))</f>
        <v/>
      </c>
      <c r="EO23" s="15" t="str">
        <f>IF(ED23="","",IF(AND(ABS(ED23)&lt;=0.25,$E23="Bottom",DS23="LL"),"EQL",IF(AND(ABS(ED23)&lt;=0.25,$E23="Peak",DS23="HH"),"EQH","")))</f>
        <v/>
      </c>
      <c r="EP23" s="15" t="str">
        <f>IF(EE23="","",IF(AND(ABS(EE23)&lt;=0.25,$E23="Bottom",DT23="LL"),"EQL",IF(AND(ABS(EE23)&lt;=0.25,$E23="Peak",DT23="HH"),"EQH","")))</f>
        <v/>
      </c>
      <c r="EQ23" s="15" t="str">
        <f>IF(EF23="","",IF(AND(ABS(EF23)&lt;=0.25,$E23="Bottom",DU23="LL"),"EQL",IF(AND(ABS(EF23)&lt;=0.25,$E23="Peak",DU23="HH"),"EQH","")))</f>
        <v/>
      </c>
      <c r="ER23" s="15" t="str">
        <f>IF(OR(EG23="EQL",EG23="EQH"),F23,"")</f>
        <v/>
      </c>
      <c r="ES23" s="15" t="str">
        <f>IF(OR(EH23="EQL",EH23="EQH"),G23,"")</f>
        <v/>
      </c>
      <c r="ET23" s="15" t="str">
        <f>IF(OR(EI23="EQL",EI23="EQH"),H23,"")</f>
        <v/>
      </c>
      <c r="EU23" s="15" t="str">
        <f>IF(OR(EJ23="EQL",EJ23="EQH"),I23,"")</f>
        <v/>
      </c>
      <c r="EV23" s="15" t="str">
        <f>IF(OR(EK23="EQL",EK23="EQH"),J23,"")</f>
        <v/>
      </c>
      <c r="EW23" s="15" t="str">
        <f>IF(OR(EL23="EQL",EL23="EQH"),K23,"")</f>
        <v/>
      </c>
      <c r="EX23" s="15" t="str">
        <f>IF(OR(EM23="EQL",EM23="EQH"),L23,"")</f>
        <v/>
      </c>
      <c r="EY23" s="15" t="str">
        <f>IF(OR(EN23="EQL",EN23="EQH"),M23,"")</f>
        <v/>
      </c>
      <c r="EZ23" s="15" t="str">
        <f>IF(OR(EO23="EQL",EO23="EQH"),N23,"")</f>
        <v/>
      </c>
      <c r="FA23" s="15" t="str">
        <f>IF(OR(EP23="EQL",EP23="EQH"),O23,"")</f>
        <v/>
      </c>
      <c r="FB23" s="15" t="str">
        <f>IF(OR(EQ23="EQL",EQ23="EQH"),P23,"")</f>
        <v/>
      </c>
      <c r="FC23" s="15" t="str">
        <f>IF(AND(EG23="EQL",OR(AQ23=4,AQ23=5)),"IEQL",IF(AND(EG23="EQH",OR(AQ23=1,AQ23=2)),"IEQH",""))</f>
        <v/>
      </c>
      <c r="FD23" s="15" t="str">
        <f>IF(AND(EH23="EQL",OR(AR23=4,AR23=5)),"IEQL",IF(AND(EH23="EQH",OR(AR23=1,AR23=2)),"IEQH",""))</f>
        <v/>
      </c>
      <c r="FE23" s="15" t="str">
        <f>IF(AND(EI23="EQL",OR(AS23=4,AS23=5)),"IEQL",IF(AND(EI23="EQH",OR(AS23=1,AS23=2)),"IEQH",""))</f>
        <v/>
      </c>
      <c r="FF23" s="15" t="str">
        <f>IF(AND(EJ23="EQL",OR(AT23=4,AT23=5)),"IEQL",IF(AND(EJ23="EQH",OR(AT23=1,AT23=2)),"IEQH",""))</f>
        <v/>
      </c>
      <c r="FG23" s="15" t="str">
        <f>IF(AND(EK23="EQL",OR(AU23=4,AU23=5)),"IEQL",IF(AND(EK23="EQH",OR(AU23=1,AU23=2)),"IEQH",""))</f>
        <v/>
      </c>
      <c r="FH23" s="15" t="str">
        <f>IF(AND(EL23="EQL",OR(AV23=4,AV23=5)),"IEQL",IF(AND(EL23="EQH",OR(AV23=1,AV23=2)),"IEQH",""))</f>
        <v/>
      </c>
      <c r="FI23" s="15" t="str">
        <f>IF(AND(EM23="EQL",OR(AW23=4,AW23=5)),"IEQL",IF(AND(EM23="EQH",OR(AW23=1,AW23=2)),"IEQH",""))</f>
        <v/>
      </c>
      <c r="FJ23" s="15" t="str">
        <f>IF(AND(EN23="EQL",OR(AX23=4,AX23=5)),"IEQL",IF(AND(EN23="EQH",OR(AX23=1,AX23=2)),"IEQH",""))</f>
        <v/>
      </c>
      <c r="FK23" s="15" t="str">
        <f>IF(AND(EO23="EQL",OR(AY23=4,AY23=5)),"IEQL",IF(AND(EO23="EQH",OR(AY23=1,AY23=2)),"IEQH",""))</f>
        <v/>
      </c>
      <c r="FL23" s="15" t="str">
        <f>IF(AND(EP23="EQL",OR(AZ23=4,AZ23=5)),"IEQL",IF(AND(EP23="EQH",OR(AZ23=1,AZ23=2)),"IEQH",""))</f>
        <v/>
      </c>
      <c r="FM23" s="15" t="str">
        <f>IF(AND(EQ23="EQL",OR(BA23=4,BA23=5)),"IEQL",IF(AND(EQ23="EQH",OR(BA23=1,BA23=2)),"IEQH",""))</f>
        <v/>
      </c>
      <c r="FN23" s="15" t="str">
        <f>IF(OR(AND(DJ23="LL",AP23=5),AND(DJ23="HH",AP23=2)),F23,"")</f>
        <v/>
      </c>
      <c r="FO23" s="15" t="str">
        <f>IF(FN23&lt;&gt;"",F22,"")</f>
        <v/>
      </c>
    </row>
    <row r="24" spans="1:171" s="15" customFormat="1" x14ac:dyDescent="0.55000000000000004">
      <c r="A24" s="15">
        <v>1774554306</v>
      </c>
      <c r="B24" s="15" t="s">
        <v>16</v>
      </c>
      <c r="C24" s="15" t="s">
        <v>17</v>
      </c>
      <c r="D24" s="15">
        <v>4364.33</v>
      </c>
      <c r="E24" s="15" t="s">
        <v>18</v>
      </c>
      <c r="F24" s="15">
        <v>4359.29</v>
      </c>
      <c r="G24" s="15">
        <f t="shared" si="0"/>
        <v>4413.24</v>
      </c>
      <c r="H24" s="15">
        <f t="shared" si="10"/>
        <v>4487.1000000000004</v>
      </c>
      <c r="I24" s="15">
        <f t="shared" si="20"/>
        <v>4522.33</v>
      </c>
      <c r="J24" s="15">
        <f t="shared" si="30"/>
        <v>4527.99</v>
      </c>
      <c r="K24" s="15">
        <f t="shared" si="40"/>
        <v>4532.82</v>
      </c>
      <c r="L24" s="15">
        <f t="shared" si="50"/>
        <v>4372.58</v>
      </c>
      <c r="M24" s="15">
        <f t="shared" si="60"/>
        <v>4351.7</v>
      </c>
      <c r="N24" s="15">
        <f t="shared" si="70"/>
        <v>4306.09</v>
      </c>
      <c r="O24" s="15">
        <f t="shared" si="80"/>
        <v>4360.47</v>
      </c>
      <c r="P24" s="15">
        <f t="shared" si="90"/>
        <v>4351.03</v>
      </c>
      <c r="Q24" s="15">
        <f t="shared" ref="Q24:Q55" si="100">F2</f>
        <v>4098.6899999999996</v>
      </c>
      <c r="R24" s="15">
        <v>-119.85</v>
      </c>
      <c r="S24" s="15">
        <f t="shared" si="1"/>
        <v>-131.05000000000001</v>
      </c>
      <c r="T24" s="15">
        <f t="shared" si="11"/>
        <v>-81.86</v>
      </c>
      <c r="U24" s="15">
        <f t="shared" si="21"/>
        <v>-63.18</v>
      </c>
      <c r="V24" s="15">
        <f t="shared" si="31"/>
        <v>-39.74</v>
      </c>
      <c r="W24" s="15">
        <f t="shared" si="41"/>
        <v>-69.48</v>
      </c>
      <c r="X24" s="15">
        <f t="shared" si="51"/>
        <v>-60.93</v>
      </c>
      <c r="Y24" s="15">
        <f t="shared" si="61"/>
        <v>-90.17</v>
      </c>
      <c r="Z24" s="15">
        <f t="shared" si="71"/>
        <v>-141.94999999999999</v>
      </c>
      <c r="AA24" s="15">
        <f t="shared" si="81"/>
        <v>-106.65</v>
      </c>
      <c r="AB24" s="15">
        <f t="shared" si="91"/>
        <v>-161.88</v>
      </c>
      <c r="AC24" s="15">
        <f t="shared" ref="AC24:AC55" si="101">R2</f>
        <v>-636.09</v>
      </c>
      <c r="AD24" s="15">
        <v>-2.68</v>
      </c>
      <c r="AE24" s="15">
        <f t="shared" si="2"/>
        <v>-2.88</v>
      </c>
      <c r="AF24" s="15">
        <f t="shared" si="12"/>
        <v>-1.79</v>
      </c>
      <c r="AG24" s="15">
        <f t="shared" si="22"/>
        <v>-1.38</v>
      </c>
      <c r="AH24" s="15">
        <f t="shared" si="32"/>
        <v>-0.87</v>
      </c>
      <c r="AI24" s="15">
        <f t="shared" si="42"/>
        <v>-1.51</v>
      </c>
      <c r="AJ24" s="15">
        <f t="shared" si="52"/>
        <v>-1.37</v>
      </c>
      <c r="AK24" s="15">
        <f t="shared" si="62"/>
        <v>-2.0299999999999998</v>
      </c>
      <c r="AL24" s="15">
        <f t="shared" si="72"/>
        <v>-3.19</v>
      </c>
      <c r="AM24" s="15">
        <f t="shared" si="82"/>
        <v>-2.39</v>
      </c>
      <c r="AN24" s="15">
        <f t="shared" si="92"/>
        <v>-3.59</v>
      </c>
      <c r="AO24" s="15">
        <f t="shared" ref="AO24:AO55" si="102">AD2</f>
        <v>-13.43</v>
      </c>
      <c r="AP24" s="15">
        <v>3</v>
      </c>
      <c r="AQ24" s="15">
        <f t="shared" si="3"/>
        <v>3</v>
      </c>
      <c r="AR24" s="15">
        <f t="shared" si="13"/>
        <v>3</v>
      </c>
      <c r="AS24" s="15">
        <f t="shared" si="23"/>
        <v>3</v>
      </c>
      <c r="AT24" s="15">
        <f t="shared" si="33"/>
        <v>3</v>
      </c>
      <c r="AU24" s="15">
        <f t="shared" si="43"/>
        <v>3</v>
      </c>
      <c r="AV24" s="15">
        <f t="shared" si="53"/>
        <v>3</v>
      </c>
      <c r="AW24" s="15">
        <f t="shared" si="63"/>
        <v>3</v>
      </c>
      <c r="AX24" s="15">
        <f t="shared" si="73"/>
        <v>3</v>
      </c>
      <c r="AY24" s="15">
        <f t="shared" si="83"/>
        <v>3</v>
      </c>
      <c r="AZ24" s="15">
        <f t="shared" si="93"/>
        <v>3</v>
      </c>
      <c r="BA24" s="15">
        <f t="shared" ref="BA24:BA55" si="103">AP2</f>
        <v>5</v>
      </c>
      <c r="BB24" s="15">
        <v>21</v>
      </c>
      <c r="BC24" s="15">
        <f t="shared" si="4"/>
        <v>30</v>
      </c>
      <c r="BD24" s="15">
        <f t="shared" si="14"/>
        <v>4</v>
      </c>
      <c r="BE24" s="15">
        <f t="shared" si="24"/>
        <v>4</v>
      </c>
      <c r="BF24" s="15">
        <f t="shared" si="34"/>
        <v>3</v>
      </c>
      <c r="BG24" s="15">
        <f t="shared" si="44"/>
        <v>13</v>
      </c>
      <c r="BH24" s="15">
        <f t="shared" si="54"/>
        <v>12</v>
      </c>
      <c r="BI24" s="15">
        <f t="shared" si="64"/>
        <v>12</v>
      </c>
      <c r="BJ24" s="15">
        <f t="shared" si="74"/>
        <v>11</v>
      </c>
      <c r="BK24" s="15">
        <f t="shared" si="84"/>
        <v>9</v>
      </c>
      <c r="BL24" s="15">
        <f t="shared" si="94"/>
        <v>6</v>
      </c>
      <c r="BM24" s="15">
        <f t="shared" ref="BM24:BM55" si="104">BB2</f>
        <v>88</v>
      </c>
      <c r="BN24" s="15">
        <v>3</v>
      </c>
      <c r="BO24" s="15">
        <f t="shared" si="5"/>
        <v>3</v>
      </c>
      <c r="BP24" s="15">
        <f t="shared" si="15"/>
        <v>3</v>
      </c>
      <c r="BQ24" s="15">
        <f t="shared" si="25"/>
        <v>3</v>
      </c>
      <c r="BR24" s="15">
        <f t="shared" si="35"/>
        <v>3</v>
      </c>
      <c r="BS24" s="15">
        <f t="shared" si="45"/>
        <v>3</v>
      </c>
      <c r="BT24" s="15">
        <f t="shared" si="55"/>
        <v>3</v>
      </c>
      <c r="BU24" s="15">
        <f t="shared" si="65"/>
        <v>3</v>
      </c>
      <c r="BV24" s="15">
        <f t="shared" si="75"/>
        <v>3</v>
      </c>
      <c r="BW24" s="15">
        <f t="shared" si="85"/>
        <v>3</v>
      </c>
      <c r="BX24" s="15">
        <f t="shared" si="95"/>
        <v>3</v>
      </c>
      <c r="BY24" s="15">
        <f t="shared" ref="BY24:BY55" si="105">BN2</f>
        <v>5</v>
      </c>
      <c r="BZ24" s="15">
        <v>-5.7071399999999999</v>
      </c>
      <c r="CA24" s="15">
        <f t="shared" si="6"/>
        <v>-4.3683300000000003</v>
      </c>
      <c r="CB24" s="15">
        <f t="shared" si="16"/>
        <v>-20.465</v>
      </c>
      <c r="CC24" s="15">
        <f t="shared" si="26"/>
        <v>-15.795</v>
      </c>
      <c r="CD24" s="15">
        <f t="shared" si="36"/>
        <v>-13.24667</v>
      </c>
      <c r="CE24" s="15">
        <f t="shared" si="46"/>
        <v>-5.3446199999999999</v>
      </c>
      <c r="CF24" s="15">
        <f t="shared" si="56"/>
        <v>-5.0774999999999997</v>
      </c>
      <c r="CG24" s="15">
        <f t="shared" si="66"/>
        <v>-7.51417</v>
      </c>
      <c r="CH24" s="15">
        <f t="shared" si="76"/>
        <v>-12.90455</v>
      </c>
      <c r="CI24" s="15">
        <f t="shared" si="86"/>
        <v>-11.85</v>
      </c>
      <c r="CJ24" s="15">
        <f t="shared" si="96"/>
        <v>-26.98</v>
      </c>
      <c r="CK24" s="15">
        <f t="shared" ref="CK24:CK55" si="106">BZ2</f>
        <v>-7.2282999999999999</v>
      </c>
      <c r="CL24" s="15">
        <v>3</v>
      </c>
      <c r="CM24" s="15">
        <f t="shared" si="7"/>
        <v>3</v>
      </c>
      <c r="CN24" s="15">
        <f t="shared" si="17"/>
        <v>5</v>
      </c>
      <c r="CO24" s="15">
        <f t="shared" si="27"/>
        <v>4</v>
      </c>
      <c r="CP24" s="15">
        <f t="shared" si="37"/>
        <v>3</v>
      </c>
      <c r="CQ24" s="15">
        <f t="shared" si="47"/>
        <v>3</v>
      </c>
      <c r="CR24" s="15">
        <f t="shared" si="57"/>
        <v>3</v>
      </c>
      <c r="CS24" s="15">
        <f t="shared" si="67"/>
        <v>3</v>
      </c>
      <c r="CT24" s="15">
        <f t="shared" si="77"/>
        <v>4</v>
      </c>
      <c r="CU24" s="15">
        <f t="shared" si="87"/>
        <v>3</v>
      </c>
      <c r="CV24" s="15">
        <f t="shared" si="97"/>
        <v>5</v>
      </c>
      <c r="CW24" s="15">
        <f t="shared" ref="CW24:CW55" si="107">CL2</f>
        <v>3</v>
      </c>
      <c r="CX24" s="15">
        <v>-80.061599999999999</v>
      </c>
      <c r="CY24" s="15">
        <f t="shared" si="8"/>
        <v>-77.105999999999995</v>
      </c>
      <c r="CZ24" s="15">
        <f t="shared" si="18"/>
        <v>-87.202500000000001</v>
      </c>
      <c r="DA24" s="15">
        <f t="shared" si="28"/>
        <v>-86.377399999999994</v>
      </c>
      <c r="DB24" s="15">
        <f t="shared" si="38"/>
        <v>-85.682900000000004</v>
      </c>
      <c r="DC24" s="15">
        <f t="shared" si="48"/>
        <v>-79.402299999999997</v>
      </c>
      <c r="DD24" s="15">
        <f t="shared" si="58"/>
        <v>-78.8583</v>
      </c>
      <c r="DE24" s="15">
        <f t="shared" si="68"/>
        <v>-82.419499999999999</v>
      </c>
      <c r="DF24" s="15">
        <f t="shared" si="78"/>
        <v>-85.568899999999999</v>
      </c>
      <c r="DG24" s="15">
        <f t="shared" si="88"/>
        <v>-85.176299999999998</v>
      </c>
      <c r="DH24" s="15">
        <f t="shared" si="98"/>
        <v>-87.877300000000005</v>
      </c>
      <c r="DI24" s="15">
        <f t="shared" ref="DI24:DI55" si="108">CX2</f>
        <v>-82.123400000000004</v>
      </c>
      <c r="DJ24" s="15" t="s">
        <v>19</v>
      </c>
      <c r="DK24" s="15" t="str">
        <f t="shared" si="9"/>
        <v>LL</v>
      </c>
      <c r="DL24" s="15" t="str">
        <f t="shared" si="19"/>
        <v>LL</v>
      </c>
      <c r="DM24" s="15" t="str">
        <f t="shared" si="29"/>
        <v>LL</v>
      </c>
      <c r="DN24" s="15" t="str">
        <f t="shared" si="39"/>
        <v>LL</v>
      </c>
      <c r="DO24" s="15" t="str">
        <f t="shared" si="49"/>
        <v>HL</v>
      </c>
      <c r="DP24" s="15" t="str">
        <f t="shared" si="59"/>
        <v>HL</v>
      </c>
      <c r="DQ24" s="15" t="str">
        <f t="shared" si="69"/>
        <v>HL</v>
      </c>
      <c r="DR24" s="15" t="str">
        <f t="shared" si="79"/>
        <v>LL</v>
      </c>
      <c r="DS24" s="15" t="str">
        <f t="shared" si="89"/>
        <v>HL</v>
      </c>
      <c r="DT24" s="15" t="str">
        <f t="shared" si="99"/>
        <v>HL</v>
      </c>
      <c r="DU24" s="15" t="str">
        <f t="shared" ref="DU24:DU55" si="109">DJ2</f>
        <v>LL</v>
      </c>
      <c r="DV24" s="15">
        <f>IFERROR((G24-$F24)/$F24*100,"")</f>
        <v>1.2375868547401025</v>
      </c>
      <c r="DW24" s="15">
        <f>IFERROR((H24-$F24)/$F24*100,"")</f>
        <v>2.9318994606920024</v>
      </c>
      <c r="DX24" s="15">
        <f>IFERROR((I24-$F24)/$F24*100,"")</f>
        <v>3.7400585875222792</v>
      </c>
      <c r="DY24" s="15">
        <f>IFERROR((J24-$F24)/$F24*100,"")</f>
        <v>3.8698962445719332</v>
      </c>
      <c r="DZ24" s="15">
        <f>IFERROR((K24-$F24)/$F24*100,"")</f>
        <v>3.9806941038563561</v>
      </c>
      <c r="EA24" s="15">
        <f>IFERROR((L24-$F24)/$F24*100,"")</f>
        <v>0.30486615939751577</v>
      </c>
      <c r="EB24" s="15">
        <f>IFERROR((M24-$F24)/$F24*100,"")</f>
        <v>-0.17411092173267081</v>
      </c>
      <c r="EC24" s="15">
        <f>IFERROR((N24-$F24)/$F24*100,"")</f>
        <v>-1.2203822182052542</v>
      </c>
      <c r="ED24" s="15">
        <f>IFERROR((O24-$F24)/$F24*100,"")</f>
        <v>2.7068628148168416E-2</v>
      </c>
      <c r="EE24" s="15">
        <f>IFERROR((P24-$F24)/$F24*100,"")</f>
        <v>-0.1894803970371372</v>
      </c>
      <c r="EF24" s="15">
        <f>IFERROR((Q24-$F24)/$F24*100,"")</f>
        <v>-5.9780377079753899</v>
      </c>
      <c r="EG24" s="15" t="str">
        <f>IF(DV24="","",IF(AND(ABS(DV24)&lt;=0.25,$E24="Bottom",DK24="LL"),"EQL",IF(AND(ABS(DV24)&lt;=0.25,$E24="Peak",DK24="HH"),"EQH","")))</f>
        <v/>
      </c>
      <c r="EH24" s="15" t="str">
        <f>IF(DW24="","",IF(AND(ABS(DW24)&lt;=0.25,$E24="Bottom",DL24="LL"),"EQL",IF(AND(ABS(DW24)&lt;=0.25,$E24="Peak",DL24="HH"),"EQH","")))</f>
        <v/>
      </c>
      <c r="EI24" s="15" t="str">
        <f>IF(DX24="","",IF(AND(ABS(DX24)&lt;=0.25,$E24="Bottom",DM24="LL"),"EQL",IF(AND(ABS(DX24)&lt;=0.25,$E24="Peak",DM24="HH"),"EQH","")))</f>
        <v/>
      </c>
      <c r="EJ24" s="15" t="str">
        <f>IF(DY24="","",IF(AND(ABS(DY24)&lt;=0.25,$E24="Bottom",DN24="LL"),"EQL",IF(AND(ABS(DY24)&lt;=0.25,$E24="Peak",DN24="HH"),"EQH","")))</f>
        <v/>
      </c>
      <c r="EK24" s="15" t="str">
        <f>IF(DZ24="","",IF(AND(ABS(DZ24)&lt;=0.25,$E24="Bottom",DO24="LL"),"EQL",IF(AND(ABS(DZ24)&lt;=0.25,$E24="Peak",DO24="HH"),"EQH","")))</f>
        <v/>
      </c>
      <c r="EL24" s="15" t="str">
        <f>IF(EA24="","",IF(AND(ABS(EA24)&lt;=0.25,$E24="Bottom",DP24="LL"),"EQL",IF(AND(ABS(EA24)&lt;=0.25,$E24="Peak",DP24="HH"),"EQH","")))</f>
        <v/>
      </c>
      <c r="EM24" s="15" t="str">
        <f>IF(EB24="","",IF(AND(ABS(EB24)&lt;=0.25,$E24="Bottom",DQ24="LL"),"EQL",IF(AND(ABS(EB24)&lt;=0.25,$E24="Peak",DQ24="HH"),"EQH","")))</f>
        <v/>
      </c>
      <c r="EN24" s="15" t="str">
        <f>IF(EC24="","",IF(AND(ABS(EC24)&lt;=0.25,$E24="Bottom",DR24="LL"),"EQL",IF(AND(ABS(EC24)&lt;=0.25,$E24="Peak",DR24="HH"),"EQH","")))</f>
        <v/>
      </c>
      <c r="EO24" s="15" t="str">
        <f>IF(ED24="","",IF(AND(ABS(ED24)&lt;=0.25,$E24="Bottom",DS24="LL"),"EQL",IF(AND(ABS(ED24)&lt;=0.25,$E24="Peak",DS24="HH"),"EQH","")))</f>
        <v/>
      </c>
      <c r="EP24" s="15" t="str">
        <f>IF(EE24="","",IF(AND(ABS(EE24)&lt;=0.25,$E24="Bottom",DT24="LL"),"EQL",IF(AND(ABS(EE24)&lt;=0.25,$E24="Peak",DT24="HH"),"EQH","")))</f>
        <v/>
      </c>
      <c r="EQ24" s="15" t="str">
        <f>IF(EF24="","",IF(AND(ABS(EF24)&lt;=0.25,$E24="Bottom",DU24="LL"),"EQL",IF(AND(ABS(EF24)&lt;=0.25,$E24="Peak",DU24="HH"),"EQH","")))</f>
        <v/>
      </c>
      <c r="ER24" s="15" t="str">
        <f>IF(OR(EG24="EQL",EG24="EQH"),F24,"")</f>
        <v/>
      </c>
      <c r="ES24" s="15" t="str">
        <f>IF(OR(EH24="EQL",EH24="EQH"),G24,"")</f>
        <v/>
      </c>
      <c r="ET24" s="15" t="str">
        <f>IF(OR(EI24="EQL",EI24="EQH"),H24,"")</f>
        <v/>
      </c>
      <c r="EU24" s="15" t="str">
        <f>IF(OR(EJ24="EQL",EJ24="EQH"),I24,"")</f>
        <v/>
      </c>
      <c r="EV24" s="15" t="str">
        <f>IF(OR(EK24="EQL",EK24="EQH"),J24,"")</f>
        <v/>
      </c>
      <c r="EW24" s="15" t="str">
        <f>IF(OR(EL24="EQL",EL24="EQH"),K24,"")</f>
        <v/>
      </c>
      <c r="EX24" s="15" t="str">
        <f>IF(OR(EM24="EQL",EM24="EQH"),L24,"")</f>
        <v/>
      </c>
      <c r="EY24" s="15" t="str">
        <f>IF(OR(EN24="EQL",EN24="EQH"),M24,"")</f>
        <v/>
      </c>
      <c r="EZ24" s="15" t="str">
        <f>IF(OR(EO24="EQL",EO24="EQH"),N24,"")</f>
        <v/>
      </c>
      <c r="FA24" s="15" t="str">
        <f>IF(OR(EP24="EQL",EP24="EQH"),O24,"")</f>
        <v/>
      </c>
      <c r="FB24" s="15" t="str">
        <f>IF(OR(EQ24="EQL",EQ24="EQH"),P24,"")</f>
        <v/>
      </c>
      <c r="FC24" s="15" t="str">
        <f>IF(AND(EG24="EQL",OR(AQ24=4,AQ24=5)),"IEQL",IF(AND(EG24="EQH",OR(AQ24=1,AQ24=2)),"IEQH",""))</f>
        <v/>
      </c>
      <c r="FD24" s="15" t="str">
        <f>IF(AND(EH24="EQL",OR(AR24=4,AR24=5)),"IEQL",IF(AND(EH24="EQH",OR(AR24=1,AR24=2)),"IEQH",""))</f>
        <v/>
      </c>
      <c r="FE24" s="15" t="str">
        <f>IF(AND(EI24="EQL",OR(AS24=4,AS24=5)),"IEQL",IF(AND(EI24="EQH",OR(AS24=1,AS24=2)),"IEQH",""))</f>
        <v/>
      </c>
      <c r="FF24" s="15" t="str">
        <f>IF(AND(EJ24="EQL",OR(AT24=4,AT24=5)),"IEQL",IF(AND(EJ24="EQH",OR(AT24=1,AT24=2)),"IEQH",""))</f>
        <v/>
      </c>
      <c r="FG24" s="15" t="str">
        <f>IF(AND(EK24="EQL",OR(AU24=4,AU24=5)),"IEQL",IF(AND(EK24="EQH",OR(AU24=1,AU24=2)),"IEQH",""))</f>
        <v/>
      </c>
      <c r="FH24" s="15" t="str">
        <f>IF(AND(EL24="EQL",OR(AV24=4,AV24=5)),"IEQL",IF(AND(EL24="EQH",OR(AV24=1,AV24=2)),"IEQH",""))</f>
        <v/>
      </c>
      <c r="FI24" s="15" t="str">
        <f>IF(AND(EM24="EQL",OR(AW24=4,AW24=5)),"IEQL",IF(AND(EM24="EQH",OR(AW24=1,AW24=2)),"IEQH",""))</f>
        <v/>
      </c>
      <c r="FJ24" s="15" t="str">
        <f>IF(AND(EN24="EQL",OR(AX24=4,AX24=5)),"IEQL",IF(AND(EN24="EQH",OR(AX24=1,AX24=2)),"IEQH",""))</f>
        <v/>
      </c>
      <c r="FK24" s="15" t="str">
        <f>IF(AND(EO24="EQL",OR(AY24=4,AY24=5)),"IEQL",IF(AND(EO24="EQH",OR(AY24=1,AY24=2)),"IEQH",""))</f>
        <v/>
      </c>
      <c r="FL24" s="15" t="str">
        <f>IF(AND(EP24="EQL",OR(AZ24=4,AZ24=5)),"IEQL",IF(AND(EP24="EQH",OR(AZ24=1,AZ24=2)),"IEQH",""))</f>
        <v/>
      </c>
      <c r="FM24" s="15" t="str">
        <f>IF(AND(EQ24="EQL",OR(BA24=4,BA24=5)),"IEQL",IF(AND(EQ24="EQH",OR(BA24=1,BA24=2)),"IEQH",""))</f>
        <v/>
      </c>
      <c r="FN24" s="15" t="str">
        <f>IF(OR(AND(DJ24="LL",AP24=5),AND(DJ24="HH",AP24=2)),F24,"")</f>
        <v/>
      </c>
      <c r="FO24" s="15" t="str">
        <f>IF(FN24&lt;&gt;"",F23,"")</f>
        <v/>
      </c>
    </row>
    <row r="25" spans="1:171" s="15" customFormat="1" x14ac:dyDescent="0.55000000000000004">
      <c r="A25" s="15">
        <v>1774557006</v>
      </c>
      <c r="B25" s="15" t="s">
        <v>16</v>
      </c>
      <c r="C25" s="15" t="s">
        <v>17</v>
      </c>
      <c r="D25" s="15">
        <v>4405.78</v>
      </c>
      <c r="E25" s="15" t="s">
        <v>20</v>
      </c>
      <c r="F25" s="15">
        <v>4420.5600000000004</v>
      </c>
      <c r="G25" s="15">
        <f t="shared" si="0"/>
        <v>4479.1400000000003</v>
      </c>
      <c r="H25" s="15">
        <f t="shared" si="10"/>
        <v>4544.29</v>
      </c>
      <c r="I25" s="15">
        <f t="shared" si="20"/>
        <v>4568.96</v>
      </c>
      <c r="J25" s="15">
        <f t="shared" si="30"/>
        <v>4585.51</v>
      </c>
      <c r="K25" s="15">
        <f t="shared" si="40"/>
        <v>4567.7299999999996</v>
      </c>
      <c r="L25" s="15">
        <f t="shared" si="50"/>
        <v>4602.3</v>
      </c>
      <c r="M25" s="15">
        <f t="shared" si="60"/>
        <v>4433.51</v>
      </c>
      <c r="N25" s="15">
        <f t="shared" si="70"/>
        <v>4441.87</v>
      </c>
      <c r="O25" s="15">
        <f t="shared" si="80"/>
        <v>4448.04</v>
      </c>
      <c r="P25" s="15">
        <f t="shared" si="90"/>
        <v>4467.12</v>
      </c>
      <c r="Q25" s="15">
        <f t="shared" si="100"/>
        <v>4512.91</v>
      </c>
      <c r="R25" s="15">
        <v>61.27</v>
      </c>
      <c r="S25" s="15">
        <f t="shared" si="1"/>
        <v>65.900000000000006</v>
      </c>
      <c r="T25" s="15">
        <f t="shared" si="11"/>
        <v>57.19</v>
      </c>
      <c r="U25" s="15">
        <f t="shared" si="21"/>
        <v>46.63</v>
      </c>
      <c r="V25" s="15">
        <f t="shared" si="31"/>
        <v>57.52</v>
      </c>
      <c r="W25" s="15">
        <f t="shared" si="41"/>
        <v>34.909999999999997</v>
      </c>
      <c r="X25" s="15">
        <f t="shared" si="51"/>
        <v>229.72</v>
      </c>
      <c r="Y25" s="15">
        <f t="shared" si="61"/>
        <v>81.81</v>
      </c>
      <c r="Z25" s="15">
        <f t="shared" si="71"/>
        <v>135.78</v>
      </c>
      <c r="AA25" s="15">
        <f t="shared" si="81"/>
        <v>87.57</v>
      </c>
      <c r="AB25" s="15">
        <f t="shared" si="91"/>
        <v>116.09</v>
      </c>
      <c r="AC25" s="15">
        <f t="shared" si="101"/>
        <v>414.22</v>
      </c>
      <c r="AD25" s="15">
        <v>1.41</v>
      </c>
      <c r="AE25" s="15">
        <f t="shared" si="2"/>
        <v>1.49</v>
      </c>
      <c r="AF25" s="15">
        <f t="shared" si="12"/>
        <v>1.27</v>
      </c>
      <c r="AG25" s="15">
        <f t="shared" si="22"/>
        <v>1.03</v>
      </c>
      <c r="AH25" s="15">
        <f t="shared" si="32"/>
        <v>1.27</v>
      </c>
      <c r="AI25" s="15">
        <f t="shared" si="42"/>
        <v>0.77</v>
      </c>
      <c r="AJ25" s="15">
        <f t="shared" si="52"/>
        <v>5.25</v>
      </c>
      <c r="AK25" s="15">
        <f t="shared" si="62"/>
        <v>1.88</v>
      </c>
      <c r="AL25" s="15">
        <f t="shared" si="72"/>
        <v>3.15</v>
      </c>
      <c r="AM25" s="15">
        <f t="shared" si="82"/>
        <v>2.0099999999999998</v>
      </c>
      <c r="AN25" s="15">
        <f t="shared" si="92"/>
        <v>2.67</v>
      </c>
      <c r="AO25" s="15">
        <f t="shared" si="102"/>
        <v>10.11</v>
      </c>
      <c r="AP25" s="15">
        <v>0</v>
      </c>
      <c r="AQ25" s="15">
        <f t="shared" si="3"/>
        <v>0</v>
      </c>
      <c r="AR25" s="15">
        <f t="shared" si="13"/>
        <v>0</v>
      </c>
      <c r="AS25" s="15">
        <f t="shared" si="23"/>
        <v>0</v>
      </c>
      <c r="AT25" s="15">
        <f t="shared" si="33"/>
        <v>0</v>
      </c>
      <c r="AU25" s="15">
        <f t="shared" si="43"/>
        <v>0</v>
      </c>
      <c r="AV25" s="15">
        <f t="shared" si="53"/>
        <v>0</v>
      </c>
      <c r="AW25" s="15">
        <f t="shared" si="63"/>
        <v>0</v>
      </c>
      <c r="AX25" s="15">
        <f t="shared" si="73"/>
        <v>0</v>
      </c>
      <c r="AY25" s="15">
        <f t="shared" si="83"/>
        <v>0</v>
      </c>
      <c r="AZ25" s="15">
        <f t="shared" si="93"/>
        <v>0</v>
      </c>
      <c r="BA25" s="15">
        <f t="shared" si="103"/>
        <v>2</v>
      </c>
      <c r="BB25" s="15">
        <v>3</v>
      </c>
      <c r="BC25" s="15">
        <f t="shared" si="4"/>
        <v>24</v>
      </c>
      <c r="BD25" s="15">
        <f t="shared" si="14"/>
        <v>20</v>
      </c>
      <c r="BE25" s="15">
        <f t="shared" si="24"/>
        <v>22</v>
      </c>
      <c r="BF25" s="15">
        <f t="shared" si="34"/>
        <v>7</v>
      </c>
      <c r="BG25" s="15">
        <f t="shared" si="44"/>
        <v>12</v>
      </c>
      <c r="BH25" s="15">
        <f t="shared" si="54"/>
        <v>32</v>
      </c>
      <c r="BI25" s="15">
        <f t="shared" si="64"/>
        <v>4</v>
      </c>
      <c r="BJ25" s="15">
        <f t="shared" si="74"/>
        <v>35</v>
      </c>
      <c r="BK25" s="15">
        <f t="shared" si="84"/>
        <v>5</v>
      </c>
      <c r="BL25" s="15">
        <f t="shared" si="94"/>
        <v>12</v>
      </c>
      <c r="BM25" s="15">
        <f t="shared" si="104"/>
        <v>28</v>
      </c>
      <c r="BN25" s="15">
        <v>0</v>
      </c>
      <c r="BO25" s="15">
        <f t="shared" si="5"/>
        <v>0</v>
      </c>
      <c r="BP25" s="15">
        <f t="shared" si="15"/>
        <v>0</v>
      </c>
      <c r="BQ25" s="15">
        <f t="shared" si="25"/>
        <v>0</v>
      </c>
      <c r="BR25" s="15">
        <f t="shared" si="35"/>
        <v>0</v>
      </c>
      <c r="BS25" s="15">
        <f t="shared" si="45"/>
        <v>0</v>
      </c>
      <c r="BT25" s="15">
        <f t="shared" si="55"/>
        <v>0</v>
      </c>
      <c r="BU25" s="15">
        <f t="shared" si="65"/>
        <v>0</v>
      </c>
      <c r="BV25" s="15">
        <f t="shared" si="75"/>
        <v>0</v>
      </c>
      <c r="BW25" s="15">
        <f t="shared" si="85"/>
        <v>0</v>
      </c>
      <c r="BX25" s="15">
        <f t="shared" si="95"/>
        <v>0</v>
      </c>
      <c r="BY25" s="15">
        <f t="shared" si="105"/>
        <v>0</v>
      </c>
      <c r="BZ25" s="15">
        <v>20.42333</v>
      </c>
      <c r="CA25" s="15">
        <f t="shared" si="6"/>
        <v>2.7458300000000002</v>
      </c>
      <c r="CB25" s="15">
        <f t="shared" si="16"/>
        <v>2.8595000000000002</v>
      </c>
      <c r="CC25" s="15">
        <f t="shared" si="26"/>
        <v>2.1195499999999998</v>
      </c>
      <c r="CD25" s="15">
        <f t="shared" si="36"/>
        <v>8.2171400000000006</v>
      </c>
      <c r="CE25" s="15">
        <f t="shared" si="46"/>
        <v>2.90917</v>
      </c>
      <c r="CF25" s="15">
        <f t="shared" si="56"/>
        <v>7.17875</v>
      </c>
      <c r="CG25" s="15">
        <f t="shared" si="66"/>
        <v>20.452500000000001</v>
      </c>
      <c r="CH25" s="15">
        <f t="shared" si="76"/>
        <v>3.8794300000000002</v>
      </c>
      <c r="CI25" s="15">
        <f t="shared" si="86"/>
        <v>17.513999999999999</v>
      </c>
      <c r="CJ25" s="15">
        <f t="shared" si="96"/>
        <v>9.6741700000000002</v>
      </c>
      <c r="CK25" s="15">
        <f t="shared" si="106"/>
        <v>14.793570000000001</v>
      </c>
      <c r="CL25" s="15">
        <v>2</v>
      </c>
      <c r="CM25" s="15">
        <f t="shared" si="7"/>
        <v>0</v>
      </c>
      <c r="CN25" s="15">
        <f t="shared" si="17"/>
        <v>0</v>
      </c>
      <c r="CO25" s="15">
        <f t="shared" si="27"/>
        <v>0</v>
      </c>
      <c r="CP25" s="15">
        <f t="shared" si="37"/>
        <v>0</v>
      </c>
      <c r="CQ25" s="15">
        <f t="shared" si="47"/>
        <v>0</v>
      </c>
      <c r="CR25" s="15">
        <f t="shared" si="57"/>
        <v>0</v>
      </c>
      <c r="CS25" s="15">
        <f t="shared" si="67"/>
        <v>2</v>
      </c>
      <c r="CT25" s="15">
        <f t="shared" si="77"/>
        <v>0</v>
      </c>
      <c r="CU25" s="15">
        <f t="shared" si="87"/>
        <v>2</v>
      </c>
      <c r="CV25" s="15">
        <f t="shared" si="97"/>
        <v>0</v>
      </c>
      <c r="CW25" s="15">
        <f t="shared" si="107"/>
        <v>2</v>
      </c>
      <c r="CX25" s="15">
        <v>87.196799999999996</v>
      </c>
      <c r="CY25" s="15">
        <f t="shared" si="8"/>
        <v>69.989000000000004</v>
      </c>
      <c r="CZ25" s="15">
        <f t="shared" si="18"/>
        <v>70.724699999999999</v>
      </c>
      <c r="DA25" s="15">
        <f t="shared" si="28"/>
        <v>64.742099999999994</v>
      </c>
      <c r="DB25" s="15">
        <f t="shared" si="38"/>
        <v>83.061400000000006</v>
      </c>
      <c r="DC25" s="15">
        <f t="shared" si="48"/>
        <v>71.030100000000004</v>
      </c>
      <c r="DD25" s="15">
        <f t="shared" si="58"/>
        <v>82.069699999999997</v>
      </c>
      <c r="DE25" s="15">
        <f t="shared" si="68"/>
        <v>87.200800000000001</v>
      </c>
      <c r="DF25" s="15">
        <f t="shared" si="78"/>
        <v>75.545500000000004</v>
      </c>
      <c r="DG25" s="15">
        <f t="shared" si="88"/>
        <v>86.732100000000003</v>
      </c>
      <c r="DH25" s="15">
        <f t="shared" si="98"/>
        <v>84.098399999999998</v>
      </c>
      <c r="DI25" s="15">
        <f t="shared" si="108"/>
        <v>86.132900000000006</v>
      </c>
      <c r="DJ25" s="15" t="s">
        <v>21</v>
      </c>
      <c r="DK25" s="15" t="str">
        <f t="shared" si="9"/>
        <v>LH</v>
      </c>
      <c r="DL25" s="15" t="str">
        <f t="shared" si="19"/>
        <v>LH</v>
      </c>
      <c r="DM25" s="15" t="str">
        <f t="shared" si="29"/>
        <v>LH</v>
      </c>
      <c r="DN25" s="15" t="str">
        <f t="shared" si="39"/>
        <v>HH</v>
      </c>
      <c r="DO25" s="15" t="str">
        <f t="shared" si="49"/>
        <v>LH</v>
      </c>
      <c r="DP25" s="15" t="str">
        <f t="shared" si="59"/>
        <v>HH</v>
      </c>
      <c r="DQ25" s="15" t="str">
        <f t="shared" si="69"/>
        <v>LH</v>
      </c>
      <c r="DR25" s="15" t="str">
        <f t="shared" si="79"/>
        <v>LH</v>
      </c>
      <c r="DS25" s="15" t="str">
        <f t="shared" si="89"/>
        <v>LH</v>
      </c>
      <c r="DT25" s="15" t="str">
        <f t="shared" si="99"/>
        <v>LH</v>
      </c>
      <c r="DU25" s="15" t="str">
        <f t="shared" si="109"/>
        <v>LH</v>
      </c>
      <c r="DV25" s="15">
        <f>IFERROR((G25-$F25)/$F25*100,"")</f>
        <v>1.3251714714877734</v>
      </c>
      <c r="DW25" s="15">
        <f>IFERROR((H25-$F25)/$F25*100,"")</f>
        <v>2.7989666467596761</v>
      </c>
      <c r="DX25" s="15">
        <f>IFERROR((I25-$F25)/$F25*100,"")</f>
        <v>3.3570407369202004</v>
      </c>
      <c r="DY25" s="15">
        <f>IFERROR((J25-$F25)/$F25*100,"")</f>
        <v>3.7314276924190559</v>
      </c>
      <c r="DZ25" s="15">
        <f>IFERROR((K25-$F25)/$F25*100,"")</f>
        <v>3.3292162079012422</v>
      </c>
      <c r="EA25" s="15">
        <f>IFERROR((L25-$F25)/$F25*100,"")</f>
        <v>4.1112438243118463</v>
      </c>
      <c r="EB25" s="15">
        <f>IFERROR((M25-$F25)/$F25*100,"")</f>
        <v>0.29294930958973109</v>
      </c>
      <c r="EC25" s="15">
        <f>IFERROR((N25-$F25)/$F25*100,"")</f>
        <v>0.48206562064533653</v>
      </c>
      <c r="ED25" s="15">
        <f>IFERROR((O25-$F25)/$F25*100,"")</f>
        <v>0.62164069710623915</v>
      </c>
      <c r="EE25" s="15">
        <f>IFERROR((P25-$F25)/$F25*100,"")</f>
        <v>1.05326022042455</v>
      </c>
      <c r="EF25" s="15">
        <f>IFERROR((Q25-$F25)/$F25*100,"")</f>
        <v>2.0891018332518834</v>
      </c>
      <c r="EG25" s="15" t="str">
        <f>IF(DV25="","",IF(AND(ABS(DV25)&lt;=0.25,$E25="Bottom",DK25="LL"),"EQL",IF(AND(ABS(DV25)&lt;=0.25,$E25="Peak",DK25="HH"),"EQH","")))</f>
        <v/>
      </c>
      <c r="EH25" s="15" t="str">
        <f>IF(DW25="","",IF(AND(ABS(DW25)&lt;=0.25,$E25="Bottom",DL25="LL"),"EQL",IF(AND(ABS(DW25)&lt;=0.25,$E25="Peak",DL25="HH"),"EQH","")))</f>
        <v/>
      </c>
      <c r="EI25" s="15" t="str">
        <f>IF(DX25="","",IF(AND(ABS(DX25)&lt;=0.25,$E25="Bottom",DM25="LL"),"EQL",IF(AND(ABS(DX25)&lt;=0.25,$E25="Peak",DM25="HH"),"EQH","")))</f>
        <v/>
      </c>
      <c r="EJ25" s="15" t="str">
        <f>IF(DY25="","",IF(AND(ABS(DY25)&lt;=0.25,$E25="Bottom",DN25="LL"),"EQL",IF(AND(ABS(DY25)&lt;=0.25,$E25="Peak",DN25="HH"),"EQH","")))</f>
        <v/>
      </c>
      <c r="EK25" s="15" t="str">
        <f>IF(DZ25="","",IF(AND(ABS(DZ25)&lt;=0.25,$E25="Bottom",DO25="LL"),"EQL",IF(AND(ABS(DZ25)&lt;=0.25,$E25="Peak",DO25="HH"),"EQH","")))</f>
        <v/>
      </c>
      <c r="EL25" s="15" t="str">
        <f>IF(EA25="","",IF(AND(ABS(EA25)&lt;=0.25,$E25="Bottom",DP25="LL"),"EQL",IF(AND(ABS(EA25)&lt;=0.25,$E25="Peak",DP25="HH"),"EQH","")))</f>
        <v/>
      </c>
      <c r="EM25" s="15" t="str">
        <f>IF(EB25="","",IF(AND(ABS(EB25)&lt;=0.25,$E25="Bottom",DQ25="LL"),"EQL",IF(AND(ABS(EB25)&lt;=0.25,$E25="Peak",DQ25="HH"),"EQH","")))</f>
        <v/>
      </c>
      <c r="EN25" s="15" t="str">
        <f>IF(EC25="","",IF(AND(ABS(EC25)&lt;=0.25,$E25="Bottom",DR25="LL"),"EQL",IF(AND(ABS(EC25)&lt;=0.25,$E25="Peak",DR25="HH"),"EQH","")))</f>
        <v/>
      </c>
      <c r="EO25" s="15" t="str">
        <f>IF(ED25="","",IF(AND(ABS(ED25)&lt;=0.25,$E25="Bottom",DS25="LL"),"EQL",IF(AND(ABS(ED25)&lt;=0.25,$E25="Peak",DS25="HH"),"EQH","")))</f>
        <v/>
      </c>
      <c r="EP25" s="15" t="str">
        <f>IF(EE25="","",IF(AND(ABS(EE25)&lt;=0.25,$E25="Bottom",DT25="LL"),"EQL",IF(AND(ABS(EE25)&lt;=0.25,$E25="Peak",DT25="HH"),"EQH","")))</f>
        <v/>
      </c>
      <c r="EQ25" s="15" t="str">
        <f>IF(EF25="","",IF(AND(ABS(EF25)&lt;=0.25,$E25="Bottom",DU25="LL"),"EQL",IF(AND(ABS(EF25)&lt;=0.25,$E25="Peak",DU25="HH"),"EQH","")))</f>
        <v/>
      </c>
      <c r="ER25" s="15" t="str">
        <f>IF(OR(EG25="EQL",EG25="EQH"),F25,"")</f>
        <v/>
      </c>
      <c r="ES25" s="15" t="str">
        <f>IF(OR(EH25="EQL",EH25="EQH"),G25,"")</f>
        <v/>
      </c>
      <c r="ET25" s="15" t="str">
        <f>IF(OR(EI25="EQL",EI25="EQH"),H25,"")</f>
        <v/>
      </c>
      <c r="EU25" s="15" t="str">
        <f>IF(OR(EJ25="EQL",EJ25="EQH"),I25,"")</f>
        <v/>
      </c>
      <c r="EV25" s="15" t="str">
        <f>IF(OR(EK25="EQL",EK25="EQH"),J25,"")</f>
        <v/>
      </c>
      <c r="EW25" s="15" t="str">
        <f>IF(OR(EL25="EQL",EL25="EQH"),K25,"")</f>
        <v/>
      </c>
      <c r="EX25" s="15" t="str">
        <f>IF(OR(EM25="EQL",EM25="EQH"),L25,"")</f>
        <v/>
      </c>
      <c r="EY25" s="15" t="str">
        <f>IF(OR(EN25="EQL",EN25="EQH"),M25,"")</f>
        <v/>
      </c>
      <c r="EZ25" s="15" t="str">
        <f>IF(OR(EO25="EQL",EO25="EQH"),N25,"")</f>
        <v/>
      </c>
      <c r="FA25" s="15" t="str">
        <f>IF(OR(EP25="EQL",EP25="EQH"),O25,"")</f>
        <v/>
      </c>
      <c r="FB25" s="15" t="str">
        <f>IF(OR(EQ25="EQL",EQ25="EQH"),P25,"")</f>
        <v/>
      </c>
      <c r="FC25" s="15" t="str">
        <f>IF(AND(EG25="EQL",OR(AQ25=4,AQ25=5)),"IEQL",IF(AND(EG25="EQH",OR(AQ25=1,AQ25=2)),"IEQH",""))</f>
        <v/>
      </c>
      <c r="FD25" s="15" t="str">
        <f>IF(AND(EH25="EQL",OR(AR25=4,AR25=5)),"IEQL",IF(AND(EH25="EQH",OR(AR25=1,AR25=2)),"IEQH",""))</f>
        <v/>
      </c>
      <c r="FE25" s="15" t="str">
        <f>IF(AND(EI25="EQL",OR(AS25=4,AS25=5)),"IEQL",IF(AND(EI25="EQH",OR(AS25=1,AS25=2)),"IEQH",""))</f>
        <v/>
      </c>
      <c r="FF25" s="15" t="str">
        <f>IF(AND(EJ25="EQL",OR(AT25=4,AT25=5)),"IEQL",IF(AND(EJ25="EQH",OR(AT25=1,AT25=2)),"IEQH",""))</f>
        <v/>
      </c>
      <c r="FG25" s="15" t="str">
        <f>IF(AND(EK25="EQL",OR(AU25=4,AU25=5)),"IEQL",IF(AND(EK25="EQH",OR(AU25=1,AU25=2)),"IEQH",""))</f>
        <v/>
      </c>
      <c r="FH25" s="15" t="str">
        <f>IF(AND(EL25="EQL",OR(AV25=4,AV25=5)),"IEQL",IF(AND(EL25="EQH",OR(AV25=1,AV25=2)),"IEQH",""))</f>
        <v/>
      </c>
      <c r="FI25" s="15" t="str">
        <f>IF(AND(EM25="EQL",OR(AW25=4,AW25=5)),"IEQL",IF(AND(EM25="EQH",OR(AW25=1,AW25=2)),"IEQH",""))</f>
        <v/>
      </c>
      <c r="FJ25" s="15" t="str">
        <f>IF(AND(EN25="EQL",OR(AX25=4,AX25=5)),"IEQL",IF(AND(EN25="EQH",OR(AX25=1,AX25=2)),"IEQH",""))</f>
        <v/>
      </c>
      <c r="FK25" s="15" t="str">
        <f>IF(AND(EO25="EQL",OR(AY25=4,AY25=5)),"IEQL",IF(AND(EO25="EQH",OR(AY25=1,AY25=2)),"IEQH",""))</f>
        <v/>
      </c>
      <c r="FL25" s="15" t="str">
        <f>IF(AND(EP25="EQL",OR(AZ25=4,AZ25=5)),"IEQL",IF(AND(EP25="EQH",OR(AZ25=1,AZ25=2)),"IEQH",""))</f>
        <v/>
      </c>
      <c r="FM25" s="15" t="str">
        <f>IF(AND(EQ25="EQL",OR(BA25=4,BA25=5)),"IEQL",IF(AND(EQ25="EQH",OR(BA25=1,BA25=2)),"IEQH",""))</f>
        <v/>
      </c>
      <c r="FN25" s="15" t="str">
        <f>IF(OR(AND(DJ25="LL",AP25=5),AND(DJ25="HH",AP25=2)),F25,"")</f>
        <v/>
      </c>
      <c r="FO25" s="15" t="str">
        <f>IF(FN25&lt;&gt;"",F24,"")</f>
        <v/>
      </c>
    </row>
    <row r="26" spans="1:171" s="15" customFormat="1" x14ac:dyDescent="0.55000000000000004">
      <c r="A26" s="15">
        <v>1774572306</v>
      </c>
      <c r="B26" s="15" t="s">
        <v>16</v>
      </c>
      <c r="C26" s="15" t="s">
        <v>17</v>
      </c>
      <c r="D26" s="15">
        <v>4378.7299999999996</v>
      </c>
      <c r="E26" s="15" t="s">
        <v>18</v>
      </c>
      <c r="F26" s="15">
        <v>4375.68</v>
      </c>
      <c r="G26" s="15">
        <f t="shared" si="0"/>
        <v>4359.29</v>
      </c>
      <c r="H26" s="15">
        <f t="shared" si="10"/>
        <v>4413.24</v>
      </c>
      <c r="I26" s="15">
        <f t="shared" si="20"/>
        <v>4487.1000000000004</v>
      </c>
      <c r="J26" s="15">
        <f t="shared" si="30"/>
        <v>4522.33</v>
      </c>
      <c r="K26" s="15">
        <f t="shared" si="40"/>
        <v>4527.99</v>
      </c>
      <c r="L26" s="15">
        <f t="shared" si="50"/>
        <v>4532.82</v>
      </c>
      <c r="M26" s="15">
        <f t="shared" si="60"/>
        <v>4372.58</v>
      </c>
      <c r="N26" s="15">
        <f t="shared" si="70"/>
        <v>4351.7</v>
      </c>
      <c r="O26" s="15">
        <f t="shared" si="80"/>
        <v>4306.09</v>
      </c>
      <c r="P26" s="15">
        <f t="shared" si="90"/>
        <v>4360.47</v>
      </c>
      <c r="Q26" s="15">
        <f t="shared" si="100"/>
        <v>4351.03</v>
      </c>
      <c r="R26" s="15">
        <v>-44.88</v>
      </c>
      <c r="S26" s="15">
        <f t="shared" si="1"/>
        <v>-119.85</v>
      </c>
      <c r="T26" s="15">
        <f t="shared" si="11"/>
        <v>-131.05000000000001</v>
      </c>
      <c r="U26" s="15">
        <f t="shared" si="21"/>
        <v>-81.86</v>
      </c>
      <c r="V26" s="15">
        <f t="shared" si="31"/>
        <v>-63.18</v>
      </c>
      <c r="W26" s="15">
        <f t="shared" si="41"/>
        <v>-39.74</v>
      </c>
      <c r="X26" s="15">
        <f t="shared" si="51"/>
        <v>-69.48</v>
      </c>
      <c r="Y26" s="15">
        <f t="shared" si="61"/>
        <v>-60.93</v>
      </c>
      <c r="Z26" s="15">
        <f t="shared" si="71"/>
        <v>-90.17</v>
      </c>
      <c r="AA26" s="15">
        <f t="shared" si="81"/>
        <v>-141.94999999999999</v>
      </c>
      <c r="AB26" s="15">
        <f t="shared" si="91"/>
        <v>-106.65</v>
      </c>
      <c r="AC26" s="15">
        <f t="shared" si="101"/>
        <v>-161.88</v>
      </c>
      <c r="AD26" s="15">
        <v>-1.02</v>
      </c>
      <c r="AE26" s="15">
        <f t="shared" si="2"/>
        <v>-2.68</v>
      </c>
      <c r="AF26" s="15">
        <f t="shared" si="12"/>
        <v>-2.88</v>
      </c>
      <c r="AG26" s="15">
        <f t="shared" si="22"/>
        <v>-1.79</v>
      </c>
      <c r="AH26" s="15">
        <f t="shared" si="32"/>
        <v>-1.38</v>
      </c>
      <c r="AI26" s="15">
        <f t="shared" si="42"/>
        <v>-0.87</v>
      </c>
      <c r="AJ26" s="15">
        <f t="shared" si="52"/>
        <v>-1.51</v>
      </c>
      <c r="AK26" s="15">
        <f t="shared" si="62"/>
        <v>-1.37</v>
      </c>
      <c r="AL26" s="15">
        <f t="shared" si="72"/>
        <v>-2.0299999999999998</v>
      </c>
      <c r="AM26" s="15">
        <f t="shared" si="82"/>
        <v>-3.19</v>
      </c>
      <c r="AN26" s="15">
        <f t="shared" si="92"/>
        <v>-2.39</v>
      </c>
      <c r="AO26" s="15">
        <f t="shared" si="102"/>
        <v>-3.59</v>
      </c>
      <c r="AP26" s="15">
        <v>3</v>
      </c>
      <c r="AQ26" s="15">
        <f t="shared" si="3"/>
        <v>3</v>
      </c>
      <c r="AR26" s="15">
        <f t="shared" si="13"/>
        <v>3</v>
      </c>
      <c r="AS26" s="15">
        <f t="shared" si="23"/>
        <v>3</v>
      </c>
      <c r="AT26" s="15">
        <f t="shared" si="33"/>
        <v>3</v>
      </c>
      <c r="AU26" s="15">
        <f t="shared" si="43"/>
        <v>3</v>
      </c>
      <c r="AV26" s="15">
        <f t="shared" si="53"/>
        <v>3</v>
      </c>
      <c r="AW26" s="15">
        <f t="shared" si="63"/>
        <v>3</v>
      </c>
      <c r="AX26" s="15">
        <f t="shared" si="73"/>
        <v>3</v>
      </c>
      <c r="AY26" s="15">
        <f t="shared" si="83"/>
        <v>3</v>
      </c>
      <c r="AZ26" s="15">
        <f t="shared" si="93"/>
        <v>3</v>
      </c>
      <c r="BA26" s="15">
        <f t="shared" si="103"/>
        <v>3</v>
      </c>
      <c r="BB26" s="15">
        <v>13</v>
      </c>
      <c r="BC26" s="15">
        <f t="shared" si="4"/>
        <v>21</v>
      </c>
      <c r="BD26" s="15">
        <f t="shared" si="14"/>
        <v>30</v>
      </c>
      <c r="BE26" s="15">
        <f t="shared" si="24"/>
        <v>4</v>
      </c>
      <c r="BF26" s="15">
        <f t="shared" si="34"/>
        <v>4</v>
      </c>
      <c r="BG26" s="15">
        <f t="shared" si="44"/>
        <v>3</v>
      </c>
      <c r="BH26" s="15">
        <f t="shared" si="54"/>
        <v>13</v>
      </c>
      <c r="BI26" s="15">
        <f t="shared" si="64"/>
        <v>12</v>
      </c>
      <c r="BJ26" s="15">
        <f t="shared" si="74"/>
        <v>12</v>
      </c>
      <c r="BK26" s="15">
        <f t="shared" si="84"/>
        <v>11</v>
      </c>
      <c r="BL26" s="15">
        <f t="shared" si="94"/>
        <v>9</v>
      </c>
      <c r="BM26" s="15">
        <f t="shared" si="104"/>
        <v>6</v>
      </c>
      <c r="BN26" s="15">
        <v>3</v>
      </c>
      <c r="BO26" s="15">
        <f t="shared" si="5"/>
        <v>3</v>
      </c>
      <c r="BP26" s="15">
        <f t="shared" si="15"/>
        <v>3</v>
      </c>
      <c r="BQ26" s="15">
        <f t="shared" si="25"/>
        <v>3</v>
      </c>
      <c r="BR26" s="15">
        <f t="shared" si="35"/>
        <v>3</v>
      </c>
      <c r="BS26" s="15">
        <f t="shared" si="45"/>
        <v>3</v>
      </c>
      <c r="BT26" s="15">
        <f t="shared" si="55"/>
        <v>3</v>
      </c>
      <c r="BU26" s="15">
        <f t="shared" si="65"/>
        <v>3</v>
      </c>
      <c r="BV26" s="15">
        <f t="shared" si="75"/>
        <v>3</v>
      </c>
      <c r="BW26" s="15">
        <f t="shared" si="85"/>
        <v>3</v>
      </c>
      <c r="BX26" s="15">
        <f t="shared" si="95"/>
        <v>3</v>
      </c>
      <c r="BY26" s="15">
        <f t="shared" si="105"/>
        <v>3</v>
      </c>
      <c r="BZ26" s="15">
        <v>-3.4523100000000002</v>
      </c>
      <c r="CA26" s="15">
        <f t="shared" si="6"/>
        <v>-5.7071399999999999</v>
      </c>
      <c r="CB26" s="15">
        <f t="shared" si="16"/>
        <v>-4.3683300000000003</v>
      </c>
      <c r="CC26" s="15">
        <f t="shared" si="26"/>
        <v>-20.465</v>
      </c>
      <c r="CD26" s="15">
        <f t="shared" si="36"/>
        <v>-15.795</v>
      </c>
      <c r="CE26" s="15">
        <f t="shared" si="46"/>
        <v>-13.24667</v>
      </c>
      <c r="CF26" s="15">
        <f t="shared" si="56"/>
        <v>-5.3446199999999999</v>
      </c>
      <c r="CG26" s="15">
        <f t="shared" si="66"/>
        <v>-5.0774999999999997</v>
      </c>
      <c r="CH26" s="15">
        <f t="shared" si="76"/>
        <v>-7.51417</v>
      </c>
      <c r="CI26" s="15">
        <f t="shared" si="86"/>
        <v>-12.90455</v>
      </c>
      <c r="CJ26" s="15">
        <f t="shared" si="96"/>
        <v>-11.85</v>
      </c>
      <c r="CK26" s="15">
        <f t="shared" si="106"/>
        <v>-26.98</v>
      </c>
      <c r="CL26" s="15">
        <v>3</v>
      </c>
      <c r="CM26" s="15">
        <f t="shared" si="7"/>
        <v>3</v>
      </c>
      <c r="CN26" s="15">
        <f t="shared" si="17"/>
        <v>3</v>
      </c>
      <c r="CO26" s="15">
        <f t="shared" si="27"/>
        <v>5</v>
      </c>
      <c r="CP26" s="15">
        <f t="shared" si="37"/>
        <v>4</v>
      </c>
      <c r="CQ26" s="15">
        <f t="shared" si="47"/>
        <v>3</v>
      </c>
      <c r="CR26" s="15">
        <f t="shared" si="57"/>
        <v>3</v>
      </c>
      <c r="CS26" s="15">
        <f t="shared" si="67"/>
        <v>3</v>
      </c>
      <c r="CT26" s="15">
        <f t="shared" si="77"/>
        <v>3</v>
      </c>
      <c r="CU26" s="15">
        <f t="shared" si="87"/>
        <v>4</v>
      </c>
      <c r="CV26" s="15">
        <f t="shared" si="97"/>
        <v>3</v>
      </c>
      <c r="CW26" s="15">
        <f t="shared" si="107"/>
        <v>5</v>
      </c>
      <c r="CX26" s="15">
        <v>-73.845699999999994</v>
      </c>
      <c r="CY26" s="15">
        <f t="shared" si="8"/>
        <v>-80.061599999999999</v>
      </c>
      <c r="CZ26" s="15">
        <f t="shared" si="18"/>
        <v>-77.105999999999995</v>
      </c>
      <c r="DA26" s="15">
        <f t="shared" si="28"/>
        <v>-87.202500000000001</v>
      </c>
      <c r="DB26" s="15">
        <f t="shared" si="38"/>
        <v>-86.377399999999994</v>
      </c>
      <c r="DC26" s="15">
        <f t="shared" si="48"/>
        <v>-85.682900000000004</v>
      </c>
      <c r="DD26" s="15">
        <f t="shared" si="58"/>
        <v>-79.402299999999997</v>
      </c>
      <c r="DE26" s="15">
        <f t="shared" si="68"/>
        <v>-78.8583</v>
      </c>
      <c r="DF26" s="15">
        <f t="shared" si="78"/>
        <v>-82.419499999999999</v>
      </c>
      <c r="DG26" s="15">
        <f t="shared" si="88"/>
        <v>-85.568899999999999</v>
      </c>
      <c r="DH26" s="15">
        <f t="shared" si="98"/>
        <v>-85.176299999999998</v>
      </c>
      <c r="DI26" s="15">
        <f t="shared" si="108"/>
        <v>-87.877300000000005</v>
      </c>
      <c r="DJ26" s="15" t="s">
        <v>22</v>
      </c>
      <c r="DK26" s="15" t="str">
        <f t="shared" si="9"/>
        <v>LL</v>
      </c>
      <c r="DL26" s="15" t="str">
        <f t="shared" si="19"/>
        <v>LL</v>
      </c>
      <c r="DM26" s="15" t="str">
        <f t="shared" si="29"/>
        <v>LL</v>
      </c>
      <c r="DN26" s="15" t="str">
        <f t="shared" si="39"/>
        <v>LL</v>
      </c>
      <c r="DO26" s="15" t="str">
        <f t="shared" si="49"/>
        <v>LL</v>
      </c>
      <c r="DP26" s="15" t="str">
        <f t="shared" si="59"/>
        <v>HL</v>
      </c>
      <c r="DQ26" s="15" t="str">
        <f t="shared" si="69"/>
        <v>HL</v>
      </c>
      <c r="DR26" s="15" t="str">
        <f t="shared" si="79"/>
        <v>HL</v>
      </c>
      <c r="DS26" s="15" t="str">
        <f t="shared" si="89"/>
        <v>LL</v>
      </c>
      <c r="DT26" s="15" t="str">
        <f t="shared" si="99"/>
        <v>HL</v>
      </c>
      <c r="DU26" s="15" t="str">
        <f t="shared" si="109"/>
        <v>HL</v>
      </c>
      <c r="DV26" s="15">
        <f>IFERROR((G26-$F26)/$F26*100,"")</f>
        <v>-0.37457035249379128</v>
      </c>
      <c r="DW26" s="15">
        <f>IFERROR((H26-$F26)/$F26*100,"")</f>
        <v>0.85838086880209441</v>
      </c>
      <c r="DX26" s="15">
        <f>IFERROR((I26-$F26)/$F26*100,"")</f>
        <v>2.5463470820535337</v>
      </c>
      <c r="DY26" s="15">
        <f>IFERROR((J26-$F26)/$F26*100,"")</f>
        <v>3.351479084393731</v>
      </c>
      <c r="DZ26" s="15">
        <f>IFERROR((K26-$F26)/$F26*100,"")</f>
        <v>3.4808304080737047</v>
      </c>
      <c r="EA26" s="15">
        <f>IFERROR((L26-$F26)/$F26*100,"")</f>
        <v>3.5912132514260509</v>
      </c>
      <c r="EB26" s="15">
        <f>IFERROR((M26-$F26)/$F26*100,"")</f>
        <v>-7.0846131344165106E-2</v>
      </c>
      <c r="EC26" s="15">
        <f>IFERROR((N26-$F26)/$F26*100,"")</f>
        <v>-0.5480291063331979</v>
      </c>
      <c r="ED26" s="15">
        <f>IFERROR((O26-$F26)/$F26*100,"")</f>
        <v>-1.5903813807225424</v>
      </c>
      <c r="EE26" s="15">
        <f>IFERROR((P26-$F26)/$F26*100,"")</f>
        <v>-0.34760311540149269</v>
      </c>
      <c r="EF26" s="15">
        <f>IFERROR((Q26-$F26)/$F26*100,"")</f>
        <v>-0.56334101213983989</v>
      </c>
      <c r="EG26" s="15" t="str">
        <f>IF(DV26="","",IF(AND(ABS(DV26)&lt;=0.25,$E26="Bottom",DK26="LL"),"EQL",IF(AND(ABS(DV26)&lt;=0.25,$E26="Peak",DK26="HH"),"EQH","")))</f>
        <v/>
      </c>
      <c r="EH26" s="15" t="str">
        <f>IF(DW26="","",IF(AND(ABS(DW26)&lt;=0.25,$E26="Bottom",DL26="LL"),"EQL",IF(AND(ABS(DW26)&lt;=0.25,$E26="Peak",DL26="HH"),"EQH","")))</f>
        <v/>
      </c>
      <c r="EI26" s="15" t="str">
        <f>IF(DX26="","",IF(AND(ABS(DX26)&lt;=0.25,$E26="Bottom",DM26="LL"),"EQL",IF(AND(ABS(DX26)&lt;=0.25,$E26="Peak",DM26="HH"),"EQH","")))</f>
        <v/>
      </c>
      <c r="EJ26" s="15" t="str">
        <f>IF(DY26="","",IF(AND(ABS(DY26)&lt;=0.25,$E26="Bottom",DN26="LL"),"EQL",IF(AND(ABS(DY26)&lt;=0.25,$E26="Peak",DN26="HH"),"EQH","")))</f>
        <v/>
      </c>
      <c r="EK26" s="15" t="str">
        <f>IF(DZ26="","",IF(AND(ABS(DZ26)&lt;=0.25,$E26="Bottom",DO26="LL"),"EQL",IF(AND(ABS(DZ26)&lt;=0.25,$E26="Peak",DO26="HH"),"EQH","")))</f>
        <v/>
      </c>
      <c r="EL26" s="15" t="str">
        <f>IF(EA26="","",IF(AND(ABS(EA26)&lt;=0.25,$E26="Bottom",DP26="LL"),"EQL",IF(AND(ABS(EA26)&lt;=0.25,$E26="Peak",DP26="HH"),"EQH","")))</f>
        <v/>
      </c>
      <c r="EM26" s="15" t="str">
        <f>IF(EB26="","",IF(AND(ABS(EB26)&lt;=0.25,$E26="Bottom",DQ26="LL"),"EQL",IF(AND(ABS(EB26)&lt;=0.25,$E26="Peak",DQ26="HH"),"EQH","")))</f>
        <v/>
      </c>
      <c r="EN26" s="15" t="str">
        <f>IF(EC26="","",IF(AND(ABS(EC26)&lt;=0.25,$E26="Bottom",DR26="LL"),"EQL",IF(AND(ABS(EC26)&lt;=0.25,$E26="Peak",DR26="HH"),"EQH","")))</f>
        <v/>
      </c>
      <c r="EO26" s="15" t="str">
        <f>IF(ED26="","",IF(AND(ABS(ED26)&lt;=0.25,$E26="Bottom",DS26="LL"),"EQL",IF(AND(ABS(ED26)&lt;=0.25,$E26="Peak",DS26="HH"),"EQH","")))</f>
        <v/>
      </c>
      <c r="EP26" s="15" t="str">
        <f>IF(EE26="","",IF(AND(ABS(EE26)&lt;=0.25,$E26="Bottom",DT26="LL"),"EQL",IF(AND(ABS(EE26)&lt;=0.25,$E26="Peak",DT26="HH"),"EQH","")))</f>
        <v/>
      </c>
      <c r="EQ26" s="15" t="str">
        <f>IF(EF26="","",IF(AND(ABS(EF26)&lt;=0.25,$E26="Bottom",DU26="LL"),"EQL",IF(AND(ABS(EF26)&lt;=0.25,$E26="Peak",DU26="HH"),"EQH","")))</f>
        <v/>
      </c>
      <c r="ER26" s="15" t="str">
        <f>IF(OR(EG26="EQL",EG26="EQH"),F26,"")</f>
        <v/>
      </c>
      <c r="ES26" s="15" t="str">
        <f>IF(OR(EH26="EQL",EH26="EQH"),G26,"")</f>
        <v/>
      </c>
      <c r="ET26" s="15" t="str">
        <f>IF(OR(EI26="EQL",EI26="EQH"),H26,"")</f>
        <v/>
      </c>
      <c r="EU26" s="15" t="str">
        <f>IF(OR(EJ26="EQL",EJ26="EQH"),I26,"")</f>
        <v/>
      </c>
      <c r="EV26" s="15" t="str">
        <f>IF(OR(EK26="EQL",EK26="EQH"),J26,"")</f>
        <v/>
      </c>
      <c r="EW26" s="15" t="str">
        <f>IF(OR(EL26="EQL",EL26="EQH"),K26,"")</f>
        <v/>
      </c>
      <c r="EX26" s="15" t="str">
        <f>IF(OR(EM26="EQL",EM26="EQH"),L26,"")</f>
        <v/>
      </c>
      <c r="EY26" s="15" t="str">
        <f>IF(OR(EN26="EQL",EN26="EQH"),M26,"")</f>
        <v/>
      </c>
      <c r="EZ26" s="15" t="str">
        <f>IF(OR(EO26="EQL",EO26="EQH"),N26,"")</f>
        <v/>
      </c>
      <c r="FA26" s="15" t="str">
        <f>IF(OR(EP26="EQL",EP26="EQH"),O26,"")</f>
        <v/>
      </c>
      <c r="FB26" s="15" t="str">
        <f>IF(OR(EQ26="EQL",EQ26="EQH"),P26,"")</f>
        <v/>
      </c>
      <c r="FC26" s="15" t="str">
        <f>IF(AND(EG26="EQL",OR(AQ26=4,AQ26=5)),"IEQL",IF(AND(EG26="EQH",OR(AQ26=1,AQ26=2)),"IEQH",""))</f>
        <v/>
      </c>
      <c r="FD26" s="15" t="str">
        <f>IF(AND(EH26="EQL",OR(AR26=4,AR26=5)),"IEQL",IF(AND(EH26="EQH",OR(AR26=1,AR26=2)),"IEQH",""))</f>
        <v/>
      </c>
      <c r="FE26" s="15" t="str">
        <f>IF(AND(EI26="EQL",OR(AS26=4,AS26=5)),"IEQL",IF(AND(EI26="EQH",OR(AS26=1,AS26=2)),"IEQH",""))</f>
        <v/>
      </c>
      <c r="FF26" s="15" t="str">
        <f>IF(AND(EJ26="EQL",OR(AT26=4,AT26=5)),"IEQL",IF(AND(EJ26="EQH",OR(AT26=1,AT26=2)),"IEQH",""))</f>
        <v/>
      </c>
      <c r="FG26" s="15" t="str">
        <f>IF(AND(EK26="EQL",OR(AU26=4,AU26=5)),"IEQL",IF(AND(EK26="EQH",OR(AU26=1,AU26=2)),"IEQH",""))</f>
        <v/>
      </c>
      <c r="FH26" s="15" t="str">
        <f>IF(AND(EL26="EQL",OR(AV26=4,AV26=5)),"IEQL",IF(AND(EL26="EQH",OR(AV26=1,AV26=2)),"IEQH",""))</f>
        <v/>
      </c>
      <c r="FI26" s="15" t="str">
        <f>IF(AND(EM26="EQL",OR(AW26=4,AW26=5)),"IEQL",IF(AND(EM26="EQH",OR(AW26=1,AW26=2)),"IEQH",""))</f>
        <v/>
      </c>
      <c r="FJ26" s="15" t="str">
        <f>IF(AND(EN26="EQL",OR(AX26=4,AX26=5)),"IEQL",IF(AND(EN26="EQH",OR(AX26=1,AX26=2)),"IEQH",""))</f>
        <v/>
      </c>
      <c r="FK26" s="15" t="str">
        <f>IF(AND(EO26="EQL",OR(AY26=4,AY26=5)),"IEQL",IF(AND(EO26="EQH",OR(AY26=1,AY26=2)),"IEQH",""))</f>
        <v/>
      </c>
      <c r="FL26" s="15" t="str">
        <f>IF(AND(EP26="EQL",OR(AZ26=4,AZ26=5)),"IEQL",IF(AND(EP26="EQH",OR(AZ26=1,AZ26=2)),"IEQH",""))</f>
        <v/>
      </c>
      <c r="FM26" s="15" t="str">
        <f>IF(AND(EQ26="EQL",OR(BA26=4,BA26=5)),"IEQL",IF(AND(EQ26="EQH",OR(BA26=1,BA26=2)),"IEQH",""))</f>
        <v/>
      </c>
      <c r="FN26" s="15" t="str">
        <f>IF(OR(AND(DJ26="LL",AP26=5),AND(DJ26="HH",AP26=2)),F26,"")</f>
        <v/>
      </c>
      <c r="FO26" s="15" t="str">
        <f>IF(FN26&lt;&gt;"",F25,"")</f>
        <v/>
      </c>
    </row>
    <row r="27" spans="1:171" s="15" customFormat="1" x14ac:dyDescent="0.55000000000000004">
      <c r="A27" s="15">
        <v>1774589406</v>
      </c>
      <c r="B27" s="15" t="s">
        <v>16</v>
      </c>
      <c r="C27" s="15" t="s">
        <v>17</v>
      </c>
      <c r="D27" s="15">
        <v>4466.08</v>
      </c>
      <c r="E27" s="15" t="s">
        <v>20</v>
      </c>
      <c r="F27" s="15">
        <v>4475.12</v>
      </c>
      <c r="G27" s="15">
        <f t="shared" si="0"/>
        <v>4420.5600000000004</v>
      </c>
      <c r="H27" s="15">
        <f t="shared" si="10"/>
        <v>4479.1400000000003</v>
      </c>
      <c r="I27" s="15">
        <f t="shared" si="20"/>
        <v>4544.29</v>
      </c>
      <c r="J27" s="15">
        <f t="shared" si="30"/>
        <v>4568.96</v>
      </c>
      <c r="K27" s="15">
        <f t="shared" si="40"/>
        <v>4585.51</v>
      </c>
      <c r="L27" s="15">
        <f t="shared" si="50"/>
        <v>4567.7299999999996</v>
      </c>
      <c r="M27" s="15">
        <f t="shared" si="60"/>
        <v>4602.3</v>
      </c>
      <c r="N27" s="15">
        <f t="shared" si="70"/>
        <v>4433.51</v>
      </c>
      <c r="O27" s="15">
        <f t="shared" si="80"/>
        <v>4441.87</v>
      </c>
      <c r="P27" s="15">
        <f t="shared" si="90"/>
        <v>4448.04</v>
      </c>
      <c r="Q27" s="15">
        <f t="shared" si="100"/>
        <v>4467.12</v>
      </c>
      <c r="R27" s="15">
        <v>99.44</v>
      </c>
      <c r="S27" s="15">
        <f t="shared" si="1"/>
        <v>61.27</v>
      </c>
      <c r="T27" s="15">
        <f t="shared" si="11"/>
        <v>65.900000000000006</v>
      </c>
      <c r="U27" s="15">
        <f t="shared" si="21"/>
        <v>57.19</v>
      </c>
      <c r="V27" s="15">
        <f t="shared" si="31"/>
        <v>46.63</v>
      </c>
      <c r="W27" s="15">
        <f t="shared" si="41"/>
        <v>57.52</v>
      </c>
      <c r="X27" s="15">
        <f t="shared" si="51"/>
        <v>34.909999999999997</v>
      </c>
      <c r="Y27" s="15">
        <f t="shared" si="61"/>
        <v>229.72</v>
      </c>
      <c r="Z27" s="15">
        <f t="shared" si="71"/>
        <v>81.81</v>
      </c>
      <c r="AA27" s="15">
        <f t="shared" si="81"/>
        <v>135.78</v>
      </c>
      <c r="AB27" s="15">
        <f t="shared" si="91"/>
        <v>87.57</v>
      </c>
      <c r="AC27" s="15">
        <f t="shared" si="101"/>
        <v>116.09</v>
      </c>
      <c r="AD27" s="15">
        <v>2.27</v>
      </c>
      <c r="AE27" s="15">
        <f t="shared" si="2"/>
        <v>1.41</v>
      </c>
      <c r="AF27" s="15">
        <f t="shared" si="12"/>
        <v>1.49</v>
      </c>
      <c r="AG27" s="15">
        <f t="shared" si="22"/>
        <v>1.27</v>
      </c>
      <c r="AH27" s="15">
        <f t="shared" si="32"/>
        <v>1.03</v>
      </c>
      <c r="AI27" s="15">
        <f t="shared" si="42"/>
        <v>1.27</v>
      </c>
      <c r="AJ27" s="15">
        <f t="shared" si="52"/>
        <v>0.77</v>
      </c>
      <c r="AK27" s="15">
        <f t="shared" si="62"/>
        <v>5.25</v>
      </c>
      <c r="AL27" s="15">
        <f t="shared" si="72"/>
        <v>1.88</v>
      </c>
      <c r="AM27" s="15">
        <f t="shared" si="82"/>
        <v>3.15</v>
      </c>
      <c r="AN27" s="15">
        <f t="shared" si="92"/>
        <v>2.0099999999999998</v>
      </c>
      <c r="AO27" s="15">
        <f t="shared" si="102"/>
        <v>2.67</v>
      </c>
      <c r="AP27" s="15">
        <v>0</v>
      </c>
      <c r="AQ27" s="15">
        <f t="shared" si="3"/>
        <v>0</v>
      </c>
      <c r="AR27" s="15">
        <f t="shared" si="13"/>
        <v>0</v>
      </c>
      <c r="AS27" s="15">
        <f t="shared" si="23"/>
        <v>0</v>
      </c>
      <c r="AT27" s="15">
        <f t="shared" si="33"/>
        <v>0</v>
      </c>
      <c r="AU27" s="15">
        <f t="shared" si="43"/>
        <v>0</v>
      </c>
      <c r="AV27" s="15">
        <f t="shared" si="53"/>
        <v>0</v>
      </c>
      <c r="AW27" s="15">
        <f t="shared" si="63"/>
        <v>0</v>
      </c>
      <c r="AX27" s="15">
        <f t="shared" si="73"/>
        <v>0</v>
      </c>
      <c r="AY27" s="15">
        <f t="shared" si="83"/>
        <v>0</v>
      </c>
      <c r="AZ27" s="15">
        <f t="shared" si="93"/>
        <v>0</v>
      </c>
      <c r="BA27" s="15">
        <f t="shared" si="103"/>
        <v>0</v>
      </c>
      <c r="BB27" s="15">
        <v>19</v>
      </c>
      <c r="BC27" s="15">
        <f t="shared" si="4"/>
        <v>3</v>
      </c>
      <c r="BD27" s="15">
        <f t="shared" si="14"/>
        <v>24</v>
      </c>
      <c r="BE27" s="15">
        <f t="shared" si="24"/>
        <v>20</v>
      </c>
      <c r="BF27" s="15">
        <f t="shared" si="34"/>
        <v>22</v>
      </c>
      <c r="BG27" s="15">
        <f t="shared" si="44"/>
        <v>7</v>
      </c>
      <c r="BH27" s="15">
        <f t="shared" si="54"/>
        <v>12</v>
      </c>
      <c r="BI27" s="15">
        <f t="shared" si="64"/>
        <v>32</v>
      </c>
      <c r="BJ27" s="15">
        <f t="shared" si="74"/>
        <v>4</v>
      </c>
      <c r="BK27" s="15">
        <f t="shared" si="84"/>
        <v>35</v>
      </c>
      <c r="BL27" s="15">
        <f t="shared" si="94"/>
        <v>5</v>
      </c>
      <c r="BM27" s="15">
        <f t="shared" si="104"/>
        <v>12</v>
      </c>
      <c r="BN27" s="15">
        <v>0</v>
      </c>
      <c r="BO27" s="15">
        <f t="shared" si="5"/>
        <v>0</v>
      </c>
      <c r="BP27" s="15">
        <f t="shared" si="15"/>
        <v>0</v>
      </c>
      <c r="BQ27" s="15">
        <f t="shared" si="25"/>
        <v>0</v>
      </c>
      <c r="BR27" s="15">
        <f t="shared" si="35"/>
        <v>0</v>
      </c>
      <c r="BS27" s="15">
        <f t="shared" si="45"/>
        <v>0</v>
      </c>
      <c r="BT27" s="15">
        <f t="shared" si="55"/>
        <v>0</v>
      </c>
      <c r="BU27" s="15">
        <f t="shared" si="65"/>
        <v>0</v>
      </c>
      <c r="BV27" s="15">
        <f t="shared" si="75"/>
        <v>0</v>
      </c>
      <c r="BW27" s="15">
        <f t="shared" si="85"/>
        <v>0</v>
      </c>
      <c r="BX27" s="15">
        <f t="shared" si="95"/>
        <v>0</v>
      </c>
      <c r="BY27" s="15">
        <f t="shared" si="105"/>
        <v>0</v>
      </c>
      <c r="BZ27" s="15">
        <v>5.2336799999999997</v>
      </c>
      <c r="CA27" s="15">
        <f t="shared" si="6"/>
        <v>20.42333</v>
      </c>
      <c r="CB27" s="15">
        <f t="shared" si="16"/>
        <v>2.7458300000000002</v>
      </c>
      <c r="CC27" s="15">
        <f t="shared" si="26"/>
        <v>2.8595000000000002</v>
      </c>
      <c r="CD27" s="15">
        <f t="shared" si="36"/>
        <v>2.1195499999999998</v>
      </c>
      <c r="CE27" s="15">
        <f t="shared" si="46"/>
        <v>8.2171400000000006</v>
      </c>
      <c r="CF27" s="15">
        <f t="shared" si="56"/>
        <v>2.90917</v>
      </c>
      <c r="CG27" s="15">
        <f t="shared" si="66"/>
        <v>7.17875</v>
      </c>
      <c r="CH27" s="15">
        <f t="shared" si="76"/>
        <v>20.452500000000001</v>
      </c>
      <c r="CI27" s="15">
        <f t="shared" si="86"/>
        <v>3.8794300000000002</v>
      </c>
      <c r="CJ27" s="15">
        <f t="shared" si="96"/>
        <v>17.513999999999999</v>
      </c>
      <c r="CK27" s="15">
        <f t="shared" si="106"/>
        <v>9.6741700000000002</v>
      </c>
      <c r="CL27" s="15">
        <v>0</v>
      </c>
      <c r="CM27" s="15">
        <f t="shared" si="7"/>
        <v>2</v>
      </c>
      <c r="CN27" s="15">
        <f t="shared" si="17"/>
        <v>0</v>
      </c>
      <c r="CO27" s="15">
        <f t="shared" si="27"/>
        <v>0</v>
      </c>
      <c r="CP27" s="15">
        <f t="shared" si="37"/>
        <v>0</v>
      </c>
      <c r="CQ27" s="15">
        <f t="shared" si="47"/>
        <v>0</v>
      </c>
      <c r="CR27" s="15">
        <f t="shared" si="57"/>
        <v>0</v>
      </c>
      <c r="CS27" s="15">
        <f t="shared" si="67"/>
        <v>0</v>
      </c>
      <c r="CT27" s="15">
        <f t="shared" si="77"/>
        <v>2</v>
      </c>
      <c r="CU27" s="15">
        <f t="shared" si="87"/>
        <v>0</v>
      </c>
      <c r="CV27" s="15">
        <f t="shared" si="97"/>
        <v>2</v>
      </c>
      <c r="CW27" s="15">
        <f t="shared" si="107"/>
        <v>0</v>
      </c>
      <c r="CX27" s="15">
        <v>79.182900000000004</v>
      </c>
      <c r="CY27" s="15">
        <f t="shared" si="8"/>
        <v>87.196799999999996</v>
      </c>
      <c r="CZ27" s="15">
        <f t="shared" si="18"/>
        <v>69.989000000000004</v>
      </c>
      <c r="DA27" s="15">
        <f t="shared" si="28"/>
        <v>70.724699999999999</v>
      </c>
      <c r="DB27" s="15">
        <f t="shared" si="38"/>
        <v>64.742099999999994</v>
      </c>
      <c r="DC27" s="15">
        <f t="shared" si="48"/>
        <v>83.061400000000006</v>
      </c>
      <c r="DD27" s="15">
        <f t="shared" si="58"/>
        <v>71.030100000000004</v>
      </c>
      <c r="DE27" s="15">
        <f t="shared" si="68"/>
        <v>82.069699999999997</v>
      </c>
      <c r="DF27" s="15">
        <f t="shared" si="78"/>
        <v>87.200800000000001</v>
      </c>
      <c r="DG27" s="15">
        <f t="shared" si="88"/>
        <v>75.545500000000004</v>
      </c>
      <c r="DH27" s="15">
        <f t="shared" si="98"/>
        <v>86.732100000000003</v>
      </c>
      <c r="DI27" s="15">
        <f t="shared" si="108"/>
        <v>84.098399999999998</v>
      </c>
      <c r="DJ27" s="15" t="s">
        <v>23</v>
      </c>
      <c r="DK27" s="15" t="str">
        <f t="shared" si="9"/>
        <v>LH</v>
      </c>
      <c r="DL27" s="15" t="str">
        <f t="shared" si="19"/>
        <v>LH</v>
      </c>
      <c r="DM27" s="15" t="str">
        <f t="shared" si="29"/>
        <v>LH</v>
      </c>
      <c r="DN27" s="15" t="str">
        <f t="shared" si="39"/>
        <v>LH</v>
      </c>
      <c r="DO27" s="15" t="str">
        <f t="shared" si="49"/>
        <v>HH</v>
      </c>
      <c r="DP27" s="15" t="str">
        <f t="shared" si="59"/>
        <v>LH</v>
      </c>
      <c r="DQ27" s="15" t="str">
        <f t="shared" si="69"/>
        <v>HH</v>
      </c>
      <c r="DR27" s="15" t="str">
        <f t="shared" si="79"/>
        <v>LH</v>
      </c>
      <c r="DS27" s="15" t="str">
        <f t="shared" si="89"/>
        <v>LH</v>
      </c>
      <c r="DT27" s="15" t="str">
        <f t="shared" si="99"/>
        <v>LH</v>
      </c>
      <c r="DU27" s="15" t="str">
        <f t="shared" si="109"/>
        <v>LH</v>
      </c>
      <c r="DV27" s="15">
        <f>IFERROR((G27-$F27)/$F27*100,"")</f>
        <v>-1.2191851838609802</v>
      </c>
      <c r="DW27" s="15">
        <f>IFERROR((H27-$F27)/$F27*100,"")</f>
        <v>8.9829993385661985E-2</v>
      </c>
      <c r="DX27" s="15">
        <f>IFERROR((I27-$F27)/$F27*100,"")</f>
        <v>1.5456568762401919</v>
      </c>
      <c r="DY27" s="15">
        <f>IFERROR((J27-$F27)/$F27*100,"")</f>
        <v>2.0969270097785122</v>
      </c>
      <c r="DZ27" s="15">
        <f>IFERROR((K27-$F27)/$F27*100,"")</f>
        <v>2.4667494949856166</v>
      </c>
      <c r="EA27" s="15">
        <f>IFERROR((L27-$F27)/$F27*100,"")</f>
        <v>2.069441713294832</v>
      </c>
      <c r="EB27" s="15">
        <f>IFERROR((M27-$F27)/$F27*100,"")</f>
        <v>2.8419349648724572</v>
      </c>
      <c r="EC27" s="15">
        <f>IFERROR((N27-$F27)/$F27*100,"")</f>
        <v>-0.9298074688499901</v>
      </c>
      <c r="ED27" s="15">
        <f>IFERROR((O27-$F27)/$F27*100,"")</f>
        <v>-0.74299683583903897</v>
      </c>
      <c r="EE27" s="15">
        <f>IFERROR((P27-$F27)/$F27*100,"")</f>
        <v>-0.60512343803071045</v>
      </c>
      <c r="EF27" s="15">
        <f>IFERROR((Q27-$F27)/$F27*100,"")</f>
        <v>-0.17876615599134771</v>
      </c>
      <c r="EG27" s="15" t="str">
        <f>IF(DV27="","",IF(AND(ABS(DV27)&lt;=0.25,$E27="Bottom",DK27="LL"),"EQL",IF(AND(ABS(DV27)&lt;=0.25,$E27="Peak",DK27="HH"),"EQH","")))</f>
        <v/>
      </c>
      <c r="EH27" s="15" t="str">
        <f>IF(DW27="","",IF(AND(ABS(DW27)&lt;=0.25,$E27="Bottom",DL27="LL"),"EQL",IF(AND(ABS(DW27)&lt;=0.25,$E27="Peak",DL27="HH"),"EQH","")))</f>
        <v/>
      </c>
      <c r="EI27" s="15" t="str">
        <f>IF(DX27="","",IF(AND(ABS(DX27)&lt;=0.25,$E27="Bottom",DM27="LL"),"EQL",IF(AND(ABS(DX27)&lt;=0.25,$E27="Peak",DM27="HH"),"EQH","")))</f>
        <v/>
      </c>
      <c r="EJ27" s="15" t="str">
        <f>IF(DY27="","",IF(AND(ABS(DY27)&lt;=0.25,$E27="Bottom",DN27="LL"),"EQL",IF(AND(ABS(DY27)&lt;=0.25,$E27="Peak",DN27="HH"),"EQH","")))</f>
        <v/>
      </c>
      <c r="EK27" s="15" t="str">
        <f>IF(DZ27="","",IF(AND(ABS(DZ27)&lt;=0.25,$E27="Bottom",DO27="LL"),"EQL",IF(AND(ABS(DZ27)&lt;=0.25,$E27="Peak",DO27="HH"),"EQH","")))</f>
        <v/>
      </c>
      <c r="EL27" s="15" t="str">
        <f>IF(EA27="","",IF(AND(ABS(EA27)&lt;=0.25,$E27="Bottom",DP27="LL"),"EQL",IF(AND(ABS(EA27)&lt;=0.25,$E27="Peak",DP27="HH"),"EQH","")))</f>
        <v/>
      </c>
      <c r="EM27" s="15" t="str">
        <f>IF(EB27="","",IF(AND(ABS(EB27)&lt;=0.25,$E27="Bottom",DQ27="LL"),"EQL",IF(AND(ABS(EB27)&lt;=0.25,$E27="Peak",DQ27="HH"),"EQH","")))</f>
        <v/>
      </c>
      <c r="EN27" s="15" t="str">
        <f>IF(EC27="","",IF(AND(ABS(EC27)&lt;=0.25,$E27="Bottom",DR27="LL"),"EQL",IF(AND(ABS(EC27)&lt;=0.25,$E27="Peak",DR27="HH"),"EQH","")))</f>
        <v/>
      </c>
      <c r="EO27" s="15" t="str">
        <f>IF(ED27="","",IF(AND(ABS(ED27)&lt;=0.25,$E27="Bottom",DS27="LL"),"EQL",IF(AND(ABS(ED27)&lt;=0.25,$E27="Peak",DS27="HH"),"EQH","")))</f>
        <v/>
      </c>
      <c r="EP27" s="15" t="str">
        <f>IF(EE27="","",IF(AND(ABS(EE27)&lt;=0.25,$E27="Bottom",DT27="LL"),"EQL",IF(AND(ABS(EE27)&lt;=0.25,$E27="Peak",DT27="HH"),"EQH","")))</f>
        <v/>
      </c>
      <c r="EQ27" s="15" t="str">
        <f>IF(EF27="","",IF(AND(ABS(EF27)&lt;=0.25,$E27="Bottom",DU27="LL"),"EQL",IF(AND(ABS(EF27)&lt;=0.25,$E27="Peak",DU27="HH"),"EQH","")))</f>
        <v/>
      </c>
      <c r="ER27" s="15" t="str">
        <f>IF(OR(EG27="EQL",EG27="EQH"),F27,"")</f>
        <v/>
      </c>
      <c r="ES27" s="15" t="str">
        <f>IF(OR(EH27="EQL",EH27="EQH"),G27,"")</f>
        <v/>
      </c>
      <c r="ET27" s="15" t="str">
        <f>IF(OR(EI27="EQL",EI27="EQH"),H27,"")</f>
        <v/>
      </c>
      <c r="EU27" s="15" t="str">
        <f>IF(OR(EJ27="EQL",EJ27="EQH"),I27,"")</f>
        <v/>
      </c>
      <c r="EV27" s="15" t="str">
        <f>IF(OR(EK27="EQL",EK27="EQH"),J27,"")</f>
        <v/>
      </c>
      <c r="EW27" s="15" t="str">
        <f>IF(OR(EL27="EQL",EL27="EQH"),K27,"")</f>
        <v/>
      </c>
      <c r="EX27" s="15" t="str">
        <f>IF(OR(EM27="EQL",EM27="EQH"),L27,"")</f>
        <v/>
      </c>
      <c r="EY27" s="15" t="str">
        <f>IF(OR(EN27="EQL",EN27="EQH"),M27,"")</f>
        <v/>
      </c>
      <c r="EZ27" s="15" t="str">
        <f>IF(OR(EO27="EQL",EO27="EQH"),N27,"")</f>
        <v/>
      </c>
      <c r="FA27" s="15" t="str">
        <f>IF(OR(EP27="EQL",EP27="EQH"),O27,"")</f>
        <v/>
      </c>
      <c r="FB27" s="15" t="str">
        <f>IF(OR(EQ27="EQL",EQ27="EQH"),P27,"")</f>
        <v/>
      </c>
      <c r="FC27" s="15" t="str">
        <f>IF(AND(EG27="EQL",OR(AQ27=4,AQ27=5)),"IEQL",IF(AND(EG27="EQH",OR(AQ27=1,AQ27=2)),"IEQH",""))</f>
        <v/>
      </c>
      <c r="FD27" s="15" t="str">
        <f>IF(AND(EH27="EQL",OR(AR27=4,AR27=5)),"IEQL",IF(AND(EH27="EQH",OR(AR27=1,AR27=2)),"IEQH",""))</f>
        <v/>
      </c>
      <c r="FE27" s="15" t="str">
        <f>IF(AND(EI27="EQL",OR(AS27=4,AS27=5)),"IEQL",IF(AND(EI27="EQH",OR(AS27=1,AS27=2)),"IEQH",""))</f>
        <v/>
      </c>
      <c r="FF27" s="15" t="str">
        <f>IF(AND(EJ27="EQL",OR(AT27=4,AT27=5)),"IEQL",IF(AND(EJ27="EQH",OR(AT27=1,AT27=2)),"IEQH",""))</f>
        <v/>
      </c>
      <c r="FG27" s="15" t="str">
        <f>IF(AND(EK27="EQL",OR(AU27=4,AU27=5)),"IEQL",IF(AND(EK27="EQH",OR(AU27=1,AU27=2)),"IEQH",""))</f>
        <v/>
      </c>
      <c r="FH27" s="15" t="str">
        <f>IF(AND(EL27="EQL",OR(AV27=4,AV27=5)),"IEQL",IF(AND(EL27="EQH",OR(AV27=1,AV27=2)),"IEQH",""))</f>
        <v/>
      </c>
      <c r="FI27" s="15" t="str">
        <f>IF(AND(EM27="EQL",OR(AW27=4,AW27=5)),"IEQL",IF(AND(EM27="EQH",OR(AW27=1,AW27=2)),"IEQH",""))</f>
        <v/>
      </c>
      <c r="FJ27" s="15" t="str">
        <f>IF(AND(EN27="EQL",OR(AX27=4,AX27=5)),"IEQL",IF(AND(EN27="EQH",OR(AX27=1,AX27=2)),"IEQH",""))</f>
        <v/>
      </c>
      <c r="FK27" s="15" t="str">
        <f>IF(AND(EO27="EQL",OR(AY27=4,AY27=5)),"IEQL",IF(AND(EO27="EQH",OR(AY27=1,AY27=2)),"IEQH",""))</f>
        <v/>
      </c>
      <c r="FL27" s="15" t="str">
        <f>IF(AND(EP27="EQL",OR(AZ27=4,AZ27=5)),"IEQL",IF(AND(EP27="EQH",OR(AZ27=1,AZ27=2)),"IEQH",""))</f>
        <v/>
      </c>
      <c r="FM27" s="15" t="str">
        <f>IF(AND(EQ27="EQL",OR(BA27=4,BA27=5)),"IEQL",IF(AND(EQ27="EQH",OR(BA27=1,BA27=2)),"IEQH",""))</f>
        <v/>
      </c>
      <c r="FN27" s="15" t="str">
        <f>IF(OR(AND(DJ27="LL",AP27=5),AND(DJ27="HH",AP27=2)),F27,"")</f>
        <v/>
      </c>
      <c r="FO27" s="15" t="str">
        <f>IF(FN27&lt;&gt;"",F26,"")</f>
        <v/>
      </c>
    </row>
    <row r="28" spans="1:171" s="15" customFormat="1" x14ac:dyDescent="0.55000000000000004">
      <c r="A28" s="15">
        <v>1774609206</v>
      </c>
      <c r="B28" s="15" t="s">
        <v>16</v>
      </c>
      <c r="C28" s="15" t="s">
        <v>17</v>
      </c>
      <c r="D28" s="15">
        <v>4413.17</v>
      </c>
      <c r="E28" s="15" t="s">
        <v>18</v>
      </c>
      <c r="F28" s="15">
        <v>4404.32</v>
      </c>
      <c r="G28" s="15">
        <f t="shared" si="0"/>
        <v>4375.68</v>
      </c>
      <c r="H28" s="15">
        <f t="shared" si="10"/>
        <v>4359.29</v>
      </c>
      <c r="I28" s="15">
        <f t="shared" si="20"/>
        <v>4413.24</v>
      </c>
      <c r="J28" s="15">
        <f t="shared" si="30"/>
        <v>4487.1000000000004</v>
      </c>
      <c r="K28" s="15">
        <f t="shared" si="40"/>
        <v>4522.33</v>
      </c>
      <c r="L28" s="15">
        <f t="shared" si="50"/>
        <v>4527.99</v>
      </c>
      <c r="M28" s="15">
        <f t="shared" si="60"/>
        <v>4532.82</v>
      </c>
      <c r="N28" s="15">
        <f t="shared" si="70"/>
        <v>4372.58</v>
      </c>
      <c r="O28" s="15">
        <f t="shared" si="80"/>
        <v>4351.7</v>
      </c>
      <c r="P28" s="15">
        <f t="shared" si="90"/>
        <v>4306.09</v>
      </c>
      <c r="Q28" s="15">
        <f t="shared" si="100"/>
        <v>4360.47</v>
      </c>
      <c r="R28" s="15">
        <v>-70.8</v>
      </c>
      <c r="S28" s="15">
        <f t="shared" si="1"/>
        <v>-44.88</v>
      </c>
      <c r="T28" s="15">
        <f t="shared" si="11"/>
        <v>-119.85</v>
      </c>
      <c r="U28" s="15">
        <f t="shared" si="21"/>
        <v>-131.05000000000001</v>
      </c>
      <c r="V28" s="15">
        <f t="shared" si="31"/>
        <v>-81.86</v>
      </c>
      <c r="W28" s="15">
        <f t="shared" si="41"/>
        <v>-63.18</v>
      </c>
      <c r="X28" s="15">
        <f t="shared" si="51"/>
        <v>-39.74</v>
      </c>
      <c r="Y28" s="15">
        <f t="shared" si="61"/>
        <v>-69.48</v>
      </c>
      <c r="Z28" s="15">
        <f t="shared" si="71"/>
        <v>-60.93</v>
      </c>
      <c r="AA28" s="15">
        <f t="shared" si="81"/>
        <v>-90.17</v>
      </c>
      <c r="AB28" s="15">
        <f t="shared" si="91"/>
        <v>-141.94999999999999</v>
      </c>
      <c r="AC28" s="15">
        <f t="shared" si="101"/>
        <v>-106.65</v>
      </c>
      <c r="AD28" s="15">
        <v>-1.58</v>
      </c>
      <c r="AE28" s="15">
        <f t="shared" si="2"/>
        <v>-1.02</v>
      </c>
      <c r="AF28" s="15">
        <f t="shared" si="12"/>
        <v>-2.68</v>
      </c>
      <c r="AG28" s="15">
        <f t="shared" si="22"/>
        <v>-2.88</v>
      </c>
      <c r="AH28" s="15">
        <f t="shared" si="32"/>
        <v>-1.79</v>
      </c>
      <c r="AI28" s="15">
        <f t="shared" si="42"/>
        <v>-1.38</v>
      </c>
      <c r="AJ28" s="15">
        <f t="shared" si="52"/>
        <v>-0.87</v>
      </c>
      <c r="AK28" s="15">
        <f t="shared" si="62"/>
        <v>-1.51</v>
      </c>
      <c r="AL28" s="15">
        <f t="shared" si="72"/>
        <v>-1.37</v>
      </c>
      <c r="AM28" s="15">
        <f t="shared" si="82"/>
        <v>-2.0299999999999998</v>
      </c>
      <c r="AN28" s="15">
        <f t="shared" si="92"/>
        <v>-3.19</v>
      </c>
      <c r="AO28" s="15">
        <f t="shared" si="102"/>
        <v>-2.39</v>
      </c>
      <c r="AP28" s="15">
        <v>3</v>
      </c>
      <c r="AQ28" s="15">
        <f t="shared" si="3"/>
        <v>3</v>
      </c>
      <c r="AR28" s="15">
        <f t="shared" si="13"/>
        <v>3</v>
      </c>
      <c r="AS28" s="15">
        <f t="shared" si="23"/>
        <v>3</v>
      </c>
      <c r="AT28" s="15">
        <f t="shared" si="33"/>
        <v>3</v>
      </c>
      <c r="AU28" s="15">
        <f t="shared" si="43"/>
        <v>3</v>
      </c>
      <c r="AV28" s="15">
        <f t="shared" si="53"/>
        <v>3</v>
      </c>
      <c r="AW28" s="15">
        <f t="shared" si="63"/>
        <v>3</v>
      </c>
      <c r="AX28" s="15">
        <f t="shared" si="73"/>
        <v>3</v>
      </c>
      <c r="AY28" s="15">
        <f t="shared" si="83"/>
        <v>3</v>
      </c>
      <c r="AZ28" s="15">
        <f t="shared" si="93"/>
        <v>3</v>
      </c>
      <c r="BA28" s="15">
        <f t="shared" si="103"/>
        <v>3</v>
      </c>
      <c r="BB28" s="15">
        <v>22</v>
      </c>
      <c r="BC28" s="15">
        <f t="shared" si="4"/>
        <v>13</v>
      </c>
      <c r="BD28" s="15">
        <f t="shared" si="14"/>
        <v>21</v>
      </c>
      <c r="BE28" s="15">
        <f t="shared" si="24"/>
        <v>30</v>
      </c>
      <c r="BF28" s="15">
        <f t="shared" si="34"/>
        <v>4</v>
      </c>
      <c r="BG28" s="15">
        <f t="shared" si="44"/>
        <v>4</v>
      </c>
      <c r="BH28" s="15">
        <f t="shared" si="54"/>
        <v>3</v>
      </c>
      <c r="BI28" s="15">
        <f t="shared" si="64"/>
        <v>13</v>
      </c>
      <c r="BJ28" s="15">
        <f t="shared" si="74"/>
        <v>12</v>
      </c>
      <c r="BK28" s="15">
        <f t="shared" si="84"/>
        <v>12</v>
      </c>
      <c r="BL28" s="15">
        <f t="shared" si="94"/>
        <v>11</v>
      </c>
      <c r="BM28" s="15">
        <f t="shared" si="104"/>
        <v>9</v>
      </c>
      <c r="BN28" s="15">
        <v>3</v>
      </c>
      <c r="BO28" s="15">
        <f t="shared" si="5"/>
        <v>3</v>
      </c>
      <c r="BP28" s="15">
        <f t="shared" si="15"/>
        <v>3</v>
      </c>
      <c r="BQ28" s="15">
        <f t="shared" si="25"/>
        <v>3</v>
      </c>
      <c r="BR28" s="15">
        <f t="shared" si="35"/>
        <v>3</v>
      </c>
      <c r="BS28" s="15">
        <f t="shared" si="45"/>
        <v>3</v>
      </c>
      <c r="BT28" s="15">
        <f t="shared" si="55"/>
        <v>3</v>
      </c>
      <c r="BU28" s="15">
        <f t="shared" si="65"/>
        <v>3</v>
      </c>
      <c r="BV28" s="15">
        <f t="shared" si="75"/>
        <v>3</v>
      </c>
      <c r="BW28" s="15">
        <f t="shared" si="85"/>
        <v>3</v>
      </c>
      <c r="BX28" s="15">
        <f t="shared" si="95"/>
        <v>3</v>
      </c>
      <c r="BY28" s="15">
        <f t="shared" si="105"/>
        <v>3</v>
      </c>
      <c r="BZ28" s="15">
        <v>-3.2181799999999998</v>
      </c>
      <c r="CA28" s="15">
        <f t="shared" si="6"/>
        <v>-3.4523100000000002</v>
      </c>
      <c r="CB28" s="15">
        <f t="shared" si="16"/>
        <v>-5.7071399999999999</v>
      </c>
      <c r="CC28" s="15">
        <f t="shared" si="26"/>
        <v>-4.3683300000000003</v>
      </c>
      <c r="CD28" s="15">
        <f t="shared" si="36"/>
        <v>-20.465</v>
      </c>
      <c r="CE28" s="15">
        <f t="shared" si="46"/>
        <v>-15.795</v>
      </c>
      <c r="CF28" s="15">
        <f t="shared" si="56"/>
        <v>-13.24667</v>
      </c>
      <c r="CG28" s="15">
        <f t="shared" si="66"/>
        <v>-5.3446199999999999</v>
      </c>
      <c r="CH28" s="15">
        <f t="shared" si="76"/>
        <v>-5.0774999999999997</v>
      </c>
      <c r="CI28" s="15">
        <f t="shared" si="86"/>
        <v>-7.51417</v>
      </c>
      <c r="CJ28" s="15">
        <f t="shared" si="96"/>
        <v>-12.90455</v>
      </c>
      <c r="CK28" s="15">
        <f t="shared" si="106"/>
        <v>-11.85</v>
      </c>
      <c r="CL28" s="15">
        <v>3</v>
      </c>
      <c r="CM28" s="15">
        <f t="shared" si="7"/>
        <v>3</v>
      </c>
      <c r="CN28" s="15">
        <f t="shared" si="17"/>
        <v>3</v>
      </c>
      <c r="CO28" s="15">
        <f t="shared" si="27"/>
        <v>3</v>
      </c>
      <c r="CP28" s="15">
        <f t="shared" si="37"/>
        <v>5</v>
      </c>
      <c r="CQ28" s="15">
        <f t="shared" si="47"/>
        <v>4</v>
      </c>
      <c r="CR28" s="15">
        <f t="shared" si="57"/>
        <v>3</v>
      </c>
      <c r="CS28" s="15">
        <f t="shared" si="67"/>
        <v>3</v>
      </c>
      <c r="CT28" s="15">
        <f t="shared" si="77"/>
        <v>3</v>
      </c>
      <c r="CU28" s="15">
        <f t="shared" si="87"/>
        <v>3</v>
      </c>
      <c r="CV28" s="15">
        <f t="shared" si="97"/>
        <v>4</v>
      </c>
      <c r="CW28" s="15">
        <f t="shared" si="107"/>
        <v>3</v>
      </c>
      <c r="CX28" s="15">
        <v>-72.738200000000006</v>
      </c>
      <c r="CY28" s="15">
        <f t="shared" si="8"/>
        <v>-73.845699999999994</v>
      </c>
      <c r="CZ28" s="15">
        <f t="shared" si="18"/>
        <v>-80.061599999999999</v>
      </c>
      <c r="DA28" s="15">
        <f t="shared" si="28"/>
        <v>-77.105999999999995</v>
      </c>
      <c r="DB28" s="15">
        <f t="shared" si="38"/>
        <v>-87.202500000000001</v>
      </c>
      <c r="DC28" s="15">
        <f t="shared" si="48"/>
        <v>-86.377399999999994</v>
      </c>
      <c r="DD28" s="15">
        <f t="shared" si="58"/>
        <v>-85.682900000000004</v>
      </c>
      <c r="DE28" s="15">
        <f t="shared" si="68"/>
        <v>-79.402299999999997</v>
      </c>
      <c r="DF28" s="15">
        <f t="shared" si="78"/>
        <v>-78.8583</v>
      </c>
      <c r="DG28" s="15">
        <f t="shared" si="88"/>
        <v>-82.419499999999999</v>
      </c>
      <c r="DH28" s="15">
        <f t="shared" si="98"/>
        <v>-85.568899999999999</v>
      </c>
      <c r="DI28" s="15">
        <f t="shared" si="108"/>
        <v>-85.176299999999998</v>
      </c>
      <c r="DJ28" s="15" t="s">
        <v>22</v>
      </c>
      <c r="DK28" s="15" t="str">
        <f t="shared" si="9"/>
        <v>HL</v>
      </c>
      <c r="DL28" s="15" t="str">
        <f t="shared" si="19"/>
        <v>LL</v>
      </c>
      <c r="DM28" s="15" t="str">
        <f t="shared" si="29"/>
        <v>LL</v>
      </c>
      <c r="DN28" s="15" t="str">
        <f t="shared" si="39"/>
        <v>LL</v>
      </c>
      <c r="DO28" s="15" t="str">
        <f t="shared" si="49"/>
        <v>LL</v>
      </c>
      <c r="DP28" s="15" t="str">
        <f t="shared" si="59"/>
        <v>LL</v>
      </c>
      <c r="DQ28" s="15" t="str">
        <f t="shared" si="69"/>
        <v>HL</v>
      </c>
      <c r="DR28" s="15" t="str">
        <f t="shared" si="79"/>
        <v>HL</v>
      </c>
      <c r="DS28" s="15" t="str">
        <f t="shared" si="89"/>
        <v>HL</v>
      </c>
      <c r="DT28" s="15" t="str">
        <f t="shared" si="99"/>
        <v>LL</v>
      </c>
      <c r="DU28" s="15" t="str">
        <f t="shared" si="109"/>
        <v>HL</v>
      </c>
      <c r="DV28" s="15">
        <f>IFERROR((G28-$F28)/$F28*100,"")</f>
        <v>-0.65027064336831608</v>
      </c>
      <c r="DW28" s="15">
        <f>IFERROR((H28-$F28)/$F28*100,"")</f>
        <v>-1.022405274821079</v>
      </c>
      <c r="DX28" s="15">
        <f>IFERROR((I28-$F28)/$F28*100,"")</f>
        <v>0.20252842663566845</v>
      </c>
      <c r="DY28" s="15">
        <f>IFERROR((J28-$F28)/$F28*100,"")</f>
        <v>1.8795182911323576</v>
      </c>
      <c r="DZ28" s="15">
        <f>IFERROR((K28-$F28)/$F28*100,"")</f>
        <v>2.6794147564209734</v>
      </c>
      <c r="EA28" s="15">
        <f>IFERROR((L28-$F28)/$F28*100,"")</f>
        <v>2.8079249464162475</v>
      </c>
      <c r="EB28" s="15">
        <f>IFERROR((M28-$F28)/$F28*100,"")</f>
        <v>2.917590002542958</v>
      </c>
      <c r="EC28" s="15">
        <f>IFERROR((N28-$F28)/$F28*100,"")</f>
        <v>-0.72065608311838791</v>
      </c>
      <c r="ED28" s="15">
        <f>IFERROR((O28-$F28)/$F28*100,"")</f>
        <v>-1.1947360773059155</v>
      </c>
      <c r="EE28" s="15">
        <f>IFERROR((P28-$F28)/$F28*100,"")</f>
        <v>-2.2303102408544242</v>
      </c>
      <c r="EF28" s="15">
        <f>IFERROR((Q28-$F28)/$F28*100,"")</f>
        <v>-0.99561339775491919</v>
      </c>
      <c r="EG28" s="15" t="str">
        <f>IF(DV28="","",IF(AND(ABS(DV28)&lt;=0.25,$E28="Bottom",DK28="LL"),"EQL",IF(AND(ABS(DV28)&lt;=0.25,$E28="Peak",DK28="HH"),"EQH","")))</f>
        <v/>
      </c>
      <c r="EH28" s="15" t="str">
        <f>IF(DW28="","",IF(AND(ABS(DW28)&lt;=0.25,$E28="Bottom",DL28="LL"),"EQL",IF(AND(ABS(DW28)&lt;=0.25,$E28="Peak",DL28="HH"),"EQH","")))</f>
        <v/>
      </c>
      <c r="EI28" s="15" t="str">
        <f>IF(DX28="","",IF(AND(ABS(DX28)&lt;=0.25,$E28="Bottom",DM28="LL"),"EQL",IF(AND(ABS(DX28)&lt;=0.25,$E28="Peak",DM28="HH"),"EQH","")))</f>
        <v>EQL</v>
      </c>
      <c r="EJ28" s="15" t="str">
        <f>IF(DY28="","",IF(AND(ABS(DY28)&lt;=0.25,$E28="Bottom",DN28="LL"),"EQL",IF(AND(ABS(DY28)&lt;=0.25,$E28="Peak",DN28="HH"),"EQH","")))</f>
        <v/>
      </c>
      <c r="EK28" s="15" t="str">
        <f>IF(DZ28="","",IF(AND(ABS(DZ28)&lt;=0.25,$E28="Bottom",DO28="LL"),"EQL",IF(AND(ABS(DZ28)&lt;=0.25,$E28="Peak",DO28="HH"),"EQH","")))</f>
        <v/>
      </c>
      <c r="EL28" s="15" t="str">
        <f>IF(EA28="","",IF(AND(ABS(EA28)&lt;=0.25,$E28="Bottom",DP28="LL"),"EQL",IF(AND(ABS(EA28)&lt;=0.25,$E28="Peak",DP28="HH"),"EQH","")))</f>
        <v/>
      </c>
      <c r="EM28" s="15" t="str">
        <f>IF(EB28="","",IF(AND(ABS(EB28)&lt;=0.25,$E28="Bottom",DQ28="LL"),"EQL",IF(AND(ABS(EB28)&lt;=0.25,$E28="Peak",DQ28="HH"),"EQH","")))</f>
        <v/>
      </c>
      <c r="EN28" s="15" t="str">
        <f>IF(EC28="","",IF(AND(ABS(EC28)&lt;=0.25,$E28="Bottom",DR28="LL"),"EQL",IF(AND(ABS(EC28)&lt;=0.25,$E28="Peak",DR28="HH"),"EQH","")))</f>
        <v/>
      </c>
      <c r="EO28" s="15" t="str">
        <f>IF(ED28="","",IF(AND(ABS(ED28)&lt;=0.25,$E28="Bottom",DS28="LL"),"EQL",IF(AND(ABS(ED28)&lt;=0.25,$E28="Peak",DS28="HH"),"EQH","")))</f>
        <v/>
      </c>
      <c r="EP28" s="15" t="str">
        <f>IF(EE28="","",IF(AND(ABS(EE28)&lt;=0.25,$E28="Bottom",DT28="LL"),"EQL",IF(AND(ABS(EE28)&lt;=0.25,$E28="Peak",DT28="HH"),"EQH","")))</f>
        <v/>
      </c>
      <c r="EQ28" s="15" t="str">
        <f>IF(EF28="","",IF(AND(ABS(EF28)&lt;=0.25,$E28="Bottom",DU28="LL"),"EQL",IF(AND(ABS(EF28)&lt;=0.25,$E28="Peak",DU28="HH"),"EQH","")))</f>
        <v/>
      </c>
      <c r="ER28" s="15" t="str">
        <f>IF(OR(EG28="EQL",EG28="EQH"),F28,"")</f>
        <v/>
      </c>
      <c r="ES28" s="15" t="str">
        <f>IF(OR(EH28="EQL",EH28="EQH"),G28,"")</f>
        <v/>
      </c>
      <c r="ET28" s="15">
        <f>IF(OR(EI28="EQL",EI28="EQH"),H28,"")</f>
        <v>4359.29</v>
      </c>
      <c r="EU28" s="15" t="str">
        <f>IF(OR(EJ28="EQL",EJ28="EQH"),I28,"")</f>
        <v/>
      </c>
      <c r="EV28" s="15" t="str">
        <f>IF(OR(EK28="EQL",EK28="EQH"),J28,"")</f>
        <v/>
      </c>
      <c r="EW28" s="15" t="str">
        <f>IF(OR(EL28="EQL",EL28="EQH"),K28,"")</f>
        <v/>
      </c>
      <c r="EX28" s="15" t="str">
        <f>IF(OR(EM28="EQL",EM28="EQH"),L28,"")</f>
        <v/>
      </c>
      <c r="EY28" s="15" t="str">
        <f>IF(OR(EN28="EQL",EN28="EQH"),M28,"")</f>
        <v/>
      </c>
      <c r="EZ28" s="15" t="str">
        <f>IF(OR(EO28="EQL",EO28="EQH"),N28,"")</f>
        <v/>
      </c>
      <c r="FA28" s="15" t="str">
        <f>IF(OR(EP28="EQL",EP28="EQH"),O28,"")</f>
        <v/>
      </c>
      <c r="FB28" s="15" t="str">
        <f>IF(OR(EQ28="EQL",EQ28="EQH"),P28,"")</f>
        <v/>
      </c>
      <c r="FC28" s="15" t="str">
        <f>IF(AND(EG28="EQL",OR(AQ28=4,AQ28=5)),"IEQL",IF(AND(EG28="EQH",OR(AQ28=1,AQ28=2)),"IEQH",""))</f>
        <v/>
      </c>
      <c r="FD28" s="15" t="str">
        <f>IF(AND(EH28="EQL",OR(AR28=4,AR28=5)),"IEQL",IF(AND(EH28="EQH",OR(AR28=1,AR28=2)),"IEQH",""))</f>
        <v/>
      </c>
      <c r="FE28" s="15" t="str">
        <f>IF(AND(EI28="EQL",OR(AS28=4,AS28=5)),"IEQL",IF(AND(EI28="EQH",OR(AS28=1,AS28=2)),"IEQH",""))</f>
        <v/>
      </c>
      <c r="FF28" s="15" t="str">
        <f>IF(AND(EJ28="EQL",OR(AT28=4,AT28=5)),"IEQL",IF(AND(EJ28="EQH",OR(AT28=1,AT28=2)),"IEQH",""))</f>
        <v/>
      </c>
      <c r="FG28" s="15" t="str">
        <f>IF(AND(EK28="EQL",OR(AU28=4,AU28=5)),"IEQL",IF(AND(EK28="EQH",OR(AU28=1,AU28=2)),"IEQH",""))</f>
        <v/>
      </c>
      <c r="FH28" s="15" t="str">
        <f>IF(AND(EL28="EQL",OR(AV28=4,AV28=5)),"IEQL",IF(AND(EL28="EQH",OR(AV28=1,AV28=2)),"IEQH",""))</f>
        <v/>
      </c>
      <c r="FI28" s="15" t="str">
        <f>IF(AND(EM28="EQL",OR(AW28=4,AW28=5)),"IEQL",IF(AND(EM28="EQH",OR(AW28=1,AW28=2)),"IEQH",""))</f>
        <v/>
      </c>
      <c r="FJ28" s="15" t="str">
        <f>IF(AND(EN28="EQL",OR(AX28=4,AX28=5)),"IEQL",IF(AND(EN28="EQH",OR(AX28=1,AX28=2)),"IEQH",""))</f>
        <v/>
      </c>
      <c r="FK28" s="15" t="str">
        <f>IF(AND(EO28="EQL",OR(AY28=4,AY28=5)),"IEQL",IF(AND(EO28="EQH",OR(AY28=1,AY28=2)),"IEQH",""))</f>
        <v/>
      </c>
      <c r="FL28" s="15" t="str">
        <f>IF(AND(EP28="EQL",OR(AZ28=4,AZ28=5)),"IEQL",IF(AND(EP28="EQH",OR(AZ28=1,AZ28=2)),"IEQH",""))</f>
        <v/>
      </c>
      <c r="FM28" s="15" t="str">
        <f>IF(AND(EQ28="EQL",OR(BA28=4,BA28=5)),"IEQL",IF(AND(EQ28="EQH",OR(BA28=1,BA28=2)),"IEQH",""))</f>
        <v/>
      </c>
      <c r="FN28" s="15" t="str">
        <f>IF(OR(AND(DJ28="LL",AP28=5),AND(DJ28="HH",AP28=2)),F28,"")</f>
        <v/>
      </c>
      <c r="FO28" s="15" t="str">
        <f>IF(FN28&lt;&gt;"",F27,"")</f>
        <v/>
      </c>
    </row>
    <row r="29" spans="1:171" s="15" customFormat="1" x14ac:dyDescent="0.55000000000000004">
      <c r="A29" s="15">
        <v>1774624506</v>
      </c>
      <c r="B29" s="15" t="s">
        <v>16</v>
      </c>
      <c r="C29" s="15" t="s">
        <v>17</v>
      </c>
      <c r="D29" s="15">
        <v>4543.54</v>
      </c>
      <c r="E29" s="15" t="s">
        <v>20</v>
      </c>
      <c r="F29" s="15">
        <v>4555</v>
      </c>
      <c r="G29" s="15">
        <f t="shared" si="0"/>
        <v>4475.12</v>
      </c>
      <c r="H29" s="15">
        <f t="shared" si="10"/>
        <v>4420.5600000000004</v>
      </c>
      <c r="I29" s="15">
        <f t="shared" si="20"/>
        <v>4479.1400000000003</v>
      </c>
      <c r="J29" s="15">
        <f t="shared" si="30"/>
        <v>4544.29</v>
      </c>
      <c r="K29" s="15">
        <f t="shared" si="40"/>
        <v>4568.96</v>
      </c>
      <c r="L29" s="15">
        <f t="shared" si="50"/>
        <v>4585.51</v>
      </c>
      <c r="M29" s="15">
        <f t="shared" si="60"/>
        <v>4567.7299999999996</v>
      </c>
      <c r="N29" s="15">
        <f t="shared" si="70"/>
        <v>4602.3</v>
      </c>
      <c r="O29" s="15">
        <f t="shared" si="80"/>
        <v>4433.51</v>
      </c>
      <c r="P29" s="15">
        <f t="shared" si="90"/>
        <v>4441.87</v>
      </c>
      <c r="Q29" s="15">
        <f t="shared" si="100"/>
        <v>4448.04</v>
      </c>
      <c r="R29" s="15">
        <v>150.68</v>
      </c>
      <c r="S29" s="15">
        <f t="shared" si="1"/>
        <v>99.44</v>
      </c>
      <c r="T29" s="15">
        <f t="shared" si="11"/>
        <v>61.27</v>
      </c>
      <c r="U29" s="15">
        <f t="shared" si="21"/>
        <v>65.900000000000006</v>
      </c>
      <c r="V29" s="15">
        <f t="shared" si="31"/>
        <v>57.19</v>
      </c>
      <c r="W29" s="15">
        <f t="shared" si="41"/>
        <v>46.63</v>
      </c>
      <c r="X29" s="15">
        <f t="shared" si="51"/>
        <v>57.52</v>
      </c>
      <c r="Y29" s="15">
        <f t="shared" si="61"/>
        <v>34.909999999999997</v>
      </c>
      <c r="Z29" s="15">
        <f t="shared" si="71"/>
        <v>229.72</v>
      </c>
      <c r="AA29" s="15">
        <f t="shared" si="81"/>
        <v>81.81</v>
      </c>
      <c r="AB29" s="15">
        <f t="shared" si="91"/>
        <v>135.78</v>
      </c>
      <c r="AC29" s="15">
        <f t="shared" si="101"/>
        <v>87.57</v>
      </c>
      <c r="AD29" s="15">
        <v>3.42</v>
      </c>
      <c r="AE29" s="15">
        <f t="shared" si="2"/>
        <v>2.27</v>
      </c>
      <c r="AF29" s="15">
        <f t="shared" si="12"/>
        <v>1.41</v>
      </c>
      <c r="AG29" s="15">
        <f t="shared" si="22"/>
        <v>1.49</v>
      </c>
      <c r="AH29" s="15">
        <f t="shared" si="32"/>
        <v>1.27</v>
      </c>
      <c r="AI29" s="15">
        <f t="shared" si="42"/>
        <v>1.03</v>
      </c>
      <c r="AJ29" s="15">
        <f t="shared" si="52"/>
        <v>1.27</v>
      </c>
      <c r="AK29" s="15">
        <f t="shared" si="62"/>
        <v>0.77</v>
      </c>
      <c r="AL29" s="15">
        <f t="shared" si="72"/>
        <v>5.25</v>
      </c>
      <c r="AM29" s="15">
        <f t="shared" si="82"/>
        <v>1.88</v>
      </c>
      <c r="AN29" s="15">
        <f t="shared" si="92"/>
        <v>3.15</v>
      </c>
      <c r="AO29" s="15">
        <f t="shared" si="102"/>
        <v>2.0099999999999998</v>
      </c>
      <c r="AP29" s="15">
        <v>0</v>
      </c>
      <c r="AQ29" s="15">
        <f t="shared" si="3"/>
        <v>0</v>
      </c>
      <c r="AR29" s="15">
        <f t="shared" si="13"/>
        <v>0</v>
      </c>
      <c r="AS29" s="15">
        <f t="shared" si="23"/>
        <v>0</v>
      </c>
      <c r="AT29" s="15">
        <f t="shared" si="33"/>
        <v>0</v>
      </c>
      <c r="AU29" s="15">
        <f t="shared" si="43"/>
        <v>0</v>
      </c>
      <c r="AV29" s="15">
        <f t="shared" si="53"/>
        <v>0</v>
      </c>
      <c r="AW29" s="15">
        <f t="shared" si="63"/>
        <v>0</v>
      </c>
      <c r="AX29" s="15">
        <f t="shared" si="73"/>
        <v>0</v>
      </c>
      <c r="AY29" s="15">
        <f t="shared" si="83"/>
        <v>0</v>
      </c>
      <c r="AZ29" s="15">
        <f t="shared" si="93"/>
        <v>0</v>
      </c>
      <c r="BA29" s="15">
        <f t="shared" si="103"/>
        <v>0</v>
      </c>
      <c r="BB29" s="15">
        <v>17</v>
      </c>
      <c r="BC29" s="15">
        <f t="shared" si="4"/>
        <v>19</v>
      </c>
      <c r="BD29" s="15">
        <f t="shared" si="14"/>
        <v>3</v>
      </c>
      <c r="BE29" s="15">
        <f t="shared" si="24"/>
        <v>24</v>
      </c>
      <c r="BF29" s="15">
        <f t="shared" si="34"/>
        <v>20</v>
      </c>
      <c r="BG29" s="15">
        <f t="shared" si="44"/>
        <v>22</v>
      </c>
      <c r="BH29" s="15">
        <f t="shared" si="54"/>
        <v>7</v>
      </c>
      <c r="BI29" s="15">
        <f t="shared" si="64"/>
        <v>12</v>
      </c>
      <c r="BJ29" s="15">
        <f t="shared" si="74"/>
        <v>32</v>
      </c>
      <c r="BK29" s="15">
        <f t="shared" si="84"/>
        <v>4</v>
      </c>
      <c r="BL29" s="15">
        <f t="shared" si="94"/>
        <v>35</v>
      </c>
      <c r="BM29" s="15">
        <f t="shared" si="104"/>
        <v>5</v>
      </c>
      <c r="BN29" s="15">
        <v>0</v>
      </c>
      <c r="BO29" s="15">
        <f t="shared" si="5"/>
        <v>0</v>
      </c>
      <c r="BP29" s="15">
        <f t="shared" si="15"/>
        <v>0</v>
      </c>
      <c r="BQ29" s="15">
        <f t="shared" si="25"/>
        <v>0</v>
      </c>
      <c r="BR29" s="15">
        <f t="shared" si="35"/>
        <v>0</v>
      </c>
      <c r="BS29" s="15">
        <f t="shared" si="45"/>
        <v>0</v>
      </c>
      <c r="BT29" s="15">
        <f t="shared" si="55"/>
        <v>0</v>
      </c>
      <c r="BU29" s="15">
        <f t="shared" si="65"/>
        <v>0</v>
      </c>
      <c r="BV29" s="15">
        <f t="shared" si="75"/>
        <v>0</v>
      </c>
      <c r="BW29" s="15">
        <f t="shared" si="85"/>
        <v>0</v>
      </c>
      <c r="BX29" s="15">
        <f t="shared" si="95"/>
        <v>0</v>
      </c>
      <c r="BY29" s="15">
        <f t="shared" si="105"/>
        <v>0</v>
      </c>
      <c r="BZ29" s="15">
        <v>8.8635300000000008</v>
      </c>
      <c r="CA29" s="15">
        <f t="shared" si="6"/>
        <v>5.2336799999999997</v>
      </c>
      <c r="CB29" s="15">
        <f t="shared" si="16"/>
        <v>20.42333</v>
      </c>
      <c r="CC29" s="15">
        <f t="shared" si="26"/>
        <v>2.7458300000000002</v>
      </c>
      <c r="CD29" s="15">
        <f t="shared" si="36"/>
        <v>2.8595000000000002</v>
      </c>
      <c r="CE29" s="15">
        <f t="shared" si="46"/>
        <v>2.1195499999999998</v>
      </c>
      <c r="CF29" s="15">
        <f t="shared" si="56"/>
        <v>8.2171400000000006</v>
      </c>
      <c r="CG29" s="15">
        <f t="shared" si="66"/>
        <v>2.90917</v>
      </c>
      <c r="CH29" s="15">
        <f t="shared" si="76"/>
        <v>7.17875</v>
      </c>
      <c r="CI29" s="15">
        <f t="shared" si="86"/>
        <v>20.452500000000001</v>
      </c>
      <c r="CJ29" s="15">
        <f t="shared" si="96"/>
        <v>3.8794300000000002</v>
      </c>
      <c r="CK29" s="15">
        <f t="shared" si="106"/>
        <v>17.513999999999999</v>
      </c>
      <c r="CL29" s="15">
        <v>0</v>
      </c>
      <c r="CM29" s="15">
        <f t="shared" si="7"/>
        <v>0</v>
      </c>
      <c r="CN29" s="15">
        <f t="shared" si="17"/>
        <v>2</v>
      </c>
      <c r="CO29" s="15">
        <f t="shared" si="27"/>
        <v>0</v>
      </c>
      <c r="CP29" s="15">
        <f t="shared" si="37"/>
        <v>0</v>
      </c>
      <c r="CQ29" s="15">
        <f t="shared" si="47"/>
        <v>0</v>
      </c>
      <c r="CR29" s="15">
        <f t="shared" si="57"/>
        <v>0</v>
      </c>
      <c r="CS29" s="15">
        <f t="shared" si="67"/>
        <v>0</v>
      </c>
      <c r="CT29" s="15">
        <f t="shared" si="77"/>
        <v>0</v>
      </c>
      <c r="CU29" s="15">
        <f t="shared" si="87"/>
        <v>2</v>
      </c>
      <c r="CV29" s="15">
        <f t="shared" si="97"/>
        <v>0</v>
      </c>
      <c r="CW29" s="15">
        <f t="shared" si="107"/>
        <v>2</v>
      </c>
      <c r="CX29" s="15">
        <v>83.563000000000002</v>
      </c>
      <c r="CY29" s="15">
        <f t="shared" si="8"/>
        <v>79.182900000000004</v>
      </c>
      <c r="CZ29" s="15">
        <f t="shared" si="18"/>
        <v>87.196799999999996</v>
      </c>
      <c r="DA29" s="15">
        <f t="shared" si="28"/>
        <v>69.989000000000004</v>
      </c>
      <c r="DB29" s="15">
        <f t="shared" si="38"/>
        <v>70.724699999999999</v>
      </c>
      <c r="DC29" s="15">
        <f t="shared" si="48"/>
        <v>64.742099999999994</v>
      </c>
      <c r="DD29" s="15">
        <f t="shared" si="58"/>
        <v>83.061400000000006</v>
      </c>
      <c r="DE29" s="15">
        <f t="shared" si="68"/>
        <v>71.030100000000004</v>
      </c>
      <c r="DF29" s="15">
        <f t="shared" si="78"/>
        <v>82.069699999999997</v>
      </c>
      <c r="DG29" s="15">
        <f t="shared" si="88"/>
        <v>87.200800000000001</v>
      </c>
      <c r="DH29" s="15">
        <f t="shared" si="98"/>
        <v>75.545500000000004</v>
      </c>
      <c r="DI29" s="15">
        <f t="shared" si="108"/>
        <v>86.732100000000003</v>
      </c>
      <c r="DJ29" s="15" t="s">
        <v>23</v>
      </c>
      <c r="DK29" s="15" t="str">
        <f t="shared" si="9"/>
        <v>HH</v>
      </c>
      <c r="DL29" s="15" t="str">
        <f t="shared" si="19"/>
        <v>LH</v>
      </c>
      <c r="DM29" s="15" t="str">
        <f t="shared" si="29"/>
        <v>LH</v>
      </c>
      <c r="DN29" s="15" t="str">
        <f t="shared" si="39"/>
        <v>LH</v>
      </c>
      <c r="DO29" s="15" t="str">
        <f t="shared" si="49"/>
        <v>LH</v>
      </c>
      <c r="DP29" s="15" t="str">
        <f t="shared" si="59"/>
        <v>HH</v>
      </c>
      <c r="DQ29" s="15" t="str">
        <f t="shared" si="69"/>
        <v>LH</v>
      </c>
      <c r="DR29" s="15" t="str">
        <f t="shared" si="79"/>
        <v>HH</v>
      </c>
      <c r="DS29" s="15" t="str">
        <f t="shared" si="89"/>
        <v>LH</v>
      </c>
      <c r="DT29" s="15" t="str">
        <f t="shared" si="99"/>
        <v>LH</v>
      </c>
      <c r="DU29" s="15" t="str">
        <f t="shared" si="109"/>
        <v>LH</v>
      </c>
      <c r="DV29" s="15">
        <f>IFERROR((G29-$F29)/$F29*100,"")</f>
        <v>-1.753677277716797</v>
      </c>
      <c r="DW29" s="15">
        <f>IFERROR((H29-$F29)/$F29*100,"")</f>
        <v>-2.9514818880351177</v>
      </c>
      <c r="DX29" s="15">
        <f>IFERROR((I29-$F29)/$F29*100,"")</f>
        <v>-1.6654226125137142</v>
      </c>
      <c r="DY29" s="15">
        <f>IFERROR((J29-$F29)/$F29*100,"")</f>
        <v>-0.23512623490669673</v>
      </c>
      <c r="DZ29" s="15">
        <f>IFERROR((K29-$F29)/$F29*100,"")</f>
        <v>0.30647639956092287</v>
      </c>
      <c r="EA29" s="15">
        <f>IFERROR((L29-$F29)/$F29*100,"")</f>
        <v>0.66981339187706301</v>
      </c>
      <c r="EB29" s="15">
        <f>IFERROR((M29-$F29)/$F29*100,"")</f>
        <v>0.27947310647639001</v>
      </c>
      <c r="EC29" s="15">
        <f>IFERROR((N29-$F29)/$F29*100,"")</f>
        <v>1.0384193194292026</v>
      </c>
      <c r="ED29" s="15">
        <f>IFERROR((O29-$F29)/$F29*100,"")</f>
        <v>-2.6671789242590513</v>
      </c>
      <c r="EE29" s="15">
        <f>IFERROR((P29-$F29)/$F29*100,"")</f>
        <v>-2.4836443468715723</v>
      </c>
      <c r="EF29" s="15">
        <f>IFERROR((Q29-$F29)/$F29*100,"")</f>
        <v>-2.3481888035126239</v>
      </c>
      <c r="EG29" s="15" t="str">
        <f>IF(DV29="","",IF(AND(ABS(DV29)&lt;=0.25,$E29="Bottom",DK29="LL"),"EQL",IF(AND(ABS(DV29)&lt;=0.25,$E29="Peak",DK29="HH"),"EQH","")))</f>
        <v/>
      </c>
      <c r="EH29" s="15" t="str">
        <f>IF(DW29="","",IF(AND(ABS(DW29)&lt;=0.25,$E29="Bottom",DL29="LL"),"EQL",IF(AND(ABS(DW29)&lt;=0.25,$E29="Peak",DL29="HH"),"EQH","")))</f>
        <v/>
      </c>
      <c r="EI29" s="15" t="str">
        <f>IF(DX29="","",IF(AND(ABS(DX29)&lt;=0.25,$E29="Bottom",DM29="LL"),"EQL",IF(AND(ABS(DX29)&lt;=0.25,$E29="Peak",DM29="HH"),"EQH","")))</f>
        <v/>
      </c>
      <c r="EJ29" s="15" t="str">
        <f>IF(DY29="","",IF(AND(ABS(DY29)&lt;=0.25,$E29="Bottom",DN29="LL"),"EQL",IF(AND(ABS(DY29)&lt;=0.25,$E29="Peak",DN29="HH"),"EQH","")))</f>
        <v/>
      </c>
      <c r="EK29" s="15" t="str">
        <f>IF(DZ29="","",IF(AND(ABS(DZ29)&lt;=0.25,$E29="Bottom",DO29="LL"),"EQL",IF(AND(ABS(DZ29)&lt;=0.25,$E29="Peak",DO29="HH"),"EQH","")))</f>
        <v/>
      </c>
      <c r="EL29" s="15" t="str">
        <f>IF(EA29="","",IF(AND(ABS(EA29)&lt;=0.25,$E29="Bottom",DP29="LL"),"EQL",IF(AND(ABS(EA29)&lt;=0.25,$E29="Peak",DP29="HH"),"EQH","")))</f>
        <v/>
      </c>
      <c r="EM29" s="15" t="str">
        <f>IF(EB29="","",IF(AND(ABS(EB29)&lt;=0.25,$E29="Bottom",DQ29="LL"),"EQL",IF(AND(ABS(EB29)&lt;=0.25,$E29="Peak",DQ29="HH"),"EQH","")))</f>
        <v/>
      </c>
      <c r="EN29" s="15" t="str">
        <f>IF(EC29="","",IF(AND(ABS(EC29)&lt;=0.25,$E29="Bottom",DR29="LL"),"EQL",IF(AND(ABS(EC29)&lt;=0.25,$E29="Peak",DR29="HH"),"EQH","")))</f>
        <v/>
      </c>
      <c r="EO29" s="15" t="str">
        <f>IF(ED29="","",IF(AND(ABS(ED29)&lt;=0.25,$E29="Bottom",DS29="LL"),"EQL",IF(AND(ABS(ED29)&lt;=0.25,$E29="Peak",DS29="HH"),"EQH","")))</f>
        <v/>
      </c>
      <c r="EP29" s="15" t="str">
        <f>IF(EE29="","",IF(AND(ABS(EE29)&lt;=0.25,$E29="Bottom",DT29="LL"),"EQL",IF(AND(ABS(EE29)&lt;=0.25,$E29="Peak",DT29="HH"),"EQH","")))</f>
        <v/>
      </c>
      <c r="EQ29" s="15" t="str">
        <f>IF(EF29="","",IF(AND(ABS(EF29)&lt;=0.25,$E29="Bottom",DU29="LL"),"EQL",IF(AND(ABS(EF29)&lt;=0.25,$E29="Peak",DU29="HH"),"EQH","")))</f>
        <v/>
      </c>
      <c r="ER29" s="15" t="str">
        <f>IF(OR(EG29="EQL",EG29="EQH"),F29,"")</f>
        <v/>
      </c>
      <c r="ES29" s="15" t="str">
        <f>IF(OR(EH29="EQL",EH29="EQH"),G29,"")</f>
        <v/>
      </c>
      <c r="ET29" s="15" t="str">
        <f>IF(OR(EI29="EQL",EI29="EQH"),H29,"")</f>
        <v/>
      </c>
      <c r="EU29" s="15" t="str">
        <f>IF(OR(EJ29="EQL",EJ29="EQH"),I29,"")</f>
        <v/>
      </c>
      <c r="EV29" s="15" t="str">
        <f>IF(OR(EK29="EQL",EK29="EQH"),J29,"")</f>
        <v/>
      </c>
      <c r="EW29" s="15" t="str">
        <f>IF(OR(EL29="EQL",EL29="EQH"),K29,"")</f>
        <v/>
      </c>
      <c r="EX29" s="15" t="str">
        <f>IF(OR(EM29="EQL",EM29="EQH"),L29,"")</f>
        <v/>
      </c>
      <c r="EY29" s="15" t="str">
        <f>IF(OR(EN29="EQL",EN29="EQH"),M29,"")</f>
        <v/>
      </c>
      <c r="EZ29" s="15" t="str">
        <f>IF(OR(EO29="EQL",EO29="EQH"),N29,"")</f>
        <v/>
      </c>
      <c r="FA29" s="15" t="str">
        <f>IF(OR(EP29="EQL",EP29="EQH"),O29,"")</f>
        <v/>
      </c>
      <c r="FB29" s="15" t="str">
        <f>IF(OR(EQ29="EQL",EQ29="EQH"),P29,"")</f>
        <v/>
      </c>
      <c r="FC29" s="15" t="str">
        <f>IF(AND(EG29="EQL",OR(AQ29=4,AQ29=5)),"IEQL",IF(AND(EG29="EQH",OR(AQ29=1,AQ29=2)),"IEQH",""))</f>
        <v/>
      </c>
      <c r="FD29" s="15" t="str">
        <f>IF(AND(EH29="EQL",OR(AR29=4,AR29=5)),"IEQL",IF(AND(EH29="EQH",OR(AR29=1,AR29=2)),"IEQH",""))</f>
        <v/>
      </c>
      <c r="FE29" s="15" t="str">
        <f>IF(AND(EI29="EQL",OR(AS29=4,AS29=5)),"IEQL",IF(AND(EI29="EQH",OR(AS29=1,AS29=2)),"IEQH",""))</f>
        <v/>
      </c>
      <c r="FF29" s="15" t="str">
        <f>IF(AND(EJ29="EQL",OR(AT29=4,AT29=5)),"IEQL",IF(AND(EJ29="EQH",OR(AT29=1,AT29=2)),"IEQH",""))</f>
        <v/>
      </c>
      <c r="FG29" s="15" t="str">
        <f>IF(AND(EK29="EQL",OR(AU29=4,AU29=5)),"IEQL",IF(AND(EK29="EQH",OR(AU29=1,AU29=2)),"IEQH",""))</f>
        <v/>
      </c>
      <c r="FH29" s="15" t="str">
        <f>IF(AND(EL29="EQL",OR(AV29=4,AV29=5)),"IEQL",IF(AND(EL29="EQH",OR(AV29=1,AV29=2)),"IEQH",""))</f>
        <v/>
      </c>
      <c r="FI29" s="15" t="str">
        <f>IF(AND(EM29="EQL",OR(AW29=4,AW29=5)),"IEQL",IF(AND(EM29="EQH",OR(AW29=1,AW29=2)),"IEQH",""))</f>
        <v/>
      </c>
      <c r="FJ29" s="15" t="str">
        <f>IF(AND(EN29="EQL",OR(AX29=4,AX29=5)),"IEQL",IF(AND(EN29="EQH",OR(AX29=1,AX29=2)),"IEQH",""))</f>
        <v/>
      </c>
      <c r="FK29" s="15" t="str">
        <f>IF(AND(EO29="EQL",OR(AY29=4,AY29=5)),"IEQL",IF(AND(EO29="EQH",OR(AY29=1,AY29=2)),"IEQH",""))</f>
        <v/>
      </c>
      <c r="FL29" s="15" t="str">
        <f>IF(AND(EP29="EQL",OR(AZ29=4,AZ29=5)),"IEQL",IF(AND(EP29="EQH",OR(AZ29=1,AZ29=2)),"IEQH",""))</f>
        <v/>
      </c>
      <c r="FM29" s="15" t="str">
        <f>IF(AND(EQ29="EQL",OR(BA29=4,BA29=5)),"IEQL",IF(AND(EQ29="EQH",OR(BA29=1,BA29=2)),"IEQH",""))</f>
        <v/>
      </c>
      <c r="FN29" s="15" t="str">
        <f>IF(OR(AND(DJ29="LL",AP29=5),AND(DJ29="HH",AP29=2)),F29,"")</f>
        <v/>
      </c>
      <c r="FO29" s="15" t="str">
        <f>IF(FN29&lt;&gt;"",F28,"")</f>
        <v/>
      </c>
    </row>
    <row r="30" spans="1:171" s="15" customFormat="1" x14ac:dyDescent="0.55000000000000004">
      <c r="A30" s="15">
        <v>1774828806</v>
      </c>
      <c r="B30" s="15" t="s">
        <v>16</v>
      </c>
      <c r="C30" s="15" t="s">
        <v>17</v>
      </c>
      <c r="D30" s="15">
        <v>4426.83</v>
      </c>
      <c r="E30" s="15" t="s">
        <v>18</v>
      </c>
      <c r="F30" s="15">
        <v>4420.2700000000004</v>
      </c>
      <c r="G30" s="15">
        <f t="shared" si="0"/>
        <v>4404.32</v>
      </c>
      <c r="H30" s="15">
        <f t="shared" si="10"/>
        <v>4375.68</v>
      </c>
      <c r="I30" s="15">
        <f t="shared" si="20"/>
        <v>4359.29</v>
      </c>
      <c r="J30" s="15">
        <f t="shared" si="30"/>
        <v>4413.24</v>
      </c>
      <c r="K30" s="15">
        <f t="shared" si="40"/>
        <v>4487.1000000000004</v>
      </c>
      <c r="L30" s="15">
        <f t="shared" si="50"/>
        <v>4522.33</v>
      </c>
      <c r="M30" s="15">
        <f t="shared" si="60"/>
        <v>4527.99</v>
      </c>
      <c r="N30" s="15">
        <f t="shared" si="70"/>
        <v>4532.82</v>
      </c>
      <c r="O30" s="15">
        <f t="shared" si="80"/>
        <v>4372.58</v>
      </c>
      <c r="P30" s="15">
        <f t="shared" si="90"/>
        <v>4351.7</v>
      </c>
      <c r="Q30" s="15">
        <f t="shared" si="100"/>
        <v>4306.09</v>
      </c>
      <c r="R30" s="15">
        <v>-134.72999999999999</v>
      </c>
      <c r="S30" s="15">
        <f t="shared" si="1"/>
        <v>-70.8</v>
      </c>
      <c r="T30" s="15">
        <f t="shared" si="11"/>
        <v>-44.88</v>
      </c>
      <c r="U30" s="15">
        <f t="shared" si="21"/>
        <v>-119.85</v>
      </c>
      <c r="V30" s="15">
        <f t="shared" si="31"/>
        <v>-131.05000000000001</v>
      </c>
      <c r="W30" s="15">
        <f t="shared" si="41"/>
        <v>-81.86</v>
      </c>
      <c r="X30" s="15">
        <f t="shared" si="51"/>
        <v>-63.18</v>
      </c>
      <c r="Y30" s="15">
        <f t="shared" si="61"/>
        <v>-39.74</v>
      </c>
      <c r="Z30" s="15">
        <f t="shared" si="71"/>
        <v>-69.48</v>
      </c>
      <c r="AA30" s="15">
        <f t="shared" si="81"/>
        <v>-60.93</v>
      </c>
      <c r="AB30" s="15">
        <f t="shared" si="91"/>
        <v>-90.17</v>
      </c>
      <c r="AC30" s="15">
        <f t="shared" si="101"/>
        <v>-141.94999999999999</v>
      </c>
      <c r="AD30" s="15">
        <v>-2.96</v>
      </c>
      <c r="AE30" s="15">
        <f t="shared" si="2"/>
        <v>-1.58</v>
      </c>
      <c r="AF30" s="15">
        <f t="shared" si="12"/>
        <v>-1.02</v>
      </c>
      <c r="AG30" s="15">
        <f t="shared" si="22"/>
        <v>-2.68</v>
      </c>
      <c r="AH30" s="15">
        <f t="shared" si="32"/>
        <v>-2.88</v>
      </c>
      <c r="AI30" s="15">
        <f t="shared" si="42"/>
        <v>-1.79</v>
      </c>
      <c r="AJ30" s="15">
        <f t="shared" si="52"/>
        <v>-1.38</v>
      </c>
      <c r="AK30" s="15">
        <f t="shared" si="62"/>
        <v>-0.87</v>
      </c>
      <c r="AL30" s="15">
        <f t="shared" si="72"/>
        <v>-1.51</v>
      </c>
      <c r="AM30" s="15">
        <f t="shared" si="82"/>
        <v>-1.37</v>
      </c>
      <c r="AN30" s="15">
        <f t="shared" si="92"/>
        <v>-2.0299999999999998</v>
      </c>
      <c r="AO30" s="15">
        <f t="shared" si="102"/>
        <v>-3.19</v>
      </c>
      <c r="AP30" s="15">
        <v>3</v>
      </c>
      <c r="AQ30" s="15">
        <f t="shared" si="3"/>
        <v>3</v>
      </c>
      <c r="AR30" s="15">
        <f t="shared" si="13"/>
        <v>3</v>
      </c>
      <c r="AS30" s="15">
        <f t="shared" si="23"/>
        <v>3</v>
      </c>
      <c r="AT30" s="15">
        <f t="shared" si="33"/>
        <v>3</v>
      </c>
      <c r="AU30" s="15">
        <f t="shared" si="43"/>
        <v>3</v>
      </c>
      <c r="AV30" s="15">
        <f t="shared" si="53"/>
        <v>3</v>
      </c>
      <c r="AW30" s="15">
        <f t="shared" si="63"/>
        <v>3</v>
      </c>
      <c r="AX30" s="15">
        <f t="shared" si="73"/>
        <v>3</v>
      </c>
      <c r="AY30" s="15">
        <f t="shared" si="83"/>
        <v>3</v>
      </c>
      <c r="AZ30" s="15">
        <f t="shared" si="93"/>
        <v>3</v>
      </c>
      <c r="BA30" s="15">
        <f t="shared" si="103"/>
        <v>3</v>
      </c>
      <c r="BB30" s="15">
        <v>31</v>
      </c>
      <c r="BC30" s="15">
        <f t="shared" si="4"/>
        <v>22</v>
      </c>
      <c r="BD30" s="15">
        <f t="shared" si="14"/>
        <v>13</v>
      </c>
      <c r="BE30" s="15">
        <f t="shared" si="24"/>
        <v>21</v>
      </c>
      <c r="BF30" s="15">
        <f t="shared" si="34"/>
        <v>30</v>
      </c>
      <c r="BG30" s="15">
        <f t="shared" si="44"/>
        <v>4</v>
      </c>
      <c r="BH30" s="15">
        <f t="shared" si="54"/>
        <v>4</v>
      </c>
      <c r="BI30" s="15">
        <f t="shared" si="64"/>
        <v>3</v>
      </c>
      <c r="BJ30" s="15">
        <f t="shared" si="74"/>
        <v>13</v>
      </c>
      <c r="BK30" s="15">
        <f t="shared" si="84"/>
        <v>12</v>
      </c>
      <c r="BL30" s="15">
        <f t="shared" si="94"/>
        <v>12</v>
      </c>
      <c r="BM30" s="15">
        <f t="shared" si="104"/>
        <v>11</v>
      </c>
      <c r="BN30" s="15">
        <v>3</v>
      </c>
      <c r="BO30" s="15">
        <f t="shared" si="5"/>
        <v>3</v>
      </c>
      <c r="BP30" s="15">
        <f t="shared" si="15"/>
        <v>3</v>
      </c>
      <c r="BQ30" s="15">
        <f t="shared" si="25"/>
        <v>3</v>
      </c>
      <c r="BR30" s="15">
        <f t="shared" si="35"/>
        <v>3</v>
      </c>
      <c r="BS30" s="15">
        <f t="shared" si="45"/>
        <v>3</v>
      </c>
      <c r="BT30" s="15">
        <f t="shared" si="55"/>
        <v>3</v>
      </c>
      <c r="BU30" s="15">
        <f t="shared" si="65"/>
        <v>3</v>
      </c>
      <c r="BV30" s="15">
        <f t="shared" si="75"/>
        <v>3</v>
      </c>
      <c r="BW30" s="15">
        <f t="shared" si="85"/>
        <v>3</v>
      </c>
      <c r="BX30" s="15">
        <f t="shared" si="95"/>
        <v>3</v>
      </c>
      <c r="BY30" s="15">
        <f t="shared" si="105"/>
        <v>3</v>
      </c>
      <c r="BZ30" s="15">
        <v>-4.3461299999999996</v>
      </c>
      <c r="CA30" s="15">
        <f t="shared" si="6"/>
        <v>-3.2181799999999998</v>
      </c>
      <c r="CB30" s="15">
        <f t="shared" si="16"/>
        <v>-3.4523100000000002</v>
      </c>
      <c r="CC30" s="15">
        <f t="shared" si="26"/>
        <v>-5.7071399999999999</v>
      </c>
      <c r="CD30" s="15">
        <f t="shared" si="36"/>
        <v>-4.3683300000000003</v>
      </c>
      <c r="CE30" s="15">
        <f t="shared" si="46"/>
        <v>-20.465</v>
      </c>
      <c r="CF30" s="15">
        <f t="shared" si="56"/>
        <v>-15.795</v>
      </c>
      <c r="CG30" s="15">
        <f t="shared" si="66"/>
        <v>-13.24667</v>
      </c>
      <c r="CH30" s="15">
        <f t="shared" si="76"/>
        <v>-5.3446199999999999</v>
      </c>
      <c r="CI30" s="15">
        <f t="shared" si="86"/>
        <v>-5.0774999999999997</v>
      </c>
      <c r="CJ30" s="15">
        <f t="shared" si="96"/>
        <v>-7.51417</v>
      </c>
      <c r="CK30" s="15">
        <f t="shared" si="106"/>
        <v>-12.90455</v>
      </c>
      <c r="CL30" s="15">
        <v>3</v>
      </c>
      <c r="CM30" s="15">
        <f t="shared" si="7"/>
        <v>3</v>
      </c>
      <c r="CN30" s="15">
        <f t="shared" si="17"/>
        <v>3</v>
      </c>
      <c r="CO30" s="15">
        <f t="shared" si="27"/>
        <v>3</v>
      </c>
      <c r="CP30" s="15">
        <f t="shared" si="37"/>
        <v>3</v>
      </c>
      <c r="CQ30" s="15">
        <f t="shared" si="47"/>
        <v>5</v>
      </c>
      <c r="CR30" s="15">
        <f t="shared" si="57"/>
        <v>4</v>
      </c>
      <c r="CS30" s="15">
        <f t="shared" si="67"/>
        <v>3</v>
      </c>
      <c r="CT30" s="15">
        <f t="shared" si="77"/>
        <v>3</v>
      </c>
      <c r="CU30" s="15">
        <f t="shared" si="87"/>
        <v>3</v>
      </c>
      <c r="CV30" s="15">
        <f t="shared" si="97"/>
        <v>3</v>
      </c>
      <c r="CW30" s="15">
        <f t="shared" si="107"/>
        <v>4</v>
      </c>
      <c r="CX30" s="15">
        <v>-77.042299999999997</v>
      </c>
      <c r="CY30" s="15">
        <f t="shared" si="8"/>
        <v>-72.738200000000006</v>
      </c>
      <c r="CZ30" s="15">
        <f t="shared" si="18"/>
        <v>-73.845699999999994</v>
      </c>
      <c r="DA30" s="15">
        <f t="shared" si="28"/>
        <v>-80.061599999999999</v>
      </c>
      <c r="DB30" s="15">
        <f t="shared" si="38"/>
        <v>-77.105999999999995</v>
      </c>
      <c r="DC30" s="15">
        <f t="shared" si="48"/>
        <v>-87.202500000000001</v>
      </c>
      <c r="DD30" s="15">
        <f t="shared" si="58"/>
        <v>-86.377399999999994</v>
      </c>
      <c r="DE30" s="15">
        <f t="shared" si="68"/>
        <v>-85.682900000000004</v>
      </c>
      <c r="DF30" s="15">
        <f t="shared" si="78"/>
        <v>-79.402299999999997</v>
      </c>
      <c r="DG30" s="15">
        <f t="shared" si="88"/>
        <v>-78.8583</v>
      </c>
      <c r="DH30" s="15">
        <f t="shared" si="98"/>
        <v>-82.419499999999999</v>
      </c>
      <c r="DI30" s="15">
        <f t="shared" si="108"/>
        <v>-85.568899999999999</v>
      </c>
      <c r="DJ30" s="15" t="s">
        <v>22</v>
      </c>
      <c r="DK30" s="15" t="str">
        <f t="shared" si="9"/>
        <v>HL</v>
      </c>
      <c r="DL30" s="15" t="str">
        <f t="shared" si="19"/>
        <v>HL</v>
      </c>
      <c r="DM30" s="15" t="str">
        <f t="shared" si="29"/>
        <v>LL</v>
      </c>
      <c r="DN30" s="15" t="str">
        <f t="shared" si="39"/>
        <v>LL</v>
      </c>
      <c r="DO30" s="15" t="str">
        <f t="shared" si="49"/>
        <v>LL</v>
      </c>
      <c r="DP30" s="15" t="str">
        <f t="shared" si="59"/>
        <v>LL</v>
      </c>
      <c r="DQ30" s="15" t="str">
        <f t="shared" si="69"/>
        <v>LL</v>
      </c>
      <c r="DR30" s="15" t="str">
        <f t="shared" si="79"/>
        <v>HL</v>
      </c>
      <c r="DS30" s="15" t="str">
        <f t="shared" si="89"/>
        <v>HL</v>
      </c>
      <c r="DT30" s="15" t="str">
        <f t="shared" si="99"/>
        <v>HL</v>
      </c>
      <c r="DU30" s="15" t="str">
        <f t="shared" si="109"/>
        <v>LL</v>
      </c>
      <c r="DV30" s="15">
        <f>IFERROR((G30-$F30)/$F30*100,"")</f>
        <v>-0.36083768638568969</v>
      </c>
      <c r="DW30" s="15">
        <f>IFERROR((H30-$F30)/$F30*100,"")</f>
        <v>-1.0087619082092303</v>
      </c>
      <c r="DX30" s="15">
        <f>IFERROR((I30-$F30)/$F30*100,"")</f>
        <v>-1.379553737667619</v>
      </c>
      <c r="DY30" s="15">
        <f>IFERROR((J30-$F30)/$F30*100,"")</f>
        <v>-0.15904005863896672</v>
      </c>
      <c r="DZ30" s="15">
        <f>IFERROR((K30-$F30)/$F30*100,"")</f>
        <v>1.5118985944297503</v>
      </c>
      <c r="EA30" s="15">
        <f>IFERROR((L30-$F30)/$F30*100,"")</f>
        <v>2.3089087318195376</v>
      </c>
      <c r="EB30" s="15">
        <f>IFERROR((M30-$F30)/$F30*100,"")</f>
        <v>2.4369552086184632</v>
      </c>
      <c r="EC30" s="15">
        <f>IFERROR((N30-$F30)/$F30*100,"")</f>
        <v>2.546224551893872</v>
      </c>
      <c r="ED30" s="15">
        <f>IFERROR((O30-$F30)/$F30*100,"")</f>
        <v>-1.0788933707669555</v>
      </c>
      <c r="EE30" s="15">
        <f>IFERROR((P30-$F30)/$F30*100,"")</f>
        <v>-1.5512627056718393</v>
      </c>
      <c r="EF30" s="15">
        <f>IFERROR((Q30-$F30)/$F30*100,"")</f>
        <v>-2.5831001273677918</v>
      </c>
      <c r="EG30" s="15" t="str">
        <f>IF(DV30="","",IF(AND(ABS(DV30)&lt;=0.25,$E30="Bottom",DK30="LL"),"EQL",IF(AND(ABS(DV30)&lt;=0.25,$E30="Peak",DK30="HH"),"EQH","")))</f>
        <v/>
      </c>
      <c r="EH30" s="15" t="str">
        <f>IF(DW30="","",IF(AND(ABS(DW30)&lt;=0.25,$E30="Bottom",DL30="LL"),"EQL",IF(AND(ABS(DW30)&lt;=0.25,$E30="Peak",DL30="HH"),"EQH","")))</f>
        <v/>
      </c>
      <c r="EI30" s="15" t="str">
        <f>IF(DX30="","",IF(AND(ABS(DX30)&lt;=0.25,$E30="Bottom",DM30="LL"),"EQL",IF(AND(ABS(DX30)&lt;=0.25,$E30="Peak",DM30="HH"),"EQH","")))</f>
        <v/>
      </c>
      <c r="EJ30" s="15" t="str">
        <f>IF(DY30="","",IF(AND(ABS(DY30)&lt;=0.25,$E30="Bottom",DN30="LL"),"EQL",IF(AND(ABS(DY30)&lt;=0.25,$E30="Peak",DN30="HH"),"EQH","")))</f>
        <v>EQL</v>
      </c>
      <c r="EK30" s="15" t="str">
        <f>IF(DZ30="","",IF(AND(ABS(DZ30)&lt;=0.25,$E30="Bottom",DO30="LL"),"EQL",IF(AND(ABS(DZ30)&lt;=0.25,$E30="Peak",DO30="HH"),"EQH","")))</f>
        <v/>
      </c>
      <c r="EL30" s="15" t="str">
        <f>IF(EA30="","",IF(AND(ABS(EA30)&lt;=0.25,$E30="Bottom",DP30="LL"),"EQL",IF(AND(ABS(EA30)&lt;=0.25,$E30="Peak",DP30="HH"),"EQH","")))</f>
        <v/>
      </c>
      <c r="EM30" s="15" t="str">
        <f>IF(EB30="","",IF(AND(ABS(EB30)&lt;=0.25,$E30="Bottom",DQ30="LL"),"EQL",IF(AND(ABS(EB30)&lt;=0.25,$E30="Peak",DQ30="HH"),"EQH","")))</f>
        <v/>
      </c>
      <c r="EN30" s="15" t="str">
        <f>IF(EC30="","",IF(AND(ABS(EC30)&lt;=0.25,$E30="Bottom",DR30="LL"),"EQL",IF(AND(ABS(EC30)&lt;=0.25,$E30="Peak",DR30="HH"),"EQH","")))</f>
        <v/>
      </c>
      <c r="EO30" s="15" t="str">
        <f>IF(ED30="","",IF(AND(ABS(ED30)&lt;=0.25,$E30="Bottom",DS30="LL"),"EQL",IF(AND(ABS(ED30)&lt;=0.25,$E30="Peak",DS30="HH"),"EQH","")))</f>
        <v/>
      </c>
      <c r="EP30" s="15" t="str">
        <f>IF(EE30="","",IF(AND(ABS(EE30)&lt;=0.25,$E30="Bottom",DT30="LL"),"EQL",IF(AND(ABS(EE30)&lt;=0.25,$E30="Peak",DT30="HH"),"EQH","")))</f>
        <v/>
      </c>
      <c r="EQ30" s="15" t="str">
        <f>IF(EF30="","",IF(AND(ABS(EF30)&lt;=0.25,$E30="Bottom",DU30="LL"),"EQL",IF(AND(ABS(EF30)&lt;=0.25,$E30="Peak",DU30="HH"),"EQH","")))</f>
        <v/>
      </c>
      <c r="ER30" s="15" t="str">
        <f>IF(OR(EG30="EQL",EG30="EQH"),F30,"")</f>
        <v/>
      </c>
      <c r="ES30" s="15" t="str">
        <f>IF(OR(EH30="EQL",EH30="EQH"),G30,"")</f>
        <v/>
      </c>
      <c r="ET30" s="15" t="str">
        <f>IF(OR(EI30="EQL",EI30="EQH"),H30,"")</f>
        <v/>
      </c>
      <c r="EU30" s="15">
        <f>IF(OR(EJ30="EQL",EJ30="EQH"),I30,"")</f>
        <v>4359.29</v>
      </c>
      <c r="EV30" s="15" t="str">
        <f>IF(OR(EK30="EQL",EK30="EQH"),J30,"")</f>
        <v/>
      </c>
      <c r="EW30" s="15" t="str">
        <f>IF(OR(EL30="EQL",EL30="EQH"),K30,"")</f>
        <v/>
      </c>
      <c r="EX30" s="15" t="str">
        <f>IF(OR(EM30="EQL",EM30="EQH"),L30,"")</f>
        <v/>
      </c>
      <c r="EY30" s="15" t="str">
        <f>IF(OR(EN30="EQL",EN30="EQH"),M30,"")</f>
        <v/>
      </c>
      <c r="EZ30" s="15" t="str">
        <f>IF(OR(EO30="EQL",EO30="EQH"),N30,"")</f>
        <v/>
      </c>
      <c r="FA30" s="15" t="str">
        <f>IF(OR(EP30="EQL",EP30="EQH"),O30,"")</f>
        <v/>
      </c>
      <c r="FB30" s="15" t="str">
        <f>IF(OR(EQ30="EQL",EQ30="EQH"),P30,"")</f>
        <v/>
      </c>
      <c r="FC30" s="15" t="str">
        <f>IF(AND(EG30="EQL",OR(AQ30=4,AQ30=5)),"IEQL",IF(AND(EG30="EQH",OR(AQ30=1,AQ30=2)),"IEQH",""))</f>
        <v/>
      </c>
      <c r="FD30" s="15" t="str">
        <f>IF(AND(EH30="EQL",OR(AR30=4,AR30=5)),"IEQL",IF(AND(EH30="EQH",OR(AR30=1,AR30=2)),"IEQH",""))</f>
        <v/>
      </c>
      <c r="FE30" s="15" t="str">
        <f>IF(AND(EI30="EQL",OR(AS30=4,AS30=5)),"IEQL",IF(AND(EI30="EQH",OR(AS30=1,AS30=2)),"IEQH",""))</f>
        <v/>
      </c>
      <c r="FF30" s="15" t="str">
        <f>IF(AND(EJ30="EQL",OR(AT30=4,AT30=5)),"IEQL",IF(AND(EJ30="EQH",OR(AT30=1,AT30=2)),"IEQH",""))</f>
        <v/>
      </c>
      <c r="FG30" s="15" t="str">
        <f>IF(AND(EK30="EQL",OR(AU30=4,AU30=5)),"IEQL",IF(AND(EK30="EQH",OR(AU30=1,AU30=2)),"IEQH",""))</f>
        <v/>
      </c>
      <c r="FH30" s="15" t="str">
        <f>IF(AND(EL30="EQL",OR(AV30=4,AV30=5)),"IEQL",IF(AND(EL30="EQH",OR(AV30=1,AV30=2)),"IEQH",""))</f>
        <v/>
      </c>
      <c r="FI30" s="15" t="str">
        <f>IF(AND(EM30="EQL",OR(AW30=4,AW30=5)),"IEQL",IF(AND(EM30="EQH",OR(AW30=1,AW30=2)),"IEQH",""))</f>
        <v/>
      </c>
      <c r="FJ30" s="15" t="str">
        <f>IF(AND(EN30="EQL",OR(AX30=4,AX30=5)),"IEQL",IF(AND(EN30="EQH",OR(AX30=1,AX30=2)),"IEQH",""))</f>
        <v/>
      </c>
      <c r="FK30" s="15" t="str">
        <f>IF(AND(EO30="EQL",OR(AY30=4,AY30=5)),"IEQL",IF(AND(EO30="EQH",OR(AY30=1,AY30=2)),"IEQH",""))</f>
        <v/>
      </c>
      <c r="FL30" s="15" t="str">
        <f>IF(AND(EP30="EQL",OR(AZ30=4,AZ30=5)),"IEQL",IF(AND(EP30="EQH",OR(AZ30=1,AZ30=2)),"IEQH",""))</f>
        <v/>
      </c>
      <c r="FM30" s="15" t="str">
        <f>IF(AND(EQ30="EQL",OR(BA30=4,BA30=5)),"IEQL",IF(AND(EQ30="EQH",OR(BA30=1,BA30=2)),"IEQH",""))</f>
        <v/>
      </c>
      <c r="FN30" s="15" t="str">
        <f>IF(OR(AND(DJ30="LL",AP30=5),AND(DJ30="HH",AP30=2)),F30,"")</f>
        <v/>
      </c>
      <c r="FO30" s="15" t="str">
        <f>IF(FN30&lt;&gt;"",F29,"")</f>
        <v/>
      </c>
    </row>
    <row r="31" spans="1:171" s="15" customFormat="1" x14ac:dyDescent="0.55000000000000004">
      <c r="A31" s="15">
        <v>1774871106</v>
      </c>
      <c r="B31" s="15" t="s">
        <v>16</v>
      </c>
      <c r="C31" s="15" t="s">
        <v>17</v>
      </c>
      <c r="D31" s="15">
        <v>4559.53</v>
      </c>
      <c r="E31" s="15" t="s">
        <v>20</v>
      </c>
      <c r="F31" s="15">
        <v>4580.59</v>
      </c>
      <c r="G31" s="15">
        <f t="shared" si="0"/>
        <v>4555</v>
      </c>
      <c r="H31" s="15">
        <f t="shared" si="10"/>
        <v>4475.12</v>
      </c>
      <c r="I31" s="15">
        <f t="shared" si="20"/>
        <v>4420.5600000000004</v>
      </c>
      <c r="J31" s="15">
        <f t="shared" si="30"/>
        <v>4479.1400000000003</v>
      </c>
      <c r="K31" s="15">
        <f t="shared" si="40"/>
        <v>4544.29</v>
      </c>
      <c r="L31" s="15">
        <f t="shared" si="50"/>
        <v>4568.96</v>
      </c>
      <c r="M31" s="15">
        <f t="shared" si="60"/>
        <v>4585.51</v>
      </c>
      <c r="N31" s="15">
        <f t="shared" si="70"/>
        <v>4567.7299999999996</v>
      </c>
      <c r="O31" s="15">
        <f t="shared" si="80"/>
        <v>4602.3</v>
      </c>
      <c r="P31" s="15">
        <f t="shared" si="90"/>
        <v>4433.51</v>
      </c>
      <c r="Q31" s="15">
        <f t="shared" si="100"/>
        <v>4441.87</v>
      </c>
      <c r="R31" s="15">
        <v>160.32</v>
      </c>
      <c r="S31" s="15">
        <f t="shared" si="1"/>
        <v>150.68</v>
      </c>
      <c r="T31" s="15">
        <f t="shared" si="11"/>
        <v>99.44</v>
      </c>
      <c r="U31" s="15">
        <f t="shared" si="21"/>
        <v>61.27</v>
      </c>
      <c r="V31" s="15">
        <f t="shared" si="31"/>
        <v>65.900000000000006</v>
      </c>
      <c r="W31" s="15">
        <f t="shared" si="41"/>
        <v>57.19</v>
      </c>
      <c r="X31" s="15">
        <f t="shared" si="51"/>
        <v>46.63</v>
      </c>
      <c r="Y31" s="15">
        <f t="shared" si="61"/>
        <v>57.52</v>
      </c>
      <c r="Z31" s="15">
        <f t="shared" si="71"/>
        <v>34.909999999999997</v>
      </c>
      <c r="AA31" s="15">
        <f t="shared" si="81"/>
        <v>229.72</v>
      </c>
      <c r="AB31" s="15">
        <f t="shared" si="91"/>
        <v>81.81</v>
      </c>
      <c r="AC31" s="15">
        <f t="shared" si="101"/>
        <v>135.78</v>
      </c>
      <c r="AD31" s="15">
        <v>3.63</v>
      </c>
      <c r="AE31" s="15">
        <f t="shared" si="2"/>
        <v>3.42</v>
      </c>
      <c r="AF31" s="15">
        <f t="shared" si="12"/>
        <v>2.27</v>
      </c>
      <c r="AG31" s="15">
        <f t="shared" si="22"/>
        <v>1.41</v>
      </c>
      <c r="AH31" s="15">
        <f t="shared" si="32"/>
        <v>1.49</v>
      </c>
      <c r="AI31" s="15">
        <f t="shared" si="42"/>
        <v>1.27</v>
      </c>
      <c r="AJ31" s="15">
        <f t="shared" si="52"/>
        <v>1.03</v>
      </c>
      <c r="AK31" s="15">
        <f t="shared" si="62"/>
        <v>1.27</v>
      </c>
      <c r="AL31" s="15">
        <f t="shared" si="72"/>
        <v>0.77</v>
      </c>
      <c r="AM31" s="15">
        <f t="shared" si="82"/>
        <v>5.25</v>
      </c>
      <c r="AN31" s="15">
        <f t="shared" si="92"/>
        <v>1.88</v>
      </c>
      <c r="AO31" s="15">
        <f t="shared" si="102"/>
        <v>3.15</v>
      </c>
      <c r="AP31" s="15">
        <v>0</v>
      </c>
      <c r="AQ31" s="15">
        <f t="shared" si="3"/>
        <v>0</v>
      </c>
      <c r="AR31" s="15">
        <f t="shared" si="13"/>
        <v>0</v>
      </c>
      <c r="AS31" s="15">
        <f t="shared" si="23"/>
        <v>0</v>
      </c>
      <c r="AT31" s="15">
        <f t="shared" si="33"/>
        <v>0</v>
      </c>
      <c r="AU31" s="15">
        <f t="shared" si="43"/>
        <v>0</v>
      </c>
      <c r="AV31" s="15">
        <f t="shared" si="53"/>
        <v>0</v>
      </c>
      <c r="AW31" s="15">
        <f t="shared" si="63"/>
        <v>0</v>
      </c>
      <c r="AX31" s="15">
        <f t="shared" si="73"/>
        <v>0</v>
      </c>
      <c r="AY31" s="15">
        <f t="shared" si="83"/>
        <v>0</v>
      </c>
      <c r="AZ31" s="15">
        <f t="shared" si="93"/>
        <v>0</v>
      </c>
      <c r="BA31" s="15">
        <f t="shared" si="103"/>
        <v>0</v>
      </c>
      <c r="BB31" s="15">
        <v>47</v>
      </c>
      <c r="BC31" s="15">
        <f t="shared" si="4"/>
        <v>17</v>
      </c>
      <c r="BD31" s="15">
        <f t="shared" si="14"/>
        <v>19</v>
      </c>
      <c r="BE31" s="15">
        <f t="shared" si="24"/>
        <v>3</v>
      </c>
      <c r="BF31" s="15">
        <f t="shared" si="34"/>
        <v>24</v>
      </c>
      <c r="BG31" s="15">
        <f t="shared" si="44"/>
        <v>20</v>
      </c>
      <c r="BH31" s="15">
        <f t="shared" si="54"/>
        <v>22</v>
      </c>
      <c r="BI31" s="15">
        <f t="shared" si="64"/>
        <v>7</v>
      </c>
      <c r="BJ31" s="15">
        <f t="shared" si="74"/>
        <v>12</v>
      </c>
      <c r="BK31" s="15">
        <f t="shared" si="84"/>
        <v>32</v>
      </c>
      <c r="BL31" s="15">
        <f t="shared" si="94"/>
        <v>4</v>
      </c>
      <c r="BM31" s="15">
        <f t="shared" si="104"/>
        <v>35</v>
      </c>
      <c r="BN31" s="15">
        <v>2</v>
      </c>
      <c r="BO31" s="15">
        <f t="shared" si="5"/>
        <v>0</v>
      </c>
      <c r="BP31" s="15">
        <f t="shared" si="15"/>
        <v>0</v>
      </c>
      <c r="BQ31" s="15">
        <f t="shared" si="25"/>
        <v>0</v>
      </c>
      <c r="BR31" s="15">
        <f t="shared" si="35"/>
        <v>0</v>
      </c>
      <c r="BS31" s="15">
        <f t="shared" si="45"/>
        <v>0</v>
      </c>
      <c r="BT31" s="15">
        <f t="shared" si="55"/>
        <v>0</v>
      </c>
      <c r="BU31" s="15">
        <f t="shared" si="65"/>
        <v>0</v>
      </c>
      <c r="BV31" s="15">
        <f t="shared" si="75"/>
        <v>0</v>
      </c>
      <c r="BW31" s="15">
        <f t="shared" si="85"/>
        <v>0</v>
      </c>
      <c r="BX31" s="15">
        <f t="shared" si="95"/>
        <v>0</v>
      </c>
      <c r="BY31" s="15">
        <f t="shared" si="105"/>
        <v>0</v>
      </c>
      <c r="BZ31" s="15">
        <v>3.41106</v>
      </c>
      <c r="CA31" s="15">
        <f t="shared" si="6"/>
        <v>8.8635300000000008</v>
      </c>
      <c r="CB31" s="15">
        <f t="shared" si="16"/>
        <v>5.2336799999999997</v>
      </c>
      <c r="CC31" s="15">
        <f t="shared" si="26"/>
        <v>20.42333</v>
      </c>
      <c r="CD31" s="15">
        <f t="shared" si="36"/>
        <v>2.7458300000000002</v>
      </c>
      <c r="CE31" s="15">
        <f t="shared" si="46"/>
        <v>2.8595000000000002</v>
      </c>
      <c r="CF31" s="15">
        <f t="shared" si="56"/>
        <v>2.1195499999999998</v>
      </c>
      <c r="CG31" s="15">
        <f t="shared" si="66"/>
        <v>8.2171400000000006</v>
      </c>
      <c r="CH31" s="15">
        <f t="shared" si="76"/>
        <v>2.90917</v>
      </c>
      <c r="CI31" s="15">
        <f t="shared" si="86"/>
        <v>7.17875</v>
      </c>
      <c r="CJ31" s="15">
        <f t="shared" si="96"/>
        <v>20.452500000000001</v>
      </c>
      <c r="CK31" s="15">
        <f t="shared" si="106"/>
        <v>3.8794300000000002</v>
      </c>
      <c r="CL31" s="15">
        <v>0</v>
      </c>
      <c r="CM31" s="15">
        <f t="shared" si="7"/>
        <v>0</v>
      </c>
      <c r="CN31" s="15">
        <f t="shared" si="17"/>
        <v>0</v>
      </c>
      <c r="CO31" s="15">
        <f t="shared" si="27"/>
        <v>2</v>
      </c>
      <c r="CP31" s="15">
        <f t="shared" si="37"/>
        <v>0</v>
      </c>
      <c r="CQ31" s="15">
        <f t="shared" si="47"/>
        <v>0</v>
      </c>
      <c r="CR31" s="15">
        <f t="shared" si="57"/>
        <v>0</v>
      </c>
      <c r="CS31" s="15">
        <f t="shared" si="67"/>
        <v>0</v>
      </c>
      <c r="CT31" s="15">
        <f t="shared" si="77"/>
        <v>0</v>
      </c>
      <c r="CU31" s="15">
        <f t="shared" si="87"/>
        <v>0</v>
      </c>
      <c r="CV31" s="15">
        <f t="shared" si="97"/>
        <v>2</v>
      </c>
      <c r="CW31" s="15">
        <f t="shared" si="107"/>
        <v>0</v>
      </c>
      <c r="CX31" s="15">
        <v>73.660799999999995</v>
      </c>
      <c r="CY31" s="15">
        <f t="shared" si="8"/>
        <v>83.563000000000002</v>
      </c>
      <c r="CZ31" s="15">
        <f t="shared" si="18"/>
        <v>79.182900000000004</v>
      </c>
      <c r="DA31" s="15">
        <f t="shared" si="28"/>
        <v>87.196799999999996</v>
      </c>
      <c r="DB31" s="15">
        <f t="shared" si="38"/>
        <v>69.989000000000004</v>
      </c>
      <c r="DC31" s="15">
        <f t="shared" si="48"/>
        <v>70.724699999999999</v>
      </c>
      <c r="DD31" s="15">
        <f t="shared" si="58"/>
        <v>64.742099999999994</v>
      </c>
      <c r="DE31" s="15">
        <f t="shared" si="68"/>
        <v>83.061400000000006</v>
      </c>
      <c r="DF31" s="15">
        <f t="shared" si="78"/>
        <v>71.030100000000004</v>
      </c>
      <c r="DG31" s="15">
        <f t="shared" si="88"/>
        <v>82.069699999999997</v>
      </c>
      <c r="DH31" s="15">
        <f t="shared" si="98"/>
        <v>87.200800000000001</v>
      </c>
      <c r="DI31" s="15">
        <f t="shared" si="108"/>
        <v>75.545500000000004</v>
      </c>
      <c r="DJ31" s="15" t="s">
        <v>23</v>
      </c>
      <c r="DK31" s="15" t="str">
        <f t="shared" si="9"/>
        <v>HH</v>
      </c>
      <c r="DL31" s="15" t="str">
        <f t="shared" si="19"/>
        <v>HH</v>
      </c>
      <c r="DM31" s="15" t="str">
        <f t="shared" si="29"/>
        <v>LH</v>
      </c>
      <c r="DN31" s="15" t="str">
        <f t="shared" si="39"/>
        <v>LH</v>
      </c>
      <c r="DO31" s="15" t="str">
        <f t="shared" si="49"/>
        <v>LH</v>
      </c>
      <c r="DP31" s="15" t="str">
        <f t="shared" si="59"/>
        <v>LH</v>
      </c>
      <c r="DQ31" s="15" t="str">
        <f t="shared" si="69"/>
        <v>HH</v>
      </c>
      <c r="DR31" s="15" t="str">
        <f t="shared" si="79"/>
        <v>LH</v>
      </c>
      <c r="DS31" s="15" t="str">
        <f t="shared" si="89"/>
        <v>HH</v>
      </c>
      <c r="DT31" s="15" t="str">
        <f t="shared" si="99"/>
        <v>LH</v>
      </c>
      <c r="DU31" s="15" t="str">
        <f t="shared" si="109"/>
        <v>LH</v>
      </c>
      <c r="DV31" s="15">
        <f>IFERROR((G31-$F31)/$F31*100,"")</f>
        <v>-0.55866165712277549</v>
      </c>
      <c r="DW31" s="15">
        <f>IFERROR((H31-$F31)/$F31*100,"")</f>
        <v>-2.3025418122992947</v>
      </c>
      <c r="DX31" s="15">
        <f>IFERROR((I31-$F31)/$F31*100,"")</f>
        <v>-3.4936547475325175</v>
      </c>
      <c r="DY31" s="15">
        <f>IFERROR((J31-$F31)/$F31*100,"")</f>
        <v>-2.214780192071323</v>
      </c>
      <c r="DZ31" s="15">
        <f>IFERROR((K31-$F31)/$F31*100,"")</f>
        <v>-0.79247433190921224</v>
      </c>
      <c r="EA31" s="15">
        <f>IFERROR((L31-$F31)/$F31*100,"")</f>
        <v>-0.25389742369432994</v>
      </c>
      <c r="EB31" s="15">
        <f>IFERROR((M31-$F31)/$F31*100,"")</f>
        <v>0.10740974415959674</v>
      </c>
      <c r="EC31" s="15">
        <f>IFERROR((N31-$F31)/$F31*100,"")</f>
        <v>-0.28074985973423905</v>
      </c>
      <c r="ED31" s="15">
        <f>IFERROR((O31-$F31)/$F31*100,"")</f>
        <v>0.47395641172862091</v>
      </c>
      <c r="EE31" s="15">
        <f>IFERROR((P31-$F31)/$F31*100,"")</f>
        <v>-3.2109400754051318</v>
      </c>
      <c r="EF31" s="15">
        <f>IFERROR((Q31-$F31)/$F31*100,"")</f>
        <v>-3.028430835329079</v>
      </c>
      <c r="EG31" s="15" t="str">
        <f>IF(DV31="","",IF(AND(ABS(DV31)&lt;=0.25,$E31="Bottom",DK31="LL"),"EQL",IF(AND(ABS(DV31)&lt;=0.25,$E31="Peak",DK31="HH"),"EQH","")))</f>
        <v/>
      </c>
      <c r="EH31" s="15" t="str">
        <f>IF(DW31="","",IF(AND(ABS(DW31)&lt;=0.25,$E31="Bottom",DL31="LL"),"EQL",IF(AND(ABS(DW31)&lt;=0.25,$E31="Peak",DL31="HH"),"EQH","")))</f>
        <v/>
      </c>
      <c r="EI31" s="15" t="str">
        <f>IF(DX31="","",IF(AND(ABS(DX31)&lt;=0.25,$E31="Bottom",DM31="LL"),"EQL",IF(AND(ABS(DX31)&lt;=0.25,$E31="Peak",DM31="HH"),"EQH","")))</f>
        <v/>
      </c>
      <c r="EJ31" s="15" t="str">
        <f>IF(DY31="","",IF(AND(ABS(DY31)&lt;=0.25,$E31="Bottom",DN31="LL"),"EQL",IF(AND(ABS(DY31)&lt;=0.25,$E31="Peak",DN31="HH"),"EQH","")))</f>
        <v/>
      </c>
      <c r="EK31" s="15" t="str">
        <f>IF(DZ31="","",IF(AND(ABS(DZ31)&lt;=0.25,$E31="Bottom",DO31="LL"),"EQL",IF(AND(ABS(DZ31)&lt;=0.25,$E31="Peak",DO31="HH"),"EQH","")))</f>
        <v/>
      </c>
      <c r="EL31" s="15" t="str">
        <f>IF(EA31="","",IF(AND(ABS(EA31)&lt;=0.25,$E31="Bottom",DP31="LL"),"EQL",IF(AND(ABS(EA31)&lt;=0.25,$E31="Peak",DP31="HH"),"EQH","")))</f>
        <v/>
      </c>
      <c r="EM31" s="15" t="str">
        <f>IF(EB31="","",IF(AND(ABS(EB31)&lt;=0.25,$E31="Bottom",DQ31="LL"),"EQL",IF(AND(ABS(EB31)&lt;=0.25,$E31="Peak",DQ31="HH"),"EQH","")))</f>
        <v>EQH</v>
      </c>
      <c r="EN31" s="15" t="str">
        <f>IF(EC31="","",IF(AND(ABS(EC31)&lt;=0.25,$E31="Bottom",DR31="LL"),"EQL",IF(AND(ABS(EC31)&lt;=0.25,$E31="Peak",DR31="HH"),"EQH","")))</f>
        <v/>
      </c>
      <c r="EO31" s="15" t="str">
        <f>IF(ED31="","",IF(AND(ABS(ED31)&lt;=0.25,$E31="Bottom",DS31="LL"),"EQL",IF(AND(ABS(ED31)&lt;=0.25,$E31="Peak",DS31="HH"),"EQH","")))</f>
        <v/>
      </c>
      <c r="EP31" s="15" t="str">
        <f>IF(EE31="","",IF(AND(ABS(EE31)&lt;=0.25,$E31="Bottom",DT31="LL"),"EQL",IF(AND(ABS(EE31)&lt;=0.25,$E31="Peak",DT31="HH"),"EQH","")))</f>
        <v/>
      </c>
      <c r="EQ31" s="15" t="str">
        <f>IF(EF31="","",IF(AND(ABS(EF31)&lt;=0.25,$E31="Bottom",DU31="LL"),"EQL",IF(AND(ABS(EF31)&lt;=0.25,$E31="Peak",DU31="HH"),"EQH","")))</f>
        <v/>
      </c>
      <c r="ER31" s="15" t="str">
        <f>IF(OR(EG31="EQL",EG31="EQH"),F31,"")</f>
        <v/>
      </c>
      <c r="ES31" s="15" t="str">
        <f>IF(OR(EH31="EQL",EH31="EQH"),G31,"")</f>
        <v/>
      </c>
      <c r="ET31" s="15" t="str">
        <f>IF(OR(EI31="EQL",EI31="EQH"),H31,"")</f>
        <v/>
      </c>
      <c r="EU31" s="15" t="str">
        <f>IF(OR(EJ31="EQL",EJ31="EQH"),I31,"")</f>
        <v/>
      </c>
      <c r="EV31" s="15" t="str">
        <f>IF(OR(EK31="EQL",EK31="EQH"),J31,"")</f>
        <v/>
      </c>
      <c r="EW31" s="15" t="str">
        <f>IF(OR(EL31="EQL",EL31="EQH"),K31,"")</f>
        <v/>
      </c>
      <c r="EX31" s="15">
        <f>IF(OR(EM31="EQL",EM31="EQH"),L31,"")</f>
        <v>4568.96</v>
      </c>
      <c r="EY31" s="15" t="str">
        <f>IF(OR(EN31="EQL",EN31="EQH"),M31,"")</f>
        <v/>
      </c>
      <c r="EZ31" s="15" t="str">
        <f>IF(OR(EO31="EQL",EO31="EQH"),N31,"")</f>
        <v/>
      </c>
      <c r="FA31" s="15" t="str">
        <f>IF(OR(EP31="EQL",EP31="EQH"),O31,"")</f>
        <v/>
      </c>
      <c r="FB31" s="15" t="str">
        <f>IF(OR(EQ31="EQL",EQ31="EQH"),P31,"")</f>
        <v/>
      </c>
      <c r="FC31" s="15" t="str">
        <f>IF(AND(EG31="EQL",OR(AQ31=4,AQ31=5)),"IEQL",IF(AND(EG31="EQH",OR(AQ31=1,AQ31=2)),"IEQH",""))</f>
        <v/>
      </c>
      <c r="FD31" s="15" t="str">
        <f>IF(AND(EH31="EQL",OR(AR31=4,AR31=5)),"IEQL",IF(AND(EH31="EQH",OR(AR31=1,AR31=2)),"IEQH",""))</f>
        <v/>
      </c>
      <c r="FE31" s="15" t="str">
        <f>IF(AND(EI31="EQL",OR(AS31=4,AS31=5)),"IEQL",IF(AND(EI31="EQH",OR(AS31=1,AS31=2)),"IEQH",""))</f>
        <v/>
      </c>
      <c r="FF31" s="15" t="str">
        <f>IF(AND(EJ31="EQL",OR(AT31=4,AT31=5)),"IEQL",IF(AND(EJ31="EQH",OR(AT31=1,AT31=2)),"IEQH",""))</f>
        <v/>
      </c>
      <c r="FG31" s="15" t="str">
        <f>IF(AND(EK31="EQL",OR(AU31=4,AU31=5)),"IEQL",IF(AND(EK31="EQH",OR(AU31=1,AU31=2)),"IEQH",""))</f>
        <v/>
      </c>
      <c r="FH31" s="15" t="str">
        <f>IF(AND(EL31="EQL",OR(AV31=4,AV31=5)),"IEQL",IF(AND(EL31="EQH",OR(AV31=1,AV31=2)),"IEQH",""))</f>
        <v/>
      </c>
      <c r="FI31" s="15" t="str">
        <f>IF(AND(EM31="EQL",OR(AW31=4,AW31=5)),"IEQL",IF(AND(EM31="EQH",OR(AW31=1,AW31=2)),"IEQH",""))</f>
        <v/>
      </c>
      <c r="FJ31" s="15" t="str">
        <f>IF(AND(EN31="EQL",OR(AX31=4,AX31=5)),"IEQL",IF(AND(EN31="EQH",OR(AX31=1,AX31=2)),"IEQH",""))</f>
        <v/>
      </c>
      <c r="FK31" s="15" t="str">
        <f>IF(AND(EO31="EQL",OR(AY31=4,AY31=5)),"IEQL",IF(AND(EO31="EQH",OR(AY31=1,AY31=2)),"IEQH",""))</f>
        <v/>
      </c>
      <c r="FL31" s="15" t="str">
        <f>IF(AND(EP31="EQL",OR(AZ31=4,AZ31=5)),"IEQL",IF(AND(EP31="EQH",OR(AZ31=1,AZ31=2)),"IEQH",""))</f>
        <v/>
      </c>
      <c r="FM31" s="15" t="str">
        <f>IF(AND(EQ31="EQL",OR(BA31=4,BA31=5)),"IEQL",IF(AND(EQ31="EQH",OR(BA31=1,BA31=2)),"IEQH",""))</f>
        <v/>
      </c>
      <c r="FN31" s="15" t="str">
        <f>IF(OR(AND(DJ31="LL",AP31=5),AND(DJ31="HH",AP31=2)),F31,"")</f>
        <v/>
      </c>
      <c r="FO31" s="15" t="str">
        <f>IF(FN31&lt;&gt;"",F30,"")</f>
        <v/>
      </c>
    </row>
    <row r="32" spans="1:171" s="15" customFormat="1" x14ac:dyDescent="0.55000000000000004">
      <c r="A32" s="15">
        <v>1774898106</v>
      </c>
      <c r="B32" s="15" t="s">
        <v>16</v>
      </c>
      <c r="C32" s="15" t="s">
        <v>17</v>
      </c>
      <c r="D32" s="15">
        <v>4501.72</v>
      </c>
      <c r="E32" s="15" t="s">
        <v>18</v>
      </c>
      <c r="F32" s="15">
        <v>4493.1400000000003</v>
      </c>
      <c r="G32" s="15">
        <f t="shared" si="0"/>
        <v>4420.2700000000004</v>
      </c>
      <c r="H32" s="15">
        <f t="shared" si="10"/>
        <v>4404.32</v>
      </c>
      <c r="I32" s="15">
        <f t="shared" si="20"/>
        <v>4375.68</v>
      </c>
      <c r="J32" s="15">
        <f t="shared" si="30"/>
        <v>4359.29</v>
      </c>
      <c r="K32" s="15">
        <f t="shared" si="40"/>
        <v>4413.24</v>
      </c>
      <c r="L32" s="15">
        <f t="shared" si="50"/>
        <v>4487.1000000000004</v>
      </c>
      <c r="M32" s="15">
        <f t="shared" si="60"/>
        <v>4522.33</v>
      </c>
      <c r="N32" s="15">
        <f t="shared" si="70"/>
        <v>4527.99</v>
      </c>
      <c r="O32" s="15">
        <f t="shared" si="80"/>
        <v>4532.82</v>
      </c>
      <c r="P32" s="15">
        <f t="shared" si="90"/>
        <v>4372.58</v>
      </c>
      <c r="Q32" s="15">
        <f t="shared" si="100"/>
        <v>4351.7</v>
      </c>
      <c r="R32" s="15">
        <v>-87.45</v>
      </c>
      <c r="S32" s="15">
        <f t="shared" si="1"/>
        <v>-134.72999999999999</v>
      </c>
      <c r="T32" s="15">
        <f t="shared" si="11"/>
        <v>-70.8</v>
      </c>
      <c r="U32" s="15">
        <f t="shared" si="21"/>
        <v>-44.88</v>
      </c>
      <c r="V32" s="15">
        <f t="shared" si="31"/>
        <v>-119.85</v>
      </c>
      <c r="W32" s="15">
        <f t="shared" si="41"/>
        <v>-131.05000000000001</v>
      </c>
      <c r="X32" s="15">
        <f t="shared" si="51"/>
        <v>-81.86</v>
      </c>
      <c r="Y32" s="15">
        <f t="shared" si="61"/>
        <v>-63.18</v>
      </c>
      <c r="Z32" s="15">
        <f t="shared" si="71"/>
        <v>-39.74</v>
      </c>
      <c r="AA32" s="15">
        <f t="shared" si="81"/>
        <v>-69.48</v>
      </c>
      <c r="AB32" s="15">
        <f t="shared" si="91"/>
        <v>-60.93</v>
      </c>
      <c r="AC32" s="15">
        <f t="shared" si="101"/>
        <v>-90.17</v>
      </c>
      <c r="AD32" s="15">
        <v>-1.91</v>
      </c>
      <c r="AE32" s="15">
        <f t="shared" si="2"/>
        <v>-2.96</v>
      </c>
      <c r="AF32" s="15">
        <f t="shared" si="12"/>
        <v>-1.58</v>
      </c>
      <c r="AG32" s="15">
        <f t="shared" si="22"/>
        <v>-1.02</v>
      </c>
      <c r="AH32" s="15">
        <f t="shared" si="32"/>
        <v>-2.68</v>
      </c>
      <c r="AI32" s="15">
        <f t="shared" si="42"/>
        <v>-2.88</v>
      </c>
      <c r="AJ32" s="15">
        <f t="shared" si="52"/>
        <v>-1.79</v>
      </c>
      <c r="AK32" s="15">
        <f t="shared" si="62"/>
        <v>-1.38</v>
      </c>
      <c r="AL32" s="15">
        <f t="shared" si="72"/>
        <v>-0.87</v>
      </c>
      <c r="AM32" s="15">
        <f t="shared" si="82"/>
        <v>-1.51</v>
      </c>
      <c r="AN32" s="15">
        <f t="shared" si="92"/>
        <v>-1.37</v>
      </c>
      <c r="AO32" s="15">
        <f t="shared" si="102"/>
        <v>-2.0299999999999998</v>
      </c>
      <c r="AP32" s="15">
        <v>3</v>
      </c>
      <c r="AQ32" s="15">
        <f t="shared" si="3"/>
        <v>3</v>
      </c>
      <c r="AR32" s="15">
        <f t="shared" si="13"/>
        <v>3</v>
      </c>
      <c r="AS32" s="15">
        <f t="shared" si="23"/>
        <v>3</v>
      </c>
      <c r="AT32" s="15">
        <f t="shared" si="33"/>
        <v>3</v>
      </c>
      <c r="AU32" s="15">
        <f t="shared" si="43"/>
        <v>3</v>
      </c>
      <c r="AV32" s="15">
        <f t="shared" si="53"/>
        <v>3</v>
      </c>
      <c r="AW32" s="15">
        <f t="shared" si="63"/>
        <v>3</v>
      </c>
      <c r="AX32" s="15">
        <f t="shared" si="73"/>
        <v>3</v>
      </c>
      <c r="AY32" s="15">
        <f t="shared" si="83"/>
        <v>3</v>
      </c>
      <c r="AZ32" s="15">
        <f t="shared" si="93"/>
        <v>3</v>
      </c>
      <c r="BA32" s="15">
        <f t="shared" si="103"/>
        <v>3</v>
      </c>
      <c r="BB32" s="15">
        <v>30</v>
      </c>
      <c r="BC32" s="15">
        <f t="shared" si="4"/>
        <v>31</v>
      </c>
      <c r="BD32" s="15">
        <f t="shared" si="14"/>
        <v>22</v>
      </c>
      <c r="BE32" s="15">
        <f t="shared" si="24"/>
        <v>13</v>
      </c>
      <c r="BF32" s="15">
        <f t="shared" si="34"/>
        <v>21</v>
      </c>
      <c r="BG32" s="15">
        <f t="shared" si="44"/>
        <v>30</v>
      </c>
      <c r="BH32" s="15">
        <f t="shared" si="54"/>
        <v>4</v>
      </c>
      <c r="BI32" s="15">
        <f t="shared" si="64"/>
        <v>4</v>
      </c>
      <c r="BJ32" s="15">
        <f t="shared" si="74"/>
        <v>3</v>
      </c>
      <c r="BK32" s="15">
        <f t="shared" si="84"/>
        <v>13</v>
      </c>
      <c r="BL32" s="15">
        <f t="shared" si="94"/>
        <v>12</v>
      </c>
      <c r="BM32" s="15">
        <f t="shared" si="104"/>
        <v>12</v>
      </c>
      <c r="BN32" s="15">
        <v>3</v>
      </c>
      <c r="BO32" s="15">
        <f t="shared" si="5"/>
        <v>3</v>
      </c>
      <c r="BP32" s="15">
        <f t="shared" si="15"/>
        <v>3</v>
      </c>
      <c r="BQ32" s="15">
        <f t="shared" si="25"/>
        <v>3</v>
      </c>
      <c r="BR32" s="15">
        <f t="shared" si="35"/>
        <v>3</v>
      </c>
      <c r="BS32" s="15">
        <f t="shared" si="45"/>
        <v>3</v>
      </c>
      <c r="BT32" s="15">
        <f t="shared" si="55"/>
        <v>3</v>
      </c>
      <c r="BU32" s="15">
        <f t="shared" si="65"/>
        <v>3</v>
      </c>
      <c r="BV32" s="15">
        <f t="shared" si="75"/>
        <v>3</v>
      </c>
      <c r="BW32" s="15">
        <f t="shared" si="85"/>
        <v>3</v>
      </c>
      <c r="BX32" s="15">
        <f t="shared" si="95"/>
        <v>3</v>
      </c>
      <c r="BY32" s="15">
        <f t="shared" si="105"/>
        <v>3</v>
      </c>
      <c r="BZ32" s="15">
        <v>-2.915</v>
      </c>
      <c r="CA32" s="15">
        <f t="shared" si="6"/>
        <v>-4.3461299999999996</v>
      </c>
      <c r="CB32" s="15">
        <f t="shared" si="16"/>
        <v>-3.2181799999999998</v>
      </c>
      <c r="CC32" s="15">
        <f t="shared" si="26"/>
        <v>-3.4523100000000002</v>
      </c>
      <c r="CD32" s="15">
        <f t="shared" si="36"/>
        <v>-5.7071399999999999</v>
      </c>
      <c r="CE32" s="15">
        <f t="shared" si="46"/>
        <v>-4.3683300000000003</v>
      </c>
      <c r="CF32" s="15">
        <f t="shared" si="56"/>
        <v>-20.465</v>
      </c>
      <c r="CG32" s="15">
        <f t="shared" si="66"/>
        <v>-15.795</v>
      </c>
      <c r="CH32" s="15">
        <f t="shared" si="76"/>
        <v>-13.24667</v>
      </c>
      <c r="CI32" s="15">
        <f t="shared" si="86"/>
        <v>-5.3446199999999999</v>
      </c>
      <c r="CJ32" s="15">
        <f t="shared" si="96"/>
        <v>-5.0774999999999997</v>
      </c>
      <c r="CK32" s="15">
        <f t="shared" si="106"/>
        <v>-7.51417</v>
      </c>
      <c r="CL32" s="15">
        <v>3</v>
      </c>
      <c r="CM32" s="15">
        <f t="shared" si="7"/>
        <v>3</v>
      </c>
      <c r="CN32" s="15">
        <f t="shared" si="17"/>
        <v>3</v>
      </c>
      <c r="CO32" s="15">
        <f t="shared" si="27"/>
        <v>3</v>
      </c>
      <c r="CP32" s="15">
        <f t="shared" si="37"/>
        <v>3</v>
      </c>
      <c r="CQ32" s="15">
        <f t="shared" si="47"/>
        <v>3</v>
      </c>
      <c r="CR32" s="15">
        <f t="shared" si="57"/>
        <v>5</v>
      </c>
      <c r="CS32" s="15">
        <f t="shared" si="67"/>
        <v>4</v>
      </c>
      <c r="CT32" s="15">
        <f t="shared" si="77"/>
        <v>3</v>
      </c>
      <c r="CU32" s="15">
        <f t="shared" si="87"/>
        <v>3</v>
      </c>
      <c r="CV32" s="15">
        <f t="shared" si="97"/>
        <v>3</v>
      </c>
      <c r="CW32" s="15">
        <f t="shared" si="107"/>
        <v>3</v>
      </c>
      <c r="CX32" s="15">
        <v>-71.065299999999993</v>
      </c>
      <c r="CY32" s="15">
        <f t="shared" si="8"/>
        <v>-77.042299999999997</v>
      </c>
      <c r="CZ32" s="15">
        <f t="shared" si="18"/>
        <v>-72.738200000000006</v>
      </c>
      <c r="DA32" s="15">
        <f t="shared" si="28"/>
        <v>-73.845699999999994</v>
      </c>
      <c r="DB32" s="15">
        <f t="shared" si="38"/>
        <v>-80.061599999999999</v>
      </c>
      <c r="DC32" s="15">
        <f t="shared" si="48"/>
        <v>-77.105999999999995</v>
      </c>
      <c r="DD32" s="15">
        <f t="shared" si="58"/>
        <v>-87.202500000000001</v>
      </c>
      <c r="DE32" s="15">
        <f t="shared" si="68"/>
        <v>-86.377399999999994</v>
      </c>
      <c r="DF32" s="15">
        <f t="shared" si="78"/>
        <v>-85.682900000000004</v>
      </c>
      <c r="DG32" s="15">
        <f t="shared" si="88"/>
        <v>-79.402299999999997</v>
      </c>
      <c r="DH32" s="15">
        <f t="shared" si="98"/>
        <v>-78.8583</v>
      </c>
      <c r="DI32" s="15">
        <f t="shared" si="108"/>
        <v>-82.419499999999999</v>
      </c>
      <c r="DJ32" s="15" t="s">
        <v>22</v>
      </c>
      <c r="DK32" s="15" t="str">
        <f t="shared" si="9"/>
        <v>HL</v>
      </c>
      <c r="DL32" s="15" t="str">
        <f t="shared" si="19"/>
        <v>HL</v>
      </c>
      <c r="DM32" s="15" t="str">
        <f t="shared" si="29"/>
        <v>HL</v>
      </c>
      <c r="DN32" s="15" t="str">
        <f t="shared" si="39"/>
        <v>LL</v>
      </c>
      <c r="DO32" s="15" t="str">
        <f t="shared" si="49"/>
        <v>LL</v>
      </c>
      <c r="DP32" s="15" t="str">
        <f t="shared" si="59"/>
        <v>LL</v>
      </c>
      <c r="DQ32" s="15" t="str">
        <f t="shared" si="69"/>
        <v>LL</v>
      </c>
      <c r="DR32" s="15" t="str">
        <f t="shared" si="79"/>
        <v>LL</v>
      </c>
      <c r="DS32" s="15" t="str">
        <f t="shared" si="89"/>
        <v>HL</v>
      </c>
      <c r="DT32" s="15" t="str">
        <f t="shared" si="99"/>
        <v>HL</v>
      </c>
      <c r="DU32" s="15" t="str">
        <f t="shared" si="109"/>
        <v>HL</v>
      </c>
      <c r="DV32" s="15">
        <f>IFERROR((G32-$F32)/$F32*100,"")</f>
        <v>-1.6218056860013239</v>
      </c>
      <c r="DW32" s="15">
        <f>IFERROR((H32-$F32)/$F32*100,"")</f>
        <v>-1.9767912862719748</v>
      </c>
      <c r="DX32" s="15">
        <f>IFERROR((I32-$F32)/$F32*100,"")</f>
        <v>-2.6142074362250014</v>
      </c>
      <c r="DY32" s="15">
        <f>IFERROR((J32-$F32)/$F32*100,"")</f>
        <v>-2.9789857427100057</v>
      </c>
      <c r="DZ32" s="15">
        <f>IFERROR((K32-$F32)/$F32*100,"")</f>
        <v>-1.7782664239262642</v>
      </c>
      <c r="EA32" s="15">
        <f>IFERROR((L32-$F32)/$F32*100,"")</f>
        <v>-0.13442714894260946</v>
      </c>
      <c r="EB32" s="15">
        <f>IFERROR((M32-$F32)/$F32*100,"")</f>
        <v>0.64965703272098352</v>
      </c>
      <c r="EC32" s="15">
        <f>IFERROR((N32-$F32)/$F32*100,"")</f>
        <v>0.77562684447845942</v>
      </c>
      <c r="ED32" s="15">
        <f>IFERROR((O32-$F32)/$F32*100,"")</f>
        <v>0.88312405133157168</v>
      </c>
      <c r="EE32" s="15">
        <f>IFERROR((P32-$F32)/$F32*100,"")</f>
        <v>-2.6832015027352893</v>
      </c>
      <c r="EF32" s="15">
        <f>IFERROR((Q32-$F32)/$F32*100,"")</f>
        <v>-3.1479099249077596</v>
      </c>
      <c r="EG32" s="15" t="str">
        <f>IF(DV32="","",IF(AND(ABS(DV32)&lt;=0.25,$E32="Bottom",DK32="LL"),"EQL",IF(AND(ABS(DV32)&lt;=0.25,$E32="Peak",DK32="HH"),"EQH","")))</f>
        <v/>
      </c>
      <c r="EH32" s="15" t="str">
        <f>IF(DW32="","",IF(AND(ABS(DW32)&lt;=0.25,$E32="Bottom",DL32="LL"),"EQL",IF(AND(ABS(DW32)&lt;=0.25,$E32="Peak",DL32="HH"),"EQH","")))</f>
        <v/>
      </c>
      <c r="EI32" s="15" t="str">
        <f>IF(DX32="","",IF(AND(ABS(DX32)&lt;=0.25,$E32="Bottom",DM32="LL"),"EQL",IF(AND(ABS(DX32)&lt;=0.25,$E32="Peak",DM32="HH"),"EQH","")))</f>
        <v/>
      </c>
      <c r="EJ32" s="15" t="str">
        <f>IF(DY32="","",IF(AND(ABS(DY32)&lt;=0.25,$E32="Bottom",DN32="LL"),"EQL",IF(AND(ABS(DY32)&lt;=0.25,$E32="Peak",DN32="HH"),"EQH","")))</f>
        <v/>
      </c>
      <c r="EK32" s="15" t="str">
        <f>IF(DZ32="","",IF(AND(ABS(DZ32)&lt;=0.25,$E32="Bottom",DO32="LL"),"EQL",IF(AND(ABS(DZ32)&lt;=0.25,$E32="Peak",DO32="HH"),"EQH","")))</f>
        <v/>
      </c>
      <c r="EL32" s="15" t="str">
        <f>IF(EA32="","",IF(AND(ABS(EA32)&lt;=0.25,$E32="Bottom",DP32="LL"),"EQL",IF(AND(ABS(EA32)&lt;=0.25,$E32="Peak",DP32="HH"),"EQH","")))</f>
        <v>EQL</v>
      </c>
      <c r="EM32" s="15" t="str">
        <f>IF(EB32="","",IF(AND(ABS(EB32)&lt;=0.25,$E32="Bottom",DQ32="LL"),"EQL",IF(AND(ABS(EB32)&lt;=0.25,$E32="Peak",DQ32="HH"),"EQH","")))</f>
        <v/>
      </c>
      <c r="EN32" s="15" t="str">
        <f>IF(EC32="","",IF(AND(ABS(EC32)&lt;=0.25,$E32="Bottom",DR32="LL"),"EQL",IF(AND(ABS(EC32)&lt;=0.25,$E32="Peak",DR32="HH"),"EQH","")))</f>
        <v/>
      </c>
      <c r="EO32" s="15" t="str">
        <f>IF(ED32="","",IF(AND(ABS(ED32)&lt;=0.25,$E32="Bottom",DS32="LL"),"EQL",IF(AND(ABS(ED32)&lt;=0.25,$E32="Peak",DS32="HH"),"EQH","")))</f>
        <v/>
      </c>
      <c r="EP32" s="15" t="str">
        <f>IF(EE32="","",IF(AND(ABS(EE32)&lt;=0.25,$E32="Bottom",DT32="LL"),"EQL",IF(AND(ABS(EE32)&lt;=0.25,$E32="Peak",DT32="HH"),"EQH","")))</f>
        <v/>
      </c>
      <c r="EQ32" s="15" t="str">
        <f>IF(EF32="","",IF(AND(ABS(EF32)&lt;=0.25,$E32="Bottom",DU32="LL"),"EQL",IF(AND(ABS(EF32)&lt;=0.25,$E32="Peak",DU32="HH"),"EQH","")))</f>
        <v/>
      </c>
      <c r="ER32" s="15" t="str">
        <f>IF(OR(EG32="EQL",EG32="EQH"),F32,"")</f>
        <v/>
      </c>
      <c r="ES32" s="15" t="str">
        <f>IF(OR(EH32="EQL",EH32="EQH"),G32,"")</f>
        <v/>
      </c>
      <c r="ET32" s="15" t="str">
        <f>IF(OR(EI32="EQL",EI32="EQH"),H32,"")</f>
        <v/>
      </c>
      <c r="EU32" s="15" t="str">
        <f>IF(OR(EJ32="EQL",EJ32="EQH"),I32,"")</f>
        <v/>
      </c>
      <c r="EV32" s="15" t="str">
        <f>IF(OR(EK32="EQL",EK32="EQH"),J32,"")</f>
        <v/>
      </c>
      <c r="EW32" s="15">
        <f>IF(OR(EL32="EQL",EL32="EQH"),K32,"")</f>
        <v>4413.24</v>
      </c>
      <c r="EX32" s="15" t="str">
        <f>IF(OR(EM32="EQL",EM32="EQH"),L32,"")</f>
        <v/>
      </c>
      <c r="EY32" s="15" t="str">
        <f>IF(OR(EN32="EQL",EN32="EQH"),M32,"")</f>
        <v/>
      </c>
      <c r="EZ32" s="15" t="str">
        <f>IF(OR(EO32="EQL",EO32="EQH"),N32,"")</f>
        <v/>
      </c>
      <c r="FA32" s="15" t="str">
        <f>IF(OR(EP32="EQL",EP32="EQH"),O32,"")</f>
        <v/>
      </c>
      <c r="FB32" s="15" t="str">
        <f>IF(OR(EQ32="EQL",EQ32="EQH"),P32,"")</f>
        <v/>
      </c>
      <c r="FC32" s="15" t="str">
        <f>IF(AND(EG32="EQL",OR(AQ32=4,AQ32=5)),"IEQL",IF(AND(EG32="EQH",OR(AQ32=1,AQ32=2)),"IEQH",""))</f>
        <v/>
      </c>
      <c r="FD32" s="15" t="str">
        <f>IF(AND(EH32="EQL",OR(AR32=4,AR32=5)),"IEQL",IF(AND(EH32="EQH",OR(AR32=1,AR32=2)),"IEQH",""))</f>
        <v/>
      </c>
      <c r="FE32" s="15" t="str">
        <f>IF(AND(EI32="EQL",OR(AS32=4,AS32=5)),"IEQL",IF(AND(EI32="EQH",OR(AS32=1,AS32=2)),"IEQH",""))</f>
        <v/>
      </c>
      <c r="FF32" s="15" t="str">
        <f>IF(AND(EJ32="EQL",OR(AT32=4,AT32=5)),"IEQL",IF(AND(EJ32="EQH",OR(AT32=1,AT32=2)),"IEQH",""))</f>
        <v/>
      </c>
      <c r="FG32" s="15" t="str">
        <f>IF(AND(EK32="EQL",OR(AU32=4,AU32=5)),"IEQL",IF(AND(EK32="EQH",OR(AU32=1,AU32=2)),"IEQH",""))</f>
        <v/>
      </c>
      <c r="FH32" s="15" t="str">
        <f>IF(AND(EL32="EQL",OR(AV32=4,AV32=5)),"IEQL",IF(AND(EL32="EQH",OR(AV32=1,AV32=2)),"IEQH",""))</f>
        <v/>
      </c>
      <c r="FI32" s="15" t="str">
        <f>IF(AND(EM32="EQL",OR(AW32=4,AW32=5)),"IEQL",IF(AND(EM32="EQH",OR(AW32=1,AW32=2)),"IEQH",""))</f>
        <v/>
      </c>
      <c r="FJ32" s="15" t="str">
        <f>IF(AND(EN32="EQL",OR(AX32=4,AX32=5)),"IEQL",IF(AND(EN32="EQH",OR(AX32=1,AX32=2)),"IEQH",""))</f>
        <v/>
      </c>
      <c r="FK32" s="15" t="str">
        <f>IF(AND(EO32="EQL",OR(AY32=4,AY32=5)),"IEQL",IF(AND(EO32="EQH",OR(AY32=1,AY32=2)),"IEQH",""))</f>
        <v/>
      </c>
      <c r="FL32" s="15" t="str">
        <f>IF(AND(EP32="EQL",OR(AZ32=4,AZ32=5)),"IEQL",IF(AND(EP32="EQH",OR(AZ32=1,AZ32=2)),"IEQH",""))</f>
        <v/>
      </c>
      <c r="FM32" s="15" t="str">
        <f>IF(AND(EQ32="EQL",OR(BA32=4,BA32=5)),"IEQL",IF(AND(EQ32="EQH",OR(BA32=1,BA32=2)),"IEQH",""))</f>
        <v/>
      </c>
      <c r="FN32" s="15" t="str">
        <f>IF(OR(AND(DJ32="LL",AP32=5),AND(DJ32="HH",AP32=2)),F32,"")</f>
        <v/>
      </c>
      <c r="FO32" s="15" t="str">
        <f>IF(FN32&lt;&gt;"",F31,"")</f>
        <v/>
      </c>
    </row>
    <row r="33" spans="1:171" s="15" customFormat="1" x14ac:dyDescent="0.55000000000000004">
      <c r="A33" s="15">
        <v>1774908006</v>
      </c>
      <c r="B33" s="15" t="s">
        <v>16</v>
      </c>
      <c r="C33" s="15" t="s">
        <v>17</v>
      </c>
      <c r="D33" s="15">
        <v>4508.24</v>
      </c>
      <c r="E33" s="15" t="s">
        <v>20</v>
      </c>
      <c r="F33" s="15">
        <v>4523.8500000000004</v>
      </c>
      <c r="G33" s="15">
        <f t="shared" si="0"/>
        <v>4580.59</v>
      </c>
      <c r="H33" s="15">
        <f t="shared" si="10"/>
        <v>4555</v>
      </c>
      <c r="I33" s="15">
        <f t="shared" si="20"/>
        <v>4475.12</v>
      </c>
      <c r="J33" s="15">
        <f t="shared" si="30"/>
        <v>4420.5600000000004</v>
      </c>
      <c r="K33" s="15">
        <f t="shared" si="40"/>
        <v>4479.1400000000003</v>
      </c>
      <c r="L33" s="15">
        <f t="shared" si="50"/>
        <v>4544.29</v>
      </c>
      <c r="M33" s="15">
        <f t="shared" si="60"/>
        <v>4568.96</v>
      </c>
      <c r="N33" s="15">
        <f t="shared" si="70"/>
        <v>4585.51</v>
      </c>
      <c r="O33" s="15">
        <f t="shared" si="80"/>
        <v>4567.7299999999996</v>
      </c>
      <c r="P33" s="15">
        <f t="shared" si="90"/>
        <v>4602.3</v>
      </c>
      <c r="Q33" s="15">
        <f t="shared" si="100"/>
        <v>4433.51</v>
      </c>
      <c r="R33" s="15">
        <v>30.71</v>
      </c>
      <c r="S33" s="15">
        <f t="shared" si="1"/>
        <v>160.32</v>
      </c>
      <c r="T33" s="15">
        <f t="shared" si="11"/>
        <v>150.68</v>
      </c>
      <c r="U33" s="15">
        <f t="shared" si="21"/>
        <v>99.44</v>
      </c>
      <c r="V33" s="15">
        <f t="shared" si="31"/>
        <v>61.27</v>
      </c>
      <c r="W33" s="15">
        <f t="shared" si="41"/>
        <v>65.900000000000006</v>
      </c>
      <c r="X33" s="15">
        <f t="shared" si="51"/>
        <v>57.19</v>
      </c>
      <c r="Y33" s="15">
        <f t="shared" si="61"/>
        <v>46.63</v>
      </c>
      <c r="Z33" s="15">
        <f t="shared" si="71"/>
        <v>57.52</v>
      </c>
      <c r="AA33" s="15">
        <f t="shared" si="81"/>
        <v>34.909999999999997</v>
      </c>
      <c r="AB33" s="15">
        <f t="shared" si="91"/>
        <v>229.72</v>
      </c>
      <c r="AC33" s="15">
        <f t="shared" si="101"/>
        <v>81.81</v>
      </c>
      <c r="AD33" s="15">
        <v>0.68</v>
      </c>
      <c r="AE33" s="15">
        <f t="shared" si="2"/>
        <v>3.63</v>
      </c>
      <c r="AF33" s="15">
        <f t="shared" si="12"/>
        <v>3.42</v>
      </c>
      <c r="AG33" s="15">
        <f t="shared" si="22"/>
        <v>2.27</v>
      </c>
      <c r="AH33" s="15">
        <f t="shared" si="32"/>
        <v>1.41</v>
      </c>
      <c r="AI33" s="15">
        <f t="shared" si="42"/>
        <v>1.49</v>
      </c>
      <c r="AJ33" s="15">
        <f t="shared" si="52"/>
        <v>1.27</v>
      </c>
      <c r="AK33" s="15">
        <f t="shared" si="62"/>
        <v>1.03</v>
      </c>
      <c r="AL33" s="15">
        <f t="shared" si="72"/>
        <v>1.27</v>
      </c>
      <c r="AM33" s="15">
        <f t="shared" si="82"/>
        <v>0.77</v>
      </c>
      <c r="AN33" s="15">
        <f t="shared" si="92"/>
        <v>5.25</v>
      </c>
      <c r="AO33" s="15">
        <f t="shared" si="102"/>
        <v>1.88</v>
      </c>
      <c r="AP33" s="15">
        <v>0</v>
      </c>
      <c r="AQ33" s="15">
        <f t="shared" si="3"/>
        <v>0</v>
      </c>
      <c r="AR33" s="15">
        <f t="shared" si="13"/>
        <v>0</v>
      </c>
      <c r="AS33" s="15">
        <f t="shared" si="23"/>
        <v>0</v>
      </c>
      <c r="AT33" s="15">
        <f t="shared" si="33"/>
        <v>0</v>
      </c>
      <c r="AU33" s="15">
        <f t="shared" si="43"/>
        <v>0</v>
      </c>
      <c r="AV33" s="15">
        <f t="shared" si="53"/>
        <v>0</v>
      </c>
      <c r="AW33" s="15">
        <f t="shared" si="63"/>
        <v>0</v>
      </c>
      <c r="AX33" s="15">
        <f t="shared" si="73"/>
        <v>0</v>
      </c>
      <c r="AY33" s="15">
        <f t="shared" si="83"/>
        <v>0</v>
      </c>
      <c r="AZ33" s="15">
        <f t="shared" si="93"/>
        <v>0</v>
      </c>
      <c r="BA33" s="15">
        <f t="shared" si="103"/>
        <v>0</v>
      </c>
      <c r="BB33" s="15">
        <v>7</v>
      </c>
      <c r="BC33" s="15">
        <f t="shared" si="4"/>
        <v>47</v>
      </c>
      <c r="BD33" s="15">
        <f t="shared" si="14"/>
        <v>17</v>
      </c>
      <c r="BE33" s="15">
        <f t="shared" si="24"/>
        <v>19</v>
      </c>
      <c r="BF33" s="15">
        <f t="shared" si="34"/>
        <v>3</v>
      </c>
      <c r="BG33" s="15">
        <f t="shared" si="44"/>
        <v>24</v>
      </c>
      <c r="BH33" s="15">
        <f t="shared" si="54"/>
        <v>20</v>
      </c>
      <c r="BI33" s="15">
        <f t="shared" si="64"/>
        <v>22</v>
      </c>
      <c r="BJ33" s="15">
        <f t="shared" si="74"/>
        <v>7</v>
      </c>
      <c r="BK33" s="15">
        <f t="shared" si="84"/>
        <v>12</v>
      </c>
      <c r="BL33" s="15">
        <f t="shared" si="94"/>
        <v>32</v>
      </c>
      <c r="BM33" s="15">
        <f t="shared" si="104"/>
        <v>4</v>
      </c>
      <c r="BN33" s="15">
        <v>0</v>
      </c>
      <c r="BO33" s="15">
        <f t="shared" si="5"/>
        <v>2</v>
      </c>
      <c r="BP33" s="15">
        <f t="shared" si="15"/>
        <v>0</v>
      </c>
      <c r="BQ33" s="15">
        <f t="shared" si="25"/>
        <v>0</v>
      </c>
      <c r="BR33" s="15">
        <f t="shared" si="35"/>
        <v>0</v>
      </c>
      <c r="BS33" s="15">
        <f t="shared" si="45"/>
        <v>0</v>
      </c>
      <c r="BT33" s="15">
        <f t="shared" si="55"/>
        <v>0</v>
      </c>
      <c r="BU33" s="15">
        <f t="shared" si="65"/>
        <v>0</v>
      </c>
      <c r="BV33" s="15">
        <f t="shared" si="75"/>
        <v>0</v>
      </c>
      <c r="BW33" s="15">
        <f t="shared" si="85"/>
        <v>0</v>
      </c>
      <c r="BX33" s="15">
        <f t="shared" si="95"/>
        <v>0</v>
      </c>
      <c r="BY33" s="15">
        <f t="shared" si="105"/>
        <v>0</v>
      </c>
      <c r="BZ33" s="15">
        <v>4.3871399999999996</v>
      </c>
      <c r="CA33" s="15">
        <f t="shared" si="6"/>
        <v>3.41106</v>
      </c>
      <c r="CB33" s="15">
        <f t="shared" si="16"/>
        <v>8.8635300000000008</v>
      </c>
      <c r="CC33" s="15">
        <f t="shared" si="26"/>
        <v>5.2336799999999997</v>
      </c>
      <c r="CD33" s="15">
        <f t="shared" si="36"/>
        <v>20.42333</v>
      </c>
      <c r="CE33" s="15">
        <f t="shared" si="46"/>
        <v>2.7458300000000002</v>
      </c>
      <c r="CF33" s="15">
        <f t="shared" si="56"/>
        <v>2.8595000000000002</v>
      </c>
      <c r="CG33" s="15">
        <f t="shared" si="66"/>
        <v>2.1195499999999998</v>
      </c>
      <c r="CH33" s="15">
        <f t="shared" si="76"/>
        <v>8.2171400000000006</v>
      </c>
      <c r="CI33" s="15">
        <f t="shared" si="86"/>
        <v>2.90917</v>
      </c>
      <c r="CJ33" s="15">
        <f t="shared" si="96"/>
        <v>7.17875</v>
      </c>
      <c r="CK33" s="15">
        <f t="shared" si="106"/>
        <v>20.452500000000001</v>
      </c>
      <c r="CL33" s="15">
        <v>0</v>
      </c>
      <c r="CM33" s="15">
        <f t="shared" si="7"/>
        <v>0</v>
      </c>
      <c r="CN33" s="15">
        <f t="shared" si="17"/>
        <v>0</v>
      </c>
      <c r="CO33" s="15">
        <f t="shared" si="27"/>
        <v>0</v>
      </c>
      <c r="CP33" s="15">
        <f t="shared" si="37"/>
        <v>2</v>
      </c>
      <c r="CQ33" s="15">
        <f t="shared" si="47"/>
        <v>0</v>
      </c>
      <c r="CR33" s="15">
        <f t="shared" si="57"/>
        <v>0</v>
      </c>
      <c r="CS33" s="15">
        <f t="shared" si="67"/>
        <v>0</v>
      </c>
      <c r="CT33" s="15">
        <f t="shared" si="77"/>
        <v>0</v>
      </c>
      <c r="CU33" s="15">
        <f t="shared" si="87"/>
        <v>0</v>
      </c>
      <c r="CV33" s="15">
        <f t="shared" si="97"/>
        <v>0</v>
      </c>
      <c r="CW33" s="15">
        <f t="shared" si="107"/>
        <v>2</v>
      </c>
      <c r="CX33" s="15">
        <v>77.159499999999994</v>
      </c>
      <c r="CY33" s="15">
        <f t="shared" si="8"/>
        <v>73.660799999999995</v>
      </c>
      <c r="CZ33" s="15">
        <f t="shared" si="18"/>
        <v>83.563000000000002</v>
      </c>
      <c r="DA33" s="15">
        <f t="shared" si="28"/>
        <v>79.182900000000004</v>
      </c>
      <c r="DB33" s="15">
        <f t="shared" si="38"/>
        <v>87.196799999999996</v>
      </c>
      <c r="DC33" s="15">
        <f t="shared" si="48"/>
        <v>69.989000000000004</v>
      </c>
      <c r="DD33" s="15">
        <f t="shared" si="58"/>
        <v>70.724699999999999</v>
      </c>
      <c r="DE33" s="15">
        <f t="shared" si="68"/>
        <v>64.742099999999994</v>
      </c>
      <c r="DF33" s="15">
        <f t="shared" si="78"/>
        <v>83.061400000000006</v>
      </c>
      <c r="DG33" s="15">
        <f t="shared" si="88"/>
        <v>71.030100000000004</v>
      </c>
      <c r="DH33" s="15">
        <f t="shared" si="98"/>
        <v>82.069699999999997</v>
      </c>
      <c r="DI33" s="15">
        <f t="shared" si="108"/>
        <v>87.200800000000001</v>
      </c>
      <c r="DJ33" s="15" t="s">
        <v>21</v>
      </c>
      <c r="DK33" s="15" t="str">
        <f t="shared" si="9"/>
        <v>HH</v>
      </c>
      <c r="DL33" s="15" t="str">
        <f t="shared" si="19"/>
        <v>HH</v>
      </c>
      <c r="DM33" s="15" t="str">
        <f t="shared" si="29"/>
        <v>HH</v>
      </c>
      <c r="DN33" s="15" t="str">
        <f t="shared" si="39"/>
        <v>LH</v>
      </c>
      <c r="DO33" s="15" t="str">
        <f t="shared" si="49"/>
        <v>LH</v>
      </c>
      <c r="DP33" s="15" t="str">
        <f t="shared" si="59"/>
        <v>LH</v>
      </c>
      <c r="DQ33" s="15" t="str">
        <f t="shared" si="69"/>
        <v>LH</v>
      </c>
      <c r="DR33" s="15" t="str">
        <f t="shared" si="79"/>
        <v>HH</v>
      </c>
      <c r="DS33" s="15" t="str">
        <f t="shared" si="89"/>
        <v>LH</v>
      </c>
      <c r="DT33" s="15" t="str">
        <f t="shared" si="99"/>
        <v>HH</v>
      </c>
      <c r="DU33" s="15" t="str">
        <f t="shared" si="109"/>
        <v>LH</v>
      </c>
      <c r="DV33" s="15">
        <f>IFERROR((G33-$F33)/$F33*100,"")</f>
        <v>1.2542414094189633</v>
      </c>
      <c r="DW33" s="15">
        <f>IFERROR((H33-$F33)/$F33*100,"")</f>
        <v>0.68857278645400788</v>
      </c>
      <c r="DX33" s="15">
        <f>IFERROR((I33-$F33)/$F33*100,"")</f>
        <v>-1.0771798357593747</v>
      </c>
      <c r="DY33" s="15">
        <f>IFERROR((J33-$F33)/$F33*100,"")</f>
        <v>-2.2832322026592382</v>
      </c>
      <c r="DZ33" s="15">
        <f>IFERROR((K33-$F33)/$F33*100,"")</f>
        <v>-0.98831747294892691</v>
      </c>
      <c r="EA33" s="15">
        <f>IFERROR((L33-$F33)/$F33*100,"")</f>
        <v>0.45182753627992961</v>
      </c>
      <c r="EB33" s="15">
        <f>IFERROR((M33-$F33)/$F33*100,"")</f>
        <v>0.99715949909921131</v>
      </c>
      <c r="EC33" s="15">
        <f>IFERROR((N33-$F33)/$F33*100,"")</f>
        <v>1.3629983310675609</v>
      </c>
      <c r="ED33" s="15">
        <f>IFERROR((O33-$F33)/$F33*100,"")</f>
        <v>0.96997026868705183</v>
      </c>
      <c r="EE33" s="15">
        <f>IFERROR((P33-$F33)/$F33*100,"")</f>
        <v>1.734142378726081</v>
      </c>
      <c r="EF33" s="15">
        <f>IFERROR((Q33-$F33)/$F33*100,"")</f>
        <v>-1.9969716060435281</v>
      </c>
      <c r="EG33" s="15" t="str">
        <f>IF(DV33="","",IF(AND(ABS(DV33)&lt;=0.25,$E33="Bottom",DK33="LL"),"EQL",IF(AND(ABS(DV33)&lt;=0.25,$E33="Peak",DK33="HH"),"EQH","")))</f>
        <v/>
      </c>
      <c r="EH33" s="15" t="str">
        <f>IF(DW33="","",IF(AND(ABS(DW33)&lt;=0.25,$E33="Bottom",DL33="LL"),"EQL",IF(AND(ABS(DW33)&lt;=0.25,$E33="Peak",DL33="HH"),"EQH","")))</f>
        <v/>
      </c>
      <c r="EI33" s="15" t="str">
        <f>IF(DX33="","",IF(AND(ABS(DX33)&lt;=0.25,$E33="Bottom",DM33="LL"),"EQL",IF(AND(ABS(DX33)&lt;=0.25,$E33="Peak",DM33="HH"),"EQH","")))</f>
        <v/>
      </c>
      <c r="EJ33" s="15" t="str">
        <f>IF(DY33="","",IF(AND(ABS(DY33)&lt;=0.25,$E33="Bottom",DN33="LL"),"EQL",IF(AND(ABS(DY33)&lt;=0.25,$E33="Peak",DN33="HH"),"EQH","")))</f>
        <v/>
      </c>
      <c r="EK33" s="15" t="str">
        <f>IF(DZ33="","",IF(AND(ABS(DZ33)&lt;=0.25,$E33="Bottom",DO33="LL"),"EQL",IF(AND(ABS(DZ33)&lt;=0.25,$E33="Peak",DO33="HH"),"EQH","")))</f>
        <v/>
      </c>
      <c r="EL33" s="15" t="str">
        <f>IF(EA33="","",IF(AND(ABS(EA33)&lt;=0.25,$E33="Bottom",DP33="LL"),"EQL",IF(AND(ABS(EA33)&lt;=0.25,$E33="Peak",DP33="HH"),"EQH","")))</f>
        <v/>
      </c>
      <c r="EM33" s="15" t="str">
        <f>IF(EB33="","",IF(AND(ABS(EB33)&lt;=0.25,$E33="Bottom",DQ33="LL"),"EQL",IF(AND(ABS(EB33)&lt;=0.25,$E33="Peak",DQ33="HH"),"EQH","")))</f>
        <v/>
      </c>
      <c r="EN33" s="15" t="str">
        <f>IF(EC33="","",IF(AND(ABS(EC33)&lt;=0.25,$E33="Bottom",DR33="LL"),"EQL",IF(AND(ABS(EC33)&lt;=0.25,$E33="Peak",DR33="HH"),"EQH","")))</f>
        <v/>
      </c>
      <c r="EO33" s="15" t="str">
        <f>IF(ED33="","",IF(AND(ABS(ED33)&lt;=0.25,$E33="Bottom",DS33="LL"),"EQL",IF(AND(ABS(ED33)&lt;=0.25,$E33="Peak",DS33="HH"),"EQH","")))</f>
        <v/>
      </c>
      <c r="EP33" s="15" t="str">
        <f>IF(EE33="","",IF(AND(ABS(EE33)&lt;=0.25,$E33="Bottom",DT33="LL"),"EQL",IF(AND(ABS(EE33)&lt;=0.25,$E33="Peak",DT33="HH"),"EQH","")))</f>
        <v/>
      </c>
      <c r="EQ33" s="15" t="str">
        <f>IF(EF33="","",IF(AND(ABS(EF33)&lt;=0.25,$E33="Bottom",DU33="LL"),"EQL",IF(AND(ABS(EF33)&lt;=0.25,$E33="Peak",DU33="HH"),"EQH","")))</f>
        <v/>
      </c>
      <c r="ER33" s="15" t="str">
        <f>IF(OR(EG33="EQL",EG33="EQH"),F33,"")</f>
        <v/>
      </c>
      <c r="ES33" s="15" t="str">
        <f>IF(OR(EH33="EQL",EH33="EQH"),G33,"")</f>
        <v/>
      </c>
      <c r="ET33" s="15" t="str">
        <f>IF(OR(EI33="EQL",EI33="EQH"),H33,"")</f>
        <v/>
      </c>
      <c r="EU33" s="15" t="str">
        <f>IF(OR(EJ33="EQL",EJ33="EQH"),I33,"")</f>
        <v/>
      </c>
      <c r="EV33" s="15" t="str">
        <f>IF(OR(EK33="EQL",EK33="EQH"),J33,"")</f>
        <v/>
      </c>
      <c r="EW33" s="15" t="str">
        <f>IF(OR(EL33="EQL",EL33="EQH"),K33,"")</f>
        <v/>
      </c>
      <c r="EX33" s="15" t="str">
        <f>IF(OR(EM33="EQL",EM33="EQH"),L33,"")</f>
        <v/>
      </c>
      <c r="EY33" s="15" t="str">
        <f>IF(OR(EN33="EQL",EN33="EQH"),M33,"")</f>
        <v/>
      </c>
      <c r="EZ33" s="15" t="str">
        <f>IF(OR(EO33="EQL",EO33="EQH"),N33,"")</f>
        <v/>
      </c>
      <c r="FA33" s="15" t="str">
        <f>IF(OR(EP33="EQL",EP33="EQH"),O33,"")</f>
        <v/>
      </c>
      <c r="FB33" s="15" t="str">
        <f>IF(OR(EQ33="EQL",EQ33="EQH"),P33,"")</f>
        <v/>
      </c>
      <c r="FC33" s="15" t="str">
        <f>IF(AND(EG33="EQL",OR(AQ33=4,AQ33=5)),"IEQL",IF(AND(EG33="EQH",OR(AQ33=1,AQ33=2)),"IEQH",""))</f>
        <v/>
      </c>
      <c r="FD33" s="15" t="str">
        <f>IF(AND(EH33="EQL",OR(AR33=4,AR33=5)),"IEQL",IF(AND(EH33="EQH",OR(AR33=1,AR33=2)),"IEQH",""))</f>
        <v/>
      </c>
      <c r="FE33" s="15" t="str">
        <f>IF(AND(EI33="EQL",OR(AS33=4,AS33=5)),"IEQL",IF(AND(EI33="EQH",OR(AS33=1,AS33=2)),"IEQH",""))</f>
        <v/>
      </c>
      <c r="FF33" s="15" t="str">
        <f>IF(AND(EJ33="EQL",OR(AT33=4,AT33=5)),"IEQL",IF(AND(EJ33="EQH",OR(AT33=1,AT33=2)),"IEQH",""))</f>
        <v/>
      </c>
      <c r="FG33" s="15" t="str">
        <f>IF(AND(EK33="EQL",OR(AU33=4,AU33=5)),"IEQL",IF(AND(EK33="EQH",OR(AU33=1,AU33=2)),"IEQH",""))</f>
        <v/>
      </c>
      <c r="FH33" s="15" t="str">
        <f>IF(AND(EL33="EQL",OR(AV33=4,AV33=5)),"IEQL",IF(AND(EL33="EQH",OR(AV33=1,AV33=2)),"IEQH",""))</f>
        <v/>
      </c>
      <c r="FI33" s="15" t="str">
        <f>IF(AND(EM33="EQL",OR(AW33=4,AW33=5)),"IEQL",IF(AND(EM33="EQH",OR(AW33=1,AW33=2)),"IEQH",""))</f>
        <v/>
      </c>
      <c r="FJ33" s="15" t="str">
        <f>IF(AND(EN33="EQL",OR(AX33=4,AX33=5)),"IEQL",IF(AND(EN33="EQH",OR(AX33=1,AX33=2)),"IEQH",""))</f>
        <v/>
      </c>
      <c r="FK33" s="15" t="str">
        <f>IF(AND(EO33="EQL",OR(AY33=4,AY33=5)),"IEQL",IF(AND(EO33="EQH",OR(AY33=1,AY33=2)),"IEQH",""))</f>
        <v/>
      </c>
      <c r="FL33" s="15" t="str">
        <f>IF(AND(EP33="EQL",OR(AZ33=4,AZ33=5)),"IEQL",IF(AND(EP33="EQH",OR(AZ33=1,AZ33=2)),"IEQH",""))</f>
        <v/>
      </c>
      <c r="FM33" s="15" t="str">
        <f>IF(AND(EQ33="EQL",OR(BA33=4,BA33=5)),"IEQL",IF(AND(EQ33="EQH",OR(BA33=1,BA33=2)),"IEQH",""))</f>
        <v/>
      </c>
      <c r="FN33" s="15" t="str">
        <f>IF(OR(AND(DJ33="LL",AP33=5),AND(DJ33="HH",AP33=2)),F33,"")</f>
        <v/>
      </c>
      <c r="FO33" s="15" t="str">
        <f>IF(FN33&lt;&gt;"",F32,"")</f>
        <v/>
      </c>
    </row>
    <row r="34" spans="1:171" s="15" customFormat="1" x14ac:dyDescent="0.55000000000000004">
      <c r="A34" s="15">
        <v>1774911606</v>
      </c>
      <c r="B34" s="15" t="s">
        <v>16</v>
      </c>
      <c r="C34" s="15" t="s">
        <v>17</v>
      </c>
      <c r="D34" s="15">
        <v>4499.13</v>
      </c>
      <c r="E34" s="15" t="s">
        <v>18</v>
      </c>
      <c r="F34" s="15">
        <v>4492.83</v>
      </c>
      <c r="G34" s="15">
        <f t="shared" si="0"/>
        <v>4493.1400000000003</v>
      </c>
      <c r="H34" s="15">
        <f t="shared" si="10"/>
        <v>4420.2700000000004</v>
      </c>
      <c r="I34" s="15">
        <f t="shared" si="20"/>
        <v>4404.32</v>
      </c>
      <c r="J34" s="15">
        <f t="shared" si="30"/>
        <v>4375.68</v>
      </c>
      <c r="K34" s="15">
        <f t="shared" si="40"/>
        <v>4359.29</v>
      </c>
      <c r="L34" s="15">
        <f t="shared" si="50"/>
        <v>4413.24</v>
      </c>
      <c r="M34" s="15">
        <f t="shared" si="60"/>
        <v>4487.1000000000004</v>
      </c>
      <c r="N34" s="15">
        <f t="shared" si="70"/>
        <v>4522.33</v>
      </c>
      <c r="O34" s="15">
        <f t="shared" si="80"/>
        <v>4527.99</v>
      </c>
      <c r="P34" s="15">
        <f t="shared" si="90"/>
        <v>4532.82</v>
      </c>
      <c r="Q34" s="15">
        <f t="shared" si="100"/>
        <v>4372.58</v>
      </c>
      <c r="R34" s="15">
        <v>-31.02</v>
      </c>
      <c r="S34" s="15">
        <f t="shared" si="1"/>
        <v>-87.45</v>
      </c>
      <c r="T34" s="15">
        <f t="shared" si="11"/>
        <v>-134.72999999999999</v>
      </c>
      <c r="U34" s="15">
        <f t="shared" si="21"/>
        <v>-70.8</v>
      </c>
      <c r="V34" s="15">
        <f t="shared" si="31"/>
        <v>-44.88</v>
      </c>
      <c r="W34" s="15">
        <f t="shared" si="41"/>
        <v>-119.85</v>
      </c>
      <c r="X34" s="15">
        <f t="shared" si="51"/>
        <v>-131.05000000000001</v>
      </c>
      <c r="Y34" s="15">
        <f t="shared" si="61"/>
        <v>-81.86</v>
      </c>
      <c r="Z34" s="15">
        <f t="shared" si="71"/>
        <v>-63.18</v>
      </c>
      <c r="AA34" s="15">
        <f t="shared" si="81"/>
        <v>-39.74</v>
      </c>
      <c r="AB34" s="15">
        <f t="shared" si="91"/>
        <v>-69.48</v>
      </c>
      <c r="AC34" s="15">
        <f t="shared" si="101"/>
        <v>-60.93</v>
      </c>
      <c r="AD34" s="15">
        <v>-0.69</v>
      </c>
      <c r="AE34" s="15">
        <f t="shared" si="2"/>
        <v>-1.91</v>
      </c>
      <c r="AF34" s="15">
        <f t="shared" si="12"/>
        <v>-2.96</v>
      </c>
      <c r="AG34" s="15">
        <f t="shared" si="22"/>
        <v>-1.58</v>
      </c>
      <c r="AH34" s="15">
        <f t="shared" si="32"/>
        <v>-1.02</v>
      </c>
      <c r="AI34" s="15">
        <f t="shared" si="42"/>
        <v>-2.68</v>
      </c>
      <c r="AJ34" s="15">
        <f t="shared" si="52"/>
        <v>-2.88</v>
      </c>
      <c r="AK34" s="15">
        <f t="shared" si="62"/>
        <v>-1.79</v>
      </c>
      <c r="AL34" s="15">
        <f t="shared" si="72"/>
        <v>-1.38</v>
      </c>
      <c r="AM34" s="15">
        <f t="shared" si="82"/>
        <v>-0.87</v>
      </c>
      <c r="AN34" s="15">
        <f t="shared" si="92"/>
        <v>-1.51</v>
      </c>
      <c r="AO34" s="15">
        <f t="shared" si="102"/>
        <v>-1.37</v>
      </c>
      <c r="AP34" s="15">
        <v>3</v>
      </c>
      <c r="AQ34" s="15">
        <f t="shared" si="3"/>
        <v>3</v>
      </c>
      <c r="AR34" s="15">
        <f t="shared" si="13"/>
        <v>3</v>
      </c>
      <c r="AS34" s="15">
        <f t="shared" si="23"/>
        <v>3</v>
      </c>
      <c r="AT34" s="15">
        <f t="shared" si="33"/>
        <v>3</v>
      </c>
      <c r="AU34" s="15">
        <f t="shared" si="43"/>
        <v>3</v>
      </c>
      <c r="AV34" s="15">
        <f t="shared" si="53"/>
        <v>3</v>
      </c>
      <c r="AW34" s="15">
        <f t="shared" si="63"/>
        <v>3</v>
      </c>
      <c r="AX34" s="15">
        <f t="shared" si="73"/>
        <v>3</v>
      </c>
      <c r="AY34" s="15">
        <f t="shared" si="83"/>
        <v>3</v>
      </c>
      <c r="AZ34" s="15">
        <f t="shared" si="93"/>
        <v>3</v>
      </c>
      <c r="BA34" s="15">
        <f t="shared" si="103"/>
        <v>3</v>
      </c>
      <c r="BB34" s="15">
        <v>4</v>
      </c>
      <c r="BC34" s="15">
        <f t="shared" si="4"/>
        <v>30</v>
      </c>
      <c r="BD34" s="15">
        <f t="shared" si="14"/>
        <v>31</v>
      </c>
      <c r="BE34" s="15">
        <f t="shared" si="24"/>
        <v>22</v>
      </c>
      <c r="BF34" s="15">
        <f t="shared" si="34"/>
        <v>13</v>
      </c>
      <c r="BG34" s="15">
        <f t="shared" si="44"/>
        <v>21</v>
      </c>
      <c r="BH34" s="15">
        <f t="shared" si="54"/>
        <v>30</v>
      </c>
      <c r="BI34" s="15">
        <f t="shared" si="64"/>
        <v>4</v>
      </c>
      <c r="BJ34" s="15">
        <f t="shared" si="74"/>
        <v>4</v>
      </c>
      <c r="BK34" s="15">
        <f t="shared" si="84"/>
        <v>3</v>
      </c>
      <c r="BL34" s="15">
        <f t="shared" si="94"/>
        <v>13</v>
      </c>
      <c r="BM34" s="15">
        <f t="shared" si="104"/>
        <v>12</v>
      </c>
      <c r="BN34" s="15">
        <v>3</v>
      </c>
      <c r="BO34" s="15">
        <f t="shared" si="5"/>
        <v>3</v>
      </c>
      <c r="BP34" s="15">
        <f t="shared" si="15"/>
        <v>3</v>
      </c>
      <c r="BQ34" s="15">
        <f t="shared" si="25"/>
        <v>3</v>
      </c>
      <c r="BR34" s="15">
        <f t="shared" si="35"/>
        <v>3</v>
      </c>
      <c r="BS34" s="15">
        <f t="shared" si="45"/>
        <v>3</v>
      </c>
      <c r="BT34" s="15">
        <f t="shared" si="55"/>
        <v>3</v>
      </c>
      <c r="BU34" s="15">
        <f t="shared" si="65"/>
        <v>3</v>
      </c>
      <c r="BV34" s="15">
        <f t="shared" si="75"/>
        <v>3</v>
      </c>
      <c r="BW34" s="15">
        <f t="shared" si="85"/>
        <v>3</v>
      </c>
      <c r="BX34" s="15">
        <f t="shared" si="95"/>
        <v>3</v>
      </c>
      <c r="BY34" s="15">
        <f t="shared" si="105"/>
        <v>3</v>
      </c>
      <c r="BZ34" s="15">
        <v>-7.7549999999999999</v>
      </c>
      <c r="CA34" s="15">
        <f t="shared" si="6"/>
        <v>-2.915</v>
      </c>
      <c r="CB34" s="15">
        <f t="shared" si="16"/>
        <v>-4.3461299999999996</v>
      </c>
      <c r="CC34" s="15">
        <f t="shared" si="26"/>
        <v>-3.2181799999999998</v>
      </c>
      <c r="CD34" s="15">
        <f t="shared" si="36"/>
        <v>-3.4523100000000002</v>
      </c>
      <c r="CE34" s="15">
        <f t="shared" si="46"/>
        <v>-5.7071399999999999</v>
      </c>
      <c r="CF34" s="15">
        <f t="shared" si="56"/>
        <v>-4.3683300000000003</v>
      </c>
      <c r="CG34" s="15">
        <f t="shared" si="66"/>
        <v>-20.465</v>
      </c>
      <c r="CH34" s="15">
        <f t="shared" si="76"/>
        <v>-15.795</v>
      </c>
      <c r="CI34" s="15">
        <f t="shared" si="86"/>
        <v>-13.24667</v>
      </c>
      <c r="CJ34" s="15">
        <f t="shared" si="96"/>
        <v>-5.3446199999999999</v>
      </c>
      <c r="CK34" s="15">
        <f t="shared" si="106"/>
        <v>-5.0774999999999997</v>
      </c>
      <c r="CL34" s="15">
        <v>3</v>
      </c>
      <c r="CM34" s="15">
        <f t="shared" si="7"/>
        <v>3</v>
      </c>
      <c r="CN34" s="15">
        <f t="shared" si="17"/>
        <v>3</v>
      </c>
      <c r="CO34" s="15">
        <f t="shared" si="27"/>
        <v>3</v>
      </c>
      <c r="CP34" s="15">
        <f t="shared" si="37"/>
        <v>3</v>
      </c>
      <c r="CQ34" s="15">
        <f t="shared" si="47"/>
        <v>3</v>
      </c>
      <c r="CR34" s="15">
        <f t="shared" si="57"/>
        <v>3</v>
      </c>
      <c r="CS34" s="15">
        <f t="shared" si="67"/>
        <v>5</v>
      </c>
      <c r="CT34" s="15">
        <f t="shared" si="77"/>
        <v>4</v>
      </c>
      <c r="CU34" s="15">
        <f t="shared" si="87"/>
        <v>3</v>
      </c>
      <c r="CV34" s="15">
        <f t="shared" si="97"/>
        <v>3</v>
      </c>
      <c r="CW34" s="15">
        <f t="shared" si="107"/>
        <v>3</v>
      </c>
      <c r="CX34" s="15">
        <v>-82.652299999999997</v>
      </c>
      <c r="CY34" s="15">
        <f t="shared" si="8"/>
        <v>-71.065299999999993</v>
      </c>
      <c r="CZ34" s="15">
        <f t="shared" si="18"/>
        <v>-77.042299999999997</v>
      </c>
      <c r="DA34" s="15">
        <f t="shared" si="28"/>
        <v>-72.738200000000006</v>
      </c>
      <c r="DB34" s="15">
        <f t="shared" si="38"/>
        <v>-73.845699999999994</v>
      </c>
      <c r="DC34" s="15">
        <f t="shared" si="48"/>
        <v>-80.061599999999999</v>
      </c>
      <c r="DD34" s="15">
        <f t="shared" si="58"/>
        <v>-77.105999999999995</v>
      </c>
      <c r="DE34" s="15">
        <f t="shared" si="68"/>
        <v>-87.202500000000001</v>
      </c>
      <c r="DF34" s="15">
        <f t="shared" si="78"/>
        <v>-86.377399999999994</v>
      </c>
      <c r="DG34" s="15">
        <f t="shared" si="88"/>
        <v>-85.682900000000004</v>
      </c>
      <c r="DH34" s="15">
        <f t="shared" si="98"/>
        <v>-79.402299999999997</v>
      </c>
      <c r="DI34" s="15">
        <f t="shared" si="108"/>
        <v>-78.8583</v>
      </c>
      <c r="DJ34" s="15" t="s">
        <v>19</v>
      </c>
      <c r="DK34" s="15" t="str">
        <f t="shared" si="9"/>
        <v>HL</v>
      </c>
      <c r="DL34" s="15" t="str">
        <f t="shared" si="19"/>
        <v>HL</v>
      </c>
      <c r="DM34" s="15" t="str">
        <f t="shared" si="29"/>
        <v>HL</v>
      </c>
      <c r="DN34" s="15" t="str">
        <f t="shared" si="39"/>
        <v>HL</v>
      </c>
      <c r="DO34" s="15" t="str">
        <f t="shared" si="49"/>
        <v>LL</v>
      </c>
      <c r="DP34" s="15" t="str">
        <f t="shared" si="59"/>
        <v>LL</v>
      </c>
      <c r="DQ34" s="15" t="str">
        <f t="shared" si="69"/>
        <v>LL</v>
      </c>
      <c r="DR34" s="15" t="str">
        <f t="shared" si="79"/>
        <v>LL</v>
      </c>
      <c r="DS34" s="15" t="str">
        <f t="shared" si="89"/>
        <v>LL</v>
      </c>
      <c r="DT34" s="15" t="str">
        <f t="shared" si="99"/>
        <v>HL</v>
      </c>
      <c r="DU34" s="15" t="str">
        <f t="shared" si="109"/>
        <v>HL</v>
      </c>
      <c r="DV34" s="15">
        <f>IFERROR((G34-$F34)/$F34*100,"")</f>
        <v>6.8998827020029735E-3</v>
      </c>
      <c r="DW34" s="15">
        <f>IFERROR((H34-$F34)/$F34*100,"")</f>
        <v>-1.6150177059893096</v>
      </c>
      <c r="DX34" s="15">
        <f>IFERROR((I34-$F34)/$F34*100,"")</f>
        <v>-1.9700277998499882</v>
      </c>
      <c r="DY34" s="15">
        <f>IFERROR((J34-$F34)/$F34*100,"")</f>
        <v>-2.6074879307696848</v>
      </c>
      <c r="DZ34" s="15">
        <f>IFERROR((K34-$F34)/$F34*100,"")</f>
        <v>-2.9722914065299593</v>
      </c>
      <c r="EA34" s="15">
        <f>IFERROR((L34-$F34)/$F34*100,"")</f>
        <v>-1.7714892395216411</v>
      </c>
      <c r="EB34" s="15">
        <f>IFERROR((M34-$F34)/$F34*100,"")</f>
        <v>-0.1275365415562032</v>
      </c>
      <c r="EC34" s="15">
        <f>IFERROR((N34-$F34)/$F34*100,"")</f>
        <v>0.65660174099620949</v>
      </c>
      <c r="ED34" s="15">
        <f>IFERROR((O34-$F34)/$F34*100,"")</f>
        <v>0.78258024452293673</v>
      </c>
      <c r="EE34" s="15">
        <f>IFERROR((P34-$F34)/$F34*100,"")</f>
        <v>0.89008486855722957</v>
      </c>
      <c r="EF34" s="15">
        <f>IFERROR((Q34-$F34)/$F34*100,"")</f>
        <v>-2.6764867577896334</v>
      </c>
      <c r="EG34" s="15" t="str">
        <f>IF(DV34="","",IF(AND(ABS(DV34)&lt;=0.25,$E34="Bottom",DK34="LL"),"EQL",IF(AND(ABS(DV34)&lt;=0.25,$E34="Peak",DK34="HH"),"EQH","")))</f>
        <v/>
      </c>
      <c r="EH34" s="15" t="str">
        <f>IF(DW34="","",IF(AND(ABS(DW34)&lt;=0.25,$E34="Bottom",DL34="LL"),"EQL",IF(AND(ABS(DW34)&lt;=0.25,$E34="Peak",DL34="HH"),"EQH","")))</f>
        <v/>
      </c>
      <c r="EI34" s="15" t="str">
        <f>IF(DX34="","",IF(AND(ABS(DX34)&lt;=0.25,$E34="Bottom",DM34="LL"),"EQL",IF(AND(ABS(DX34)&lt;=0.25,$E34="Peak",DM34="HH"),"EQH","")))</f>
        <v/>
      </c>
      <c r="EJ34" s="15" t="str">
        <f>IF(DY34="","",IF(AND(ABS(DY34)&lt;=0.25,$E34="Bottom",DN34="LL"),"EQL",IF(AND(ABS(DY34)&lt;=0.25,$E34="Peak",DN34="HH"),"EQH","")))</f>
        <v/>
      </c>
      <c r="EK34" s="15" t="str">
        <f>IF(DZ34="","",IF(AND(ABS(DZ34)&lt;=0.25,$E34="Bottom",DO34="LL"),"EQL",IF(AND(ABS(DZ34)&lt;=0.25,$E34="Peak",DO34="HH"),"EQH","")))</f>
        <v/>
      </c>
      <c r="EL34" s="15" t="str">
        <f>IF(EA34="","",IF(AND(ABS(EA34)&lt;=0.25,$E34="Bottom",DP34="LL"),"EQL",IF(AND(ABS(EA34)&lt;=0.25,$E34="Peak",DP34="HH"),"EQH","")))</f>
        <v/>
      </c>
      <c r="EM34" s="15" t="str">
        <f>IF(EB34="","",IF(AND(ABS(EB34)&lt;=0.25,$E34="Bottom",DQ34="LL"),"EQL",IF(AND(ABS(EB34)&lt;=0.25,$E34="Peak",DQ34="HH"),"EQH","")))</f>
        <v>EQL</v>
      </c>
      <c r="EN34" s="15" t="str">
        <f>IF(EC34="","",IF(AND(ABS(EC34)&lt;=0.25,$E34="Bottom",DR34="LL"),"EQL",IF(AND(ABS(EC34)&lt;=0.25,$E34="Peak",DR34="HH"),"EQH","")))</f>
        <v/>
      </c>
      <c r="EO34" s="15" t="str">
        <f>IF(ED34="","",IF(AND(ABS(ED34)&lt;=0.25,$E34="Bottom",DS34="LL"),"EQL",IF(AND(ABS(ED34)&lt;=0.25,$E34="Peak",DS34="HH"),"EQH","")))</f>
        <v/>
      </c>
      <c r="EP34" s="15" t="str">
        <f>IF(EE34="","",IF(AND(ABS(EE34)&lt;=0.25,$E34="Bottom",DT34="LL"),"EQL",IF(AND(ABS(EE34)&lt;=0.25,$E34="Peak",DT34="HH"),"EQH","")))</f>
        <v/>
      </c>
      <c r="EQ34" s="15" t="str">
        <f>IF(EF34="","",IF(AND(ABS(EF34)&lt;=0.25,$E34="Bottom",DU34="LL"),"EQL",IF(AND(ABS(EF34)&lt;=0.25,$E34="Peak",DU34="HH"),"EQH","")))</f>
        <v/>
      </c>
      <c r="ER34" s="15" t="str">
        <f>IF(OR(EG34="EQL",EG34="EQH"),F34,"")</f>
        <v/>
      </c>
      <c r="ES34" s="15" t="str">
        <f>IF(OR(EH34="EQL",EH34="EQH"),G34,"")</f>
        <v/>
      </c>
      <c r="ET34" s="15" t="str">
        <f>IF(OR(EI34="EQL",EI34="EQH"),H34,"")</f>
        <v/>
      </c>
      <c r="EU34" s="15" t="str">
        <f>IF(OR(EJ34="EQL",EJ34="EQH"),I34,"")</f>
        <v/>
      </c>
      <c r="EV34" s="15" t="str">
        <f>IF(OR(EK34="EQL",EK34="EQH"),J34,"")</f>
        <v/>
      </c>
      <c r="EW34" s="15" t="str">
        <f>IF(OR(EL34="EQL",EL34="EQH"),K34,"")</f>
        <v/>
      </c>
      <c r="EX34" s="15">
        <f>IF(OR(EM34="EQL",EM34="EQH"),L34,"")</f>
        <v>4413.24</v>
      </c>
      <c r="EY34" s="15" t="str">
        <f>IF(OR(EN34="EQL",EN34="EQH"),M34,"")</f>
        <v/>
      </c>
      <c r="EZ34" s="15" t="str">
        <f>IF(OR(EO34="EQL",EO34="EQH"),N34,"")</f>
        <v/>
      </c>
      <c r="FA34" s="15" t="str">
        <f>IF(OR(EP34="EQL",EP34="EQH"),O34,"")</f>
        <v/>
      </c>
      <c r="FB34" s="15" t="str">
        <f>IF(OR(EQ34="EQL",EQ34="EQH"),P34,"")</f>
        <v/>
      </c>
      <c r="FC34" s="15" t="str">
        <f>IF(AND(EG34="EQL",OR(AQ34=4,AQ34=5)),"IEQL",IF(AND(EG34="EQH",OR(AQ34=1,AQ34=2)),"IEQH",""))</f>
        <v/>
      </c>
      <c r="FD34" s="15" t="str">
        <f>IF(AND(EH34="EQL",OR(AR34=4,AR34=5)),"IEQL",IF(AND(EH34="EQH",OR(AR34=1,AR34=2)),"IEQH",""))</f>
        <v/>
      </c>
      <c r="FE34" s="15" t="str">
        <f>IF(AND(EI34="EQL",OR(AS34=4,AS34=5)),"IEQL",IF(AND(EI34="EQH",OR(AS34=1,AS34=2)),"IEQH",""))</f>
        <v/>
      </c>
      <c r="FF34" s="15" t="str">
        <f>IF(AND(EJ34="EQL",OR(AT34=4,AT34=5)),"IEQL",IF(AND(EJ34="EQH",OR(AT34=1,AT34=2)),"IEQH",""))</f>
        <v/>
      </c>
      <c r="FG34" s="15" t="str">
        <f>IF(AND(EK34="EQL",OR(AU34=4,AU34=5)),"IEQL",IF(AND(EK34="EQH",OR(AU34=1,AU34=2)),"IEQH",""))</f>
        <v/>
      </c>
      <c r="FH34" s="15" t="str">
        <f>IF(AND(EL34="EQL",OR(AV34=4,AV34=5)),"IEQL",IF(AND(EL34="EQH",OR(AV34=1,AV34=2)),"IEQH",""))</f>
        <v/>
      </c>
      <c r="FI34" s="15" t="str">
        <f>IF(AND(EM34="EQL",OR(AW34=4,AW34=5)),"IEQL",IF(AND(EM34="EQH",OR(AW34=1,AW34=2)),"IEQH",""))</f>
        <v/>
      </c>
      <c r="FJ34" s="15" t="str">
        <f>IF(AND(EN34="EQL",OR(AX34=4,AX34=5)),"IEQL",IF(AND(EN34="EQH",OR(AX34=1,AX34=2)),"IEQH",""))</f>
        <v/>
      </c>
      <c r="FK34" s="15" t="str">
        <f>IF(AND(EO34="EQL",OR(AY34=4,AY34=5)),"IEQL",IF(AND(EO34="EQH",OR(AY34=1,AY34=2)),"IEQH",""))</f>
        <v/>
      </c>
      <c r="FL34" s="15" t="str">
        <f>IF(AND(EP34="EQL",OR(AZ34=4,AZ34=5)),"IEQL",IF(AND(EP34="EQH",OR(AZ34=1,AZ34=2)),"IEQH",""))</f>
        <v/>
      </c>
      <c r="FM34" s="15" t="str">
        <f>IF(AND(EQ34="EQL",OR(BA34=4,BA34=5)),"IEQL",IF(AND(EQ34="EQH",OR(BA34=1,BA34=2)),"IEQH",""))</f>
        <v/>
      </c>
      <c r="FN34" s="15" t="str">
        <f>IF(OR(AND(DJ34="LL",AP34=5),AND(DJ34="HH",AP34=2)),F34,"")</f>
        <v/>
      </c>
      <c r="FO34" s="15" t="str">
        <f>IF(FN34&lt;&gt;"",F33,"")</f>
        <v/>
      </c>
    </row>
    <row r="35" spans="1:171" s="15" customFormat="1" x14ac:dyDescent="0.55000000000000004">
      <c r="A35" s="15">
        <v>1774915206</v>
      </c>
      <c r="B35" s="15" t="s">
        <v>16</v>
      </c>
      <c r="C35" s="15" t="s">
        <v>17</v>
      </c>
      <c r="D35" s="15">
        <v>4516.16</v>
      </c>
      <c r="E35" s="15" t="s">
        <v>20</v>
      </c>
      <c r="F35" s="15">
        <v>4528.66</v>
      </c>
      <c r="G35" s="15">
        <f t="shared" si="0"/>
        <v>4523.8500000000004</v>
      </c>
      <c r="H35" s="15">
        <f t="shared" si="10"/>
        <v>4580.59</v>
      </c>
      <c r="I35" s="15">
        <f t="shared" si="20"/>
        <v>4555</v>
      </c>
      <c r="J35" s="15">
        <f t="shared" si="30"/>
        <v>4475.12</v>
      </c>
      <c r="K35" s="15">
        <f t="shared" si="40"/>
        <v>4420.5600000000004</v>
      </c>
      <c r="L35" s="15">
        <f t="shared" si="50"/>
        <v>4479.1400000000003</v>
      </c>
      <c r="M35" s="15">
        <f t="shared" si="60"/>
        <v>4544.29</v>
      </c>
      <c r="N35" s="15">
        <f t="shared" si="70"/>
        <v>4568.96</v>
      </c>
      <c r="O35" s="15">
        <f t="shared" si="80"/>
        <v>4585.51</v>
      </c>
      <c r="P35" s="15">
        <f t="shared" si="90"/>
        <v>4567.7299999999996</v>
      </c>
      <c r="Q35" s="15">
        <f t="shared" si="100"/>
        <v>4602.3</v>
      </c>
      <c r="R35" s="15">
        <v>35.83</v>
      </c>
      <c r="S35" s="15">
        <f t="shared" si="1"/>
        <v>30.71</v>
      </c>
      <c r="T35" s="15">
        <f t="shared" si="11"/>
        <v>160.32</v>
      </c>
      <c r="U35" s="15">
        <f t="shared" si="21"/>
        <v>150.68</v>
      </c>
      <c r="V35" s="15">
        <f t="shared" si="31"/>
        <v>99.44</v>
      </c>
      <c r="W35" s="15">
        <f t="shared" si="41"/>
        <v>61.27</v>
      </c>
      <c r="X35" s="15">
        <f t="shared" si="51"/>
        <v>65.900000000000006</v>
      </c>
      <c r="Y35" s="15">
        <f t="shared" si="61"/>
        <v>57.19</v>
      </c>
      <c r="Z35" s="15">
        <f t="shared" si="71"/>
        <v>46.63</v>
      </c>
      <c r="AA35" s="15">
        <f t="shared" si="81"/>
        <v>57.52</v>
      </c>
      <c r="AB35" s="15">
        <f t="shared" si="91"/>
        <v>34.909999999999997</v>
      </c>
      <c r="AC35" s="15">
        <f t="shared" si="101"/>
        <v>229.72</v>
      </c>
      <c r="AD35" s="15">
        <v>0.8</v>
      </c>
      <c r="AE35" s="15">
        <f t="shared" si="2"/>
        <v>0.68</v>
      </c>
      <c r="AF35" s="15">
        <f t="shared" si="12"/>
        <v>3.63</v>
      </c>
      <c r="AG35" s="15">
        <f t="shared" si="22"/>
        <v>3.42</v>
      </c>
      <c r="AH35" s="15">
        <f t="shared" si="32"/>
        <v>2.27</v>
      </c>
      <c r="AI35" s="15">
        <f t="shared" si="42"/>
        <v>1.41</v>
      </c>
      <c r="AJ35" s="15">
        <f t="shared" si="52"/>
        <v>1.49</v>
      </c>
      <c r="AK35" s="15">
        <f t="shared" si="62"/>
        <v>1.27</v>
      </c>
      <c r="AL35" s="15">
        <f t="shared" si="72"/>
        <v>1.03</v>
      </c>
      <c r="AM35" s="15">
        <f t="shared" si="82"/>
        <v>1.27</v>
      </c>
      <c r="AN35" s="15">
        <f t="shared" si="92"/>
        <v>0.77</v>
      </c>
      <c r="AO35" s="15">
        <f t="shared" si="102"/>
        <v>5.25</v>
      </c>
      <c r="AP35" s="15">
        <v>0</v>
      </c>
      <c r="AQ35" s="15">
        <f t="shared" si="3"/>
        <v>0</v>
      </c>
      <c r="AR35" s="15">
        <f t="shared" si="13"/>
        <v>0</v>
      </c>
      <c r="AS35" s="15">
        <f t="shared" si="23"/>
        <v>0</v>
      </c>
      <c r="AT35" s="15">
        <f t="shared" si="33"/>
        <v>0</v>
      </c>
      <c r="AU35" s="15">
        <f t="shared" si="43"/>
        <v>0</v>
      </c>
      <c r="AV35" s="15">
        <f t="shared" si="53"/>
        <v>0</v>
      </c>
      <c r="AW35" s="15">
        <f t="shared" si="63"/>
        <v>0</v>
      </c>
      <c r="AX35" s="15">
        <f t="shared" si="73"/>
        <v>0</v>
      </c>
      <c r="AY35" s="15">
        <f t="shared" si="83"/>
        <v>0</v>
      </c>
      <c r="AZ35" s="15">
        <f t="shared" si="93"/>
        <v>0</v>
      </c>
      <c r="BA35" s="15">
        <f t="shared" si="103"/>
        <v>0</v>
      </c>
      <c r="BB35" s="15">
        <v>4</v>
      </c>
      <c r="BC35" s="15">
        <f t="shared" si="4"/>
        <v>7</v>
      </c>
      <c r="BD35" s="15">
        <f t="shared" si="14"/>
        <v>47</v>
      </c>
      <c r="BE35" s="15">
        <f t="shared" si="24"/>
        <v>17</v>
      </c>
      <c r="BF35" s="15">
        <f t="shared" si="34"/>
        <v>19</v>
      </c>
      <c r="BG35" s="15">
        <f t="shared" si="44"/>
        <v>3</v>
      </c>
      <c r="BH35" s="15">
        <f t="shared" si="54"/>
        <v>24</v>
      </c>
      <c r="BI35" s="15">
        <f t="shared" si="64"/>
        <v>20</v>
      </c>
      <c r="BJ35" s="15">
        <f t="shared" si="74"/>
        <v>22</v>
      </c>
      <c r="BK35" s="15">
        <f t="shared" si="84"/>
        <v>7</v>
      </c>
      <c r="BL35" s="15">
        <f t="shared" si="94"/>
        <v>12</v>
      </c>
      <c r="BM35" s="15">
        <f t="shared" si="104"/>
        <v>32</v>
      </c>
      <c r="BN35" s="15">
        <v>0</v>
      </c>
      <c r="BO35" s="15">
        <f t="shared" si="5"/>
        <v>0</v>
      </c>
      <c r="BP35" s="15">
        <f t="shared" si="15"/>
        <v>2</v>
      </c>
      <c r="BQ35" s="15">
        <f t="shared" si="25"/>
        <v>0</v>
      </c>
      <c r="BR35" s="15">
        <f t="shared" si="35"/>
        <v>0</v>
      </c>
      <c r="BS35" s="15">
        <f t="shared" si="45"/>
        <v>0</v>
      </c>
      <c r="BT35" s="15">
        <f t="shared" si="55"/>
        <v>0</v>
      </c>
      <c r="BU35" s="15">
        <f t="shared" si="65"/>
        <v>0</v>
      </c>
      <c r="BV35" s="15">
        <f t="shared" si="75"/>
        <v>0</v>
      </c>
      <c r="BW35" s="15">
        <f t="shared" si="85"/>
        <v>0</v>
      </c>
      <c r="BX35" s="15">
        <f t="shared" si="95"/>
        <v>0</v>
      </c>
      <c r="BY35" s="15">
        <f t="shared" si="105"/>
        <v>0</v>
      </c>
      <c r="BZ35" s="15">
        <v>8.9574999999999996</v>
      </c>
      <c r="CA35" s="15">
        <f t="shared" si="6"/>
        <v>4.3871399999999996</v>
      </c>
      <c r="CB35" s="15">
        <f t="shared" si="16"/>
        <v>3.41106</v>
      </c>
      <c r="CC35" s="15">
        <f t="shared" si="26"/>
        <v>8.8635300000000008</v>
      </c>
      <c r="CD35" s="15">
        <f t="shared" si="36"/>
        <v>5.2336799999999997</v>
      </c>
      <c r="CE35" s="15">
        <f t="shared" si="46"/>
        <v>20.42333</v>
      </c>
      <c r="CF35" s="15">
        <f t="shared" si="56"/>
        <v>2.7458300000000002</v>
      </c>
      <c r="CG35" s="15">
        <f t="shared" si="66"/>
        <v>2.8595000000000002</v>
      </c>
      <c r="CH35" s="15">
        <f t="shared" si="76"/>
        <v>2.1195499999999998</v>
      </c>
      <c r="CI35" s="15">
        <f t="shared" si="86"/>
        <v>8.2171400000000006</v>
      </c>
      <c r="CJ35" s="15">
        <f t="shared" si="96"/>
        <v>2.90917</v>
      </c>
      <c r="CK35" s="15">
        <f t="shared" si="106"/>
        <v>7.17875</v>
      </c>
      <c r="CL35" s="15">
        <v>0</v>
      </c>
      <c r="CM35" s="15">
        <f t="shared" si="7"/>
        <v>0</v>
      </c>
      <c r="CN35" s="15">
        <f t="shared" si="17"/>
        <v>0</v>
      </c>
      <c r="CO35" s="15">
        <f t="shared" si="27"/>
        <v>0</v>
      </c>
      <c r="CP35" s="15">
        <f t="shared" si="37"/>
        <v>0</v>
      </c>
      <c r="CQ35" s="15">
        <f t="shared" si="47"/>
        <v>2</v>
      </c>
      <c r="CR35" s="15">
        <f t="shared" si="57"/>
        <v>0</v>
      </c>
      <c r="CS35" s="15">
        <f t="shared" si="67"/>
        <v>0</v>
      </c>
      <c r="CT35" s="15">
        <f t="shared" si="77"/>
        <v>0</v>
      </c>
      <c r="CU35" s="15">
        <f t="shared" si="87"/>
        <v>0</v>
      </c>
      <c r="CV35" s="15">
        <f t="shared" si="97"/>
        <v>0</v>
      </c>
      <c r="CW35" s="15">
        <f t="shared" si="107"/>
        <v>0</v>
      </c>
      <c r="CX35" s="15">
        <v>83.63</v>
      </c>
      <c r="CY35" s="15">
        <f t="shared" si="8"/>
        <v>77.159499999999994</v>
      </c>
      <c r="CZ35" s="15">
        <f t="shared" si="18"/>
        <v>73.660799999999995</v>
      </c>
      <c r="DA35" s="15">
        <f t="shared" si="28"/>
        <v>83.563000000000002</v>
      </c>
      <c r="DB35" s="15">
        <f t="shared" si="38"/>
        <v>79.182900000000004</v>
      </c>
      <c r="DC35" s="15">
        <f t="shared" si="48"/>
        <v>87.196799999999996</v>
      </c>
      <c r="DD35" s="15">
        <f t="shared" si="58"/>
        <v>69.989000000000004</v>
      </c>
      <c r="DE35" s="15">
        <f t="shared" si="68"/>
        <v>70.724699999999999</v>
      </c>
      <c r="DF35" s="15">
        <f t="shared" si="78"/>
        <v>64.742099999999994</v>
      </c>
      <c r="DG35" s="15">
        <f t="shared" si="88"/>
        <v>83.061400000000006</v>
      </c>
      <c r="DH35" s="15">
        <f t="shared" si="98"/>
        <v>71.030100000000004</v>
      </c>
      <c r="DI35" s="15">
        <f t="shared" si="108"/>
        <v>82.069699999999997</v>
      </c>
      <c r="DJ35" s="15" t="s">
        <v>23</v>
      </c>
      <c r="DK35" s="15" t="str">
        <f t="shared" si="9"/>
        <v>LH</v>
      </c>
      <c r="DL35" s="15" t="str">
        <f t="shared" si="19"/>
        <v>HH</v>
      </c>
      <c r="DM35" s="15" t="str">
        <f t="shared" si="29"/>
        <v>HH</v>
      </c>
      <c r="DN35" s="15" t="str">
        <f t="shared" si="39"/>
        <v>HH</v>
      </c>
      <c r="DO35" s="15" t="str">
        <f t="shared" si="49"/>
        <v>LH</v>
      </c>
      <c r="DP35" s="15" t="str">
        <f t="shared" si="59"/>
        <v>LH</v>
      </c>
      <c r="DQ35" s="15" t="str">
        <f t="shared" si="69"/>
        <v>LH</v>
      </c>
      <c r="DR35" s="15" t="str">
        <f t="shared" si="79"/>
        <v>LH</v>
      </c>
      <c r="DS35" s="15" t="str">
        <f t="shared" si="89"/>
        <v>HH</v>
      </c>
      <c r="DT35" s="15" t="str">
        <f t="shared" si="99"/>
        <v>LH</v>
      </c>
      <c r="DU35" s="15" t="str">
        <f t="shared" si="109"/>
        <v>HH</v>
      </c>
      <c r="DV35" s="15">
        <f>IFERROR((G35-$F35)/$F35*100,"")</f>
        <v>-0.10621243370002366</v>
      </c>
      <c r="DW35" s="15">
        <f>IFERROR((H35-$F35)/$F35*100,"")</f>
        <v>1.1466968153935224</v>
      </c>
      <c r="DX35" s="15">
        <f>IFERROR((I35-$F35)/$F35*100,"")</f>
        <v>0.58162900283969532</v>
      </c>
      <c r="DY35" s="15">
        <f>IFERROR((J35-$F35)/$F35*100,"")</f>
        <v>-1.1822481705405123</v>
      </c>
      <c r="DZ35" s="15">
        <f>IFERROR((K35-$F35)/$F35*100,"")</f>
        <v>-2.387019559869795</v>
      </c>
      <c r="EA35" s="15">
        <f>IFERROR((L35-$F35)/$F35*100,"")</f>
        <v>-1.093480190608249</v>
      </c>
      <c r="EB35" s="15">
        <f>IFERROR((M35-$F35)/$F35*100,"")</f>
        <v>0.34513520555749627</v>
      </c>
      <c r="EC35" s="15">
        <f>IFERROR((N35-$F35)/$F35*100,"")</f>
        <v>0.88988795802732346</v>
      </c>
      <c r="ED35" s="15">
        <f>IFERROR((O35-$F35)/$F35*100,"")</f>
        <v>1.2553382236688195</v>
      </c>
      <c r="EE35" s="15">
        <f>IFERROR((P35-$F35)/$F35*100,"")</f>
        <v>0.86272760595848907</v>
      </c>
      <c r="EF35" s="15">
        <f>IFERROR((Q35-$F35)/$F35*100,"")</f>
        <v>1.6260880702017886</v>
      </c>
      <c r="EG35" s="15" t="str">
        <f>IF(DV35="","",IF(AND(ABS(DV35)&lt;=0.25,$E35="Bottom",DK35="LL"),"EQL",IF(AND(ABS(DV35)&lt;=0.25,$E35="Peak",DK35="HH"),"EQH","")))</f>
        <v/>
      </c>
      <c r="EH35" s="15" t="str">
        <f>IF(DW35="","",IF(AND(ABS(DW35)&lt;=0.25,$E35="Bottom",DL35="LL"),"EQL",IF(AND(ABS(DW35)&lt;=0.25,$E35="Peak",DL35="HH"),"EQH","")))</f>
        <v/>
      </c>
      <c r="EI35" s="15" t="str">
        <f>IF(DX35="","",IF(AND(ABS(DX35)&lt;=0.25,$E35="Bottom",DM35="LL"),"EQL",IF(AND(ABS(DX35)&lt;=0.25,$E35="Peak",DM35="HH"),"EQH","")))</f>
        <v/>
      </c>
      <c r="EJ35" s="15" t="str">
        <f>IF(DY35="","",IF(AND(ABS(DY35)&lt;=0.25,$E35="Bottom",DN35="LL"),"EQL",IF(AND(ABS(DY35)&lt;=0.25,$E35="Peak",DN35="HH"),"EQH","")))</f>
        <v/>
      </c>
      <c r="EK35" s="15" t="str">
        <f>IF(DZ35="","",IF(AND(ABS(DZ35)&lt;=0.25,$E35="Bottom",DO35="LL"),"EQL",IF(AND(ABS(DZ35)&lt;=0.25,$E35="Peak",DO35="HH"),"EQH","")))</f>
        <v/>
      </c>
      <c r="EL35" s="15" t="str">
        <f>IF(EA35="","",IF(AND(ABS(EA35)&lt;=0.25,$E35="Bottom",DP35="LL"),"EQL",IF(AND(ABS(EA35)&lt;=0.25,$E35="Peak",DP35="HH"),"EQH","")))</f>
        <v/>
      </c>
      <c r="EM35" s="15" t="str">
        <f>IF(EB35="","",IF(AND(ABS(EB35)&lt;=0.25,$E35="Bottom",DQ35="LL"),"EQL",IF(AND(ABS(EB35)&lt;=0.25,$E35="Peak",DQ35="HH"),"EQH","")))</f>
        <v/>
      </c>
      <c r="EN35" s="15" t="str">
        <f>IF(EC35="","",IF(AND(ABS(EC35)&lt;=0.25,$E35="Bottom",DR35="LL"),"EQL",IF(AND(ABS(EC35)&lt;=0.25,$E35="Peak",DR35="HH"),"EQH","")))</f>
        <v/>
      </c>
      <c r="EO35" s="15" t="str">
        <f>IF(ED35="","",IF(AND(ABS(ED35)&lt;=0.25,$E35="Bottom",DS35="LL"),"EQL",IF(AND(ABS(ED35)&lt;=0.25,$E35="Peak",DS35="HH"),"EQH","")))</f>
        <v/>
      </c>
      <c r="EP35" s="15" t="str">
        <f>IF(EE35="","",IF(AND(ABS(EE35)&lt;=0.25,$E35="Bottom",DT35="LL"),"EQL",IF(AND(ABS(EE35)&lt;=0.25,$E35="Peak",DT35="HH"),"EQH","")))</f>
        <v/>
      </c>
      <c r="EQ35" s="15" t="str">
        <f>IF(EF35="","",IF(AND(ABS(EF35)&lt;=0.25,$E35="Bottom",DU35="LL"),"EQL",IF(AND(ABS(EF35)&lt;=0.25,$E35="Peak",DU35="HH"),"EQH","")))</f>
        <v/>
      </c>
      <c r="ER35" s="15" t="str">
        <f>IF(OR(EG35="EQL",EG35="EQH"),F35,"")</f>
        <v/>
      </c>
      <c r="ES35" s="15" t="str">
        <f>IF(OR(EH35="EQL",EH35="EQH"),G35,"")</f>
        <v/>
      </c>
      <c r="ET35" s="15" t="str">
        <f>IF(OR(EI35="EQL",EI35="EQH"),H35,"")</f>
        <v/>
      </c>
      <c r="EU35" s="15" t="str">
        <f>IF(OR(EJ35="EQL",EJ35="EQH"),I35,"")</f>
        <v/>
      </c>
      <c r="EV35" s="15" t="str">
        <f>IF(OR(EK35="EQL",EK35="EQH"),J35,"")</f>
        <v/>
      </c>
      <c r="EW35" s="15" t="str">
        <f>IF(OR(EL35="EQL",EL35="EQH"),K35,"")</f>
        <v/>
      </c>
      <c r="EX35" s="15" t="str">
        <f>IF(OR(EM35="EQL",EM35="EQH"),L35,"")</f>
        <v/>
      </c>
      <c r="EY35" s="15" t="str">
        <f>IF(OR(EN35="EQL",EN35="EQH"),M35,"")</f>
        <v/>
      </c>
      <c r="EZ35" s="15" t="str">
        <f>IF(OR(EO35="EQL",EO35="EQH"),N35,"")</f>
        <v/>
      </c>
      <c r="FA35" s="15" t="str">
        <f>IF(OR(EP35="EQL",EP35="EQH"),O35,"")</f>
        <v/>
      </c>
      <c r="FB35" s="15" t="str">
        <f>IF(OR(EQ35="EQL",EQ35="EQH"),P35,"")</f>
        <v/>
      </c>
      <c r="FC35" s="15" t="str">
        <f>IF(AND(EG35="EQL",OR(AQ35=4,AQ35=5)),"IEQL",IF(AND(EG35="EQH",OR(AQ35=1,AQ35=2)),"IEQH",""))</f>
        <v/>
      </c>
      <c r="FD35" s="15" t="str">
        <f>IF(AND(EH35="EQL",OR(AR35=4,AR35=5)),"IEQL",IF(AND(EH35="EQH",OR(AR35=1,AR35=2)),"IEQH",""))</f>
        <v/>
      </c>
      <c r="FE35" s="15" t="str">
        <f>IF(AND(EI35="EQL",OR(AS35=4,AS35=5)),"IEQL",IF(AND(EI35="EQH",OR(AS35=1,AS35=2)),"IEQH",""))</f>
        <v/>
      </c>
      <c r="FF35" s="15" t="str">
        <f>IF(AND(EJ35="EQL",OR(AT35=4,AT35=5)),"IEQL",IF(AND(EJ35="EQH",OR(AT35=1,AT35=2)),"IEQH",""))</f>
        <v/>
      </c>
      <c r="FG35" s="15" t="str">
        <f>IF(AND(EK35="EQL",OR(AU35=4,AU35=5)),"IEQL",IF(AND(EK35="EQH",OR(AU35=1,AU35=2)),"IEQH",""))</f>
        <v/>
      </c>
      <c r="FH35" s="15" t="str">
        <f>IF(AND(EL35="EQL",OR(AV35=4,AV35=5)),"IEQL",IF(AND(EL35="EQH",OR(AV35=1,AV35=2)),"IEQH",""))</f>
        <v/>
      </c>
      <c r="FI35" s="15" t="str">
        <f>IF(AND(EM35="EQL",OR(AW35=4,AW35=5)),"IEQL",IF(AND(EM35="EQH",OR(AW35=1,AW35=2)),"IEQH",""))</f>
        <v/>
      </c>
      <c r="FJ35" s="15" t="str">
        <f>IF(AND(EN35="EQL",OR(AX35=4,AX35=5)),"IEQL",IF(AND(EN35="EQH",OR(AX35=1,AX35=2)),"IEQH",""))</f>
        <v/>
      </c>
      <c r="FK35" s="15" t="str">
        <f>IF(AND(EO35="EQL",OR(AY35=4,AY35=5)),"IEQL",IF(AND(EO35="EQH",OR(AY35=1,AY35=2)),"IEQH",""))</f>
        <v/>
      </c>
      <c r="FL35" s="15" t="str">
        <f>IF(AND(EP35="EQL",OR(AZ35=4,AZ35=5)),"IEQL",IF(AND(EP35="EQH",OR(AZ35=1,AZ35=2)),"IEQH",""))</f>
        <v/>
      </c>
      <c r="FM35" s="15" t="str">
        <f>IF(AND(EQ35="EQL",OR(BA35=4,BA35=5)),"IEQL",IF(AND(EQ35="EQH",OR(BA35=1,BA35=2)),"IEQH",""))</f>
        <v/>
      </c>
      <c r="FN35" s="15" t="str">
        <f>IF(OR(AND(DJ35="LL",AP35=5),AND(DJ35="HH",AP35=2)),F35,"")</f>
        <v/>
      </c>
      <c r="FO35" s="15" t="str">
        <f>IF(FN35&lt;&gt;"",F34,"")</f>
        <v/>
      </c>
    </row>
    <row r="36" spans="1:171" s="15" customFormat="1" x14ac:dyDescent="0.55000000000000004">
      <c r="A36" s="15">
        <v>1774916106</v>
      </c>
      <c r="B36" s="15" t="s">
        <v>16</v>
      </c>
      <c r="C36" s="15" t="s">
        <v>17</v>
      </c>
      <c r="D36" s="15">
        <v>4511.88</v>
      </c>
      <c r="E36" s="15" t="s">
        <v>18</v>
      </c>
      <c r="F36" s="15">
        <v>4482.6899999999996</v>
      </c>
      <c r="G36" s="15">
        <f t="shared" ref="G36:G67" si="110">F34</f>
        <v>4492.83</v>
      </c>
      <c r="H36" s="15">
        <f t="shared" si="10"/>
        <v>4493.1400000000003</v>
      </c>
      <c r="I36" s="15">
        <f t="shared" si="20"/>
        <v>4420.2700000000004</v>
      </c>
      <c r="J36" s="15">
        <f t="shared" si="30"/>
        <v>4404.32</v>
      </c>
      <c r="K36" s="15">
        <f t="shared" si="40"/>
        <v>4375.68</v>
      </c>
      <c r="L36" s="15">
        <f t="shared" si="50"/>
        <v>4359.29</v>
      </c>
      <c r="M36" s="15">
        <f t="shared" si="60"/>
        <v>4413.24</v>
      </c>
      <c r="N36" s="15">
        <f t="shared" si="70"/>
        <v>4487.1000000000004</v>
      </c>
      <c r="O36" s="15">
        <f t="shared" si="80"/>
        <v>4522.33</v>
      </c>
      <c r="P36" s="15">
        <f t="shared" si="90"/>
        <v>4527.99</v>
      </c>
      <c r="Q36" s="15">
        <f t="shared" si="100"/>
        <v>4532.82</v>
      </c>
      <c r="R36" s="15">
        <v>-45.97</v>
      </c>
      <c r="S36" s="15">
        <f t="shared" ref="S36:S67" si="111">R34</f>
        <v>-31.02</v>
      </c>
      <c r="T36" s="15">
        <f t="shared" si="11"/>
        <v>-87.45</v>
      </c>
      <c r="U36" s="15">
        <f t="shared" si="21"/>
        <v>-134.72999999999999</v>
      </c>
      <c r="V36" s="15">
        <f t="shared" si="31"/>
        <v>-70.8</v>
      </c>
      <c r="W36" s="15">
        <f t="shared" si="41"/>
        <v>-44.88</v>
      </c>
      <c r="X36" s="15">
        <f t="shared" si="51"/>
        <v>-119.85</v>
      </c>
      <c r="Y36" s="15">
        <f t="shared" si="61"/>
        <v>-131.05000000000001</v>
      </c>
      <c r="Z36" s="15">
        <f t="shared" si="71"/>
        <v>-81.86</v>
      </c>
      <c r="AA36" s="15">
        <f t="shared" si="81"/>
        <v>-63.18</v>
      </c>
      <c r="AB36" s="15">
        <f t="shared" si="91"/>
        <v>-39.74</v>
      </c>
      <c r="AC36" s="15">
        <f t="shared" si="101"/>
        <v>-69.48</v>
      </c>
      <c r="AD36" s="15">
        <v>-1.02</v>
      </c>
      <c r="AE36" s="15">
        <f t="shared" ref="AE36:AE67" si="112">AD34</f>
        <v>-0.69</v>
      </c>
      <c r="AF36" s="15">
        <f t="shared" si="12"/>
        <v>-1.91</v>
      </c>
      <c r="AG36" s="15">
        <f t="shared" si="22"/>
        <v>-2.96</v>
      </c>
      <c r="AH36" s="15">
        <f t="shared" si="32"/>
        <v>-1.58</v>
      </c>
      <c r="AI36" s="15">
        <f t="shared" si="42"/>
        <v>-1.02</v>
      </c>
      <c r="AJ36" s="15">
        <f t="shared" si="52"/>
        <v>-2.68</v>
      </c>
      <c r="AK36" s="15">
        <f t="shared" si="62"/>
        <v>-2.88</v>
      </c>
      <c r="AL36" s="15">
        <f t="shared" si="72"/>
        <v>-1.79</v>
      </c>
      <c r="AM36" s="15">
        <f t="shared" si="82"/>
        <v>-1.38</v>
      </c>
      <c r="AN36" s="15">
        <f t="shared" si="92"/>
        <v>-0.87</v>
      </c>
      <c r="AO36" s="15">
        <f t="shared" si="102"/>
        <v>-1.51</v>
      </c>
      <c r="AP36" s="15">
        <v>3</v>
      </c>
      <c r="AQ36" s="15">
        <f t="shared" ref="AQ36:AQ67" si="113">AP34</f>
        <v>3</v>
      </c>
      <c r="AR36" s="15">
        <f t="shared" si="13"/>
        <v>3</v>
      </c>
      <c r="AS36" s="15">
        <f t="shared" si="23"/>
        <v>3</v>
      </c>
      <c r="AT36" s="15">
        <f t="shared" si="33"/>
        <v>3</v>
      </c>
      <c r="AU36" s="15">
        <f t="shared" si="43"/>
        <v>3</v>
      </c>
      <c r="AV36" s="15">
        <f t="shared" si="53"/>
        <v>3</v>
      </c>
      <c r="AW36" s="15">
        <f t="shared" si="63"/>
        <v>3</v>
      </c>
      <c r="AX36" s="15">
        <f t="shared" si="73"/>
        <v>3</v>
      </c>
      <c r="AY36" s="15">
        <f t="shared" si="83"/>
        <v>3</v>
      </c>
      <c r="AZ36" s="15">
        <f t="shared" si="93"/>
        <v>3</v>
      </c>
      <c r="BA36" s="15">
        <f t="shared" si="103"/>
        <v>3</v>
      </c>
      <c r="BB36" s="15">
        <v>1</v>
      </c>
      <c r="BC36" s="15">
        <f t="shared" ref="BC36:BC67" si="114">BB34</f>
        <v>4</v>
      </c>
      <c r="BD36" s="15">
        <f t="shared" si="14"/>
        <v>30</v>
      </c>
      <c r="BE36" s="15">
        <f t="shared" si="24"/>
        <v>31</v>
      </c>
      <c r="BF36" s="15">
        <f t="shared" si="34"/>
        <v>22</v>
      </c>
      <c r="BG36" s="15">
        <f t="shared" si="44"/>
        <v>13</v>
      </c>
      <c r="BH36" s="15">
        <f t="shared" si="54"/>
        <v>21</v>
      </c>
      <c r="BI36" s="15">
        <f t="shared" si="64"/>
        <v>30</v>
      </c>
      <c r="BJ36" s="15">
        <f t="shared" si="74"/>
        <v>4</v>
      </c>
      <c r="BK36" s="15">
        <f t="shared" si="84"/>
        <v>4</v>
      </c>
      <c r="BL36" s="15">
        <f t="shared" si="94"/>
        <v>3</v>
      </c>
      <c r="BM36" s="15">
        <f t="shared" si="104"/>
        <v>13</v>
      </c>
      <c r="BN36" s="15">
        <v>3</v>
      </c>
      <c r="BO36" s="15">
        <f t="shared" ref="BO36:BO67" si="115">BN34</f>
        <v>3</v>
      </c>
      <c r="BP36" s="15">
        <f t="shared" si="15"/>
        <v>3</v>
      </c>
      <c r="BQ36" s="15">
        <f t="shared" si="25"/>
        <v>3</v>
      </c>
      <c r="BR36" s="15">
        <f t="shared" si="35"/>
        <v>3</v>
      </c>
      <c r="BS36" s="15">
        <f t="shared" si="45"/>
        <v>3</v>
      </c>
      <c r="BT36" s="15">
        <f t="shared" si="55"/>
        <v>3</v>
      </c>
      <c r="BU36" s="15">
        <f t="shared" si="65"/>
        <v>3</v>
      </c>
      <c r="BV36" s="15">
        <f t="shared" si="75"/>
        <v>3</v>
      </c>
      <c r="BW36" s="15">
        <f t="shared" si="85"/>
        <v>3</v>
      </c>
      <c r="BX36" s="15">
        <f t="shared" si="95"/>
        <v>3</v>
      </c>
      <c r="BY36" s="15">
        <f t="shared" si="105"/>
        <v>3</v>
      </c>
      <c r="BZ36" s="15">
        <v>-45.97</v>
      </c>
      <c r="CA36" s="15">
        <f t="shared" ref="CA36:CA67" si="116">BZ34</f>
        <v>-7.7549999999999999</v>
      </c>
      <c r="CB36" s="15">
        <f t="shared" si="16"/>
        <v>-2.915</v>
      </c>
      <c r="CC36" s="15">
        <f t="shared" si="26"/>
        <v>-4.3461299999999996</v>
      </c>
      <c r="CD36" s="15">
        <f t="shared" si="36"/>
        <v>-3.2181799999999998</v>
      </c>
      <c r="CE36" s="15">
        <f t="shared" si="46"/>
        <v>-3.4523100000000002</v>
      </c>
      <c r="CF36" s="15">
        <f t="shared" si="56"/>
        <v>-5.7071399999999999</v>
      </c>
      <c r="CG36" s="15">
        <f t="shared" si="66"/>
        <v>-4.3683300000000003</v>
      </c>
      <c r="CH36" s="15">
        <f t="shared" si="76"/>
        <v>-20.465</v>
      </c>
      <c r="CI36" s="15">
        <f t="shared" si="86"/>
        <v>-15.795</v>
      </c>
      <c r="CJ36" s="15">
        <f t="shared" si="96"/>
        <v>-13.24667</v>
      </c>
      <c r="CK36" s="15">
        <f t="shared" si="106"/>
        <v>-5.3446199999999999</v>
      </c>
      <c r="CL36" s="15">
        <v>5</v>
      </c>
      <c r="CM36" s="15">
        <f t="shared" ref="CM36:CM67" si="117">CL34</f>
        <v>3</v>
      </c>
      <c r="CN36" s="15">
        <f t="shared" si="17"/>
        <v>3</v>
      </c>
      <c r="CO36" s="15">
        <f t="shared" si="27"/>
        <v>3</v>
      </c>
      <c r="CP36" s="15">
        <f t="shared" si="37"/>
        <v>3</v>
      </c>
      <c r="CQ36" s="15">
        <f t="shared" si="47"/>
        <v>3</v>
      </c>
      <c r="CR36" s="15">
        <f t="shared" si="57"/>
        <v>3</v>
      </c>
      <c r="CS36" s="15">
        <f t="shared" si="67"/>
        <v>3</v>
      </c>
      <c r="CT36" s="15">
        <f t="shared" si="77"/>
        <v>5</v>
      </c>
      <c r="CU36" s="15">
        <f t="shared" si="87"/>
        <v>4</v>
      </c>
      <c r="CV36" s="15">
        <f t="shared" si="97"/>
        <v>3</v>
      </c>
      <c r="CW36" s="15">
        <f t="shared" si="107"/>
        <v>3</v>
      </c>
      <c r="CX36" s="15">
        <v>-88.753799999999998</v>
      </c>
      <c r="CY36" s="15">
        <f t="shared" ref="CY36:CY67" si="118">CX34</f>
        <v>-82.652299999999997</v>
      </c>
      <c r="CZ36" s="15">
        <f t="shared" si="18"/>
        <v>-71.065299999999993</v>
      </c>
      <c r="DA36" s="15">
        <f t="shared" si="28"/>
        <v>-77.042299999999997</v>
      </c>
      <c r="DB36" s="15">
        <f t="shared" si="38"/>
        <v>-72.738200000000006</v>
      </c>
      <c r="DC36" s="15">
        <f t="shared" si="48"/>
        <v>-73.845699999999994</v>
      </c>
      <c r="DD36" s="15">
        <f t="shared" si="58"/>
        <v>-80.061599999999999</v>
      </c>
      <c r="DE36" s="15">
        <f t="shared" si="68"/>
        <v>-77.105999999999995</v>
      </c>
      <c r="DF36" s="15">
        <f t="shared" si="78"/>
        <v>-87.202500000000001</v>
      </c>
      <c r="DG36" s="15">
        <f t="shared" si="88"/>
        <v>-86.377399999999994</v>
      </c>
      <c r="DH36" s="15">
        <f t="shared" si="98"/>
        <v>-85.682900000000004</v>
      </c>
      <c r="DI36" s="15">
        <f t="shared" si="108"/>
        <v>-79.402299999999997</v>
      </c>
      <c r="DJ36" s="15" t="s">
        <v>19</v>
      </c>
      <c r="DK36" s="15" t="str">
        <f t="shared" ref="DK36:DK67" si="119">DJ34</f>
        <v>LL</v>
      </c>
      <c r="DL36" s="15" t="str">
        <f t="shared" si="19"/>
        <v>HL</v>
      </c>
      <c r="DM36" s="15" t="str">
        <f t="shared" si="29"/>
        <v>HL</v>
      </c>
      <c r="DN36" s="15" t="str">
        <f t="shared" si="39"/>
        <v>HL</v>
      </c>
      <c r="DO36" s="15" t="str">
        <f t="shared" si="49"/>
        <v>HL</v>
      </c>
      <c r="DP36" s="15" t="str">
        <f t="shared" si="59"/>
        <v>LL</v>
      </c>
      <c r="DQ36" s="15" t="str">
        <f t="shared" si="69"/>
        <v>LL</v>
      </c>
      <c r="DR36" s="15" t="str">
        <f t="shared" si="79"/>
        <v>LL</v>
      </c>
      <c r="DS36" s="15" t="str">
        <f t="shared" si="89"/>
        <v>LL</v>
      </c>
      <c r="DT36" s="15" t="str">
        <f t="shared" si="99"/>
        <v>LL</v>
      </c>
      <c r="DU36" s="15" t="str">
        <f t="shared" si="109"/>
        <v>HL</v>
      </c>
      <c r="DV36" s="15">
        <f>IFERROR((G36-$F36)/$F36*100,"")</f>
        <v>0.22620346265301255</v>
      </c>
      <c r="DW36" s="15">
        <f>IFERROR((H36-$F36)/$F36*100,"")</f>
        <v>0.23311895312860648</v>
      </c>
      <c r="DX36" s="15">
        <f>IFERROR((I36-$F36)/$F36*100,"")</f>
        <v>-1.3924674693097039</v>
      </c>
      <c r="DY36" s="15">
        <f>IFERROR((J36-$F36)/$F36*100,"")</f>
        <v>-1.7482806082954632</v>
      </c>
      <c r="DZ36" s="15">
        <f>IFERROR((K36-$F36)/$F36*100,"")</f>
        <v>-2.3871826961043325</v>
      </c>
      <c r="EA36" s="15">
        <f>IFERROR((L36-$F36)/$F36*100,"")</f>
        <v>-2.7528113699586552</v>
      </c>
      <c r="EB36" s="15">
        <f>IFERROR((M36-$F36)/$F36*100,"")</f>
        <v>-1.549292946868952</v>
      </c>
      <c r="EC36" s="15">
        <f>IFERROR((N36-$F36)/$F36*100,"")</f>
        <v>9.8378429023661326E-2</v>
      </c>
      <c r="ED36" s="15">
        <f>IFERROR((O36-$F36)/$F36*100,"")</f>
        <v>0.8842904595231954</v>
      </c>
      <c r="EE36" s="15">
        <f>IFERROR((P36-$F36)/$F36*100,"")</f>
        <v>1.0105539307870985</v>
      </c>
      <c r="EF36" s="15">
        <f>IFERROR((Q36-$F36)/$F36*100,"")</f>
        <v>1.1183017340034691</v>
      </c>
      <c r="EG36" s="15" t="str">
        <f>IF(DV36="","",IF(AND(ABS(DV36)&lt;=0.25,$E36="Bottom",DK36="LL"),"EQL",IF(AND(ABS(DV36)&lt;=0.25,$E36="Peak",DK36="HH"),"EQH","")))</f>
        <v>EQL</v>
      </c>
      <c r="EH36" s="15" t="str">
        <f>IF(DW36="","",IF(AND(ABS(DW36)&lt;=0.25,$E36="Bottom",DL36="LL"),"EQL",IF(AND(ABS(DW36)&lt;=0.25,$E36="Peak",DL36="HH"),"EQH","")))</f>
        <v/>
      </c>
      <c r="EI36" s="15" t="str">
        <f>IF(DX36="","",IF(AND(ABS(DX36)&lt;=0.25,$E36="Bottom",DM36="LL"),"EQL",IF(AND(ABS(DX36)&lt;=0.25,$E36="Peak",DM36="HH"),"EQH","")))</f>
        <v/>
      </c>
      <c r="EJ36" s="15" t="str">
        <f>IF(DY36="","",IF(AND(ABS(DY36)&lt;=0.25,$E36="Bottom",DN36="LL"),"EQL",IF(AND(ABS(DY36)&lt;=0.25,$E36="Peak",DN36="HH"),"EQH","")))</f>
        <v/>
      </c>
      <c r="EK36" s="15" t="str">
        <f>IF(DZ36="","",IF(AND(ABS(DZ36)&lt;=0.25,$E36="Bottom",DO36="LL"),"EQL",IF(AND(ABS(DZ36)&lt;=0.25,$E36="Peak",DO36="HH"),"EQH","")))</f>
        <v/>
      </c>
      <c r="EL36" s="15" t="str">
        <f>IF(EA36="","",IF(AND(ABS(EA36)&lt;=0.25,$E36="Bottom",DP36="LL"),"EQL",IF(AND(ABS(EA36)&lt;=0.25,$E36="Peak",DP36="HH"),"EQH","")))</f>
        <v/>
      </c>
      <c r="EM36" s="15" t="str">
        <f>IF(EB36="","",IF(AND(ABS(EB36)&lt;=0.25,$E36="Bottom",DQ36="LL"),"EQL",IF(AND(ABS(EB36)&lt;=0.25,$E36="Peak",DQ36="HH"),"EQH","")))</f>
        <v/>
      </c>
      <c r="EN36" s="15" t="str">
        <f>IF(EC36="","",IF(AND(ABS(EC36)&lt;=0.25,$E36="Bottom",DR36="LL"),"EQL",IF(AND(ABS(EC36)&lt;=0.25,$E36="Peak",DR36="HH"),"EQH","")))</f>
        <v>EQL</v>
      </c>
      <c r="EO36" s="15" t="str">
        <f>IF(ED36="","",IF(AND(ABS(ED36)&lt;=0.25,$E36="Bottom",DS36="LL"),"EQL",IF(AND(ABS(ED36)&lt;=0.25,$E36="Peak",DS36="HH"),"EQH","")))</f>
        <v/>
      </c>
      <c r="EP36" s="15" t="str">
        <f>IF(EE36="","",IF(AND(ABS(EE36)&lt;=0.25,$E36="Bottom",DT36="LL"),"EQL",IF(AND(ABS(EE36)&lt;=0.25,$E36="Peak",DT36="HH"),"EQH","")))</f>
        <v/>
      </c>
      <c r="EQ36" s="15" t="str">
        <f>IF(EF36="","",IF(AND(ABS(EF36)&lt;=0.25,$E36="Bottom",DU36="LL"),"EQL",IF(AND(ABS(EF36)&lt;=0.25,$E36="Peak",DU36="HH"),"EQH","")))</f>
        <v/>
      </c>
      <c r="ER36" s="15">
        <f>IF(OR(EG36="EQL",EG36="EQH"),F36,"")</f>
        <v>4482.6899999999996</v>
      </c>
      <c r="ES36" s="15" t="str">
        <f>IF(OR(EH36="EQL",EH36="EQH"),G36,"")</f>
        <v/>
      </c>
      <c r="ET36" s="15" t="str">
        <f>IF(OR(EI36="EQL",EI36="EQH"),H36,"")</f>
        <v/>
      </c>
      <c r="EU36" s="15" t="str">
        <f>IF(OR(EJ36="EQL",EJ36="EQH"),I36,"")</f>
        <v/>
      </c>
      <c r="EV36" s="15" t="str">
        <f>IF(OR(EK36="EQL",EK36="EQH"),J36,"")</f>
        <v/>
      </c>
      <c r="EW36" s="15" t="str">
        <f>IF(OR(EL36="EQL",EL36="EQH"),K36,"")</f>
        <v/>
      </c>
      <c r="EX36" s="15" t="str">
        <f>IF(OR(EM36="EQL",EM36="EQH"),L36,"")</f>
        <v/>
      </c>
      <c r="EY36" s="15">
        <f>IF(OR(EN36="EQL",EN36="EQH"),M36,"")</f>
        <v>4413.24</v>
      </c>
      <c r="EZ36" s="15" t="str">
        <f>IF(OR(EO36="EQL",EO36="EQH"),N36,"")</f>
        <v/>
      </c>
      <c r="FA36" s="15" t="str">
        <f>IF(OR(EP36="EQL",EP36="EQH"),O36,"")</f>
        <v/>
      </c>
      <c r="FB36" s="15" t="str">
        <f>IF(OR(EQ36="EQL",EQ36="EQH"),P36,"")</f>
        <v/>
      </c>
      <c r="FC36" s="15" t="str">
        <f>IF(AND(EG36="EQL",OR(AQ36=4,AQ36=5)),"IEQL",IF(AND(EG36="EQH",OR(AQ36=1,AQ36=2)),"IEQH",""))</f>
        <v/>
      </c>
      <c r="FD36" s="15" t="str">
        <f>IF(AND(EH36="EQL",OR(AR36=4,AR36=5)),"IEQL",IF(AND(EH36="EQH",OR(AR36=1,AR36=2)),"IEQH",""))</f>
        <v/>
      </c>
      <c r="FE36" s="15" t="str">
        <f>IF(AND(EI36="EQL",OR(AS36=4,AS36=5)),"IEQL",IF(AND(EI36="EQH",OR(AS36=1,AS36=2)),"IEQH",""))</f>
        <v/>
      </c>
      <c r="FF36" s="15" t="str">
        <f>IF(AND(EJ36="EQL",OR(AT36=4,AT36=5)),"IEQL",IF(AND(EJ36="EQH",OR(AT36=1,AT36=2)),"IEQH",""))</f>
        <v/>
      </c>
      <c r="FG36" s="15" t="str">
        <f>IF(AND(EK36="EQL",OR(AU36=4,AU36=5)),"IEQL",IF(AND(EK36="EQH",OR(AU36=1,AU36=2)),"IEQH",""))</f>
        <v/>
      </c>
      <c r="FH36" s="15" t="str">
        <f>IF(AND(EL36="EQL",OR(AV36=4,AV36=5)),"IEQL",IF(AND(EL36="EQH",OR(AV36=1,AV36=2)),"IEQH",""))</f>
        <v/>
      </c>
      <c r="FI36" s="15" t="str">
        <f>IF(AND(EM36="EQL",OR(AW36=4,AW36=5)),"IEQL",IF(AND(EM36="EQH",OR(AW36=1,AW36=2)),"IEQH",""))</f>
        <v/>
      </c>
      <c r="FJ36" s="15" t="str">
        <f>IF(AND(EN36="EQL",OR(AX36=4,AX36=5)),"IEQL",IF(AND(EN36="EQH",OR(AX36=1,AX36=2)),"IEQH",""))</f>
        <v/>
      </c>
      <c r="FK36" s="15" t="str">
        <f>IF(AND(EO36="EQL",OR(AY36=4,AY36=5)),"IEQL",IF(AND(EO36="EQH",OR(AY36=1,AY36=2)),"IEQH",""))</f>
        <v/>
      </c>
      <c r="FL36" s="15" t="str">
        <f>IF(AND(EP36="EQL",OR(AZ36=4,AZ36=5)),"IEQL",IF(AND(EP36="EQH",OR(AZ36=1,AZ36=2)),"IEQH",""))</f>
        <v/>
      </c>
      <c r="FM36" s="15" t="str">
        <f>IF(AND(EQ36="EQL",OR(BA36=4,BA36=5)),"IEQL",IF(AND(EQ36="EQH",OR(BA36=1,BA36=2)),"IEQH",""))</f>
        <v/>
      </c>
      <c r="FN36" s="15" t="str">
        <f>IF(OR(AND(DJ36="LL",AP36=5),AND(DJ36="HH",AP36=2)),F36,"")</f>
        <v/>
      </c>
      <c r="FO36" s="15" t="str">
        <f>IF(FN36&lt;&gt;"",F35,"")</f>
        <v/>
      </c>
    </row>
    <row r="37" spans="1:171" s="15" customFormat="1" x14ac:dyDescent="0.55000000000000004">
      <c r="A37" s="15">
        <v>1774921506</v>
      </c>
      <c r="B37" s="15" t="s">
        <v>16</v>
      </c>
      <c r="C37" s="15" t="s">
        <v>17</v>
      </c>
      <c r="D37" s="15">
        <v>4605.2700000000004</v>
      </c>
      <c r="E37" s="15" t="s">
        <v>20</v>
      </c>
      <c r="F37" s="15">
        <v>4619.84</v>
      </c>
      <c r="G37" s="15">
        <f t="shared" si="110"/>
        <v>4528.66</v>
      </c>
      <c r="H37" s="15">
        <f t="shared" si="10"/>
        <v>4523.8500000000004</v>
      </c>
      <c r="I37" s="15">
        <f t="shared" si="20"/>
        <v>4580.59</v>
      </c>
      <c r="J37" s="15">
        <f t="shared" si="30"/>
        <v>4555</v>
      </c>
      <c r="K37" s="15">
        <f t="shared" si="40"/>
        <v>4475.12</v>
      </c>
      <c r="L37" s="15">
        <f t="shared" si="50"/>
        <v>4420.5600000000004</v>
      </c>
      <c r="M37" s="15">
        <f t="shared" si="60"/>
        <v>4479.1400000000003</v>
      </c>
      <c r="N37" s="15">
        <f t="shared" si="70"/>
        <v>4544.29</v>
      </c>
      <c r="O37" s="15">
        <f t="shared" si="80"/>
        <v>4568.96</v>
      </c>
      <c r="P37" s="15">
        <f t="shared" si="90"/>
        <v>4585.51</v>
      </c>
      <c r="Q37" s="15">
        <f t="shared" si="100"/>
        <v>4567.7299999999996</v>
      </c>
      <c r="R37" s="15">
        <v>137.15</v>
      </c>
      <c r="S37" s="15">
        <f t="shared" si="111"/>
        <v>35.83</v>
      </c>
      <c r="T37" s="15">
        <f t="shared" si="11"/>
        <v>30.71</v>
      </c>
      <c r="U37" s="15">
        <f t="shared" si="21"/>
        <v>160.32</v>
      </c>
      <c r="V37" s="15">
        <f t="shared" si="31"/>
        <v>150.68</v>
      </c>
      <c r="W37" s="15">
        <f t="shared" si="41"/>
        <v>99.44</v>
      </c>
      <c r="X37" s="15">
        <f t="shared" si="51"/>
        <v>61.27</v>
      </c>
      <c r="Y37" s="15">
        <f t="shared" si="61"/>
        <v>65.900000000000006</v>
      </c>
      <c r="Z37" s="15">
        <f t="shared" si="71"/>
        <v>57.19</v>
      </c>
      <c r="AA37" s="15">
        <f t="shared" si="81"/>
        <v>46.63</v>
      </c>
      <c r="AB37" s="15">
        <f t="shared" si="91"/>
        <v>57.52</v>
      </c>
      <c r="AC37" s="15">
        <f t="shared" si="101"/>
        <v>34.909999999999997</v>
      </c>
      <c r="AD37" s="15">
        <v>3.06</v>
      </c>
      <c r="AE37" s="15">
        <f t="shared" si="112"/>
        <v>0.8</v>
      </c>
      <c r="AF37" s="15">
        <f t="shared" si="12"/>
        <v>0.68</v>
      </c>
      <c r="AG37" s="15">
        <f t="shared" si="22"/>
        <v>3.63</v>
      </c>
      <c r="AH37" s="15">
        <f t="shared" si="32"/>
        <v>3.42</v>
      </c>
      <c r="AI37" s="15">
        <f t="shared" si="42"/>
        <v>2.27</v>
      </c>
      <c r="AJ37" s="15">
        <f t="shared" si="52"/>
        <v>1.41</v>
      </c>
      <c r="AK37" s="15">
        <f t="shared" si="62"/>
        <v>1.49</v>
      </c>
      <c r="AL37" s="15">
        <f t="shared" si="72"/>
        <v>1.27</v>
      </c>
      <c r="AM37" s="15">
        <f t="shared" si="82"/>
        <v>1.03</v>
      </c>
      <c r="AN37" s="15">
        <f t="shared" si="92"/>
        <v>1.27</v>
      </c>
      <c r="AO37" s="15">
        <f t="shared" si="102"/>
        <v>0.77</v>
      </c>
      <c r="AP37" s="15">
        <v>0</v>
      </c>
      <c r="AQ37" s="15">
        <f t="shared" si="113"/>
        <v>0</v>
      </c>
      <c r="AR37" s="15">
        <f t="shared" si="13"/>
        <v>0</v>
      </c>
      <c r="AS37" s="15">
        <f t="shared" si="23"/>
        <v>0</v>
      </c>
      <c r="AT37" s="15">
        <f t="shared" si="33"/>
        <v>0</v>
      </c>
      <c r="AU37" s="15">
        <f t="shared" si="43"/>
        <v>0</v>
      </c>
      <c r="AV37" s="15">
        <f t="shared" si="53"/>
        <v>0</v>
      </c>
      <c r="AW37" s="15">
        <f t="shared" si="63"/>
        <v>0</v>
      </c>
      <c r="AX37" s="15">
        <f t="shared" si="73"/>
        <v>0</v>
      </c>
      <c r="AY37" s="15">
        <f t="shared" si="83"/>
        <v>0</v>
      </c>
      <c r="AZ37" s="15">
        <f t="shared" si="93"/>
        <v>0</v>
      </c>
      <c r="BA37" s="15">
        <f t="shared" si="103"/>
        <v>0</v>
      </c>
      <c r="BB37" s="15">
        <v>6</v>
      </c>
      <c r="BC37" s="15">
        <f t="shared" si="114"/>
        <v>4</v>
      </c>
      <c r="BD37" s="15">
        <f t="shared" si="14"/>
        <v>7</v>
      </c>
      <c r="BE37" s="15">
        <f t="shared" si="24"/>
        <v>47</v>
      </c>
      <c r="BF37" s="15">
        <f t="shared" si="34"/>
        <v>17</v>
      </c>
      <c r="BG37" s="15">
        <f t="shared" si="44"/>
        <v>19</v>
      </c>
      <c r="BH37" s="15">
        <f t="shared" si="54"/>
        <v>3</v>
      </c>
      <c r="BI37" s="15">
        <f t="shared" si="64"/>
        <v>24</v>
      </c>
      <c r="BJ37" s="15">
        <f t="shared" si="74"/>
        <v>20</v>
      </c>
      <c r="BK37" s="15">
        <f t="shared" si="84"/>
        <v>22</v>
      </c>
      <c r="BL37" s="15">
        <f t="shared" si="94"/>
        <v>7</v>
      </c>
      <c r="BM37" s="15">
        <f t="shared" si="104"/>
        <v>12</v>
      </c>
      <c r="BN37" s="15">
        <v>0</v>
      </c>
      <c r="BO37" s="15">
        <f t="shared" si="115"/>
        <v>0</v>
      </c>
      <c r="BP37" s="15">
        <f t="shared" si="15"/>
        <v>0</v>
      </c>
      <c r="BQ37" s="15">
        <f t="shared" si="25"/>
        <v>2</v>
      </c>
      <c r="BR37" s="15">
        <f t="shared" si="35"/>
        <v>0</v>
      </c>
      <c r="BS37" s="15">
        <f t="shared" si="45"/>
        <v>0</v>
      </c>
      <c r="BT37" s="15">
        <f t="shared" si="55"/>
        <v>0</v>
      </c>
      <c r="BU37" s="15">
        <f t="shared" si="65"/>
        <v>0</v>
      </c>
      <c r="BV37" s="15">
        <f t="shared" si="75"/>
        <v>0</v>
      </c>
      <c r="BW37" s="15">
        <f t="shared" si="85"/>
        <v>0</v>
      </c>
      <c r="BX37" s="15">
        <f t="shared" si="95"/>
        <v>0</v>
      </c>
      <c r="BY37" s="15">
        <f t="shared" si="105"/>
        <v>0</v>
      </c>
      <c r="BZ37" s="15">
        <v>22.858329999999999</v>
      </c>
      <c r="CA37" s="15">
        <f t="shared" si="116"/>
        <v>8.9574999999999996</v>
      </c>
      <c r="CB37" s="15">
        <f t="shared" si="16"/>
        <v>4.3871399999999996</v>
      </c>
      <c r="CC37" s="15">
        <f t="shared" si="26"/>
        <v>3.41106</v>
      </c>
      <c r="CD37" s="15">
        <f t="shared" si="36"/>
        <v>8.8635300000000008</v>
      </c>
      <c r="CE37" s="15">
        <f t="shared" si="46"/>
        <v>5.2336799999999997</v>
      </c>
      <c r="CF37" s="15">
        <f t="shared" si="56"/>
        <v>20.42333</v>
      </c>
      <c r="CG37" s="15">
        <f t="shared" si="66"/>
        <v>2.7458300000000002</v>
      </c>
      <c r="CH37" s="15">
        <f t="shared" si="76"/>
        <v>2.8595000000000002</v>
      </c>
      <c r="CI37" s="15">
        <f t="shared" si="86"/>
        <v>2.1195499999999998</v>
      </c>
      <c r="CJ37" s="15">
        <f t="shared" si="96"/>
        <v>8.2171400000000006</v>
      </c>
      <c r="CK37" s="15">
        <f t="shared" si="106"/>
        <v>2.90917</v>
      </c>
      <c r="CL37" s="15">
        <v>1</v>
      </c>
      <c r="CM37" s="15">
        <f t="shared" si="117"/>
        <v>0</v>
      </c>
      <c r="CN37" s="15">
        <f t="shared" si="17"/>
        <v>0</v>
      </c>
      <c r="CO37" s="15">
        <f t="shared" si="27"/>
        <v>0</v>
      </c>
      <c r="CP37" s="15">
        <f t="shared" si="37"/>
        <v>0</v>
      </c>
      <c r="CQ37" s="15">
        <f t="shared" si="47"/>
        <v>0</v>
      </c>
      <c r="CR37" s="15">
        <f t="shared" si="57"/>
        <v>2</v>
      </c>
      <c r="CS37" s="15">
        <f t="shared" si="67"/>
        <v>0</v>
      </c>
      <c r="CT37" s="15">
        <f t="shared" si="77"/>
        <v>0</v>
      </c>
      <c r="CU37" s="15">
        <f t="shared" si="87"/>
        <v>0</v>
      </c>
      <c r="CV37" s="15">
        <f t="shared" si="97"/>
        <v>0</v>
      </c>
      <c r="CW37" s="15">
        <f t="shared" si="107"/>
        <v>0</v>
      </c>
      <c r="CX37" s="15">
        <v>87.495000000000005</v>
      </c>
      <c r="CY37" s="15">
        <f t="shared" si="118"/>
        <v>83.63</v>
      </c>
      <c r="CZ37" s="15">
        <f t="shared" si="18"/>
        <v>77.159499999999994</v>
      </c>
      <c r="DA37" s="15">
        <f t="shared" si="28"/>
        <v>73.660799999999995</v>
      </c>
      <c r="DB37" s="15">
        <f t="shared" si="38"/>
        <v>83.563000000000002</v>
      </c>
      <c r="DC37" s="15">
        <f t="shared" si="48"/>
        <v>79.182900000000004</v>
      </c>
      <c r="DD37" s="15">
        <f t="shared" si="58"/>
        <v>87.196799999999996</v>
      </c>
      <c r="DE37" s="15">
        <f t="shared" si="68"/>
        <v>69.989000000000004</v>
      </c>
      <c r="DF37" s="15">
        <f t="shared" si="78"/>
        <v>70.724699999999999</v>
      </c>
      <c r="DG37" s="15">
        <f t="shared" si="88"/>
        <v>64.742099999999994</v>
      </c>
      <c r="DH37" s="15">
        <f t="shared" si="98"/>
        <v>83.061400000000006</v>
      </c>
      <c r="DI37" s="15">
        <f t="shared" si="108"/>
        <v>71.030100000000004</v>
      </c>
      <c r="DJ37" s="15" t="s">
        <v>23</v>
      </c>
      <c r="DK37" s="15" t="str">
        <f t="shared" si="119"/>
        <v>HH</v>
      </c>
      <c r="DL37" s="15" t="str">
        <f t="shared" si="19"/>
        <v>LH</v>
      </c>
      <c r="DM37" s="15" t="str">
        <f t="shared" si="29"/>
        <v>HH</v>
      </c>
      <c r="DN37" s="15" t="str">
        <f t="shared" si="39"/>
        <v>HH</v>
      </c>
      <c r="DO37" s="15" t="str">
        <f t="shared" si="49"/>
        <v>HH</v>
      </c>
      <c r="DP37" s="15" t="str">
        <f t="shared" si="59"/>
        <v>LH</v>
      </c>
      <c r="DQ37" s="15" t="str">
        <f t="shared" si="69"/>
        <v>LH</v>
      </c>
      <c r="DR37" s="15" t="str">
        <f t="shared" si="79"/>
        <v>LH</v>
      </c>
      <c r="DS37" s="15" t="str">
        <f t="shared" si="89"/>
        <v>LH</v>
      </c>
      <c r="DT37" s="15" t="str">
        <f t="shared" si="99"/>
        <v>HH</v>
      </c>
      <c r="DU37" s="15" t="str">
        <f t="shared" si="109"/>
        <v>LH</v>
      </c>
      <c r="DV37" s="15">
        <f>IFERROR((G37-$F37)/$F37*100,"")</f>
        <v>-1.9736614255039198</v>
      </c>
      <c r="DW37" s="15">
        <f>IFERROR((H37-$F37)/$F37*100,"")</f>
        <v>-2.0777775853709173</v>
      </c>
      <c r="DX37" s="15">
        <f>IFERROR((I37-$F37)/$F37*100,"")</f>
        <v>-0.84959652282330123</v>
      </c>
      <c r="DY37" s="15">
        <f>IFERROR((J37-$F37)/$F37*100,"")</f>
        <v>-1.4035118099328145</v>
      </c>
      <c r="DZ37" s="15">
        <f>IFERROR((K37-$F37)/$F37*100,"")</f>
        <v>-3.1325760199487482</v>
      </c>
      <c r="EA37" s="15">
        <f>IFERROR((L37-$F37)/$F37*100,"")</f>
        <v>-4.3135693011013307</v>
      </c>
      <c r="EB37" s="15">
        <f>IFERROR((M37-$F37)/$F37*100,"")</f>
        <v>-3.0455600193946069</v>
      </c>
      <c r="EC37" s="15">
        <f>IFERROR((N37-$F37)/$F37*100,"")</f>
        <v>-1.6353380203643453</v>
      </c>
      <c r="ED37" s="15">
        <f>IFERROR((O37-$F37)/$F37*100,"")</f>
        <v>-1.1013368428343862</v>
      </c>
      <c r="EE37" s="15">
        <f>IFERROR((P37-$F37)/$F37*100,"")</f>
        <v>-0.74309932811525781</v>
      </c>
      <c r="EF37" s="15">
        <f>IFERROR((Q37-$F37)/$F37*100,"")</f>
        <v>-1.1279611415114068</v>
      </c>
      <c r="EG37" s="15" t="str">
        <f>IF(DV37="","",IF(AND(ABS(DV37)&lt;=0.25,$E37="Bottom",DK37="LL"),"EQL",IF(AND(ABS(DV37)&lt;=0.25,$E37="Peak",DK37="HH"),"EQH","")))</f>
        <v/>
      </c>
      <c r="EH37" s="15" t="str">
        <f>IF(DW37="","",IF(AND(ABS(DW37)&lt;=0.25,$E37="Bottom",DL37="LL"),"EQL",IF(AND(ABS(DW37)&lt;=0.25,$E37="Peak",DL37="HH"),"EQH","")))</f>
        <v/>
      </c>
      <c r="EI37" s="15" t="str">
        <f>IF(DX37="","",IF(AND(ABS(DX37)&lt;=0.25,$E37="Bottom",DM37="LL"),"EQL",IF(AND(ABS(DX37)&lt;=0.25,$E37="Peak",DM37="HH"),"EQH","")))</f>
        <v/>
      </c>
      <c r="EJ37" s="15" t="str">
        <f>IF(DY37="","",IF(AND(ABS(DY37)&lt;=0.25,$E37="Bottom",DN37="LL"),"EQL",IF(AND(ABS(DY37)&lt;=0.25,$E37="Peak",DN37="HH"),"EQH","")))</f>
        <v/>
      </c>
      <c r="EK37" s="15" t="str">
        <f>IF(DZ37="","",IF(AND(ABS(DZ37)&lt;=0.25,$E37="Bottom",DO37="LL"),"EQL",IF(AND(ABS(DZ37)&lt;=0.25,$E37="Peak",DO37="HH"),"EQH","")))</f>
        <v/>
      </c>
      <c r="EL37" s="15" t="str">
        <f>IF(EA37="","",IF(AND(ABS(EA37)&lt;=0.25,$E37="Bottom",DP37="LL"),"EQL",IF(AND(ABS(EA37)&lt;=0.25,$E37="Peak",DP37="HH"),"EQH","")))</f>
        <v/>
      </c>
      <c r="EM37" s="15" t="str">
        <f>IF(EB37="","",IF(AND(ABS(EB37)&lt;=0.25,$E37="Bottom",DQ37="LL"),"EQL",IF(AND(ABS(EB37)&lt;=0.25,$E37="Peak",DQ37="HH"),"EQH","")))</f>
        <v/>
      </c>
      <c r="EN37" s="15" t="str">
        <f>IF(EC37="","",IF(AND(ABS(EC37)&lt;=0.25,$E37="Bottom",DR37="LL"),"EQL",IF(AND(ABS(EC37)&lt;=0.25,$E37="Peak",DR37="HH"),"EQH","")))</f>
        <v/>
      </c>
      <c r="EO37" s="15" t="str">
        <f>IF(ED37="","",IF(AND(ABS(ED37)&lt;=0.25,$E37="Bottom",DS37="LL"),"EQL",IF(AND(ABS(ED37)&lt;=0.25,$E37="Peak",DS37="HH"),"EQH","")))</f>
        <v/>
      </c>
      <c r="EP37" s="15" t="str">
        <f>IF(EE37="","",IF(AND(ABS(EE37)&lt;=0.25,$E37="Bottom",DT37="LL"),"EQL",IF(AND(ABS(EE37)&lt;=0.25,$E37="Peak",DT37="HH"),"EQH","")))</f>
        <v/>
      </c>
      <c r="EQ37" s="15" t="str">
        <f>IF(EF37="","",IF(AND(ABS(EF37)&lt;=0.25,$E37="Bottom",DU37="LL"),"EQL",IF(AND(ABS(EF37)&lt;=0.25,$E37="Peak",DU37="HH"),"EQH","")))</f>
        <v/>
      </c>
      <c r="ER37" s="15" t="str">
        <f>IF(OR(EG37="EQL",EG37="EQH"),F37,"")</f>
        <v/>
      </c>
      <c r="ES37" s="15" t="str">
        <f>IF(OR(EH37="EQL",EH37="EQH"),G37,"")</f>
        <v/>
      </c>
      <c r="ET37" s="15" t="str">
        <f>IF(OR(EI37="EQL",EI37="EQH"),H37,"")</f>
        <v/>
      </c>
      <c r="EU37" s="15" t="str">
        <f>IF(OR(EJ37="EQL",EJ37="EQH"),I37,"")</f>
        <v/>
      </c>
      <c r="EV37" s="15" t="str">
        <f>IF(OR(EK37="EQL",EK37="EQH"),J37,"")</f>
        <v/>
      </c>
      <c r="EW37" s="15" t="str">
        <f>IF(OR(EL37="EQL",EL37="EQH"),K37,"")</f>
        <v/>
      </c>
      <c r="EX37" s="15" t="str">
        <f>IF(OR(EM37="EQL",EM37="EQH"),L37,"")</f>
        <v/>
      </c>
      <c r="EY37" s="15" t="str">
        <f>IF(OR(EN37="EQL",EN37="EQH"),M37,"")</f>
        <v/>
      </c>
      <c r="EZ37" s="15" t="str">
        <f>IF(OR(EO37="EQL",EO37="EQH"),N37,"")</f>
        <v/>
      </c>
      <c r="FA37" s="15" t="str">
        <f>IF(OR(EP37="EQL",EP37="EQH"),O37,"")</f>
        <v/>
      </c>
      <c r="FB37" s="15" t="str">
        <f>IF(OR(EQ37="EQL",EQ37="EQH"),P37,"")</f>
        <v/>
      </c>
      <c r="FC37" s="15" t="str">
        <f>IF(AND(EG37="EQL",OR(AQ37=4,AQ37=5)),"IEQL",IF(AND(EG37="EQH",OR(AQ37=1,AQ37=2)),"IEQH",""))</f>
        <v/>
      </c>
      <c r="FD37" s="15" t="str">
        <f>IF(AND(EH37="EQL",OR(AR37=4,AR37=5)),"IEQL",IF(AND(EH37="EQH",OR(AR37=1,AR37=2)),"IEQH",""))</f>
        <v/>
      </c>
      <c r="FE37" s="15" t="str">
        <f>IF(AND(EI37="EQL",OR(AS37=4,AS37=5)),"IEQL",IF(AND(EI37="EQH",OR(AS37=1,AS37=2)),"IEQH",""))</f>
        <v/>
      </c>
      <c r="FF37" s="15" t="str">
        <f>IF(AND(EJ37="EQL",OR(AT37=4,AT37=5)),"IEQL",IF(AND(EJ37="EQH",OR(AT37=1,AT37=2)),"IEQH",""))</f>
        <v/>
      </c>
      <c r="FG37" s="15" t="str">
        <f>IF(AND(EK37="EQL",OR(AU37=4,AU37=5)),"IEQL",IF(AND(EK37="EQH",OR(AU37=1,AU37=2)),"IEQH",""))</f>
        <v/>
      </c>
      <c r="FH37" s="15" t="str">
        <f>IF(AND(EL37="EQL",OR(AV37=4,AV37=5)),"IEQL",IF(AND(EL37="EQH",OR(AV37=1,AV37=2)),"IEQH",""))</f>
        <v/>
      </c>
      <c r="FI37" s="15" t="str">
        <f>IF(AND(EM37="EQL",OR(AW37=4,AW37=5)),"IEQL",IF(AND(EM37="EQH",OR(AW37=1,AW37=2)),"IEQH",""))</f>
        <v/>
      </c>
      <c r="FJ37" s="15" t="str">
        <f>IF(AND(EN37="EQL",OR(AX37=4,AX37=5)),"IEQL",IF(AND(EN37="EQH",OR(AX37=1,AX37=2)),"IEQH",""))</f>
        <v/>
      </c>
      <c r="FK37" s="15" t="str">
        <f>IF(AND(EO37="EQL",OR(AY37=4,AY37=5)),"IEQL",IF(AND(EO37="EQH",OR(AY37=1,AY37=2)),"IEQH",""))</f>
        <v/>
      </c>
      <c r="FL37" s="15" t="str">
        <f>IF(AND(EP37="EQL",OR(AZ37=4,AZ37=5)),"IEQL",IF(AND(EP37="EQH",OR(AZ37=1,AZ37=2)),"IEQH",""))</f>
        <v/>
      </c>
      <c r="FM37" s="15" t="str">
        <f>IF(AND(EQ37="EQL",OR(BA37=4,BA37=5)),"IEQL",IF(AND(EQ37="EQH",OR(BA37=1,BA37=2)),"IEQH",""))</f>
        <v/>
      </c>
      <c r="FN37" s="15" t="str">
        <f>IF(OR(AND(DJ37="LL",AP37=5),AND(DJ37="HH",AP37=2)),F37,"")</f>
        <v/>
      </c>
      <c r="FO37" s="15" t="str">
        <f>IF(FN37&lt;&gt;"",F36,"")</f>
        <v/>
      </c>
    </row>
    <row r="38" spans="1:171" s="15" customFormat="1" x14ac:dyDescent="0.55000000000000004">
      <c r="A38" s="15">
        <v>1774933206</v>
      </c>
      <c r="B38" s="15" t="s">
        <v>16</v>
      </c>
      <c r="C38" s="15" t="s">
        <v>17</v>
      </c>
      <c r="D38" s="15">
        <v>4550.47</v>
      </c>
      <c r="E38" s="15" t="s">
        <v>18</v>
      </c>
      <c r="F38" s="15">
        <v>4548.26</v>
      </c>
      <c r="G38" s="15">
        <f t="shared" si="110"/>
        <v>4482.6899999999996</v>
      </c>
      <c r="H38" s="15">
        <f t="shared" ref="H38:H69" si="120">F34</f>
        <v>4492.83</v>
      </c>
      <c r="I38" s="15">
        <f t="shared" si="20"/>
        <v>4493.1400000000003</v>
      </c>
      <c r="J38" s="15">
        <f t="shared" si="30"/>
        <v>4420.2700000000004</v>
      </c>
      <c r="K38" s="15">
        <f t="shared" si="40"/>
        <v>4404.32</v>
      </c>
      <c r="L38" s="15">
        <f t="shared" si="50"/>
        <v>4375.68</v>
      </c>
      <c r="M38" s="15">
        <f t="shared" si="60"/>
        <v>4359.29</v>
      </c>
      <c r="N38" s="15">
        <f t="shared" si="70"/>
        <v>4413.24</v>
      </c>
      <c r="O38" s="15">
        <f t="shared" si="80"/>
        <v>4487.1000000000004</v>
      </c>
      <c r="P38" s="15">
        <f t="shared" si="90"/>
        <v>4522.33</v>
      </c>
      <c r="Q38" s="15">
        <f t="shared" si="100"/>
        <v>4527.99</v>
      </c>
      <c r="R38" s="15">
        <v>-71.58</v>
      </c>
      <c r="S38" s="15">
        <f t="shared" si="111"/>
        <v>-45.97</v>
      </c>
      <c r="T38" s="15">
        <f t="shared" ref="T38:T69" si="121">R34</f>
        <v>-31.02</v>
      </c>
      <c r="U38" s="15">
        <f t="shared" si="21"/>
        <v>-87.45</v>
      </c>
      <c r="V38" s="15">
        <f t="shared" si="31"/>
        <v>-134.72999999999999</v>
      </c>
      <c r="W38" s="15">
        <f t="shared" si="41"/>
        <v>-70.8</v>
      </c>
      <c r="X38" s="15">
        <f t="shared" si="51"/>
        <v>-44.88</v>
      </c>
      <c r="Y38" s="15">
        <f t="shared" si="61"/>
        <v>-119.85</v>
      </c>
      <c r="Z38" s="15">
        <f t="shared" si="71"/>
        <v>-131.05000000000001</v>
      </c>
      <c r="AA38" s="15">
        <f t="shared" si="81"/>
        <v>-81.86</v>
      </c>
      <c r="AB38" s="15">
        <f t="shared" si="91"/>
        <v>-63.18</v>
      </c>
      <c r="AC38" s="15">
        <f t="shared" si="101"/>
        <v>-39.74</v>
      </c>
      <c r="AD38" s="15">
        <v>-1.55</v>
      </c>
      <c r="AE38" s="15">
        <f t="shared" si="112"/>
        <v>-1.02</v>
      </c>
      <c r="AF38" s="15">
        <f t="shared" ref="AF38:AF69" si="122">AD34</f>
        <v>-0.69</v>
      </c>
      <c r="AG38" s="15">
        <f t="shared" si="22"/>
        <v>-1.91</v>
      </c>
      <c r="AH38" s="15">
        <f t="shared" si="32"/>
        <v>-2.96</v>
      </c>
      <c r="AI38" s="15">
        <f t="shared" si="42"/>
        <v>-1.58</v>
      </c>
      <c r="AJ38" s="15">
        <f t="shared" si="52"/>
        <v>-1.02</v>
      </c>
      <c r="AK38" s="15">
        <f t="shared" si="62"/>
        <v>-2.68</v>
      </c>
      <c r="AL38" s="15">
        <f t="shared" si="72"/>
        <v>-2.88</v>
      </c>
      <c r="AM38" s="15">
        <f t="shared" si="82"/>
        <v>-1.79</v>
      </c>
      <c r="AN38" s="15">
        <f t="shared" si="92"/>
        <v>-1.38</v>
      </c>
      <c r="AO38" s="15">
        <f t="shared" si="102"/>
        <v>-0.87</v>
      </c>
      <c r="AP38" s="15">
        <v>3</v>
      </c>
      <c r="AQ38" s="15">
        <f t="shared" si="113"/>
        <v>3</v>
      </c>
      <c r="AR38" s="15">
        <f t="shared" ref="AR38:AR69" si="123">AP34</f>
        <v>3</v>
      </c>
      <c r="AS38" s="15">
        <f t="shared" si="23"/>
        <v>3</v>
      </c>
      <c r="AT38" s="15">
        <f t="shared" si="33"/>
        <v>3</v>
      </c>
      <c r="AU38" s="15">
        <f t="shared" si="43"/>
        <v>3</v>
      </c>
      <c r="AV38" s="15">
        <f t="shared" si="53"/>
        <v>3</v>
      </c>
      <c r="AW38" s="15">
        <f t="shared" si="63"/>
        <v>3</v>
      </c>
      <c r="AX38" s="15">
        <f t="shared" si="73"/>
        <v>3</v>
      </c>
      <c r="AY38" s="15">
        <f t="shared" si="83"/>
        <v>3</v>
      </c>
      <c r="AZ38" s="15">
        <f t="shared" si="93"/>
        <v>3</v>
      </c>
      <c r="BA38" s="15">
        <f t="shared" si="103"/>
        <v>3</v>
      </c>
      <c r="BB38" s="15">
        <v>13</v>
      </c>
      <c r="BC38" s="15">
        <f t="shared" si="114"/>
        <v>1</v>
      </c>
      <c r="BD38" s="15">
        <f t="shared" ref="BD38:BD69" si="124">BB34</f>
        <v>4</v>
      </c>
      <c r="BE38" s="15">
        <f t="shared" si="24"/>
        <v>30</v>
      </c>
      <c r="BF38" s="15">
        <f t="shared" si="34"/>
        <v>31</v>
      </c>
      <c r="BG38" s="15">
        <f t="shared" si="44"/>
        <v>22</v>
      </c>
      <c r="BH38" s="15">
        <f t="shared" si="54"/>
        <v>13</v>
      </c>
      <c r="BI38" s="15">
        <f t="shared" si="64"/>
        <v>21</v>
      </c>
      <c r="BJ38" s="15">
        <f t="shared" si="74"/>
        <v>30</v>
      </c>
      <c r="BK38" s="15">
        <f t="shared" si="84"/>
        <v>4</v>
      </c>
      <c r="BL38" s="15">
        <f t="shared" si="94"/>
        <v>4</v>
      </c>
      <c r="BM38" s="15">
        <f t="shared" si="104"/>
        <v>3</v>
      </c>
      <c r="BN38" s="15">
        <v>3</v>
      </c>
      <c r="BO38" s="15">
        <f t="shared" si="115"/>
        <v>3</v>
      </c>
      <c r="BP38" s="15">
        <f t="shared" ref="BP38:BP69" si="125">BN34</f>
        <v>3</v>
      </c>
      <c r="BQ38" s="15">
        <f t="shared" si="25"/>
        <v>3</v>
      </c>
      <c r="BR38" s="15">
        <f t="shared" si="35"/>
        <v>3</v>
      </c>
      <c r="BS38" s="15">
        <f t="shared" si="45"/>
        <v>3</v>
      </c>
      <c r="BT38" s="15">
        <f t="shared" si="55"/>
        <v>3</v>
      </c>
      <c r="BU38" s="15">
        <f t="shared" si="65"/>
        <v>3</v>
      </c>
      <c r="BV38" s="15">
        <f t="shared" si="75"/>
        <v>3</v>
      </c>
      <c r="BW38" s="15">
        <f t="shared" si="85"/>
        <v>3</v>
      </c>
      <c r="BX38" s="15">
        <f t="shared" si="95"/>
        <v>3</v>
      </c>
      <c r="BY38" s="15">
        <f t="shared" si="105"/>
        <v>3</v>
      </c>
      <c r="BZ38" s="15">
        <v>-5.5061499999999999</v>
      </c>
      <c r="CA38" s="15">
        <f t="shared" si="116"/>
        <v>-45.97</v>
      </c>
      <c r="CB38" s="15">
        <f t="shared" ref="CB38:CB69" si="126">BZ34</f>
        <v>-7.7549999999999999</v>
      </c>
      <c r="CC38" s="15">
        <f t="shared" si="26"/>
        <v>-2.915</v>
      </c>
      <c r="CD38" s="15">
        <f t="shared" si="36"/>
        <v>-4.3461299999999996</v>
      </c>
      <c r="CE38" s="15">
        <f t="shared" si="46"/>
        <v>-3.2181799999999998</v>
      </c>
      <c r="CF38" s="15">
        <f t="shared" si="56"/>
        <v>-3.4523100000000002</v>
      </c>
      <c r="CG38" s="15">
        <f t="shared" si="66"/>
        <v>-5.7071399999999999</v>
      </c>
      <c r="CH38" s="15">
        <f t="shared" si="76"/>
        <v>-4.3683300000000003</v>
      </c>
      <c r="CI38" s="15">
        <f t="shared" si="86"/>
        <v>-20.465</v>
      </c>
      <c r="CJ38" s="15">
        <f t="shared" si="96"/>
        <v>-15.795</v>
      </c>
      <c r="CK38" s="15">
        <f t="shared" si="106"/>
        <v>-13.24667</v>
      </c>
      <c r="CL38" s="15">
        <v>3</v>
      </c>
      <c r="CM38" s="15">
        <f t="shared" si="117"/>
        <v>5</v>
      </c>
      <c r="CN38" s="15">
        <f t="shared" ref="CN38:CN69" si="127">CL34</f>
        <v>3</v>
      </c>
      <c r="CO38" s="15">
        <f t="shared" si="27"/>
        <v>3</v>
      </c>
      <c r="CP38" s="15">
        <f t="shared" si="37"/>
        <v>3</v>
      </c>
      <c r="CQ38" s="15">
        <f t="shared" si="47"/>
        <v>3</v>
      </c>
      <c r="CR38" s="15">
        <f t="shared" si="57"/>
        <v>3</v>
      </c>
      <c r="CS38" s="15">
        <f t="shared" si="67"/>
        <v>3</v>
      </c>
      <c r="CT38" s="15">
        <f t="shared" si="77"/>
        <v>3</v>
      </c>
      <c r="CU38" s="15">
        <f t="shared" si="87"/>
        <v>5</v>
      </c>
      <c r="CV38" s="15">
        <f t="shared" si="97"/>
        <v>4</v>
      </c>
      <c r="CW38" s="15">
        <f t="shared" si="107"/>
        <v>3</v>
      </c>
      <c r="CX38" s="15">
        <v>-79.706400000000002</v>
      </c>
      <c r="CY38" s="15">
        <f t="shared" si="118"/>
        <v>-88.753799999999998</v>
      </c>
      <c r="CZ38" s="15">
        <f t="shared" ref="CZ38:CZ69" si="128">CX34</f>
        <v>-82.652299999999997</v>
      </c>
      <c r="DA38" s="15">
        <f t="shared" si="28"/>
        <v>-71.065299999999993</v>
      </c>
      <c r="DB38" s="15">
        <f t="shared" si="38"/>
        <v>-77.042299999999997</v>
      </c>
      <c r="DC38" s="15">
        <f t="shared" si="48"/>
        <v>-72.738200000000006</v>
      </c>
      <c r="DD38" s="15">
        <f t="shared" si="58"/>
        <v>-73.845699999999994</v>
      </c>
      <c r="DE38" s="15">
        <f t="shared" si="68"/>
        <v>-80.061599999999999</v>
      </c>
      <c r="DF38" s="15">
        <f t="shared" si="78"/>
        <v>-77.105999999999995</v>
      </c>
      <c r="DG38" s="15">
        <f t="shared" si="88"/>
        <v>-87.202500000000001</v>
      </c>
      <c r="DH38" s="15">
        <f t="shared" si="98"/>
        <v>-86.377399999999994</v>
      </c>
      <c r="DI38" s="15">
        <f t="shared" si="108"/>
        <v>-85.682900000000004</v>
      </c>
      <c r="DJ38" s="15" t="s">
        <v>22</v>
      </c>
      <c r="DK38" s="15" t="str">
        <f t="shared" si="119"/>
        <v>LL</v>
      </c>
      <c r="DL38" s="15" t="str">
        <f t="shared" ref="DL38:DL69" si="129">DJ34</f>
        <v>LL</v>
      </c>
      <c r="DM38" s="15" t="str">
        <f t="shared" si="29"/>
        <v>HL</v>
      </c>
      <c r="DN38" s="15" t="str">
        <f t="shared" si="39"/>
        <v>HL</v>
      </c>
      <c r="DO38" s="15" t="str">
        <f t="shared" si="49"/>
        <v>HL</v>
      </c>
      <c r="DP38" s="15" t="str">
        <f t="shared" si="59"/>
        <v>HL</v>
      </c>
      <c r="DQ38" s="15" t="str">
        <f t="shared" si="69"/>
        <v>LL</v>
      </c>
      <c r="DR38" s="15" t="str">
        <f t="shared" si="79"/>
        <v>LL</v>
      </c>
      <c r="DS38" s="15" t="str">
        <f t="shared" si="89"/>
        <v>LL</v>
      </c>
      <c r="DT38" s="15" t="str">
        <f t="shared" si="99"/>
        <v>LL</v>
      </c>
      <c r="DU38" s="15" t="str">
        <f t="shared" si="109"/>
        <v>LL</v>
      </c>
      <c r="DV38" s="15">
        <f>IFERROR((G38-$F38)/$F38*100,"")</f>
        <v>-1.4416502134882487</v>
      </c>
      <c r="DW38" s="15">
        <f>IFERROR((H38-$F38)/$F38*100,"")</f>
        <v>-1.2187078135374909</v>
      </c>
      <c r="DX38" s="15">
        <f>IFERROR((I38-$F38)/$F38*100,"")</f>
        <v>-1.2118920202451022</v>
      </c>
      <c r="DY38" s="15">
        <f>IFERROR((J38-$F38)/$F38*100,"")</f>
        <v>-2.814043172553895</v>
      </c>
      <c r="DZ38" s="15">
        <f>IFERROR((K38-$F38)/$F38*100,"")</f>
        <v>-3.1647267306618465</v>
      </c>
      <c r="EA38" s="15">
        <f>IFERROR((L38-$F38)/$F38*100,"")</f>
        <v>-3.7944180851578384</v>
      </c>
      <c r="EB38" s="15">
        <f>IFERROR((M38-$F38)/$F38*100,"")</f>
        <v>-4.1547756724549663</v>
      </c>
      <c r="EC38" s="15">
        <f>IFERROR((N38-$F38)/$F38*100,"")</f>
        <v>-2.968607775281106</v>
      </c>
      <c r="ED38" s="15">
        <f>IFERROR((O38-$F38)/$F38*100,"")</f>
        <v>-1.3446900572966332</v>
      </c>
      <c r="EE38" s="15">
        <f>IFERROR((P38-$F38)/$F38*100,"")</f>
        <v>-0.57010812926262555</v>
      </c>
      <c r="EF38" s="15">
        <f>IFERROR((Q38-$F38)/$F38*100,"")</f>
        <v>-0.44566493560175618</v>
      </c>
      <c r="EG38" s="15" t="str">
        <f>IF(DV38="","",IF(AND(ABS(DV38)&lt;=0.25,$E38="Bottom",DK38="LL"),"EQL",IF(AND(ABS(DV38)&lt;=0.25,$E38="Peak",DK38="HH"),"EQH","")))</f>
        <v/>
      </c>
      <c r="EH38" s="15" t="str">
        <f>IF(DW38="","",IF(AND(ABS(DW38)&lt;=0.25,$E38="Bottom",DL38="LL"),"EQL",IF(AND(ABS(DW38)&lt;=0.25,$E38="Peak",DL38="HH"),"EQH","")))</f>
        <v/>
      </c>
      <c r="EI38" s="15" t="str">
        <f>IF(DX38="","",IF(AND(ABS(DX38)&lt;=0.25,$E38="Bottom",DM38="LL"),"EQL",IF(AND(ABS(DX38)&lt;=0.25,$E38="Peak",DM38="HH"),"EQH","")))</f>
        <v/>
      </c>
      <c r="EJ38" s="15" t="str">
        <f>IF(DY38="","",IF(AND(ABS(DY38)&lt;=0.25,$E38="Bottom",DN38="LL"),"EQL",IF(AND(ABS(DY38)&lt;=0.25,$E38="Peak",DN38="HH"),"EQH","")))</f>
        <v/>
      </c>
      <c r="EK38" s="15" t="str">
        <f>IF(DZ38="","",IF(AND(ABS(DZ38)&lt;=0.25,$E38="Bottom",DO38="LL"),"EQL",IF(AND(ABS(DZ38)&lt;=0.25,$E38="Peak",DO38="HH"),"EQH","")))</f>
        <v/>
      </c>
      <c r="EL38" s="15" t="str">
        <f>IF(EA38="","",IF(AND(ABS(EA38)&lt;=0.25,$E38="Bottom",DP38="LL"),"EQL",IF(AND(ABS(EA38)&lt;=0.25,$E38="Peak",DP38="HH"),"EQH","")))</f>
        <v/>
      </c>
      <c r="EM38" s="15" t="str">
        <f>IF(EB38="","",IF(AND(ABS(EB38)&lt;=0.25,$E38="Bottom",DQ38="LL"),"EQL",IF(AND(ABS(EB38)&lt;=0.25,$E38="Peak",DQ38="HH"),"EQH","")))</f>
        <v/>
      </c>
      <c r="EN38" s="15" t="str">
        <f>IF(EC38="","",IF(AND(ABS(EC38)&lt;=0.25,$E38="Bottom",DR38="LL"),"EQL",IF(AND(ABS(EC38)&lt;=0.25,$E38="Peak",DR38="HH"),"EQH","")))</f>
        <v/>
      </c>
      <c r="EO38" s="15" t="str">
        <f>IF(ED38="","",IF(AND(ABS(ED38)&lt;=0.25,$E38="Bottom",DS38="LL"),"EQL",IF(AND(ABS(ED38)&lt;=0.25,$E38="Peak",DS38="HH"),"EQH","")))</f>
        <v/>
      </c>
      <c r="EP38" s="15" t="str">
        <f>IF(EE38="","",IF(AND(ABS(EE38)&lt;=0.25,$E38="Bottom",DT38="LL"),"EQL",IF(AND(ABS(EE38)&lt;=0.25,$E38="Peak",DT38="HH"),"EQH","")))</f>
        <v/>
      </c>
      <c r="EQ38" s="15" t="str">
        <f>IF(EF38="","",IF(AND(ABS(EF38)&lt;=0.25,$E38="Bottom",DU38="LL"),"EQL",IF(AND(ABS(EF38)&lt;=0.25,$E38="Peak",DU38="HH"),"EQH","")))</f>
        <v/>
      </c>
      <c r="ER38" s="15" t="str">
        <f>IF(OR(EG38="EQL",EG38="EQH"),F38,"")</f>
        <v/>
      </c>
      <c r="ES38" s="15" t="str">
        <f>IF(OR(EH38="EQL",EH38="EQH"),G38,"")</f>
        <v/>
      </c>
      <c r="ET38" s="15" t="str">
        <f>IF(OR(EI38="EQL",EI38="EQH"),H38,"")</f>
        <v/>
      </c>
      <c r="EU38" s="15" t="str">
        <f>IF(OR(EJ38="EQL",EJ38="EQH"),I38,"")</f>
        <v/>
      </c>
      <c r="EV38" s="15" t="str">
        <f>IF(OR(EK38="EQL",EK38="EQH"),J38,"")</f>
        <v/>
      </c>
      <c r="EW38" s="15" t="str">
        <f>IF(OR(EL38="EQL",EL38="EQH"),K38,"")</f>
        <v/>
      </c>
      <c r="EX38" s="15" t="str">
        <f>IF(OR(EM38="EQL",EM38="EQH"),L38,"")</f>
        <v/>
      </c>
      <c r="EY38" s="15" t="str">
        <f>IF(OR(EN38="EQL",EN38="EQH"),M38,"")</f>
        <v/>
      </c>
      <c r="EZ38" s="15" t="str">
        <f>IF(OR(EO38="EQL",EO38="EQH"),N38,"")</f>
        <v/>
      </c>
      <c r="FA38" s="15" t="str">
        <f>IF(OR(EP38="EQL",EP38="EQH"),O38,"")</f>
        <v/>
      </c>
      <c r="FB38" s="15" t="str">
        <f>IF(OR(EQ38="EQL",EQ38="EQH"),P38,"")</f>
        <v/>
      </c>
      <c r="FC38" s="15" t="str">
        <f>IF(AND(EG38="EQL",OR(AQ38=4,AQ38=5)),"IEQL",IF(AND(EG38="EQH",OR(AQ38=1,AQ38=2)),"IEQH",""))</f>
        <v/>
      </c>
      <c r="FD38" s="15" t="str">
        <f>IF(AND(EH38="EQL",OR(AR38=4,AR38=5)),"IEQL",IF(AND(EH38="EQH",OR(AR38=1,AR38=2)),"IEQH",""))</f>
        <v/>
      </c>
      <c r="FE38" s="15" t="str">
        <f>IF(AND(EI38="EQL",OR(AS38=4,AS38=5)),"IEQL",IF(AND(EI38="EQH",OR(AS38=1,AS38=2)),"IEQH",""))</f>
        <v/>
      </c>
      <c r="FF38" s="15" t="str">
        <f>IF(AND(EJ38="EQL",OR(AT38=4,AT38=5)),"IEQL",IF(AND(EJ38="EQH",OR(AT38=1,AT38=2)),"IEQH",""))</f>
        <v/>
      </c>
      <c r="FG38" s="15" t="str">
        <f>IF(AND(EK38="EQL",OR(AU38=4,AU38=5)),"IEQL",IF(AND(EK38="EQH",OR(AU38=1,AU38=2)),"IEQH",""))</f>
        <v/>
      </c>
      <c r="FH38" s="15" t="str">
        <f>IF(AND(EL38="EQL",OR(AV38=4,AV38=5)),"IEQL",IF(AND(EL38="EQH",OR(AV38=1,AV38=2)),"IEQH",""))</f>
        <v/>
      </c>
      <c r="FI38" s="15" t="str">
        <f>IF(AND(EM38="EQL",OR(AW38=4,AW38=5)),"IEQL",IF(AND(EM38="EQH",OR(AW38=1,AW38=2)),"IEQH",""))</f>
        <v/>
      </c>
      <c r="FJ38" s="15" t="str">
        <f>IF(AND(EN38="EQL",OR(AX38=4,AX38=5)),"IEQL",IF(AND(EN38="EQH",OR(AX38=1,AX38=2)),"IEQH",""))</f>
        <v/>
      </c>
      <c r="FK38" s="15" t="str">
        <f>IF(AND(EO38="EQL",OR(AY38=4,AY38=5)),"IEQL",IF(AND(EO38="EQH",OR(AY38=1,AY38=2)),"IEQH",""))</f>
        <v/>
      </c>
      <c r="FL38" s="15" t="str">
        <f>IF(AND(EP38="EQL",OR(AZ38=4,AZ38=5)),"IEQL",IF(AND(EP38="EQH",OR(AZ38=1,AZ38=2)),"IEQH",""))</f>
        <v/>
      </c>
      <c r="FM38" s="15" t="str">
        <f>IF(AND(EQ38="EQL",OR(BA38=4,BA38=5)),"IEQL",IF(AND(EQ38="EQH",OR(BA38=1,BA38=2)),"IEQH",""))</f>
        <v/>
      </c>
      <c r="FN38" s="15" t="str">
        <f>IF(OR(AND(DJ38="LL",AP38=5),AND(DJ38="HH",AP38=2)),F38,"")</f>
        <v/>
      </c>
      <c r="FO38" s="15" t="str">
        <f>IF(FN38&lt;&gt;"",F37,"")</f>
        <v/>
      </c>
    </row>
    <row r="39" spans="1:171" s="15" customFormat="1" x14ac:dyDescent="0.55000000000000004">
      <c r="A39" s="15">
        <v>1774935906</v>
      </c>
      <c r="B39" s="15" t="s">
        <v>16</v>
      </c>
      <c r="C39" s="15" t="s">
        <v>17</v>
      </c>
      <c r="D39" s="15">
        <v>4568.88</v>
      </c>
      <c r="E39" s="15" t="s">
        <v>20</v>
      </c>
      <c r="F39" s="15">
        <v>4581.6400000000003</v>
      </c>
      <c r="G39" s="15">
        <f t="shared" si="110"/>
        <v>4619.84</v>
      </c>
      <c r="H39" s="15">
        <f t="shared" si="120"/>
        <v>4528.66</v>
      </c>
      <c r="I39" s="15">
        <f t="shared" si="20"/>
        <v>4523.8500000000004</v>
      </c>
      <c r="J39" s="15">
        <f t="shared" si="30"/>
        <v>4580.59</v>
      </c>
      <c r="K39" s="15">
        <f t="shared" si="40"/>
        <v>4555</v>
      </c>
      <c r="L39" s="15">
        <f t="shared" si="50"/>
        <v>4475.12</v>
      </c>
      <c r="M39" s="15">
        <f t="shared" si="60"/>
        <v>4420.5600000000004</v>
      </c>
      <c r="N39" s="15">
        <f t="shared" si="70"/>
        <v>4479.1400000000003</v>
      </c>
      <c r="O39" s="15">
        <f t="shared" si="80"/>
        <v>4544.29</v>
      </c>
      <c r="P39" s="15">
        <f t="shared" si="90"/>
        <v>4568.96</v>
      </c>
      <c r="Q39" s="15">
        <f t="shared" si="100"/>
        <v>4585.51</v>
      </c>
      <c r="R39" s="15">
        <v>33.380000000000003</v>
      </c>
      <c r="S39" s="15">
        <f t="shared" si="111"/>
        <v>137.15</v>
      </c>
      <c r="T39" s="15">
        <f t="shared" si="121"/>
        <v>35.83</v>
      </c>
      <c r="U39" s="15">
        <f t="shared" si="21"/>
        <v>30.71</v>
      </c>
      <c r="V39" s="15">
        <f t="shared" si="31"/>
        <v>160.32</v>
      </c>
      <c r="W39" s="15">
        <f t="shared" si="41"/>
        <v>150.68</v>
      </c>
      <c r="X39" s="15">
        <f t="shared" si="51"/>
        <v>99.44</v>
      </c>
      <c r="Y39" s="15">
        <f t="shared" si="61"/>
        <v>61.27</v>
      </c>
      <c r="Z39" s="15">
        <f t="shared" si="71"/>
        <v>65.900000000000006</v>
      </c>
      <c r="AA39" s="15">
        <f t="shared" si="81"/>
        <v>57.19</v>
      </c>
      <c r="AB39" s="15">
        <f t="shared" si="91"/>
        <v>46.63</v>
      </c>
      <c r="AC39" s="15">
        <f t="shared" si="101"/>
        <v>57.52</v>
      </c>
      <c r="AD39" s="15">
        <v>0.73</v>
      </c>
      <c r="AE39" s="15">
        <f t="shared" si="112"/>
        <v>3.06</v>
      </c>
      <c r="AF39" s="15">
        <f t="shared" si="122"/>
        <v>0.8</v>
      </c>
      <c r="AG39" s="15">
        <f t="shared" si="22"/>
        <v>0.68</v>
      </c>
      <c r="AH39" s="15">
        <f t="shared" si="32"/>
        <v>3.63</v>
      </c>
      <c r="AI39" s="15">
        <f t="shared" si="42"/>
        <v>3.42</v>
      </c>
      <c r="AJ39" s="15">
        <f t="shared" si="52"/>
        <v>2.27</v>
      </c>
      <c r="AK39" s="15">
        <f t="shared" si="62"/>
        <v>1.41</v>
      </c>
      <c r="AL39" s="15">
        <f t="shared" si="72"/>
        <v>1.49</v>
      </c>
      <c r="AM39" s="15">
        <f t="shared" si="82"/>
        <v>1.27</v>
      </c>
      <c r="AN39" s="15">
        <f t="shared" si="92"/>
        <v>1.03</v>
      </c>
      <c r="AO39" s="15">
        <f t="shared" si="102"/>
        <v>1.27</v>
      </c>
      <c r="AP39" s="15">
        <v>0</v>
      </c>
      <c r="AQ39" s="15">
        <f t="shared" si="113"/>
        <v>0</v>
      </c>
      <c r="AR39" s="15">
        <f t="shared" si="123"/>
        <v>0</v>
      </c>
      <c r="AS39" s="15">
        <f t="shared" si="23"/>
        <v>0</v>
      </c>
      <c r="AT39" s="15">
        <f t="shared" si="33"/>
        <v>0</v>
      </c>
      <c r="AU39" s="15">
        <f t="shared" si="43"/>
        <v>0</v>
      </c>
      <c r="AV39" s="15">
        <f t="shared" si="53"/>
        <v>0</v>
      </c>
      <c r="AW39" s="15">
        <f t="shared" si="63"/>
        <v>0</v>
      </c>
      <c r="AX39" s="15">
        <f t="shared" si="73"/>
        <v>0</v>
      </c>
      <c r="AY39" s="15">
        <f t="shared" si="83"/>
        <v>0</v>
      </c>
      <c r="AZ39" s="15">
        <f t="shared" si="93"/>
        <v>0</v>
      </c>
      <c r="BA39" s="15">
        <f t="shared" si="103"/>
        <v>0</v>
      </c>
      <c r="BB39" s="15">
        <v>3</v>
      </c>
      <c r="BC39" s="15">
        <f t="shared" si="114"/>
        <v>6</v>
      </c>
      <c r="BD39" s="15">
        <f t="shared" si="124"/>
        <v>4</v>
      </c>
      <c r="BE39" s="15">
        <f t="shared" si="24"/>
        <v>7</v>
      </c>
      <c r="BF39" s="15">
        <f t="shared" si="34"/>
        <v>47</v>
      </c>
      <c r="BG39" s="15">
        <f t="shared" si="44"/>
        <v>17</v>
      </c>
      <c r="BH39" s="15">
        <f t="shared" si="54"/>
        <v>19</v>
      </c>
      <c r="BI39" s="15">
        <f t="shared" si="64"/>
        <v>3</v>
      </c>
      <c r="BJ39" s="15">
        <f t="shared" si="74"/>
        <v>24</v>
      </c>
      <c r="BK39" s="15">
        <f t="shared" si="84"/>
        <v>20</v>
      </c>
      <c r="BL39" s="15">
        <f t="shared" si="94"/>
        <v>22</v>
      </c>
      <c r="BM39" s="15">
        <f t="shared" si="104"/>
        <v>7</v>
      </c>
      <c r="BN39" s="15">
        <v>0</v>
      </c>
      <c r="BO39" s="15">
        <f t="shared" si="115"/>
        <v>0</v>
      </c>
      <c r="BP39" s="15">
        <f t="shared" si="125"/>
        <v>0</v>
      </c>
      <c r="BQ39" s="15">
        <f t="shared" si="25"/>
        <v>0</v>
      </c>
      <c r="BR39" s="15">
        <f t="shared" si="35"/>
        <v>2</v>
      </c>
      <c r="BS39" s="15">
        <f t="shared" si="45"/>
        <v>0</v>
      </c>
      <c r="BT39" s="15">
        <f t="shared" si="55"/>
        <v>0</v>
      </c>
      <c r="BU39" s="15">
        <f t="shared" si="65"/>
        <v>0</v>
      </c>
      <c r="BV39" s="15">
        <f t="shared" si="75"/>
        <v>0</v>
      </c>
      <c r="BW39" s="15">
        <f t="shared" si="85"/>
        <v>0</v>
      </c>
      <c r="BX39" s="15">
        <f t="shared" si="95"/>
        <v>0</v>
      </c>
      <c r="BY39" s="15">
        <f t="shared" si="105"/>
        <v>0</v>
      </c>
      <c r="BZ39" s="15">
        <v>11.126670000000001</v>
      </c>
      <c r="CA39" s="15">
        <f t="shared" si="116"/>
        <v>22.858329999999999</v>
      </c>
      <c r="CB39" s="15">
        <f t="shared" si="126"/>
        <v>8.9574999999999996</v>
      </c>
      <c r="CC39" s="15">
        <f t="shared" si="26"/>
        <v>4.3871399999999996</v>
      </c>
      <c r="CD39" s="15">
        <f t="shared" si="36"/>
        <v>3.41106</v>
      </c>
      <c r="CE39" s="15">
        <f t="shared" si="46"/>
        <v>8.8635300000000008</v>
      </c>
      <c r="CF39" s="15">
        <f t="shared" si="56"/>
        <v>5.2336799999999997</v>
      </c>
      <c r="CG39" s="15">
        <f t="shared" si="66"/>
        <v>20.42333</v>
      </c>
      <c r="CH39" s="15">
        <f t="shared" si="76"/>
        <v>2.7458300000000002</v>
      </c>
      <c r="CI39" s="15">
        <f t="shared" si="86"/>
        <v>2.8595000000000002</v>
      </c>
      <c r="CJ39" s="15">
        <f t="shared" si="96"/>
        <v>2.1195499999999998</v>
      </c>
      <c r="CK39" s="15">
        <f t="shared" si="106"/>
        <v>8.2171400000000006</v>
      </c>
      <c r="CL39" s="15">
        <v>0</v>
      </c>
      <c r="CM39" s="15">
        <f t="shared" si="117"/>
        <v>1</v>
      </c>
      <c r="CN39" s="15">
        <f t="shared" si="127"/>
        <v>0</v>
      </c>
      <c r="CO39" s="15">
        <f t="shared" si="27"/>
        <v>0</v>
      </c>
      <c r="CP39" s="15">
        <f t="shared" si="37"/>
        <v>0</v>
      </c>
      <c r="CQ39" s="15">
        <f t="shared" si="47"/>
        <v>0</v>
      </c>
      <c r="CR39" s="15">
        <f t="shared" si="57"/>
        <v>0</v>
      </c>
      <c r="CS39" s="15">
        <f t="shared" si="67"/>
        <v>2</v>
      </c>
      <c r="CT39" s="15">
        <f t="shared" si="77"/>
        <v>0</v>
      </c>
      <c r="CU39" s="15">
        <f t="shared" si="87"/>
        <v>0</v>
      </c>
      <c r="CV39" s="15">
        <f t="shared" si="97"/>
        <v>0</v>
      </c>
      <c r="CW39" s="15">
        <f t="shared" si="107"/>
        <v>0</v>
      </c>
      <c r="CX39" s="15">
        <v>84.864400000000003</v>
      </c>
      <c r="CY39" s="15">
        <f t="shared" si="118"/>
        <v>87.495000000000005</v>
      </c>
      <c r="CZ39" s="15">
        <f t="shared" si="128"/>
        <v>83.63</v>
      </c>
      <c r="DA39" s="15">
        <f t="shared" si="28"/>
        <v>77.159499999999994</v>
      </c>
      <c r="DB39" s="15">
        <f t="shared" si="38"/>
        <v>73.660799999999995</v>
      </c>
      <c r="DC39" s="15">
        <f t="shared" si="48"/>
        <v>83.563000000000002</v>
      </c>
      <c r="DD39" s="15">
        <f t="shared" si="58"/>
        <v>79.182900000000004</v>
      </c>
      <c r="DE39" s="15">
        <f t="shared" si="68"/>
        <v>87.196799999999996</v>
      </c>
      <c r="DF39" s="15">
        <f t="shared" si="78"/>
        <v>69.989000000000004</v>
      </c>
      <c r="DG39" s="15">
        <f t="shared" si="88"/>
        <v>70.724699999999999</v>
      </c>
      <c r="DH39" s="15">
        <f t="shared" si="98"/>
        <v>64.742099999999994</v>
      </c>
      <c r="DI39" s="15">
        <f t="shared" si="108"/>
        <v>83.061400000000006</v>
      </c>
      <c r="DJ39" s="15" t="s">
        <v>21</v>
      </c>
      <c r="DK39" s="15" t="str">
        <f t="shared" si="119"/>
        <v>HH</v>
      </c>
      <c r="DL39" s="15" t="str">
        <f t="shared" si="129"/>
        <v>HH</v>
      </c>
      <c r="DM39" s="15" t="str">
        <f t="shared" si="29"/>
        <v>LH</v>
      </c>
      <c r="DN39" s="15" t="str">
        <f t="shared" si="39"/>
        <v>HH</v>
      </c>
      <c r="DO39" s="15" t="str">
        <f t="shared" si="49"/>
        <v>HH</v>
      </c>
      <c r="DP39" s="15" t="str">
        <f t="shared" si="59"/>
        <v>HH</v>
      </c>
      <c r="DQ39" s="15" t="str">
        <f t="shared" si="69"/>
        <v>LH</v>
      </c>
      <c r="DR39" s="15" t="str">
        <f t="shared" si="79"/>
        <v>LH</v>
      </c>
      <c r="DS39" s="15" t="str">
        <f t="shared" si="89"/>
        <v>LH</v>
      </c>
      <c r="DT39" s="15" t="str">
        <f t="shared" si="99"/>
        <v>LH</v>
      </c>
      <c r="DU39" s="15" t="str">
        <f t="shared" si="109"/>
        <v>HH</v>
      </c>
      <c r="DV39" s="15">
        <f>IFERROR((G39-$F39)/$F39*100,"")</f>
        <v>0.83376258283059812</v>
      </c>
      <c r="DW39" s="15">
        <f>IFERROR((H39-$F39)/$F39*100,"")</f>
        <v>-1.1563544931509344</v>
      </c>
      <c r="DX39" s="15">
        <f>IFERROR((I39-$F39)/$F39*100,"")</f>
        <v>-1.261338734601583</v>
      </c>
      <c r="DY39" s="15">
        <f>IFERROR((J39-$F39)/$F39*100,"")</f>
        <v>-2.2917557905033609E-2</v>
      </c>
      <c r="DZ39" s="15">
        <f>IFERROR((K39-$F39)/$F39*100,"")</f>
        <v>-0.58145118341904478</v>
      </c>
      <c r="EA39" s="15">
        <f>IFERROR((L39-$F39)/$F39*100,"")</f>
        <v>-2.3249316838512066</v>
      </c>
      <c r="EB39" s="15">
        <f>IFERROR((M39-$F39)/$F39*100,"")</f>
        <v>-3.5157716450877832</v>
      </c>
      <c r="EC39" s="15">
        <f>IFERROR((N39-$F39)/$F39*100,"")</f>
        <v>-2.2371901764433693</v>
      </c>
      <c r="ED39" s="15">
        <f>IFERROR((O39-$F39)/$F39*100,"")</f>
        <v>-0.81521027405034796</v>
      </c>
      <c r="EE39" s="15">
        <f>IFERROR((P39-$F39)/$F39*100,"")</f>
        <v>-0.27675679451026902</v>
      </c>
      <c r="EF39" s="15">
        <f>IFERROR((Q39-$F39)/$F39*100,"")</f>
        <v>8.4467570564249722E-2</v>
      </c>
      <c r="EG39" s="15" t="str">
        <f>IF(DV39="","",IF(AND(ABS(DV39)&lt;=0.25,$E39="Bottom",DK39="LL"),"EQL",IF(AND(ABS(DV39)&lt;=0.25,$E39="Peak",DK39="HH"),"EQH","")))</f>
        <v/>
      </c>
      <c r="EH39" s="15" t="str">
        <f>IF(DW39="","",IF(AND(ABS(DW39)&lt;=0.25,$E39="Bottom",DL39="LL"),"EQL",IF(AND(ABS(DW39)&lt;=0.25,$E39="Peak",DL39="HH"),"EQH","")))</f>
        <v/>
      </c>
      <c r="EI39" s="15" t="str">
        <f>IF(DX39="","",IF(AND(ABS(DX39)&lt;=0.25,$E39="Bottom",DM39="LL"),"EQL",IF(AND(ABS(DX39)&lt;=0.25,$E39="Peak",DM39="HH"),"EQH","")))</f>
        <v/>
      </c>
      <c r="EJ39" s="15" t="str">
        <f>IF(DY39="","",IF(AND(ABS(DY39)&lt;=0.25,$E39="Bottom",DN39="LL"),"EQL",IF(AND(ABS(DY39)&lt;=0.25,$E39="Peak",DN39="HH"),"EQH","")))</f>
        <v>EQH</v>
      </c>
      <c r="EK39" s="15" t="str">
        <f>IF(DZ39="","",IF(AND(ABS(DZ39)&lt;=0.25,$E39="Bottom",DO39="LL"),"EQL",IF(AND(ABS(DZ39)&lt;=0.25,$E39="Peak",DO39="HH"),"EQH","")))</f>
        <v/>
      </c>
      <c r="EL39" s="15" t="str">
        <f>IF(EA39="","",IF(AND(ABS(EA39)&lt;=0.25,$E39="Bottom",DP39="LL"),"EQL",IF(AND(ABS(EA39)&lt;=0.25,$E39="Peak",DP39="HH"),"EQH","")))</f>
        <v/>
      </c>
      <c r="EM39" s="15" t="str">
        <f>IF(EB39="","",IF(AND(ABS(EB39)&lt;=0.25,$E39="Bottom",DQ39="LL"),"EQL",IF(AND(ABS(EB39)&lt;=0.25,$E39="Peak",DQ39="HH"),"EQH","")))</f>
        <v/>
      </c>
      <c r="EN39" s="15" t="str">
        <f>IF(EC39="","",IF(AND(ABS(EC39)&lt;=0.25,$E39="Bottom",DR39="LL"),"EQL",IF(AND(ABS(EC39)&lt;=0.25,$E39="Peak",DR39="HH"),"EQH","")))</f>
        <v/>
      </c>
      <c r="EO39" s="15" t="str">
        <f>IF(ED39="","",IF(AND(ABS(ED39)&lt;=0.25,$E39="Bottom",DS39="LL"),"EQL",IF(AND(ABS(ED39)&lt;=0.25,$E39="Peak",DS39="HH"),"EQH","")))</f>
        <v/>
      </c>
      <c r="EP39" s="15" t="str">
        <f>IF(EE39="","",IF(AND(ABS(EE39)&lt;=0.25,$E39="Bottom",DT39="LL"),"EQL",IF(AND(ABS(EE39)&lt;=0.25,$E39="Peak",DT39="HH"),"EQH","")))</f>
        <v/>
      </c>
      <c r="EQ39" s="15" t="str">
        <f>IF(EF39="","",IF(AND(ABS(EF39)&lt;=0.25,$E39="Bottom",DU39="LL"),"EQL",IF(AND(ABS(EF39)&lt;=0.25,$E39="Peak",DU39="HH"),"EQH","")))</f>
        <v>EQH</v>
      </c>
      <c r="ER39" s="15" t="str">
        <f>IF(OR(EG39="EQL",EG39="EQH"),F39,"")</f>
        <v/>
      </c>
      <c r="ES39" s="15" t="str">
        <f>IF(OR(EH39="EQL",EH39="EQH"),G39,"")</f>
        <v/>
      </c>
      <c r="ET39" s="15" t="str">
        <f>IF(OR(EI39="EQL",EI39="EQH"),H39,"")</f>
        <v/>
      </c>
      <c r="EU39" s="15">
        <f>IF(OR(EJ39="EQL",EJ39="EQH"),I39,"")</f>
        <v>4523.8500000000004</v>
      </c>
      <c r="EV39" s="15" t="str">
        <f>IF(OR(EK39="EQL",EK39="EQH"),J39,"")</f>
        <v/>
      </c>
      <c r="EW39" s="15" t="str">
        <f>IF(OR(EL39="EQL",EL39="EQH"),K39,"")</f>
        <v/>
      </c>
      <c r="EX39" s="15" t="str">
        <f>IF(OR(EM39="EQL",EM39="EQH"),L39,"")</f>
        <v/>
      </c>
      <c r="EY39" s="15" t="str">
        <f>IF(OR(EN39="EQL",EN39="EQH"),M39,"")</f>
        <v/>
      </c>
      <c r="EZ39" s="15" t="str">
        <f>IF(OR(EO39="EQL",EO39="EQH"),N39,"")</f>
        <v/>
      </c>
      <c r="FA39" s="15" t="str">
        <f>IF(OR(EP39="EQL",EP39="EQH"),O39,"")</f>
        <v/>
      </c>
      <c r="FB39" s="15">
        <f>IF(OR(EQ39="EQL",EQ39="EQH"),P39,"")</f>
        <v>4568.96</v>
      </c>
      <c r="FC39" s="15" t="str">
        <f>IF(AND(EG39="EQL",OR(AQ39=4,AQ39=5)),"IEQL",IF(AND(EG39="EQH",OR(AQ39=1,AQ39=2)),"IEQH",""))</f>
        <v/>
      </c>
      <c r="FD39" s="15" t="str">
        <f>IF(AND(EH39="EQL",OR(AR39=4,AR39=5)),"IEQL",IF(AND(EH39="EQH",OR(AR39=1,AR39=2)),"IEQH",""))</f>
        <v/>
      </c>
      <c r="FE39" s="15" t="str">
        <f>IF(AND(EI39="EQL",OR(AS39=4,AS39=5)),"IEQL",IF(AND(EI39="EQH",OR(AS39=1,AS39=2)),"IEQH",""))</f>
        <v/>
      </c>
      <c r="FF39" s="15" t="str">
        <f>IF(AND(EJ39="EQL",OR(AT39=4,AT39=5)),"IEQL",IF(AND(EJ39="EQH",OR(AT39=1,AT39=2)),"IEQH",""))</f>
        <v/>
      </c>
      <c r="FG39" s="15" t="str">
        <f>IF(AND(EK39="EQL",OR(AU39=4,AU39=5)),"IEQL",IF(AND(EK39="EQH",OR(AU39=1,AU39=2)),"IEQH",""))</f>
        <v/>
      </c>
      <c r="FH39" s="15" t="str">
        <f>IF(AND(EL39="EQL",OR(AV39=4,AV39=5)),"IEQL",IF(AND(EL39="EQH",OR(AV39=1,AV39=2)),"IEQH",""))</f>
        <v/>
      </c>
      <c r="FI39" s="15" t="str">
        <f>IF(AND(EM39="EQL",OR(AW39=4,AW39=5)),"IEQL",IF(AND(EM39="EQH",OR(AW39=1,AW39=2)),"IEQH",""))</f>
        <v/>
      </c>
      <c r="FJ39" s="15" t="str">
        <f>IF(AND(EN39="EQL",OR(AX39=4,AX39=5)),"IEQL",IF(AND(EN39="EQH",OR(AX39=1,AX39=2)),"IEQH",""))</f>
        <v/>
      </c>
      <c r="FK39" s="15" t="str">
        <f>IF(AND(EO39="EQL",OR(AY39=4,AY39=5)),"IEQL",IF(AND(EO39="EQH",OR(AY39=1,AY39=2)),"IEQH",""))</f>
        <v/>
      </c>
      <c r="FL39" s="15" t="str">
        <f>IF(AND(EP39="EQL",OR(AZ39=4,AZ39=5)),"IEQL",IF(AND(EP39="EQH",OR(AZ39=1,AZ39=2)),"IEQH",""))</f>
        <v/>
      </c>
      <c r="FM39" s="15" t="str">
        <f>IF(AND(EQ39="EQL",OR(BA39=4,BA39=5)),"IEQL",IF(AND(EQ39="EQH",OR(BA39=1,BA39=2)),"IEQH",""))</f>
        <v/>
      </c>
      <c r="FN39" s="15" t="str">
        <f>IF(OR(AND(DJ39="LL",AP39=5),AND(DJ39="HH",AP39=2)),F39,"")</f>
        <v/>
      </c>
      <c r="FO39" s="15" t="str">
        <f>IF(FN39&lt;&gt;"",F38,"")</f>
        <v/>
      </c>
    </row>
    <row r="40" spans="1:171" s="15" customFormat="1" x14ac:dyDescent="0.55000000000000004">
      <c r="A40" s="15">
        <v>1774953006</v>
      </c>
      <c r="B40" s="15" t="s">
        <v>16</v>
      </c>
      <c r="C40" s="15" t="s">
        <v>17</v>
      </c>
      <c r="D40" s="15">
        <v>4541.2299999999996</v>
      </c>
      <c r="E40" s="15" t="s">
        <v>18</v>
      </c>
      <c r="F40" s="15">
        <v>4529.84</v>
      </c>
      <c r="G40" s="15">
        <f t="shared" si="110"/>
        <v>4548.26</v>
      </c>
      <c r="H40" s="15">
        <f t="shared" si="120"/>
        <v>4482.6899999999996</v>
      </c>
      <c r="I40" s="15">
        <f t="shared" ref="I40:I71" si="130">F34</f>
        <v>4492.83</v>
      </c>
      <c r="J40" s="15">
        <f t="shared" si="30"/>
        <v>4493.1400000000003</v>
      </c>
      <c r="K40" s="15">
        <f t="shared" si="40"/>
        <v>4420.2700000000004</v>
      </c>
      <c r="L40" s="15">
        <f t="shared" si="50"/>
        <v>4404.32</v>
      </c>
      <c r="M40" s="15">
        <f t="shared" si="60"/>
        <v>4375.68</v>
      </c>
      <c r="N40" s="15">
        <f t="shared" si="70"/>
        <v>4359.29</v>
      </c>
      <c r="O40" s="15">
        <f t="shared" si="80"/>
        <v>4413.24</v>
      </c>
      <c r="P40" s="15">
        <f t="shared" si="90"/>
        <v>4487.1000000000004</v>
      </c>
      <c r="Q40" s="15">
        <f t="shared" si="100"/>
        <v>4522.33</v>
      </c>
      <c r="R40" s="15">
        <v>-51.8</v>
      </c>
      <c r="S40" s="15">
        <f t="shared" si="111"/>
        <v>-71.58</v>
      </c>
      <c r="T40" s="15">
        <f t="shared" si="121"/>
        <v>-45.97</v>
      </c>
      <c r="U40" s="15">
        <f t="shared" ref="U40:U71" si="131">R34</f>
        <v>-31.02</v>
      </c>
      <c r="V40" s="15">
        <f t="shared" si="31"/>
        <v>-87.45</v>
      </c>
      <c r="W40" s="15">
        <f t="shared" si="41"/>
        <v>-134.72999999999999</v>
      </c>
      <c r="X40" s="15">
        <f t="shared" si="51"/>
        <v>-70.8</v>
      </c>
      <c r="Y40" s="15">
        <f t="shared" si="61"/>
        <v>-44.88</v>
      </c>
      <c r="Z40" s="15">
        <f t="shared" si="71"/>
        <v>-119.85</v>
      </c>
      <c r="AA40" s="15">
        <f t="shared" si="81"/>
        <v>-131.05000000000001</v>
      </c>
      <c r="AB40" s="15">
        <f t="shared" si="91"/>
        <v>-81.86</v>
      </c>
      <c r="AC40" s="15">
        <f t="shared" si="101"/>
        <v>-63.18</v>
      </c>
      <c r="AD40" s="15">
        <v>-1.1299999999999999</v>
      </c>
      <c r="AE40" s="15">
        <f t="shared" si="112"/>
        <v>-1.55</v>
      </c>
      <c r="AF40" s="15">
        <f t="shared" si="122"/>
        <v>-1.02</v>
      </c>
      <c r="AG40" s="15">
        <f t="shared" ref="AG40:AG71" si="132">AD34</f>
        <v>-0.69</v>
      </c>
      <c r="AH40" s="15">
        <f t="shared" si="32"/>
        <v>-1.91</v>
      </c>
      <c r="AI40" s="15">
        <f t="shared" si="42"/>
        <v>-2.96</v>
      </c>
      <c r="AJ40" s="15">
        <f t="shared" si="52"/>
        <v>-1.58</v>
      </c>
      <c r="AK40" s="15">
        <f t="shared" si="62"/>
        <v>-1.02</v>
      </c>
      <c r="AL40" s="15">
        <f t="shared" si="72"/>
        <v>-2.68</v>
      </c>
      <c r="AM40" s="15">
        <f t="shared" si="82"/>
        <v>-2.88</v>
      </c>
      <c r="AN40" s="15">
        <f t="shared" si="92"/>
        <v>-1.79</v>
      </c>
      <c r="AO40" s="15">
        <f t="shared" si="102"/>
        <v>-1.38</v>
      </c>
      <c r="AP40" s="15">
        <v>3</v>
      </c>
      <c r="AQ40" s="15">
        <f t="shared" si="113"/>
        <v>3</v>
      </c>
      <c r="AR40" s="15">
        <f t="shared" si="123"/>
        <v>3</v>
      </c>
      <c r="AS40" s="15">
        <f t="shared" ref="AS40:AS71" si="133">AP34</f>
        <v>3</v>
      </c>
      <c r="AT40" s="15">
        <f t="shared" si="33"/>
        <v>3</v>
      </c>
      <c r="AU40" s="15">
        <f t="shared" si="43"/>
        <v>3</v>
      </c>
      <c r="AV40" s="15">
        <f t="shared" si="53"/>
        <v>3</v>
      </c>
      <c r="AW40" s="15">
        <f t="shared" si="63"/>
        <v>3</v>
      </c>
      <c r="AX40" s="15">
        <f t="shared" si="73"/>
        <v>3</v>
      </c>
      <c r="AY40" s="15">
        <f t="shared" si="83"/>
        <v>3</v>
      </c>
      <c r="AZ40" s="15">
        <f t="shared" si="93"/>
        <v>3</v>
      </c>
      <c r="BA40" s="15">
        <f t="shared" si="103"/>
        <v>3</v>
      </c>
      <c r="BB40" s="15">
        <v>19</v>
      </c>
      <c r="BC40" s="15">
        <f t="shared" si="114"/>
        <v>13</v>
      </c>
      <c r="BD40" s="15">
        <f t="shared" si="124"/>
        <v>1</v>
      </c>
      <c r="BE40" s="15">
        <f t="shared" ref="BE40:BE71" si="134">BB34</f>
        <v>4</v>
      </c>
      <c r="BF40" s="15">
        <f t="shared" si="34"/>
        <v>30</v>
      </c>
      <c r="BG40" s="15">
        <f t="shared" si="44"/>
        <v>31</v>
      </c>
      <c r="BH40" s="15">
        <f t="shared" si="54"/>
        <v>22</v>
      </c>
      <c r="BI40" s="15">
        <f t="shared" si="64"/>
        <v>13</v>
      </c>
      <c r="BJ40" s="15">
        <f t="shared" si="74"/>
        <v>21</v>
      </c>
      <c r="BK40" s="15">
        <f t="shared" si="84"/>
        <v>30</v>
      </c>
      <c r="BL40" s="15">
        <f t="shared" si="94"/>
        <v>4</v>
      </c>
      <c r="BM40" s="15">
        <f t="shared" si="104"/>
        <v>4</v>
      </c>
      <c r="BN40" s="15">
        <v>3</v>
      </c>
      <c r="BO40" s="15">
        <f t="shared" si="115"/>
        <v>3</v>
      </c>
      <c r="BP40" s="15">
        <f t="shared" si="125"/>
        <v>3</v>
      </c>
      <c r="BQ40" s="15">
        <f t="shared" ref="BQ40:BQ71" si="135">BN34</f>
        <v>3</v>
      </c>
      <c r="BR40" s="15">
        <f t="shared" si="35"/>
        <v>3</v>
      </c>
      <c r="BS40" s="15">
        <f t="shared" si="45"/>
        <v>3</v>
      </c>
      <c r="BT40" s="15">
        <f t="shared" si="55"/>
        <v>3</v>
      </c>
      <c r="BU40" s="15">
        <f t="shared" si="65"/>
        <v>3</v>
      </c>
      <c r="BV40" s="15">
        <f t="shared" si="75"/>
        <v>3</v>
      </c>
      <c r="BW40" s="15">
        <f t="shared" si="85"/>
        <v>3</v>
      </c>
      <c r="BX40" s="15">
        <f t="shared" si="95"/>
        <v>3</v>
      </c>
      <c r="BY40" s="15">
        <f t="shared" si="105"/>
        <v>3</v>
      </c>
      <c r="BZ40" s="15">
        <v>-2.7263199999999999</v>
      </c>
      <c r="CA40" s="15">
        <f t="shared" si="116"/>
        <v>-5.5061499999999999</v>
      </c>
      <c r="CB40" s="15">
        <f t="shared" si="126"/>
        <v>-45.97</v>
      </c>
      <c r="CC40" s="15">
        <f t="shared" ref="CC40:CC71" si="136">BZ34</f>
        <v>-7.7549999999999999</v>
      </c>
      <c r="CD40" s="15">
        <f t="shared" si="36"/>
        <v>-2.915</v>
      </c>
      <c r="CE40" s="15">
        <f t="shared" si="46"/>
        <v>-4.3461299999999996</v>
      </c>
      <c r="CF40" s="15">
        <f t="shared" si="56"/>
        <v>-3.2181799999999998</v>
      </c>
      <c r="CG40" s="15">
        <f t="shared" si="66"/>
        <v>-3.4523100000000002</v>
      </c>
      <c r="CH40" s="15">
        <f t="shared" si="76"/>
        <v>-5.7071399999999999</v>
      </c>
      <c r="CI40" s="15">
        <f t="shared" si="86"/>
        <v>-4.3683300000000003</v>
      </c>
      <c r="CJ40" s="15">
        <f t="shared" si="96"/>
        <v>-20.465</v>
      </c>
      <c r="CK40" s="15">
        <f t="shared" si="106"/>
        <v>-15.795</v>
      </c>
      <c r="CL40" s="15">
        <v>3</v>
      </c>
      <c r="CM40" s="15">
        <f t="shared" si="117"/>
        <v>3</v>
      </c>
      <c r="CN40" s="15">
        <f t="shared" si="127"/>
        <v>5</v>
      </c>
      <c r="CO40" s="15">
        <f t="shared" ref="CO40:CO71" si="137">CL34</f>
        <v>3</v>
      </c>
      <c r="CP40" s="15">
        <f t="shared" si="37"/>
        <v>3</v>
      </c>
      <c r="CQ40" s="15">
        <f t="shared" si="47"/>
        <v>3</v>
      </c>
      <c r="CR40" s="15">
        <f t="shared" si="57"/>
        <v>3</v>
      </c>
      <c r="CS40" s="15">
        <f t="shared" si="67"/>
        <v>3</v>
      </c>
      <c r="CT40" s="15">
        <f t="shared" si="77"/>
        <v>3</v>
      </c>
      <c r="CU40" s="15">
        <f t="shared" si="87"/>
        <v>3</v>
      </c>
      <c r="CV40" s="15">
        <f t="shared" si="97"/>
        <v>5</v>
      </c>
      <c r="CW40" s="15">
        <f t="shared" si="107"/>
        <v>4</v>
      </c>
      <c r="CX40" s="15">
        <v>-69.857200000000006</v>
      </c>
      <c r="CY40" s="15">
        <f t="shared" si="118"/>
        <v>-79.706400000000002</v>
      </c>
      <c r="CZ40" s="15">
        <f t="shared" si="128"/>
        <v>-88.753799999999998</v>
      </c>
      <c r="DA40" s="15">
        <f t="shared" ref="DA40:DA71" si="138">CX34</f>
        <v>-82.652299999999997</v>
      </c>
      <c r="DB40" s="15">
        <f t="shared" si="38"/>
        <v>-71.065299999999993</v>
      </c>
      <c r="DC40" s="15">
        <f t="shared" si="48"/>
        <v>-77.042299999999997</v>
      </c>
      <c r="DD40" s="15">
        <f t="shared" si="58"/>
        <v>-72.738200000000006</v>
      </c>
      <c r="DE40" s="15">
        <f t="shared" si="68"/>
        <v>-73.845699999999994</v>
      </c>
      <c r="DF40" s="15">
        <f t="shared" si="78"/>
        <v>-80.061599999999999</v>
      </c>
      <c r="DG40" s="15">
        <f t="shared" si="88"/>
        <v>-77.105999999999995</v>
      </c>
      <c r="DH40" s="15">
        <f t="shared" si="98"/>
        <v>-87.202500000000001</v>
      </c>
      <c r="DI40" s="15">
        <f t="shared" si="108"/>
        <v>-86.377399999999994</v>
      </c>
      <c r="DJ40" s="15" t="s">
        <v>19</v>
      </c>
      <c r="DK40" s="15" t="str">
        <f t="shared" si="119"/>
        <v>HL</v>
      </c>
      <c r="DL40" s="15" t="str">
        <f t="shared" si="129"/>
        <v>LL</v>
      </c>
      <c r="DM40" s="15" t="str">
        <f t="shared" ref="DM40:DM71" si="139">DJ34</f>
        <v>LL</v>
      </c>
      <c r="DN40" s="15" t="str">
        <f t="shared" si="39"/>
        <v>HL</v>
      </c>
      <c r="DO40" s="15" t="str">
        <f t="shared" si="49"/>
        <v>HL</v>
      </c>
      <c r="DP40" s="15" t="str">
        <f t="shared" si="59"/>
        <v>HL</v>
      </c>
      <c r="DQ40" s="15" t="str">
        <f t="shared" si="69"/>
        <v>HL</v>
      </c>
      <c r="DR40" s="15" t="str">
        <f t="shared" si="79"/>
        <v>LL</v>
      </c>
      <c r="DS40" s="15" t="str">
        <f t="shared" si="89"/>
        <v>LL</v>
      </c>
      <c r="DT40" s="15" t="str">
        <f t="shared" si="99"/>
        <v>LL</v>
      </c>
      <c r="DU40" s="15" t="str">
        <f t="shared" si="109"/>
        <v>LL</v>
      </c>
      <c r="DV40" s="15">
        <f>IFERROR((G40-$F40)/$F40*100,"")</f>
        <v>0.40663687900676559</v>
      </c>
      <c r="DW40" s="15">
        <f>IFERROR((H40-$F40)/$F40*100,"")</f>
        <v>-1.0408756159158059</v>
      </c>
      <c r="DX40" s="15">
        <f>IFERROR((I40-$F40)/$F40*100,"")</f>
        <v>-0.81702664994790575</v>
      </c>
      <c r="DY40" s="15">
        <f>IFERROR((J40-$F40)/$F40*100,"")</f>
        <v>-0.81018314112639334</v>
      </c>
      <c r="DZ40" s="15">
        <f>IFERROR((K40-$F40)/$F40*100,"")</f>
        <v>-2.4188492308779055</v>
      </c>
      <c r="EA40" s="15">
        <f>IFERROR((L40-$F40)/$F40*100,"")</f>
        <v>-2.7709587976617369</v>
      </c>
      <c r="EB40" s="15">
        <f>IFERROR((M40-$F40)/$F40*100,"")</f>
        <v>-3.4032107094290276</v>
      </c>
      <c r="EC40" s="15">
        <f>IFERROR((N40-$F40)/$F40*100,"")</f>
        <v>-3.7650336435724041</v>
      </c>
      <c r="ED40" s="15">
        <f>IFERROR((O40-$F40)/$F40*100,"")</f>
        <v>-2.5740423502816956</v>
      </c>
      <c r="EE40" s="15">
        <f>IFERROR((P40-$F40)/$F40*100,"")</f>
        <v>-0.94352118397117302</v>
      </c>
      <c r="EF40" s="15">
        <f>IFERROR((Q40-$F40)/$F40*100,"")</f>
        <v>-0.16578952015965726</v>
      </c>
      <c r="EG40" s="15" t="str">
        <f>IF(DV40="","",IF(AND(ABS(DV40)&lt;=0.25,$E40="Bottom",DK40="LL"),"EQL",IF(AND(ABS(DV40)&lt;=0.25,$E40="Peak",DK40="HH"),"EQH","")))</f>
        <v/>
      </c>
      <c r="EH40" s="15" t="str">
        <f>IF(DW40="","",IF(AND(ABS(DW40)&lt;=0.25,$E40="Bottom",DL40="LL"),"EQL",IF(AND(ABS(DW40)&lt;=0.25,$E40="Peak",DL40="HH"),"EQH","")))</f>
        <v/>
      </c>
      <c r="EI40" s="15" t="str">
        <f>IF(DX40="","",IF(AND(ABS(DX40)&lt;=0.25,$E40="Bottom",DM40="LL"),"EQL",IF(AND(ABS(DX40)&lt;=0.25,$E40="Peak",DM40="HH"),"EQH","")))</f>
        <v/>
      </c>
      <c r="EJ40" s="15" t="str">
        <f>IF(DY40="","",IF(AND(ABS(DY40)&lt;=0.25,$E40="Bottom",DN40="LL"),"EQL",IF(AND(ABS(DY40)&lt;=0.25,$E40="Peak",DN40="HH"),"EQH","")))</f>
        <v/>
      </c>
      <c r="EK40" s="15" t="str">
        <f>IF(DZ40="","",IF(AND(ABS(DZ40)&lt;=0.25,$E40="Bottom",DO40="LL"),"EQL",IF(AND(ABS(DZ40)&lt;=0.25,$E40="Peak",DO40="HH"),"EQH","")))</f>
        <v/>
      </c>
      <c r="EL40" s="15" t="str">
        <f>IF(EA40="","",IF(AND(ABS(EA40)&lt;=0.25,$E40="Bottom",DP40="LL"),"EQL",IF(AND(ABS(EA40)&lt;=0.25,$E40="Peak",DP40="HH"),"EQH","")))</f>
        <v/>
      </c>
      <c r="EM40" s="15" t="str">
        <f>IF(EB40="","",IF(AND(ABS(EB40)&lt;=0.25,$E40="Bottom",DQ40="LL"),"EQL",IF(AND(ABS(EB40)&lt;=0.25,$E40="Peak",DQ40="HH"),"EQH","")))</f>
        <v/>
      </c>
      <c r="EN40" s="15" t="str">
        <f>IF(EC40="","",IF(AND(ABS(EC40)&lt;=0.25,$E40="Bottom",DR40="LL"),"EQL",IF(AND(ABS(EC40)&lt;=0.25,$E40="Peak",DR40="HH"),"EQH","")))</f>
        <v/>
      </c>
      <c r="EO40" s="15" t="str">
        <f>IF(ED40="","",IF(AND(ABS(ED40)&lt;=0.25,$E40="Bottom",DS40="LL"),"EQL",IF(AND(ABS(ED40)&lt;=0.25,$E40="Peak",DS40="HH"),"EQH","")))</f>
        <v/>
      </c>
      <c r="EP40" s="15" t="str">
        <f>IF(EE40="","",IF(AND(ABS(EE40)&lt;=0.25,$E40="Bottom",DT40="LL"),"EQL",IF(AND(ABS(EE40)&lt;=0.25,$E40="Peak",DT40="HH"),"EQH","")))</f>
        <v/>
      </c>
      <c r="EQ40" s="15" t="str">
        <f>IF(EF40="","",IF(AND(ABS(EF40)&lt;=0.25,$E40="Bottom",DU40="LL"),"EQL",IF(AND(ABS(EF40)&lt;=0.25,$E40="Peak",DU40="HH"),"EQH","")))</f>
        <v>EQL</v>
      </c>
      <c r="ER40" s="15" t="str">
        <f>IF(OR(EG40="EQL",EG40="EQH"),F40,"")</f>
        <v/>
      </c>
      <c r="ES40" s="15" t="str">
        <f>IF(OR(EH40="EQL",EH40="EQH"),G40,"")</f>
        <v/>
      </c>
      <c r="ET40" s="15" t="str">
        <f>IF(OR(EI40="EQL",EI40="EQH"),H40,"")</f>
        <v/>
      </c>
      <c r="EU40" s="15" t="str">
        <f>IF(OR(EJ40="EQL",EJ40="EQH"),I40,"")</f>
        <v/>
      </c>
      <c r="EV40" s="15" t="str">
        <f>IF(OR(EK40="EQL",EK40="EQH"),J40,"")</f>
        <v/>
      </c>
      <c r="EW40" s="15" t="str">
        <f>IF(OR(EL40="EQL",EL40="EQH"),K40,"")</f>
        <v/>
      </c>
      <c r="EX40" s="15" t="str">
        <f>IF(OR(EM40="EQL",EM40="EQH"),L40,"")</f>
        <v/>
      </c>
      <c r="EY40" s="15" t="str">
        <f>IF(OR(EN40="EQL",EN40="EQH"),M40,"")</f>
        <v/>
      </c>
      <c r="EZ40" s="15" t="str">
        <f>IF(OR(EO40="EQL",EO40="EQH"),N40,"")</f>
        <v/>
      </c>
      <c r="FA40" s="15" t="str">
        <f>IF(OR(EP40="EQL",EP40="EQH"),O40,"")</f>
        <v/>
      </c>
      <c r="FB40" s="15">
        <f>IF(OR(EQ40="EQL",EQ40="EQH"),P40,"")</f>
        <v>4487.1000000000004</v>
      </c>
      <c r="FC40" s="15" t="str">
        <f>IF(AND(EG40="EQL",OR(AQ40=4,AQ40=5)),"IEQL",IF(AND(EG40="EQH",OR(AQ40=1,AQ40=2)),"IEQH",""))</f>
        <v/>
      </c>
      <c r="FD40" s="15" t="str">
        <f>IF(AND(EH40="EQL",OR(AR40=4,AR40=5)),"IEQL",IF(AND(EH40="EQH",OR(AR40=1,AR40=2)),"IEQH",""))</f>
        <v/>
      </c>
      <c r="FE40" s="15" t="str">
        <f>IF(AND(EI40="EQL",OR(AS40=4,AS40=5)),"IEQL",IF(AND(EI40="EQH",OR(AS40=1,AS40=2)),"IEQH",""))</f>
        <v/>
      </c>
      <c r="FF40" s="15" t="str">
        <f>IF(AND(EJ40="EQL",OR(AT40=4,AT40=5)),"IEQL",IF(AND(EJ40="EQH",OR(AT40=1,AT40=2)),"IEQH",""))</f>
        <v/>
      </c>
      <c r="FG40" s="15" t="str">
        <f>IF(AND(EK40="EQL",OR(AU40=4,AU40=5)),"IEQL",IF(AND(EK40="EQH",OR(AU40=1,AU40=2)),"IEQH",""))</f>
        <v/>
      </c>
      <c r="FH40" s="15" t="str">
        <f>IF(AND(EL40="EQL",OR(AV40=4,AV40=5)),"IEQL",IF(AND(EL40="EQH",OR(AV40=1,AV40=2)),"IEQH",""))</f>
        <v/>
      </c>
      <c r="FI40" s="15" t="str">
        <f>IF(AND(EM40="EQL",OR(AW40=4,AW40=5)),"IEQL",IF(AND(EM40="EQH",OR(AW40=1,AW40=2)),"IEQH",""))</f>
        <v/>
      </c>
      <c r="FJ40" s="15" t="str">
        <f>IF(AND(EN40="EQL",OR(AX40=4,AX40=5)),"IEQL",IF(AND(EN40="EQH",OR(AX40=1,AX40=2)),"IEQH",""))</f>
        <v/>
      </c>
      <c r="FK40" s="15" t="str">
        <f>IF(AND(EO40="EQL",OR(AY40=4,AY40=5)),"IEQL",IF(AND(EO40="EQH",OR(AY40=1,AY40=2)),"IEQH",""))</f>
        <v/>
      </c>
      <c r="FL40" s="15" t="str">
        <f>IF(AND(EP40="EQL",OR(AZ40=4,AZ40=5)),"IEQL",IF(AND(EP40="EQH",OR(AZ40=1,AZ40=2)),"IEQH",""))</f>
        <v/>
      </c>
      <c r="FM40" s="15" t="str">
        <f>IF(AND(EQ40="EQL",OR(BA40=4,BA40=5)),"IEQL",IF(AND(EQ40="EQH",OR(BA40=1,BA40=2)),"IEQH",""))</f>
        <v/>
      </c>
      <c r="FN40" s="15" t="str">
        <f>IF(OR(AND(DJ40="LL",AP40=5),AND(DJ40="HH",AP40=2)),F40,"")</f>
        <v/>
      </c>
      <c r="FO40" s="15" t="str">
        <f>IF(FN40&lt;&gt;"",F39,"")</f>
        <v/>
      </c>
    </row>
    <row r="41" spans="1:171" s="15" customFormat="1" x14ac:dyDescent="0.55000000000000004">
      <c r="A41" s="15">
        <v>1775005206</v>
      </c>
      <c r="B41" s="15" t="s">
        <v>16</v>
      </c>
      <c r="C41" s="15" t="s">
        <v>17</v>
      </c>
      <c r="D41" s="15">
        <v>4708.04</v>
      </c>
      <c r="E41" s="15" t="s">
        <v>20</v>
      </c>
      <c r="F41" s="15">
        <v>4724.3999999999996</v>
      </c>
      <c r="G41" s="15">
        <f t="shared" si="110"/>
        <v>4581.6400000000003</v>
      </c>
      <c r="H41" s="15">
        <f t="shared" si="120"/>
        <v>4619.84</v>
      </c>
      <c r="I41" s="15">
        <f t="shared" si="130"/>
        <v>4528.66</v>
      </c>
      <c r="J41" s="15">
        <f t="shared" si="30"/>
        <v>4523.8500000000004</v>
      </c>
      <c r="K41" s="15">
        <f t="shared" si="40"/>
        <v>4580.59</v>
      </c>
      <c r="L41" s="15">
        <f t="shared" si="50"/>
        <v>4555</v>
      </c>
      <c r="M41" s="15">
        <f t="shared" si="60"/>
        <v>4475.12</v>
      </c>
      <c r="N41" s="15">
        <f t="shared" si="70"/>
        <v>4420.5600000000004</v>
      </c>
      <c r="O41" s="15">
        <f t="shared" si="80"/>
        <v>4479.1400000000003</v>
      </c>
      <c r="P41" s="15">
        <f t="shared" si="90"/>
        <v>4544.29</v>
      </c>
      <c r="Q41" s="15">
        <f t="shared" si="100"/>
        <v>4568.96</v>
      </c>
      <c r="R41" s="15">
        <v>194.56</v>
      </c>
      <c r="S41" s="15">
        <f t="shared" si="111"/>
        <v>33.380000000000003</v>
      </c>
      <c r="T41" s="15">
        <f t="shared" si="121"/>
        <v>137.15</v>
      </c>
      <c r="U41" s="15">
        <f t="shared" si="131"/>
        <v>35.83</v>
      </c>
      <c r="V41" s="15">
        <f t="shared" si="31"/>
        <v>30.71</v>
      </c>
      <c r="W41" s="15">
        <f t="shared" si="41"/>
        <v>160.32</v>
      </c>
      <c r="X41" s="15">
        <f t="shared" si="51"/>
        <v>150.68</v>
      </c>
      <c r="Y41" s="15">
        <f t="shared" si="61"/>
        <v>99.44</v>
      </c>
      <c r="Z41" s="15">
        <f t="shared" si="71"/>
        <v>61.27</v>
      </c>
      <c r="AA41" s="15">
        <f t="shared" si="81"/>
        <v>65.900000000000006</v>
      </c>
      <c r="AB41" s="15">
        <f t="shared" si="91"/>
        <v>57.19</v>
      </c>
      <c r="AC41" s="15">
        <f t="shared" si="101"/>
        <v>46.63</v>
      </c>
      <c r="AD41" s="15">
        <v>4.3</v>
      </c>
      <c r="AE41" s="15">
        <f t="shared" si="112"/>
        <v>0.73</v>
      </c>
      <c r="AF41" s="15">
        <f t="shared" si="122"/>
        <v>3.06</v>
      </c>
      <c r="AG41" s="15">
        <f t="shared" si="132"/>
        <v>0.8</v>
      </c>
      <c r="AH41" s="15">
        <f t="shared" si="32"/>
        <v>0.68</v>
      </c>
      <c r="AI41" s="15">
        <f t="shared" si="42"/>
        <v>3.63</v>
      </c>
      <c r="AJ41" s="15">
        <f t="shared" si="52"/>
        <v>3.42</v>
      </c>
      <c r="AK41" s="15">
        <f t="shared" si="62"/>
        <v>2.27</v>
      </c>
      <c r="AL41" s="15">
        <f t="shared" si="72"/>
        <v>1.41</v>
      </c>
      <c r="AM41" s="15">
        <f t="shared" si="82"/>
        <v>1.49</v>
      </c>
      <c r="AN41" s="15">
        <f t="shared" si="92"/>
        <v>1.27</v>
      </c>
      <c r="AO41" s="15">
        <f t="shared" si="102"/>
        <v>1.03</v>
      </c>
      <c r="AP41" s="15">
        <v>0</v>
      </c>
      <c r="AQ41" s="15">
        <f t="shared" si="113"/>
        <v>0</v>
      </c>
      <c r="AR41" s="15">
        <f t="shared" si="123"/>
        <v>0</v>
      </c>
      <c r="AS41" s="15">
        <f t="shared" si="133"/>
        <v>0</v>
      </c>
      <c r="AT41" s="15">
        <f t="shared" si="33"/>
        <v>0</v>
      </c>
      <c r="AU41" s="15">
        <f t="shared" si="43"/>
        <v>0</v>
      </c>
      <c r="AV41" s="15">
        <f t="shared" si="53"/>
        <v>0</v>
      </c>
      <c r="AW41" s="15">
        <f t="shared" si="63"/>
        <v>0</v>
      </c>
      <c r="AX41" s="15">
        <f t="shared" si="73"/>
        <v>0</v>
      </c>
      <c r="AY41" s="15">
        <f t="shared" si="83"/>
        <v>0</v>
      </c>
      <c r="AZ41" s="15">
        <f t="shared" si="93"/>
        <v>0</v>
      </c>
      <c r="BA41" s="15">
        <f t="shared" si="103"/>
        <v>0</v>
      </c>
      <c r="BB41" s="15">
        <v>54</v>
      </c>
      <c r="BC41" s="15">
        <f t="shared" si="114"/>
        <v>3</v>
      </c>
      <c r="BD41" s="15">
        <f t="shared" si="124"/>
        <v>6</v>
      </c>
      <c r="BE41" s="15">
        <f t="shared" si="134"/>
        <v>4</v>
      </c>
      <c r="BF41" s="15">
        <f t="shared" si="34"/>
        <v>7</v>
      </c>
      <c r="BG41" s="15">
        <f t="shared" si="44"/>
        <v>47</v>
      </c>
      <c r="BH41" s="15">
        <f t="shared" si="54"/>
        <v>17</v>
      </c>
      <c r="BI41" s="15">
        <f t="shared" si="64"/>
        <v>19</v>
      </c>
      <c r="BJ41" s="15">
        <f t="shared" si="74"/>
        <v>3</v>
      </c>
      <c r="BK41" s="15">
        <f t="shared" si="84"/>
        <v>24</v>
      </c>
      <c r="BL41" s="15">
        <f t="shared" si="94"/>
        <v>20</v>
      </c>
      <c r="BM41" s="15">
        <f t="shared" si="104"/>
        <v>22</v>
      </c>
      <c r="BN41" s="15">
        <v>2</v>
      </c>
      <c r="BO41" s="15">
        <f t="shared" si="115"/>
        <v>0</v>
      </c>
      <c r="BP41" s="15">
        <f t="shared" si="125"/>
        <v>0</v>
      </c>
      <c r="BQ41" s="15">
        <f t="shared" si="135"/>
        <v>0</v>
      </c>
      <c r="BR41" s="15">
        <f t="shared" si="35"/>
        <v>0</v>
      </c>
      <c r="BS41" s="15">
        <f t="shared" si="45"/>
        <v>2</v>
      </c>
      <c r="BT41" s="15">
        <f t="shared" si="55"/>
        <v>0</v>
      </c>
      <c r="BU41" s="15">
        <f t="shared" si="65"/>
        <v>0</v>
      </c>
      <c r="BV41" s="15">
        <f t="shared" si="75"/>
        <v>0</v>
      </c>
      <c r="BW41" s="15">
        <f t="shared" si="85"/>
        <v>0</v>
      </c>
      <c r="BX41" s="15">
        <f t="shared" si="95"/>
        <v>0</v>
      </c>
      <c r="BY41" s="15">
        <f t="shared" si="105"/>
        <v>0</v>
      </c>
      <c r="BZ41" s="15">
        <v>3.6029599999999999</v>
      </c>
      <c r="CA41" s="15">
        <f t="shared" si="116"/>
        <v>11.126670000000001</v>
      </c>
      <c r="CB41" s="15">
        <f t="shared" si="126"/>
        <v>22.858329999999999</v>
      </c>
      <c r="CC41" s="15">
        <f t="shared" si="136"/>
        <v>8.9574999999999996</v>
      </c>
      <c r="CD41" s="15">
        <f t="shared" si="36"/>
        <v>4.3871399999999996</v>
      </c>
      <c r="CE41" s="15">
        <f t="shared" si="46"/>
        <v>3.41106</v>
      </c>
      <c r="CF41" s="15">
        <f t="shared" si="56"/>
        <v>8.8635300000000008</v>
      </c>
      <c r="CG41" s="15">
        <f t="shared" si="66"/>
        <v>5.2336799999999997</v>
      </c>
      <c r="CH41" s="15">
        <f t="shared" si="76"/>
        <v>20.42333</v>
      </c>
      <c r="CI41" s="15">
        <f t="shared" si="86"/>
        <v>2.7458300000000002</v>
      </c>
      <c r="CJ41" s="15">
        <f t="shared" si="96"/>
        <v>2.8595000000000002</v>
      </c>
      <c r="CK41" s="15">
        <f t="shared" si="106"/>
        <v>2.1195499999999998</v>
      </c>
      <c r="CL41" s="15">
        <v>0</v>
      </c>
      <c r="CM41" s="15">
        <f t="shared" si="117"/>
        <v>0</v>
      </c>
      <c r="CN41" s="15">
        <f t="shared" si="127"/>
        <v>1</v>
      </c>
      <c r="CO41" s="15">
        <f t="shared" si="137"/>
        <v>0</v>
      </c>
      <c r="CP41" s="15">
        <f t="shared" si="37"/>
        <v>0</v>
      </c>
      <c r="CQ41" s="15">
        <f t="shared" si="47"/>
        <v>0</v>
      </c>
      <c r="CR41" s="15">
        <f t="shared" si="57"/>
        <v>0</v>
      </c>
      <c r="CS41" s="15">
        <f t="shared" si="67"/>
        <v>0</v>
      </c>
      <c r="CT41" s="15">
        <f t="shared" si="77"/>
        <v>2</v>
      </c>
      <c r="CU41" s="15">
        <f t="shared" si="87"/>
        <v>0</v>
      </c>
      <c r="CV41" s="15">
        <f t="shared" si="97"/>
        <v>0</v>
      </c>
      <c r="CW41" s="15">
        <f t="shared" si="107"/>
        <v>0</v>
      </c>
      <c r="CX41" s="15">
        <v>74.488</v>
      </c>
      <c r="CY41" s="15">
        <f t="shared" si="118"/>
        <v>84.864400000000003</v>
      </c>
      <c r="CZ41" s="15">
        <f t="shared" si="128"/>
        <v>87.495000000000005</v>
      </c>
      <c r="DA41" s="15">
        <f t="shared" si="138"/>
        <v>83.63</v>
      </c>
      <c r="DB41" s="15">
        <f t="shared" si="38"/>
        <v>77.159499999999994</v>
      </c>
      <c r="DC41" s="15">
        <f t="shared" si="48"/>
        <v>73.660799999999995</v>
      </c>
      <c r="DD41" s="15">
        <f t="shared" si="58"/>
        <v>83.563000000000002</v>
      </c>
      <c r="DE41" s="15">
        <f t="shared" si="68"/>
        <v>79.182900000000004</v>
      </c>
      <c r="DF41" s="15">
        <f t="shared" si="78"/>
        <v>87.196799999999996</v>
      </c>
      <c r="DG41" s="15">
        <f t="shared" si="88"/>
        <v>69.989000000000004</v>
      </c>
      <c r="DH41" s="15">
        <f t="shared" si="98"/>
        <v>70.724699999999999</v>
      </c>
      <c r="DI41" s="15">
        <f t="shared" si="108"/>
        <v>64.742099999999994</v>
      </c>
      <c r="DJ41" s="15" t="s">
        <v>23</v>
      </c>
      <c r="DK41" s="15" t="str">
        <f t="shared" si="119"/>
        <v>LH</v>
      </c>
      <c r="DL41" s="15" t="str">
        <f t="shared" si="129"/>
        <v>HH</v>
      </c>
      <c r="DM41" s="15" t="str">
        <f t="shared" si="139"/>
        <v>HH</v>
      </c>
      <c r="DN41" s="15" t="str">
        <f t="shared" si="39"/>
        <v>LH</v>
      </c>
      <c r="DO41" s="15" t="str">
        <f t="shared" si="49"/>
        <v>HH</v>
      </c>
      <c r="DP41" s="15" t="str">
        <f t="shared" si="59"/>
        <v>HH</v>
      </c>
      <c r="DQ41" s="15" t="str">
        <f t="shared" si="69"/>
        <v>HH</v>
      </c>
      <c r="DR41" s="15" t="str">
        <f t="shared" si="79"/>
        <v>LH</v>
      </c>
      <c r="DS41" s="15" t="str">
        <f t="shared" si="89"/>
        <v>LH</v>
      </c>
      <c r="DT41" s="15" t="str">
        <f t="shared" si="99"/>
        <v>LH</v>
      </c>
      <c r="DU41" s="15" t="str">
        <f t="shared" si="109"/>
        <v>LH</v>
      </c>
      <c r="DV41" s="15">
        <f>IFERROR((G41-$F41)/$F41*100,"")</f>
        <v>-3.0217593768520725</v>
      </c>
      <c r="DW41" s="15">
        <f>IFERROR((H41-$F41)/$F41*100,"")</f>
        <v>-2.2131910930488421</v>
      </c>
      <c r="DX41" s="15">
        <f>IFERROR((I41-$F41)/$F41*100,"")</f>
        <v>-4.1431716196765684</v>
      </c>
      <c r="DY41" s="15">
        <f>IFERROR((J41-$F41)/$F41*100,"")</f>
        <v>-4.2449834899669652</v>
      </c>
      <c r="DZ41" s="15">
        <f>IFERROR((K41-$F41)/$F41*100,"")</f>
        <v>-3.0439844213021652</v>
      </c>
      <c r="EA41" s="15">
        <f>IFERROR((L41-$F41)/$F41*100,"")</f>
        <v>-3.5856405046143354</v>
      </c>
      <c r="EB41" s="15">
        <f>IFERROR((M41-$F41)/$F41*100,"")</f>
        <v>-5.2764372195411013</v>
      </c>
      <c r="EC41" s="15">
        <f>IFERROR((N41-$F41)/$F41*100,"")</f>
        <v>-6.4312928625857095</v>
      </c>
      <c r="ED41" s="15">
        <f>IFERROR((O41-$F41)/$F41*100,"")</f>
        <v>-5.1913470493607514</v>
      </c>
      <c r="EE41" s="15">
        <f>IFERROR((P41-$F41)/$F41*100,"")</f>
        <v>-3.8123359580052427</v>
      </c>
      <c r="EF41" s="15">
        <f>IFERROR((Q41-$F41)/$F41*100,"")</f>
        <v>-3.2901532469731523</v>
      </c>
      <c r="EG41" s="15" t="str">
        <f>IF(DV41="","",IF(AND(ABS(DV41)&lt;=0.25,$E41="Bottom",DK41="LL"),"EQL",IF(AND(ABS(DV41)&lt;=0.25,$E41="Peak",DK41="HH"),"EQH","")))</f>
        <v/>
      </c>
      <c r="EH41" s="15" t="str">
        <f>IF(DW41="","",IF(AND(ABS(DW41)&lt;=0.25,$E41="Bottom",DL41="LL"),"EQL",IF(AND(ABS(DW41)&lt;=0.25,$E41="Peak",DL41="HH"),"EQH","")))</f>
        <v/>
      </c>
      <c r="EI41" s="15" t="str">
        <f>IF(DX41="","",IF(AND(ABS(DX41)&lt;=0.25,$E41="Bottom",DM41="LL"),"EQL",IF(AND(ABS(DX41)&lt;=0.25,$E41="Peak",DM41="HH"),"EQH","")))</f>
        <v/>
      </c>
      <c r="EJ41" s="15" t="str">
        <f>IF(DY41="","",IF(AND(ABS(DY41)&lt;=0.25,$E41="Bottom",DN41="LL"),"EQL",IF(AND(ABS(DY41)&lt;=0.25,$E41="Peak",DN41="HH"),"EQH","")))</f>
        <v/>
      </c>
      <c r="EK41" s="15" t="str">
        <f>IF(DZ41="","",IF(AND(ABS(DZ41)&lt;=0.25,$E41="Bottom",DO41="LL"),"EQL",IF(AND(ABS(DZ41)&lt;=0.25,$E41="Peak",DO41="HH"),"EQH","")))</f>
        <v/>
      </c>
      <c r="EL41" s="15" t="str">
        <f>IF(EA41="","",IF(AND(ABS(EA41)&lt;=0.25,$E41="Bottom",DP41="LL"),"EQL",IF(AND(ABS(EA41)&lt;=0.25,$E41="Peak",DP41="HH"),"EQH","")))</f>
        <v/>
      </c>
      <c r="EM41" s="15" t="str">
        <f>IF(EB41="","",IF(AND(ABS(EB41)&lt;=0.25,$E41="Bottom",DQ41="LL"),"EQL",IF(AND(ABS(EB41)&lt;=0.25,$E41="Peak",DQ41="HH"),"EQH","")))</f>
        <v/>
      </c>
      <c r="EN41" s="15" t="str">
        <f>IF(EC41="","",IF(AND(ABS(EC41)&lt;=0.25,$E41="Bottom",DR41="LL"),"EQL",IF(AND(ABS(EC41)&lt;=0.25,$E41="Peak",DR41="HH"),"EQH","")))</f>
        <v/>
      </c>
      <c r="EO41" s="15" t="str">
        <f>IF(ED41="","",IF(AND(ABS(ED41)&lt;=0.25,$E41="Bottom",DS41="LL"),"EQL",IF(AND(ABS(ED41)&lt;=0.25,$E41="Peak",DS41="HH"),"EQH","")))</f>
        <v/>
      </c>
      <c r="EP41" s="15" t="str">
        <f>IF(EE41="","",IF(AND(ABS(EE41)&lt;=0.25,$E41="Bottom",DT41="LL"),"EQL",IF(AND(ABS(EE41)&lt;=0.25,$E41="Peak",DT41="HH"),"EQH","")))</f>
        <v/>
      </c>
      <c r="EQ41" s="15" t="str">
        <f>IF(EF41="","",IF(AND(ABS(EF41)&lt;=0.25,$E41="Bottom",DU41="LL"),"EQL",IF(AND(ABS(EF41)&lt;=0.25,$E41="Peak",DU41="HH"),"EQH","")))</f>
        <v/>
      </c>
      <c r="ER41" s="15" t="str">
        <f>IF(OR(EG41="EQL",EG41="EQH"),F41,"")</f>
        <v/>
      </c>
      <c r="ES41" s="15" t="str">
        <f>IF(OR(EH41="EQL",EH41="EQH"),G41,"")</f>
        <v/>
      </c>
      <c r="ET41" s="15" t="str">
        <f>IF(OR(EI41="EQL",EI41="EQH"),H41,"")</f>
        <v/>
      </c>
      <c r="EU41" s="15" t="str">
        <f>IF(OR(EJ41="EQL",EJ41="EQH"),I41,"")</f>
        <v/>
      </c>
      <c r="EV41" s="15" t="str">
        <f>IF(OR(EK41="EQL",EK41="EQH"),J41,"")</f>
        <v/>
      </c>
      <c r="EW41" s="15" t="str">
        <f>IF(OR(EL41="EQL",EL41="EQH"),K41,"")</f>
        <v/>
      </c>
      <c r="EX41" s="15" t="str">
        <f>IF(OR(EM41="EQL",EM41="EQH"),L41,"")</f>
        <v/>
      </c>
      <c r="EY41" s="15" t="str">
        <f>IF(OR(EN41="EQL",EN41="EQH"),M41,"")</f>
        <v/>
      </c>
      <c r="EZ41" s="15" t="str">
        <f>IF(OR(EO41="EQL",EO41="EQH"),N41,"")</f>
        <v/>
      </c>
      <c r="FA41" s="15" t="str">
        <f>IF(OR(EP41="EQL",EP41="EQH"),O41,"")</f>
        <v/>
      </c>
      <c r="FB41" s="15" t="str">
        <f>IF(OR(EQ41="EQL",EQ41="EQH"),P41,"")</f>
        <v/>
      </c>
      <c r="FC41" s="15" t="str">
        <f>IF(AND(EG41="EQL",OR(AQ41=4,AQ41=5)),"IEQL",IF(AND(EG41="EQH",OR(AQ41=1,AQ41=2)),"IEQH",""))</f>
        <v/>
      </c>
      <c r="FD41" s="15" t="str">
        <f>IF(AND(EH41="EQL",OR(AR41=4,AR41=5)),"IEQL",IF(AND(EH41="EQH",OR(AR41=1,AR41=2)),"IEQH",""))</f>
        <v/>
      </c>
      <c r="FE41" s="15" t="str">
        <f>IF(AND(EI41="EQL",OR(AS41=4,AS41=5)),"IEQL",IF(AND(EI41="EQH",OR(AS41=1,AS41=2)),"IEQH",""))</f>
        <v/>
      </c>
      <c r="FF41" s="15" t="str">
        <f>IF(AND(EJ41="EQL",OR(AT41=4,AT41=5)),"IEQL",IF(AND(EJ41="EQH",OR(AT41=1,AT41=2)),"IEQH",""))</f>
        <v/>
      </c>
      <c r="FG41" s="15" t="str">
        <f>IF(AND(EK41="EQL",OR(AU41=4,AU41=5)),"IEQL",IF(AND(EK41="EQH",OR(AU41=1,AU41=2)),"IEQH",""))</f>
        <v/>
      </c>
      <c r="FH41" s="15" t="str">
        <f>IF(AND(EL41="EQL",OR(AV41=4,AV41=5)),"IEQL",IF(AND(EL41="EQH",OR(AV41=1,AV41=2)),"IEQH",""))</f>
        <v/>
      </c>
      <c r="FI41" s="15" t="str">
        <f>IF(AND(EM41="EQL",OR(AW41=4,AW41=5)),"IEQL",IF(AND(EM41="EQH",OR(AW41=1,AW41=2)),"IEQH",""))</f>
        <v/>
      </c>
      <c r="FJ41" s="15" t="str">
        <f>IF(AND(EN41="EQL",OR(AX41=4,AX41=5)),"IEQL",IF(AND(EN41="EQH",OR(AX41=1,AX41=2)),"IEQH",""))</f>
        <v/>
      </c>
      <c r="FK41" s="15" t="str">
        <f>IF(AND(EO41="EQL",OR(AY41=4,AY41=5)),"IEQL",IF(AND(EO41="EQH",OR(AY41=1,AY41=2)),"IEQH",""))</f>
        <v/>
      </c>
      <c r="FL41" s="15" t="str">
        <f>IF(AND(EP41="EQL",OR(AZ41=4,AZ41=5)),"IEQL",IF(AND(EP41="EQH",OR(AZ41=1,AZ41=2)),"IEQH",""))</f>
        <v/>
      </c>
      <c r="FM41" s="15" t="str">
        <f>IF(AND(EQ41="EQL",OR(BA41=4,BA41=5)),"IEQL",IF(AND(EQ41="EQH",OR(BA41=1,BA41=2)),"IEQH",""))</f>
        <v/>
      </c>
      <c r="FN41" s="15" t="str">
        <f>IF(OR(AND(DJ41="LL",AP41=5),AND(DJ41="HH",AP41=2)),F41,"")</f>
        <v/>
      </c>
      <c r="FO41" s="15" t="str">
        <f>IF(FN41&lt;&gt;"",F40,"")</f>
        <v/>
      </c>
    </row>
    <row r="42" spans="1:171" s="15" customFormat="1" x14ac:dyDescent="0.55000000000000004">
      <c r="A42" s="15">
        <v>1775016906</v>
      </c>
      <c r="B42" s="15" t="s">
        <v>16</v>
      </c>
      <c r="C42" s="15" t="s">
        <v>17</v>
      </c>
      <c r="D42" s="15">
        <v>4672.5600000000004</v>
      </c>
      <c r="E42" s="15" t="s">
        <v>18</v>
      </c>
      <c r="F42" s="15">
        <v>4666.96</v>
      </c>
      <c r="G42" s="15">
        <f t="shared" si="110"/>
        <v>4529.84</v>
      </c>
      <c r="H42" s="15">
        <f t="shared" si="120"/>
        <v>4548.26</v>
      </c>
      <c r="I42" s="15">
        <f t="shared" si="130"/>
        <v>4482.6899999999996</v>
      </c>
      <c r="J42" s="15">
        <f t="shared" ref="J42:J73" si="140">F34</f>
        <v>4492.83</v>
      </c>
      <c r="K42" s="15">
        <f t="shared" si="40"/>
        <v>4493.1400000000003</v>
      </c>
      <c r="L42" s="15">
        <f t="shared" si="50"/>
        <v>4420.2700000000004</v>
      </c>
      <c r="M42" s="15">
        <f t="shared" si="60"/>
        <v>4404.32</v>
      </c>
      <c r="N42" s="15">
        <f t="shared" si="70"/>
        <v>4375.68</v>
      </c>
      <c r="O42" s="15">
        <f t="shared" si="80"/>
        <v>4359.29</v>
      </c>
      <c r="P42" s="15">
        <f t="shared" si="90"/>
        <v>4413.24</v>
      </c>
      <c r="Q42" s="15">
        <f t="shared" si="100"/>
        <v>4487.1000000000004</v>
      </c>
      <c r="R42" s="15">
        <v>-57.44</v>
      </c>
      <c r="S42" s="15">
        <f t="shared" si="111"/>
        <v>-51.8</v>
      </c>
      <c r="T42" s="15">
        <f t="shared" si="121"/>
        <v>-71.58</v>
      </c>
      <c r="U42" s="15">
        <f t="shared" si="131"/>
        <v>-45.97</v>
      </c>
      <c r="V42" s="15">
        <f t="shared" ref="V42:V73" si="141">R34</f>
        <v>-31.02</v>
      </c>
      <c r="W42" s="15">
        <f t="shared" si="41"/>
        <v>-87.45</v>
      </c>
      <c r="X42" s="15">
        <f t="shared" si="51"/>
        <v>-134.72999999999999</v>
      </c>
      <c r="Y42" s="15">
        <f t="shared" si="61"/>
        <v>-70.8</v>
      </c>
      <c r="Z42" s="15">
        <f t="shared" si="71"/>
        <v>-44.88</v>
      </c>
      <c r="AA42" s="15">
        <f t="shared" si="81"/>
        <v>-119.85</v>
      </c>
      <c r="AB42" s="15">
        <f t="shared" si="91"/>
        <v>-131.05000000000001</v>
      </c>
      <c r="AC42" s="15">
        <f t="shared" si="101"/>
        <v>-81.86</v>
      </c>
      <c r="AD42" s="15">
        <v>-1.22</v>
      </c>
      <c r="AE42" s="15">
        <f t="shared" si="112"/>
        <v>-1.1299999999999999</v>
      </c>
      <c r="AF42" s="15">
        <f t="shared" si="122"/>
        <v>-1.55</v>
      </c>
      <c r="AG42" s="15">
        <f t="shared" si="132"/>
        <v>-1.02</v>
      </c>
      <c r="AH42" s="15">
        <f t="shared" ref="AH42:AH73" si="142">AD34</f>
        <v>-0.69</v>
      </c>
      <c r="AI42" s="15">
        <f t="shared" si="42"/>
        <v>-1.91</v>
      </c>
      <c r="AJ42" s="15">
        <f t="shared" si="52"/>
        <v>-2.96</v>
      </c>
      <c r="AK42" s="15">
        <f t="shared" si="62"/>
        <v>-1.58</v>
      </c>
      <c r="AL42" s="15">
        <f t="shared" si="72"/>
        <v>-1.02</v>
      </c>
      <c r="AM42" s="15">
        <f t="shared" si="82"/>
        <v>-2.68</v>
      </c>
      <c r="AN42" s="15">
        <f t="shared" si="92"/>
        <v>-2.88</v>
      </c>
      <c r="AO42" s="15">
        <f t="shared" si="102"/>
        <v>-1.79</v>
      </c>
      <c r="AP42" s="15">
        <v>3</v>
      </c>
      <c r="AQ42" s="15">
        <f t="shared" si="113"/>
        <v>3</v>
      </c>
      <c r="AR42" s="15">
        <f t="shared" si="123"/>
        <v>3</v>
      </c>
      <c r="AS42" s="15">
        <f t="shared" si="133"/>
        <v>3</v>
      </c>
      <c r="AT42" s="15">
        <f t="shared" ref="AT42:AT73" si="143">AP34</f>
        <v>3</v>
      </c>
      <c r="AU42" s="15">
        <f t="shared" si="43"/>
        <v>3</v>
      </c>
      <c r="AV42" s="15">
        <f t="shared" si="53"/>
        <v>3</v>
      </c>
      <c r="AW42" s="15">
        <f t="shared" si="63"/>
        <v>3</v>
      </c>
      <c r="AX42" s="15">
        <f t="shared" si="73"/>
        <v>3</v>
      </c>
      <c r="AY42" s="15">
        <f t="shared" si="83"/>
        <v>3</v>
      </c>
      <c r="AZ42" s="15">
        <f t="shared" si="93"/>
        <v>3</v>
      </c>
      <c r="BA42" s="15">
        <f t="shared" si="103"/>
        <v>3</v>
      </c>
      <c r="BB42" s="15">
        <v>13</v>
      </c>
      <c r="BC42" s="15">
        <f t="shared" si="114"/>
        <v>19</v>
      </c>
      <c r="BD42" s="15">
        <f t="shared" si="124"/>
        <v>13</v>
      </c>
      <c r="BE42" s="15">
        <f t="shared" si="134"/>
        <v>1</v>
      </c>
      <c r="BF42" s="15">
        <f t="shared" ref="BF42:BF73" si="144">BB34</f>
        <v>4</v>
      </c>
      <c r="BG42" s="15">
        <f t="shared" si="44"/>
        <v>30</v>
      </c>
      <c r="BH42" s="15">
        <f t="shared" si="54"/>
        <v>31</v>
      </c>
      <c r="BI42" s="15">
        <f t="shared" si="64"/>
        <v>22</v>
      </c>
      <c r="BJ42" s="15">
        <f t="shared" si="74"/>
        <v>13</v>
      </c>
      <c r="BK42" s="15">
        <f t="shared" si="84"/>
        <v>21</v>
      </c>
      <c r="BL42" s="15">
        <f t="shared" si="94"/>
        <v>30</v>
      </c>
      <c r="BM42" s="15">
        <f t="shared" si="104"/>
        <v>4</v>
      </c>
      <c r="BN42" s="15">
        <v>3</v>
      </c>
      <c r="BO42" s="15">
        <f t="shared" si="115"/>
        <v>3</v>
      </c>
      <c r="BP42" s="15">
        <f t="shared" si="125"/>
        <v>3</v>
      </c>
      <c r="BQ42" s="15">
        <f t="shared" si="135"/>
        <v>3</v>
      </c>
      <c r="BR42" s="15">
        <f t="shared" ref="BR42:BR73" si="145">BN34</f>
        <v>3</v>
      </c>
      <c r="BS42" s="15">
        <f t="shared" si="45"/>
        <v>3</v>
      </c>
      <c r="BT42" s="15">
        <f t="shared" si="55"/>
        <v>3</v>
      </c>
      <c r="BU42" s="15">
        <f t="shared" si="65"/>
        <v>3</v>
      </c>
      <c r="BV42" s="15">
        <f t="shared" si="75"/>
        <v>3</v>
      </c>
      <c r="BW42" s="15">
        <f t="shared" si="85"/>
        <v>3</v>
      </c>
      <c r="BX42" s="15">
        <f t="shared" si="95"/>
        <v>3</v>
      </c>
      <c r="BY42" s="15">
        <f t="shared" si="105"/>
        <v>3</v>
      </c>
      <c r="BZ42" s="15">
        <v>-4.4184599999999996</v>
      </c>
      <c r="CA42" s="15">
        <f t="shared" si="116"/>
        <v>-2.7263199999999999</v>
      </c>
      <c r="CB42" s="15">
        <f t="shared" si="126"/>
        <v>-5.5061499999999999</v>
      </c>
      <c r="CC42" s="15">
        <f t="shared" si="136"/>
        <v>-45.97</v>
      </c>
      <c r="CD42" s="15">
        <f t="shared" ref="CD42:CD73" si="146">BZ34</f>
        <v>-7.7549999999999999</v>
      </c>
      <c r="CE42" s="15">
        <f t="shared" si="46"/>
        <v>-2.915</v>
      </c>
      <c r="CF42" s="15">
        <f t="shared" si="56"/>
        <v>-4.3461299999999996</v>
      </c>
      <c r="CG42" s="15">
        <f t="shared" si="66"/>
        <v>-3.2181799999999998</v>
      </c>
      <c r="CH42" s="15">
        <f t="shared" si="76"/>
        <v>-3.4523100000000002</v>
      </c>
      <c r="CI42" s="15">
        <f t="shared" si="86"/>
        <v>-5.7071399999999999</v>
      </c>
      <c r="CJ42" s="15">
        <f t="shared" si="96"/>
        <v>-4.3683300000000003</v>
      </c>
      <c r="CK42" s="15">
        <f t="shared" si="106"/>
        <v>-20.465</v>
      </c>
      <c r="CL42" s="15">
        <v>3</v>
      </c>
      <c r="CM42" s="15">
        <f t="shared" si="117"/>
        <v>3</v>
      </c>
      <c r="CN42" s="15">
        <f t="shared" si="127"/>
        <v>3</v>
      </c>
      <c r="CO42" s="15">
        <f t="shared" si="137"/>
        <v>5</v>
      </c>
      <c r="CP42" s="15">
        <f t="shared" ref="CP42:CP73" si="147">CL34</f>
        <v>3</v>
      </c>
      <c r="CQ42" s="15">
        <f t="shared" si="47"/>
        <v>3</v>
      </c>
      <c r="CR42" s="15">
        <f t="shared" si="57"/>
        <v>3</v>
      </c>
      <c r="CS42" s="15">
        <f t="shared" si="67"/>
        <v>3</v>
      </c>
      <c r="CT42" s="15">
        <f t="shared" si="77"/>
        <v>3</v>
      </c>
      <c r="CU42" s="15">
        <f t="shared" si="87"/>
        <v>3</v>
      </c>
      <c r="CV42" s="15">
        <f t="shared" si="97"/>
        <v>3</v>
      </c>
      <c r="CW42" s="15">
        <f t="shared" si="107"/>
        <v>5</v>
      </c>
      <c r="CX42" s="15">
        <v>-77.247500000000002</v>
      </c>
      <c r="CY42" s="15">
        <f t="shared" si="118"/>
        <v>-69.857200000000006</v>
      </c>
      <c r="CZ42" s="15">
        <f t="shared" si="128"/>
        <v>-79.706400000000002</v>
      </c>
      <c r="DA42" s="15">
        <f t="shared" si="138"/>
        <v>-88.753799999999998</v>
      </c>
      <c r="DB42" s="15">
        <f t="shared" ref="DB42:DB73" si="148">CX34</f>
        <v>-82.652299999999997</v>
      </c>
      <c r="DC42" s="15">
        <f t="shared" si="48"/>
        <v>-71.065299999999993</v>
      </c>
      <c r="DD42" s="15">
        <f t="shared" si="58"/>
        <v>-77.042299999999997</v>
      </c>
      <c r="DE42" s="15">
        <f t="shared" si="68"/>
        <v>-72.738200000000006</v>
      </c>
      <c r="DF42" s="15">
        <f t="shared" si="78"/>
        <v>-73.845699999999994</v>
      </c>
      <c r="DG42" s="15">
        <f t="shared" si="88"/>
        <v>-80.061599999999999</v>
      </c>
      <c r="DH42" s="15">
        <f t="shared" si="98"/>
        <v>-77.105999999999995</v>
      </c>
      <c r="DI42" s="15">
        <f t="shared" si="108"/>
        <v>-87.202500000000001</v>
      </c>
      <c r="DJ42" s="15" t="s">
        <v>22</v>
      </c>
      <c r="DK42" s="15" t="str">
        <f t="shared" si="119"/>
        <v>LL</v>
      </c>
      <c r="DL42" s="15" t="str">
        <f t="shared" si="129"/>
        <v>HL</v>
      </c>
      <c r="DM42" s="15" t="str">
        <f t="shared" si="139"/>
        <v>LL</v>
      </c>
      <c r="DN42" s="15" t="str">
        <f t="shared" ref="DN42:DN73" si="149">DJ34</f>
        <v>LL</v>
      </c>
      <c r="DO42" s="15" t="str">
        <f t="shared" si="49"/>
        <v>HL</v>
      </c>
      <c r="DP42" s="15" t="str">
        <f t="shared" si="59"/>
        <v>HL</v>
      </c>
      <c r="DQ42" s="15" t="str">
        <f t="shared" si="69"/>
        <v>HL</v>
      </c>
      <c r="DR42" s="15" t="str">
        <f t="shared" si="79"/>
        <v>HL</v>
      </c>
      <c r="DS42" s="15" t="str">
        <f t="shared" si="89"/>
        <v>LL</v>
      </c>
      <c r="DT42" s="15" t="str">
        <f t="shared" si="99"/>
        <v>LL</v>
      </c>
      <c r="DU42" s="15" t="str">
        <f t="shared" si="109"/>
        <v>LL</v>
      </c>
      <c r="DV42" s="15">
        <f>IFERROR((G42-$F42)/$F42*100,"")</f>
        <v>-2.938101033649311</v>
      </c>
      <c r="DW42" s="15">
        <f>IFERROR((H42-$F42)/$F42*100,"")</f>
        <v>-2.5434115569878424</v>
      </c>
      <c r="DX42" s="15">
        <f>IFERROR((I42-$F42)/$F42*100,"")</f>
        <v>-3.9483946723348913</v>
      </c>
      <c r="DY42" s="15">
        <f>IFERROR((J42-$F42)/$F42*100,"")</f>
        <v>-3.7311226151499075</v>
      </c>
      <c r="DZ42" s="15">
        <f>IFERROR((K42-$F42)/$F42*100,"")</f>
        <v>-3.7244801755318178</v>
      </c>
      <c r="EA42" s="15">
        <f>IFERROR((L42-$F42)/$F42*100,"")</f>
        <v>-5.2858820302723739</v>
      </c>
      <c r="EB42" s="15">
        <f>IFERROR((M42-$F42)/$F42*100,"")</f>
        <v>-5.6276462622349523</v>
      </c>
      <c r="EC42" s="15">
        <f>IFERROR((N42-$F42)/$F42*100,"")</f>
        <v>-6.2413219740473407</v>
      </c>
      <c r="ED42" s="15">
        <f>IFERROR((O42-$F42)/$F42*100,"")</f>
        <v>-6.5925141848226705</v>
      </c>
      <c r="EE42" s="15">
        <f>IFERROR((P42-$F42)/$F42*100,"")</f>
        <v>-5.4365154190308091</v>
      </c>
      <c r="EF42" s="15">
        <f>IFERROR((Q42-$F42)/$F42*100,"")</f>
        <v>-3.8539006119615271</v>
      </c>
      <c r="EG42" s="15" t="str">
        <f>IF(DV42="","",IF(AND(ABS(DV42)&lt;=0.25,$E42="Bottom",DK42="LL"),"EQL",IF(AND(ABS(DV42)&lt;=0.25,$E42="Peak",DK42="HH"),"EQH","")))</f>
        <v/>
      </c>
      <c r="EH42" s="15" t="str">
        <f>IF(DW42="","",IF(AND(ABS(DW42)&lt;=0.25,$E42="Bottom",DL42="LL"),"EQL",IF(AND(ABS(DW42)&lt;=0.25,$E42="Peak",DL42="HH"),"EQH","")))</f>
        <v/>
      </c>
      <c r="EI42" s="15" t="str">
        <f>IF(DX42="","",IF(AND(ABS(DX42)&lt;=0.25,$E42="Bottom",DM42="LL"),"EQL",IF(AND(ABS(DX42)&lt;=0.25,$E42="Peak",DM42="HH"),"EQH","")))</f>
        <v/>
      </c>
      <c r="EJ42" s="15" t="str">
        <f>IF(DY42="","",IF(AND(ABS(DY42)&lt;=0.25,$E42="Bottom",DN42="LL"),"EQL",IF(AND(ABS(DY42)&lt;=0.25,$E42="Peak",DN42="HH"),"EQH","")))</f>
        <v/>
      </c>
      <c r="EK42" s="15" t="str">
        <f>IF(DZ42="","",IF(AND(ABS(DZ42)&lt;=0.25,$E42="Bottom",DO42="LL"),"EQL",IF(AND(ABS(DZ42)&lt;=0.25,$E42="Peak",DO42="HH"),"EQH","")))</f>
        <v/>
      </c>
      <c r="EL42" s="15" t="str">
        <f>IF(EA42="","",IF(AND(ABS(EA42)&lt;=0.25,$E42="Bottom",DP42="LL"),"EQL",IF(AND(ABS(EA42)&lt;=0.25,$E42="Peak",DP42="HH"),"EQH","")))</f>
        <v/>
      </c>
      <c r="EM42" s="15" t="str">
        <f>IF(EB42="","",IF(AND(ABS(EB42)&lt;=0.25,$E42="Bottom",DQ42="LL"),"EQL",IF(AND(ABS(EB42)&lt;=0.25,$E42="Peak",DQ42="HH"),"EQH","")))</f>
        <v/>
      </c>
      <c r="EN42" s="15" t="str">
        <f>IF(EC42="","",IF(AND(ABS(EC42)&lt;=0.25,$E42="Bottom",DR42="LL"),"EQL",IF(AND(ABS(EC42)&lt;=0.25,$E42="Peak",DR42="HH"),"EQH","")))</f>
        <v/>
      </c>
      <c r="EO42" s="15" t="str">
        <f>IF(ED42="","",IF(AND(ABS(ED42)&lt;=0.25,$E42="Bottom",DS42="LL"),"EQL",IF(AND(ABS(ED42)&lt;=0.25,$E42="Peak",DS42="HH"),"EQH","")))</f>
        <v/>
      </c>
      <c r="EP42" s="15" t="str">
        <f>IF(EE42="","",IF(AND(ABS(EE42)&lt;=0.25,$E42="Bottom",DT42="LL"),"EQL",IF(AND(ABS(EE42)&lt;=0.25,$E42="Peak",DT42="HH"),"EQH","")))</f>
        <v/>
      </c>
      <c r="EQ42" s="15" t="str">
        <f>IF(EF42="","",IF(AND(ABS(EF42)&lt;=0.25,$E42="Bottom",DU42="LL"),"EQL",IF(AND(ABS(EF42)&lt;=0.25,$E42="Peak",DU42="HH"),"EQH","")))</f>
        <v/>
      </c>
      <c r="ER42" s="15" t="str">
        <f>IF(OR(EG42="EQL",EG42="EQH"),F42,"")</f>
        <v/>
      </c>
      <c r="ES42" s="15" t="str">
        <f>IF(OR(EH42="EQL",EH42="EQH"),G42,"")</f>
        <v/>
      </c>
      <c r="ET42" s="15" t="str">
        <f>IF(OR(EI42="EQL",EI42="EQH"),H42,"")</f>
        <v/>
      </c>
      <c r="EU42" s="15" t="str">
        <f>IF(OR(EJ42="EQL",EJ42="EQH"),I42,"")</f>
        <v/>
      </c>
      <c r="EV42" s="15" t="str">
        <f>IF(OR(EK42="EQL",EK42="EQH"),J42,"")</f>
        <v/>
      </c>
      <c r="EW42" s="15" t="str">
        <f>IF(OR(EL42="EQL",EL42="EQH"),K42,"")</f>
        <v/>
      </c>
      <c r="EX42" s="15" t="str">
        <f>IF(OR(EM42="EQL",EM42="EQH"),L42,"")</f>
        <v/>
      </c>
      <c r="EY42" s="15" t="str">
        <f>IF(OR(EN42="EQL",EN42="EQH"),M42,"")</f>
        <v/>
      </c>
      <c r="EZ42" s="15" t="str">
        <f>IF(OR(EO42="EQL",EO42="EQH"),N42,"")</f>
        <v/>
      </c>
      <c r="FA42" s="15" t="str">
        <f>IF(OR(EP42="EQL",EP42="EQH"),O42,"")</f>
        <v/>
      </c>
      <c r="FB42" s="15" t="str">
        <f>IF(OR(EQ42="EQL",EQ42="EQH"),P42,"")</f>
        <v/>
      </c>
      <c r="FC42" s="15" t="str">
        <f>IF(AND(EG42="EQL",OR(AQ42=4,AQ42=5)),"IEQL",IF(AND(EG42="EQH",OR(AQ42=1,AQ42=2)),"IEQH",""))</f>
        <v/>
      </c>
      <c r="FD42" s="15" t="str">
        <f>IF(AND(EH42="EQL",OR(AR42=4,AR42=5)),"IEQL",IF(AND(EH42="EQH",OR(AR42=1,AR42=2)),"IEQH",""))</f>
        <v/>
      </c>
      <c r="FE42" s="15" t="str">
        <f>IF(AND(EI42="EQL",OR(AS42=4,AS42=5)),"IEQL",IF(AND(EI42="EQH",OR(AS42=1,AS42=2)),"IEQH",""))</f>
        <v/>
      </c>
      <c r="FF42" s="15" t="str">
        <f>IF(AND(EJ42="EQL",OR(AT42=4,AT42=5)),"IEQL",IF(AND(EJ42="EQH",OR(AT42=1,AT42=2)),"IEQH",""))</f>
        <v/>
      </c>
      <c r="FG42" s="15" t="str">
        <f>IF(AND(EK42="EQL",OR(AU42=4,AU42=5)),"IEQL",IF(AND(EK42="EQH",OR(AU42=1,AU42=2)),"IEQH",""))</f>
        <v/>
      </c>
      <c r="FH42" s="15" t="str">
        <f>IF(AND(EL42="EQL",OR(AV42=4,AV42=5)),"IEQL",IF(AND(EL42="EQH",OR(AV42=1,AV42=2)),"IEQH",""))</f>
        <v/>
      </c>
      <c r="FI42" s="15" t="str">
        <f>IF(AND(EM42="EQL",OR(AW42=4,AW42=5)),"IEQL",IF(AND(EM42="EQH",OR(AW42=1,AW42=2)),"IEQH",""))</f>
        <v/>
      </c>
      <c r="FJ42" s="15" t="str">
        <f>IF(AND(EN42="EQL",OR(AX42=4,AX42=5)),"IEQL",IF(AND(EN42="EQH",OR(AX42=1,AX42=2)),"IEQH",""))</f>
        <v/>
      </c>
      <c r="FK42" s="15" t="str">
        <f>IF(AND(EO42="EQL",OR(AY42=4,AY42=5)),"IEQL",IF(AND(EO42="EQH",OR(AY42=1,AY42=2)),"IEQH",""))</f>
        <v/>
      </c>
      <c r="FL42" s="15" t="str">
        <f>IF(AND(EP42="EQL",OR(AZ42=4,AZ42=5)),"IEQL",IF(AND(EP42="EQH",OR(AZ42=1,AZ42=2)),"IEQH",""))</f>
        <v/>
      </c>
      <c r="FM42" s="15" t="str">
        <f>IF(AND(EQ42="EQL",OR(BA42=4,BA42=5)),"IEQL",IF(AND(EQ42="EQH",OR(BA42=1,BA42=2)),"IEQH",""))</f>
        <v/>
      </c>
      <c r="FN42" s="15" t="str">
        <f>IF(OR(AND(DJ42="LL",AP42=5),AND(DJ42="HH",AP42=2)),F42,"")</f>
        <v/>
      </c>
      <c r="FO42" s="15" t="str">
        <f>IF(FN42&lt;&gt;"",F41,"")</f>
        <v/>
      </c>
    </row>
    <row r="43" spans="1:171" s="15" customFormat="1" x14ac:dyDescent="0.55000000000000004">
      <c r="A43" s="15">
        <v>1775062806</v>
      </c>
      <c r="B43" s="15" t="s">
        <v>16</v>
      </c>
      <c r="C43" s="15" t="s">
        <v>17</v>
      </c>
      <c r="D43" s="15">
        <v>4788.67</v>
      </c>
      <c r="E43" s="15" t="s">
        <v>20</v>
      </c>
      <c r="F43" s="15">
        <v>4793.1400000000003</v>
      </c>
      <c r="G43" s="15">
        <f t="shared" si="110"/>
        <v>4724.3999999999996</v>
      </c>
      <c r="H43" s="15">
        <f t="shared" si="120"/>
        <v>4581.6400000000003</v>
      </c>
      <c r="I43" s="15">
        <f t="shared" si="130"/>
        <v>4619.84</v>
      </c>
      <c r="J43" s="15">
        <f t="shared" si="140"/>
        <v>4528.66</v>
      </c>
      <c r="K43" s="15">
        <f t="shared" si="40"/>
        <v>4523.8500000000004</v>
      </c>
      <c r="L43" s="15">
        <f t="shared" si="50"/>
        <v>4580.59</v>
      </c>
      <c r="M43" s="15">
        <f t="shared" si="60"/>
        <v>4555</v>
      </c>
      <c r="N43" s="15">
        <f t="shared" si="70"/>
        <v>4475.12</v>
      </c>
      <c r="O43" s="15">
        <f t="shared" si="80"/>
        <v>4420.5600000000004</v>
      </c>
      <c r="P43" s="15">
        <f t="shared" si="90"/>
        <v>4479.1400000000003</v>
      </c>
      <c r="Q43" s="15">
        <f t="shared" si="100"/>
        <v>4544.29</v>
      </c>
      <c r="R43" s="15">
        <v>126.18</v>
      </c>
      <c r="S43" s="15">
        <f t="shared" si="111"/>
        <v>194.56</v>
      </c>
      <c r="T43" s="15">
        <f t="shared" si="121"/>
        <v>33.380000000000003</v>
      </c>
      <c r="U43" s="15">
        <f t="shared" si="131"/>
        <v>137.15</v>
      </c>
      <c r="V43" s="15">
        <f t="shared" si="141"/>
        <v>35.83</v>
      </c>
      <c r="W43" s="15">
        <f t="shared" si="41"/>
        <v>30.71</v>
      </c>
      <c r="X43" s="15">
        <f t="shared" si="51"/>
        <v>160.32</v>
      </c>
      <c r="Y43" s="15">
        <f t="shared" si="61"/>
        <v>150.68</v>
      </c>
      <c r="Z43" s="15">
        <f t="shared" si="71"/>
        <v>99.44</v>
      </c>
      <c r="AA43" s="15">
        <f t="shared" si="81"/>
        <v>61.27</v>
      </c>
      <c r="AB43" s="15">
        <f t="shared" si="91"/>
        <v>65.900000000000006</v>
      </c>
      <c r="AC43" s="15">
        <f t="shared" si="101"/>
        <v>57.19</v>
      </c>
      <c r="AD43" s="15">
        <v>2.7</v>
      </c>
      <c r="AE43" s="15">
        <f t="shared" si="112"/>
        <v>4.3</v>
      </c>
      <c r="AF43" s="15">
        <f t="shared" si="122"/>
        <v>0.73</v>
      </c>
      <c r="AG43" s="15">
        <f t="shared" si="132"/>
        <v>3.06</v>
      </c>
      <c r="AH43" s="15">
        <f t="shared" si="142"/>
        <v>0.8</v>
      </c>
      <c r="AI43" s="15">
        <f t="shared" si="42"/>
        <v>0.68</v>
      </c>
      <c r="AJ43" s="15">
        <f t="shared" si="52"/>
        <v>3.63</v>
      </c>
      <c r="AK43" s="15">
        <f t="shared" si="62"/>
        <v>3.42</v>
      </c>
      <c r="AL43" s="15">
        <f t="shared" si="72"/>
        <v>2.27</v>
      </c>
      <c r="AM43" s="15">
        <f t="shared" si="82"/>
        <v>1.41</v>
      </c>
      <c r="AN43" s="15">
        <f t="shared" si="92"/>
        <v>1.49</v>
      </c>
      <c r="AO43" s="15">
        <f t="shared" si="102"/>
        <v>1.27</v>
      </c>
      <c r="AP43" s="15">
        <v>0</v>
      </c>
      <c r="AQ43" s="15">
        <f t="shared" si="113"/>
        <v>0</v>
      </c>
      <c r="AR43" s="15">
        <f t="shared" si="123"/>
        <v>0</v>
      </c>
      <c r="AS43" s="15">
        <f t="shared" si="133"/>
        <v>0</v>
      </c>
      <c r="AT43" s="15">
        <f t="shared" si="143"/>
        <v>0</v>
      </c>
      <c r="AU43" s="15">
        <f t="shared" si="43"/>
        <v>0</v>
      </c>
      <c r="AV43" s="15">
        <f t="shared" si="53"/>
        <v>0</v>
      </c>
      <c r="AW43" s="15">
        <f t="shared" si="63"/>
        <v>0</v>
      </c>
      <c r="AX43" s="15">
        <f t="shared" si="73"/>
        <v>0</v>
      </c>
      <c r="AY43" s="15">
        <f t="shared" si="83"/>
        <v>0</v>
      </c>
      <c r="AZ43" s="15">
        <f t="shared" si="93"/>
        <v>0</v>
      </c>
      <c r="BA43" s="15">
        <f t="shared" si="103"/>
        <v>0</v>
      </c>
      <c r="BB43" s="15">
        <v>51</v>
      </c>
      <c r="BC43" s="15">
        <f t="shared" si="114"/>
        <v>54</v>
      </c>
      <c r="BD43" s="15">
        <f t="shared" si="124"/>
        <v>3</v>
      </c>
      <c r="BE43" s="15">
        <f t="shared" si="134"/>
        <v>6</v>
      </c>
      <c r="BF43" s="15">
        <f t="shared" si="144"/>
        <v>4</v>
      </c>
      <c r="BG43" s="15">
        <f t="shared" si="44"/>
        <v>7</v>
      </c>
      <c r="BH43" s="15">
        <f t="shared" si="54"/>
        <v>47</v>
      </c>
      <c r="BI43" s="15">
        <f t="shared" si="64"/>
        <v>17</v>
      </c>
      <c r="BJ43" s="15">
        <f t="shared" si="74"/>
        <v>19</v>
      </c>
      <c r="BK43" s="15">
        <f t="shared" si="84"/>
        <v>3</v>
      </c>
      <c r="BL43" s="15">
        <f t="shared" si="94"/>
        <v>24</v>
      </c>
      <c r="BM43" s="15">
        <f t="shared" si="104"/>
        <v>20</v>
      </c>
      <c r="BN43" s="15">
        <v>1</v>
      </c>
      <c r="BO43" s="15">
        <f t="shared" si="115"/>
        <v>2</v>
      </c>
      <c r="BP43" s="15">
        <f t="shared" si="125"/>
        <v>0</v>
      </c>
      <c r="BQ43" s="15">
        <f t="shared" si="135"/>
        <v>0</v>
      </c>
      <c r="BR43" s="15">
        <f t="shared" si="145"/>
        <v>0</v>
      </c>
      <c r="BS43" s="15">
        <f t="shared" si="45"/>
        <v>0</v>
      </c>
      <c r="BT43" s="15">
        <f t="shared" si="55"/>
        <v>2</v>
      </c>
      <c r="BU43" s="15">
        <f t="shared" si="65"/>
        <v>0</v>
      </c>
      <c r="BV43" s="15">
        <f t="shared" si="75"/>
        <v>0</v>
      </c>
      <c r="BW43" s="15">
        <f t="shared" si="85"/>
        <v>0</v>
      </c>
      <c r="BX43" s="15">
        <f t="shared" si="95"/>
        <v>0</v>
      </c>
      <c r="BY43" s="15">
        <f t="shared" si="105"/>
        <v>0</v>
      </c>
      <c r="BZ43" s="15">
        <v>2.4741200000000001</v>
      </c>
      <c r="CA43" s="15">
        <f t="shared" si="116"/>
        <v>3.6029599999999999</v>
      </c>
      <c r="CB43" s="15">
        <f t="shared" si="126"/>
        <v>11.126670000000001</v>
      </c>
      <c r="CC43" s="15">
        <f t="shared" si="136"/>
        <v>22.858329999999999</v>
      </c>
      <c r="CD43" s="15">
        <f t="shared" si="146"/>
        <v>8.9574999999999996</v>
      </c>
      <c r="CE43" s="15">
        <f t="shared" si="46"/>
        <v>4.3871399999999996</v>
      </c>
      <c r="CF43" s="15">
        <f t="shared" si="56"/>
        <v>3.41106</v>
      </c>
      <c r="CG43" s="15">
        <f t="shared" si="66"/>
        <v>8.8635300000000008</v>
      </c>
      <c r="CH43" s="15">
        <f t="shared" si="76"/>
        <v>5.2336799999999997</v>
      </c>
      <c r="CI43" s="15">
        <f t="shared" si="86"/>
        <v>20.42333</v>
      </c>
      <c r="CJ43" s="15">
        <f t="shared" si="96"/>
        <v>2.7458300000000002</v>
      </c>
      <c r="CK43" s="15">
        <f t="shared" si="106"/>
        <v>2.8595000000000002</v>
      </c>
      <c r="CL43" s="15">
        <v>0</v>
      </c>
      <c r="CM43" s="15">
        <f t="shared" si="117"/>
        <v>0</v>
      </c>
      <c r="CN43" s="15">
        <f t="shared" si="127"/>
        <v>0</v>
      </c>
      <c r="CO43" s="15">
        <f t="shared" si="137"/>
        <v>1</v>
      </c>
      <c r="CP43" s="15">
        <f t="shared" si="147"/>
        <v>0</v>
      </c>
      <c r="CQ43" s="15">
        <f t="shared" si="47"/>
        <v>0</v>
      </c>
      <c r="CR43" s="15">
        <f t="shared" si="57"/>
        <v>0</v>
      </c>
      <c r="CS43" s="15">
        <f t="shared" si="67"/>
        <v>0</v>
      </c>
      <c r="CT43" s="15">
        <f t="shared" si="77"/>
        <v>0</v>
      </c>
      <c r="CU43" s="15">
        <f t="shared" si="87"/>
        <v>2</v>
      </c>
      <c r="CV43" s="15">
        <f t="shared" si="97"/>
        <v>0</v>
      </c>
      <c r="CW43" s="15">
        <f t="shared" si="107"/>
        <v>0</v>
      </c>
      <c r="CX43" s="15">
        <v>67.992199999999997</v>
      </c>
      <c r="CY43" s="15">
        <f t="shared" si="118"/>
        <v>74.488</v>
      </c>
      <c r="CZ43" s="15">
        <f t="shared" si="128"/>
        <v>84.864400000000003</v>
      </c>
      <c r="DA43" s="15">
        <f t="shared" si="138"/>
        <v>87.495000000000005</v>
      </c>
      <c r="DB43" s="15">
        <f t="shared" si="148"/>
        <v>83.63</v>
      </c>
      <c r="DC43" s="15">
        <f t="shared" si="48"/>
        <v>77.159499999999994</v>
      </c>
      <c r="DD43" s="15">
        <f t="shared" si="58"/>
        <v>73.660799999999995</v>
      </c>
      <c r="DE43" s="15">
        <f t="shared" si="68"/>
        <v>83.563000000000002</v>
      </c>
      <c r="DF43" s="15">
        <f t="shared" si="78"/>
        <v>79.182900000000004</v>
      </c>
      <c r="DG43" s="15">
        <f t="shared" si="88"/>
        <v>87.196799999999996</v>
      </c>
      <c r="DH43" s="15">
        <f t="shared" si="98"/>
        <v>69.989000000000004</v>
      </c>
      <c r="DI43" s="15">
        <f t="shared" si="108"/>
        <v>70.724699999999999</v>
      </c>
      <c r="DJ43" s="15" t="s">
        <v>23</v>
      </c>
      <c r="DK43" s="15" t="str">
        <f t="shared" si="119"/>
        <v>HH</v>
      </c>
      <c r="DL43" s="15" t="str">
        <f t="shared" si="129"/>
        <v>LH</v>
      </c>
      <c r="DM43" s="15" t="str">
        <f t="shared" si="139"/>
        <v>HH</v>
      </c>
      <c r="DN43" s="15" t="str">
        <f t="shared" si="149"/>
        <v>HH</v>
      </c>
      <c r="DO43" s="15" t="str">
        <f t="shared" si="49"/>
        <v>LH</v>
      </c>
      <c r="DP43" s="15" t="str">
        <f t="shared" si="59"/>
        <v>HH</v>
      </c>
      <c r="DQ43" s="15" t="str">
        <f t="shared" si="69"/>
        <v>HH</v>
      </c>
      <c r="DR43" s="15" t="str">
        <f t="shared" si="79"/>
        <v>HH</v>
      </c>
      <c r="DS43" s="15" t="str">
        <f t="shared" si="89"/>
        <v>LH</v>
      </c>
      <c r="DT43" s="15" t="str">
        <f t="shared" si="99"/>
        <v>LH</v>
      </c>
      <c r="DU43" s="15" t="str">
        <f t="shared" si="109"/>
        <v>LH</v>
      </c>
      <c r="DV43" s="15">
        <f>IFERROR((G43-$F43)/$F43*100,"")</f>
        <v>-1.4341329483386818</v>
      </c>
      <c r="DW43" s="15">
        <f>IFERROR((H43-$F43)/$F43*100,"")</f>
        <v>-4.4125562783478056</v>
      </c>
      <c r="DX43" s="15">
        <f>IFERROR((I43-$F43)/$F43*100,"")</f>
        <v>-3.6155839387124136</v>
      </c>
      <c r="DY43" s="15">
        <f>IFERROR((J43-$F43)/$F43*100,"")</f>
        <v>-5.5178859787112513</v>
      </c>
      <c r="DZ43" s="15">
        <f>IFERROR((K43-$F43)/$F43*100,"")</f>
        <v>-5.6182377314244931</v>
      </c>
      <c r="EA43" s="15">
        <f>IFERROR((L43-$F43)/$F43*100,"")</f>
        <v>-4.4344625861126561</v>
      </c>
      <c r="EB43" s="15">
        <f>IFERROR((M43-$F43)/$F43*100,"")</f>
        <v>-4.9683506010673648</v>
      </c>
      <c r="EC43" s="15">
        <f>IFERROR((N43-$F43)/$F43*100,"")</f>
        <v>-6.6348990432159374</v>
      </c>
      <c r="ED43" s="15">
        <f>IFERROR((O43-$F43)/$F43*100,"")</f>
        <v>-7.7731925209778954</v>
      </c>
      <c r="EE43" s="15">
        <f>IFERROR((P43-$F43)/$F43*100,"")</f>
        <v>-6.5510291792019419</v>
      </c>
      <c r="EF43" s="15">
        <f>IFERROR((Q43-$F43)/$F43*100,"")</f>
        <v>-5.1917949402688084</v>
      </c>
      <c r="EG43" s="15" t="str">
        <f>IF(DV43="","",IF(AND(ABS(DV43)&lt;=0.25,$E43="Bottom",DK43="LL"),"EQL",IF(AND(ABS(DV43)&lt;=0.25,$E43="Peak",DK43="HH"),"EQH","")))</f>
        <v/>
      </c>
      <c r="EH43" s="15" t="str">
        <f>IF(DW43="","",IF(AND(ABS(DW43)&lt;=0.25,$E43="Bottom",DL43="LL"),"EQL",IF(AND(ABS(DW43)&lt;=0.25,$E43="Peak",DL43="HH"),"EQH","")))</f>
        <v/>
      </c>
      <c r="EI43" s="15" t="str">
        <f>IF(DX43="","",IF(AND(ABS(DX43)&lt;=0.25,$E43="Bottom",DM43="LL"),"EQL",IF(AND(ABS(DX43)&lt;=0.25,$E43="Peak",DM43="HH"),"EQH","")))</f>
        <v/>
      </c>
      <c r="EJ43" s="15" t="str">
        <f>IF(DY43="","",IF(AND(ABS(DY43)&lt;=0.25,$E43="Bottom",DN43="LL"),"EQL",IF(AND(ABS(DY43)&lt;=0.25,$E43="Peak",DN43="HH"),"EQH","")))</f>
        <v/>
      </c>
      <c r="EK43" s="15" t="str">
        <f>IF(DZ43="","",IF(AND(ABS(DZ43)&lt;=0.25,$E43="Bottom",DO43="LL"),"EQL",IF(AND(ABS(DZ43)&lt;=0.25,$E43="Peak",DO43="HH"),"EQH","")))</f>
        <v/>
      </c>
      <c r="EL43" s="15" t="str">
        <f>IF(EA43="","",IF(AND(ABS(EA43)&lt;=0.25,$E43="Bottom",DP43="LL"),"EQL",IF(AND(ABS(EA43)&lt;=0.25,$E43="Peak",DP43="HH"),"EQH","")))</f>
        <v/>
      </c>
      <c r="EM43" s="15" t="str">
        <f>IF(EB43="","",IF(AND(ABS(EB43)&lt;=0.25,$E43="Bottom",DQ43="LL"),"EQL",IF(AND(ABS(EB43)&lt;=0.25,$E43="Peak",DQ43="HH"),"EQH","")))</f>
        <v/>
      </c>
      <c r="EN43" s="15" t="str">
        <f>IF(EC43="","",IF(AND(ABS(EC43)&lt;=0.25,$E43="Bottom",DR43="LL"),"EQL",IF(AND(ABS(EC43)&lt;=0.25,$E43="Peak",DR43="HH"),"EQH","")))</f>
        <v/>
      </c>
      <c r="EO43" s="15" t="str">
        <f>IF(ED43="","",IF(AND(ABS(ED43)&lt;=0.25,$E43="Bottom",DS43="LL"),"EQL",IF(AND(ABS(ED43)&lt;=0.25,$E43="Peak",DS43="HH"),"EQH","")))</f>
        <v/>
      </c>
      <c r="EP43" s="15" t="str">
        <f>IF(EE43="","",IF(AND(ABS(EE43)&lt;=0.25,$E43="Bottom",DT43="LL"),"EQL",IF(AND(ABS(EE43)&lt;=0.25,$E43="Peak",DT43="HH"),"EQH","")))</f>
        <v/>
      </c>
      <c r="EQ43" s="15" t="str">
        <f>IF(EF43="","",IF(AND(ABS(EF43)&lt;=0.25,$E43="Bottom",DU43="LL"),"EQL",IF(AND(ABS(EF43)&lt;=0.25,$E43="Peak",DU43="HH"),"EQH","")))</f>
        <v/>
      </c>
      <c r="ER43" s="15" t="str">
        <f>IF(OR(EG43="EQL",EG43="EQH"),F43,"")</f>
        <v/>
      </c>
      <c r="ES43" s="15" t="str">
        <f>IF(OR(EH43="EQL",EH43="EQH"),G43,"")</f>
        <v/>
      </c>
      <c r="ET43" s="15" t="str">
        <f>IF(OR(EI43="EQL",EI43="EQH"),H43,"")</f>
        <v/>
      </c>
      <c r="EU43" s="15" t="str">
        <f>IF(OR(EJ43="EQL",EJ43="EQH"),I43,"")</f>
        <v/>
      </c>
      <c r="EV43" s="15" t="str">
        <f>IF(OR(EK43="EQL",EK43="EQH"),J43,"")</f>
        <v/>
      </c>
      <c r="EW43" s="15" t="str">
        <f>IF(OR(EL43="EQL",EL43="EQH"),K43,"")</f>
        <v/>
      </c>
      <c r="EX43" s="15" t="str">
        <f>IF(OR(EM43="EQL",EM43="EQH"),L43,"")</f>
        <v/>
      </c>
      <c r="EY43" s="15" t="str">
        <f>IF(OR(EN43="EQL",EN43="EQH"),M43,"")</f>
        <v/>
      </c>
      <c r="EZ43" s="15" t="str">
        <f>IF(OR(EO43="EQL",EO43="EQH"),N43,"")</f>
        <v/>
      </c>
      <c r="FA43" s="15" t="str">
        <f>IF(OR(EP43="EQL",EP43="EQH"),O43,"")</f>
        <v/>
      </c>
      <c r="FB43" s="15" t="str">
        <f>IF(OR(EQ43="EQL",EQ43="EQH"),P43,"")</f>
        <v/>
      </c>
      <c r="FC43" s="15" t="str">
        <f>IF(AND(EG43="EQL",OR(AQ43=4,AQ43=5)),"IEQL",IF(AND(EG43="EQH",OR(AQ43=1,AQ43=2)),"IEQH",""))</f>
        <v/>
      </c>
      <c r="FD43" s="15" t="str">
        <f>IF(AND(EH43="EQL",OR(AR43=4,AR43=5)),"IEQL",IF(AND(EH43="EQH",OR(AR43=1,AR43=2)),"IEQH",""))</f>
        <v/>
      </c>
      <c r="FE43" s="15" t="str">
        <f>IF(AND(EI43="EQL",OR(AS43=4,AS43=5)),"IEQL",IF(AND(EI43="EQH",OR(AS43=1,AS43=2)),"IEQH",""))</f>
        <v/>
      </c>
      <c r="FF43" s="15" t="str">
        <f>IF(AND(EJ43="EQL",OR(AT43=4,AT43=5)),"IEQL",IF(AND(EJ43="EQH",OR(AT43=1,AT43=2)),"IEQH",""))</f>
        <v/>
      </c>
      <c r="FG43" s="15" t="str">
        <f>IF(AND(EK43="EQL",OR(AU43=4,AU43=5)),"IEQL",IF(AND(EK43="EQH",OR(AU43=1,AU43=2)),"IEQH",""))</f>
        <v/>
      </c>
      <c r="FH43" s="15" t="str">
        <f>IF(AND(EL43="EQL",OR(AV43=4,AV43=5)),"IEQL",IF(AND(EL43="EQH",OR(AV43=1,AV43=2)),"IEQH",""))</f>
        <v/>
      </c>
      <c r="FI43" s="15" t="str">
        <f>IF(AND(EM43="EQL",OR(AW43=4,AW43=5)),"IEQL",IF(AND(EM43="EQH",OR(AW43=1,AW43=2)),"IEQH",""))</f>
        <v/>
      </c>
      <c r="FJ43" s="15" t="str">
        <f>IF(AND(EN43="EQL",OR(AX43=4,AX43=5)),"IEQL",IF(AND(EN43="EQH",OR(AX43=1,AX43=2)),"IEQH",""))</f>
        <v/>
      </c>
      <c r="FK43" s="15" t="str">
        <f>IF(AND(EO43="EQL",OR(AY43=4,AY43=5)),"IEQL",IF(AND(EO43="EQH",OR(AY43=1,AY43=2)),"IEQH",""))</f>
        <v/>
      </c>
      <c r="FL43" s="15" t="str">
        <f>IF(AND(EP43="EQL",OR(AZ43=4,AZ43=5)),"IEQL",IF(AND(EP43="EQH",OR(AZ43=1,AZ43=2)),"IEQH",""))</f>
        <v/>
      </c>
      <c r="FM43" s="15" t="str">
        <f>IF(AND(EQ43="EQL",OR(BA43=4,BA43=5)),"IEQL",IF(AND(EQ43="EQH",OR(BA43=1,BA43=2)),"IEQH",""))</f>
        <v/>
      </c>
      <c r="FN43" s="15" t="str">
        <f>IF(OR(AND(DJ43="LL",AP43=5),AND(DJ43="HH",AP43=2)),F43,"")</f>
        <v/>
      </c>
      <c r="FO43" s="15" t="str">
        <f>IF(FN43&lt;&gt;"",F42,"")</f>
        <v/>
      </c>
    </row>
    <row r="44" spans="1:171" s="15" customFormat="1" x14ac:dyDescent="0.55000000000000004">
      <c r="A44" s="15">
        <v>1775068206</v>
      </c>
      <c r="B44" s="15" t="s">
        <v>16</v>
      </c>
      <c r="C44" s="15" t="s">
        <v>17</v>
      </c>
      <c r="D44" s="15">
        <v>4756.49</v>
      </c>
      <c r="E44" s="15" t="s">
        <v>18</v>
      </c>
      <c r="F44" s="15">
        <v>4742.2</v>
      </c>
      <c r="G44" s="15">
        <f t="shared" si="110"/>
        <v>4666.96</v>
      </c>
      <c r="H44" s="15">
        <f t="shared" si="120"/>
        <v>4529.84</v>
      </c>
      <c r="I44" s="15">
        <f t="shared" si="130"/>
        <v>4548.26</v>
      </c>
      <c r="J44" s="15">
        <f t="shared" si="140"/>
        <v>4482.6899999999996</v>
      </c>
      <c r="K44" s="15">
        <f t="shared" ref="K44:K75" si="150">F34</f>
        <v>4492.83</v>
      </c>
      <c r="L44" s="15">
        <f t="shared" si="50"/>
        <v>4493.1400000000003</v>
      </c>
      <c r="M44" s="15">
        <f t="shared" si="60"/>
        <v>4420.2700000000004</v>
      </c>
      <c r="N44" s="15">
        <f t="shared" si="70"/>
        <v>4404.32</v>
      </c>
      <c r="O44" s="15">
        <f t="shared" si="80"/>
        <v>4375.68</v>
      </c>
      <c r="P44" s="15">
        <f t="shared" si="90"/>
        <v>4359.29</v>
      </c>
      <c r="Q44" s="15">
        <f t="shared" si="100"/>
        <v>4413.24</v>
      </c>
      <c r="R44" s="15">
        <v>-50.94</v>
      </c>
      <c r="S44" s="15">
        <f t="shared" si="111"/>
        <v>-57.44</v>
      </c>
      <c r="T44" s="15">
        <f t="shared" si="121"/>
        <v>-51.8</v>
      </c>
      <c r="U44" s="15">
        <f t="shared" si="131"/>
        <v>-71.58</v>
      </c>
      <c r="V44" s="15">
        <f t="shared" si="141"/>
        <v>-45.97</v>
      </c>
      <c r="W44" s="15">
        <f t="shared" ref="W44:W75" si="151">R34</f>
        <v>-31.02</v>
      </c>
      <c r="X44" s="15">
        <f t="shared" si="51"/>
        <v>-87.45</v>
      </c>
      <c r="Y44" s="15">
        <f t="shared" si="61"/>
        <v>-134.72999999999999</v>
      </c>
      <c r="Z44" s="15">
        <f t="shared" si="71"/>
        <v>-70.8</v>
      </c>
      <c r="AA44" s="15">
        <f t="shared" si="81"/>
        <v>-44.88</v>
      </c>
      <c r="AB44" s="15">
        <f t="shared" si="91"/>
        <v>-119.85</v>
      </c>
      <c r="AC44" s="15">
        <f t="shared" si="101"/>
        <v>-131.05000000000001</v>
      </c>
      <c r="AD44" s="15">
        <v>-1.06</v>
      </c>
      <c r="AE44" s="15">
        <f t="shared" si="112"/>
        <v>-1.22</v>
      </c>
      <c r="AF44" s="15">
        <f t="shared" si="122"/>
        <v>-1.1299999999999999</v>
      </c>
      <c r="AG44" s="15">
        <f t="shared" si="132"/>
        <v>-1.55</v>
      </c>
      <c r="AH44" s="15">
        <f t="shared" si="142"/>
        <v>-1.02</v>
      </c>
      <c r="AI44" s="15">
        <f t="shared" ref="AI44:AI75" si="152">AD34</f>
        <v>-0.69</v>
      </c>
      <c r="AJ44" s="15">
        <f t="shared" si="52"/>
        <v>-1.91</v>
      </c>
      <c r="AK44" s="15">
        <f t="shared" si="62"/>
        <v>-2.96</v>
      </c>
      <c r="AL44" s="15">
        <f t="shared" si="72"/>
        <v>-1.58</v>
      </c>
      <c r="AM44" s="15">
        <f t="shared" si="82"/>
        <v>-1.02</v>
      </c>
      <c r="AN44" s="15">
        <f t="shared" si="92"/>
        <v>-2.68</v>
      </c>
      <c r="AO44" s="15">
        <f t="shared" si="102"/>
        <v>-2.88</v>
      </c>
      <c r="AP44" s="15">
        <v>3</v>
      </c>
      <c r="AQ44" s="15">
        <f t="shared" si="113"/>
        <v>3</v>
      </c>
      <c r="AR44" s="15">
        <f t="shared" si="123"/>
        <v>3</v>
      </c>
      <c r="AS44" s="15">
        <f t="shared" si="133"/>
        <v>3</v>
      </c>
      <c r="AT44" s="15">
        <f t="shared" si="143"/>
        <v>3</v>
      </c>
      <c r="AU44" s="15">
        <f t="shared" ref="AU44:AU75" si="153">AP34</f>
        <v>3</v>
      </c>
      <c r="AV44" s="15">
        <f t="shared" si="53"/>
        <v>3</v>
      </c>
      <c r="AW44" s="15">
        <f t="shared" si="63"/>
        <v>3</v>
      </c>
      <c r="AX44" s="15">
        <f t="shared" si="73"/>
        <v>3</v>
      </c>
      <c r="AY44" s="15">
        <f t="shared" si="83"/>
        <v>3</v>
      </c>
      <c r="AZ44" s="15">
        <f t="shared" si="93"/>
        <v>3</v>
      </c>
      <c r="BA44" s="15">
        <f t="shared" si="103"/>
        <v>3</v>
      </c>
      <c r="BB44" s="15">
        <v>6</v>
      </c>
      <c r="BC44" s="15">
        <f t="shared" si="114"/>
        <v>13</v>
      </c>
      <c r="BD44" s="15">
        <f t="shared" si="124"/>
        <v>19</v>
      </c>
      <c r="BE44" s="15">
        <f t="shared" si="134"/>
        <v>13</v>
      </c>
      <c r="BF44" s="15">
        <f t="shared" si="144"/>
        <v>1</v>
      </c>
      <c r="BG44" s="15">
        <f t="shared" ref="BG44:BG75" si="154">BB34</f>
        <v>4</v>
      </c>
      <c r="BH44" s="15">
        <f t="shared" si="54"/>
        <v>30</v>
      </c>
      <c r="BI44" s="15">
        <f t="shared" si="64"/>
        <v>31</v>
      </c>
      <c r="BJ44" s="15">
        <f t="shared" si="74"/>
        <v>22</v>
      </c>
      <c r="BK44" s="15">
        <f t="shared" si="84"/>
        <v>13</v>
      </c>
      <c r="BL44" s="15">
        <f t="shared" si="94"/>
        <v>21</v>
      </c>
      <c r="BM44" s="15">
        <f t="shared" si="104"/>
        <v>30</v>
      </c>
      <c r="BN44" s="15">
        <v>3</v>
      </c>
      <c r="BO44" s="15">
        <f t="shared" si="115"/>
        <v>3</v>
      </c>
      <c r="BP44" s="15">
        <f t="shared" si="125"/>
        <v>3</v>
      </c>
      <c r="BQ44" s="15">
        <f t="shared" si="135"/>
        <v>3</v>
      </c>
      <c r="BR44" s="15">
        <f t="shared" si="145"/>
        <v>3</v>
      </c>
      <c r="BS44" s="15">
        <f t="shared" ref="BS44:BS75" si="155">BN34</f>
        <v>3</v>
      </c>
      <c r="BT44" s="15">
        <f t="shared" si="55"/>
        <v>3</v>
      </c>
      <c r="BU44" s="15">
        <f t="shared" si="65"/>
        <v>3</v>
      </c>
      <c r="BV44" s="15">
        <f t="shared" si="75"/>
        <v>3</v>
      </c>
      <c r="BW44" s="15">
        <f t="shared" si="85"/>
        <v>3</v>
      </c>
      <c r="BX44" s="15">
        <f t="shared" si="95"/>
        <v>3</v>
      </c>
      <c r="BY44" s="15">
        <f t="shared" si="105"/>
        <v>3</v>
      </c>
      <c r="BZ44" s="15">
        <v>-8.49</v>
      </c>
      <c r="CA44" s="15">
        <f t="shared" si="116"/>
        <v>-4.4184599999999996</v>
      </c>
      <c r="CB44" s="15">
        <f t="shared" si="126"/>
        <v>-2.7263199999999999</v>
      </c>
      <c r="CC44" s="15">
        <f t="shared" si="136"/>
        <v>-5.5061499999999999</v>
      </c>
      <c r="CD44" s="15">
        <f t="shared" si="146"/>
        <v>-45.97</v>
      </c>
      <c r="CE44" s="15">
        <f t="shared" ref="CE44:CE75" si="156">BZ34</f>
        <v>-7.7549999999999999</v>
      </c>
      <c r="CF44" s="15">
        <f t="shared" si="56"/>
        <v>-2.915</v>
      </c>
      <c r="CG44" s="15">
        <f t="shared" si="66"/>
        <v>-4.3461299999999996</v>
      </c>
      <c r="CH44" s="15">
        <f t="shared" si="76"/>
        <v>-3.2181799999999998</v>
      </c>
      <c r="CI44" s="15">
        <f t="shared" si="86"/>
        <v>-3.4523100000000002</v>
      </c>
      <c r="CJ44" s="15">
        <f t="shared" si="96"/>
        <v>-5.7071399999999999</v>
      </c>
      <c r="CK44" s="15">
        <f t="shared" si="106"/>
        <v>-4.3683300000000003</v>
      </c>
      <c r="CL44" s="15">
        <v>3</v>
      </c>
      <c r="CM44" s="15">
        <f t="shared" si="117"/>
        <v>3</v>
      </c>
      <c r="CN44" s="15">
        <f t="shared" si="127"/>
        <v>3</v>
      </c>
      <c r="CO44" s="15">
        <f t="shared" si="137"/>
        <v>3</v>
      </c>
      <c r="CP44" s="15">
        <f t="shared" si="147"/>
        <v>5</v>
      </c>
      <c r="CQ44" s="15">
        <f t="shared" ref="CQ44:CQ75" si="157">CL34</f>
        <v>3</v>
      </c>
      <c r="CR44" s="15">
        <f t="shared" si="57"/>
        <v>3</v>
      </c>
      <c r="CS44" s="15">
        <f t="shared" si="67"/>
        <v>3</v>
      </c>
      <c r="CT44" s="15">
        <f t="shared" si="77"/>
        <v>3</v>
      </c>
      <c r="CU44" s="15">
        <f t="shared" si="87"/>
        <v>3</v>
      </c>
      <c r="CV44" s="15">
        <f t="shared" si="97"/>
        <v>3</v>
      </c>
      <c r="CW44" s="15">
        <f t="shared" si="107"/>
        <v>3</v>
      </c>
      <c r="CX44" s="15">
        <v>-83.282300000000006</v>
      </c>
      <c r="CY44" s="15">
        <f t="shared" si="118"/>
        <v>-77.247500000000002</v>
      </c>
      <c r="CZ44" s="15">
        <f t="shared" si="128"/>
        <v>-69.857200000000006</v>
      </c>
      <c r="DA44" s="15">
        <f t="shared" si="138"/>
        <v>-79.706400000000002</v>
      </c>
      <c r="DB44" s="15">
        <f t="shared" si="148"/>
        <v>-88.753799999999998</v>
      </c>
      <c r="DC44" s="15">
        <f t="shared" ref="DC44:DC75" si="158">CX34</f>
        <v>-82.652299999999997</v>
      </c>
      <c r="DD44" s="15">
        <f t="shared" si="58"/>
        <v>-71.065299999999993</v>
      </c>
      <c r="DE44" s="15">
        <f t="shared" si="68"/>
        <v>-77.042299999999997</v>
      </c>
      <c r="DF44" s="15">
        <f t="shared" si="78"/>
        <v>-72.738200000000006</v>
      </c>
      <c r="DG44" s="15">
        <f t="shared" si="88"/>
        <v>-73.845699999999994</v>
      </c>
      <c r="DH44" s="15">
        <f t="shared" si="98"/>
        <v>-80.061599999999999</v>
      </c>
      <c r="DI44" s="15">
        <f t="shared" si="108"/>
        <v>-77.105999999999995</v>
      </c>
      <c r="DJ44" s="15" t="s">
        <v>22</v>
      </c>
      <c r="DK44" s="15" t="str">
        <f t="shared" si="119"/>
        <v>HL</v>
      </c>
      <c r="DL44" s="15" t="str">
        <f t="shared" si="129"/>
        <v>LL</v>
      </c>
      <c r="DM44" s="15" t="str">
        <f t="shared" si="139"/>
        <v>HL</v>
      </c>
      <c r="DN44" s="15" t="str">
        <f t="shared" si="149"/>
        <v>LL</v>
      </c>
      <c r="DO44" s="15" t="str">
        <f t="shared" ref="DO44:DO75" si="159">DJ34</f>
        <v>LL</v>
      </c>
      <c r="DP44" s="15" t="str">
        <f t="shared" si="59"/>
        <v>HL</v>
      </c>
      <c r="DQ44" s="15" t="str">
        <f t="shared" si="69"/>
        <v>HL</v>
      </c>
      <c r="DR44" s="15" t="str">
        <f t="shared" si="79"/>
        <v>HL</v>
      </c>
      <c r="DS44" s="15" t="str">
        <f t="shared" si="89"/>
        <v>HL</v>
      </c>
      <c r="DT44" s="15" t="str">
        <f t="shared" si="99"/>
        <v>LL</v>
      </c>
      <c r="DU44" s="15" t="str">
        <f t="shared" si="109"/>
        <v>LL</v>
      </c>
      <c r="DV44" s="15">
        <f>IFERROR((G44-$F44)/$F44*100,"")</f>
        <v>-1.5866053730336085</v>
      </c>
      <c r="DW44" s="15">
        <f>IFERROR((H44-$F44)/$F44*100,"")</f>
        <v>-4.4780903378178838</v>
      </c>
      <c r="DX44" s="15">
        <f>IFERROR((I44-$F44)/$F44*100,"")</f>
        <v>-4.0896630255999238</v>
      </c>
      <c r="DY44" s="15">
        <f>IFERROR((J44-$F44)/$F44*100,"")</f>
        <v>-5.472354603348661</v>
      </c>
      <c r="DZ44" s="15">
        <f>IFERROR((K44-$F44)/$F44*100,"")</f>
        <v>-5.2585297962970756</v>
      </c>
      <c r="EA44" s="15">
        <f>IFERROR((L44-$F44)/$F44*100,"")</f>
        <v>-5.251992745982867</v>
      </c>
      <c r="EB44" s="15">
        <f>IFERROR((M44-$F44)/$F44*100,"")</f>
        <v>-6.7886213150014623</v>
      </c>
      <c r="EC44" s="15">
        <f>IFERROR((N44-$F44)/$F44*100,"")</f>
        <v>-7.1249630972966163</v>
      </c>
      <c r="ED44" s="15">
        <f>IFERROR((O44-$F44)/$F44*100,"")</f>
        <v>-7.7289021972923866</v>
      </c>
      <c r="EE44" s="15">
        <f>IFERROR((P44-$F44)/$F44*100,"")</f>
        <v>-8.0745223735818783</v>
      </c>
      <c r="EF44" s="15">
        <f>IFERROR((Q44-$F44)/$F44*100,"")</f>
        <v>-6.9368647463202748</v>
      </c>
      <c r="EG44" s="15" t="str">
        <f>IF(DV44="","",IF(AND(ABS(DV44)&lt;=0.25,$E44="Bottom",DK44="LL"),"EQL",IF(AND(ABS(DV44)&lt;=0.25,$E44="Peak",DK44="HH"),"EQH","")))</f>
        <v/>
      </c>
      <c r="EH44" s="15" t="str">
        <f>IF(DW44="","",IF(AND(ABS(DW44)&lt;=0.25,$E44="Bottom",DL44="LL"),"EQL",IF(AND(ABS(DW44)&lt;=0.25,$E44="Peak",DL44="HH"),"EQH","")))</f>
        <v/>
      </c>
      <c r="EI44" s="15" t="str">
        <f>IF(DX44="","",IF(AND(ABS(DX44)&lt;=0.25,$E44="Bottom",DM44="LL"),"EQL",IF(AND(ABS(DX44)&lt;=0.25,$E44="Peak",DM44="HH"),"EQH","")))</f>
        <v/>
      </c>
      <c r="EJ44" s="15" t="str">
        <f>IF(DY44="","",IF(AND(ABS(DY44)&lt;=0.25,$E44="Bottom",DN44="LL"),"EQL",IF(AND(ABS(DY44)&lt;=0.25,$E44="Peak",DN44="HH"),"EQH","")))</f>
        <v/>
      </c>
      <c r="EK44" s="15" t="str">
        <f>IF(DZ44="","",IF(AND(ABS(DZ44)&lt;=0.25,$E44="Bottom",DO44="LL"),"EQL",IF(AND(ABS(DZ44)&lt;=0.25,$E44="Peak",DO44="HH"),"EQH","")))</f>
        <v/>
      </c>
      <c r="EL44" s="15" t="str">
        <f>IF(EA44="","",IF(AND(ABS(EA44)&lt;=0.25,$E44="Bottom",DP44="LL"),"EQL",IF(AND(ABS(EA44)&lt;=0.25,$E44="Peak",DP44="HH"),"EQH","")))</f>
        <v/>
      </c>
      <c r="EM44" s="15" t="str">
        <f>IF(EB44="","",IF(AND(ABS(EB44)&lt;=0.25,$E44="Bottom",DQ44="LL"),"EQL",IF(AND(ABS(EB44)&lt;=0.25,$E44="Peak",DQ44="HH"),"EQH","")))</f>
        <v/>
      </c>
      <c r="EN44" s="15" t="str">
        <f>IF(EC44="","",IF(AND(ABS(EC44)&lt;=0.25,$E44="Bottom",DR44="LL"),"EQL",IF(AND(ABS(EC44)&lt;=0.25,$E44="Peak",DR44="HH"),"EQH","")))</f>
        <v/>
      </c>
      <c r="EO44" s="15" t="str">
        <f>IF(ED44="","",IF(AND(ABS(ED44)&lt;=0.25,$E44="Bottom",DS44="LL"),"EQL",IF(AND(ABS(ED44)&lt;=0.25,$E44="Peak",DS44="HH"),"EQH","")))</f>
        <v/>
      </c>
      <c r="EP44" s="15" t="str">
        <f>IF(EE44="","",IF(AND(ABS(EE44)&lt;=0.25,$E44="Bottom",DT44="LL"),"EQL",IF(AND(ABS(EE44)&lt;=0.25,$E44="Peak",DT44="HH"),"EQH","")))</f>
        <v/>
      </c>
      <c r="EQ44" s="15" t="str">
        <f>IF(EF44="","",IF(AND(ABS(EF44)&lt;=0.25,$E44="Bottom",DU44="LL"),"EQL",IF(AND(ABS(EF44)&lt;=0.25,$E44="Peak",DU44="HH"),"EQH","")))</f>
        <v/>
      </c>
      <c r="ER44" s="15" t="str">
        <f>IF(OR(EG44="EQL",EG44="EQH"),F44,"")</f>
        <v/>
      </c>
      <c r="ES44" s="15" t="str">
        <f>IF(OR(EH44="EQL",EH44="EQH"),G44,"")</f>
        <v/>
      </c>
      <c r="ET44" s="15" t="str">
        <f>IF(OR(EI44="EQL",EI44="EQH"),H44,"")</f>
        <v/>
      </c>
      <c r="EU44" s="15" t="str">
        <f>IF(OR(EJ44="EQL",EJ44="EQH"),I44,"")</f>
        <v/>
      </c>
      <c r="EV44" s="15" t="str">
        <f>IF(OR(EK44="EQL",EK44="EQH"),J44,"")</f>
        <v/>
      </c>
      <c r="EW44" s="15" t="str">
        <f>IF(OR(EL44="EQL",EL44="EQH"),K44,"")</f>
        <v/>
      </c>
      <c r="EX44" s="15" t="str">
        <f>IF(OR(EM44="EQL",EM44="EQH"),L44,"")</f>
        <v/>
      </c>
      <c r="EY44" s="15" t="str">
        <f>IF(OR(EN44="EQL",EN44="EQH"),M44,"")</f>
        <v/>
      </c>
      <c r="EZ44" s="15" t="str">
        <f>IF(OR(EO44="EQL",EO44="EQH"),N44,"")</f>
        <v/>
      </c>
      <c r="FA44" s="15" t="str">
        <f>IF(OR(EP44="EQL",EP44="EQH"),O44,"")</f>
        <v/>
      </c>
      <c r="FB44" s="15" t="str">
        <f>IF(OR(EQ44="EQL",EQ44="EQH"),P44,"")</f>
        <v/>
      </c>
      <c r="FC44" s="15" t="str">
        <f>IF(AND(EG44="EQL",OR(AQ44=4,AQ44=5)),"IEQL",IF(AND(EG44="EQH",OR(AQ44=1,AQ44=2)),"IEQH",""))</f>
        <v/>
      </c>
      <c r="FD44" s="15" t="str">
        <f>IF(AND(EH44="EQL",OR(AR44=4,AR44=5)),"IEQL",IF(AND(EH44="EQH",OR(AR44=1,AR44=2)),"IEQH",""))</f>
        <v/>
      </c>
      <c r="FE44" s="15" t="str">
        <f>IF(AND(EI44="EQL",OR(AS44=4,AS44=5)),"IEQL",IF(AND(EI44="EQH",OR(AS44=1,AS44=2)),"IEQH",""))</f>
        <v/>
      </c>
      <c r="FF44" s="15" t="str">
        <f>IF(AND(EJ44="EQL",OR(AT44=4,AT44=5)),"IEQL",IF(AND(EJ44="EQH",OR(AT44=1,AT44=2)),"IEQH",""))</f>
        <v/>
      </c>
      <c r="FG44" s="15" t="str">
        <f>IF(AND(EK44="EQL",OR(AU44=4,AU44=5)),"IEQL",IF(AND(EK44="EQH",OR(AU44=1,AU44=2)),"IEQH",""))</f>
        <v/>
      </c>
      <c r="FH44" s="15" t="str">
        <f>IF(AND(EL44="EQL",OR(AV44=4,AV44=5)),"IEQL",IF(AND(EL44="EQH",OR(AV44=1,AV44=2)),"IEQH",""))</f>
        <v/>
      </c>
      <c r="FI44" s="15" t="str">
        <f>IF(AND(EM44="EQL",OR(AW44=4,AW44=5)),"IEQL",IF(AND(EM44="EQH",OR(AW44=1,AW44=2)),"IEQH",""))</f>
        <v/>
      </c>
      <c r="FJ44" s="15" t="str">
        <f>IF(AND(EN44="EQL",OR(AX44=4,AX44=5)),"IEQL",IF(AND(EN44="EQH",OR(AX44=1,AX44=2)),"IEQH",""))</f>
        <v/>
      </c>
      <c r="FK44" s="15" t="str">
        <f>IF(AND(EO44="EQL",OR(AY44=4,AY44=5)),"IEQL",IF(AND(EO44="EQH",OR(AY44=1,AY44=2)),"IEQH",""))</f>
        <v/>
      </c>
      <c r="FL44" s="15" t="str">
        <f>IF(AND(EP44="EQL",OR(AZ44=4,AZ44=5)),"IEQL",IF(AND(EP44="EQH",OR(AZ44=1,AZ44=2)),"IEQH",""))</f>
        <v/>
      </c>
      <c r="FM44" s="15" t="str">
        <f>IF(AND(EQ44="EQL",OR(BA44=4,BA44=5)),"IEQL",IF(AND(EQ44="EQH",OR(BA44=1,BA44=2)),"IEQH",""))</f>
        <v/>
      </c>
      <c r="FN44" s="15" t="str">
        <f>IF(OR(AND(DJ44="LL",AP44=5),AND(DJ44="HH",AP44=2)),F44,"")</f>
        <v/>
      </c>
      <c r="FO44" s="15" t="str">
        <f>IF(FN44&lt;&gt;"",F43,"")</f>
        <v/>
      </c>
    </row>
    <row r="45" spans="1:171" s="15" customFormat="1" x14ac:dyDescent="0.55000000000000004">
      <c r="A45" s="15">
        <v>1775086206</v>
      </c>
      <c r="B45" s="15" t="s">
        <v>16</v>
      </c>
      <c r="C45" s="15" t="s">
        <v>17</v>
      </c>
      <c r="D45" s="15">
        <v>4789.57</v>
      </c>
      <c r="E45" s="15" t="s">
        <v>20</v>
      </c>
      <c r="F45" s="15">
        <v>4800.45</v>
      </c>
      <c r="G45" s="15">
        <f t="shared" si="110"/>
        <v>4793.1400000000003</v>
      </c>
      <c r="H45" s="15">
        <f t="shared" si="120"/>
        <v>4724.3999999999996</v>
      </c>
      <c r="I45" s="15">
        <f t="shared" si="130"/>
        <v>4581.6400000000003</v>
      </c>
      <c r="J45" s="15">
        <f t="shared" si="140"/>
        <v>4619.84</v>
      </c>
      <c r="K45" s="15">
        <f t="shared" si="150"/>
        <v>4528.66</v>
      </c>
      <c r="L45" s="15">
        <f t="shared" si="50"/>
        <v>4523.8500000000004</v>
      </c>
      <c r="M45" s="15">
        <f t="shared" si="60"/>
        <v>4580.59</v>
      </c>
      <c r="N45" s="15">
        <f t="shared" si="70"/>
        <v>4555</v>
      </c>
      <c r="O45" s="15">
        <f t="shared" si="80"/>
        <v>4475.12</v>
      </c>
      <c r="P45" s="15">
        <f t="shared" si="90"/>
        <v>4420.5600000000004</v>
      </c>
      <c r="Q45" s="15">
        <f t="shared" si="100"/>
        <v>4479.1400000000003</v>
      </c>
      <c r="R45" s="15">
        <v>58.25</v>
      </c>
      <c r="S45" s="15">
        <f t="shared" si="111"/>
        <v>126.18</v>
      </c>
      <c r="T45" s="15">
        <f t="shared" si="121"/>
        <v>194.56</v>
      </c>
      <c r="U45" s="15">
        <f t="shared" si="131"/>
        <v>33.380000000000003</v>
      </c>
      <c r="V45" s="15">
        <f t="shared" si="141"/>
        <v>137.15</v>
      </c>
      <c r="W45" s="15">
        <f t="shared" si="151"/>
        <v>35.83</v>
      </c>
      <c r="X45" s="15">
        <f t="shared" si="51"/>
        <v>30.71</v>
      </c>
      <c r="Y45" s="15">
        <f t="shared" si="61"/>
        <v>160.32</v>
      </c>
      <c r="Z45" s="15">
        <f t="shared" si="71"/>
        <v>150.68</v>
      </c>
      <c r="AA45" s="15">
        <f t="shared" si="81"/>
        <v>99.44</v>
      </c>
      <c r="AB45" s="15">
        <f t="shared" si="91"/>
        <v>61.27</v>
      </c>
      <c r="AC45" s="15">
        <f t="shared" si="101"/>
        <v>65.900000000000006</v>
      </c>
      <c r="AD45" s="15">
        <v>1.23</v>
      </c>
      <c r="AE45" s="15">
        <f t="shared" si="112"/>
        <v>2.7</v>
      </c>
      <c r="AF45" s="15">
        <f t="shared" si="122"/>
        <v>4.3</v>
      </c>
      <c r="AG45" s="15">
        <f t="shared" si="132"/>
        <v>0.73</v>
      </c>
      <c r="AH45" s="15">
        <f t="shared" si="142"/>
        <v>3.06</v>
      </c>
      <c r="AI45" s="15">
        <f t="shared" si="152"/>
        <v>0.8</v>
      </c>
      <c r="AJ45" s="15">
        <f t="shared" si="52"/>
        <v>0.68</v>
      </c>
      <c r="AK45" s="15">
        <f t="shared" si="62"/>
        <v>3.63</v>
      </c>
      <c r="AL45" s="15">
        <f t="shared" si="72"/>
        <v>3.42</v>
      </c>
      <c r="AM45" s="15">
        <f t="shared" si="82"/>
        <v>2.27</v>
      </c>
      <c r="AN45" s="15">
        <f t="shared" si="92"/>
        <v>1.41</v>
      </c>
      <c r="AO45" s="15">
        <f t="shared" si="102"/>
        <v>1.49</v>
      </c>
      <c r="AP45" s="15">
        <v>0</v>
      </c>
      <c r="AQ45" s="15">
        <f t="shared" si="113"/>
        <v>0</v>
      </c>
      <c r="AR45" s="15">
        <f t="shared" si="123"/>
        <v>0</v>
      </c>
      <c r="AS45" s="15">
        <f t="shared" si="133"/>
        <v>0</v>
      </c>
      <c r="AT45" s="15">
        <f t="shared" si="143"/>
        <v>0</v>
      </c>
      <c r="AU45" s="15">
        <f t="shared" si="153"/>
        <v>0</v>
      </c>
      <c r="AV45" s="15">
        <f t="shared" si="53"/>
        <v>0</v>
      </c>
      <c r="AW45" s="15">
        <f t="shared" si="63"/>
        <v>0</v>
      </c>
      <c r="AX45" s="15">
        <f t="shared" si="73"/>
        <v>0</v>
      </c>
      <c r="AY45" s="15">
        <f t="shared" si="83"/>
        <v>0</v>
      </c>
      <c r="AZ45" s="15">
        <f t="shared" si="93"/>
        <v>0</v>
      </c>
      <c r="BA45" s="15">
        <f t="shared" si="103"/>
        <v>0</v>
      </c>
      <c r="BB45" s="15">
        <v>16</v>
      </c>
      <c r="BC45" s="15">
        <f t="shared" si="114"/>
        <v>51</v>
      </c>
      <c r="BD45" s="15">
        <f t="shared" si="124"/>
        <v>54</v>
      </c>
      <c r="BE45" s="15">
        <f t="shared" si="134"/>
        <v>3</v>
      </c>
      <c r="BF45" s="15">
        <f t="shared" si="144"/>
        <v>6</v>
      </c>
      <c r="BG45" s="15">
        <f t="shared" si="154"/>
        <v>4</v>
      </c>
      <c r="BH45" s="15">
        <f t="shared" si="54"/>
        <v>7</v>
      </c>
      <c r="BI45" s="15">
        <f t="shared" si="64"/>
        <v>47</v>
      </c>
      <c r="BJ45" s="15">
        <f t="shared" si="74"/>
        <v>17</v>
      </c>
      <c r="BK45" s="15">
        <f t="shared" si="84"/>
        <v>19</v>
      </c>
      <c r="BL45" s="15">
        <f t="shared" si="94"/>
        <v>3</v>
      </c>
      <c r="BM45" s="15">
        <f t="shared" si="104"/>
        <v>24</v>
      </c>
      <c r="BN45" s="15">
        <v>0</v>
      </c>
      <c r="BO45" s="15">
        <f t="shared" si="115"/>
        <v>1</v>
      </c>
      <c r="BP45" s="15">
        <f t="shared" si="125"/>
        <v>2</v>
      </c>
      <c r="BQ45" s="15">
        <f t="shared" si="135"/>
        <v>0</v>
      </c>
      <c r="BR45" s="15">
        <f t="shared" si="145"/>
        <v>0</v>
      </c>
      <c r="BS45" s="15">
        <f t="shared" si="155"/>
        <v>0</v>
      </c>
      <c r="BT45" s="15">
        <f t="shared" si="55"/>
        <v>0</v>
      </c>
      <c r="BU45" s="15">
        <f t="shared" si="65"/>
        <v>2</v>
      </c>
      <c r="BV45" s="15">
        <f t="shared" si="75"/>
        <v>0</v>
      </c>
      <c r="BW45" s="15">
        <f t="shared" si="85"/>
        <v>0</v>
      </c>
      <c r="BX45" s="15">
        <f t="shared" si="95"/>
        <v>0</v>
      </c>
      <c r="BY45" s="15">
        <f t="shared" si="105"/>
        <v>0</v>
      </c>
      <c r="BZ45" s="15">
        <v>3.6406200000000002</v>
      </c>
      <c r="CA45" s="15">
        <f t="shared" si="116"/>
        <v>2.4741200000000001</v>
      </c>
      <c r="CB45" s="15">
        <f t="shared" si="126"/>
        <v>3.6029599999999999</v>
      </c>
      <c r="CC45" s="15">
        <f t="shared" si="136"/>
        <v>11.126670000000001</v>
      </c>
      <c r="CD45" s="15">
        <f t="shared" si="146"/>
        <v>22.858329999999999</v>
      </c>
      <c r="CE45" s="15">
        <f t="shared" si="156"/>
        <v>8.9574999999999996</v>
      </c>
      <c r="CF45" s="15">
        <f t="shared" si="56"/>
        <v>4.3871399999999996</v>
      </c>
      <c r="CG45" s="15">
        <f t="shared" si="66"/>
        <v>3.41106</v>
      </c>
      <c r="CH45" s="15">
        <f t="shared" si="76"/>
        <v>8.8635300000000008</v>
      </c>
      <c r="CI45" s="15">
        <f t="shared" si="86"/>
        <v>5.2336799999999997</v>
      </c>
      <c r="CJ45" s="15">
        <f t="shared" si="96"/>
        <v>20.42333</v>
      </c>
      <c r="CK45" s="15">
        <f t="shared" si="106"/>
        <v>2.7458300000000002</v>
      </c>
      <c r="CL45" s="15">
        <v>0</v>
      </c>
      <c r="CM45" s="15">
        <f t="shared" si="117"/>
        <v>0</v>
      </c>
      <c r="CN45" s="15">
        <f t="shared" si="127"/>
        <v>0</v>
      </c>
      <c r="CO45" s="15">
        <f t="shared" si="137"/>
        <v>0</v>
      </c>
      <c r="CP45" s="15">
        <f t="shared" si="147"/>
        <v>1</v>
      </c>
      <c r="CQ45" s="15">
        <f t="shared" si="157"/>
        <v>0</v>
      </c>
      <c r="CR45" s="15">
        <f t="shared" si="57"/>
        <v>0</v>
      </c>
      <c r="CS45" s="15">
        <f t="shared" si="67"/>
        <v>0</v>
      </c>
      <c r="CT45" s="15">
        <f t="shared" si="77"/>
        <v>0</v>
      </c>
      <c r="CU45" s="15">
        <f t="shared" si="87"/>
        <v>0</v>
      </c>
      <c r="CV45" s="15">
        <f t="shared" si="97"/>
        <v>2</v>
      </c>
      <c r="CW45" s="15">
        <f t="shared" si="107"/>
        <v>0</v>
      </c>
      <c r="CX45" s="15">
        <v>74.640900000000002</v>
      </c>
      <c r="CY45" s="15">
        <f t="shared" si="118"/>
        <v>67.992199999999997</v>
      </c>
      <c r="CZ45" s="15">
        <f t="shared" si="128"/>
        <v>74.488</v>
      </c>
      <c r="DA45" s="15">
        <f t="shared" si="138"/>
        <v>84.864400000000003</v>
      </c>
      <c r="DB45" s="15">
        <f t="shared" si="148"/>
        <v>87.495000000000005</v>
      </c>
      <c r="DC45" s="15">
        <f t="shared" si="158"/>
        <v>83.63</v>
      </c>
      <c r="DD45" s="15">
        <f t="shared" si="58"/>
        <v>77.159499999999994</v>
      </c>
      <c r="DE45" s="15">
        <f t="shared" si="68"/>
        <v>73.660799999999995</v>
      </c>
      <c r="DF45" s="15">
        <f t="shared" si="78"/>
        <v>83.563000000000002</v>
      </c>
      <c r="DG45" s="15">
        <f t="shared" si="88"/>
        <v>79.182900000000004</v>
      </c>
      <c r="DH45" s="15">
        <f t="shared" si="98"/>
        <v>87.196799999999996</v>
      </c>
      <c r="DI45" s="15">
        <f t="shared" si="108"/>
        <v>69.989000000000004</v>
      </c>
      <c r="DJ45" s="15" t="s">
        <v>23</v>
      </c>
      <c r="DK45" s="15" t="str">
        <f t="shared" si="119"/>
        <v>HH</v>
      </c>
      <c r="DL45" s="15" t="str">
        <f t="shared" si="129"/>
        <v>HH</v>
      </c>
      <c r="DM45" s="15" t="str">
        <f t="shared" si="139"/>
        <v>LH</v>
      </c>
      <c r="DN45" s="15" t="str">
        <f t="shared" si="149"/>
        <v>HH</v>
      </c>
      <c r="DO45" s="15" t="str">
        <f t="shared" si="159"/>
        <v>HH</v>
      </c>
      <c r="DP45" s="15" t="str">
        <f t="shared" si="59"/>
        <v>LH</v>
      </c>
      <c r="DQ45" s="15" t="str">
        <f t="shared" si="69"/>
        <v>HH</v>
      </c>
      <c r="DR45" s="15" t="str">
        <f t="shared" si="79"/>
        <v>HH</v>
      </c>
      <c r="DS45" s="15" t="str">
        <f t="shared" si="89"/>
        <v>HH</v>
      </c>
      <c r="DT45" s="15" t="str">
        <f t="shared" si="99"/>
        <v>LH</v>
      </c>
      <c r="DU45" s="15" t="str">
        <f t="shared" si="109"/>
        <v>LH</v>
      </c>
      <c r="DV45" s="15">
        <f>IFERROR((G45-$F45)/$F45*100,"")</f>
        <v>-0.15227739066128157</v>
      </c>
      <c r="DW45" s="15">
        <f>IFERROR((H45-$F45)/$F45*100,"")</f>
        <v>-1.5842264787676192</v>
      </c>
      <c r="DX45" s="15">
        <f>IFERROR((I45-$F45)/$F45*100,"")</f>
        <v>-4.5581143434469586</v>
      </c>
      <c r="DY45" s="15">
        <f>IFERROR((J45-$F45)/$F45*100,"")</f>
        <v>-3.7623556124946553</v>
      </c>
      <c r="DZ45" s="15">
        <f>IFERROR((K45-$F45)/$F45*100,"")</f>
        <v>-5.6617608765844869</v>
      </c>
      <c r="EA45" s="15">
        <f>IFERROR((L45-$F45)/$F45*100,"")</f>
        <v>-5.7619598162672139</v>
      </c>
      <c r="EB45" s="15">
        <f>IFERROR((M45-$F45)/$F45*100,"")</f>
        <v>-4.5799872928579548</v>
      </c>
      <c r="EC45" s="15">
        <f>IFERROR((N45-$F45)/$F45*100,"")</f>
        <v>-5.1130623170744371</v>
      </c>
      <c r="ED45" s="15">
        <f>IFERROR((O45-$F45)/$F45*100,"")</f>
        <v>-6.7770729827412</v>
      </c>
      <c r="EE45" s="15">
        <f>IFERROR((P45-$F45)/$F45*100,"")</f>
        <v>-7.9136330968971542</v>
      </c>
      <c r="EF45" s="15">
        <f>IFERROR((Q45-$F45)/$F45*100,"")</f>
        <v>-6.6933308335676758</v>
      </c>
      <c r="EG45" s="15" t="str">
        <f>IF(DV45="","",IF(AND(ABS(DV45)&lt;=0.25,$E45="Bottom",DK45="LL"),"EQL",IF(AND(ABS(DV45)&lt;=0.25,$E45="Peak",DK45="HH"),"EQH","")))</f>
        <v>EQH</v>
      </c>
      <c r="EH45" s="15" t="str">
        <f>IF(DW45="","",IF(AND(ABS(DW45)&lt;=0.25,$E45="Bottom",DL45="LL"),"EQL",IF(AND(ABS(DW45)&lt;=0.25,$E45="Peak",DL45="HH"),"EQH","")))</f>
        <v/>
      </c>
      <c r="EI45" s="15" t="str">
        <f>IF(DX45="","",IF(AND(ABS(DX45)&lt;=0.25,$E45="Bottom",DM45="LL"),"EQL",IF(AND(ABS(DX45)&lt;=0.25,$E45="Peak",DM45="HH"),"EQH","")))</f>
        <v/>
      </c>
      <c r="EJ45" s="15" t="str">
        <f>IF(DY45="","",IF(AND(ABS(DY45)&lt;=0.25,$E45="Bottom",DN45="LL"),"EQL",IF(AND(ABS(DY45)&lt;=0.25,$E45="Peak",DN45="HH"),"EQH","")))</f>
        <v/>
      </c>
      <c r="EK45" s="15" t="str">
        <f>IF(DZ45="","",IF(AND(ABS(DZ45)&lt;=0.25,$E45="Bottom",DO45="LL"),"EQL",IF(AND(ABS(DZ45)&lt;=0.25,$E45="Peak",DO45="HH"),"EQH","")))</f>
        <v/>
      </c>
      <c r="EL45" s="15" t="str">
        <f>IF(EA45="","",IF(AND(ABS(EA45)&lt;=0.25,$E45="Bottom",DP45="LL"),"EQL",IF(AND(ABS(EA45)&lt;=0.25,$E45="Peak",DP45="HH"),"EQH","")))</f>
        <v/>
      </c>
      <c r="EM45" s="15" t="str">
        <f>IF(EB45="","",IF(AND(ABS(EB45)&lt;=0.25,$E45="Bottom",DQ45="LL"),"EQL",IF(AND(ABS(EB45)&lt;=0.25,$E45="Peak",DQ45="HH"),"EQH","")))</f>
        <v/>
      </c>
      <c r="EN45" s="15" t="str">
        <f>IF(EC45="","",IF(AND(ABS(EC45)&lt;=0.25,$E45="Bottom",DR45="LL"),"EQL",IF(AND(ABS(EC45)&lt;=0.25,$E45="Peak",DR45="HH"),"EQH","")))</f>
        <v/>
      </c>
      <c r="EO45" s="15" t="str">
        <f>IF(ED45="","",IF(AND(ABS(ED45)&lt;=0.25,$E45="Bottom",DS45="LL"),"EQL",IF(AND(ABS(ED45)&lt;=0.25,$E45="Peak",DS45="HH"),"EQH","")))</f>
        <v/>
      </c>
      <c r="EP45" s="15" t="str">
        <f>IF(EE45="","",IF(AND(ABS(EE45)&lt;=0.25,$E45="Bottom",DT45="LL"),"EQL",IF(AND(ABS(EE45)&lt;=0.25,$E45="Peak",DT45="HH"),"EQH","")))</f>
        <v/>
      </c>
      <c r="EQ45" s="15" t="str">
        <f>IF(EF45="","",IF(AND(ABS(EF45)&lt;=0.25,$E45="Bottom",DU45="LL"),"EQL",IF(AND(ABS(EF45)&lt;=0.25,$E45="Peak",DU45="HH"),"EQH","")))</f>
        <v/>
      </c>
      <c r="ER45" s="15">
        <f>IF(OR(EG45="EQL",EG45="EQH"),F45,"")</f>
        <v>4800.45</v>
      </c>
      <c r="ES45" s="15" t="str">
        <f>IF(OR(EH45="EQL",EH45="EQH"),G45,"")</f>
        <v/>
      </c>
      <c r="ET45" s="15" t="str">
        <f>IF(OR(EI45="EQL",EI45="EQH"),H45,"")</f>
        <v/>
      </c>
      <c r="EU45" s="15" t="str">
        <f>IF(OR(EJ45="EQL",EJ45="EQH"),I45,"")</f>
        <v/>
      </c>
      <c r="EV45" s="15" t="str">
        <f>IF(OR(EK45="EQL",EK45="EQH"),J45,"")</f>
        <v/>
      </c>
      <c r="EW45" s="15" t="str">
        <f>IF(OR(EL45="EQL",EL45="EQH"),K45,"")</f>
        <v/>
      </c>
      <c r="EX45" s="15" t="str">
        <f>IF(OR(EM45="EQL",EM45="EQH"),L45,"")</f>
        <v/>
      </c>
      <c r="EY45" s="15" t="str">
        <f>IF(OR(EN45="EQL",EN45="EQH"),M45,"")</f>
        <v/>
      </c>
      <c r="EZ45" s="15" t="str">
        <f>IF(OR(EO45="EQL",EO45="EQH"),N45,"")</f>
        <v/>
      </c>
      <c r="FA45" s="15" t="str">
        <f>IF(OR(EP45="EQL",EP45="EQH"),O45,"")</f>
        <v/>
      </c>
      <c r="FB45" s="15" t="str">
        <f>IF(OR(EQ45="EQL",EQ45="EQH"),P45,"")</f>
        <v/>
      </c>
      <c r="FC45" s="15" t="str">
        <f>IF(AND(EG45="EQL",OR(AQ45=4,AQ45=5)),"IEQL",IF(AND(EG45="EQH",OR(AQ45=1,AQ45=2)),"IEQH",""))</f>
        <v/>
      </c>
      <c r="FD45" s="15" t="str">
        <f>IF(AND(EH45="EQL",OR(AR45=4,AR45=5)),"IEQL",IF(AND(EH45="EQH",OR(AR45=1,AR45=2)),"IEQH",""))</f>
        <v/>
      </c>
      <c r="FE45" s="15" t="str">
        <f>IF(AND(EI45="EQL",OR(AS45=4,AS45=5)),"IEQL",IF(AND(EI45="EQH",OR(AS45=1,AS45=2)),"IEQH",""))</f>
        <v/>
      </c>
      <c r="FF45" s="15" t="str">
        <f>IF(AND(EJ45="EQL",OR(AT45=4,AT45=5)),"IEQL",IF(AND(EJ45="EQH",OR(AT45=1,AT45=2)),"IEQH",""))</f>
        <v/>
      </c>
      <c r="FG45" s="15" t="str">
        <f>IF(AND(EK45="EQL",OR(AU45=4,AU45=5)),"IEQL",IF(AND(EK45="EQH",OR(AU45=1,AU45=2)),"IEQH",""))</f>
        <v/>
      </c>
      <c r="FH45" s="15" t="str">
        <f>IF(AND(EL45="EQL",OR(AV45=4,AV45=5)),"IEQL",IF(AND(EL45="EQH",OR(AV45=1,AV45=2)),"IEQH",""))</f>
        <v/>
      </c>
      <c r="FI45" s="15" t="str">
        <f>IF(AND(EM45="EQL",OR(AW45=4,AW45=5)),"IEQL",IF(AND(EM45="EQH",OR(AW45=1,AW45=2)),"IEQH",""))</f>
        <v/>
      </c>
      <c r="FJ45" s="15" t="str">
        <f>IF(AND(EN45="EQL",OR(AX45=4,AX45=5)),"IEQL",IF(AND(EN45="EQH",OR(AX45=1,AX45=2)),"IEQH",""))</f>
        <v/>
      </c>
      <c r="FK45" s="15" t="str">
        <f>IF(AND(EO45="EQL",OR(AY45=4,AY45=5)),"IEQL",IF(AND(EO45="EQH",OR(AY45=1,AY45=2)),"IEQH",""))</f>
        <v/>
      </c>
      <c r="FL45" s="15" t="str">
        <f>IF(AND(EP45="EQL",OR(AZ45=4,AZ45=5)),"IEQL",IF(AND(EP45="EQH",OR(AZ45=1,AZ45=2)),"IEQH",""))</f>
        <v/>
      </c>
      <c r="FM45" s="15" t="str">
        <f>IF(AND(EQ45="EQL",OR(BA45=4,BA45=5)),"IEQL",IF(AND(EQ45="EQH",OR(BA45=1,BA45=2)),"IEQH",""))</f>
        <v/>
      </c>
      <c r="FN45" s="15" t="str">
        <f>IF(OR(AND(DJ45="LL",AP45=5),AND(DJ45="HH",AP45=2)),F45,"")</f>
        <v/>
      </c>
      <c r="FO45" s="15" t="str">
        <f>IF(FN45&lt;&gt;"",F44,"")</f>
        <v/>
      </c>
    </row>
    <row r="46" spans="1:171" s="15" customFormat="1" x14ac:dyDescent="0.55000000000000004">
      <c r="A46" s="15">
        <v>1775109606</v>
      </c>
      <c r="B46" s="15" t="s">
        <v>16</v>
      </c>
      <c r="C46" s="15" t="s">
        <v>17</v>
      </c>
      <c r="D46" s="15">
        <v>4581</v>
      </c>
      <c r="E46" s="15" t="s">
        <v>18</v>
      </c>
      <c r="F46" s="15">
        <v>4553.95</v>
      </c>
      <c r="G46" s="15">
        <f t="shared" si="110"/>
        <v>4742.2</v>
      </c>
      <c r="H46" s="15">
        <f t="shared" si="120"/>
        <v>4666.96</v>
      </c>
      <c r="I46" s="15">
        <f t="shared" si="130"/>
        <v>4529.84</v>
      </c>
      <c r="J46" s="15">
        <f t="shared" si="140"/>
        <v>4548.26</v>
      </c>
      <c r="K46" s="15">
        <f t="shared" si="150"/>
        <v>4482.6899999999996</v>
      </c>
      <c r="L46" s="15">
        <f t="shared" ref="L46:L77" si="160">F34</f>
        <v>4492.83</v>
      </c>
      <c r="M46" s="15">
        <f t="shared" si="60"/>
        <v>4493.1400000000003</v>
      </c>
      <c r="N46" s="15">
        <f t="shared" si="70"/>
        <v>4420.2700000000004</v>
      </c>
      <c r="O46" s="15">
        <f t="shared" si="80"/>
        <v>4404.32</v>
      </c>
      <c r="P46" s="15">
        <f t="shared" si="90"/>
        <v>4375.68</v>
      </c>
      <c r="Q46" s="15">
        <f t="shared" si="100"/>
        <v>4359.29</v>
      </c>
      <c r="R46" s="15">
        <v>-246.5</v>
      </c>
      <c r="S46" s="15">
        <f t="shared" si="111"/>
        <v>-50.94</v>
      </c>
      <c r="T46" s="15">
        <f t="shared" si="121"/>
        <v>-57.44</v>
      </c>
      <c r="U46" s="15">
        <f t="shared" si="131"/>
        <v>-51.8</v>
      </c>
      <c r="V46" s="15">
        <f t="shared" si="141"/>
        <v>-71.58</v>
      </c>
      <c r="W46" s="15">
        <f t="shared" si="151"/>
        <v>-45.97</v>
      </c>
      <c r="X46" s="15">
        <f t="shared" ref="X46:X77" si="161">R34</f>
        <v>-31.02</v>
      </c>
      <c r="Y46" s="15">
        <f t="shared" si="61"/>
        <v>-87.45</v>
      </c>
      <c r="Z46" s="15">
        <f t="shared" si="71"/>
        <v>-134.72999999999999</v>
      </c>
      <c r="AA46" s="15">
        <f t="shared" si="81"/>
        <v>-70.8</v>
      </c>
      <c r="AB46" s="15">
        <f t="shared" si="91"/>
        <v>-44.88</v>
      </c>
      <c r="AC46" s="15">
        <f t="shared" si="101"/>
        <v>-119.85</v>
      </c>
      <c r="AD46" s="15">
        <v>-5.13</v>
      </c>
      <c r="AE46" s="15">
        <f t="shared" si="112"/>
        <v>-1.06</v>
      </c>
      <c r="AF46" s="15">
        <f t="shared" si="122"/>
        <v>-1.22</v>
      </c>
      <c r="AG46" s="15">
        <f t="shared" si="132"/>
        <v>-1.1299999999999999</v>
      </c>
      <c r="AH46" s="15">
        <f t="shared" si="142"/>
        <v>-1.55</v>
      </c>
      <c r="AI46" s="15">
        <f t="shared" si="152"/>
        <v>-1.02</v>
      </c>
      <c r="AJ46" s="15">
        <f t="shared" ref="AJ46:AJ77" si="162">AD34</f>
        <v>-0.69</v>
      </c>
      <c r="AK46" s="15">
        <f t="shared" si="62"/>
        <v>-1.91</v>
      </c>
      <c r="AL46" s="15">
        <f t="shared" si="72"/>
        <v>-2.96</v>
      </c>
      <c r="AM46" s="15">
        <f t="shared" si="82"/>
        <v>-1.58</v>
      </c>
      <c r="AN46" s="15">
        <f t="shared" si="92"/>
        <v>-1.02</v>
      </c>
      <c r="AO46" s="15">
        <f t="shared" si="102"/>
        <v>-2.68</v>
      </c>
      <c r="AP46" s="15">
        <v>3</v>
      </c>
      <c r="AQ46" s="15">
        <f t="shared" si="113"/>
        <v>3</v>
      </c>
      <c r="AR46" s="15">
        <f t="shared" si="123"/>
        <v>3</v>
      </c>
      <c r="AS46" s="15">
        <f t="shared" si="133"/>
        <v>3</v>
      </c>
      <c r="AT46" s="15">
        <f t="shared" si="143"/>
        <v>3</v>
      </c>
      <c r="AU46" s="15">
        <f t="shared" si="153"/>
        <v>3</v>
      </c>
      <c r="AV46" s="15">
        <f t="shared" ref="AV46:AV77" si="163">AP34</f>
        <v>3</v>
      </c>
      <c r="AW46" s="15">
        <f t="shared" si="63"/>
        <v>3</v>
      </c>
      <c r="AX46" s="15">
        <f t="shared" si="73"/>
        <v>3</v>
      </c>
      <c r="AY46" s="15">
        <f t="shared" si="83"/>
        <v>3</v>
      </c>
      <c r="AZ46" s="15">
        <f t="shared" si="93"/>
        <v>3</v>
      </c>
      <c r="BA46" s="15">
        <f t="shared" si="103"/>
        <v>3</v>
      </c>
      <c r="BB46" s="15">
        <v>26</v>
      </c>
      <c r="BC46" s="15">
        <f t="shared" si="114"/>
        <v>6</v>
      </c>
      <c r="BD46" s="15">
        <f t="shared" si="124"/>
        <v>13</v>
      </c>
      <c r="BE46" s="15">
        <f t="shared" si="134"/>
        <v>19</v>
      </c>
      <c r="BF46" s="15">
        <f t="shared" si="144"/>
        <v>13</v>
      </c>
      <c r="BG46" s="15">
        <f t="shared" si="154"/>
        <v>1</v>
      </c>
      <c r="BH46" s="15">
        <f t="shared" ref="BH46:BH77" si="164">BB34</f>
        <v>4</v>
      </c>
      <c r="BI46" s="15">
        <f t="shared" si="64"/>
        <v>30</v>
      </c>
      <c r="BJ46" s="15">
        <f t="shared" si="74"/>
        <v>31</v>
      </c>
      <c r="BK46" s="15">
        <f t="shared" si="84"/>
        <v>22</v>
      </c>
      <c r="BL46" s="15">
        <f t="shared" si="94"/>
        <v>13</v>
      </c>
      <c r="BM46" s="15">
        <f t="shared" si="104"/>
        <v>21</v>
      </c>
      <c r="BN46" s="15">
        <v>3</v>
      </c>
      <c r="BO46" s="15">
        <f t="shared" si="115"/>
        <v>3</v>
      </c>
      <c r="BP46" s="15">
        <f t="shared" si="125"/>
        <v>3</v>
      </c>
      <c r="BQ46" s="15">
        <f t="shared" si="135"/>
        <v>3</v>
      </c>
      <c r="BR46" s="15">
        <f t="shared" si="145"/>
        <v>3</v>
      </c>
      <c r="BS46" s="15">
        <f t="shared" si="155"/>
        <v>3</v>
      </c>
      <c r="BT46" s="15">
        <f t="shared" ref="BT46:BT77" si="165">BN34</f>
        <v>3</v>
      </c>
      <c r="BU46" s="15">
        <f t="shared" si="65"/>
        <v>3</v>
      </c>
      <c r="BV46" s="15">
        <f t="shared" si="75"/>
        <v>3</v>
      </c>
      <c r="BW46" s="15">
        <f t="shared" si="85"/>
        <v>3</v>
      </c>
      <c r="BX46" s="15">
        <f t="shared" si="95"/>
        <v>3</v>
      </c>
      <c r="BY46" s="15">
        <f t="shared" si="105"/>
        <v>3</v>
      </c>
      <c r="BZ46" s="15">
        <v>-9.4807699999999997</v>
      </c>
      <c r="CA46" s="15">
        <f t="shared" si="116"/>
        <v>-8.49</v>
      </c>
      <c r="CB46" s="15">
        <f t="shared" si="126"/>
        <v>-4.4184599999999996</v>
      </c>
      <c r="CC46" s="15">
        <f t="shared" si="136"/>
        <v>-2.7263199999999999</v>
      </c>
      <c r="CD46" s="15">
        <f t="shared" si="146"/>
        <v>-5.5061499999999999</v>
      </c>
      <c r="CE46" s="15">
        <f t="shared" si="156"/>
        <v>-45.97</v>
      </c>
      <c r="CF46" s="15">
        <f t="shared" ref="CF46:CF77" si="166">BZ34</f>
        <v>-7.7549999999999999</v>
      </c>
      <c r="CG46" s="15">
        <f t="shared" si="66"/>
        <v>-2.915</v>
      </c>
      <c r="CH46" s="15">
        <f t="shared" si="76"/>
        <v>-4.3461299999999996</v>
      </c>
      <c r="CI46" s="15">
        <f t="shared" si="86"/>
        <v>-3.2181799999999998</v>
      </c>
      <c r="CJ46" s="15">
        <f t="shared" si="96"/>
        <v>-3.4523100000000002</v>
      </c>
      <c r="CK46" s="15">
        <f t="shared" si="106"/>
        <v>-5.7071399999999999</v>
      </c>
      <c r="CL46" s="15">
        <v>3</v>
      </c>
      <c r="CM46" s="15">
        <f t="shared" si="117"/>
        <v>3</v>
      </c>
      <c r="CN46" s="15">
        <f t="shared" si="127"/>
        <v>3</v>
      </c>
      <c r="CO46" s="15">
        <f t="shared" si="137"/>
        <v>3</v>
      </c>
      <c r="CP46" s="15">
        <f t="shared" si="147"/>
        <v>3</v>
      </c>
      <c r="CQ46" s="15">
        <f t="shared" si="157"/>
        <v>5</v>
      </c>
      <c r="CR46" s="15">
        <f t="shared" ref="CR46:CR77" si="167">CL34</f>
        <v>3</v>
      </c>
      <c r="CS46" s="15">
        <f t="shared" si="67"/>
        <v>3</v>
      </c>
      <c r="CT46" s="15">
        <f t="shared" si="77"/>
        <v>3</v>
      </c>
      <c r="CU46" s="15">
        <f t="shared" si="87"/>
        <v>3</v>
      </c>
      <c r="CV46" s="15">
        <f t="shared" si="97"/>
        <v>3</v>
      </c>
      <c r="CW46" s="15">
        <f t="shared" si="107"/>
        <v>3</v>
      </c>
      <c r="CX46" s="15">
        <v>-83.978899999999996</v>
      </c>
      <c r="CY46" s="15">
        <f t="shared" si="118"/>
        <v>-83.282300000000006</v>
      </c>
      <c r="CZ46" s="15">
        <f t="shared" si="128"/>
        <v>-77.247500000000002</v>
      </c>
      <c r="DA46" s="15">
        <f t="shared" si="138"/>
        <v>-69.857200000000006</v>
      </c>
      <c r="DB46" s="15">
        <f t="shared" si="148"/>
        <v>-79.706400000000002</v>
      </c>
      <c r="DC46" s="15">
        <f t="shared" si="158"/>
        <v>-88.753799999999998</v>
      </c>
      <c r="DD46" s="15">
        <f t="shared" ref="DD46:DD77" si="168">CX34</f>
        <v>-82.652299999999997</v>
      </c>
      <c r="DE46" s="15">
        <f t="shared" si="68"/>
        <v>-71.065299999999993</v>
      </c>
      <c r="DF46" s="15">
        <f t="shared" si="78"/>
        <v>-77.042299999999997</v>
      </c>
      <c r="DG46" s="15">
        <f t="shared" si="88"/>
        <v>-72.738200000000006</v>
      </c>
      <c r="DH46" s="15">
        <f t="shared" si="98"/>
        <v>-73.845699999999994</v>
      </c>
      <c r="DI46" s="15">
        <f t="shared" si="108"/>
        <v>-80.061599999999999</v>
      </c>
      <c r="DJ46" s="15" t="s">
        <v>19</v>
      </c>
      <c r="DK46" s="15" t="str">
        <f t="shared" si="119"/>
        <v>HL</v>
      </c>
      <c r="DL46" s="15" t="str">
        <f t="shared" si="129"/>
        <v>HL</v>
      </c>
      <c r="DM46" s="15" t="str">
        <f t="shared" si="139"/>
        <v>LL</v>
      </c>
      <c r="DN46" s="15" t="str">
        <f t="shared" si="149"/>
        <v>HL</v>
      </c>
      <c r="DO46" s="15" t="str">
        <f t="shared" si="159"/>
        <v>LL</v>
      </c>
      <c r="DP46" s="15" t="str">
        <f t="shared" ref="DP46:DP77" si="169">DJ34</f>
        <v>LL</v>
      </c>
      <c r="DQ46" s="15" t="str">
        <f t="shared" si="69"/>
        <v>HL</v>
      </c>
      <c r="DR46" s="15" t="str">
        <f t="shared" si="79"/>
        <v>HL</v>
      </c>
      <c r="DS46" s="15" t="str">
        <f t="shared" si="89"/>
        <v>HL</v>
      </c>
      <c r="DT46" s="15" t="str">
        <f t="shared" si="99"/>
        <v>HL</v>
      </c>
      <c r="DU46" s="15" t="str">
        <f t="shared" si="109"/>
        <v>LL</v>
      </c>
      <c r="DV46" s="15">
        <f>IFERROR((G46-$F46)/$F46*100,"")</f>
        <v>4.1337739764380377</v>
      </c>
      <c r="DW46" s="15">
        <f>IFERROR((H46-$F46)/$F46*100,"")</f>
        <v>2.4815819233851979</v>
      </c>
      <c r="DX46" s="15">
        <f>IFERROR((I46-$F46)/$F46*100,"")</f>
        <v>-0.52943049440594814</v>
      </c>
      <c r="DY46" s="15">
        <f>IFERROR((J46-$F46)/$F46*100,"")</f>
        <v>-0.12494647503814491</v>
      </c>
      <c r="DZ46" s="15">
        <f>IFERROR((K46-$F46)/$F46*100,"")</f>
        <v>-1.5647953974022601</v>
      </c>
      <c r="EA46" s="15">
        <f>IFERROR((L46-$F46)/$F46*100,"")</f>
        <v>-1.3421315561216063</v>
      </c>
      <c r="EB46" s="15">
        <f>IFERROR((M46-$F46)/$F46*100,"")</f>
        <v>-1.3353242789226825</v>
      </c>
      <c r="EC46" s="15">
        <f>IFERROR((N46-$F46)/$F46*100,"")</f>
        <v>-2.9354735998418819</v>
      </c>
      <c r="ED46" s="15">
        <f>IFERROR((O46-$F46)/$F46*100,"")</f>
        <v>-3.2857189912054392</v>
      </c>
      <c r="EE46" s="15">
        <f>IFERROR((P46-$F46)/$F46*100,"")</f>
        <v>-3.9146235685503692</v>
      </c>
      <c r="EF46" s="15">
        <f>IFERROR((Q46-$F46)/$F46*100,"")</f>
        <v>-4.2745309017446358</v>
      </c>
      <c r="EG46" s="15" t="str">
        <f>IF(DV46="","",IF(AND(ABS(DV46)&lt;=0.25,$E46="Bottom",DK46="LL"),"EQL",IF(AND(ABS(DV46)&lt;=0.25,$E46="Peak",DK46="HH"),"EQH","")))</f>
        <v/>
      </c>
      <c r="EH46" s="15" t="str">
        <f>IF(DW46="","",IF(AND(ABS(DW46)&lt;=0.25,$E46="Bottom",DL46="LL"),"EQL",IF(AND(ABS(DW46)&lt;=0.25,$E46="Peak",DL46="HH"),"EQH","")))</f>
        <v/>
      </c>
      <c r="EI46" s="15" t="str">
        <f>IF(DX46="","",IF(AND(ABS(DX46)&lt;=0.25,$E46="Bottom",DM46="LL"),"EQL",IF(AND(ABS(DX46)&lt;=0.25,$E46="Peak",DM46="HH"),"EQH","")))</f>
        <v/>
      </c>
      <c r="EJ46" s="15" t="str">
        <f>IF(DY46="","",IF(AND(ABS(DY46)&lt;=0.25,$E46="Bottom",DN46="LL"),"EQL",IF(AND(ABS(DY46)&lt;=0.25,$E46="Peak",DN46="HH"),"EQH","")))</f>
        <v/>
      </c>
      <c r="EK46" s="15" t="str">
        <f>IF(DZ46="","",IF(AND(ABS(DZ46)&lt;=0.25,$E46="Bottom",DO46="LL"),"EQL",IF(AND(ABS(DZ46)&lt;=0.25,$E46="Peak",DO46="HH"),"EQH","")))</f>
        <v/>
      </c>
      <c r="EL46" s="15" t="str">
        <f>IF(EA46="","",IF(AND(ABS(EA46)&lt;=0.25,$E46="Bottom",DP46="LL"),"EQL",IF(AND(ABS(EA46)&lt;=0.25,$E46="Peak",DP46="HH"),"EQH","")))</f>
        <v/>
      </c>
      <c r="EM46" s="15" t="str">
        <f>IF(EB46="","",IF(AND(ABS(EB46)&lt;=0.25,$E46="Bottom",DQ46="LL"),"EQL",IF(AND(ABS(EB46)&lt;=0.25,$E46="Peak",DQ46="HH"),"EQH","")))</f>
        <v/>
      </c>
      <c r="EN46" s="15" t="str">
        <f>IF(EC46="","",IF(AND(ABS(EC46)&lt;=0.25,$E46="Bottom",DR46="LL"),"EQL",IF(AND(ABS(EC46)&lt;=0.25,$E46="Peak",DR46="HH"),"EQH","")))</f>
        <v/>
      </c>
      <c r="EO46" s="15" t="str">
        <f>IF(ED46="","",IF(AND(ABS(ED46)&lt;=0.25,$E46="Bottom",DS46="LL"),"EQL",IF(AND(ABS(ED46)&lt;=0.25,$E46="Peak",DS46="HH"),"EQH","")))</f>
        <v/>
      </c>
      <c r="EP46" s="15" t="str">
        <f>IF(EE46="","",IF(AND(ABS(EE46)&lt;=0.25,$E46="Bottom",DT46="LL"),"EQL",IF(AND(ABS(EE46)&lt;=0.25,$E46="Peak",DT46="HH"),"EQH","")))</f>
        <v/>
      </c>
      <c r="EQ46" s="15" t="str">
        <f>IF(EF46="","",IF(AND(ABS(EF46)&lt;=0.25,$E46="Bottom",DU46="LL"),"EQL",IF(AND(ABS(EF46)&lt;=0.25,$E46="Peak",DU46="HH"),"EQH","")))</f>
        <v/>
      </c>
      <c r="ER46" s="15" t="str">
        <f>IF(OR(EG46="EQL",EG46="EQH"),F46,"")</f>
        <v/>
      </c>
      <c r="ES46" s="15" t="str">
        <f>IF(OR(EH46="EQL",EH46="EQH"),G46,"")</f>
        <v/>
      </c>
      <c r="ET46" s="15" t="str">
        <f>IF(OR(EI46="EQL",EI46="EQH"),H46,"")</f>
        <v/>
      </c>
      <c r="EU46" s="15" t="str">
        <f>IF(OR(EJ46="EQL",EJ46="EQH"),I46,"")</f>
        <v/>
      </c>
      <c r="EV46" s="15" t="str">
        <f>IF(OR(EK46="EQL",EK46="EQH"),J46,"")</f>
        <v/>
      </c>
      <c r="EW46" s="15" t="str">
        <f>IF(OR(EL46="EQL",EL46="EQH"),K46,"")</f>
        <v/>
      </c>
      <c r="EX46" s="15" t="str">
        <f>IF(OR(EM46="EQL",EM46="EQH"),L46,"")</f>
        <v/>
      </c>
      <c r="EY46" s="15" t="str">
        <f>IF(OR(EN46="EQL",EN46="EQH"),M46,"")</f>
        <v/>
      </c>
      <c r="EZ46" s="15" t="str">
        <f>IF(OR(EO46="EQL",EO46="EQH"),N46,"")</f>
        <v/>
      </c>
      <c r="FA46" s="15" t="str">
        <f>IF(OR(EP46="EQL",EP46="EQH"),O46,"")</f>
        <v/>
      </c>
      <c r="FB46" s="15" t="str">
        <f>IF(OR(EQ46="EQL",EQ46="EQH"),P46,"")</f>
        <v/>
      </c>
      <c r="FC46" s="15" t="str">
        <f>IF(AND(EG46="EQL",OR(AQ46=4,AQ46=5)),"IEQL",IF(AND(EG46="EQH",OR(AQ46=1,AQ46=2)),"IEQH",""))</f>
        <v/>
      </c>
      <c r="FD46" s="15" t="str">
        <f>IF(AND(EH46="EQL",OR(AR46=4,AR46=5)),"IEQL",IF(AND(EH46="EQH",OR(AR46=1,AR46=2)),"IEQH",""))</f>
        <v/>
      </c>
      <c r="FE46" s="15" t="str">
        <f>IF(AND(EI46="EQL",OR(AS46=4,AS46=5)),"IEQL",IF(AND(EI46="EQH",OR(AS46=1,AS46=2)),"IEQH",""))</f>
        <v/>
      </c>
      <c r="FF46" s="15" t="str">
        <f>IF(AND(EJ46="EQL",OR(AT46=4,AT46=5)),"IEQL",IF(AND(EJ46="EQH",OR(AT46=1,AT46=2)),"IEQH",""))</f>
        <v/>
      </c>
      <c r="FG46" s="15" t="str">
        <f>IF(AND(EK46="EQL",OR(AU46=4,AU46=5)),"IEQL",IF(AND(EK46="EQH",OR(AU46=1,AU46=2)),"IEQH",""))</f>
        <v/>
      </c>
      <c r="FH46" s="15" t="str">
        <f>IF(AND(EL46="EQL",OR(AV46=4,AV46=5)),"IEQL",IF(AND(EL46="EQH",OR(AV46=1,AV46=2)),"IEQH",""))</f>
        <v/>
      </c>
      <c r="FI46" s="15" t="str">
        <f>IF(AND(EM46="EQL",OR(AW46=4,AW46=5)),"IEQL",IF(AND(EM46="EQH",OR(AW46=1,AW46=2)),"IEQH",""))</f>
        <v/>
      </c>
      <c r="FJ46" s="15" t="str">
        <f>IF(AND(EN46="EQL",OR(AX46=4,AX46=5)),"IEQL",IF(AND(EN46="EQH",OR(AX46=1,AX46=2)),"IEQH",""))</f>
        <v/>
      </c>
      <c r="FK46" s="15" t="str">
        <f>IF(AND(EO46="EQL",OR(AY46=4,AY46=5)),"IEQL",IF(AND(EO46="EQH",OR(AY46=1,AY46=2)),"IEQH",""))</f>
        <v/>
      </c>
      <c r="FL46" s="15" t="str">
        <f>IF(AND(EP46="EQL",OR(AZ46=4,AZ46=5)),"IEQL",IF(AND(EP46="EQH",OR(AZ46=1,AZ46=2)),"IEQH",""))</f>
        <v/>
      </c>
      <c r="FM46" s="15" t="str">
        <f>IF(AND(EQ46="EQL",OR(BA46=4,BA46=5)),"IEQL",IF(AND(EQ46="EQH",OR(BA46=1,BA46=2)),"IEQH",""))</f>
        <v/>
      </c>
      <c r="FN46" s="15" t="str">
        <f>IF(OR(AND(DJ46="LL",AP46=5),AND(DJ46="HH",AP46=2)),F46,"")</f>
        <v/>
      </c>
      <c r="FO46" s="15" t="str">
        <f>IF(FN46&lt;&gt;"",F45,"")</f>
        <v/>
      </c>
    </row>
    <row r="47" spans="1:171" s="15" customFormat="1" x14ac:dyDescent="0.55000000000000004">
      <c r="A47" s="15">
        <v>1775140206</v>
      </c>
      <c r="B47" s="15" t="s">
        <v>16</v>
      </c>
      <c r="C47" s="15" t="s">
        <v>17</v>
      </c>
      <c r="D47" s="15">
        <v>4693.91</v>
      </c>
      <c r="E47" s="15" t="s">
        <v>20</v>
      </c>
      <c r="F47" s="15">
        <v>4699.1499999999996</v>
      </c>
      <c r="G47" s="15">
        <f t="shared" si="110"/>
        <v>4800.45</v>
      </c>
      <c r="H47" s="15">
        <f t="shared" si="120"/>
        <v>4793.1400000000003</v>
      </c>
      <c r="I47" s="15">
        <f t="shared" si="130"/>
        <v>4724.3999999999996</v>
      </c>
      <c r="J47" s="15">
        <f t="shared" si="140"/>
        <v>4581.6400000000003</v>
      </c>
      <c r="K47" s="15">
        <f t="shared" si="150"/>
        <v>4619.84</v>
      </c>
      <c r="L47" s="15">
        <f t="shared" si="160"/>
        <v>4528.66</v>
      </c>
      <c r="M47" s="15">
        <f t="shared" si="60"/>
        <v>4523.8500000000004</v>
      </c>
      <c r="N47" s="15">
        <f t="shared" si="70"/>
        <v>4580.59</v>
      </c>
      <c r="O47" s="15">
        <f t="shared" si="80"/>
        <v>4555</v>
      </c>
      <c r="P47" s="15">
        <f t="shared" si="90"/>
        <v>4475.12</v>
      </c>
      <c r="Q47" s="15">
        <f t="shared" si="100"/>
        <v>4420.5600000000004</v>
      </c>
      <c r="R47" s="15">
        <v>145.19999999999999</v>
      </c>
      <c r="S47" s="15">
        <f t="shared" si="111"/>
        <v>58.25</v>
      </c>
      <c r="T47" s="15">
        <f t="shared" si="121"/>
        <v>126.18</v>
      </c>
      <c r="U47" s="15">
        <f t="shared" si="131"/>
        <v>194.56</v>
      </c>
      <c r="V47" s="15">
        <f t="shared" si="141"/>
        <v>33.380000000000003</v>
      </c>
      <c r="W47" s="15">
        <f t="shared" si="151"/>
        <v>137.15</v>
      </c>
      <c r="X47" s="15">
        <f t="shared" si="161"/>
        <v>35.83</v>
      </c>
      <c r="Y47" s="15">
        <f t="shared" si="61"/>
        <v>30.71</v>
      </c>
      <c r="Z47" s="15">
        <f t="shared" si="71"/>
        <v>160.32</v>
      </c>
      <c r="AA47" s="15">
        <f t="shared" si="81"/>
        <v>150.68</v>
      </c>
      <c r="AB47" s="15">
        <f t="shared" si="91"/>
        <v>99.44</v>
      </c>
      <c r="AC47" s="15">
        <f t="shared" si="101"/>
        <v>61.27</v>
      </c>
      <c r="AD47" s="15">
        <v>3.19</v>
      </c>
      <c r="AE47" s="15">
        <f t="shared" si="112"/>
        <v>1.23</v>
      </c>
      <c r="AF47" s="15">
        <f t="shared" si="122"/>
        <v>2.7</v>
      </c>
      <c r="AG47" s="15">
        <f t="shared" si="132"/>
        <v>4.3</v>
      </c>
      <c r="AH47" s="15">
        <f t="shared" si="142"/>
        <v>0.73</v>
      </c>
      <c r="AI47" s="15">
        <f t="shared" si="152"/>
        <v>3.06</v>
      </c>
      <c r="AJ47" s="15">
        <f t="shared" si="162"/>
        <v>0.8</v>
      </c>
      <c r="AK47" s="15">
        <f t="shared" si="62"/>
        <v>0.68</v>
      </c>
      <c r="AL47" s="15">
        <f t="shared" si="72"/>
        <v>3.63</v>
      </c>
      <c r="AM47" s="15">
        <f t="shared" si="82"/>
        <v>3.42</v>
      </c>
      <c r="AN47" s="15">
        <f t="shared" si="92"/>
        <v>2.27</v>
      </c>
      <c r="AO47" s="15">
        <f t="shared" si="102"/>
        <v>1.41</v>
      </c>
      <c r="AP47" s="15">
        <v>0</v>
      </c>
      <c r="AQ47" s="15">
        <f t="shared" si="113"/>
        <v>0</v>
      </c>
      <c r="AR47" s="15">
        <f t="shared" si="123"/>
        <v>0</v>
      </c>
      <c r="AS47" s="15">
        <f t="shared" si="133"/>
        <v>0</v>
      </c>
      <c r="AT47" s="15">
        <f t="shared" si="143"/>
        <v>0</v>
      </c>
      <c r="AU47" s="15">
        <f t="shared" si="153"/>
        <v>0</v>
      </c>
      <c r="AV47" s="15">
        <f t="shared" si="163"/>
        <v>0</v>
      </c>
      <c r="AW47" s="15">
        <f t="shared" si="63"/>
        <v>0</v>
      </c>
      <c r="AX47" s="15">
        <f t="shared" si="73"/>
        <v>0</v>
      </c>
      <c r="AY47" s="15">
        <f t="shared" si="83"/>
        <v>0</v>
      </c>
      <c r="AZ47" s="15">
        <f t="shared" si="93"/>
        <v>0</v>
      </c>
      <c r="BA47" s="15">
        <f t="shared" si="103"/>
        <v>0</v>
      </c>
      <c r="BB47" s="15">
        <v>34</v>
      </c>
      <c r="BC47" s="15">
        <f t="shared" si="114"/>
        <v>16</v>
      </c>
      <c r="BD47" s="15">
        <f t="shared" si="124"/>
        <v>51</v>
      </c>
      <c r="BE47" s="15">
        <f t="shared" si="134"/>
        <v>54</v>
      </c>
      <c r="BF47" s="15">
        <f t="shared" si="144"/>
        <v>3</v>
      </c>
      <c r="BG47" s="15">
        <f t="shared" si="154"/>
        <v>6</v>
      </c>
      <c r="BH47" s="15">
        <f t="shared" si="164"/>
        <v>4</v>
      </c>
      <c r="BI47" s="15">
        <f t="shared" si="64"/>
        <v>7</v>
      </c>
      <c r="BJ47" s="15">
        <f t="shared" si="74"/>
        <v>47</v>
      </c>
      <c r="BK47" s="15">
        <f t="shared" si="84"/>
        <v>17</v>
      </c>
      <c r="BL47" s="15">
        <f t="shared" si="94"/>
        <v>19</v>
      </c>
      <c r="BM47" s="15">
        <f t="shared" si="104"/>
        <v>3</v>
      </c>
      <c r="BN47" s="15">
        <v>0</v>
      </c>
      <c r="BO47" s="15">
        <f t="shared" si="115"/>
        <v>0</v>
      </c>
      <c r="BP47" s="15">
        <f t="shared" si="125"/>
        <v>1</v>
      </c>
      <c r="BQ47" s="15">
        <f t="shared" si="135"/>
        <v>2</v>
      </c>
      <c r="BR47" s="15">
        <f t="shared" si="145"/>
        <v>0</v>
      </c>
      <c r="BS47" s="15">
        <f t="shared" si="155"/>
        <v>0</v>
      </c>
      <c r="BT47" s="15">
        <f t="shared" si="165"/>
        <v>0</v>
      </c>
      <c r="BU47" s="15">
        <f t="shared" si="65"/>
        <v>0</v>
      </c>
      <c r="BV47" s="15">
        <f t="shared" si="75"/>
        <v>2</v>
      </c>
      <c r="BW47" s="15">
        <f t="shared" si="85"/>
        <v>0</v>
      </c>
      <c r="BX47" s="15">
        <f t="shared" si="95"/>
        <v>0</v>
      </c>
      <c r="BY47" s="15">
        <f t="shared" si="105"/>
        <v>0</v>
      </c>
      <c r="BZ47" s="15">
        <v>4.2705900000000003</v>
      </c>
      <c r="CA47" s="15">
        <f t="shared" si="116"/>
        <v>3.6406200000000002</v>
      </c>
      <c r="CB47" s="15">
        <f t="shared" si="126"/>
        <v>2.4741200000000001</v>
      </c>
      <c r="CC47" s="15">
        <f t="shared" si="136"/>
        <v>3.6029599999999999</v>
      </c>
      <c r="CD47" s="15">
        <f t="shared" si="146"/>
        <v>11.126670000000001</v>
      </c>
      <c r="CE47" s="15">
        <f t="shared" si="156"/>
        <v>22.858329999999999</v>
      </c>
      <c r="CF47" s="15">
        <f t="shared" si="166"/>
        <v>8.9574999999999996</v>
      </c>
      <c r="CG47" s="15">
        <f t="shared" si="66"/>
        <v>4.3871399999999996</v>
      </c>
      <c r="CH47" s="15">
        <f t="shared" si="76"/>
        <v>3.41106</v>
      </c>
      <c r="CI47" s="15">
        <f t="shared" si="86"/>
        <v>8.8635300000000008</v>
      </c>
      <c r="CJ47" s="15">
        <f t="shared" si="96"/>
        <v>5.2336799999999997</v>
      </c>
      <c r="CK47" s="15">
        <f t="shared" si="106"/>
        <v>20.42333</v>
      </c>
      <c r="CL47" s="15">
        <v>0</v>
      </c>
      <c r="CM47" s="15">
        <f t="shared" si="117"/>
        <v>0</v>
      </c>
      <c r="CN47" s="15">
        <f t="shared" si="127"/>
        <v>0</v>
      </c>
      <c r="CO47" s="15">
        <f t="shared" si="137"/>
        <v>0</v>
      </c>
      <c r="CP47" s="15">
        <f t="shared" si="147"/>
        <v>0</v>
      </c>
      <c r="CQ47" s="15">
        <f t="shared" si="157"/>
        <v>1</v>
      </c>
      <c r="CR47" s="15">
        <f t="shared" si="167"/>
        <v>0</v>
      </c>
      <c r="CS47" s="15">
        <f t="shared" si="67"/>
        <v>0</v>
      </c>
      <c r="CT47" s="15">
        <f t="shared" si="77"/>
        <v>0</v>
      </c>
      <c r="CU47" s="15">
        <f t="shared" si="87"/>
        <v>0</v>
      </c>
      <c r="CV47" s="15">
        <f t="shared" si="97"/>
        <v>0</v>
      </c>
      <c r="CW47" s="15">
        <f t="shared" si="107"/>
        <v>2</v>
      </c>
      <c r="CX47" s="15">
        <v>76.821100000000001</v>
      </c>
      <c r="CY47" s="15">
        <f t="shared" si="118"/>
        <v>74.640900000000002</v>
      </c>
      <c r="CZ47" s="15">
        <f t="shared" si="128"/>
        <v>67.992199999999997</v>
      </c>
      <c r="DA47" s="15">
        <f t="shared" si="138"/>
        <v>74.488</v>
      </c>
      <c r="DB47" s="15">
        <f t="shared" si="148"/>
        <v>84.864400000000003</v>
      </c>
      <c r="DC47" s="15">
        <f t="shared" si="158"/>
        <v>87.495000000000005</v>
      </c>
      <c r="DD47" s="15">
        <f t="shared" si="168"/>
        <v>83.63</v>
      </c>
      <c r="DE47" s="15">
        <f t="shared" si="68"/>
        <v>77.159499999999994</v>
      </c>
      <c r="DF47" s="15">
        <f t="shared" si="78"/>
        <v>73.660799999999995</v>
      </c>
      <c r="DG47" s="15">
        <f t="shared" si="88"/>
        <v>83.563000000000002</v>
      </c>
      <c r="DH47" s="15">
        <f t="shared" si="98"/>
        <v>79.182900000000004</v>
      </c>
      <c r="DI47" s="15">
        <f t="shared" si="108"/>
        <v>87.196799999999996</v>
      </c>
      <c r="DJ47" s="15" t="s">
        <v>21</v>
      </c>
      <c r="DK47" s="15" t="str">
        <f t="shared" si="119"/>
        <v>HH</v>
      </c>
      <c r="DL47" s="15" t="str">
        <f t="shared" si="129"/>
        <v>HH</v>
      </c>
      <c r="DM47" s="15" t="str">
        <f t="shared" si="139"/>
        <v>HH</v>
      </c>
      <c r="DN47" s="15" t="str">
        <f t="shared" si="149"/>
        <v>LH</v>
      </c>
      <c r="DO47" s="15" t="str">
        <f t="shared" si="159"/>
        <v>HH</v>
      </c>
      <c r="DP47" s="15" t="str">
        <f t="shared" si="169"/>
        <v>HH</v>
      </c>
      <c r="DQ47" s="15" t="str">
        <f t="shared" si="69"/>
        <v>LH</v>
      </c>
      <c r="DR47" s="15" t="str">
        <f t="shared" si="79"/>
        <v>HH</v>
      </c>
      <c r="DS47" s="15" t="str">
        <f t="shared" si="89"/>
        <v>HH</v>
      </c>
      <c r="DT47" s="15" t="str">
        <f t="shared" si="99"/>
        <v>HH</v>
      </c>
      <c r="DU47" s="15" t="str">
        <f t="shared" si="109"/>
        <v>LH</v>
      </c>
      <c r="DV47" s="15">
        <f>IFERROR((G47-$F47)/$F47*100,"")</f>
        <v>2.1557090112041579</v>
      </c>
      <c r="DW47" s="15">
        <f>IFERROR((H47-$F47)/$F47*100,"")</f>
        <v>2.0001489631103646</v>
      </c>
      <c r="DX47" s="15">
        <f>IFERROR((I47-$F47)/$F47*100,"")</f>
        <v>0.53733121947586271</v>
      </c>
      <c r="DY47" s="15">
        <f>IFERROR((J47-$F47)/$F47*100,"")</f>
        <v>-2.5006650138854751</v>
      </c>
      <c r="DZ47" s="15">
        <f>IFERROR((K47-$F47)/$F47*100,"")</f>
        <v>-1.6877520402625901</v>
      </c>
      <c r="EA47" s="15">
        <f>IFERROR((L47-$F47)/$F47*100,"")</f>
        <v>-3.6281029547896915</v>
      </c>
      <c r="EB47" s="15">
        <f>IFERROR((M47-$F47)/$F47*100,"")</f>
        <v>-3.7304618920442909</v>
      </c>
      <c r="EC47" s="15">
        <f>IFERROR((N47-$F47)/$F47*100,"")</f>
        <v>-2.523009480437941</v>
      </c>
      <c r="ED47" s="15">
        <f>IFERROR((O47-$F47)/$F47*100,"")</f>
        <v>-3.0675760509879373</v>
      </c>
      <c r="EE47" s="15">
        <f>IFERROR((P47-$F47)/$F47*100,"")</f>
        <v>-4.767457944521877</v>
      </c>
      <c r="EF47" s="15">
        <f>IFERROR((Q47-$F47)/$F47*100,"")</f>
        <v>-5.9285189874764432</v>
      </c>
      <c r="EG47" s="15" t="str">
        <f>IF(DV47="","",IF(AND(ABS(DV47)&lt;=0.25,$E47="Bottom",DK47="LL"),"EQL",IF(AND(ABS(DV47)&lt;=0.25,$E47="Peak",DK47="HH"),"EQH","")))</f>
        <v/>
      </c>
      <c r="EH47" s="15" t="str">
        <f>IF(DW47="","",IF(AND(ABS(DW47)&lt;=0.25,$E47="Bottom",DL47="LL"),"EQL",IF(AND(ABS(DW47)&lt;=0.25,$E47="Peak",DL47="HH"),"EQH","")))</f>
        <v/>
      </c>
      <c r="EI47" s="15" t="str">
        <f>IF(DX47="","",IF(AND(ABS(DX47)&lt;=0.25,$E47="Bottom",DM47="LL"),"EQL",IF(AND(ABS(DX47)&lt;=0.25,$E47="Peak",DM47="HH"),"EQH","")))</f>
        <v/>
      </c>
      <c r="EJ47" s="15" t="str">
        <f>IF(DY47="","",IF(AND(ABS(DY47)&lt;=0.25,$E47="Bottom",DN47="LL"),"EQL",IF(AND(ABS(DY47)&lt;=0.25,$E47="Peak",DN47="HH"),"EQH","")))</f>
        <v/>
      </c>
      <c r="EK47" s="15" t="str">
        <f>IF(DZ47="","",IF(AND(ABS(DZ47)&lt;=0.25,$E47="Bottom",DO47="LL"),"EQL",IF(AND(ABS(DZ47)&lt;=0.25,$E47="Peak",DO47="HH"),"EQH","")))</f>
        <v/>
      </c>
      <c r="EL47" s="15" t="str">
        <f>IF(EA47="","",IF(AND(ABS(EA47)&lt;=0.25,$E47="Bottom",DP47="LL"),"EQL",IF(AND(ABS(EA47)&lt;=0.25,$E47="Peak",DP47="HH"),"EQH","")))</f>
        <v/>
      </c>
      <c r="EM47" s="15" t="str">
        <f>IF(EB47="","",IF(AND(ABS(EB47)&lt;=0.25,$E47="Bottom",DQ47="LL"),"EQL",IF(AND(ABS(EB47)&lt;=0.25,$E47="Peak",DQ47="HH"),"EQH","")))</f>
        <v/>
      </c>
      <c r="EN47" s="15" t="str">
        <f>IF(EC47="","",IF(AND(ABS(EC47)&lt;=0.25,$E47="Bottom",DR47="LL"),"EQL",IF(AND(ABS(EC47)&lt;=0.25,$E47="Peak",DR47="HH"),"EQH","")))</f>
        <v/>
      </c>
      <c r="EO47" s="15" t="str">
        <f>IF(ED47="","",IF(AND(ABS(ED47)&lt;=0.25,$E47="Bottom",DS47="LL"),"EQL",IF(AND(ABS(ED47)&lt;=0.25,$E47="Peak",DS47="HH"),"EQH","")))</f>
        <v/>
      </c>
      <c r="EP47" s="15" t="str">
        <f>IF(EE47="","",IF(AND(ABS(EE47)&lt;=0.25,$E47="Bottom",DT47="LL"),"EQL",IF(AND(ABS(EE47)&lt;=0.25,$E47="Peak",DT47="HH"),"EQH","")))</f>
        <v/>
      </c>
      <c r="EQ47" s="15" t="str">
        <f>IF(EF47="","",IF(AND(ABS(EF47)&lt;=0.25,$E47="Bottom",DU47="LL"),"EQL",IF(AND(ABS(EF47)&lt;=0.25,$E47="Peak",DU47="HH"),"EQH","")))</f>
        <v/>
      </c>
      <c r="ER47" s="15" t="str">
        <f>IF(OR(EG47="EQL",EG47="EQH"),F47,"")</f>
        <v/>
      </c>
      <c r="ES47" s="15" t="str">
        <f>IF(OR(EH47="EQL",EH47="EQH"),G47,"")</f>
        <v/>
      </c>
      <c r="ET47" s="15" t="str">
        <f>IF(OR(EI47="EQL",EI47="EQH"),H47,"")</f>
        <v/>
      </c>
      <c r="EU47" s="15" t="str">
        <f>IF(OR(EJ47="EQL",EJ47="EQH"),I47,"")</f>
        <v/>
      </c>
      <c r="EV47" s="15" t="str">
        <f>IF(OR(EK47="EQL",EK47="EQH"),J47,"")</f>
        <v/>
      </c>
      <c r="EW47" s="15" t="str">
        <f>IF(OR(EL47="EQL",EL47="EQH"),K47,"")</f>
        <v/>
      </c>
      <c r="EX47" s="15" t="str">
        <f>IF(OR(EM47="EQL",EM47="EQH"),L47,"")</f>
        <v/>
      </c>
      <c r="EY47" s="15" t="str">
        <f>IF(OR(EN47="EQL",EN47="EQH"),M47,"")</f>
        <v/>
      </c>
      <c r="EZ47" s="15" t="str">
        <f>IF(OR(EO47="EQL",EO47="EQH"),N47,"")</f>
        <v/>
      </c>
      <c r="FA47" s="15" t="str">
        <f>IF(OR(EP47="EQL",EP47="EQH"),O47,"")</f>
        <v/>
      </c>
      <c r="FB47" s="15" t="str">
        <f>IF(OR(EQ47="EQL",EQ47="EQH"),P47,"")</f>
        <v/>
      </c>
      <c r="FC47" s="15" t="str">
        <f>IF(AND(EG47="EQL",OR(AQ47=4,AQ47=5)),"IEQL",IF(AND(EG47="EQH",OR(AQ47=1,AQ47=2)),"IEQH",""))</f>
        <v/>
      </c>
      <c r="FD47" s="15" t="str">
        <f>IF(AND(EH47="EQL",OR(AR47=4,AR47=5)),"IEQL",IF(AND(EH47="EQH",OR(AR47=1,AR47=2)),"IEQH",""))</f>
        <v/>
      </c>
      <c r="FE47" s="15" t="str">
        <f>IF(AND(EI47="EQL",OR(AS47=4,AS47=5)),"IEQL",IF(AND(EI47="EQH",OR(AS47=1,AS47=2)),"IEQH",""))</f>
        <v/>
      </c>
      <c r="FF47" s="15" t="str">
        <f>IF(AND(EJ47="EQL",OR(AT47=4,AT47=5)),"IEQL",IF(AND(EJ47="EQH",OR(AT47=1,AT47=2)),"IEQH",""))</f>
        <v/>
      </c>
      <c r="FG47" s="15" t="str">
        <f>IF(AND(EK47="EQL",OR(AU47=4,AU47=5)),"IEQL",IF(AND(EK47="EQH",OR(AU47=1,AU47=2)),"IEQH",""))</f>
        <v/>
      </c>
      <c r="FH47" s="15" t="str">
        <f>IF(AND(EL47="EQL",OR(AV47=4,AV47=5)),"IEQL",IF(AND(EL47="EQH",OR(AV47=1,AV47=2)),"IEQH",""))</f>
        <v/>
      </c>
      <c r="FI47" s="15" t="str">
        <f>IF(AND(EM47="EQL",OR(AW47=4,AW47=5)),"IEQL",IF(AND(EM47="EQH",OR(AW47=1,AW47=2)),"IEQH",""))</f>
        <v/>
      </c>
      <c r="FJ47" s="15" t="str">
        <f>IF(AND(EN47="EQL",OR(AX47=4,AX47=5)),"IEQL",IF(AND(EN47="EQH",OR(AX47=1,AX47=2)),"IEQH",""))</f>
        <v/>
      </c>
      <c r="FK47" s="15" t="str">
        <f>IF(AND(EO47="EQL",OR(AY47=4,AY47=5)),"IEQL",IF(AND(EO47="EQH",OR(AY47=1,AY47=2)),"IEQH",""))</f>
        <v/>
      </c>
      <c r="FL47" s="15" t="str">
        <f>IF(AND(EP47="EQL",OR(AZ47=4,AZ47=5)),"IEQL",IF(AND(EP47="EQH",OR(AZ47=1,AZ47=2)),"IEQH",""))</f>
        <v/>
      </c>
      <c r="FM47" s="15" t="str">
        <f>IF(AND(EQ47="EQL",OR(BA47=4,BA47=5)),"IEQL",IF(AND(EQ47="EQH",OR(BA47=1,BA47=2)),"IEQH",""))</f>
        <v/>
      </c>
      <c r="FN47" s="15" t="str">
        <f>IF(OR(AND(DJ47="LL",AP47=5),AND(DJ47="HH",AP47=2)),F47,"")</f>
        <v/>
      </c>
      <c r="FO47" s="15" t="str">
        <f>IF(FN47&lt;&gt;"",F46,"")</f>
        <v/>
      </c>
    </row>
    <row r="48" spans="1:171" s="15" customFormat="1" x14ac:dyDescent="0.55000000000000004">
      <c r="A48" s="15">
        <v>1775434506</v>
      </c>
      <c r="B48" s="15" t="s">
        <v>16</v>
      </c>
      <c r="C48" s="15" t="s">
        <v>17</v>
      </c>
      <c r="D48" s="15">
        <v>4603.5200000000004</v>
      </c>
      <c r="E48" s="15" t="s">
        <v>18</v>
      </c>
      <c r="F48" s="15">
        <v>4601.05</v>
      </c>
      <c r="G48" s="15">
        <f t="shared" si="110"/>
        <v>4553.95</v>
      </c>
      <c r="H48" s="15">
        <f t="shared" si="120"/>
        <v>4742.2</v>
      </c>
      <c r="I48" s="15">
        <f t="shared" si="130"/>
        <v>4666.96</v>
      </c>
      <c r="J48" s="15">
        <f t="shared" si="140"/>
        <v>4529.84</v>
      </c>
      <c r="K48" s="15">
        <f t="shared" si="150"/>
        <v>4548.26</v>
      </c>
      <c r="L48" s="15">
        <f t="shared" si="160"/>
        <v>4482.6899999999996</v>
      </c>
      <c r="M48" s="15">
        <f t="shared" ref="M48:M79" si="170">F34</f>
        <v>4492.83</v>
      </c>
      <c r="N48" s="15">
        <f t="shared" si="70"/>
        <v>4493.1400000000003</v>
      </c>
      <c r="O48" s="15">
        <f t="shared" si="80"/>
        <v>4420.2700000000004</v>
      </c>
      <c r="P48" s="15">
        <f t="shared" si="90"/>
        <v>4404.32</v>
      </c>
      <c r="Q48" s="15">
        <f t="shared" si="100"/>
        <v>4375.68</v>
      </c>
      <c r="R48" s="15">
        <v>-98.1</v>
      </c>
      <c r="S48" s="15">
        <f t="shared" si="111"/>
        <v>-246.5</v>
      </c>
      <c r="T48" s="15">
        <f t="shared" si="121"/>
        <v>-50.94</v>
      </c>
      <c r="U48" s="15">
        <f t="shared" si="131"/>
        <v>-57.44</v>
      </c>
      <c r="V48" s="15">
        <f t="shared" si="141"/>
        <v>-51.8</v>
      </c>
      <c r="W48" s="15">
        <f t="shared" si="151"/>
        <v>-71.58</v>
      </c>
      <c r="X48" s="15">
        <f t="shared" si="161"/>
        <v>-45.97</v>
      </c>
      <c r="Y48" s="15">
        <f t="shared" ref="Y48:Y79" si="171">R34</f>
        <v>-31.02</v>
      </c>
      <c r="Z48" s="15">
        <f t="shared" si="71"/>
        <v>-87.45</v>
      </c>
      <c r="AA48" s="15">
        <f t="shared" si="81"/>
        <v>-134.72999999999999</v>
      </c>
      <c r="AB48" s="15">
        <f t="shared" si="91"/>
        <v>-70.8</v>
      </c>
      <c r="AC48" s="15">
        <f t="shared" si="101"/>
        <v>-44.88</v>
      </c>
      <c r="AD48" s="15">
        <v>-2.09</v>
      </c>
      <c r="AE48" s="15">
        <f t="shared" si="112"/>
        <v>-5.13</v>
      </c>
      <c r="AF48" s="15">
        <f t="shared" si="122"/>
        <v>-1.06</v>
      </c>
      <c r="AG48" s="15">
        <f t="shared" si="132"/>
        <v>-1.22</v>
      </c>
      <c r="AH48" s="15">
        <f t="shared" si="142"/>
        <v>-1.1299999999999999</v>
      </c>
      <c r="AI48" s="15">
        <f t="shared" si="152"/>
        <v>-1.55</v>
      </c>
      <c r="AJ48" s="15">
        <f t="shared" si="162"/>
        <v>-1.02</v>
      </c>
      <c r="AK48" s="15">
        <f t="shared" ref="AK48:AK79" si="172">AD34</f>
        <v>-0.69</v>
      </c>
      <c r="AL48" s="15">
        <f t="shared" si="72"/>
        <v>-1.91</v>
      </c>
      <c r="AM48" s="15">
        <f t="shared" si="82"/>
        <v>-2.96</v>
      </c>
      <c r="AN48" s="15">
        <f t="shared" si="92"/>
        <v>-1.58</v>
      </c>
      <c r="AO48" s="15">
        <f t="shared" si="102"/>
        <v>-1.02</v>
      </c>
      <c r="AP48" s="15">
        <v>3</v>
      </c>
      <c r="AQ48" s="15">
        <f t="shared" si="113"/>
        <v>3</v>
      </c>
      <c r="AR48" s="15">
        <f t="shared" si="123"/>
        <v>3</v>
      </c>
      <c r="AS48" s="15">
        <f t="shared" si="133"/>
        <v>3</v>
      </c>
      <c r="AT48" s="15">
        <f t="shared" si="143"/>
        <v>3</v>
      </c>
      <c r="AU48" s="15">
        <f t="shared" si="153"/>
        <v>3</v>
      </c>
      <c r="AV48" s="15">
        <f t="shared" si="163"/>
        <v>3</v>
      </c>
      <c r="AW48" s="15">
        <f t="shared" ref="AW48:AW79" si="173">AP34</f>
        <v>3</v>
      </c>
      <c r="AX48" s="15">
        <f t="shared" si="73"/>
        <v>3</v>
      </c>
      <c r="AY48" s="15">
        <f t="shared" si="83"/>
        <v>3</v>
      </c>
      <c r="AZ48" s="15">
        <f t="shared" si="93"/>
        <v>3</v>
      </c>
      <c r="BA48" s="15">
        <f t="shared" si="103"/>
        <v>3</v>
      </c>
      <c r="BB48" s="15">
        <v>35</v>
      </c>
      <c r="BC48" s="15">
        <f t="shared" si="114"/>
        <v>26</v>
      </c>
      <c r="BD48" s="15">
        <f t="shared" si="124"/>
        <v>6</v>
      </c>
      <c r="BE48" s="15">
        <f t="shared" si="134"/>
        <v>13</v>
      </c>
      <c r="BF48" s="15">
        <f t="shared" si="144"/>
        <v>19</v>
      </c>
      <c r="BG48" s="15">
        <f t="shared" si="154"/>
        <v>13</v>
      </c>
      <c r="BH48" s="15">
        <f t="shared" si="164"/>
        <v>1</v>
      </c>
      <c r="BI48" s="15">
        <f t="shared" ref="BI48:BI79" si="174">BB34</f>
        <v>4</v>
      </c>
      <c r="BJ48" s="15">
        <f t="shared" si="74"/>
        <v>30</v>
      </c>
      <c r="BK48" s="15">
        <f t="shared" si="84"/>
        <v>31</v>
      </c>
      <c r="BL48" s="15">
        <f t="shared" si="94"/>
        <v>22</v>
      </c>
      <c r="BM48" s="15">
        <f t="shared" si="104"/>
        <v>13</v>
      </c>
      <c r="BN48" s="15">
        <v>3</v>
      </c>
      <c r="BO48" s="15">
        <f t="shared" si="115"/>
        <v>3</v>
      </c>
      <c r="BP48" s="15">
        <f t="shared" si="125"/>
        <v>3</v>
      </c>
      <c r="BQ48" s="15">
        <f t="shared" si="135"/>
        <v>3</v>
      </c>
      <c r="BR48" s="15">
        <f t="shared" si="145"/>
        <v>3</v>
      </c>
      <c r="BS48" s="15">
        <f t="shared" si="155"/>
        <v>3</v>
      </c>
      <c r="BT48" s="15">
        <f t="shared" si="165"/>
        <v>3</v>
      </c>
      <c r="BU48" s="15">
        <f t="shared" ref="BU48:BU79" si="175">BN34</f>
        <v>3</v>
      </c>
      <c r="BV48" s="15">
        <f t="shared" si="75"/>
        <v>3</v>
      </c>
      <c r="BW48" s="15">
        <f t="shared" si="85"/>
        <v>3</v>
      </c>
      <c r="BX48" s="15">
        <f t="shared" si="95"/>
        <v>3</v>
      </c>
      <c r="BY48" s="15">
        <f t="shared" si="105"/>
        <v>3</v>
      </c>
      <c r="BZ48" s="15">
        <v>-2.8028599999999999</v>
      </c>
      <c r="CA48" s="15">
        <f t="shared" si="116"/>
        <v>-9.4807699999999997</v>
      </c>
      <c r="CB48" s="15">
        <f t="shared" si="126"/>
        <v>-8.49</v>
      </c>
      <c r="CC48" s="15">
        <f t="shared" si="136"/>
        <v>-4.4184599999999996</v>
      </c>
      <c r="CD48" s="15">
        <f t="shared" si="146"/>
        <v>-2.7263199999999999</v>
      </c>
      <c r="CE48" s="15">
        <f t="shared" si="156"/>
        <v>-5.5061499999999999</v>
      </c>
      <c r="CF48" s="15">
        <f t="shared" si="166"/>
        <v>-45.97</v>
      </c>
      <c r="CG48" s="15">
        <f t="shared" ref="CG48:CG79" si="176">BZ34</f>
        <v>-7.7549999999999999</v>
      </c>
      <c r="CH48" s="15">
        <f t="shared" si="76"/>
        <v>-2.915</v>
      </c>
      <c r="CI48" s="15">
        <f t="shared" si="86"/>
        <v>-4.3461299999999996</v>
      </c>
      <c r="CJ48" s="15">
        <f t="shared" si="96"/>
        <v>-3.2181799999999998</v>
      </c>
      <c r="CK48" s="15">
        <f t="shared" si="106"/>
        <v>-3.4523100000000002</v>
      </c>
      <c r="CL48" s="15">
        <v>3</v>
      </c>
      <c r="CM48" s="15">
        <f t="shared" si="117"/>
        <v>3</v>
      </c>
      <c r="CN48" s="15">
        <f t="shared" si="127"/>
        <v>3</v>
      </c>
      <c r="CO48" s="15">
        <f t="shared" si="137"/>
        <v>3</v>
      </c>
      <c r="CP48" s="15">
        <f t="shared" si="147"/>
        <v>3</v>
      </c>
      <c r="CQ48" s="15">
        <f t="shared" si="157"/>
        <v>3</v>
      </c>
      <c r="CR48" s="15">
        <f t="shared" si="167"/>
        <v>5</v>
      </c>
      <c r="CS48" s="15">
        <f t="shared" ref="CS48:CS79" si="177">CL34</f>
        <v>3</v>
      </c>
      <c r="CT48" s="15">
        <f t="shared" si="77"/>
        <v>3</v>
      </c>
      <c r="CU48" s="15">
        <f t="shared" si="87"/>
        <v>3</v>
      </c>
      <c r="CV48" s="15">
        <f t="shared" si="97"/>
        <v>3</v>
      </c>
      <c r="CW48" s="15">
        <f t="shared" si="107"/>
        <v>3</v>
      </c>
      <c r="CX48" s="15">
        <v>-70.364699999999999</v>
      </c>
      <c r="CY48" s="15">
        <f t="shared" si="118"/>
        <v>-83.978899999999996</v>
      </c>
      <c r="CZ48" s="15">
        <f t="shared" si="128"/>
        <v>-83.282300000000006</v>
      </c>
      <c r="DA48" s="15">
        <f t="shared" si="138"/>
        <v>-77.247500000000002</v>
      </c>
      <c r="DB48" s="15">
        <f t="shared" si="148"/>
        <v>-69.857200000000006</v>
      </c>
      <c r="DC48" s="15">
        <f t="shared" si="158"/>
        <v>-79.706400000000002</v>
      </c>
      <c r="DD48" s="15">
        <f t="shared" si="168"/>
        <v>-88.753799999999998</v>
      </c>
      <c r="DE48" s="15">
        <f t="shared" ref="DE48:DE79" si="178">CX34</f>
        <v>-82.652299999999997</v>
      </c>
      <c r="DF48" s="15">
        <f t="shared" si="78"/>
        <v>-71.065299999999993</v>
      </c>
      <c r="DG48" s="15">
        <f t="shared" si="88"/>
        <v>-77.042299999999997</v>
      </c>
      <c r="DH48" s="15">
        <f t="shared" si="98"/>
        <v>-72.738200000000006</v>
      </c>
      <c r="DI48" s="15">
        <f t="shared" si="108"/>
        <v>-73.845699999999994</v>
      </c>
      <c r="DJ48" s="15" t="s">
        <v>22</v>
      </c>
      <c r="DK48" s="15" t="str">
        <f t="shared" si="119"/>
        <v>LL</v>
      </c>
      <c r="DL48" s="15" t="str">
        <f t="shared" si="129"/>
        <v>HL</v>
      </c>
      <c r="DM48" s="15" t="str">
        <f t="shared" si="139"/>
        <v>HL</v>
      </c>
      <c r="DN48" s="15" t="str">
        <f t="shared" si="149"/>
        <v>LL</v>
      </c>
      <c r="DO48" s="15" t="str">
        <f t="shared" si="159"/>
        <v>HL</v>
      </c>
      <c r="DP48" s="15" t="str">
        <f t="shared" si="169"/>
        <v>LL</v>
      </c>
      <c r="DQ48" s="15" t="str">
        <f t="shared" ref="DQ48:DQ79" si="179">DJ34</f>
        <v>LL</v>
      </c>
      <c r="DR48" s="15" t="str">
        <f t="shared" si="79"/>
        <v>HL</v>
      </c>
      <c r="DS48" s="15" t="str">
        <f t="shared" si="89"/>
        <v>HL</v>
      </c>
      <c r="DT48" s="15" t="str">
        <f t="shared" si="99"/>
        <v>HL</v>
      </c>
      <c r="DU48" s="15" t="str">
        <f t="shared" si="109"/>
        <v>HL</v>
      </c>
      <c r="DV48" s="15">
        <f>IFERROR((G48-$F48)/$F48*100,"")</f>
        <v>-1.023679377533397</v>
      </c>
      <c r="DW48" s="15">
        <f>IFERROR((H48-$F48)/$F48*100,"")</f>
        <v>3.067778007194002</v>
      </c>
      <c r="DX48" s="15">
        <f>IFERROR((I48-$F48)/$F48*100,"")</f>
        <v>1.4324991034655101</v>
      </c>
      <c r="DY48" s="15">
        <f>IFERROR((J48-$F48)/$F48*100,"")</f>
        <v>-1.5476902011497384</v>
      </c>
      <c r="DZ48" s="15">
        <f>IFERROR((K48-$F48)/$F48*100,"")</f>
        <v>-1.1473468012736214</v>
      </c>
      <c r="EA48" s="15">
        <f>IFERROR((L48-$F48)/$F48*100,"")</f>
        <v>-2.5724562871518581</v>
      </c>
      <c r="EB48" s="15">
        <f>IFERROR((M48-$F48)/$F48*100,"")</f>
        <v>-2.3520718096956186</v>
      </c>
      <c r="EC48" s="15">
        <f>IFERROR((N48-$F48)/$F48*100,"")</f>
        <v>-2.3453342171895515</v>
      </c>
      <c r="ED48" s="15">
        <f>IFERROR((O48-$F48)/$F48*100,"")</f>
        <v>-3.9291031395007607</v>
      </c>
      <c r="EE48" s="15">
        <f>IFERROR((P48-$F48)/$F48*100,"")</f>
        <v>-4.2757631410221677</v>
      </c>
      <c r="EF48" s="15">
        <f>IFERROR((Q48-$F48)/$F48*100,"")</f>
        <v>-4.898229751904454</v>
      </c>
      <c r="EG48" s="15" t="str">
        <f>IF(DV48="","",IF(AND(ABS(DV48)&lt;=0.25,$E48="Bottom",DK48="LL"),"EQL",IF(AND(ABS(DV48)&lt;=0.25,$E48="Peak",DK48="HH"),"EQH","")))</f>
        <v/>
      </c>
      <c r="EH48" s="15" t="str">
        <f>IF(DW48="","",IF(AND(ABS(DW48)&lt;=0.25,$E48="Bottom",DL48="LL"),"EQL",IF(AND(ABS(DW48)&lt;=0.25,$E48="Peak",DL48="HH"),"EQH","")))</f>
        <v/>
      </c>
      <c r="EI48" s="15" t="str">
        <f>IF(DX48="","",IF(AND(ABS(DX48)&lt;=0.25,$E48="Bottom",DM48="LL"),"EQL",IF(AND(ABS(DX48)&lt;=0.25,$E48="Peak",DM48="HH"),"EQH","")))</f>
        <v/>
      </c>
      <c r="EJ48" s="15" t="str">
        <f>IF(DY48="","",IF(AND(ABS(DY48)&lt;=0.25,$E48="Bottom",DN48="LL"),"EQL",IF(AND(ABS(DY48)&lt;=0.25,$E48="Peak",DN48="HH"),"EQH","")))</f>
        <v/>
      </c>
      <c r="EK48" s="15" t="str">
        <f>IF(DZ48="","",IF(AND(ABS(DZ48)&lt;=0.25,$E48="Bottom",DO48="LL"),"EQL",IF(AND(ABS(DZ48)&lt;=0.25,$E48="Peak",DO48="HH"),"EQH","")))</f>
        <v/>
      </c>
      <c r="EL48" s="15" t="str">
        <f>IF(EA48="","",IF(AND(ABS(EA48)&lt;=0.25,$E48="Bottom",DP48="LL"),"EQL",IF(AND(ABS(EA48)&lt;=0.25,$E48="Peak",DP48="HH"),"EQH","")))</f>
        <v/>
      </c>
      <c r="EM48" s="15" t="str">
        <f>IF(EB48="","",IF(AND(ABS(EB48)&lt;=0.25,$E48="Bottom",DQ48="LL"),"EQL",IF(AND(ABS(EB48)&lt;=0.25,$E48="Peak",DQ48="HH"),"EQH","")))</f>
        <v/>
      </c>
      <c r="EN48" s="15" t="str">
        <f>IF(EC48="","",IF(AND(ABS(EC48)&lt;=0.25,$E48="Bottom",DR48="LL"),"EQL",IF(AND(ABS(EC48)&lt;=0.25,$E48="Peak",DR48="HH"),"EQH","")))</f>
        <v/>
      </c>
      <c r="EO48" s="15" t="str">
        <f>IF(ED48="","",IF(AND(ABS(ED48)&lt;=0.25,$E48="Bottom",DS48="LL"),"EQL",IF(AND(ABS(ED48)&lt;=0.25,$E48="Peak",DS48="HH"),"EQH","")))</f>
        <v/>
      </c>
      <c r="EP48" s="15" t="str">
        <f>IF(EE48="","",IF(AND(ABS(EE48)&lt;=0.25,$E48="Bottom",DT48="LL"),"EQL",IF(AND(ABS(EE48)&lt;=0.25,$E48="Peak",DT48="HH"),"EQH","")))</f>
        <v/>
      </c>
      <c r="EQ48" s="15" t="str">
        <f>IF(EF48="","",IF(AND(ABS(EF48)&lt;=0.25,$E48="Bottom",DU48="LL"),"EQL",IF(AND(ABS(EF48)&lt;=0.25,$E48="Peak",DU48="HH"),"EQH","")))</f>
        <v/>
      </c>
      <c r="ER48" s="15" t="str">
        <f>IF(OR(EG48="EQL",EG48="EQH"),F48,"")</f>
        <v/>
      </c>
      <c r="ES48" s="15" t="str">
        <f>IF(OR(EH48="EQL",EH48="EQH"),G48,"")</f>
        <v/>
      </c>
      <c r="ET48" s="15" t="str">
        <f>IF(OR(EI48="EQL",EI48="EQH"),H48,"")</f>
        <v/>
      </c>
      <c r="EU48" s="15" t="str">
        <f>IF(OR(EJ48="EQL",EJ48="EQH"),I48,"")</f>
        <v/>
      </c>
      <c r="EV48" s="15" t="str">
        <f>IF(OR(EK48="EQL",EK48="EQH"),J48,"")</f>
        <v/>
      </c>
      <c r="EW48" s="15" t="str">
        <f>IF(OR(EL48="EQL",EL48="EQH"),K48,"")</f>
        <v/>
      </c>
      <c r="EX48" s="15" t="str">
        <f>IF(OR(EM48="EQL",EM48="EQH"),L48,"")</f>
        <v/>
      </c>
      <c r="EY48" s="15" t="str">
        <f>IF(OR(EN48="EQL",EN48="EQH"),M48,"")</f>
        <v/>
      </c>
      <c r="EZ48" s="15" t="str">
        <f>IF(OR(EO48="EQL",EO48="EQH"),N48,"")</f>
        <v/>
      </c>
      <c r="FA48" s="15" t="str">
        <f>IF(OR(EP48="EQL",EP48="EQH"),O48,"")</f>
        <v/>
      </c>
      <c r="FB48" s="15" t="str">
        <f>IF(OR(EQ48="EQL",EQ48="EQH"),P48,"")</f>
        <v/>
      </c>
      <c r="FC48" s="15" t="str">
        <f>IF(AND(EG48="EQL",OR(AQ48=4,AQ48=5)),"IEQL",IF(AND(EG48="EQH",OR(AQ48=1,AQ48=2)),"IEQH",""))</f>
        <v/>
      </c>
      <c r="FD48" s="15" t="str">
        <f>IF(AND(EH48="EQL",OR(AR48=4,AR48=5)),"IEQL",IF(AND(EH48="EQH",OR(AR48=1,AR48=2)),"IEQH",""))</f>
        <v/>
      </c>
      <c r="FE48" s="15" t="str">
        <f>IF(AND(EI48="EQL",OR(AS48=4,AS48=5)),"IEQL",IF(AND(EI48="EQH",OR(AS48=1,AS48=2)),"IEQH",""))</f>
        <v/>
      </c>
      <c r="FF48" s="15" t="str">
        <f>IF(AND(EJ48="EQL",OR(AT48=4,AT48=5)),"IEQL",IF(AND(EJ48="EQH",OR(AT48=1,AT48=2)),"IEQH",""))</f>
        <v/>
      </c>
      <c r="FG48" s="15" t="str">
        <f>IF(AND(EK48="EQL",OR(AU48=4,AU48=5)),"IEQL",IF(AND(EK48="EQH",OR(AU48=1,AU48=2)),"IEQH",""))</f>
        <v/>
      </c>
      <c r="FH48" s="15" t="str">
        <f>IF(AND(EL48="EQL",OR(AV48=4,AV48=5)),"IEQL",IF(AND(EL48="EQH",OR(AV48=1,AV48=2)),"IEQH",""))</f>
        <v/>
      </c>
      <c r="FI48" s="15" t="str">
        <f>IF(AND(EM48="EQL",OR(AW48=4,AW48=5)),"IEQL",IF(AND(EM48="EQH",OR(AW48=1,AW48=2)),"IEQH",""))</f>
        <v/>
      </c>
      <c r="FJ48" s="15" t="str">
        <f>IF(AND(EN48="EQL",OR(AX48=4,AX48=5)),"IEQL",IF(AND(EN48="EQH",OR(AX48=1,AX48=2)),"IEQH",""))</f>
        <v/>
      </c>
      <c r="FK48" s="15" t="str">
        <f>IF(AND(EO48="EQL",OR(AY48=4,AY48=5)),"IEQL",IF(AND(EO48="EQH",OR(AY48=1,AY48=2)),"IEQH",""))</f>
        <v/>
      </c>
      <c r="FL48" s="15" t="str">
        <f>IF(AND(EP48="EQL",OR(AZ48=4,AZ48=5)),"IEQL",IF(AND(EP48="EQH",OR(AZ48=1,AZ48=2)),"IEQH",""))</f>
        <v/>
      </c>
      <c r="FM48" s="15" t="str">
        <f>IF(AND(EQ48="EQL",OR(BA48=4,BA48=5)),"IEQL",IF(AND(EQ48="EQH",OR(BA48=1,BA48=2)),"IEQH",""))</f>
        <v/>
      </c>
      <c r="FN48" s="15" t="str">
        <f>IF(OR(AND(DJ48="LL",AP48=5),AND(DJ48="HH",AP48=2)),F48,"")</f>
        <v/>
      </c>
      <c r="FO48" s="15" t="str">
        <f>IF(FN48&lt;&gt;"",F47,"")</f>
        <v/>
      </c>
    </row>
    <row r="49" spans="1:171" s="15" customFormat="1" x14ac:dyDescent="0.55000000000000004">
      <c r="A49" s="15">
        <v>1775467806</v>
      </c>
      <c r="B49" s="15" t="s">
        <v>16</v>
      </c>
      <c r="C49" s="15" t="s">
        <v>17</v>
      </c>
      <c r="D49" s="15">
        <v>4703.45</v>
      </c>
      <c r="E49" s="15" t="s">
        <v>20</v>
      </c>
      <c r="F49" s="15">
        <v>4706.47</v>
      </c>
      <c r="G49" s="15">
        <f t="shared" si="110"/>
        <v>4699.1499999999996</v>
      </c>
      <c r="H49" s="15">
        <f t="shared" si="120"/>
        <v>4800.45</v>
      </c>
      <c r="I49" s="15">
        <f t="shared" si="130"/>
        <v>4793.1400000000003</v>
      </c>
      <c r="J49" s="15">
        <f t="shared" si="140"/>
        <v>4724.3999999999996</v>
      </c>
      <c r="K49" s="15">
        <f t="shared" si="150"/>
        <v>4581.6400000000003</v>
      </c>
      <c r="L49" s="15">
        <f t="shared" si="160"/>
        <v>4619.84</v>
      </c>
      <c r="M49" s="15">
        <f t="shared" si="170"/>
        <v>4528.66</v>
      </c>
      <c r="N49" s="15">
        <f t="shared" si="70"/>
        <v>4523.8500000000004</v>
      </c>
      <c r="O49" s="15">
        <f t="shared" si="80"/>
        <v>4580.59</v>
      </c>
      <c r="P49" s="15">
        <f t="shared" si="90"/>
        <v>4555</v>
      </c>
      <c r="Q49" s="15">
        <f t="shared" si="100"/>
        <v>4475.12</v>
      </c>
      <c r="R49" s="15">
        <v>105.42</v>
      </c>
      <c r="S49" s="15">
        <f t="shared" si="111"/>
        <v>145.19999999999999</v>
      </c>
      <c r="T49" s="15">
        <f t="shared" si="121"/>
        <v>58.25</v>
      </c>
      <c r="U49" s="15">
        <f t="shared" si="131"/>
        <v>126.18</v>
      </c>
      <c r="V49" s="15">
        <f t="shared" si="141"/>
        <v>194.56</v>
      </c>
      <c r="W49" s="15">
        <f t="shared" si="151"/>
        <v>33.380000000000003</v>
      </c>
      <c r="X49" s="15">
        <f t="shared" si="161"/>
        <v>137.15</v>
      </c>
      <c r="Y49" s="15">
        <f t="shared" si="171"/>
        <v>35.83</v>
      </c>
      <c r="Z49" s="15">
        <f t="shared" si="71"/>
        <v>30.71</v>
      </c>
      <c r="AA49" s="15">
        <f t="shared" si="81"/>
        <v>160.32</v>
      </c>
      <c r="AB49" s="15">
        <f t="shared" si="91"/>
        <v>150.68</v>
      </c>
      <c r="AC49" s="15">
        <f t="shared" si="101"/>
        <v>99.44</v>
      </c>
      <c r="AD49" s="15">
        <v>2.29</v>
      </c>
      <c r="AE49" s="15">
        <f t="shared" si="112"/>
        <v>3.19</v>
      </c>
      <c r="AF49" s="15">
        <f t="shared" si="122"/>
        <v>1.23</v>
      </c>
      <c r="AG49" s="15">
        <f t="shared" si="132"/>
        <v>2.7</v>
      </c>
      <c r="AH49" s="15">
        <f t="shared" si="142"/>
        <v>4.3</v>
      </c>
      <c r="AI49" s="15">
        <f t="shared" si="152"/>
        <v>0.73</v>
      </c>
      <c r="AJ49" s="15">
        <f t="shared" si="162"/>
        <v>3.06</v>
      </c>
      <c r="AK49" s="15">
        <f t="shared" si="172"/>
        <v>0.8</v>
      </c>
      <c r="AL49" s="15">
        <f t="shared" si="72"/>
        <v>0.68</v>
      </c>
      <c r="AM49" s="15">
        <f t="shared" si="82"/>
        <v>3.63</v>
      </c>
      <c r="AN49" s="15">
        <f t="shared" si="92"/>
        <v>3.42</v>
      </c>
      <c r="AO49" s="15">
        <f t="shared" si="102"/>
        <v>2.27</v>
      </c>
      <c r="AP49" s="15">
        <v>0</v>
      </c>
      <c r="AQ49" s="15">
        <f t="shared" si="113"/>
        <v>0</v>
      </c>
      <c r="AR49" s="15">
        <f t="shared" si="123"/>
        <v>0</v>
      </c>
      <c r="AS49" s="15">
        <f t="shared" si="133"/>
        <v>0</v>
      </c>
      <c r="AT49" s="15">
        <f t="shared" si="143"/>
        <v>0</v>
      </c>
      <c r="AU49" s="15">
        <f t="shared" si="153"/>
        <v>0</v>
      </c>
      <c r="AV49" s="15">
        <f t="shared" si="163"/>
        <v>0</v>
      </c>
      <c r="AW49" s="15">
        <f t="shared" si="173"/>
        <v>0</v>
      </c>
      <c r="AX49" s="15">
        <f t="shared" si="73"/>
        <v>0</v>
      </c>
      <c r="AY49" s="15">
        <f t="shared" si="83"/>
        <v>0</v>
      </c>
      <c r="AZ49" s="15">
        <f t="shared" si="93"/>
        <v>0</v>
      </c>
      <c r="BA49" s="15">
        <f t="shared" si="103"/>
        <v>0</v>
      </c>
      <c r="BB49" s="15">
        <v>37</v>
      </c>
      <c r="BC49" s="15">
        <f t="shared" si="114"/>
        <v>34</v>
      </c>
      <c r="BD49" s="15">
        <f t="shared" si="124"/>
        <v>16</v>
      </c>
      <c r="BE49" s="15">
        <f t="shared" si="134"/>
        <v>51</v>
      </c>
      <c r="BF49" s="15">
        <f t="shared" si="144"/>
        <v>54</v>
      </c>
      <c r="BG49" s="15">
        <f t="shared" si="154"/>
        <v>3</v>
      </c>
      <c r="BH49" s="15">
        <f t="shared" si="164"/>
        <v>6</v>
      </c>
      <c r="BI49" s="15">
        <f t="shared" si="174"/>
        <v>4</v>
      </c>
      <c r="BJ49" s="15">
        <f t="shared" si="74"/>
        <v>7</v>
      </c>
      <c r="BK49" s="15">
        <f t="shared" si="84"/>
        <v>47</v>
      </c>
      <c r="BL49" s="15">
        <f t="shared" si="94"/>
        <v>17</v>
      </c>
      <c r="BM49" s="15">
        <f t="shared" si="104"/>
        <v>19</v>
      </c>
      <c r="BN49" s="15">
        <v>0</v>
      </c>
      <c r="BO49" s="15">
        <f t="shared" si="115"/>
        <v>0</v>
      </c>
      <c r="BP49" s="15">
        <f t="shared" si="125"/>
        <v>0</v>
      </c>
      <c r="BQ49" s="15">
        <f t="shared" si="135"/>
        <v>1</v>
      </c>
      <c r="BR49" s="15">
        <f t="shared" si="145"/>
        <v>2</v>
      </c>
      <c r="BS49" s="15">
        <f t="shared" si="155"/>
        <v>0</v>
      </c>
      <c r="BT49" s="15">
        <f t="shared" si="165"/>
        <v>0</v>
      </c>
      <c r="BU49" s="15">
        <f t="shared" si="175"/>
        <v>0</v>
      </c>
      <c r="BV49" s="15">
        <f t="shared" si="75"/>
        <v>0</v>
      </c>
      <c r="BW49" s="15">
        <f t="shared" si="85"/>
        <v>2</v>
      </c>
      <c r="BX49" s="15">
        <f t="shared" si="95"/>
        <v>0</v>
      </c>
      <c r="BY49" s="15">
        <f t="shared" si="105"/>
        <v>0</v>
      </c>
      <c r="BZ49" s="15">
        <v>2.8491900000000001</v>
      </c>
      <c r="CA49" s="15">
        <f t="shared" si="116"/>
        <v>4.2705900000000003</v>
      </c>
      <c r="CB49" s="15">
        <f t="shared" si="126"/>
        <v>3.6406200000000002</v>
      </c>
      <c r="CC49" s="15">
        <f t="shared" si="136"/>
        <v>2.4741200000000001</v>
      </c>
      <c r="CD49" s="15">
        <f t="shared" si="146"/>
        <v>3.6029599999999999</v>
      </c>
      <c r="CE49" s="15">
        <f t="shared" si="156"/>
        <v>11.126670000000001</v>
      </c>
      <c r="CF49" s="15">
        <f t="shared" si="166"/>
        <v>22.858329999999999</v>
      </c>
      <c r="CG49" s="15">
        <f t="shared" si="176"/>
        <v>8.9574999999999996</v>
      </c>
      <c r="CH49" s="15">
        <f t="shared" si="76"/>
        <v>4.3871399999999996</v>
      </c>
      <c r="CI49" s="15">
        <f t="shared" si="86"/>
        <v>3.41106</v>
      </c>
      <c r="CJ49" s="15">
        <f t="shared" si="96"/>
        <v>8.8635300000000008</v>
      </c>
      <c r="CK49" s="15">
        <f t="shared" si="106"/>
        <v>5.2336799999999997</v>
      </c>
      <c r="CL49" s="15">
        <v>0</v>
      </c>
      <c r="CM49" s="15">
        <f t="shared" si="117"/>
        <v>0</v>
      </c>
      <c r="CN49" s="15">
        <f t="shared" si="127"/>
        <v>0</v>
      </c>
      <c r="CO49" s="15">
        <f t="shared" si="137"/>
        <v>0</v>
      </c>
      <c r="CP49" s="15">
        <f t="shared" si="147"/>
        <v>0</v>
      </c>
      <c r="CQ49" s="15">
        <f t="shared" si="157"/>
        <v>0</v>
      </c>
      <c r="CR49" s="15">
        <f t="shared" si="167"/>
        <v>1</v>
      </c>
      <c r="CS49" s="15">
        <f t="shared" si="177"/>
        <v>0</v>
      </c>
      <c r="CT49" s="15">
        <f t="shared" si="77"/>
        <v>0</v>
      </c>
      <c r="CU49" s="15">
        <f t="shared" si="87"/>
        <v>0</v>
      </c>
      <c r="CV49" s="15">
        <f t="shared" si="97"/>
        <v>0</v>
      </c>
      <c r="CW49" s="15">
        <f t="shared" si="107"/>
        <v>0</v>
      </c>
      <c r="CX49" s="15">
        <v>70.6601</v>
      </c>
      <c r="CY49" s="15">
        <f t="shared" si="118"/>
        <v>76.821100000000001</v>
      </c>
      <c r="CZ49" s="15">
        <f t="shared" si="128"/>
        <v>74.640900000000002</v>
      </c>
      <c r="DA49" s="15">
        <f t="shared" si="138"/>
        <v>67.992199999999997</v>
      </c>
      <c r="DB49" s="15">
        <f t="shared" si="148"/>
        <v>74.488</v>
      </c>
      <c r="DC49" s="15">
        <f t="shared" si="158"/>
        <v>84.864400000000003</v>
      </c>
      <c r="DD49" s="15">
        <f t="shared" si="168"/>
        <v>87.495000000000005</v>
      </c>
      <c r="DE49" s="15">
        <f t="shared" si="178"/>
        <v>83.63</v>
      </c>
      <c r="DF49" s="15">
        <f t="shared" si="78"/>
        <v>77.159499999999994</v>
      </c>
      <c r="DG49" s="15">
        <f t="shared" si="88"/>
        <v>73.660799999999995</v>
      </c>
      <c r="DH49" s="15">
        <f t="shared" si="98"/>
        <v>83.563000000000002</v>
      </c>
      <c r="DI49" s="15">
        <f t="shared" si="108"/>
        <v>79.182900000000004</v>
      </c>
      <c r="DJ49" s="15" t="s">
        <v>23</v>
      </c>
      <c r="DK49" s="15" t="str">
        <f t="shared" si="119"/>
        <v>LH</v>
      </c>
      <c r="DL49" s="15" t="str">
        <f t="shared" si="129"/>
        <v>HH</v>
      </c>
      <c r="DM49" s="15" t="str">
        <f t="shared" si="139"/>
        <v>HH</v>
      </c>
      <c r="DN49" s="15" t="str">
        <f t="shared" si="149"/>
        <v>HH</v>
      </c>
      <c r="DO49" s="15" t="str">
        <f t="shared" si="159"/>
        <v>LH</v>
      </c>
      <c r="DP49" s="15" t="str">
        <f t="shared" si="169"/>
        <v>HH</v>
      </c>
      <c r="DQ49" s="15" t="str">
        <f t="shared" si="179"/>
        <v>HH</v>
      </c>
      <c r="DR49" s="15" t="str">
        <f t="shared" si="79"/>
        <v>LH</v>
      </c>
      <c r="DS49" s="15" t="str">
        <f t="shared" si="89"/>
        <v>HH</v>
      </c>
      <c r="DT49" s="15" t="str">
        <f t="shared" si="99"/>
        <v>HH</v>
      </c>
      <c r="DU49" s="15" t="str">
        <f t="shared" si="109"/>
        <v>HH</v>
      </c>
      <c r="DV49" s="15">
        <f>IFERROR((G49-$F49)/$F49*100,"")</f>
        <v>-0.15553057811907051</v>
      </c>
      <c r="DW49" s="15">
        <f>IFERROR((H49-$F49)/$F49*100,"")</f>
        <v>1.9968256463973968</v>
      </c>
      <c r="DX49" s="15">
        <f>IFERROR((I49-$F49)/$F49*100,"")</f>
        <v>1.8415075417457258</v>
      </c>
      <c r="DY49" s="15">
        <f>IFERROR((J49-$F49)/$F49*100,"")</f>
        <v>0.38096492700472712</v>
      </c>
      <c r="DZ49" s="15">
        <f>IFERROR((K49-$F49)/$F49*100,"")</f>
        <v>-2.6523062932516286</v>
      </c>
      <c r="EA49" s="15">
        <f>IFERROR((L49-$F49)/$F49*100,"")</f>
        <v>-1.8406576478762235</v>
      </c>
      <c r="EB49" s="15">
        <f>IFERROR((M49-$F49)/$F49*100,"")</f>
        <v>-3.7779907234084225</v>
      </c>
      <c r="EC49" s="15">
        <f>IFERROR((N49-$F49)/$F49*100,"")</f>
        <v>-3.8801904612161526</v>
      </c>
      <c r="ED49" s="15">
        <f>IFERROR((O49-$F49)/$F49*100,"")</f>
        <v>-2.6746160073260876</v>
      </c>
      <c r="EE49" s="15">
        <f>IFERROR((P49-$F49)/$F49*100,"")</f>
        <v>-3.218335610340664</v>
      </c>
      <c r="EF49" s="15">
        <f>IFERROR((Q49-$F49)/$F49*100,"")</f>
        <v>-4.9155736677382489</v>
      </c>
      <c r="EG49" s="15" t="str">
        <f>IF(DV49="","",IF(AND(ABS(DV49)&lt;=0.25,$E49="Bottom",DK49="LL"),"EQL",IF(AND(ABS(DV49)&lt;=0.25,$E49="Peak",DK49="HH"),"EQH","")))</f>
        <v/>
      </c>
      <c r="EH49" s="15" t="str">
        <f>IF(DW49="","",IF(AND(ABS(DW49)&lt;=0.25,$E49="Bottom",DL49="LL"),"EQL",IF(AND(ABS(DW49)&lt;=0.25,$E49="Peak",DL49="HH"),"EQH","")))</f>
        <v/>
      </c>
      <c r="EI49" s="15" t="str">
        <f>IF(DX49="","",IF(AND(ABS(DX49)&lt;=0.25,$E49="Bottom",DM49="LL"),"EQL",IF(AND(ABS(DX49)&lt;=0.25,$E49="Peak",DM49="HH"),"EQH","")))</f>
        <v/>
      </c>
      <c r="EJ49" s="15" t="str">
        <f>IF(DY49="","",IF(AND(ABS(DY49)&lt;=0.25,$E49="Bottom",DN49="LL"),"EQL",IF(AND(ABS(DY49)&lt;=0.25,$E49="Peak",DN49="HH"),"EQH","")))</f>
        <v/>
      </c>
      <c r="EK49" s="15" t="str">
        <f>IF(DZ49="","",IF(AND(ABS(DZ49)&lt;=0.25,$E49="Bottom",DO49="LL"),"EQL",IF(AND(ABS(DZ49)&lt;=0.25,$E49="Peak",DO49="HH"),"EQH","")))</f>
        <v/>
      </c>
      <c r="EL49" s="15" t="str">
        <f>IF(EA49="","",IF(AND(ABS(EA49)&lt;=0.25,$E49="Bottom",DP49="LL"),"EQL",IF(AND(ABS(EA49)&lt;=0.25,$E49="Peak",DP49="HH"),"EQH","")))</f>
        <v/>
      </c>
      <c r="EM49" s="15" t="str">
        <f>IF(EB49="","",IF(AND(ABS(EB49)&lt;=0.25,$E49="Bottom",DQ49="LL"),"EQL",IF(AND(ABS(EB49)&lt;=0.25,$E49="Peak",DQ49="HH"),"EQH","")))</f>
        <v/>
      </c>
      <c r="EN49" s="15" t="str">
        <f>IF(EC49="","",IF(AND(ABS(EC49)&lt;=0.25,$E49="Bottom",DR49="LL"),"EQL",IF(AND(ABS(EC49)&lt;=0.25,$E49="Peak",DR49="HH"),"EQH","")))</f>
        <v/>
      </c>
      <c r="EO49" s="15" t="str">
        <f>IF(ED49="","",IF(AND(ABS(ED49)&lt;=0.25,$E49="Bottom",DS49="LL"),"EQL",IF(AND(ABS(ED49)&lt;=0.25,$E49="Peak",DS49="HH"),"EQH","")))</f>
        <v/>
      </c>
      <c r="EP49" s="15" t="str">
        <f>IF(EE49="","",IF(AND(ABS(EE49)&lt;=0.25,$E49="Bottom",DT49="LL"),"EQL",IF(AND(ABS(EE49)&lt;=0.25,$E49="Peak",DT49="HH"),"EQH","")))</f>
        <v/>
      </c>
      <c r="EQ49" s="15" t="str">
        <f>IF(EF49="","",IF(AND(ABS(EF49)&lt;=0.25,$E49="Bottom",DU49="LL"),"EQL",IF(AND(ABS(EF49)&lt;=0.25,$E49="Peak",DU49="HH"),"EQH","")))</f>
        <v/>
      </c>
      <c r="ER49" s="15" t="str">
        <f>IF(OR(EG49="EQL",EG49="EQH"),F49,"")</f>
        <v/>
      </c>
      <c r="ES49" s="15" t="str">
        <f>IF(OR(EH49="EQL",EH49="EQH"),G49,"")</f>
        <v/>
      </c>
      <c r="ET49" s="15" t="str">
        <f>IF(OR(EI49="EQL",EI49="EQH"),H49,"")</f>
        <v/>
      </c>
      <c r="EU49" s="15" t="str">
        <f>IF(OR(EJ49="EQL",EJ49="EQH"),I49,"")</f>
        <v/>
      </c>
      <c r="EV49" s="15" t="str">
        <f>IF(OR(EK49="EQL",EK49="EQH"),J49,"")</f>
        <v/>
      </c>
      <c r="EW49" s="15" t="str">
        <f>IF(OR(EL49="EQL",EL49="EQH"),K49,"")</f>
        <v/>
      </c>
      <c r="EX49" s="15" t="str">
        <f>IF(OR(EM49="EQL",EM49="EQH"),L49,"")</f>
        <v/>
      </c>
      <c r="EY49" s="15" t="str">
        <f>IF(OR(EN49="EQL",EN49="EQH"),M49,"")</f>
        <v/>
      </c>
      <c r="EZ49" s="15" t="str">
        <f>IF(OR(EO49="EQL",EO49="EQH"),N49,"")</f>
        <v/>
      </c>
      <c r="FA49" s="15" t="str">
        <f>IF(OR(EP49="EQL",EP49="EQH"),O49,"")</f>
        <v/>
      </c>
      <c r="FB49" s="15" t="str">
        <f>IF(OR(EQ49="EQL",EQ49="EQH"),P49,"")</f>
        <v/>
      </c>
      <c r="FC49" s="15" t="str">
        <f>IF(AND(EG49="EQL",OR(AQ49=4,AQ49=5)),"IEQL",IF(AND(EG49="EQH",OR(AQ49=1,AQ49=2)),"IEQH",""))</f>
        <v/>
      </c>
      <c r="FD49" s="15" t="str">
        <f>IF(AND(EH49="EQL",OR(AR49=4,AR49=5)),"IEQL",IF(AND(EH49="EQH",OR(AR49=1,AR49=2)),"IEQH",""))</f>
        <v/>
      </c>
      <c r="FE49" s="15" t="str">
        <f>IF(AND(EI49="EQL",OR(AS49=4,AS49=5)),"IEQL",IF(AND(EI49="EQH",OR(AS49=1,AS49=2)),"IEQH",""))</f>
        <v/>
      </c>
      <c r="FF49" s="15" t="str">
        <f>IF(AND(EJ49="EQL",OR(AT49=4,AT49=5)),"IEQL",IF(AND(EJ49="EQH",OR(AT49=1,AT49=2)),"IEQH",""))</f>
        <v/>
      </c>
      <c r="FG49" s="15" t="str">
        <f>IF(AND(EK49="EQL",OR(AU49=4,AU49=5)),"IEQL",IF(AND(EK49="EQH",OR(AU49=1,AU49=2)),"IEQH",""))</f>
        <v/>
      </c>
      <c r="FH49" s="15" t="str">
        <f>IF(AND(EL49="EQL",OR(AV49=4,AV49=5)),"IEQL",IF(AND(EL49="EQH",OR(AV49=1,AV49=2)),"IEQH",""))</f>
        <v/>
      </c>
      <c r="FI49" s="15" t="str">
        <f>IF(AND(EM49="EQL",OR(AW49=4,AW49=5)),"IEQL",IF(AND(EM49="EQH",OR(AW49=1,AW49=2)),"IEQH",""))</f>
        <v/>
      </c>
      <c r="FJ49" s="15" t="str">
        <f>IF(AND(EN49="EQL",OR(AX49=4,AX49=5)),"IEQL",IF(AND(EN49="EQH",OR(AX49=1,AX49=2)),"IEQH",""))</f>
        <v/>
      </c>
      <c r="FK49" s="15" t="str">
        <f>IF(AND(EO49="EQL",OR(AY49=4,AY49=5)),"IEQL",IF(AND(EO49="EQH",OR(AY49=1,AY49=2)),"IEQH",""))</f>
        <v/>
      </c>
      <c r="FL49" s="15" t="str">
        <f>IF(AND(EP49="EQL",OR(AZ49=4,AZ49=5)),"IEQL",IF(AND(EP49="EQH",OR(AZ49=1,AZ49=2)),"IEQH",""))</f>
        <v/>
      </c>
      <c r="FM49" s="15" t="str">
        <f>IF(AND(EQ49="EQL",OR(BA49=4,BA49=5)),"IEQL",IF(AND(EQ49="EQH",OR(BA49=1,BA49=2)),"IEQH",""))</f>
        <v/>
      </c>
      <c r="FN49" s="15" t="str">
        <f>IF(OR(AND(DJ49="LL",AP49=5),AND(DJ49="HH",AP49=2)),F49,"")</f>
        <v/>
      </c>
      <c r="FO49" s="15" t="str">
        <f>IF(FN49&lt;&gt;"",F48,"")</f>
        <v/>
      </c>
    </row>
    <row r="50" spans="1:171" s="15" customFormat="1" x14ac:dyDescent="0.55000000000000004">
      <c r="A50" s="15">
        <v>1775477706</v>
      </c>
      <c r="B50" s="15" t="s">
        <v>16</v>
      </c>
      <c r="C50" s="15" t="s">
        <v>17</v>
      </c>
      <c r="D50" s="15">
        <v>4666.07</v>
      </c>
      <c r="E50" s="15" t="s">
        <v>18</v>
      </c>
      <c r="F50" s="15">
        <v>4659.58</v>
      </c>
      <c r="G50" s="15">
        <f t="shared" si="110"/>
        <v>4601.05</v>
      </c>
      <c r="H50" s="15">
        <f t="shared" si="120"/>
        <v>4553.95</v>
      </c>
      <c r="I50" s="15">
        <f t="shared" si="130"/>
        <v>4742.2</v>
      </c>
      <c r="J50" s="15">
        <f t="shared" si="140"/>
        <v>4666.96</v>
      </c>
      <c r="K50" s="15">
        <f t="shared" si="150"/>
        <v>4529.84</v>
      </c>
      <c r="L50" s="15">
        <f t="shared" si="160"/>
        <v>4548.26</v>
      </c>
      <c r="M50" s="15">
        <f t="shared" si="170"/>
        <v>4482.6899999999996</v>
      </c>
      <c r="N50" s="15">
        <f t="shared" ref="N50:N81" si="180">F34</f>
        <v>4492.83</v>
      </c>
      <c r="O50" s="15">
        <f t="shared" si="80"/>
        <v>4493.1400000000003</v>
      </c>
      <c r="P50" s="15">
        <f t="shared" si="90"/>
        <v>4420.2700000000004</v>
      </c>
      <c r="Q50" s="15">
        <f t="shared" si="100"/>
        <v>4404.32</v>
      </c>
      <c r="R50" s="15">
        <v>-46.89</v>
      </c>
      <c r="S50" s="15">
        <f t="shared" si="111"/>
        <v>-98.1</v>
      </c>
      <c r="T50" s="15">
        <f t="shared" si="121"/>
        <v>-246.5</v>
      </c>
      <c r="U50" s="15">
        <f t="shared" si="131"/>
        <v>-50.94</v>
      </c>
      <c r="V50" s="15">
        <f t="shared" si="141"/>
        <v>-57.44</v>
      </c>
      <c r="W50" s="15">
        <f t="shared" si="151"/>
        <v>-51.8</v>
      </c>
      <c r="X50" s="15">
        <f t="shared" si="161"/>
        <v>-71.58</v>
      </c>
      <c r="Y50" s="15">
        <f t="shared" si="171"/>
        <v>-45.97</v>
      </c>
      <c r="Z50" s="15">
        <f t="shared" ref="Z50:Z81" si="181">R34</f>
        <v>-31.02</v>
      </c>
      <c r="AA50" s="15">
        <f t="shared" si="81"/>
        <v>-87.45</v>
      </c>
      <c r="AB50" s="15">
        <f t="shared" si="91"/>
        <v>-134.72999999999999</v>
      </c>
      <c r="AC50" s="15">
        <f t="shared" si="101"/>
        <v>-70.8</v>
      </c>
      <c r="AD50" s="15">
        <v>-1</v>
      </c>
      <c r="AE50" s="15">
        <f t="shared" si="112"/>
        <v>-2.09</v>
      </c>
      <c r="AF50" s="15">
        <f t="shared" si="122"/>
        <v>-5.13</v>
      </c>
      <c r="AG50" s="15">
        <f t="shared" si="132"/>
        <v>-1.06</v>
      </c>
      <c r="AH50" s="15">
        <f t="shared" si="142"/>
        <v>-1.22</v>
      </c>
      <c r="AI50" s="15">
        <f t="shared" si="152"/>
        <v>-1.1299999999999999</v>
      </c>
      <c r="AJ50" s="15">
        <f t="shared" si="162"/>
        <v>-1.55</v>
      </c>
      <c r="AK50" s="15">
        <f t="shared" si="172"/>
        <v>-1.02</v>
      </c>
      <c r="AL50" s="15">
        <f t="shared" ref="AL50:AL81" si="182">AD34</f>
        <v>-0.69</v>
      </c>
      <c r="AM50" s="15">
        <f t="shared" si="82"/>
        <v>-1.91</v>
      </c>
      <c r="AN50" s="15">
        <f t="shared" si="92"/>
        <v>-2.96</v>
      </c>
      <c r="AO50" s="15">
        <f t="shared" si="102"/>
        <v>-1.58</v>
      </c>
      <c r="AP50" s="15">
        <v>3</v>
      </c>
      <c r="AQ50" s="15">
        <f t="shared" si="113"/>
        <v>3</v>
      </c>
      <c r="AR50" s="15">
        <f t="shared" si="123"/>
        <v>3</v>
      </c>
      <c r="AS50" s="15">
        <f t="shared" si="133"/>
        <v>3</v>
      </c>
      <c r="AT50" s="15">
        <f t="shared" si="143"/>
        <v>3</v>
      </c>
      <c r="AU50" s="15">
        <f t="shared" si="153"/>
        <v>3</v>
      </c>
      <c r="AV50" s="15">
        <f t="shared" si="163"/>
        <v>3</v>
      </c>
      <c r="AW50" s="15">
        <f t="shared" si="173"/>
        <v>3</v>
      </c>
      <c r="AX50" s="15">
        <f t="shared" ref="AX50:AX81" si="183">AP34</f>
        <v>3</v>
      </c>
      <c r="AY50" s="15">
        <f t="shared" si="83"/>
        <v>3</v>
      </c>
      <c r="AZ50" s="15">
        <f t="shared" si="93"/>
        <v>3</v>
      </c>
      <c r="BA50" s="15">
        <f t="shared" si="103"/>
        <v>3</v>
      </c>
      <c r="BB50" s="15">
        <v>11</v>
      </c>
      <c r="BC50" s="15">
        <f t="shared" si="114"/>
        <v>35</v>
      </c>
      <c r="BD50" s="15">
        <f t="shared" si="124"/>
        <v>26</v>
      </c>
      <c r="BE50" s="15">
        <f t="shared" si="134"/>
        <v>6</v>
      </c>
      <c r="BF50" s="15">
        <f t="shared" si="144"/>
        <v>13</v>
      </c>
      <c r="BG50" s="15">
        <f t="shared" si="154"/>
        <v>19</v>
      </c>
      <c r="BH50" s="15">
        <f t="shared" si="164"/>
        <v>13</v>
      </c>
      <c r="BI50" s="15">
        <f t="shared" si="174"/>
        <v>1</v>
      </c>
      <c r="BJ50" s="15">
        <f t="shared" ref="BJ50:BJ81" si="184">BB34</f>
        <v>4</v>
      </c>
      <c r="BK50" s="15">
        <f t="shared" si="84"/>
        <v>30</v>
      </c>
      <c r="BL50" s="15">
        <f t="shared" si="94"/>
        <v>31</v>
      </c>
      <c r="BM50" s="15">
        <f t="shared" si="104"/>
        <v>22</v>
      </c>
      <c r="BN50" s="15">
        <v>3</v>
      </c>
      <c r="BO50" s="15">
        <f t="shared" si="115"/>
        <v>3</v>
      </c>
      <c r="BP50" s="15">
        <f t="shared" si="125"/>
        <v>3</v>
      </c>
      <c r="BQ50" s="15">
        <f t="shared" si="135"/>
        <v>3</v>
      </c>
      <c r="BR50" s="15">
        <f t="shared" si="145"/>
        <v>3</v>
      </c>
      <c r="BS50" s="15">
        <f t="shared" si="155"/>
        <v>3</v>
      </c>
      <c r="BT50" s="15">
        <f t="shared" si="165"/>
        <v>3</v>
      </c>
      <c r="BU50" s="15">
        <f t="shared" si="175"/>
        <v>3</v>
      </c>
      <c r="BV50" s="15">
        <f t="shared" ref="BV50:BV81" si="185">BN34</f>
        <v>3</v>
      </c>
      <c r="BW50" s="15">
        <f t="shared" si="85"/>
        <v>3</v>
      </c>
      <c r="BX50" s="15">
        <f t="shared" si="95"/>
        <v>3</v>
      </c>
      <c r="BY50" s="15">
        <f t="shared" si="105"/>
        <v>3</v>
      </c>
      <c r="BZ50" s="15">
        <v>-4.2627300000000004</v>
      </c>
      <c r="CA50" s="15">
        <f t="shared" si="116"/>
        <v>-2.8028599999999999</v>
      </c>
      <c r="CB50" s="15">
        <f t="shared" si="126"/>
        <v>-9.4807699999999997</v>
      </c>
      <c r="CC50" s="15">
        <f t="shared" si="136"/>
        <v>-8.49</v>
      </c>
      <c r="CD50" s="15">
        <f t="shared" si="146"/>
        <v>-4.4184599999999996</v>
      </c>
      <c r="CE50" s="15">
        <f t="shared" si="156"/>
        <v>-2.7263199999999999</v>
      </c>
      <c r="CF50" s="15">
        <f t="shared" si="166"/>
        <v>-5.5061499999999999</v>
      </c>
      <c r="CG50" s="15">
        <f t="shared" si="176"/>
        <v>-45.97</v>
      </c>
      <c r="CH50" s="15">
        <f t="shared" ref="CH50:CH81" si="186">BZ34</f>
        <v>-7.7549999999999999</v>
      </c>
      <c r="CI50" s="15">
        <f t="shared" si="86"/>
        <v>-2.915</v>
      </c>
      <c r="CJ50" s="15">
        <f t="shared" si="96"/>
        <v>-4.3461299999999996</v>
      </c>
      <c r="CK50" s="15">
        <f t="shared" si="106"/>
        <v>-3.2181799999999998</v>
      </c>
      <c r="CL50" s="15">
        <v>3</v>
      </c>
      <c r="CM50" s="15">
        <f t="shared" si="117"/>
        <v>3</v>
      </c>
      <c r="CN50" s="15">
        <f t="shared" si="127"/>
        <v>3</v>
      </c>
      <c r="CO50" s="15">
        <f t="shared" si="137"/>
        <v>3</v>
      </c>
      <c r="CP50" s="15">
        <f t="shared" si="147"/>
        <v>3</v>
      </c>
      <c r="CQ50" s="15">
        <f t="shared" si="157"/>
        <v>3</v>
      </c>
      <c r="CR50" s="15">
        <f t="shared" si="167"/>
        <v>3</v>
      </c>
      <c r="CS50" s="15">
        <f t="shared" si="177"/>
        <v>5</v>
      </c>
      <c r="CT50" s="15">
        <f t="shared" ref="CT50:CT81" si="187">CL34</f>
        <v>3</v>
      </c>
      <c r="CU50" s="15">
        <f t="shared" si="87"/>
        <v>3</v>
      </c>
      <c r="CV50" s="15">
        <f t="shared" si="97"/>
        <v>3</v>
      </c>
      <c r="CW50" s="15">
        <f t="shared" si="107"/>
        <v>3</v>
      </c>
      <c r="CX50" s="15">
        <v>-76.797600000000003</v>
      </c>
      <c r="CY50" s="15">
        <f t="shared" si="118"/>
        <v>-70.364699999999999</v>
      </c>
      <c r="CZ50" s="15">
        <f t="shared" si="128"/>
        <v>-83.978899999999996</v>
      </c>
      <c r="DA50" s="15">
        <f t="shared" si="138"/>
        <v>-83.282300000000006</v>
      </c>
      <c r="DB50" s="15">
        <f t="shared" si="148"/>
        <v>-77.247500000000002</v>
      </c>
      <c r="DC50" s="15">
        <f t="shared" si="158"/>
        <v>-69.857200000000006</v>
      </c>
      <c r="DD50" s="15">
        <f t="shared" si="168"/>
        <v>-79.706400000000002</v>
      </c>
      <c r="DE50" s="15">
        <f t="shared" si="178"/>
        <v>-88.753799999999998</v>
      </c>
      <c r="DF50" s="15">
        <f t="shared" ref="DF50:DF81" si="188">CX34</f>
        <v>-82.652299999999997</v>
      </c>
      <c r="DG50" s="15">
        <f t="shared" si="88"/>
        <v>-71.065299999999993</v>
      </c>
      <c r="DH50" s="15">
        <f t="shared" si="98"/>
        <v>-77.042299999999997</v>
      </c>
      <c r="DI50" s="15">
        <f t="shared" si="108"/>
        <v>-72.738200000000006</v>
      </c>
      <c r="DJ50" s="15" t="s">
        <v>22</v>
      </c>
      <c r="DK50" s="15" t="str">
        <f t="shared" si="119"/>
        <v>HL</v>
      </c>
      <c r="DL50" s="15" t="str">
        <f t="shared" si="129"/>
        <v>LL</v>
      </c>
      <c r="DM50" s="15" t="str">
        <f t="shared" si="139"/>
        <v>HL</v>
      </c>
      <c r="DN50" s="15" t="str">
        <f t="shared" si="149"/>
        <v>HL</v>
      </c>
      <c r="DO50" s="15" t="str">
        <f t="shared" si="159"/>
        <v>LL</v>
      </c>
      <c r="DP50" s="15" t="str">
        <f t="shared" si="169"/>
        <v>HL</v>
      </c>
      <c r="DQ50" s="15" t="str">
        <f t="shared" si="179"/>
        <v>LL</v>
      </c>
      <c r="DR50" s="15" t="str">
        <f t="shared" ref="DR50:DR81" si="189">DJ34</f>
        <v>LL</v>
      </c>
      <c r="DS50" s="15" t="str">
        <f t="shared" si="89"/>
        <v>HL</v>
      </c>
      <c r="DT50" s="15" t="str">
        <f t="shared" si="99"/>
        <v>HL</v>
      </c>
      <c r="DU50" s="15" t="str">
        <f t="shared" si="109"/>
        <v>HL</v>
      </c>
      <c r="DV50" s="15">
        <f>IFERROR((G50-$F50)/$F50*100,"")</f>
        <v>-1.2561217963850764</v>
      </c>
      <c r="DW50" s="15">
        <f>IFERROR((H50-$F50)/$F50*100,"")</f>
        <v>-2.2669425141321775</v>
      </c>
      <c r="DX50" s="15">
        <f>IFERROR((I50-$F50)/$F50*100,"")</f>
        <v>1.7731211825958542</v>
      </c>
      <c r="DY50" s="15">
        <f>IFERROR((J50-$F50)/$F50*100,"")</f>
        <v>0.15838337360878255</v>
      </c>
      <c r="DZ50" s="15">
        <f>IFERROR((K50-$F50)/$F50*100,"")</f>
        <v>-2.7843711235776567</v>
      </c>
      <c r="EA50" s="15">
        <f>IFERROR((L50-$F50)/$F50*100,"")</f>
        <v>-2.3890565244077728</v>
      </c>
      <c r="EB50" s="15">
        <f>IFERROR((M50-$F50)/$F50*100,"")</f>
        <v>-3.7962648994115424</v>
      </c>
      <c r="EC50" s="15">
        <f>IFERROR((N50-$F50)/$F50*100,"")</f>
        <v>-3.5786487194124792</v>
      </c>
      <c r="ED50" s="15">
        <f>IFERROR((O50-$F50)/$F50*100,"")</f>
        <v>-3.571995759274432</v>
      </c>
      <c r="EE50" s="15">
        <f>IFERROR((P50-$F50)/$F50*100,"")</f>
        <v>-5.135870614948117</v>
      </c>
      <c r="EF50" s="15">
        <f>IFERROR((Q50-$F50)/$F50*100,"")</f>
        <v>-5.4781761446310657</v>
      </c>
      <c r="EG50" s="15" t="str">
        <f>IF(DV50="","",IF(AND(ABS(DV50)&lt;=0.25,$E50="Bottom",DK50="LL"),"EQL",IF(AND(ABS(DV50)&lt;=0.25,$E50="Peak",DK50="HH"),"EQH","")))</f>
        <v/>
      </c>
      <c r="EH50" s="15" t="str">
        <f>IF(DW50="","",IF(AND(ABS(DW50)&lt;=0.25,$E50="Bottom",DL50="LL"),"EQL",IF(AND(ABS(DW50)&lt;=0.25,$E50="Peak",DL50="HH"),"EQH","")))</f>
        <v/>
      </c>
      <c r="EI50" s="15" t="str">
        <f>IF(DX50="","",IF(AND(ABS(DX50)&lt;=0.25,$E50="Bottom",DM50="LL"),"EQL",IF(AND(ABS(DX50)&lt;=0.25,$E50="Peak",DM50="HH"),"EQH","")))</f>
        <v/>
      </c>
      <c r="EJ50" s="15" t="str">
        <f>IF(DY50="","",IF(AND(ABS(DY50)&lt;=0.25,$E50="Bottom",DN50="LL"),"EQL",IF(AND(ABS(DY50)&lt;=0.25,$E50="Peak",DN50="HH"),"EQH","")))</f>
        <v/>
      </c>
      <c r="EK50" s="15" t="str">
        <f>IF(DZ50="","",IF(AND(ABS(DZ50)&lt;=0.25,$E50="Bottom",DO50="LL"),"EQL",IF(AND(ABS(DZ50)&lt;=0.25,$E50="Peak",DO50="HH"),"EQH","")))</f>
        <v/>
      </c>
      <c r="EL50" s="15" t="str">
        <f>IF(EA50="","",IF(AND(ABS(EA50)&lt;=0.25,$E50="Bottom",DP50="LL"),"EQL",IF(AND(ABS(EA50)&lt;=0.25,$E50="Peak",DP50="HH"),"EQH","")))</f>
        <v/>
      </c>
      <c r="EM50" s="15" t="str">
        <f>IF(EB50="","",IF(AND(ABS(EB50)&lt;=0.25,$E50="Bottom",DQ50="LL"),"EQL",IF(AND(ABS(EB50)&lt;=0.25,$E50="Peak",DQ50="HH"),"EQH","")))</f>
        <v/>
      </c>
      <c r="EN50" s="15" t="str">
        <f>IF(EC50="","",IF(AND(ABS(EC50)&lt;=0.25,$E50="Bottom",DR50="LL"),"EQL",IF(AND(ABS(EC50)&lt;=0.25,$E50="Peak",DR50="HH"),"EQH","")))</f>
        <v/>
      </c>
      <c r="EO50" s="15" t="str">
        <f>IF(ED50="","",IF(AND(ABS(ED50)&lt;=0.25,$E50="Bottom",DS50="LL"),"EQL",IF(AND(ABS(ED50)&lt;=0.25,$E50="Peak",DS50="HH"),"EQH","")))</f>
        <v/>
      </c>
      <c r="EP50" s="15" t="str">
        <f>IF(EE50="","",IF(AND(ABS(EE50)&lt;=0.25,$E50="Bottom",DT50="LL"),"EQL",IF(AND(ABS(EE50)&lt;=0.25,$E50="Peak",DT50="HH"),"EQH","")))</f>
        <v/>
      </c>
      <c r="EQ50" s="15" t="str">
        <f>IF(EF50="","",IF(AND(ABS(EF50)&lt;=0.25,$E50="Bottom",DU50="LL"),"EQL",IF(AND(ABS(EF50)&lt;=0.25,$E50="Peak",DU50="HH"),"EQH","")))</f>
        <v/>
      </c>
      <c r="ER50" s="15" t="str">
        <f>IF(OR(EG50="EQL",EG50="EQH"),F50,"")</f>
        <v/>
      </c>
      <c r="ES50" s="15" t="str">
        <f>IF(OR(EH50="EQL",EH50="EQH"),G50,"")</f>
        <v/>
      </c>
      <c r="ET50" s="15" t="str">
        <f>IF(OR(EI50="EQL",EI50="EQH"),H50,"")</f>
        <v/>
      </c>
      <c r="EU50" s="15" t="str">
        <f>IF(OR(EJ50="EQL",EJ50="EQH"),I50,"")</f>
        <v/>
      </c>
      <c r="EV50" s="15" t="str">
        <f>IF(OR(EK50="EQL",EK50="EQH"),J50,"")</f>
        <v/>
      </c>
      <c r="EW50" s="15" t="str">
        <f>IF(OR(EL50="EQL",EL50="EQH"),K50,"")</f>
        <v/>
      </c>
      <c r="EX50" s="15" t="str">
        <f>IF(OR(EM50="EQL",EM50="EQH"),L50,"")</f>
        <v/>
      </c>
      <c r="EY50" s="15" t="str">
        <f>IF(OR(EN50="EQL",EN50="EQH"),M50,"")</f>
        <v/>
      </c>
      <c r="EZ50" s="15" t="str">
        <f>IF(OR(EO50="EQL",EO50="EQH"),N50,"")</f>
        <v/>
      </c>
      <c r="FA50" s="15" t="str">
        <f>IF(OR(EP50="EQL",EP50="EQH"),O50,"")</f>
        <v/>
      </c>
      <c r="FB50" s="15" t="str">
        <f>IF(OR(EQ50="EQL",EQ50="EQH"),P50,"")</f>
        <v/>
      </c>
      <c r="FC50" s="15" t="str">
        <f>IF(AND(EG50="EQL",OR(AQ50=4,AQ50=5)),"IEQL",IF(AND(EG50="EQH",OR(AQ50=1,AQ50=2)),"IEQH",""))</f>
        <v/>
      </c>
      <c r="FD50" s="15" t="str">
        <f>IF(AND(EH50="EQL",OR(AR50=4,AR50=5)),"IEQL",IF(AND(EH50="EQH",OR(AR50=1,AR50=2)),"IEQH",""))</f>
        <v/>
      </c>
      <c r="FE50" s="15" t="str">
        <f>IF(AND(EI50="EQL",OR(AS50=4,AS50=5)),"IEQL",IF(AND(EI50="EQH",OR(AS50=1,AS50=2)),"IEQH",""))</f>
        <v/>
      </c>
      <c r="FF50" s="15" t="str">
        <f>IF(AND(EJ50="EQL",OR(AT50=4,AT50=5)),"IEQL",IF(AND(EJ50="EQH",OR(AT50=1,AT50=2)),"IEQH",""))</f>
        <v/>
      </c>
      <c r="FG50" s="15" t="str">
        <f>IF(AND(EK50="EQL",OR(AU50=4,AU50=5)),"IEQL",IF(AND(EK50="EQH",OR(AU50=1,AU50=2)),"IEQH",""))</f>
        <v/>
      </c>
      <c r="FH50" s="15" t="str">
        <f>IF(AND(EL50="EQL",OR(AV50=4,AV50=5)),"IEQL",IF(AND(EL50="EQH",OR(AV50=1,AV50=2)),"IEQH",""))</f>
        <v/>
      </c>
      <c r="FI50" s="15" t="str">
        <f>IF(AND(EM50="EQL",OR(AW50=4,AW50=5)),"IEQL",IF(AND(EM50="EQH",OR(AW50=1,AW50=2)),"IEQH",""))</f>
        <v/>
      </c>
      <c r="FJ50" s="15" t="str">
        <f>IF(AND(EN50="EQL",OR(AX50=4,AX50=5)),"IEQL",IF(AND(EN50="EQH",OR(AX50=1,AX50=2)),"IEQH",""))</f>
        <v/>
      </c>
      <c r="FK50" s="15" t="str">
        <f>IF(AND(EO50="EQL",OR(AY50=4,AY50=5)),"IEQL",IF(AND(EO50="EQH",OR(AY50=1,AY50=2)),"IEQH",""))</f>
        <v/>
      </c>
      <c r="FL50" s="15" t="str">
        <f>IF(AND(EP50="EQL",OR(AZ50=4,AZ50=5)),"IEQL",IF(AND(EP50="EQH",OR(AZ50=1,AZ50=2)),"IEQH",""))</f>
        <v/>
      </c>
      <c r="FM50" s="15" t="str">
        <f>IF(AND(EQ50="EQL",OR(BA50=4,BA50=5)),"IEQL",IF(AND(EQ50="EQH",OR(BA50=1,BA50=2)),"IEQH",""))</f>
        <v/>
      </c>
      <c r="FN50" s="15" t="str">
        <f>IF(OR(AND(DJ50="LL",AP50=5),AND(DJ50="HH",AP50=2)),F50,"")</f>
        <v/>
      </c>
      <c r="FO50" s="15" t="str">
        <f>IF(FN50&lt;&gt;"",F49,"")</f>
        <v/>
      </c>
    </row>
    <row r="51" spans="1:171" s="15" customFormat="1" x14ac:dyDescent="0.55000000000000004">
      <c r="A51" s="15">
        <v>1775485806</v>
      </c>
      <c r="B51" s="15" t="s">
        <v>16</v>
      </c>
      <c r="C51" s="15" t="s">
        <v>17</v>
      </c>
      <c r="D51" s="15">
        <v>4684.6499999999996</v>
      </c>
      <c r="E51" s="15" t="s">
        <v>20</v>
      </c>
      <c r="F51" s="15">
        <v>4697.83</v>
      </c>
      <c r="G51" s="15">
        <f t="shared" si="110"/>
        <v>4706.47</v>
      </c>
      <c r="H51" s="15">
        <f t="shared" si="120"/>
        <v>4699.1499999999996</v>
      </c>
      <c r="I51" s="15">
        <f t="shared" si="130"/>
        <v>4800.45</v>
      </c>
      <c r="J51" s="15">
        <f t="shared" si="140"/>
        <v>4793.1400000000003</v>
      </c>
      <c r="K51" s="15">
        <f t="shared" si="150"/>
        <v>4724.3999999999996</v>
      </c>
      <c r="L51" s="15">
        <f t="shared" si="160"/>
        <v>4581.6400000000003</v>
      </c>
      <c r="M51" s="15">
        <f t="shared" si="170"/>
        <v>4619.84</v>
      </c>
      <c r="N51" s="15">
        <f t="shared" si="180"/>
        <v>4528.66</v>
      </c>
      <c r="O51" s="15">
        <f t="shared" si="80"/>
        <v>4523.8500000000004</v>
      </c>
      <c r="P51" s="15">
        <f t="shared" si="90"/>
        <v>4580.59</v>
      </c>
      <c r="Q51" s="15">
        <f t="shared" si="100"/>
        <v>4555</v>
      </c>
      <c r="R51" s="15">
        <v>38.25</v>
      </c>
      <c r="S51" s="15">
        <f t="shared" si="111"/>
        <v>105.42</v>
      </c>
      <c r="T51" s="15">
        <f t="shared" si="121"/>
        <v>145.19999999999999</v>
      </c>
      <c r="U51" s="15">
        <f t="shared" si="131"/>
        <v>58.25</v>
      </c>
      <c r="V51" s="15">
        <f t="shared" si="141"/>
        <v>126.18</v>
      </c>
      <c r="W51" s="15">
        <f t="shared" si="151"/>
        <v>194.56</v>
      </c>
      <c r="X51" s="15">
        <f t="shared" si="161"/>
        <v>33.380000000000003</v>
      </c>
      <c r="Y51" s="15">
        <f t="shared" si="171"/>
        <v>137.15</v>
      </c>
      <c r="Z51" s="15">
        <f t="shared" si="181"/>
        <v>35.83</v>
      </c>
      <c r="AA51" s="15">
        <f t="shared" si="81"/>
        <v>30.71</v>
      </c>
      <c r="AB51" s="15">
        <f t="shared" si="91"/>
        <v>160.32</v>
      </c>
      <c r="AC51" s="15">
        <f t="shared" si="101"/>
        <v>150.68</v>
      </c>
      <c r="AD51" s="15">
        <v>0.82</v>
      </c>
      <c r="AE51" s="15">
        <f t="shared" si="112"/>
        <v>2.29</v>
      </c>
      <c r="AF51" s="15">
        <f t="shared" si="122"/>
        <v>3.19</v>
      </c>
      <c r="AG51" s="15">
        <f t="shared" si="132"/>
        <v>1.23</v>
      </c>
      <c r="AH51" s="15">
        <f t="shared" si="142"/>
        <v>2.7</v>
      </c>
      <c r="AI51" s="15">
        <f t="shared" si="152"/>
        <v>4.3</v>
      </c>
      <c r="AJ51" s="15">
        <f t="shared" si="162"/>
        <v>0.73</v>
      </c>
      <c r="AK51" s="15">
        <f t="shared" si="172"/>
        <v>3.06</v>
      </c>
      <c r="AL51" s="15">
        <f t="shared" si="182"/>
        <v>0.8</v>
      </c>
      <c r="AM51" s="15">
        <f t="shared" si="82"/>
        <v>0.68</v>
      </c>
      <c r="AN51" s="15">
        <f t="shared" si="92"/>
        <v>3.63</v>
      </c>
      <c r="AO51" s="15">
        <f t="shared" si="102"/>
        <v>3.42</v>
      </c>
      <c r="AP51" s="15">
        <v>0</v>
      </c>
      <c r="AQ51" s="15">
        <f t="shared" si="113"/>
        <v>0</v>
      </c>
      <c r="AR51" s="15">
        <f t="shared" si="123"/>
        <v>0</v>
      </c>
      <c r="AS51" s="15">
        <f t="shared" si="133"/>
        <v>0</v>
      </c>
      <c r="AT51" s="15">
        <f t="shared" si="143"/>
        <v>0</v>
      </c>
      <c r="AU51" s="15">
        <f t="shared" si="153"/>
        <v>0</v>
      </c>
      <c r="AV51" s="15">
        <f t="shared" si="163"/>
        <v>0</v>
      </c>
      <c r="AW51" s="15">
        <f t="shared" si="173"/>
        <v>0</v>
      </c>
      <c r="AX51" s="15">
        <f t="shared" si="183"/>
        <v>0</v>
      </c>
      <c r="AY51" s="15">
        <f t="shared" si="83"/>
        <v>0</v>
      </c>
      <c r="AZ51" s="15">
        <f t="shared" si="93"/>
        <v>0</v>
      </c>
      <c r="BA51" s="15">
        <f t="shared" si="103"/>
        <v>0</v>
      </c>
      <c r="BB51" s="15">
        <v>9</v>
      </c>
      <c r="BC51" s="15">
        <f t="shared" si="114"/>
        <v>37</v>
      </c>
      <c r="BD51" s="15">
        <f t="shared" si="124"/>
        <v>34</v>
      </c>
      <c r="BE51" s="15">
        <f t="shared" si="134"/>
        <v>16</v>
      </c>
      <c r="BF51" s="15">
        <f t="shared" si="144"/>
        <v>51</v>
      </c>
      <c r="BG51" s="15">
        <f t="shared" si="154"/>
        <v>54</v>
      </c>
      <c r="BH51" s="15">
        <f t="shared" si="164"/>
        <v>3</v>
      </c>
      <c r="BI51" s="15">
        <f t="shared" si="174"/>
        <v>6</v>
      </c>
      <c r="BJ51" s="15">
        <f t="shared" si="184"/>
        <v>4</v>
      </c>
      <c r="BK51" s="15">
        <f t="shared" si="84"/>
        <v>7</v>
      </c>
      <c r="BL51" s="15">
        <f t="shared" si="94"/>
        <v>47</v>
      </c>
      <c r="BM51" s="15">
        <f t="shared" si="104"/>
        <v>17</v>
      </c>
      <c r="BN51" s="15">
        <v>0</v>
      </c>
      <c r="BO51" s="15">
        <f t="shared" si="115"/>
        <v>0</v>
      </c>
      <c r="BP51" s="15">
        <f t="shared" si="125"/>
        <v>0</v>
      </c>
      <c r="BQ51" s="15">
        <f t="shared" si="135"/>
        <v>0</v>
      </c>
      <c r="BR51" s="15">
        <f t="shared" si="145"/>
        <v>1</v>
      </c>
      <c r="BS51" s="15">
        <f t="shared" si="155"/>
        <v>2</v>
      </c>
      <c r="BT51" s="15">
        <f t="shared" si="165"/>
        <v>0</v>
      </c>
      <c r="BU51" s="15">
        <f t="shared" si="175"/>
        <v>0</v>
      </c>
      <c r="BV51" s="15">
        <f t="shared" si="185"/>
        <v>0</v>
      </c>
      <c r="BW51" s="15">
        <f t="shared" si="85"/>
        <v>0</v>
      </c>
      <c r="BX51" s="15">
        <f t="shared" si="95"/>
        <v>2</v>
      </c>
      <c r="BY51" s="15">
        <f t="shared" si="105"/>
        <v>0</v>
      </c>
      <c r="BZ51" s="15">
        <v>4.25</v>
      </c>
      <c r="CA51" s="15">
        <f t="shared" si="116"/>
        <v>2.8491900000000001</v>
      </c>
      <c r="CB51" s="15">
        <f t="shared" si="126"/>
        <v>4.2705900000000003</v>
      </c>
      <c r="CC51" s="15">
        <f t="shared" si="136"/>
        <v>3.6406200000000002</v>
      </c>
      <c r="CD51" s="15">
        <f t="shared" si="146"/>
        <v>2.4741200000000001</v>
      </c>
      <c r="CE51" s="15">
        <f t="shared" si="156"/>
        <v>3.6029599999999999</v>
      </c>
      <c r="CF51" s="15">
        <f t="shared" si="166"/>
        <v>11.126670000000001</v>
      </c>
      <c r="CG51" s="15">
        <f t="shared" si="176"/>
        <v>22.858329999999999</v>
      </c>
      <c r="CH51" s="15">
        <f t="shared" si="186"/>
        <v>8.9574999999999996</v>
      </c>
      <c r="CI51" s="15">
        <f t="shared" si="86"/>
        <v>4.3871399999999996</v>
      </c>
      <c r="CJ51" s="15">
        <f t="shared" si="96"/>
        <v>3.41106</v>
      </c>
      <c r="CK51" s="15">
        <f t="shared" si="106"/>
        <v>8.8635300000000008</v>
      </c>
      <c r="CL51" s="15">
        <v>0</v>
      </c>
      <c r="CM51" s="15">
        <f t="shared" si="117"/>
        <v>0</v>
      </c>
      <c r="CN51" s="15">
        <f t="shared" si="127"/>
        <v>0</v>
      </c>
      <c r="CO51" s="15">
        <f t="shared" si="137"/>
        <v>0</v>
      </c>
      <c r="CP51" s="15">
        <f t="shared" si="147"/>
        <v>0</v>
      </c>
      <c r="CQ51" s="15">
        <f t="shared" si="157"/>
        <v>0</v>
      </c>
      <c r="CR51" s="15">
        <f t="shared" si="167"/>
        <v>0</v>
      </c>
      <c r="CS51" s="15">
        <f t="shared" si="177"/>
        <v>1</v>
      </c>
      <c r="CT51" s="15">
        <f t="shared" si="187"/>
        <v>0</v>
      </c>
      <c r="CU51" s="15">
        <f t="shared" si="87"/>
        <v>0</v>
      </c>
      <c r="CV51" s="15">
        <f t="shared" si="97"/>
        <v>0</v>
      </c>
      <c r="CW51" s="15">
        <f t="shared" si="107"/>
        <v>0</v>
      </c>
      <c r="CX51" s="15">
        <v>76.759500000000003</v>
      </c>
      <c r="CY51" s="15">
        <f t="shared" si="118"/>
        <v>70.6601</v>
      </c>
      <c r="CZ51" s="15">
        <f t="shared" si="128"/>
        <v>76.821100000000001</v>
      </c>
      <c r="DA51" s="15">
        <f t="shared" si="138"/>
        <v>74.640900000000002</v>
      </c>
      <c r="DB51" s="15">
        <f t="shared" si="148"/>
        <v>67.992199999999997</v>
      </c>
      <c r="DC51" s="15">
        <f t="shared" si="158"/>
        <v>74.488</v>
      </c>
      <c r="DD51" s="15">
        <f t="shared" si="168"/>
        <v>84.864400000000003</v>
      </c>
      <c r="DE51" s="15">
        <f t="shared" si="178"/>
        <v>87.495000000000005</v>
      </c>
      <c r="DF51" s="15">
        <f t="shared" si="188"/>
        <v>83.63</v>
      </c>
      <c r="DG51" s="15">
        <f t="shared" si="88"/>
        <v>77.159499999999994</v>
      </c>
      <c r="DH51" s="15">
        <f t="shared" si="98"/>
        <v>73.660799999999995</v>
      </c>
      <c r="DI51" s="15">
        <f t="shared" si="108"/>
        <v>83.563000000000002</v>
      </c>
      <c r="DJ51" s="15" t="s">
        <v>21</v>
      </c>
      <c r="DK51" s="15" t="str">
        <f t="shared" si="119"/>
        <v>HH</v>
      </c>
      <c r="DL51" s="15" t="str">
        <f t="shared" si="129"/>
        <v>LH</v>
      </c>
      <c r="DM51" s="15" t="str">
        <f t="shared" si="139"/>
        <v>HH</v>
      </c>
      <c r="DN51" s="15" t="str">
        <f t="shared" si="149"/>
        <v>HH</v>
      </c>
      <c r="DO51" s="15" t="str">
        <f t="shared" si="159"/>
        <v>HH</v>
      </c>
      <c r="DP51" s="15" t="str">
        <f t="shared" si="169"/>
        <v>LH</v>
      </c>
      <c r="DQ51" s="15" t="str">
        <f t="shared" si="179"/>
        <v>HH</v>
      </c>
      <c r="DR51" s="15" t="str">
        <f t="shared" si="189"/>
        <v>HH</v>
      </c>
      <c r="DS51" s="15" t="str">
        <f t="shared" si="89"/>
        <v>LH</v>
      </c>
      <c r="DT51" s="15" t="str">
        <f t="shared" si="99"/>
        <v>HH</v>
      </c>
      <c r="DU51" s="15" t="str">
        <f t="shared" si="109"/>
        <v>HH</v>
      </c>
      <c r="DV51" s="15">
        <f>IFERROR((G51-$F51)/$F51*100,"")</f>
        <v>0.18391470104282887</v>
      </c>
      <c r="DW51" s="15">
        <f>IFERROR((H51-$F51)/$F51*100,"")</f>
        <v>2.8098079325980487E-2</v>
      </c>
      <c r="DX51" s="15">
        <f>IFERROR((I51-$F51)/$F51*100,"")</f>
        <v>2.184412803358144</v>
      </c>
      <c r="DY51" s="15">
        <f>IFERROR((J51-$F51)/$F51*100,"")</f>
        <v>2.0288090458786376</v>
      </c>
      <c r="DZ51" s="15">
        <f>IFERROR((K51-$F51)/$F51*100,"")</f>
        <v>0.56558027855413473</v>
      </c>
      <c r="EA51" s="15">
        <f>IFERROR((L51-$F51)/$F51*100,"")</f>
        <v>-2.4732695733987735</v>
      </c>
      <c r="EB51" s="15">
        <f>IFERROR((M51-$F51)/$F51*100,"")</f>
        <v>-1.6601281868437081</v>
      </c>
      <c r="EC51" s="15">
        <f>IFERROR((N51-$F51)/$F51*100,"")</f>
        <v>-3.6010243027099764</v>
      </c>
      <c r="ED51" s="15">
        <f>IFERROR((O51-$F51)/$F51*100,"")</f>
        <v>-3.7034120008599625</v>
      </c>
      <c r="EE51" s="15">
        <f>IFERROR((P51-$F51)/$F51*100,"")</f>
        <v>-2.4956203183171759</v>
      </c>
      <c r="EF51" s="15">
        <f>IFERROR((Q51-$F51)/$F51*100,"")</f>
        <v>-3.0403399016141481</v>
      </c>
      <c r="EG51" s="15" t="str">
        <f>IF(DV51="","",IF(AND(ABS(DV51)&lt;=0.25,$E51="Bottom",DK51="LL"),"EQL",IF(AND(ABS(DV51)&lt;=0.25,$E51="Peak",DK51="HH"),"EQH","")))</f>
        <v>EQH</v>
      </c>
      <c r="EH51" s="15" t="str">
        <f>IF(DW51="","",IF(AND(ABS(DW51)&lt;=0.25,$E51="Bottom",DL51="LL"),"EQL",IF(AND(ABS(DW51)&lt;=0.25,$E51="Peak",DL51="HH"),"EQH","")))</f>
        <v/>
      </c>
      <c r="EI51" s="15" t="str">
        <f>IF(DX51="","",IF(AND(ABS(DX51)&lt;=0.25,$E51="Bottom",DM51="LL"),"EQL",IF(AND(ABS(DX51)&lt;=0.25,$E51="Peak",DM51="HH"),"EQH","")))</f>
        <v/>
      </c>
      <c r="EJ51" s="15" t="str">
        <f>IF(DY51="","",IF(AND(ABS(DY51)&lt;=0.25,$E51="Bottom",DN51="LL"),"EQL",IF(AND(ABS(DY51)&lt;=0.25,$E51="Peak",DN51="HH"),"EQH","")))</f>
        <v/>
      </c>
      <c r="EK51" s="15" t="str">
        <f>IF(DZ51="","",IF(AND(ABS(DZ51)&lt;=0.25,$E51="Bottom",DO51="LL"),"EQL",IF(AND(ABS(DZ51)&lt;=0.25,$E51="Peak",DO51="HH"),"EQH","")))</f>
        <v/>
      </c>
      <c r="EL51" s="15" t="str">
        <f>IF(EA51="","",IF(AND(ABS(EA51)&lt;=0.25,$E51="Bottom",DP51="LL"),"EQL",IF(AND(ABS(EA51)&lt;=0.25,$E51="Peak",DP51="HH"),"EQH","")))</f>
        <v/>
      </c>
      <c r="EM51" s="15" t="str">
        <f>IF(EB51="","",IF(AND(ABS(EB51)&lt;=0.25,$E51="Bottom",DQ51="LL"),"EQL",IF(AND(ABS(EB51)&lt;=0.25,$E51="Peak",DQ51="HH"),"EQH","")))</f>
        <v/>
      </c>
      <c r="EN51" s="15" t="str">
        <f>IF(EC51="","",IF(AND(ABS(EC51)&lt;=0.25,$E51="Bottom",DR51="LL"),"EQL",IF(AND(ABS(EC51)&lt;=0.25,$E51="Peak",DR51="HH"),"EQH","")))</f>
        <v/>
      </c>
      <c r="EO51" s="15" t="str">
        <f>IF(ED51="","",IF(AND(ABS(ED51)&lt;=0.25,$E51="Bottom",DS51="LL"),"EQL",IF(AND(ABS(ED51)&lt;=0.25,$E51="Peak",DS51="HH"),"EQH","")))</f>
        <v/>
      </c>
      <c r="EP51" s="15" t="str">
        <f>IF(EE51="","",IF(AND(ABS(EE51)&lt;=0.25,$E51="Bottom",DT51="LL"),"EQL",IF(AND(ABS(EE51)&lt;=0.25,$E51="Peak",DT51="HH"),"EQH","")))</f>
        <v/>
      </c>
      <c r="EQ51" s="15" t="str">
        <f>IF(EF51="","",IF(AND(ABS(EF51)&lt;=0.25,$E51="Bottom",DU51="LL"),"EQL",IF(AND(ABS(EF51)&lt;=0.25,$E51="Peak",DU51="HH"),"EQH","")))</f>
        <v/>
      </c>
      <c r="ER51" s="15">
        <f>IF(OR(EG51="EQL",EG51="EQH"),F51,"")</f>
        <v>4697.83</v>
      </c>
      <c r="ES51" s="15" t="str">
        <f>IF(OR(EH51="EQL",EH51="EQH"),G51,"")</f>
        <v/>
      </c>
      <c r="ET51" s="15" t="str">
        <f>IF(OR(EI51="EQL",EI51="EQH"),H51,"")</f>
        <v/>
      </c>
      <c r="EU51" s="15" t="str">
        <f>IF(OR(EJ51="EQL",EJ51="EQH"),I51,"")</f>
        <v/>
      </c>
      <c r="EV51" s="15" t="str">
        <f>IF(OR(EK51="EQL",EK51="EQH"),J51,"")</f>
        <v/>
      </c>
      <c r="EW51" s="15" t="str">
        <f>IF(OR(EL51="EQL",EL51="EQH"),K51,"")</f>
        <v/>
      </c>
      <c r="EX51" s="15" t="str">
        <f>IF(OR(EM51="EQL",EM51="EQH"),L51,"")</f>
        <v/>
      </c>
      <c r="EY51" s="15" t="str">
        <f>IF(OR(EN51="EQL",EN51="EQH"),M51,"")</f>
        <v/>
      </c>
      <c r="EZ51" s="15" t="str">
        <f>IF(OR(EO51="EQL",EO51="EQH"),N51,"")</f>
        <v/>
      </c>
      <c r="FA51" s="15" t="str">
        <f>IF(OR(EP51="EQL",EP51="EQH"),O51,"")</f>
        <v/>
      </c>
      <c r="FB51" s="15" t="str">
        <f>IF(OR(EQ51="EQL",EQ51="EQH"),P51,"")</f>
        <v/>
      </c>
      <c r="FC51" s="15" t="str">
        <f>IF(AND(EG51="EQL",OR(AQ51=4,AQ51=5)),"IEQL",IF(AND(EG51="EQH",OR(AQ51=1,AQ51=2)),"IEQH",""))</f>
        <v/>
      </c>
      <c r="FD51" s="15" t="str">
        <f>IF(AND(EH51="EQL",OR(AR51=4,AR51=5)),"IEQL",IF(AND(EH51="EQH",OR(AR51=1,AR51=2)),"IEQH",""))</f>
        <v/>
      </c>
      <c r="FE51" s="15" t="str">
        <f>IF(AND(EI51="EQL",OR(AS51=4,AS51=5)),"IEQL",IF(AND(EI51="EQH",OR(AS51=1,AS51=2)),"IEQH",""))</f>
        <v/>
      </c>
      <c r="FF51" s="15" t="str">
        <f>IF(AND(EJ51="EQL",OR(AT51=4,AT51=5)),"IEQL",IF(AND(EJ51="EQH",OR(AT51=1,AT51=2)),"IEQH",""))</f>
        <v/>
      </c>
      <c r="FG51" s="15" t="str">
        <f>IF(AND(EK51="EQL",OR(AU51=4,AU51=5)),"IEQL",IF(AND(EK51="EQH",OR(AU51=1,AU51=2)),"IEQH",""))</f>
        <v/>
      </c>
      <c r="FH51" s="15" t="str">
        <f>IF(AND(EL51="EQL",OR(AV51=4,AV51=5)),"IEQL",IF(AND(EL51="EQH",OR(AV51=1,AV51=2)),"IEQH",""))</f>
        <v/>
      </c>
      <c r="FI51" s="15" t="str">
        <f>IF(AND(EM51="EQL",OR(AW51=4,AW51=5)),"IEQL",IF(AND(EM51="EQH",OR(AW51=1,AW51=2)),"IEQH",""))</f>
        <v/>
      </c>
      <c r="FJ51" s="15" t="str">
        <f>IF(AND(EN51="EQL",OR(AX51=4,AX51=5)),"IEQL",IF(AND(EN51="EQH",OR(AX51=1,AX51=2)),"IEQH",""))</f>
        <v/>
      </c>
      <c r="FK51" s="15" t="str">
        <f>IF(AND(EO51="EQL",OR(AY51=4,AY51=5)),"IEQL",IF(AND(EO51="EQH",OR(AY51=1,AY51=2)),"IEQH",""))</f>
        <v/>
      </c>
      <c r="FL51" s="15" t="str">
        <f>IF(AND(EP51="EQL",OR(AZ51=4,AZ51=5)),"IEQL",IF(AND(EP51="EQH",OR(AZ51=1,AZ51=2)),"IEQH",""))</f>
        <v/>
      </c>
      <c r="FM51" s="15" t="str">
        <f>IF(AND(EQ51="EQL",OR(BA51=4,BA51=5)),"IEQL",IF(AND(EQ51="EQH",OR(BA51=1,BA51=2)),"IEQH",""))</f>
        <v/>
      </c>
      <c r="FN51" s="15" t="str">
        <f>IF(OR(AND(DJ51="LL",AP51=5),AND(DJ51="HH",AP51=2)),F51,"")</f>
        <v/>
      </c>
      <c r="FO51" s="15" t="str">
        <f>IF(FN51&lt;&gt;"",F50,"")</f>
        <v/>
      </c>
    </row>
    <row r="52" spans="1:171" s="15" customFormat="1" x14ac:dyDescent="0.55000000000000004">
      <c r="A52" s="15">
        <v>1775502906</v>
      </c>
      <c r="B52" s="15" t="s">
        <v>16</v>
      </c>
      <c r="C52" s="15" t="s">
        <v>17</v>
      </c>
      <c r="D52" s="15">
        <v>4650.38</v>
      </c>
      <c r="E52" s="15" t="s">
        <v>18</v>
      </c>
      <c r="F52" s="15">
        <v>4645.75</v>
      </c>
      <c r="G52" s="15">
        <f t="shared" si="110"/>
        <v>4659.58</v>
      </c>
      <c r="H52" s="15">
        <f t="shared" si="120"/>
        <v>4601.05</v>
      </c>
      <c r="I52" s="15">
        <f t="shared" si="130"/>
        <v>4553.95</v>
      </c>
      <c r="J52" s="15">
        <f t="shared" si="140"/>
        <v>4742.2</v>
      </c>
      <c r="K52" s="15">
        <f t="shared" si="150"/>
        <v>4666.96</v>
      </c>
      <c r="L52" s="15">
        <f t="shared" si="160"/>
        <v>4529.84</v>
      </c>
      <c r="M52" s="15">
        <f t="shared" si="170"/>
        <v>4548.26</v>
      </c>
      <c r="N52" s="15">
        <f t="shared" si="180"/>
        <v>4482.6899999999996</v>
      </c>
      <c r="O52" s="15">
        <f t="shared" ref="O52:O83" si="190">F34</f>
        <v>4492.83</v>
      </c>
      <c r="P52" s="15">
        <f t="shared" si="90"/>
        <v>4493.1400000000003</v>
      </c>
      <c r="Q52" s="15">
        <f t="shared" si="100"/>
        <v>4420.2700000000004</v>
      </c>
      <c r="R52" s="15">
        <v>-52.08</v>
      </c>
      <c r="S52" s="15">
        <f t="shared" si="111"/>
        <v>-46.89</v>
      </c>
      <c r="T52" s="15">
        <f t="shared" si="121"/>
        <v>-98.1</v>
      </c>
      <c r="U52" s="15">
        <f t="shared" si="131"/>
        <v>-246.5</v>
      </c>
      <c r="V52" s="15">
        <f t="shared" si="141"/>
        <v>-50.94</v>
      </c>
      <c r="W52" s="15">
        <f t="shared" si="151"/>
        <v>-57.44</v>
      </c>
      <c r="X52" s="15">
        <f t="shared" si="161"/>
        <v>-51.8</v>
      </c>
      <c r="Y52" s="15">
        <f t="shared" si="171"/>
        <v>-71.58</v>
      </c>
      <c r="Z52" s="15">
        <f t="shared" si="181"/>
        <v>-45.97</v>
      </c>
      <c r="AA52" s="15">
        <f t="shared" ref="AA52:AA83" si="191">R34</f>
        <v>-31.02</v>
      </c>
      <c r="AB52" s="15">
        <f t="shared" si="91"/>
        <v>-87.45</v>
      </c>
      <c r="AC52" s="15">
        <f t="shared" si="101"/>
        <v>-134.72999999999999</v>
      </c>
      <c r="AD52" s="15">
        <v>-1.1100000000000001</v>
      </c>
      <c r="AE52" s="15">
        <f t="shared" si="112"/>
        <v>-1</v>
      </c>
      <c r="AF52" s="15">
        <f t="shared" si="122"/>
        <v>-2.09</v>
      </c>
      <c r="AG52" s="15">
        <f t="shared" si="132"/>
        <v>-5.13</v>
      </c>
      <c r="AH52" s="15">
        <f t="shared" si="142"/>
        <v>-1.06</v>
      </c>
      <c r="AI52" s="15">
        <f t="shared" si="152"/>
        <v>-1.22</v>
      </c>
      <c r="AJ52" s="15">
        <f t="shared" si="162"/>
        <v>-1.1299999999999999</v>
      </c>
      <c r="AK52" s="15">
        <f t="shared" si="172"/>
        <v>-1.55</v>
      </c>
      <c r="AL52" s="15">
        <f t="shared" si="182"/>
        <v>-1.02</v>
      </c>
      <c r="AM52" s="15">
        <f t="shared" ref="AM52:AM83" si="192">AD34</f>
        <v>-0.69</v>
      </c>
      <c r="AN52" s="15">
        <f t="shared" si="92"/>
        <v>-1.91</v>
      </c>
      <c r="AO52" s="15">
        <f t="shared" si="102"/>
        <v>-2.96</v>
      </c>
      <c r="AP52" s="15">
        <v>3</v>
      </c>
      <c r="AQ52" s="15">
        <f t="shared" si="113"/>
        <v>3</v>
      </c>
      <c r="AR52" s="15">
        <f t="shared" si="123"/>
        <v>3</v>
      </c>
      <c r="AS52" s="15">
        <f t="shared" si="133"/>
        <v>3</v>
      </c>
      <c r="AT52" s="15">
        <f t="shared" si="143"/>
        <v>3</v>
      </c>
      <c r="AU52" s="15">
        <f t="shared" si="153"/>
        <v>3</v>
      </c>
      <c r="AV52" s="15">
        <f t="shared" si="163"/>
        <v>3</v>
      </c>
      <c r="AW52" s="15">
        <f t="shared" si="173"/>
        <v>3</v>
      </c>
      <c r="AX52" s="15">
        <f t="shared" si="183"/>
        <v>3</v>
      </c>
      <c r="AY52" s="15">
        <f t="shared" ref="AY52:AY83" si="193">AP34</f>
        <v>3</v>
      </c>
      <c r="AZ52" s="15">
        <f t="shared" si="93"/>
        <v>3</v>
      </c>
      <c r="BA52" s="15">
        <f t="shared" si="103"/>
        <v>3</v>
      </c>
      <c r="BB52" s="15">
        <v>19</v>
      </c>
      <c r="BC52" s="15">
        <f t="shared" si="114"/>
        <v>11</v>
      </c>
      <c r="BD52" s="15">
        <f t="shared" si="124"/>
        <v>35</v>
      </c>
      <c r="BE52" s="15">
        <f t="shared" si="134"/>
        <v>26</v>
      </c>
      <c r="BF52" s="15">
        <f t="shared" si="144"/>
        <v>6</v>
      </c>
      <c r="BG52" s="15">
        <f t="shared" si="154"/>
        <v>13</v>
      </c>
      <c r="BH52" s="15">
        <f t="shared" si="164"/>
        <v>19</v>
      </c>
      <c r="BI52" s="15">
        <f t="shared" si="174"/>
        <v>13</v>
      </c>
      <c r="BJ52" s="15">
        <f t="shared" si="184"/>
        <v>1</v>
      </c>
      <c r="BK52" s="15">
        <f t="shared" ref="BK52:BK83" si="194">BB34</f>
        <v>4</v>
      </c>
      <c r="BL52" s="15">
        <f t="shared" si="94"/>
        <v>30</v>
      </c>
      <c r="BM52" s="15">
        <f t="shared" si="104"/>
        <v>31</v>
      </c>
      <c r="BN52" s="15">
        <v>3</v>
      </c>
      <c r="BO52" s="15">
        <f t="shared" si="115"/>
        <v>3</v>
      </c>
      <c r="BP52" s="15">
        <f t="shared" si="125"/>
        <v>3</v>
      </c>
      <c r="BQ52" s="15">
        <f t="shared" si="135"/>
        <v>3</v>
      </c>
      <c r="BR52" s="15">
        <f t="shared" si="145"/>
        <v>3</v>
      </c>
      <c r="BS52" s="15">
        <f t="shared" si="155"/>
        <v>3</v>
      </c>
      <c r="BT52" s="15">
        <f t="shared" si="165"/>
        <v>3</v>
      </c>
      <c r="BU52" s="15">
        <f t="shared" si="175"/>
        <v>3</v>
      </c>
      <c r="BV52" s="15">
        <f t="shared" si="185"/>
        <v>3</v>
      </c>
      <c r="BW52" s="15">
        <f t="shared" ref="BW52:BW83" si="195">BN34</f>
        <v>3</v>
      </c>
      <c r="BX52" s="15">
        <f t="shared" si="95"/>
        <v>3</v>
      </c>
      <c r="BY52" s="15">
        <f t="shared" si="105"/>
        <v>3</v>
      </c>
      <c r="BZ52" s="15">
        <v>-2.74105</v>
      </c>
      <c r="CA52" s="15">
        <f t="shared" si="116"/>
        <v>-4.2627300000000004</v>
      </c>
      <c r="CB52" s="15">
        <f t="shared" si="126"/>
        <v>-2.8028599999999999</v>
      </c>
      <c r="CC52" s="15">
        <f t="shared" si="136"/>
        <v>-9.4807699999999997</v>
      </c>
      <c r="CD52" s="15">
        <f t="shared" si="146"/>
        <v>-8.49</v>
      </c>
      <c r="CE52" s="15">
        <f t="shared" si="156"/>
        <v>-4.4184599999999996</v>
      </c>
      <c r="CF52" s="15">
        <f t="shared" si="166"/>
        <v>-2.7263199999999999</v>
      </c>
      <c r="CG52" s="15">
        <f t="shared" si="176"/>
        <v>-5.5061499999999999</v>
      </c>
      <c r="CH52" s="15">
        <f t="shared" si="186"/>
        <v>-45.97</v>
      </c>
      <c r="CI52" s="15">
        <f t="shared" ref="CI52:CI83" si="196">BZ34</f>
        <v>-7.7549999999999999</v>
      </c>
      <c r="CJ52" s="15">
        <f t="shared" si="96"/>
        <v>-2.915</v>
      </c>
      <c r="CK52" s="15">
        <f t="shared" si="106"/>
        <v>-4.3461299999999996</v>
      </c>
      <c r="CL52" s="15">
        <v>3</v>
      </c>
      <c r="CM52" s="15">
        <f t="shared" si="117"/>
        <v>3</v>
      </c>
      <c r="CN52" s="15">
        <f t="shared" si="127"/>
        <v>3</v>
      </c>
      <c r="CO52" s="15">
        <f t="shared" si="137"/>
        <v>3</v>
      </c>
      <c r="CP52" s="15">
        <f t="shared" si="147"/>
        <v>3</v>
      </c>
      <c r="CQ52" s="15">
        <f t="shared" si="157"/>
        <v>3</v>
      </c>
      <c r="CR52" s="15">
        <f t="shared" si="167"/>
        <v>3</v>
      </c>
      <c r="CS52" s="15">
        <f t="shared" si="177"/>
        <v>3</v>
      </c>
      <c r="CT52" s="15">
        <f t="shared" si="187"/>
        <v>5</v>
      </c>
      <c r="CU52" s="15">
        <f t="shared" ref="CU52:CU83" si="197">CL34</f>
        <v>3</v>
      </c>
      <c r="CV52" s="15">
        <f t="shared" si="97"/>
        <v>3</v>
      </c>
      <c r="CW52" s="15">
        <f t="shared" si="107"/>
        <v>3</v>
      </c>
      <c r="CX52" s="15">
        <v>-69.956800000000001</v>
      </c>
      <c r="CY52" s="15">
        <f t="shared" si="118"/>
        <v>-76.797600000000003</v>
      </c>
      <c r="CZ52" s="15">
        <f t="shared" si="128"/>
        <v>-70.364699999999999</v>
      </c>
      <c r="DA52" s="15">
        <f t="shared" si="138"/>
        <v>-83.978899999999996</v>
      </c>
      <c r="DB52" s="15">
        <f t="shared" si="148"/>
        <v>-83.282300000000006</v>
      </c>
      <c r="DC52" s="15">
        <f t="shared" si="158"/>
        <v>-77.247500000000002</v>
      </c>
      <c r="DD52" s="15">
        <f t="shared" si="168"/>
        <v>-69.857200000000006</v>
      </c>
      <c r="DE52" s="15">
        <f t="shared" si="178"/>
        <v>-79.706400000000002</v>
      </c>
      <c r="DF52" s="15">
        <f t="shared" si="188"/>
        <v>-88.753799999999998</v>
      </c>
      <c r="DG52" s="15">
        <f t="shared" ref="DG52:DG83" si="198">CX34</f>
        <v>-82.652299999999997</v>
      </c>
      <c r="DH52" s="15">
        <f t="shared" si="98"/>
        <v>-71.065299999999993</v>
      </c>
      <c r="DI52" s="15">
        <f t="shared" si="108"/>
        <v>-77.042299999999997</v>
      </c>
      <c r="DJ52" s="15" t="s">
        <v>19</v>
      </c>
      <c r="DK52" s="15" t="str">
        <f t="shared" si="119"/>
        <v>HL</v>
      </c>
      <c r="DL52" s="15" t="str">
        <f t="shared" si="129"/>
        <v>HL</v>
      </c>
      <c r="DM52" s="15" t="str">
        <f t="shared" si="139"/>
        <v>LL</v>
      </c>
      <c r="DN52" s="15" t="str">
        <f t="shared" si="149"/>
        <v>HL</v>
      </c>
      <c r="DO52" s="15" t="str">
        <f t="shared" si="159"/>
        <v>HL</v>
      </c>
      <c r="DP52" s="15" t="str">
        <f t="shared" si="169"/>
        <v>LL</v>
      </c>
      <c r="DQ52" s="15" t="str">
        <f t="shared" si="179"/>
        <v>HL</v>
      </c>
      <c r="DR52" s="15" t="str">
        <f t="shared" si="189"/>
        <v>LL</v>
      </c>
      <c r="DS52" s="15" t="str">
        <f t="shared" ref="DS52:DS83" si="199">DJ34</f>
        <v>LL</v>
      </c>
      <c r="DT52" s="15" t="str">
        <f t="shared" si="99"/>
        <v>HL</v>
      </c>
      <c r="DU52" s="15" t="str">
        <f t="shared" si="109"/>
        <v>HL</v>
      </c>
      <c r="DV52" s="15">
        <f>IFERROR((G52-$F52)/$F52*100,"")</f>
        <v>0.29769143841144979</v>
      </c>
      <c r="DW52" s="15">
        <f>IFERROR((H52-$F52)/$F52*100,"")</f>
        <v>-0.96216972501748521</v>
      </c>
      <c r="DX52" s="15">
        <f>IFERROR((I52-$F52)/$F52*100,"")</f>
        <v>-1.9759995694990085</v>
      </c>
      <c r="DY52" s="15">
        <f>IFERROR((J52-$F52)/$F52*100,"")</f>
        <v>2.0760910509605512</v>
      </c>
      <c r="DZ52" s="15">
        <f>IFERROR((K52-$F52)/$F52*100,"")</f>
        <v>0.45654630576333283</v>
      </c>
      <c r="EA52" s="15">
        <f>IFERROR((L52-$F52)/$F52*100,"")</f>
        <v>-2.4949685196146985</v>
      </c>
      <c r="EB52" s="15">
        <f>IFERROR((M52-$F52)/$F52*100,"")</f>
        <v>-2.0984771027282951</v>
      </c>
      <c r="EC52" s="15">
        <f>IFERROR((N52-$F52)/$F52*100,"")</f>
        <v>-3.5098746165850598</v>
      </c>
      <c r="ED52" s="15">
        <f>IFERROR((O52-$F52)/$F52*100,"")</f>
        <v>-3.2916106118495416</v>
      </c>
      <c r="EE52" s="15">
        <f>IFERROR((P52-$F52)/$F52*100,"")</f>
        <v>-3.2849378464187633</v>
      </c>
      <c r="EF52" s="15">
        <f>IFERROR((Q52-$F52)/$F52*100,"")</f>
        <v>-4.8534682236452573</v>
      </c>
      <c r="EG52" s="15" t="str">
        <f>IF(DV52="","",IF(AND(ABS(DV52)&lt;=0.25,$E52="Bottom",DK52="LL"),"EQL",IF(AND(ABS(DV52)&lt;=0.25,$E52="Peak",DK52="HH"),"EQH","")))</f>
        <v/>
      </c>
      <c r="EH52" s="15" t="str">
        <f>IF(DW52="","",IF(AND(ABS(DW52)&lt;=0.25,$E52="Bottom",DL52="LL"),"EQL",IF(AND(ABS(DW52)&lt;=0.25,$E52="Peak",DL52="HH"),"EQH","")))</f>
        <v/>
      </c>
      <c r="EI52" s="15" t="str">
        <f>IF(DX52="","",IF(AND(ABS(DX52)&lt;=0.25,$E52="Bottom",DM52="LL"),"EQL",IF(AND(ABS(DX52)&lt;=0.25,$E52="Peak",DM52="HH"),"EQH","")))</f>
        <v/>
      </c>
      <c r="EJ52" s="15" t="str">
        <f>IF(DY52="","",IF(AND(ABS(DY52)&lt;=0.25,$E52="Bottom",DN52="LL"),"EQL",IF(AND(ABS(DY52)&lt;=0.25,$E52="Peak",DN52="HH"),"EQH","")))</f>
        <v/>
      </c>
      <c r="EK52" s="15" t="str">
        <f>IF(DZ52="","",IF(AND(ABS(DZ52)&lt;=0.25,$E52="Bottom",DO52="LL"),"EQL",IF(AND(ABS(DZ52)&lt;=0.25,$E52="Peak",DO52="HH"),"EQH","")))</f>
        <v/>
      </c>
      <c r="EL52" s="15" t="str">
        <f>IF(EA52="","",IF(AND(ABS(EA52)&lt;=0.25,$E52="Bottom",DP52="LL"),"EQL",IF(AND(ABS(EA52)&lt;=0.25,$E52="Peak",DP52="HH"),"EQH","")))</f>
        <v/>
      </c>
      <c r="EM52" s="15" t="str">
        <f>IF(EB52="","",IF(AND(ABS(EB52)&lt;=0.25,$E52="Bottom",DQ52="LL"),"EQL",IF(AND(ABS(EB52)&lt;=0.25,$E52="Peak",DQ52="HH"),"EQH","")))</f>
        <v/>
      </c>
      <c r="EN52" s="15" t="str">
        <f>IF(EC52="","",IF(AND(ABS(EC52)&lt;=0.25,$E52="Bottom",DR52="LL"),"EQL",IF(AND(ABS(EC52)&lt;=0.25,$E52="Peak",DR52="HH"),"EQH","")))</f>
        <v/>
      </c>
      <c r="EO52" s="15" t="str">
        <f>IF(ED52="","",IF(AND(ABS(ED52)&lt;=0.25,$E52="Bottom",DS52="LL"),"EQL",IF(AND(ABS(ED52)&lt;=0.25,$E52="Peak",DS52="HH"),"EQH","")))</f>
        <v/>
      </c>
      <c r="EP52" s="15" t="str">
        <f>IF(EE52="","",IF(AND(ABS(EE52)&lt;=0.25,$E52="Bottom",DT52="LL"),"EQL",IF(AND(ABS(EE52)&lt;=0.25,$E52="Peak",DT52="HH"),"EQH","")))</f>
        <v/>
      </c>
      <c r="EQ52" s="15" t="str">
        <f>IF(EF52="","",IF(AND(ABS(EF52)&lt;=0.25,$E52="Bottom",DU52="LL"),"EQL",IF(AND(ABS(EF52)&lt;=0.25,$E52="Peak",DU52="HH"),"EQH","")))</f>
        <v/>
      </c>
      <c r="ER52" s="15" t="str">
        <f>IF(OR(EG52="EQL",EG52="EQH"),F52,"")</f>
        <v/>
      </c>
      <c r="ES52" s="15" t="str">
        <f>IF(OR(EH52="EQL",EH52="EQH"),G52,"")</f>
        <v/>
      </c>
      <c r="ET52" s="15" t="str">
        <f>IF(OR(EI52="EQL",EI52="EQH"),H52,"")</f>
        <v/>
      </c>
      <c r="EU52" s="15" t="str">
        <f>IF(OR(EJ52="EQL",EJ52="EQH"),I52,"")</f>
        <v/>
      </c>
      <c r="EV52" s="15" t="str">
        <f>IF(OR(EK52="EQL",EK52="EQH"),J52,"")</f>
        <v/>
      </c>
      <c r="EW52" s="15" t="str">
        <f>IF(OR(EL52="EQL",EL52="EQH"),K52,"")</f>
        <v/>
      </c>
      <c r="EX52" s="15" t="str">
        <f>IF(OR(EM52="EQL",EM52="EQH"),L52,"")</f>
        <v/>
      </c>
      <c r="EY52" s="15" t="str">
        <f>IF(OR(EN52="EQL",EN52="EQH"),M52,"")</f>
        <v/>
      </c>
      <c r="EZ52" s="15" t="str">
        <f>IF(OR(EO52="EQL",EO52="EQH"),N52,"")</f>
        <v/>
      </c>
      <c r="FA52" s="15" t="str">
        <f>IF(OR(EP52="EQL",EP52="EQH"),O52,"")</f>
        <v/>
      </c>
      <c r="FB52" s="15" t="str">
        <f>IF(OR(EQ52="EQL",EQ52="EQH"),P52,"")</f>
        <v/>
      </c>
      <c r="FC52" s="15" t="str">
        <f>IF(AND(EG52="EQL",OR(AQ52=4,AQ52=5)),"IEQL",IF(AND(EG52="EQH",OR(AQ52=1,AQ52=2)),"IEQH",""))</f>
        <v/>
      </c>
      <c r="FD52" s="15" t="str">
        <f>IF(AND(EH52="EQL",OR(AR52=4,AR52=5)),"IEQL",IF(AND(EH52="EQH",OR(AR52=1,AR52=2)),"IEQH",""))</f>
        <v/>
      </c>
      <c r="FE52" s="15" t="str">
        <f>IF(AND(EI52="EQL",OR(AS52=4,AS52=5)),"IEQL",IF(AND(EI52="EQH",OR(AS52=1,AS52=2)),"IEQH",""))</f>
        <v/>
      </c>
      <c r="FF52" s="15" t="str">
        <f>IF(AND(EJ52="EQL",OR(AT52=4,AT52=5)),"IEQL",IF(AND(EJ52="EQH",OR(AT52=1,AT52=2)),"IEQH",""))</f>
        <v/>
      </c>
      <c r="FG52" s="15" t="str">
        <f>IF(AND(EK52="EQL",OR(AU52=4,AU52=5)),"IEQL",IF(AND(EK52="EQH",OR(AU52=1,AU52=2)),"IEQH",""))</f>
        <v/>
      </c>
      <c r="FH52" s="15" t="str">
        <f>IF(AND(EL52="EQL",OR(AV52=4,AV52=5)),"IEQL",IF(AND(EL52="EQH",OR(AV52=1,AV52=2)),"IEQH",""))</f>
        <v/>
      </c>
      <c r="FI52" s="15" t="str">
        <f>IF(AND(EM52="EQL",OR(AW52=4,AW52=5)),"IEQL",IF(AND(EM52="EQH",OR(AW52=1,AW52=2)),"IEQH",""))</f>
        <v/>
      </c>
      <c r="FJ52" s="15" t="str">
        <f>IF(AND(EN52="EQL",OR(AX52=4,AX52=5)),"IEQL",IF(AND(EN52="EQH",OR(AX52=1,AX52=2)),"IEQH",""))</f>
        <v/>
      </c>
      <c r="FK52" s="15" t="str">
        <f>IF(AND(EO52="EQL",OR(AY52=4,AY52=5)),"IEQL",IF(AND(EO52="EQH",OR(AY52=1,AY52=2)),"IEQH",""))</f>
        <v/>
      </c>
      <c r="FL52" s="15" t="str">
        <f>IF(AND(EP52="EQL",OR(AZ52=4,AZ52=5)),"IEQL",IF(AND(EP52="EQH",OR(AZ52=1,AZ52=2)),"IEQH",""))</f>
        <v/>
      </c>
      <c r="FM52" s="15" t="str">
        <f>IF(AND(EQ52="EQL",OR(BA52=4,BA52=5)),"IEQL",IF(AND(EQ52="EQH",OR(BA52=1,BA52=2)),"IEQH",""))</f>
        <v/>
      </c>
      <c r="FN52" s="15" t="str">
        <f>IF(OR(AND(DJ52="LL",AP52=5),AND(DJ52="HH",AP52=2)),F52,"")</f>
        <v/>
      </c>
      <c r="FO52" s="15" t="str">
        <f>IF(FN52&lt;&gt;"",F51,"")</f>
        <v/>
      </c>
    </row>
    <row r="53" spans="1:171" s="15" customFormat="1" x14ac:dyDescent="0.55000000000000004">
      <c r="A53" s="15">
        <v>1775512806</v>
      </c>
      <c r="B53" s="15" t="s">
        <v>16</v>
      </c>
      <c r="C53" s="15" t="s">
        <v>17</v>
      </c>
      <c r="D53" s="15">
        <v>4663.66</v>
      </c>
      <c r="E53" s="15" t="s">
        <v>20</v>
      </c>
      <c r="F53" s="15">
        <v>4667.87</v>
      </c>
      <c r="G53" s="15">
        <f t="shared" si="110"/>
        <v>4697.83</v>
      </c>
      <c r="H53" s="15">
        <f t="shared" si="120"/>
        <v>4706.47</v>
      </c>
      <c r="I53" s="15">
        <f t="shared" si="130"/>
        <v>4699.1499999999996</v>
      </c>
      <c r="J53" s="15">
        <f t="shared" si="140"/>
        <v>4800.45</v>
      </c>
      <c r="K53" s="15">
        <f t="shared" si="150"/>
        <v>4793.1400000000003</v>
      </c>
      <c r="L53" s="15">
        <f t="shared" si="160"/>
        <v>4724.3999999999996</v>
      </c>
      <c r="M53" s="15">
        <f t="shared" si="170"/>
        <v>4581.6400000000003</v>
      </c>
      <c r="N53" s="15">
        <f t="shared" si="180"/>
        <v>4619.84</v>
      </c>
      <c r="O53" s="15">
        <f t="shared" si="190"/>
        <v>4528.66</v>
      </c>
      <c r="P53" s="15">
        <f t="shared" si="90"/>
        <v>4523.8500000000004</v>
      </c>
      <c r="Q53" s="15">
        <f t="shared" si="100"/>
        <v>4580.59</v>
      </c>
      <c r="R53" s="15">
        <v>22.12</v>
      </c>
      <c r="S53" s="15">
        <f t="shared" si="111"/>
        <v>38.25</v>
      </c>
      <c r="T53" s="15">
        <f t="shared" si="121"/>
        <v>105.42</v>
      </c>
      <c r="U53" s="15">
        <f t="shared" si="131"/>
        <v>145.19999999999999</v>
      </c>
      <c r="V53" s="15">
        <f t="shared" si="141"/>
        <v>58.25</v>
      </c>
      <c r="W53" s="15">
        <f t="shared" si="151"/>
        <v>126.18</v>
      </c>
      <c r="X53" s="15">
        <f t="shared" si="161"/>
        <v>194.56</v>
      </c>
      <c r="Y53" s="15">
        <f t="shared" si="171"/>
        <v>33.380000000000003</v>
      </c>
      <c r="Z53" s="15">
        <f t="shared" si="181"/>
        <v>137.15</v>
      </c>
      <c r="AA53" s="15">
        <f t="shared" si="191"/>
        <v>35.83</v>
      </c>
      <c r="AB53" s="15">
        <f t="shared" si="91"/>
        <v>30.71</v>
      </c>
      <c r="AC53" s="15">
        <f t="shared" si="101"/>
        <v>160.32</v>
      </c>
      <c r="AD53" s="15">
        <v>0.48</v>
      </c>
      <c r="AE53" s="15">
        <f t="shared" si="112"/>
        <v>0.82</v>
      </c>
      <c r="AF53" s="15">
        <f t="shared" si="122"/>
        <v>2.29</v>
      </c>
      <c r="AG53" s="15">
        <f t="shared" si="132"/>
        <v>3.19</v>
      </c>
      <c r="AH53" s="15">
        <f t="shared" si="142"/>
        <v>1.23</v>
      </c>
      <c r="AI53" s="15">
        <f t="shared" si="152"/>
        <v>2.7</v>
      </c>
      <c r="AJ53" s="15">
        <f t="shared" si="162"/>
        <v>4.3</v>
      </c>
      <c r="AK53" s="15">
        <f t="shared" si="172"/>
        <v>0.73</v>
      </c>
      <c r="AL53" s="15">
        <f t="shared" si="182"/>
        <v>3.06</v>
      </c>
      <c r="AM53" s="15">
        <f t="shared" si="192"/>
        <v>0.8</v>
      </c>
      <c r="AN53" s="15">
        <f t="shared" si="92"/>
        <v>0.68</v>
      </c>
      <c r="AO53" s="15">
        <f t="shared" si="102"/>
        <v>3.63</v>
      </c>
      <c r="AP53" s="15">
        <v>0</v>
      </c>
      <c r="AQ53" s="15">
        <f t="shared" si="113"/>
        <v>0</v>
      </c>
      <c r="AR53" s="15">
        <f t="shared" si="123"/>
        <v>0</v>
      </c>
      <c r="AS53" s="15">
        <f t="shared" si="133"/>
        <v>0</v>
      </c>
      <c r="AT53" s="15">
        <f t="shared" si="143"/>
        <v>0</v>
      </c>
      <c r="AU53" s="15">
        <f t="shared" si="153"/>
        <v>0</v>
      </c>
      <c r="AV53" s="15">
        <f t="shared" si="163"/>
        <v>0</v>
      </c>
      <c r="AW53" s="15">
        <f t="shared" si="173"/>
        <v>0</v>
      </c>
      <c r="AX53" s="15">
        <f t="shared" si="183"/>
        <v>0</v>
      </c>
      <c r="AY53" s="15">
        <f t="shared" si="193"/>
        <v>0</v>
      </c>
      <c r="AZ53" s="15">
        <f t="shared" si="93"/>
        <v>0</v>
      </c>
      <c r="BA53" s="15">
        <f t="shared" si="103"/>
        <v>0</v>
      </c>
      <c r="BB53" s="15">
        <v>7</v>
      </c>
      <c r="BC53" s="15">
        <f t="shared" si="114"/>
        <v>9</v>
      </c>
      <c r="BD53" s="15">
        <f t="shared" si="124"/>
        <v>37</v>
      </c>
      <c r="BE53" s="15">
        <f t="shared" si="134"/>
        <v>34</v>
      </c>
      <c r="BF53" s="15">
        <f t="shared" si="144"/>
        <v>16</v>
      </c>
      <c r="BG53" s="15">
        <f t="shared" si="154"/>
        <v>51</v>
      </c>
      <c r="BH53" s="15">
        <f t="shared" si="164"/>
        <v>54</v>
      </c>
      <c r="BI53" s="15">
        <f t="shared" si="174"/>
        <v>3</v>
      </c>
      <c r="BJ53" s="15">
        <f t="shared" si="184"/>
        <v>6</v>
      </c>
      <c r="BK53" s="15">
        <f t="shared" si="194"/>
        <v>4</v>
      </c>
      <c r="BL53" s="15">
        <f t="shared" si="94"/>
        <v>7</v>
      </c>
      <c r="BM53" s="15">
        <f t="shared" si="104"/>
        <v>47</v>
      </c>
      <c r="BN53" s="15">
        <v>0</v>
      </c>
      <c r="BO53" s="15">
        <f t="shared" si="115"/>
        <v>0</v>
      </c>
      <c r="BP53" s="15">
        <f t="shared" si="125"/>
        <v>0</v>
      </c>
      <c r="BQ53" s="15">
        <f t="shared" si="135"/>
        <v>0</v>
      </c>
      <c r="BR53" s="15">
        <f t="shared" si="145"/>
        <v>0</v>
      </c>
      <c r="BS53" s="15">
        <f t="shared" si="155"/>
        <v>1</v>
      </c>
      <c r="BT53" s="15">
        <f t="shared" si="165"/>
        <v>2</v>
      </c>
      <c r="BU53" s="15">
        <f t="shared" si="175"/>
        <v>0</v>
      </c>
      <c r="BV53" s="15">
        <f t="shared" si="185"/>
        <v>0</v>
      </c>
      <c r="BW53" s="15">
        <f t="shared" si="195"/>
        <v>0</v>
      </c>
      <c r="BX53" s="15">
        <f t="shared" si="95"/>
        <v>0</v>
      </c>
      <c r="BY53" s="15">
        <f t="shared" si="105"/>
        <v>2</v>
      </c>
      <c r="BZ53" s="15">
        <v>3.16</v>
      </c>
      <c r="CA53" s="15">
        <f t="shared" si="116"/>
        <v>4.25</v>
      </c>
      <c r="CB53" s="15">
        <f t="shared" si="126"/>
        <v>2.8491900000000001</v>
      </c>
      <c r="CC53" s="15">
        <f t="shared" si="136"/>
        <v>4.2705900000000003</v>
      </c>
      <c r="CD53" s="15">
        <f t="shared" si="146"/>
        <v>3.6406200000000002</v>
      </c>
      <c r="CE53" s="15">
        <f t="shared" si="156"/>
        <v>2.4741200000000001</v>
      </c>
      <c r="CF53" s="15">
        <f t="shared" si="166"/>
        <v>3.6029599999999999</v>
      </c>
      <c r="CG53" s="15">
        <f t="shared" si="176"/>
        <v>11.126670000000001</v>
      </c>
      <c r="CH53" s="15">
        <f t="shared" si="186"/>
        <v>22.858329999999999</v>
      </c>
      <c r="CI53" s="15">
        <f t="shared" si="196"/>
        <v>8.9574999999999996</v>
      </c>
      <c r="CJ53" s="15">
        <f t="shared" si="96"/>
        <v>4.3871399999999996</v>
      </c>
      <c r="CK53" s="15">
        <f t="shared" si="106"/>
        <v>3.41106</v>
      </c>
      <c r="CL53" s="15">
        <v>0</v>
      </c>
      <c r="CM53" s="15">
        <f t="shared" si="117"/>
        <v>0</v>
      </c>
      <c r="CN53" s="15">
        <f t="shared" si="127"/>
        <v>0</v>
      </c>
      <c r="CO53" s="15">
        <f t="shared" si="137"/>
        <v>0</v>
      </c>
      <c r="CP53" s="15">
        <f t="shared" si="147"/>
        <v>0</v>
      </c>
      <c r="CQ53" s="15">
        <f t="shared" si="157"/>
        <v>0</v>
      </c>
      <c r="CR53" s="15">
        <f t="shared" si="167"/>
        <v>0</v>
      </c>
      <c r="CS53" s="15">
        <f t="shared" si="177"/>
        <v>0</v>
      </c>
      <c r="CT53" s="15">
        <f t="shared" si="187"/>
        <v>1</v>
      </c>
      <c r="CU53" s="15">
        <f t="shared" si="197"/>
        <v>0</v>
      </c>
      <c r="CV53" s="15">
        <f t="shared" si="97"/>
        <v>0</v>
      </c>
      <c r="CW53" s="15">
        <f t="shared" si="107"/>
        <v>0</v>
      </c>
      <c r="CX53" s="15">
        <v>72.439700000000002</v>
      </c>
      <c r="CY53" s="15">
        <f t="shared" si="118"/>
        <v>76.759500000000003</v>
      </c>
      <c r="CZ53" s="15">
        <f t="shared" si="128"/>
        <v>70.6601</v>
      </c>
      <c r="DA53" s="15">
        <f t="shared" si="138"/>
        <v>76.821100000000001</v>
      </c>
      <c r="DB53" s="15">
        <f t="shared" si="148"/>
        <v>74.640900000000002</v>
      </c>
      <c r="DC53" s="15">
        <f t="shared" si="158"/>
        <v>67.992199999999997</v>
      </c>
      <c r="DD53" s="15">
        <f t="shared" si="168"/>
        <v>74.488</v>
      </c>
      <c r="DE53" s="15">
        <f t="shared" si="178"/>
        <v>84.864400000000003</v>
      </c>
      <c r="DF53" s="15">
        <f t="shared" si="188"/>
        <v>87.495000000000005</v>
      </c>
      <c r="DG53" s="15">
        <f t="shared" si="198"/>
        <v>83.63</v>
      </c>
      <c r="DH53" s="15">
        <f t="shared" si="98"/>
        <v>77.159499999999994</v>
      </c>
      <c r="DI53" s="15">
        <f t="shared" si="108"/>
        <v>73.660799999999995</v>
      </c>
      <c r="DJ53" s="15" t="s">
        <v>21</v>
      </c>
      <c r="DK53" s="15" t="str">
        <f t="shared" si="119"/>
        <v>LH</v>
      </c>
      <c r="DL53" s="15" t="str">
        <f t="shared" si="129"/>
        <v>HH</v>
      </c>
      <c r="DM53" s="15" t="str">
        <f t="shared" si="139"/>
        <v>LH</v>
      </c>
      <c r="DN53" s="15" t="str">
        <f t="shared" si="149"/>
        <v>HH</v>
      </c>
      <c r="DO53" s="15" t="str">
        <f t="shared" si="159"/>
        <v>HH</v>
      </c>
      <c r="DP53" s="15" t="str">
        <f t="shared" si="169"/>
        <v>HH</v>
      </c>
      <c r="DQ53" s="15" t="str">
        <f t="shared" si="179"/>
        <v>LH</v>
      </c>
      <c r="DR53" s="15" t="str">
        <f t="shared" si="189"/>
        <v>HH</v>
      </c>
      <c r="DS53" s="15" t="str">
        <f t="shared" si="199"/>
        <v>HH</v>
      </c>
      <c r="DT53" s="15" t="str">
        <f t="shared" si="99"/>
        <v>LH</v>
      </c>
      <c r="DU53" s="15" t="str">
        <f t="shared" si="109"/>
        <v>HH</v>
      </c>
      <c r="DV53" s="15">
        <f>IFERROR((G53-$F53)/$F53*100,"")</f>
        <v>0.64183449839005879</v>
      </c>
      <c r="DW53" s="15">
        <f>IFERROR((H53-$F53)/$F53*100,"")</f>
        <v>0.82692962743179144</v>
      </c>
      <c r="DX53" s="15">
        <f>IFERROR((I53-$F53)/$F53*100,"")</f>
        <v>0.67011292088253838</v>
      </c>
      <c r="DY53" s="15">
        <f>IFERROR((J53-$F53)/$F53*100,"")</f>
        <v>2.8402676167074046</v>
      </c>
      <c r="DZ53" s="15">
        <f>IFERROR((K53-$F53)/$F53*100,"")</f>
        <v>2.6836651406316037</v>
      </c>
      <c r="EA53" s="15">
        <f>IFERROR((L53-$F53)/$F53*100,"")</f>
        <v>1.2110448662880446</v>
      </c>
      <c r="EB53" s="15">
        <f>IFERROR((M53-$F53)/$F53*100,"")</f>
        <v>-1.8473093723689726</v>
      </c>
      <c r="EC53" s="15">
        <f>IFERROR((N53-$F53)/$F53*100,"")</f>
        <v>-1.0289489638743099</v>
      </c>
      <c r="ED53" s="15">
        <f>IFERROR((O53-$F53)/$F53*100,"")</f>
        <v>-2.9823024205901203</v>
      </c>
      <c r="EE53" s="15">
        <f>IFERROR((P53-$F53)/$F53*100,"")</f>
        <v>-3.0853472783089404</v>
      </c>
      <c r="EF53" s="15">
        <f>IFERROR((Q53-$F53)/$F53*100,"")</f>
        <v>-1.8698035720789086</v>
      </c>
      <c r="EG53" s="15" t="str">
        <f>IF(DV53="","",IF(AND(ABS(DV53)&lt;=0.25,$E53="Bottom",DK53="LL"),"EQL",IF(AND(ABS(DV53)&lt;=0.25,$E53="Peak",DK53="HH"),"EQH","")))</f>
        <v/>
      </c>
      <c r="EH53" s="15" t="str">
        <f>IF(DW53="","",IF(AND(ABS(DW53)&lt;=0.25,$E53="Bottom",DL53="LL"),"EQL",IF(AND(ABS(DW53)&lt;=0.25,$E53="Peak",DL53="HH"),"EQH","")))</f>
        <v/>
      </c>
      <c r="EI53" s="15" t="str">
        <f>IF(DX53="","",IF(AND(ABS(DX53)&lt;=0.25,$E53="Bottom",DM53="LL"),"EQL",IF(AND(ABS(DX53)&lt;=0.25,$E53="Peak",DM53="HH"),"EQH","")))</f>
        <v/>
      </c>
      <c r="EJ53" s="15" t="str">
        <f>IF(DY53="","",IF(AND(ABS(DY53)&lt;=0.25,$E53="Bottom",DN53="LL"),"EQL",IF(AND(ABS(DY53)&lt;=0.25,$E53="Peak",DN53="HH"),"EQH","")))</f>
        <v/>
      </c>
      <c r="EK53" s="15" t="str">
        <f>IF(DZ53="","",IF(AND(ABS(DZ53)&lt;=0.25,$E53="Bottom",DO53="LL"),"EQL",IF(AND(ABS(DZ53)&lt;=0.25,$E53="Peak",DO53="HH"),"EQH","")))</f>
        <v/>
      </c>
      <c r="EL53" s="15" t="str">
        <f>IF(EA53="","",IF(AND(ABS(EA53)&lt;=0.25,$E53="Bottom",DP53="LL"),"EQL",IF(AND(ABS(EA53)&lt;=0.25,$E53="Peak",DP53="HH"),"EQH","")))</f>
        <v/>
      </c>
      <c r="EM53" s="15" t="str">
        <f>IF(EB53="","",IF(AND(ABS(EB53)&lt;=0.25,$E53="Bottom",DQ53="LL"),"EQL",IF(AND(ABS(EB53)&lt;=0.25,$E53="Peak",DQ53="HH"),"EQH","")))</f>
        <v/>
      </c>
      <c r="EN53" s="15" t="str">
        <f>IF(EC53="","",IF(AND(ABS(EC53)&lt;=0.25,$E53="Bottom",DR53="LL"),"EQL",IF(AND(ABS(EC53)&lt;=0.25,$E53="Peak",DR53="HH"),"EQH","")))</f>
        <v/>
      </c>
      <c r="EO53" s="15" t="str">
        <f>IF(ED53="","",IF(AND(ABS(ED53)&lt;=0.25,$E53="Bottom",DS53="LL"),"EQL",IF(AND(ABS(ED53)&lt;=0.25,$E53="Peak",DS53="HH"),"EQH","")))</f>
        <v/>
      </c>
      <c r="EP53" s="15" t="str">
        <f>IF(EE53="","",IF(AND(ABS(EE53)&lt;=0.25,$E53="Bottom",DT53="LL"),"EQL",IF(AND(ABS(EE53)&lt;=0.25,$E53="Peak",DT53="HH"),"EQH","")))</f>
        <v/>
      </c>
      <c r="EQ53" s="15" t="str">
        <f>IF(EF53="","",IF(AND(ABS(EF53)&lt;=0.25,$E53="Bottom",DU53="LL"),"EQL",IF(AND(ABS(EF53)&lt;=0.25,$E53="Peak",DU53="HH"),"EQH","")))</f>
        <v/>
      </c>
      <c r="ER53" s="15" t="str">
        <f>IF(OR(EG53="EQL",EG53="EQH"),F53,"")</f>
        <v/>
      </c>
      <c r="ES53" s="15" t="str">
        <f>IF(OR(EH53="EQL",EH53="EQH"),G53,"")</f>
        <v/>
      </c>
      <c r="ET53" s="15" t="str">
        <f>IF(OR(EI53="EQL",EI53="EQH"),H53,"")</f>
        <v/>
      </c>
      <c r="EU53" s="15" t="str">
        <f>IF(OR(EJ53="EQL",EJ53="EQH"),I53,"")</f>
        <v/>
      </c>
      <c r="EV53" s="15" t="str">
        <f>IF(OR(EK53="EQL",EK53="EQH"),J53,"")</f>
        <v/>
      </c>
      <c r="EW53" s="15" t="str">
        <f>IF(OR(EL53="EQL",EL53="EQH"),K53,"")</f>
        <v/>
      </c>
      <c r="EX53" s="15" t="str">
        <f>IF(OR(EM53="EQL",EM53="EQH"),L53,"")</f>
        <v/>
      </c>
      <c r="EY53" s="15" t="str">
        <f>IF(OR(EN53="EQL",EN53="EQH"),M53,"")</f>
        <v/>
      </c>
      <c r="EZ53" s="15" t="str">
        <f>IF(OR(EO53="EQL",EO53="EQH"),N53,"")</f>
        <v/>
      </c>
      <c r="FA53" s="15" t="str">
        <f>IF(OR(EP53="EQL",EP53="EQH"),O53,"")</f>
        <v/>
      </c>
      <c r="FB53" s="15" t="str">
        <f>IF(OR(EQ53="EQL",EQ53="EQH"),P53,"")</f>
        <v/>
      </c>
      <c r="FC53" s="15" t="str">
        <f>IF(AND(EG53="EQL",OR(AQ53=4,AQ53=5)),"IEQL",IF(AND(EG53="EQH",OR(AQ53=1,AQ53=2)),"IEQH",""))</f>
        <v/>
      </c>
      <c r="FD53" s="15" t="str">
        <f>IF(AND(EH53="EQL",OR(AR53=4,AR53=5)),"IEQL",IF(AND(EH53="EQH",OR(AR53=1,AR53=2)),"IEQH",""))</f>
        <v/>
      </c>
      <c r="FE53" s="15" t="str">
        <f>IF(AND(EI53="EQL",OR(AS53=4,AS53=5)),"IEQL",IF(AND(EI53="EQH",OR(AS53=1,AS53=2)),"IEQH",""))</f>
        <v/>
      </c>
      <c r="FF53" s="15" t="str">
        <f>IF(AND(EJ53="EQL",OR(AT53=4,AT53=5)),"IEQL",IF(AND(EJ53="EQH",OR(AT53=1,AT53=2)),"IEQH",""))</f>
        <v/>
      </c>
      <c r="FG53" s="15" t="str">
        <f>IF(AND(EK53="EQL",OR(AU53=4,AU53=5)),"IEQL",IF(AND(EK53="EQH",OR(AU53=1,AU53=2)),"IEQH",""))</f>
        <v/>
      </c>
      <c r="FH53" s="15" t="str">
        <f>IF(AND(EL53="EQL",OR(AV53=4,AV53=5)),"IEQL",IF(AND(EL53="EQH",OR(AV53=1,AV53=2)),"IEQH",""))</f>
        <v/>
      </c>
      <c r="FI53" s="15" t="str">
        <f>IF(AND(EM53="EQL",OR(AW53=4,AW53=5)),"IEQL",IF(AND(EM53="EQH",OR(AW53=1,AW53=2)),"IEQH",""))</f>
        <v/>
      </c>
      <c r="FJ53" s="15" t="str">
        <f>IF(AND(EN53="EQL",OR(AX53=4,AX53=5)),"IEQL",IF(AND(EN53="EQH",OR(AX53=1,AX53=2)),"IEQH",""))</f>
        <v/>
      </c>
      <c r="FK53" s="15" t="str">
        <f>IF(AND(EO53="EQL",OR(AY53=4,AY53=5)),"IEQL",IF(AND(EO53="EQH",OR(AY53=1,AY53=2)),"IEQH",""))</f>
        <v/>
      </c>
      <c r="FL53" s="15" t="str">
        <f>IF(AND(EP53="EQL",OR(AZ53=4,AZ53=5)),"IEQL",IF(AND(EP53="EQH",OR(AZ53=1,AZ53=2)),"IEQH",""))</f>
        <v/>
      </c>
      <c r="FM53" s="15" t="str">
        <f>IF(AND(EQ53="EQL",OR(BA53=4,BA53=5)),"IEQL",IF(AND(EQ53="EQH",OR(BA53=1,BA53=2)),"IEQH",""))</f>
        <v/>
      </c>
      <c r="FN53" s="15" t="str">
        <f>IF(OR(AND(DJ53="LL",AP53=5),AND(DJ53="HH",AP53=2)),F53,"")</f>
        <v/>
      </c>
      <c r="FO53" s="15" t="str">
        <f>IF(FN53&lt;&gt;"",F52,"")</f>
        <v/>
      </c>
    </row>
    <row r="54" spans="1:171" s="15" customFormat="1" x14ac:dyDescent="0.55000000000000004">
      <c r="A54" s="15">
        <v>1775526306</v>
      </c>
      <c r="B54" s="15" t="s">
        <v>16</v>
      </c>
      <c r="C54" s="15" t="s">
        <v>17</v>
      </c>
      <c r="D54" s="15">
        <v>4627.1400000000003</v>
      </c>
      <c r="E54" s="15" t="s">
        <v>18</v>
      </c>
      <c r="F54" s="15">
        <v>4616.5</v>
      </c>
      <c r="G54" s="15">
        <f t="shared" si="110"/>
        <v>4645.75</v>
      </c>
      <c r="H54" s="15">
        <f t="shared" si="120"/>
        <v>4659.58</v>
      </c>
      <c r="I54" s="15">
        <f t="shared" si="130"/>
        <v>4601.05</v>
      </c>
      <c r="J54" s="15">
        <f t="shared" si="140"/>
        <v>4553.95</v>
      </c>
      <c r="K54" s="15">
        <f t="shared" si="150"/>
        <v>4742.2</v>
      </c>
      <c r="L54" s="15">
        <f t="shared" si="160"/>
        <v>4666.96</v>
      </c>
      <c r="M54" s="15">
        <f t="shared" si="170"/>
        <v>4529.84</v>
      </c>
      <c r="N54" s="15">
        <f t="shared" si="180"/>
        <v>4548.26</v>
      </c>
      <c r="O54" s="15">
        <f t="shared" si="190"/>
        <v>4482.6899999999996</v>
      </c>
      <c r="P54" s="15">
        <f t="shared" ref="P54:P85" si="200">F34</f>
        <v>4492.83</v>
      </c>
      <c r="Q54" s="15">
        <f t="shared" si="100"/>
        <v>4493.1400000000003</v>
      </c>
      <c r="R54" s="15">
        <v>-51.37</v>
      </c>
      <c r="S54" s="15">
        <f t="shared" si="111"/>
        <v>-52.08</v>
      </c>
      <c r="T54" s="15">
        <f t="shared" si="121"/>
        <v>-46.89</v>
      </c>
      <c r="U54" s="15">
        <f t="shared" si="131"/>
        <v>-98.1</v>
      </c>
      <c r="V54" s="15">
        <f t="shared" si="141"/>
        <v>-246.5</v>
      </c>
      <c r="W54" s="15">
        <f t="shared" si="151"/>
        <v>-50.94</v>
      </c>
      <c r="X54" s="15">
        <f t="shared" si="161"/>
        <v>-57.44</v>
      </c>
      <c r="Y54" s="15">
        <f t="shared" si="171"/>
        <v>-51.8</v>
      </c>
      <c r="Z54" s="15">
        <f t="shared" si="181"/>
        <v>-71.58</v>
      </c>
      <c r="AA54" s="15">
        <f t="shared" si="191"/>
        <v>-45.97</v>
      </c>
      <c r="AB54" s="15">
        <f t="shared" ref="AB54:AB85" si="201">R34</f>
        <v>-31.02</v>
      </c>
      <c r="AC54" s="15">
        <f t="shared" si="101"/>
        <v>-87.45</v>
      </c>
      <c r="AD54" s="15">
        <v>-1.1000000000000001</v>
      </c>
      <c r="AE54" s="15">
        <f t="shared" si="112"/>
        <v>-1.1100000000000001</v>
      </c>
      <c r="AF54" s="15">
        <f t="shared" si="122"/>
        <v>-1</v>
      </c>
      <c r="AG54" s="15">
        <f t="shared" si="132"/>
        <v>-2.09</v>
      </c>
      <c r="AH54" s="15">
        <f t="shared" si="142"/>
        <v>-5.13</v>
      </c>
      <c r="AI54" s="15">
        <f t="shared" si="152"/>
        <v>-1.06</v>
      </c>
      <c r="AJ54" s="15">
        <f t="shared" si="162"/>
        <v>-1.22</v>
      </c>
      <c r="AK54" s="15">
        <f t="shared" si="172"/>
        <v>-1.1299999999999999</v>
      </c>
      <c r="AL54" s="15">
        <f t="shared" si="182"/>
        <v>-1.55</v>
      </c>
      <c r="AM54" s="15">
        <f t="shared" si="192"/>
        <v>-1.02</v>
      </c>
      <c r="AN54" s="15">
        <f t="shared" ref="AN54:AN85" si="202">AD34</f>
        <v>-0.69</v>
      </c>
      <c r="AO54" s="15">
        <f t="shared" si="102"/>
        <v>-1.91</v>
      </c>
      <c r="AP54" s="15">
        <v>3</v>
      </c>
      <c r="AQ54" s="15">
        <f t="shared" si="113"/>
        <v>3</v>
      </c>
      <c r="AR54" s="15">
        <f t="shared" si="123"/>
        <v>3</v>
      </c>
      <c r="AS54" s="15">
        <f t="shared" si="133"/>
        <v>3</v>
      </c>
      <c r="AT54" s="15">
        <f t="shared" si="143"/>
        <v>3</v>
      </c>
      <c r="AU54" s="15">
        <f t="shared" si="153"/>
        <v>3</v>
      </c>
      <c r="AV54" s="15">
        <f t="shared" si="163"/>
        <v>3</v>
      </c>
      <c r="AW54" s="15">
        <f t="shared" si="173"/>
        <v>3</v>
      </c>
      <c r="AX54" s="15">
        <f t="shared" si="183"/>
        <v>3</v>
      </c>
      <c r="AY54" s="15">
        <f t="shared" si="193"/>
        <v>3</v>
      </c>
      <c r="AZ54" s="15">
        <f t="shared" ref="AZ54:AZ85" si="203">AP34</f>
        <v>3</v>
      </c>
      <c r="BA54" s="15">
        <f t="shared" si="103"/>
        <v>3</v>
      </c>
      <c r="BB54" s="15">
        <v>15</v>
      </c>
      <c r="BC54" s="15">
        <f t="shared" si="114"/>
        <v>19</v>
      </c>
      <c r="BD54" s="15">
        <f t="shared" si="124"/>
        <v>11</v>
      </c>
      <c r="BE54" s="15">
        <f t="shared" si="134"/>
        <v>35</v>
      </c>
      <c r="BF54" s="15">
        <f t="shared" si="144"/>
        <v>26</v>
      </c>
      <c r="BG54" s="15">
        <f t="shared" si="154"/>
        <v>6</v>
      </c>
      <c r="BH54" s="15">
        <f t="shared" si="164"/>
        <v>13</v>
      </c>
      <c r="BI54" s="15">
        <f t="shared" si="174"/>
        <v>19</v>
      </c>
      <c r="BJ54" s="15">
        <f t="shared" si="184"/>
        <v>13</v>
      </c>
      <c r="BK54" s="15">
        <f t="shared" si="194"/>
        <v>1</v>
      </c>
      <c r="BL54" s="15">
        <f t="shared" ref="BL54:BL85" si="204">BB34</f>
        <v>4</v>
      </c>
      <c r="BM54" s="15">
        <f t="shared" si="104"/>
        <v>30</v>
      </c>
      <c r="BN54" s="15">
        <v>3</v>
      </c>
      <c r="BO54" s="15">
        <f t="shared" si="115"/>
        <v>3</v>
      </c>
      <c r="BP54" s="15">
        <f t="shared" si="125"/>
        <v>3</v>
      </c>
      <c r="BQ54" s="15">
        <f t="shared" si="135"/>
        <v>3</v>
      </c>
      <c r="BR54" s="15">
        <f t="shared" si="145"/>
        <v>3</v>
      </c>
      <c r="BS54" s="15">
        <f t="shared" si="155"/>
        <v>3</v>
      </c>
      <c r="BT54" s="15">
        <f t="shared" si="165"/>
        <v>3</v>
      </c>
      <c r="BU54" s="15">
        <f t="shared" si="175"/>
        <v>3</v>
      </c>
      <c r="BV54" s="15">
        <f t="shared" si="185"/>
        <v>3</v>
      </c>
      <c r="BW54" s="15">
        <f t="shared" si="195"/>
        <v>3</v>
      </c>
      <c r="BX54" s="15">
        <f t="shared" ref="BX54:BX85" si="205">BN34</f>
        <v>3</v>
      </c>
      <c r="BY54" s="15">
        <f t="shared" si="105"/>
        <v>3</v>
      </c>
      <c r="BZ54" s="15">
        <v>-3.4246699999999999</v>
      </c>
      <c r="CA54" s="15">
        <f t="shared" si="116"/>
        <v>-2.74105</v>
      </c>
      <c r="CB54" s="15">
        <f t="shared" si="126"/>
        <v>-4.2627300000000004</v>
      </c>
      <c r="CC54" s="15">
        <f t="shared" si="136"/>
        <v>-2.8028599999999999</v>
      </c>
      <c r="CD54" s="15">
        <f t="shared" si="146"/>
        <v>-9.4807699999999997</v>
      </c>
      <c r="CE54" s="15">
        <f t="shared" si="156"/>
        <v>-8.49</v>
      </c>
      <c r="CF54" s="15">
        <f t="shared" si="166"/>
        <v>-4.4184599999999996</v>
      </c>
      <c r="CG54" s="15">
        <f t="shared" si="176"/>
        <v>-2.7263199999999999</v>
      </c>
      <c r="CH54" s="15">
        <f t="shared" si="186"/>
        <v>-5.5061499999999999</v>
      </c>
      <c r="CI54" s="15">
        <f t="shared" si="196"/>
        <v>-45.97</v>
      </c>
      <c r="CJ54" s="15">
        <f t="shared" ref="CJ54:CJ85" si="206">BZ34</f>
        <v>-7.7549999999999999</v>
      </c>
      <c r="CK54" s="15">
        <f t="shared" si="106"/>
        <v>-2.915</v>
      </c>
      <c r="CL54" s="15">
        <v>3</v>
      </c>
      <c r="CM54" s="15">
        <f t="shared" si="117"/>
        <v>3</v>
      </c>
      <c r="CN54" s="15">
        <f t="shared" si="127"/>
        <v>3</v>
      </c>
      <c r="CO54" s="15">
        <f t="shared" si="137"/>
        <v>3</v>
      </c>
      <c r="CP54" s="15">
        <f t="shared" si="147"/>
        <v>3</v>
      </c>
      <c r="CQ54" s="15">
        <f t="shared" si="157"/>
        <v>3</v>
      </c>
      <c r="CR54" s="15">
        <f t="shared" si="167"/>
        <v>3</v>
      </c>
      <c r="CS54" s="15">
        <f t="shared" si="177"/>
        <v>3</v>
      </c>
      <c r="CT54" s="15">
        <f t="shared" si="187"/>
        <v>3</v>
      </c>
      <c r="CU54" s="15">
        <f t="shared" si="197"/>
        <v>5</v>
      </c>
      <c r="CV54" s="15">
        <f t="shared" ref="CV54:CV85" si="207">CL34</f>
        <v>3</v>
      </c>
      <c r="CW54" s="15">
        <f t="shared" si="107"/>
        <v>3</v>
      </c>
      <c r="CX54" s="15">
        <v>-73.722200000000001</v>
      </c>
      <c r="CY54" s="15">
        <f t="shared" si="118"/>
        <v>-69.956800000000001</v>
      </c>
      <c r="CZ54" s="15">
        <f t="shared" si="128"/>
        <v>-76.797600000000003</v>
      </c>
      <c r="DA54" s="15">
        <f t="shared" si="138"/>
        <v>-70.364699999999999</v>
      </c>
      <c r="DB54" s="15">
        <f t="shared" si="148"/>
        <v>-83.978899999999996</v>
      </c>
      <c r="DC54" s="15">
        <f t="shared" si="158"/>
        <v>-83.282300000000006</v>
      </c>
      <c r="DD54" s="15">
        <f t="shared" si="168"/>
        <v>-77.247500000000002</v>
      </c>
      <c r="DE54" s="15">
        <f t="shared" si="178"/>
        <v>-69.857200000000006</v>
      </c>
      <c r="DF54" s="15">
        <f t="shared" si="188"/>
        <v>-79.706400000000002</v>
      </c>
      <c r="DG54" s="15">
        <f t="shared" si="198"/>
        <v>-88.753799999999998</v>
      </c>
      <c r="DH54" s="15">
        <f t="shared" ref="DH54:DH85" si="208">CX34</f>
        <v>-82.652299999999997</v>
      </c>
      <c r="DI54" s="15">
        <f t="shared" si="108"/>
        <v>-71.065299999999993</v>
      </c>
      <c r="DJ54" s="15" t="s">
        <v>19</v>
      </c>
      <c r="DK54" s="15" t="str">
        <f t="shared" si="119"/>
        <v>LL</v>
      </c>
      <c r="DL54" s="15" t="str">
        <f t="shared" si="129"/>
        <v>HL</v>
      </c>
      <c r="DM54" s="15" t="str">
        <f t="shared" si="139"/>
        <v>HL</v>
      </c>
      <c r="DN54" s="15" t="str">
        <f t="shared" si="149"/>
        <v>LL</v>
      </c>
      <c r="DO54" s="15" t="str">
        <f t="shared" si="159"/>
        <v>HL</v>
      </c>
      <c r="DP54" s="15" t="str">
        <f t="shared" si="169"/>
        <v>HL</v>
      </c>
      <c r="DQ54" s="15" t="str">
        <f t="shared" si="179"/>
        <v>LL</v>
      </c>
      <c r="DR54" s="15" t="str">
        <f t="shared" si="189"/>
        <v>HL</v>
      </c>
      <c r="DS54" s="15" t="str">
        <f t="shared" si="199"/>
        <v>LL</v>
      </c>
      <c r="DT54" s="15" t="str">
        <f t="shared" ref="DT54:DT85" si="209">DJ34</f>
        <v>LL</v>
      </c>
      <c r="DU54" s="15" t="str">
        <f t="shared" si="109"/>
        <v>HL</v>
      </c>
      <c r="DV54" s="15">
        <f>IFERROR((G54-$F54)/$F54*100,"")</f>
        <v>0.63359688075381781</v>
      </c>
      <c r="DW54" s="15">
        <f>IFERROR((H54-$F54)/$F54*100,"")</f>
        <v>0.93317448283331372</v>
      </c>
      <c r="DX54" s="15">
        <f>IFERROR((I54-$F54)/$F54*100,"")</f>
        <v>-0.33466912162893575</v>
      </c>
      <c r="DY54" s="15">
        <f>IFERROR((J54-$F54)/$F54*100,"")</f>
        <v>-1.3549225603812451</v>
      </c>
      <c r="DZ54" s="15">
        <f>IFERROR((K54-$F54)/$F54*100,"")</f>
        <v>2.7228419798548642</v>
      </c>
      <c r="EA54" s="15">
        <f>IFERROR((L54-$F54)/$F54*100,"")</f>
        <v>1.0930358496696639</v>
      </c>
      <c r="EB54" s="15">
        <f>IFERROR((M54-$F54)/$F54*100,"")</f>
        <v>-1.877179681576949</v>
      </c>
      <c r="EC54" s="15">
        <f>IFERROR((N54-$F54)/$F54*100,"")</f>
        <v>-1.4781761074406972</v>
      </c>
      <c r="ED54" s="15">
        <f>IFERROR((O54-$F54)/$F54*100,"")</f>
        <v>-2.8985161919202946</v>
      </c>
      <c r="EE54" s="15">
        <f>IFERROR((P54-$F54)/$F54*100,"")</f>
        <v>-2.6788692732589641</v>
      </c>
      <c r="EF54" s="15">
        <f>IFERROR((Q54-$F54)/$F54*100,"")</f>
        <v>-2.6721542293945562</v>
      </c>
      <c r="EG54" s="15" t="str">
        <f>IF(DV54="","",IF(AND(ABS(DV54)&lt;=0.25,$E54="Bottom",DK54="LL"),"EQL",IF(AND(ABS(DV54)&lt;=0.25,$E54="Peak",DK54="HH"),"EQH","")))</f>
        <v/>
      </c>
      <c r="EH54" s="15" t="str">
        <f>IF(DW54="","",IF(AND(ABS(DW54)&lt;=0.25,$E54="Bottom",DL54="LL"),"EQL",IF(AND(ABS(DW54)&lt;=0.25,$E54="Peak",DL54="HH"),"EQH","")))</f>
        <v/>
      </c>
      <c r="EI54" s="15" t="str">
        <f>IF(DX54="","",IF(AND(ABS(DX54)&lt;=0.25,$E54="Bottom",DM54="LL"),"EQL",IF(AND(ABS(DX54)&lt;=0.25,$E54="Peak",DM54="HH"),"EQH","")))</f>
        <v/>
      </c>
      <c r="EJ54" s="15" t="str">
        <f>IF(DY54="","",IF(AND(ABS(DY54)&lt;=0.25,$E54="Bottom",DN54="LL"),"EQL",IF(AND(ABS(DY54)&lt;=0.25,$E54="Peak",DN54="HH"),"EQH","")))</f>
        <v/>
      </c>
      <c r="EK54" s="15" t="str">
        <f>IF(DZ54="","",IF(AND(ABS(DZ54)&lt;=0.25,$E54="Bottom",DO54="LL"),"EQL",IF(AND(ABS(DZ54)&lt;=0.25,$E54="Peak",DO54="HH"),"EQH","")))</f>
        <v/>
      </c>
      <c r="EL54" s="15" t="str">
        <f>IF(EA54="","",IF(AND(ABS(EA54)&lt;=0.25,$E54="Bottom",DP54="LL"),"EQL",IF(AND(ABS(EA54)&lt;=0.25,$E54="Peak",DP54="HH"),"EQH","")))</f>
        <v/>
      </c>
      <c r="EM54" s="15" t="str">
        <f>IF(EB54="","",IF(AND(ABS(EB54)&lt;=0.25,$E54="Bottom",DQ54="LL"),"EQL",IF(AND(ABS(EB54)&lt;=0.25,$E54="Peak",DQ54="HH"),"EQH","")))</f>
        <v/>
      </c>
      <c r="EN54" s="15" t="str">
        <f>IF(EC54="","",IF(AND(ABS(EC54)&lt;=0.25,$E54="Bottom",DR54="LL"),"EQL",IF(AND(ABS(EC54)&lt;=0.25,$E54="Peak",DR54="HH"),"EQH","")))</f>
        <v/>
      </c>
      <c r="EO54" s="15" t="str">
        <f>IF(ED54="","",IF(AND(ABS(ED54)&lt;=0.25,$E54="Bottom",DS54="LL"),"EQL",IF(AND(ABS(ED54)&lt;=0.25,$E54="Peak",DS54="HH"),"EQH","")))</f>
        <v/>
      </c>
      <c r="EP54" s="15" t="str">
        <f>IF(EE54="","",IF(AND(ABS(EE54)&lt;=0.25,$E54="Bottom",DT54="LL"),"EQL",IF(AND(ABS(EE54)&lt;=0.25,$E54="Peak",DT54="HH"),"EQH","")))</f>
        <v/>
      </c>
      <c r="EQ54" s="15" t="str">
        <f>IF(EF54="","",IF(AND(ABS(EF54)&lt;=0.25,$E54="Bottom",DU54="LL"),"EQL",IF(AND(ABS(EF54)&lt;=0.25,$E54="Peak",DU54="HH"),"EQH","")))</f>
        <v/>
      </c>
      <c r="ER54" s="15" t="str">
        <f>IF(OR(EG54="EQL",EG54="EQH"),F54,"")</f>
        <v/>
      </c>
      <c r="ES54" s="15" t="str">
        <f>IF(OR(EH54="EQL",EH54="EQH"),G54,"")</f>
        <v/>
      </c>
      <c r="ET54" s="15" t="str">
        <f>IF(OR(EI54="EQL",EI54="EQH"),H54,"")</f>
        <v/>
      </c>
      <c r="EU54" s="15" t="str">
        <f>IF(OR(EJ54="EQL",EJ54="EQH"),I54,"")</f>
        <v/>
      </c>
      <c r="EV54" s="15" t="str">
        <f>IF(OR(EK54="EQL",EK54="EQH"),J54,"")</f>
        <v/>
      </c>
      <c r="EW54" s="15" t="str">
        <f>IF(OR(EL54="EQL",EL54="EQH"),K54,"")</f>
        <v/>
      </c>
      <c r="EX54" s="15" t="str">
        <f>IF(OR(EM54="EQL",EM54="EQH"),L54,"")</f>
        <v/>
      </c>
      <c r="EY54" s="15" t="str">
        <f>IF(OR(EN54="EQL",EN54="EQH"),M54,"")</f>
        <v/>
      </c>
      <c r="EZ54" s="15" t="str">
        <f>IF(OR(EO54="EQL",EO54="EQH"),N54,"")</f>
        <v/>
      </c>
      <c r="FA54" s="15" t="str">
        <f>IF(OR(EP54="EQL",EP54="EQH"),O54,"")</f>
        <v/>
      </c>
      <c r="FB54" s="15" t="str">
        <f>IF(OR(EQ54="EQL",EQ54="EQH"),P54,"")</f>
        <v/>
      </c>
      <c r="FC54" s="15" t="str">
        <f>IF(AND(EG54="EQL",OR(AQ54=4,AQ54=5)),"IEQL",IF(AND(EG54="EQH",OR(AQ54=1,AQ54=2)),"IEQH",""))</f>
        <v/>
      </c>
      <c r="FD54" s="15" t="str">
        <f>IF(AND(EH54="EQL",OR(AR54=4,AR54=5)),"IEQL",IF(AND(EH54="EQH",OR(AR54=1,AR54=2)),"IEQH",""))</f>
        <v/>
      </c>
      <c r="FE54" s="15" t="str">
        <f>IF(AND(EI54="EQL",OR(AS54=4,AS54=5)),"IEQL",IF(AND(EI54="EQH",OR(AS54=1,AS54=2)),"IEQH",""))</f>
        <v/>
      </c>
      <c r="FF54" s="15" t="str">
        <f>IF(AND(EJ54="EQL",OR(AT54=4,AT54=5)),"IEQL",IF(AND(EJ54="EQH",OR(AT54=1,AT54=2)),"IEQH",""))</f>
        <v/>
      </c>
      <c r="FG54" s="15" t="str">
        <f>IF(AND(EK54="EQL",OR(AU54=4,AU54=5)),"IEQL",IF(AND(EK54="EQH",OR(AU54=1,AU54=2)),"IEQH",""))</f>
        <v/>
      </c>
      <c r="FH54" s="15" t="str">
        <f>IF(AND(EL54="EQL",OR(AV54=4,AV54=5)),"IEQL",IF(AND(EL54="EQH",OR(AV54=1,AV54=2)),"IEQH",""))</f>
        <v/>
      </c>
      <c r="FI54" s="15" t="str">
        <f>IF(AND(EM54="EQL",OR(AW54=4,AW54=5)),"IEQL",IF(AND(EM54="EQH",OR(AW54=1,AW54=2)),"IEQH",""))</f>
        <v/>
      </c>
      <c r="FJ54" s="15" t="str">
        <f>IF(AND(EN54="EQL",OR(AX54=4,AX54=5)),"IEQL",IF(AND(EN54="EQH",OR(AX54=1,AX54=2)),"IEQH",""))</f>
        <v/>
      </c>
      <c r="FK54" s="15" t="str">
        <f>IF(AND(EO54="EQL",OR(AY54=4,AY54=5)),"IEQL",IF(AND(EO54="EQH",OR(AY54=1,AY54=2)),"IEQH",""))</f>
        <v/>
      </c>
      <c r="FL54" s="15" t="str">
        <f>IF(AND(EP54="EQL",OR(AZ54=4,AZ54=5)),"IEQL",IF(AND(EP54="EQH",OR(AZ54=1,AZ54=2)),"IEQH",""))</f>
        <v/>
      </c>
      <c r="FM54" s="15" t="str">
        <f>IF(AND(EQ54="EQL",OR(BA54=4,BA54=5)),"IEQL",IF(AND(EQ54="EQH",OR(BA54=1,BA54=2)),"IEQH",""))</f>
        <v/>
      </c>
      <c r="FN54" s="15" t="str">
        <f>IF(OR(AND(DJ54="LL",AP54=5),AND(DJ54="HH",AP54=2)),F54,"")</f>
        <v/>
      </c>
      <c r="FO54" s="15" t="str">
        <f>IF(FN54&lt;&gt;"",F53,"")</f>
        <v/>
      </c>
    </row>
    <row r="55" spans="1:171" s="15" customFormat="1" x14ac:dyDescent="0.55000000000000004">
      <c r="A55" s="15">
        <v>1775536206</v>
      </c>
      <c r="B55" s="15" t="s">
        <v>16</v>
      </c>
      <c r="C55" s="15" t="s">
        <v>17</v>
      </c>
      <c r="D55" s="15">
        <v>4661.8100000000004</v>
      </c>
      <c r="E55" s="15" t="s">
        <v>20</v>
      </c>
      <c r="F55" s="15">
        <v>4663.28</v>
      </c>
      <c r="G55" s="15">
        <f t="shared" si="110"/>
        <v>4667.87</v>
      </c>
      <c r="H55" s="15">
        <f t="shared" si="120"/>
        <v>4697.83</v>
      </c>
      <c r="I55" s="15">
        <f t="shared" si="130"/>
        <v>4706.47</v>
      </c>
      <c r="J55" s="15">
        <f t="shared" si="140"/>
        <v>4699.1499999999996</v>
      </c>
      <c r="K55" s="15">
        <f t="shared" si="150"/>
        <v>4800.45</v>
      </c>
      <c r="L55" s="15">
        <f t="shared" si="160"/>
        <v>4793.1400000000003</v>
      </c>
      <c r="M55" s="15">
        <f t="shared" si="170"/>
        <v>4724.3999999999996</v>
      </c>
      <c r="N55" s="15">
        <f t="shared" si="180"/>
        <v>4581.6400000000003</v>
      </c>
      <c r="O55" s="15">
        <f t="shared" si="190"/>
        <v>4619.84</v>
      </c>
      <c r="P55" s="15">
        <f t="shared" si="200"/>
        <v>4528.66</v>
      </c>
      <c r="Q55" s="15">
        <f t="shared" si="100"/>
        <v>4523.8500000000004</v>
      </c>
      <c r="R55" s="15">
        <v>46.78</v>
      </c>
      <c r="S55" s="15">
        <f t="shared" si="111"/>
        <v>22.12</v>
      </c>
      <c r="T55" s="15">
        <f t="shared" si="121"/>
        <v>38.25</v>
      </c>
      <c r="U55" s="15">
        <f t="shared" si="131"/>
        <v>105.42</v>
      </c>
      <c r="V55" s="15">
        <f t="shared" si="141"/>
        <v>145.19999999999999</v>
      </c>
      <c r="W55" s="15">
        <f t="shared" si="151"/>
        <v>58.25</v>
      </c>
      <c r="X55" s="15">
        <f t="shared" si="161"/>
        <v>126.18</v>
      </c>
      <c r="Y55" s="15">
        <f t="shared" si="171"/>
        <v>194.56</v>
      </c>
      <c r="Z55" s="15">
        <f t="shared" si="181"/>
        <v>33.380000000000003</v>
      </c>
      <c r="AA55" s="15">
        <f t="shared" si="191"/>
        <v>137.15</v>
      </c>
      <c r="AB55" s="15">
        <f t="shared" si="201"/>
        <v>35.83</v>
      </c>
      <c r="AC55" s="15">
        <f t="shared" si="101"/>
        <v>30.71</v>
      </c>
      <c r="AD55" s="15">
        <v>1.01</v>
      </c>
      <c r="AE55" s="15">
        <f t="shared" si="112"/>
        <v>0.48</v>
      </c>
      <c r="AF55" s="15">
        <f t="shared" si="122"/>
        <v>0.82</v>
      </c>
      <c r="AG55" s="15">
        <f t="shared" si="132"/>
        <v>2.29</v>
      </c>
      <c r="AH55" s="15">
        <f t="shared" si="142"/>
        <v>3.19</v>
      </c>
      <c r="AI55" s="15">
        <f t="shared" si="152"/>
        <v>1.23</v>
      </c>
      <c r="AJ55" s="15">
        <f t="shared" si="162"/>
        <v>2.7</v>
      </c>
      <c r="AK55" s="15">
        <f t="shared" si="172"/>
        <v>4.3</v>
      </c>
      <c r="AL55" s="15">
        <f t="shared" si="182"/>
        <v>0.73</v>
      </c>
      <c r="AM55" s="15">
        <f t="shared" si="192"/>
        <v>3.06</v>
      </c>
      <c r="AN55" s="15">
        <f t="shared" si="202"/>
        <v>0.8</v>
      </c>
      <c r="AO55" s="15">
        <f t="shared" si="102"/>
        <v>0.68</v>
      </c>
      <c r="AP55" s="15">
        <v>0</v>
      </c>
      <c r="AQ55" s="15">
        <f t="shared" si="113"/>
        <v>0</v>
      </c>
      <c r="AR55" s="15">
        <f t="shared" si="123"/>
        <v>0</v>
      </c>
      <c r="AS55" s="15">
        <f t="shared" si="133"/>
        <v>0</v>
      </c>
      <c r="AT55" s="15">
        <f t="shared" si="143"/>
        <v>0</v>
      </c>
      <c r="AU55" s="15">
        <f t="shared" si="153"/>
        <v>0</v>
      </c>
      <c r="AV55" s="15">
        <f t="shared" si="163"/>
        <v>0</v>
      </c>
      <c r="AW55" s="15">
        <f t="shared" si="173"/>
        <v>0</v>
      </c>
      <c r="AX55" s="15">
        <f t="shared" si="183"/>
        <v>0</v>
      </c>
      <c r="AY55" s="15">
        <f t="shared" si="193"/>
        <v>0</v>
      </c>
      <c r="AZ55" s="15">
        <f t="shared" si="203"/>
        <v>0</v>
      </c>
      <c r="BA55" s="15">
        <f t="shared" si="103"/>
        <v>0</v>
      </c>
      <c r="BB55" s="15">
        <v>11</v>
      </c>
      <c r="BC55" s="15">
        <f t="shared" si="114"/>
        <v>7</v>
      </c>
      <c r="BD55" s="15">
        <f t="shared" si="124"/>
        <v>9</v>
      </c>
      <c r="BE55" s="15">
        <f t="shared" si="134"/>
        <v>37</v>
      </c>
      <c r="BF55" s="15">
        <f t="shared" si="144"/>
        <v>34</v>
      </c>
      <c r="BG55" s="15">
        <f t="shared" si="154"/>
        <v>16</v>
      </c>
      <c r="BH55" s="15">
        <f t="shared" si="164"/>
        <v>51</v>
      </c>
      <c r="BI55" s="15">
        <f t="shared" si="174"/>
        <v>54</v>
      </c>
      <c r="BJ55" s="15">
        <f t="shared" si="184"/>
        <v>3</v>
      </c>
      <c r="BK55" s="15">
        <f t="shared" si="194"/>
        <v>6</v>
      </c>
      <c r="BL55" s="15">
        <f t="shared" si="204"/>
        <v>4</v>
      </c>
      <c r="BM55" s="15">
        <f t="shared" si="104"/>
        <v>7</v>
      </c>
      <c r="BN55" s="15">
        <v>0</v>
      </c>
      <c r="BO55" s="15">
        <f t="shared" si="115"/>
        <v>0</v>
      </c>
      <c r="BP55" s="15">
        <f t="shared" si="125"/>
        <v>0</v>
      </c>
      <c r="BQ55" s="15">
        <f t="shared" si="135"/>
        <v>0</v>
      </c>
      <c r="BR55" s="15">
        <f t="shared" si="145"/>
        <v>0</v>
      </c>
      <c r="BS55" s="15">
        <f t="shared" si="155"/>
        <v>0</v>
      </c>
      <c r="BT55" s="15">
        <f t="shared" si="165"/>
        <v>1</v>
      </c>
      <c r="BU55" s="15">
        <f t="shared" si="175"/>
        <v>2</v>
      </c>
      <c r="BV55" s="15">
        <f t="shared" si="185"/>
        <v>0</v>
      </c>
      <c r="BW55" s="15">
        <f t="shared" si="195"/>
        <v>0</v>
      </c>
      <c r="BX55" s="15">
        <f t="shared" si="205"/>
        <v>0</v>
      </c>
      <c r="BY55" s="15">
        <f t="shared" si="105"/>
        <v>0</v>
      </c>
      <c r="BZ55" s="15">
        <v>4.2527299999999997</v>
      </c>
      <c r="CA55" s="15">
        <f t="shared" si="116"/>
        <v>3.16</v>
      </c>
      <c r="CB55" s="15">
        <f t="shared" si="126"/>
        <v>4.25</v>
      </c>
      <c r="CC55" s="15">
        <f t="shared" si="136"/>
        <v>2.8491900000000001</v>
      </c>
      <c r="CD55" s="15">
        <f t="shared" si="146"/>
        <v>4.2705900000000003</v>
      </c>
      <c r="CE55" s="15">
        <f t="shared" si="156"/>
        <v>3.6406200000000002</v>
      </c>
      <c r="CF55" s="15">
        <f t="shared" si="166"/>
        <v>2.4741200000000001</v>
      </c>
      <c r="CG55" s="15">
        <f t="shared" si="176"/>
        <v>3.6029599999999999</v>
      </c>
      <c r="CH55" s="15">
        <f t="shared" si="186"/>
        <v>11.126670000000001</v>
      </c>
      <c r="CI55" s="15">
        <f t="shared" si="196"/>
        <v>22.858329999999999</v>
      </c>
      <c r="CJ55" s="15">
        <f t="shared" si="206"/>
        <v>8.9574999999999996</v>
      </c>
      <c r="CK55" s="15">
        <f t="shared" si="106"/>
        <v>4.3871399999999996</v>
      </c>
      <c r="CL55" s="15">
        <v>0</v>
      </c>
      <c r="CM55" s="15">
        <f t="shared" si="117"/>
        <v>0</v>
      </c>
      <c r="CN55" s="15">
        <f t="shared" si="127"/>
        <v>0</v>
      </c>
      <c r="CO55" s="15">
        <f t="shared" si="137"/>
        <v>0</v>
      </c>
      <c r="CP55" s="15">
        <f t="shared" si="147"/>
        <v>0</v>
      </c>
      <c r="CQ55" s="15">
        <f t="shared" si="157"/>
        <v>0</v>
      </c>
      <c r="CR55" s="15">
        <f t="shared" si="167"/>
        <v>0</v>
      </c>
      <c r="CS55" s="15">
        <f t="shared" si="177"/>
        <v>0</v>
      </c>
      <c r="CT55" s="15">
        <f t="shared" si="187"/>
        <v>0</v>
      </c>
      <c r="CU55" s="15">
        <f t="shared" si="197"/>
        <v>1</v>
      </c>
      <c r="CV55" s="15">
        <f t="shared" si="207"/>
        <v>0</v>
      </c>
      <c r="CW55" s="15">
        <f t="shared" si="107"/>
        <v>0</v>
      </c>
      <c r="CX55" s="15">
        <v>76.767700000000005</v>
      </c>
      <c r="CY55" s="15">
        <f t="shared" si="118"/>
        <v>72.439700000000002</v>
      </c>
      <c r="CZ55" s="15">
        <f t="shared" si="128"/>
        <v>76.759500000000003</v>
      </c>
      <c r="DA55" s="15">
        <f t="shared" si="138"/>
        <v>70.6601</v>
      </c>
      <c r="DB55" s="15">
        <f t="shared" si="148"/>
        <v>76.821100000000001</v>
      </c>
      <c r="DC55" s="15">
        <f t="shared" si="158"/>
        <v>74.640900000000002</v>
      </c>
      <c r="DD55" s="15">
        <f t="shared" si="168"/>
        <v>67.992199999999997</v>
      </c>
      <c r="DE55" s="15">
        <f t="shared" si="178"/>
        <v>74.488</v>
      </c>
      <c r="DF55" s="15">
        <f t="shared" si="188"/>
        <v>84.864400000000003</v>
      </c>
      <c r="DG55" s="15">
        <f t="shared" si="198"/>
        <v>87.495000000000005</v>
      </c>
      <c r="DH55" s="15">
        <f t="shared" si="208"/>
        <v>83.63</v>
      </c>
      <c r="DI55" s="15">
        <f t="shared" si="108"/>
        <v>77.159499999999994</v>
      </c>
      <c r="DJ55" s="15" t="s">
        <v>21</v>
      </c>
      <c r="DK55" s="15" t="str">
        <f t="shared" si="119"/>
        <v>LH</v>
      </c>
      <c r="DL55" s="15" t="str">
        <f t="shared" si="129"/>
        <v>LH</v>
      </c>
      <c r="DM55" s="15" t="str">
        <f t="shared" si="139"/>
        <v>HH</v>
      </c>
      <c r="DN55" s="15" t="str">
        <f t="shared" si="149"/>
        <v>LH</v>
      </c>
      <c r="DO55" s="15" t="str">
        <f t="shared" si="159"/>
        <v>HH</v>
      </c>
      <c r="DP55" s="15" t="str">
        <f t="shared" si="169"/>
        <v>HH</v>
      </c>
      <c r="DQ55" s="15" t="str">
        <f t="shared" si="179"/>
        <v>HH</v>
      </c>
      <c r="DR55" s="15" t="str">
        <f t="shared" si="189"/>
        <v>LH</v>
      </c>
      <c r="DS55" s="15" t="str">
        <f t="shared" si="199"/>
        <v>HH</v>
      </c>
      <c r="DT55" s="15" t="str">
        <f t="shared" si="209"/>
        <v>HH</v>
      </c>
      <c r="DU55" s="15" t="str">
        <f t="shared" si="109"/>
        <v>LH</v>
      </c>
      <c r="DV55" s="15">
        <f>IFERROR((G55-$F55)/$F55*100,"")</f>
        <v>9.8428573879332695E-2</v>
      </c>
      <c r="DW55" s="15">
        <f>IFERROR((H55-$F55)/$F55*100,"")</f>
        <v>0.74089482081282243</v>
      </c>
      <c r="DX55" s="15">
        <f>IFERROR((I55-$F55)/$F55*100,"")</f>
        <v>0.92617213635039097</v>
      </c>
      <c r="DY55" s="15">
        <f>IFERROR((J55-$F55)/$F55*100,"")</f>
        <v>0.76920107735327692</v>
      </c>
      <c r="DZ55" s="15">
        <f>IFERROR((K55-$F55)/$F55*100,"")</f>
        <v>2.941491825496219</v>
      </c>
      <c r="EA55" s="15">
        <f>IFERROR((L55-$F55)/$F55*100,"")</f>
        <v>2.7847352078365568</v>
      </c>
      <c r="EB55" s="15">
        <f>IFERROR((M55-$F55)/$F55*100,"")</f>
        <v>1.3106654543583036</v>
      </c>
      <c r="EC55" s="15">
        <f>IFERROR((N55-$F55)/$F55*100,"")</f>
        <v>-1.7506990787600021</v>
      </c>
      <c r="ED55" s="15">
        <f>IFERROR((O55-$F55)/$F55*100,"")</f>
        <v>-0.93153316978606471</v>
      </c>
      <c r="EE55" s="15">
        <f>IFERROR((P55-$F55)/$F55*100,"")</f>
        <v>-2.8868092844521431</v>
      </c>
      <c r="EF55" s="15">
        <f>IFERROR((Q55-$F55)/$F55*100,"")</f>
        <v>-2.9899555677548721</v>
      </c>
      <c r="EG55" s="15" t="str">
        <f>IF(DV55="","",IF(AND(ABS(DV55)&lt;=0.25,$E55="Bottom",DK55="LL"),"EQL",IF(AND(ABS(DV55)&lt;=0.25,$E55="Peak",DK55="HH"),"EQH","")))</f>
        <v/>
      </c>
      <c r="EH55" s="15" t="str">
        <f>IF(DW55="","",IF(AND(ABS(DW55)&lt;=0.25,$E55="Bottom",DL55="LL"),"EQL",IF(AND(ABS(DW55)&lt;=0.25,$E55="Peak",DL55="HH"),"EQH","")))</f>
        <v/>
      </c>
      <c r="EI55" s="15" t="str">
        <f>IF(DX55="","",IF(AND(ABS(DX55)&lt;=0.25,$E55="Bottom",DM55="LL"),"EQL",IF(AND(ABS(DX55)&lt;=0.25,$E55="Peak",DM55="HH"),"EQH","")))</f>
        <v/>
      </c>
      <c r="EJ55" s="15" t="str">
        <f>IF(DY55="","",IF(AND(ABS(DY55)&lt;=0.25,$E55="Bottom",DN55="LL"),"EQL",IF(AND(ABS(DY55)&lt;=0.25,$E55="Peak",DN55="HH"),"EQH","")))</f>
        <v/>
      </c>
      <c r="EK55" s="15" t="str">
        <f>IF(DZ55="","",IF(AND(ABS(DZ55)&lt;=0.25,$E55="Bottom",DO55="LL"),"EQL",IF(AND(ABS(DZ55)&lt;=0.25,$E55="Peak",DO55="HH"),"EQH","")))</f>
        <v/>
      </c>
      <c r="EL55" s="15" t="str">
        <f>IF(EA55="","",IF(AND(ABS(EA55)&lt;=0.25,$E55="Bottom",DP55="LL"),"EQL",IF(AND(ABS(EA55)&lt;=0.25,$E55="Peak",DP55="HH"),"EQH","")))</f>
        <v/>
      </c>
      <c r="EM55" s="15" t="str">
        <f>IF(EB55="","",IF(AND(ABS(EB55)&lt;=0.25,$E55="Bottom",DQ55="LL"),"EQL",IF(AND(ABS(EB55)&lt;=0.25,$E55="Peak",DQ55="HH"),"EQH","")))</f>
        <v/>
      </c>
      <c r="EN55" s="15" t="str">
        <f>IF(EC55="","",IF(AND(ABS(EC55)&lt;=0.25,$E55="Bottom",DR55="LL"),"EQL",IF(AND(ABS(EC55)&lt;=0.25,$E55="Peak",DR55="HH"),"EQH","")))</f>
        <v/>
      </c>
      <c r="EO55" s="15" t="str">
        <f>IF(ED55="","",IF(AND(ABS(ED55)&lt;=0.25,$E55="Bottom",DS55="LL"),"EQL",IF(AND(ABS(ED55)&lt;=0.25,$E55="Peak",DS55="HH"),"EQH","")))</f>
        <v/>
      </c>
      <c r="EP55" s="15" t="str">
        <f>IF(EE55="","",IF(AND(ABS(EE55)&lt;=0.25,$E55="Bottom",DT55="LL"),"EQL",IF(AND(ABS(EE55)&lt;=0.25,$E55="Peak",DT55="HH"),"EQH","")))</f>
        <v/>
      </c>
      <c r="EQ55" s="15" t="str">
        <f>IF(EF55="","",IF(AND(ABS(EF55)&lt;=0.25,$E55="Bottom",DU55="LL"),"EQL",IF(AND(ABS(EF55)&lt;=0.25,$E55="Peak",DU55="HH"),"EQH","")))</f>
        <v/>
      </c>
      <c r="ER55" s="15" t="str">
        <f>IF(OR(EG55="EQL",EG55="EQH"),F55,"")</f>
        <v/>
      </c>
      <c r="ES55" s="15" t="str">
        <f>IF(OR(EH55="EQL",EH55="EQH"),G55,"")</f>
        <v/>
      </c>
      <c r="ET55" s="15" t="str">
        <f>IF(OR(EI55="EQL",EI55="EQH"),H55,"")</f>
        <v/>
      </c>
      <c r="EU55" s="15" t="str">
        <f>IF(OR(EJ55="EQL",EJ55="EQH"),I55,"")</f>
        <v/>
      </c>
      <c r="EV55" s="15" t="str">
        <f>IF(OR(EK55="EQL",EK55="EQH"),J55,"")</f>
        <v/>
      </c>
      <c r="EW55" s="15" t="str">
        <f>IF(OR(EL55="EQL",EL55="EQH"),K55,"")</f>
        <v/>
      </c>
      <c r="EX55" s="15" t="str">
        <f>IF(OR(EM55="EQL",EM55="EQH"),L55,"")</f>
        <v/>
      </c>
      <c r="EY55" s="15" t="str">
        <f>IF(OR(EN55="EQL",EN55="EQH"),M55,"")</f>
        <v/>
      </c>
      <c r="EZ55" s="15" t="str">
        <f>IF(OR(EO55="EQL",EO55="EQH"),N55,"")</f>
        <v/>
      </c>
      <c r="FA55" s="15" t="str">
        <f>IF(OR(EP55="EQL",EP55="EQH"),O55,"")</f>
        <v/>
      </c>
      <c r="FB55" s="15" t="str">
        <f>IF(OR(EQ55="EQL",EQ55="EQH"),P55,"")</f>
        <v/>
      </c>
      <c r="FC55" s="15" t="str">
        <f>IF(AND(EG55="EQL",OR(AQ55=4,AQ55=5)),"IEQL",IF(AND(EG55="EQH",OR(AQ55=1,AQ55=2)),"IEQH",""))</f>
        <v/>
      </c>
      <c r="FD55" s="15" t="str">
        <f>IF(AND(EH55="EQL",OR(AR55=4,AR55=5)),"IEQL",IF(AND(EH55="EQH",OR(AR55=1,AR55=2)),"IEQH",""))</f>
        <v/>
      </c>
      <c r="FE55" s="15" t="str">
        <f>IF(AND(EI55="EQL",OR(AS55=4,AS55=5)),"IEQL",IF(AND(EI55="EQH",OR(AS55=1,AS55=2)),"IEQH",""))</f>
        <v/>
      </c>
      <c r="FF55" s="15" t="str">
        <f>IF(AND(EJ55="EQL",OR(AT55=4,AT55=5)),"IEQL",IF(AND(EJ55="EQH",OR(AT55=1,AT55=2)),"IEQH",""))</f>
        <v/>
      </c>
      <c r="FG55" s="15" t="str">
        <f>IF(AND(EK55="EQL",OR(AU55=4,AU55=5)),"IEQL",IF(AND(EK55="EQH",OR(AU55=1,AU55=2)),"IEQH",""))</f>
        <v/>
      </c>
      <c r="FH55" s="15" t="str">
        <f>IF(AND(EL55="EQL",OR(AV55=4,AV55=5)),"IEQL",IF(AND(EL55="EQH",OR(AV55=1,AV55=2)),"IEQH",""))</f>
        <v/>
      </c>
      <c r="FI55" s="15" t="str">
        <f>IF(AND(EM55="EQL",OR(AW55=4,AW55=5)),"IEQL",IF(AND(EM55="EQH",OR(AW55=1,AW55=2)),"IEQH",""))</f>
        <v/>
      </c>
      <c r="FJ55" s="15" t="str">
        <f>IF(AND(EN55="EQL",OR(AX55=4,AX55=5)),"IEQL",IF(AND(EN55="EQH",OR(AX55=1,AX55=2)),"IEQH",""))</f>
        <v/>
      </c>
      <c r="FK55" s="15" t="str">
        <f>IF(AND(EO55="EQL",OR(AY55=4,AY55=5)),"IEQL",IF(AND(EO55="EQH",OR(AY55=1,AY55=2)),"IEQH",""))</f>
        <v/>
      </c>
      <c r="FL55" s="15" t="str">
        <f>IF(AND(EP55="EQL",OR(AZ55=4,AZ55=5)),"IEQL",IF(AND(EP55="EQH",OR(AZ55=1,AZ55=2)),"IEQH",""))</f>
        <v/>
      </c>
      <c r="FM55" s="15" t="str">
        <f>IF(AND(EQ55="EQL",OR(BA55=4,BA55=5)),"IEQL",IF(AND(EQ55="EQH",OR(BA55=1,BA55=2)),"IEQH",""))</f>
        <v/>
      </c>
      <c r="FN55" s="15" t="str">
        <f>IF(OR(AND(DJ55="LL",AP55=5),AND(DJ55="HH",AP55=2)),F55,"")</f>
        <v/>
      </c>
      <c r="FO55" s="15" t="str">
        <f>IF(FN55&lt;&gt;"",F54,"")</f>
        <v/>
      </c>
    </row>
    <row r="56" spans="1:171" s="15" customFormat="1" x14ac:dyDescent="0.55000000000000004">
      <c r="A56" s="15">
        <v>1775539806</v>
      </c>
      <c r="B56" s="15" t="s">
        <v>16</v>
      </c>
      <c r="C56" s="15" t="s">
        <v>17</v>
      </c>
      <c r="D56" s="15">
        <v>4631.75</v>
      </c>
      <c r="E56" s="15" t="s">
        <v>18</v>
      </c>
      <c r="F56" s="15">
        <v>4623.4799999999996</v>
      </c>
      <c r="G56" s="15">
        <f t="shared" si="110"/>
        <v>4616.5</v>
      </c>
      <c r="H56" s="15">
        <f t="shared" si="120"/>
        <v>4645.75</v>
      </c>
      <c r="I56" s="15">
        <f t="shared" si="130"/>
        <v>4659.58</v>
      </c>
      <c r="J56" s="15">
        <f t="shared" si="140"/>
        <v>4601.05</v>
      </c>
      <c r="K56" s="15">
        <f t="shared" si="150"/>
        <v>4553.95</v>
      </c>
      <c r="L56" s="15">
        <f t="shared" si="160"/>
        <v>4742.2</v>
      </c>
      <c r="M56" s="15">
        <f t="shared" si="170"/>
        <v>4666.96</v>
      </c>
      <c r="N56" s="15">
        <f t="shared" si="180"/>
        <v>4529.84</v>
      </c>
      <c r="O56" s="15">
        <f t="shared" si="190"/>
        <v>4548.26</v>
      </c>
      <c r="P56" s="15">
        <f t="shared" si="200"/>
        <v>4482.6899999999996</v>
      </c>
      <c r="Q56" s="15">
        <f t="shared" ref="Q56:Q87" si="210">F34</f>
        <v>4492.83</v>
      </c>
      <c r="R56" s="15">
        <v>-39.799999999999997</v>
      </c>
      <c r="S56" s="15">
        <f t="shared" si="111"/>
        <v>-51.37</v>
      </c>
      <c r="T56" s="15">
        <f t="shared" si="121"/>
        <v>-52.08</v>
      </c>
      <c r="U56" s="15">
        <f t="shared" si="131"/>
        <v>-46.89</v>
      </c>
      <c r="V56" s="15">
        <f t="shared" si="141"/>
        <v>-98.1</v>
      </c>
      <c r="W56" s="15">
        <f t="shared" si="151"/>
        <v>-246.5</v>
      </c>
      <c r="X56" s="15">
        <f t="shared" si="161"/>
        <v>-50.94</v>
      </c>
      <c r="Y56" s="15">
        <f t="shared" si="171"/>
        <v>-57.44</v>
      </c>
      <c r="Z56" s="15">
        <f t="shared" si="181"/>
        <v>-51.8</v>
      </c>
      <c r="AA56" s="15">
        <f t="shared" si="191"/>
        <v>-71.58</v>
      </c>
      <c r="AB56" s="15">
        <f t="shared" si="201"/>
        <v>-45.97</v>
      </c>
      <c r="AC56" s="15">
        <f t="shared" ref="AC56:AC87" si="211">R34</f>
        <v>-31.02</v>
      </c>
      <c r="AD56" s="15">
        <v>-0.85</v>
      </c>
      <c r="AE56" s="15">
        <f t="shared" si="112"/>
        <v>-1.1000000000000001</v>
      </c>
      <c r="AF56" s="15">
        <f t="shared" si="122"/>
        <v>-1.1100000000000001</v>
      </c>
      <c r="AG56" s="15">
        <f t="shared" si="132"/>
        <v>-1</v>
      </c>
      <c r="AH56" s="15">
        <f t="shared" si="142"/>
        <v>-2.09</v>
      </c>
      <c r="AI56" s="15">
        <f t="shared" si="152"/>
        <v>-5.13</v>
      </c>
      <c r="AJ56" s="15">
        <f t="shared" si="162"/>
        <v>-1.06</v>
      </c>
      <c r="AK56" s="15">
        <f t="shared" si="172"/>
        <v>-1.22</v>
      </c>
      <c r="AL56" s="15">
        <f t="shared" si="182"/>
        <v>-1.1299999999999999</v>
      </c>
      <c r="AM56" s="15">
        <f t="shared" si="192"/>
        <v>-1.55</v>
      </c>
      <c r="AN56" s="15">
        <f t="shared" si="202"/>
        <v>-1.02</v>
      </c>
      <c r="AO56" s="15">
        <f t="shared" ref="AO56:AO87" si="212">AD34</f>
        <v>-0.69</v>
      </c>
      <c r="AP56" s="15">
        <v>3</v>
      </c>
      <c r="AQ56" s="15">
        <f t="shared" si="113"/>
        <v>3</v>
      </c>
      <c r="AR56" s="15">
        <f t="shared" si="123"/>
        <v>3</v>
      </c>
      <c r="AS56" s="15">
        <f t="shared" si="133"/>
        <v>3</v>
      </c>
      <c r="AT56" s="15">
        <f t="shared" si="143"/>
        <v>3</v>
      </c>
      <c r="AU56" s="15">
        <f t="shared" si="153"/>
        <v>3</v>
      </c>
      <c r="AV56" s="15">
        <f t="shared" si="163"/>
        <v>3</v>
      </c>
      <c r="AW56" s="15">
        <f t="shared" si="173"/>
        <v>3</v>
      </c>
      <c r="AX56" s="15">
        <f t="shared" si="183"/>
        <v>3</v>
      </c>
      <c r="AY56" s="15">
        <f t="shared" si="193"/>
        <v>3</v>
      </c>
      <c r="AZ56" s="15">
        <f t="shared" si="203"/>
        <v>3</v>
      </c>
      <c r="BA56" s="15">
        <f t="shared" ref="BA56:BA87" si="213">AP34</f>
        <v>3</v>
      </c>
      <c r="BB56" s="15">
        <v>4</v>
      </c>
      <c r="BC56" s="15">
        <f t="shared" si="114"/>
        <v>15</v>
      </c>
      <c r="BD56" s="15">
        <f t="shared" si="124"/>
        <v>19</v>
      </c>
      <c r="BE56" s="15">
        <f t="shared" si="134"/>
        <v>11</v>
      </c>
      <c r="BF56" s="15">
        <f t="shared" si="144"/>
        <v>35</v>
      </c>
      <c r="BG56" s="15">
        <f t="shared" si="154"/>
        <v>26</v>
      </c>
      <c r="BH56" s="15">
        <f t="shared" si="164"/>
        <v>6</v>
      </c>
      <c r="BI56" s="15">
        <f t="shared" si="174"/>
        <v>13</v>
      </c>
      <c r="BJ56" s="15">
        <f t="shared" si="184"/>
        <v>19</v>
      </c>
      <c r="BK56" s="15">
        <f t="shared" si="194"/>
        <v>13</v>
      </c>
      <c r="BL56" s="15">
        <f t="shared" si="204"/>
        <v>1</v>
      </c>
      <c r="BM56" s="15">
        <f t="shared" ref="BM56:BM87" si="214">BB34</f>
        <v>4</v>
      </c>
      <c r="BN56" s="15">
        <v>3</v>
      </c>
      <c r="BO56" s="15">
        <f t="shared" si="115"/>
        <v>3</v>
      </c>
      <c r="BP56" s="15">
        <f t="shared" si="125"/>
        <v>3</v>
      </c>
      <c r="BQ56" s="15">
        <f t="shared" si="135"/>
        <v>3</v>
      </c>
      <c r="BR56" s="15">
        <f t="shared" si="145"/>
        <v>3</v>
      </c>
      <c r="BS56" s="15">
        <f t="shared" si="155"/>
        <v>3</v>
      </c>
      <c r="BT56" s="15">
        <f t="shared" si="165"/>
        <v>3</v>
      </c>
      <c r="BU56" s="15">
        <f t="shared" si="175"/>
        <v>3</v>
      </c>
      <c r="BV56" s="15">
        <f t="shared" si="185"/>
        <v>3</v>
      </c>
      <c r="BW56" s="15">
        <f t="shared" si="195"/>
        <v>3</v>
      </c>
      <c r="BX56" s="15">
        <f t="shared" si="205"/>
        <v>3</v>
      </c>
      <c r="BY56" s="15">
        <f t="shared" ref="BY56:BY87" si="215">BN34</f>
        <v>3</v>
      </c>
      <c r="BZ56" s="15">
        <v>-9.9499999999999993</v>
      </c>
      <c r="CA56" s="15">
        <f t="shared" si="116"/>
        <v>-3.4246699999999999</v>
      </c>
      <c r="CB56" s="15">
        <f t="shared" si="126"/>
        <v>-2.74105</v>
      </c>
      <c r="CC56" s="15">
        <f t="shared" si="136"/>
        <v>-4.2627300000000004</v>
      </c>
      <c r="CD56" s="15">
        <f t="shared" si="146"/>
        <v>-2.8028599999999999</v>
      </c>
      <c r="CE56" s="15">
        <f t="shared" si="156"/>
        <v>-9.4807699999999997</v>
      </c>
      <c r="CF56" s="15">
        <f t="shared" si="166"/>
        <v>-8.49</v>
      </c>
      <c r="CG56" s="15">
        <f t="shared" si="176"/>
        <v>-4.4184599999999996</v>
      </c>
      <c r="CH56" s="15">
        <f t="shared" si="186"/>
        <v>-2.7263199999999999</v>
      </c>
      <c r="CI56" s="15">
        <f t="shared" si="196"/>
        <v>-5.5061499999999999</v>
      </c>
      <c r="CJ56" s="15">
        <f t="shared" si="206"/>
        <v>-45.97</v>
      </c>
      <c r="CK56" s="15">
        <f t="shared" ref="CK56:CK87" si="216">BZ34</f>
        <v>-7.7549999999999999</v>
      </c>
      <c r="CL56" s="15">
        <v>3</v>
      </c>
      <c r="CM56" s="15">
        <f t="shared" si="117"/>
        <v>3</v>
      </c>
      <c r="CN56" s="15">
        <f t="shared" si="127"/>
        <v>3</v>
      </c>
      <c r="CO56" s="15">
        <f t="shared" si="137"/>
        <v>3</v>
      </c>
      <c r="CP56" s="15">
        <f t="shared" si="147"/>
        <v>3</v>
      </c>
      <c r="CQ56" s="15">
        <f t="shared" si="157"/>
        <v>3</v>
      </c>
      <c r="CR56" s="15">
        <f t="shared" si="167"/>
        <v>3</v>
      </c>
      <c r="CS56" s="15">
        <f t="shared" si="177"/>
        <v>3</v>
      </c>
      <c r="CT56" s="15">
        <f t="shared" si="187"/>
        <v>3</v>
      </c>
      <c r="CU56" s="15">
        <f t="shared" si="197"/>
        <v>3</v>
      </c>
      <c r="CV56" s="15">
        <f t="shared" si="207"/>
        <v>5</v>
      </c>
      <c r="CW56" s="15">
        <f t="shared" ref="CW56:CW87" si="217">CL34</f>
        <v>3</v>
      </c>
      <c r="CX56" s="15">
        <v>-84.260900000000007</v>
      </c>
      <c r="CY56" s="15">
        <f t="shared" si="118"/>
        <v>-73.722200000000001</v>
      </c>
      <c r="CZ56" s="15">
        <f t="shared" si="128"/>
        <v>-69.956800000000001</v>
      </c>
      <c r="DA56" s="15">
        <f t="shared" si="138"/>
        <v>-76.797600000000003</v>
      </c>
      <c r="DB56" s="15">
        <f t="shared" si="148"/>
        <v>-70.364699999999999</v>
      </c>
      <c r="DC56" s="15">
        <f t="shared" si="158"/>
        <v>-83.978899999999996</v>
      </c>
      <c r="DD56" s="15">
        <f t="shared" si="168"/>
        <v>-83.282300000000006</v>
      </c>
      <c r="DE56" s="15">
        <f t="shared" si="178"/>
        <v>-77.247500000000002</v>
      </c>
      <c r="DF56" s="15">
        <f t="shared" si="188"/>
        <v>-69.857200000000006</v>
      </c>
      <c r="DG56" s="15">
        <f t="shared" si="198"/>
        <v>-79.706400000000002</v>
      </c>
      <c r="DH56" s="15">
        <f t="shared" si="208"/>
        <v>-88.753799999999998</v>
      </c>
      <c r="DI56" s="15">
        <f t="shared" ref="DI56:DI87" si="218">CX34</f>
        <v>-82.652299999999997</v>
      </c>
      <c r="DJ56" s="15" t="s">
        <v>22</v>
      </c>
      <c r="DK56" s="15" t="str">
        <f t="shared" si="119"/>
        <v>LL</v>
      </c>
      <c r="DL56" s="15" t="str">
        <f t="shared" si="129"/>
        <v>LL</v>
      </c>
      <c r="DM56" s="15" t="str">
        <f t="shared" si="139"/>
        <v>HL</v>
      </c>
      <c r="DN56" s="15" t="str">
        <f t="shared" si="149"/>
        <v>HL</v>
      </c>
      <c r="DO56" s="15" t="str">
        <f t="shared" si="159"/>
        <v>LL</v>
      </c>
      <c r="DP56" s="15" t="str">
        <f t="shared" si="169"/>
        <v>HL</v>
      </c>
      <c r="DQ56" s="15" t="str">
        <f t="shared" si="179"/>
        <v>HL</v>
      </c>
      <c r="DR56" s="15" t="str">
        <f t="shared" si="189"/>
        <v>LL</v>
      </c>
      <c r="DS56" s="15" t="str">
        <f t="shared" si="199"/>
        <v>HL</v>
      </c>
      <c r="DT56" s="15" t="str">
        <f t="shared" si="209"/>
        <v>LL</v>
      </c>
      <c r="DU56" s="15" t="str">
        <f t="shared" ref="DU56:DU87" si="219">DJ34</f>
        <v>LL</v>
      </c>
      <c r="DV56" s="15">
        <f>IFERROR((G56-$F56)/$F56*100,"")</f>
        <v>-0.15096853452376918</v>
      </c>
      <c r="DW56" s="15">
        <f>IFERROR((H56-$F56)/$F56*100,"")</f>
        <v>0.48167181430438627</v>
      </c>
      <c r="DX56" s="15">
        <f>IFERROR((I56-$F56)/$F56*100,"")</f>
        <v>0.78079714846826132</v>
      </c>
      <c r="DY56" s="15">
        <f>IFERROR((J56-$F56)/$F56*100,"")</f>
        <v>-0.48513241108427818</v>
      </c>
      <c r="DZ56" s="15">
        <f>IFERROR((K56-$F56)/$F56*100,"")</f>
        <v>-1.503845588171675</v>
      </c>
      <c r="EA56" s="15">
        <f>IFERROR((L56-$F56)/$F56*100,"")</f>
        <v>2.5677628106967103</v>
      </c>
      <c r="EB56" s="15">
        <f>IFERROR((M56-$F56)/$F56*100,"")</f>
        <v>0.94041717494182908</v>
      </c>
      <c r="EC56" s="15">
        <f>IFERROR((N56-$F56)/$F56*100,"")</f>
        <v>-2.0253142654450635</v>
      </c>
      <c r="ED56" s="15">
        <f>IFERROR((O56-$F56)/$F56*100,"")</f>
        <v>-1.6269130611573825</v>
      </c>
      <c r="EE56" s="15">
        <f>IFERROR((P56-$F56)/$F56*100,"")</f>
        <v>-3.0451088790261873</v>
      </c>
      <c r="EF56" s="15">
        <f>IFERROR((Q56-$F56)/$F56*100,"")</f>
        <v>-2.8257935580990865</v>
      </c>
      <c r="EG56" s="15" t="str">
        <f>IF(DV56="","",IF(AND(ABS(DV56)&lt;=0.25,$E56="Bottom",DK56="LL"),"EQL",IF(AND(ABS(DV56)&lt;=0.25,$E56="Peak",DK56="HH"),"EQH","")))</f>
        <v>EQL</v>
      </c>
      <c r="EH56" s="15" t="str">
        <f>IF(DW56="","",IF(AND(ABS(DW56)&lt;=0.25,$E56="Bottom",DL56="LL"),"EQL",IF(AND(ABS(DW56)&lt;=0.25,$E56="Peak",DL56="HH"),"EQH","")))</f>
        <v/>
      </c>
      <c r="EI56" s="15" t="str">
        <f>IF(DX56="","",IF(AND(ABS(DX56)&lt;=0.25,$E56="Bottom",DM56="LL"),"EQL",IF(AND(ABS(DX56)&lt;=0.25,$E56="Peak",DM56="HH"),"EQH","")))</f>
        <v/>
      </c>
      <c r="EJ56" s="15" t="str">
        <f>IF(DY56="","",IF(AND(ABS(DY56)&lt;=0.25,$E56="Bottom",DN56="LL"),"EQL",IF(AND(ABS(DY56)&lt;=0.25,$E56="Peak",DN56="HH"),"EQH","")))</f>
        <v/>
      </c>
      <c r="EK56" s="15" t="str">
        <f>IF(DZ56="","",IF(AND(ABS(DZ56)&lt;=0.25,$E56="Bottom",DO56="LL"),"EQL",IF(AND(ABS(DZ56)&lt;=0.25,$E56="Peak",DO56="HH"),"EQH","")))</f>
        <v/>
      </c>
      <c r="EL56" s="15" t="str">
        <f>IF(EA56="","",IF(AND(ABS(EA56)&lt;=0.25,$E56="Bottom",DP56="LL"),"EQL",IF(AND(ABS(EA56)&lt;=0.25,$E56="Peak",DP56="HH"),"EQH","")))</f>
        <v/>
      </c>
      <c r="EM56" s="15" t="str">
        <f>IF(EB56="","",IF(AND(ABS(EB56)&lt;=0.25,$E56="Bottom",DQ56="LL"),"EQL",IF(AND(ABS(EB56)&lt;=0.25,$E56="Peak",DQ56="HH"),"EQH","")))</f>
        <v/>
      </c>
      <c r="EN56" s="15" t="str">
        <f>IF(EC56="","",IF(AND(ABS(EC56)&lt;=0.25,$E56="Bottom",DR56="LL"),"EQL",IF(AND(ABS(EC56)&lt;=0.25,$E56="Peak",DR56="HH"),"EQH","")))</f>
        <v/>
      </c>
      <c r="EO56" s="15" t="str">
        <f>IF(ED56="","",IF(AND(ABS(ED56)&lt;=0.25,$E56="Bottom",DS56="LL"),"EQL",IF(AND(ABS(ED56)&lt;=0.25,$E56="Peak",DS56="HH"),"EQH","")))</f>
        <v/>
      </c>
      <c r="EP56" s="15" t="str">
        <f>IF(EE56="","",IF(AND(ABS(EE56)&lt;=0.25,$E56="Bottom",DT56="LL"),"EQL",IF(AND(ABS(EE56)&lt;=0.25,$E56="Peak",DT56="HH"),"EQH","")))</f>
        <v/>
      </c>
      <c r="EQ56" s="15" t="str">
        <f>IF(EF56="","",IF(AND(ABS(EF56)&lt;=0.25,$E56="Bottom",DU56="LL"),"EQL",IF(AND(ABS(EF56)&lt;=0.25,$E56="Peak",DU56="HH"),"EQH","")))</f>
        <v/>
      </c>
      <c r="ER56" s="15">
        <f>IF(OR(EG56="EQL",EG56="EQH"),F56,"")</f>
        <v>4623.4799999999996</v>
      </c>
      <c r="ES56" s="15" t="str">
        <f>IF(OR(EH56="EQL",EH56="EQH"),G56,"")</f>
        <v/>
      </c>
      <c r="ET56" s="15" t="str">
        <f>IF(OR(EI56="EQL",EI56="EQH"),H56,"")</f>
        <v/>
      </c>
      <c r="EU56" s="15" t="str">
        <f>IF(OR(EJ56="EQL",EJ56="EQH"),I56,"")</f>
        <v/>
      </c>
      <c r="EV56" s="15" t="str">
        <f>IF(OR(EK56="EQL",EK56="EQH"),J56,"")</f>
        <v/>
      </c>
      <c r="EW56" s="15" t="str">
        <f>IF(OR(EL56="EQL",EL56="EQH"),K56,"")</f>
        <v/>
      </c>
      <c r="EX56" s="15" t="str">
        <f>IF(OR(EM56="EQL",EM56="EQH"),L56,"")</f>
        <v/>
      </c>
      <c r="EY56" s="15" t="str">
        <f>IF(OR(EN56="EQL",EN56="EQH"),M56,"")</f>
        <v/>
      </c>
      <c r="EZ56" s="15" t="str">
        <f>IF(OR(EO56="EQL",EO56="EQH"),N56,"")</f>
        <v/>
      </c>
      <c r="FA56" s="15" t="str">
        <f>IF(OR(EP56="EQL",EP56="EQH"),O56,"")</f>
        <v/>
      </c>
      <c r="FB56" s="15" t="str">
        <f>IF(OR(EQ56="EQL",EQ56="EQH"),P56,"")</f>
        <v/>
      </c>
      <c r="FC56" s="15" t="str">
        <f>IF(AND(EG56="EQL",OR(AQ56=4,AQ56=5)),"IEQL",IF(AND(EG56="EQH",OR(AQ56=1,AQ56=2)),"IEQH",""))</f>
        <v/>
      </c>
      <c r="FD56" s="15" t="str">
        <f>IF(AND(EH56="EQL",OR(AR56=4,AR56=5)),"IEQL",IF(AND(EH56="EQH",OR(AR56=1,AR56=2)),"IEQH",""))</f>
        <v/>
      </c>
      <c r="FE56" s="15" t="str">
        <f>IF(AND(EI56="EQL",OR(AS56=4,AS56=5)),"IEQL",IF(AND(EI56="EQH",OR(AS56=1,AS56=2)),"IEQH",""))</f>
        <v/>
      </c>
      <c r="FF56" s="15" t="str">
        <f>IF(AND(EJ56="EQL",OR(AT56=4,AT56=5)),"IEQL",IF(AND(EJ56="EQH",OR(AT56=1,AT56=2)),"IEQH",""))</f>
        <v/>
      </c>
      <c r="FG56" s="15" t="str">
        <f>IF(AND(EK56="EQL",OR(AU56=4,AU56=5)),"IEQL",IF(AND(EK56="EQH",OR(AU56=1,AU56=2)),"IEQH",""))</f>
        <v/>
      </c>
      <c r="FH56" s="15" t="str">
        <f>IF(AND(EL56="EQL",OR(AV56=4,AV56=5)),"IEQL",IF(AND(EL56="EQH",OR(AV56=1,AV56=2)),"IEQH",""))</f>
        <v/>
      </c>
      <c r="FI56" s="15" t="str">
        <f>IF(AND(EM56="EQL",OR(AW56=4,AW56=5)),"IEQL",IF(AND(EM56="EQH",OR(AW56=1,AW56=2)),"IEQH",""))</f>
        <v/>
      </c>
      <c r="FJ56" s="15" t="str">
        <f>IF(AND(EN56="EQL",OR(AX56=4,AX56=5)),"IEQL",IF(AND(EN56="EQH",OR(AX56=1,AX56=2)),"IEQH",""))</f>
        <v/>
      </c>
      <c r="FK56" s="15" t="str">
        <f>IF(AND(EO56="EQL",OR(AY56=4,AY56=5)),"IEQL",IF(AND(EO56="EQH",OR(AY56=1,AY56=2)),"IEQH",""))</f>
        <v/>
      </c>
      <c r="FL56" s="15" t="str">
        <f>IF(AND(EP56="EQL",OR(AZ56=4,AZ56=5)),"IEQL",IF(AND(EP56="EQH",OR(AZ56=1,AZ56=2)),"IEQH",""))</f>
        <v/>
      </c>
      <c r="FM56" s="15" t="str">
        <f>IF(AND(EQ56="EQL",OR(BA56=4,BA56=5)),"IEQL",IF(AND(EQ56="EQH",OR(BA56=1,BA56=2)),"IEQH",""))</f>
        <v/>
      </c>
      <c r="FN56" s="15" t="str">
        <f>IF(OR(AND(DJ56="LL",AP56=5),AND(DJ56="HH",AP56=2)),F56,"")</f>
        <v/>
      </c>
      <c r="FO56" s="15" t="str">
        <f>IF(FN56&lt;&gt;"",F55,"")</f>
        <v/>
      </c>
    </row>
    <row r="57" spans="1:171" s="15" customFormat="1" x14ac:dyDescent="0.55000000000000004">
      <c r="A57" s="15">
        <v>1775553306</v>
      </c>
      <c r="B57" s="15" t="s">
        <v>16</v>
      </c>
      <c r="C57" s="15" t="s">
        <v>17</v>
      </c>
      <c r="D57" s="15">
        <v>4686.92</v>
      </c>
      <c r="E57" s="15" t="s">
        <v>20</v>
      </c>
      <c r="F57" s="15">
        <v>4694.3100000000004</v>
      </c>
      <c r="G57" s="15">
        <f t="shared" si="110"/>
        <v>4663.28</v>
      </c>
      <c r="H57" s="15">
        <f t="shared" si="120"/>
        <v>4667.87</v>
      </c>
      <c r="I57" s="15">
        <f t="shared" si="130"/>
        <v>4697.83</v>
      </c>
      <c r="J57" s="15">
        <f t="shared" si="140"/>
        <v>4706.47</v>
      </c>
      <c r="K57" s="15">
        <f t="shared" si="150"/>
        <v>4699.1499999999996</v>
      </c>
      <c r="L57" s="15">
        <f t="shared" si="160"/>
        <v>4800.45</v>
      </c>
      <c r="M57" s="15">
        <f t="shared" si="170"/>
        <v>4793.1400000000003</v>
      </c>
      <c r="N57" s="15">
        <f t="shared" si="180"/>
        <v>4724.3999999999996</v>
      </c>
      <c r="O57" s="15">
        <f t="shared" si="190"/>
        <v>4581.6400000000003</v>
      </c>
      <c r="P57" s="15">
        <f t="shared" si="200"/>
        <v>4619.84</v>
      </c>
      <c r="Q57" s="15">
        <f t="shared" si="210"/>
        <v>4528.66</v>
      </c>
      <c r="R57" s="15">
        <v>70.83</v>
      </c>
      <c r="S57" s="15">
        <f t="shared" si="111"/>
        <v>46.78</v>
      </c>
      <c r="T57" s="15">
        <f t="shared" si="121"/>
        <v>22.12</v>
      </c>
      <c r="U57" s="15">
        <f t="shared" si="131"/>
        <v>38.25</v>
      </c>
      <c r="V57" s="15">
        <f t="shared" si="141"/>
        <v>105.42</v>
      </c>
      <c r="W57" s="15">
        <f t="shared" si="151"/>
        <v>145.19999999999999</v>
      </c>
      <c r="X57" s="15">
        <f t="shared" si="161"/>
        <v>58.25</v>
      </c>
      <c r="Y57" s="15">
        <f t="shared" si="171"/>
        <v>126.18</v>
      </c>
      <c r="Z57" s="15">
        <f t="shared" si="181"/>
        <v>194.56</v>
      </c>
      <c r="AA57" s="15">
        <f t="shared" si="191"/>
        <v>33.380000000000003</v>
      </c>
      <c r="AB57" s="15">
        <f t="shared" si="201"/>
        <v>137.15</v>
      </c>
      <c r="AC57" s="15">
        <f t="shared" si="211"/>
        <v>35.83</v>
      </c>
      <c r="AD57" s="15">
        <v>1.53</v>
      </c>
      <c r="AE57" s="15">
        <f t="shared" si="112"/>
        <v>1.01</v>
      </c>
      <c r="AF57" s="15">
        <f t="shared" si="122"/>
        <v>0.48</v>
      </c>
      <c r="AG57" s="15">
        <f t="shared" si="132"/>
        <v>0.82</v>
      </c>
      <c r="AH57" s="15">
        <f t="shared" si="142"/>
        <v>2.29</v>
      </c>
      <c r="AI57" s="15">
        <f t="shared" si="152"/>
        <v>3.19</v>
      </c>
      <c r="AJ57" s="15">
        <f t="shared" si="162"/>
        <v>1.23</v>
      </c>
      <c r="AK57" s="15">
        <f t="shared" si="172"/>
        <v>2.7</v>
      </c>
      <c r="AL57" s="15">
        <f t="shared" si="182"/>
        <v>4.3</v>
      </c>
      <c r="AM57" s="15">
        <f t="shared" si="192"/>
        <v>0.73</v>
      </c>
      <c r="AN57" s="15">
        <f t="shared" si="202"/>
        <v>3.06</v>
      </c>
      <c r="AO57" s="15">
        <f t="shared" si="212"/>
        <v>0.8</v>
      </c>
      <c r="AP57" s="15">
        <v>0</v>
      </c>
      <c r="AQ57" s="15">
        <f t="shared" si="113"/>
        <v>0</v>
      </c>
      <c r="AR57" s="15">
        <f t="shared" si="123"/>
        <v>0</v>
      </c>
      <c r="AS57" s="15">
        <f t="shared" si="133"/>
        <v>0</v>
      </c>
      <c r="AT57" s="15">
        <f t="shared" si="143"/>
        <v>0</v>
      </c>
      <c r="AU57" s="15">
        <f t="shared" si="153"/>
        <v>0</v>
      </c>
      <c r="AV57" s="15">
        <f t="shared" si="163"/>
        <v>0</v>
      </c>
      <c r="AW57" s="15">
        <f t="shared" si="173"/>
        <v>0</v>
      </c>
      <c r="AX57" s="15">
        <f t="shared" si="183"/>
        <v>0</v>
      </c>
      <c r="AY57" s="15">
        <f t="shared" si="193"/>
        <v>0</v>
      </c>
      <c r="AZ57" s="15">
        <f t="shared" si="203"/>
        <v>0</v>
      </c>
      <c r="BA57" s="15">
        <f t="shared" si="213"/>
        <v>0</v>
      </c>
      <c r="BB57" s="15">
        <v>15</v>
      </c>
      <c r="BC57" s="15">
        <f t="shared" si="114"/>
        <v>11</v>
      </c>
      <c r="BD57" s="15">
        <f t="shared" si="124"/>
        <v>7</v>
      </c>
      <c r="BE57" s="15">
        <f t="shared" si="134"/>
        <v>9</v>
      </c>
      <c r="BF57" s="15">
        <f t="shared" si="144"/>
        <v>37</v>
      </c>
      <c r="BG57" s="15">
        <f t="shared" si="154"/>
        <v>34</v>
      </c>
      <c r="BH57" s="15">
        <f t="shared" si="164"/>
        <v>16</v>
      </c>
      <c r="BI57" s="15">
        <f t="shared" si="174"/>
        <v>51</v>
      </c>
      <c r="BJ57" s="15">
        <f t="shared" si="184"/>
        <v>54</v>
      </c>
      <c r="BK57" s="15">
        <f t="shared" si="194"/>
        <v>3</v>
      </c>
      <c r="BL57" s="15">
        <f t="shared" si="204"/>
        <v>6</v>
      </c>
      <c r="BM57" s="15">
        <f t="shared" si="214"/>
        <v>4</v>
      </c>
      <c r="BN57" s="15">
        <v>0</v>
      </c>
      <c r="BO57" s="15">
        <f t="shared" si="115"/>
        <v>0</v>
      </c>
      <c r="BP57" s="15">
        <f t="shared" si="125"/>
        <v>0</v>
      </c>
      <c r="BQ57" s="15">
        <f t="shared" si="135"/>
        <v>0</v>
      </c>
      <c r="BR57" s="15">
        <f t="shared" si="145"/>
        <v>0</v>
      </c>
      <c r="BS57" s="15">
        <f t="shared" si="155"/>
        <v>0</v>
      </c>
      <c r="BT57" s="15">
        <f t="shared" si="165"/>
        <v>0</v>
      </c>
      <c r="BU57" s="15">
        <f t="shared" si="175"/>
        <v>1</v>
      </c>
      <c r="BV57" s="15">
        <f t="shared" si="185"/>
        <v>2</v>
      </c>
      <c r="BW57" s="15">
        <f t="shared" si="195"/>
        <v>0</v>
      </c>
      <c r="BX57" s="15">
        <f t="shared" si="205"/>
        <v>0</v>
      </c>
      <c r="BY57" s="15">
        <f t="shared" si="215"/>
        <v>0</v>
      </c>
      <c r="BZ57" s="15">
        <v>4.7220000000000004</v>
      </c>
      <c r="CA57" s="15">
        <f t="shared" si="116"/>
        <v>4.2527299999999997</v>
      </c>
      <c r="CB57" s="15">
        <f t="shared" si="126"/>
        <v>3.16</v>
      </c>
      <c r="CC57" s="15">
        <f t="shared" si="136"/>
        <v>4.25</v>
      </c>
      <c r="CD57" s="15">
        <f t="shared" si="146"/>
        <v>2.8491900000000001</v>
      </c>
      <c r="CE57" s="15">
        <f t="shared" si="156"/>
        <v>4.2705900000000003</v>
      </c>
      <c r="CF57" s="15">
        <f t="shared" si="166"/>
        <v>3.6406200000000002</v>
      </c>
      <c r="CG57" s="15">
        <f t="shared" si="176"/>
        <v>2.4741200000000001</v>
      </c>
      <c r="CH57" s="15">
        <f t="shared" si="186"/>
        <v>3.6029599999999999</v>
      </c>
      <c r="CI57" s="15">
        <f t="shared" si="196"/>
        <v>11.126670000000001</v>
      </c>
      <c r="CJ57" s="15">
        <f t="shared" si="206"/>
        <v>22.858329999999999</v>
      </c>
      <c r="CK57" s="15">
        <f t="shared" si="216"/>
        <v>8.9574999999999996</v>
      </c>
      <c r="CL57" s="15">
        <v>0</v>
      </c>
      <c r="CM57" s="15">
        <f t="shared" si="117"/>
        <v>0</v>
      </c>
      <c r="CN57" s="15">
        <f t="shared" si="127"/>
        <v>0</v>
      </c>
      <c r="CO57" s="15">
        <f t="shared" si="137"/>
        <v>0</v>
      </c>
      <c r="CP57" s="15">
        <f t="shared" si="147"/>
        <v>0</v>
      </c>
      <c r="CQ57" s="15">
        <f t="shared" si="157"/>
        <v>0</v>
      </c>
      <c r="CR57" s="15">
        <f t="shared" si="167"/>
        <v>0</v>
      </c>
      <c r="CS57" s="15">
        <f t="shared" si="177"/>
        <v>0</v>
      </c>
      <c r="CT57" s="15">
        <f t="shared" si="187"/>
        <v>0</v>
      </c>
      <c r="CU57" s="15">
        <f t="shared" si="197"/>
        <v>0</v>
      </c>
      <c r="CV57" s="15">
        <f t="shared" si="207"/>
        <v>1</v>
      </c>
      <c r="CW57" s="15">
        <f t="shared" si="217"/>
        <v>0</v>
      </c>
      <c r="CX57" s="15">
        <v>78.042900000000003</v>
      </c>
      <c r="CY57" s="15">
        <f t="shared" si="118"/>
        <v>76.767700000000005</v>
      </c>
      <c r="CZ57" s="15">
        <f t="shared" si="128"/>
        <v>72.439700000000002</v>
      </c>
      <c r="DA57" s="15">
        <f t="shared" si="138"/>
        <v>76.759500000000003</v>
      </c>
      <c r="DB57" s="15">
        <f t="shared" si="148"/>
        <v>70.6601</v>
      </c>
      <c r="DC57" s="15">
        <f t="shared" si="158"/>
        <v>76.821100000000001</v>
      </c>
      <c r="DD57" s="15">
        <f t="shared" si="168"/>
        <v>74.640900000000002</v>
      </c>
      <c r="DE57" s="15">
        <f t="shared" si="178"/>
        <v>67.992199999999997</v>
      </c>
      <c r="DF57" s="15">
        <f t="shared" si="188"/>
        <v>74.488</v>
      </c>
      <c r="DG57" s="15">
        <f t="shared" si="198"/>
        <v>84.864400000000003</v>
      </c>
      <c r="DH57" s="15">
        <f t="shared" si="208"/>
        <v>87.495000000000005</v>
      </c>
      <c r="DI57" s="15">
        <f t="shared" si="218"/>
        <v>83.63</v>
      </c>
      <c r="DJ57" s="15" t="s">
        <v>23</v>
      </c>
      <c r="DK57" s="15" t="str">
        <f t="shared" si="119"/>
        <v>LH</v>
      </c>
      <c r="DL57" s="15" t="str">
        <f t="shared" si="129"/>
        <v>LH</v>
      </c>
      <c r="DM57" s="15" t="str">
        <f t="shared" si="139"/>
        <v>LH</v>
      </c>
      <c r="DN57" s="15" t="str">
        <f t="shared" si="149"/>
        <v>HH</v>
      </c>
      <c r="DO57" s="15" t="str">
        <f t="shared" si="159"/>
        <v>LH</v>
      </c>
      <c r="DP57" s="15" t="str">
        <f t="shared" si="169"/>
        <v>HH</v>
      </c>
      <c r="DQ57" s="15" t="str">
        <f t="shared" si="179"/>
        <v>HH</v>
      </c>
      <c r="DR57" s="15" t="str">
        <f t="shared" si="189"/>
        <v>HH</v>
      </c>
      <c r="DS57" s="15" t="str">
        <f t="shared" si="199"/>
        <v>LH</v>
      </c>
      <c r="DT57" s="15" t="str">
        <f t="shared" si="209"/>
        <v>HH</v>
      </c>
      <c r="DU57" s="15" t="str">
        <f t="shared" si="219"/>
        <v>HH</v>
      </c>
      <c r="DV57" s="15">
        <f>IFERROR((G57-$F57)/$F57*100,"")</f>
        <v>-0.6610130136271497</v>
      </c>
      <c r="DW57" s="15">
        <f>IFERROR((H57-$F57)/$F57*100,"")</f>
        <v>-0.56323506543028701</v>
      </c>
      <c r="DX57" s="15">
        <f>IFERROR((I57-$F57)/$F57*100,"")</f>
        <v>7.4984396002810358E-2</v>
      </c>
      <c r="DY57" s="15">
        <f>IFERROR((J57-$F57)/$F57*100,"")</f>
        <v>0.25903700437337657</v>
      </c>
      <c r="DZ57" s="15">
        <f>IFERROR((K57-$F57)/$F57*100,"")</f>
        <v>0.10310354450386182</v>
      </c>
      <c r="EA57" s="15">
        <f>IFERROR((L57-$F57)/$F57*100,"")</f>
        <v>2.2610351681077603</v>
      </c>
      <c r="EB57" s="15">
        <f>IFERROR((M57-$F57)/$F57*100,"")</f>
        <v>2.1053147320905503</v>
      </c>
      <c r="EC57" s="15">
        <f>IFERROR((N57-$F57)/$F57*100,"")</f>
        <v>0.64098877151272993</v>
      </c>
      <c r="ED57" s="15">
        <f>IFERROR((O57-$F57)/$F57*100,"")</f>
        <v>-2.4001397436470975</v>
      </c>
      <c r="EE57" s="15">
        <f>IFERROR((P57-$F57)/$F57*100,"")</f>
        <v>-1.5863886279346751</v>
      </c>
      <c r="EF57" s="15">
        <f>IFERROR((Q57-$F57)/$F57*100,"")</f>
        <v>-3.5287401130304672</v>
      </c>
      <c r="EG57" s="15" t="str">
        <f>IF(DV57="","",IF(AND(ABS(DV57)&lt;=0.25,$E57="Bottom",DK57="LL"),"EQL",IF(AND(ABS(DV57)&lt;=0.25,$E57="Peak",DK57="HH"),"EQH","")))</f>
        <v/>
      </c>
      <c r="EH57" s="15" t="str">
        <f>IF(DW57="","",IF(AND(ABS(DW57)&lt;=0.25,$E57="Bottom",DL57="LL"),"EQL",IF(AND(ABS(DW57)&lt;=0.25,$E57="Peak",DL57="HH"),"EQH","")))</f>
        <v/>
      </c>
      <c r="EI57" s="15" t="str">
        <f>IF(DX57="","",IF(AND(ABS(DX57)&lt;=0.25,$E57="Bottom",DM57="LL"),"EQL",IF(AND(ABS(DX57)&lt;=0.25,$E57="Peak",DM57="HH"),"EQH","")))</f>
        <v/>
      </c>
      <c r="EJ57" s="15" t="str">
        <f>IF(DY57="","",IF(AND(ABS(DY57)&lt;=0.25,$E57="Bottom",DN57="LL"),"EQL",IF(AND(ABS(DY57)&lt;=0.25,$E57="Peak",DN57="HH"),"EQH","")))</f>
        <v/>
      </c>
      <c r="EK57" s="15" t="str">
        <f>IF(DZ57="","",IF(AND(ABS(DZ57)&lt;=0.25,$E57="Bottom",DO57="LL"),"EQL",IF(AND(ABS(DZ57)&lt;=0.25,$E57="Peak",DO57="HH"),"EQH","")))</f>
        <v/>
      </c>
      <c r="EL57" s="15" t="str">
        <f>IF(EA57="","",IF(AND(ABS(EA57)&lt;=0.25,$E57="Bottom",DP57="LL"),"EQL",IF(AND(ABS(EA57)&lt;=0.25,$E57="Peak",DP57="HH"),"EQH","")))</f>
        <v/>
      </c>
      <c r="EM57" s="15" t="str">
        <f>IF(EB57="","",IF(AND(ABS(EB57)&lt;=0.25,$E57="Bottom",DQ57="LL"),"EQL",IF(AND(ABS(EB57)&lt;=0.25,$E57="Peak",DQ57="HH"),"EQH","")))</f>
        <v/>
      </c>
      <c r="EN57" s="15" t="str">
        <f>IF(EC57="","",IF(AND(ABS(EC57)&lt;=0.25,$E57="Bottom",DR57="LL"),"EQL",IF(AND(ABS(EC57)&lt;=0.25,$E57="Peak",DR57="HH"),"EQH","")))</f>
        <v/>
      </c>
      <c r="EO57" s="15" t="str">
        <f>IF(ED57="","",IF(AND(ABS(ED57)&lt;=0.25,$E57="Bottom",DS57="LL"),"EQL",IF(AND(ABS(ED57)&lt;=0.25,$E57="Peak",DS57="HH"),"EQH","")))</f>
        <v/>
      </c>
      <c r="EP57" s="15" t="str">
        <f>IF(EE57="","",IF(AND(ABS(EE57)&lt;=0.25,$E57="Bottom",DT57="LL"),"EQL",IF(AND(ABS(EE57)&lt;=0.25,$E57="Peak",DT57="HH"),"EQH","")))</f>
        <v/>
      </c>
      <c r="EQ57" s="15" t="str">
        <f>IF(EF57="","",IF(AND(ABS(EF57)&lt;=0.25,$E57="Bottom",DU57="LL"),"EQL",IF(AND(ABS(EF57)&lt;=0.25,$E57="Peak",DU57="HH"),"EQH","")))</f>
        <v/>
      </c>
      <c r="ER57" s="15" t="str">
        <f>IF(OR(EG57="EQL",EG57="EQH"),F57,"")</f>
        <v/>
      </c>
      <c r="ES57" s="15" t="str">
        <f>IF(OR(EH57="EQL",EH57="EQH"),G57,"")</f>
        <v/>
      </c>
      <c r="ET57" s="15" t="str">
        <f>IF(OR(EI57="EQL",EI57="EQH"),H57,"")</f>
        <v/>
      </c>
      <c r="EU57" s="15" t="str">
        <f>IF(OR(EJ57="EQL",EJ57="EQH"),I57,"")</f>
        <v/>
      </c>
      <c r="EV57" s="15" t="str">
        <f>IF(OR(EK57="EQL",EK57="EQH"),J57,"")</f>
        <v/>
      </c>
      <c r="EW57" s="15" t="str">
        <f>IF(OR(EL57="EQL",EL57="EQH"),K57,"")</f>
        <v/>
      </c>
      <c r="EX57" s="15" t="str">
        <f>IF(OR(EM57="EQL",EM57="EQH"),L57,"")</f>
        <v/>
      </c>
      <c r="EY57" s="15" t="str">
        <f>IF(OR(EN57="EQL",EN57="EQH"),M57,"")</f>
        <v/>
      </c>
      <c r="EZ57" s="15" t="str">
        <f>IF(OR(EO57="EQL",EO57="EQH"),N57,"")</f>
        <v/>
      </c>
      <c r="FA57" s="15" t="str">
        <f>IF(OR(EP57="EQL",EP57="EQH"),O57,"")</f>
        <v/>
      </c>
      <c r="FB57" s="15" t="str">
        <f>IF(OR(EQ57="EQL",EQ57="EQH"),P57,"")</f>
        <v/>
      </c>
      <c r="FC57" s="15" t="str">
        <f>IF(AND(EG57="EQL",OR(AQ57=4,AQ57=5)),"IEQL",IF(AND(EG57="EQH",OR(AQ57=1,AQ57=2)),"IEQH",""))</f>
        <v/>
      </c>
      <c r="FD57" s="15" t="str">
        <f>IF(AND(EH57="EQL",OR(AR57=4,AR57=5)),"IEQL",IF(AND(EH57="EQH",OR(AR57=1,AR57=2)),"IEQH",""))</f>
        <v/>
      </c>
      <c r="FE57" s="15" t="str">
        <f>IF(AND(EI57="EQL",OR(AS57=4,AS57=5)),"IEQL",IF(AND(EI57="EQH",OR(AS57=1,AS57=2)),"IEQH",""))</f>
        <v/>
      </c>
      <c r="FF57" s="15" t="str">
        <f>IF(AND(EJ57="EQL",OR(AT57=4,AT57=5)),"IEQL",IF(AND(EJ57="EQH",OR(AT57=1,AT57=2)),"IEQH",""))</f>
        <v/>
      </c>
      <c r="FG57" s="15" t="str">
        <f>IF(AND(EK57="EQL",OR(AU57=4,AU57=5)),"IEQL",IF(AND(EK57="EQH",OR(AU57=1,AU57=2)),"IEQH",""))</f>
        <v/>
      </c>
      <c r="FH57" s="15" t="str">
        <f>IF(AND(EL57="EQL",OR(AV57=4,AV57=5)),"IEQL",IF(AND(EL57="EQH",OR(AV57=1,AV57=2)),"IEQH",""))</f>
        <v/>
      </c>
      <c r="FI57" s="15" t="str">
        <f>IF(AND(EM57="EQL",OR(AW57=4,AW57=5)),"IEQL",IF(AND(EM57="EQH",OR(AW57=1,AW57=2)),"IEQH",""))</f>
        <v/>
      </c>
      <c r="FJ57" s="15" t="str">
        <f>IF(AND(EN57="EQL",OR(AX57=4,AX57=5)),"IEQL",IF(AND(EN57="EQH",OR(AX57=1,AX57=2)),"IEQH",""))</f>
        <v/>
      </c>
      <c r="FK57" s="15" t="str">
        <f>IF(AND(EO57="EQL",OR(AY57=4,AY57=5)),"IEQL",IF(AND(EO57="EQH",OR(AY57=1,AY57=2)),"IEQH",""))</f>
        <v/>
      </c>
      <c r="FL57" s="15" t="str">
        <f>IF(AND(EP57="EQL",OR(AZ57=4,AZ57=5)),"IEQL",IF(AND(EP57="EQH",OR(AZ57=1,AZ57=2)),"IEQH",""))</f>
        <v/>
      </c>
      <c r="FM57" s="15" t="str">
        <f>IF(AND(EQ57="EQL",OR(BA57=4,BA57=5)),"IEQL",IF(AND(EQ57="EQH",OR(BA57=1,BA57=2)),"IEQH",""))</f>
        <v/>
      </c>
      <c r="FN57" s="15" t="str">
        <f>IF(OR(AND(DJ57="LL",AP57=5),AND(DJ57="HH",AP57=2)),F57,"")</f>
        <v/>
      </c>
      <c r="FO57" s="15" t="str">
        <f>IF(FN57&lt;&gt;"",F56,"")</f>
        <v/>
      </c>
    </row>
    <row r="58" spans="1:171" s="15" customFormat="1" x14ac:dyDescent="0.55000000000000004">
      <c r="A58" s="15">
        <v>1775570406</v>
      </c>
      <c r="B58" s="15" t="s">
        <v>16</v>
      </c>
      <c r="C58" s="15" t="s">
        <v>17</v>
      </c>
      <c r="D58" s="15">
        <v>4622.28</v>
      </c>
      <c r="E58" s="15" t="s">
        <v>18</v>
      </c>
      <c r="F58" s="15">
        <v>4607.91</v>
      </c>
      <c r="G58" s="15">
        <f t="shared" si="110"/>
        <v>4623.4799999999996</v>
      </c>
      <c r="H58" s="15">
        <f t="shared" si="120"/>
        <v>4616.5</v>
      </c>
      <c r="I58" s="15">
        <f t="shared" si="130"/>
        <v>4645.75</v>
      </c>
      <c r="J58" s="15">
        <f t="shared" si="140"/>
        <v>4659.58</v>
      </c>
      <c r="K58" s="15">
        <f t="shared" si="150"/>
        <v>4601.05</v>
      </c>
      <c r="L58" s="15">
        <f t="shared" si="160"/>
        <v>4553.95</v>
      </c>
      <c r="M58" s="15">
        <f t="shared" si="170"/>
        <v>4742.2</v>
      </c>
      <c r="N58" s="15">
        <f t="shared" si="180"/>
        <v>4666.96</v>
      </c>
      <c r="O58" s="15">
        <f t="shared" si="190"/>
        <v>4529.84</v>
      </c>
      <c r="P58" s="15">
        <f t="shared" si="200"/>
        <v>4548.26</v>
      </c>
      <c r="Q58" s="15">
        <f t="shared" si="210"/>
        <v>4482.6899999999996</v>
      </c>
      <c r="R58" s="15">
        <v>-86.4</v>
      </c>
      <c r="S58" s="15">
        <f t="shared" si="111"/>
        <v>-39.799999999999997</v>
      </c>
      <c r="T58" s="15">
        <f t="shared" si="121"/>
        <v>-51.37</v>
      </c>
      <c r="U58" s="15">
        <f t="shared" si="131"/>
        <v>-52.08</v>
      </c>
      <c r="V58" s="15">
        <f t="shared" si="141"/>
        <v>-46.89</v>
      </c>
      <c r="W58" s="15">
        <f t="shared" si="151"/>
        <v>-98.1</v>
      </c>
      <c r="X58" s="15">
        <f t="shared" si="161"/>
        <v>-246.5</v>
      </c>
      <c r="Y58" s="15">
        <f t="shared" si="171"/>
        <v>-50.94</v>
      </c>
      <c r="Z58" s="15">
        <f t="shared" si="181"/>
        <v>-57.44</v>
      </c>
      <c r="AA58" s="15">
        <f t="shared" si="191"/>
        <v>-51.8</v>
      </c>
      <c r="AB58" s="15">
        <f t="shared" si="201"/>
        <v>-71.58</v>
      </c>
      <c r="AC58" s="15">
        <f t="shared" si="211"/>
        <v>-45.97</v>
      </c>
      <c r="AD58" s="15">
        <v>-1.84</v>
      </c>
      <c r="AE58" s="15">
        <f t="shared" si="112"/>
        <v>-0.85</v>
      </c>
      <c r="AF58" s="15">
        <f t="shared" si="122"/>
        <v>-1.1000000000000001</v>
      </c>
      <c r="AG58" s="15">
        <f t="shared" si="132"/>
        <v>-1.1100000000000001</v>
      </c>
      <c r="AH58" s="15">
        <f t="shared" si="142"/>
        <v>-1</v>
      </c>
      <c r="AI58" s="15">
        <f t="shared" si="152"/>
        <v>-2.09</v>
      </c>
      <c r="AJ58" s="15">
        <f t="shared" si="162"/>
        <v>-5.13</v>
      </c>
      <c r="AK58" s="15">
        <f t="shared" si="172"/>
        <v>-1.06</v>
      </c>
      <c r="AL58" s="15">
        <f t="shared" si="182"/>
        <v>-1.22</v>
      </c>
      <c r="AM58" s="15">
        <f t="shared" si="192"/>
        <v>-1.1299999999999999</v>
      </c>
      <c r="AN58" s="15">
        <f t="shared" si="202"/>
        <v>-1.55</v>
      </c>
      <c r="AO58" s="15">
        <f t="shared" si="212"/>
        <v>-1.02</v>
      </c>
      <c r="AP58" s="15">
        <v>3</v>
      </c>
      <c r="AQ58" s="15">
        <f t="shared" si="113"/>
        <v>3</v>
      </c>
      <c r="AR58" s="15">
        <f t="shared" si="123"/>
        <v>3</v>
      </c>
      <c r="AS58" s="15">
        <f t="shared" si="133"/>
        <v>3</v>
      </c>
      <c r="AT58" s="15">
        <f t="shared" si="143"/>
        <v>3</v>
      </c>
      <c r="AU58" s="15">
        <f t="shared" si="153"/>
        <v>3</v>
      </c>
      <c r="AV58" s="15">
        <f t="shared" si="163"/>
        <v>3</v>
      </c>
      <c r="AW58" s="15">
        <f t="shared" si="173"/>
        <v>3</v>
      </c>
      <c r="AX58" s="15">
        <f t="shared" si="183"/>
        <v>3</v>
      </c>
      <c r="AY58" s="15">
        <f t="shared" si="193"/>
        <v>3</v>
      </c>
      <c r="AZ58" s="15">
        <f t="shared" si="203"/>
        <v>3</v>
      </c>
      <c r="BA58" s="15">
        <f t="shared" si="213"/>
        <v>3</v>
      </c>
      <c r="BB58" s="15">
        <v>19</v>
      </c>
      <c r="BC58" s="15">
        <f t="shared" si="114"/>
        <v>4</v>
      </c>
      <c r="BD58" s="15">
        <f t="shared" si="124"/>
        <v>15</v>
      </c>
      <c r="BE58" s="15">
        <f t="shared" si="134"/>
        <v>19</v>
      </c>
      <c r="BF58" s="15">
        <f t="shared" si="144"/>
        <v>11</v>
      </c>
      <c r="BG58" s="15">
        <f t="shared" si="154"/>
        <v>35</v>
      </c>
      <c r="BH58" s="15">
        <f t="shared" si="164"/>
        <v>26</v>
      </c>
      <c r="BI58" s="15">
        <f t="shared" si="174"/>
        <v>6</v>
      </c>
      <c r="BJ58" s="15">
        <f t="shared" si="184"/>
        <v>13</v>
      </c>
      <c r="BK58" s="15">
        <f t="shared" si="194"/>
        <v>19</v>
      </c>
      <c r="BL58" s="15">
        <f t="shared" si="204"/>
        <v>13</v>
      </c>
      <c r="BM58" s="15">
        <f t="shared" si="214"/>
        <v>1</v>
      </c>
      <c r="BN58" s="15">
        <v>3</v>
      </c>
      <c r="BO58" s="15">
        <f t="shared" si="115"/>
        <v>3</v>
      </c>
      <c r="BP58" s="15">
        <f t="shared" si="125"/>
        <v>3</v>
      </c>
      <c r="BQ58" s="15">
        <f t="shared" si="135"/>
        <v>3</v>
      </c>
      <c r="BR58" s="15">
        <f t="shared" si="145"/>
        <v>3</v>
      </c>
      <c r="BS58" s="15">
        <f t="shared" si="155"/>
        <v>3</v>
      </c>
      <c r="BT58" s="15">
        <f t="shared" si="165"/>
        <v>3</v>
      </c>
      <c r="BU58" s="15">
        <f t="shared" si="175"/>
        <v>3</v>
      </c>
      <c r="BV58" s="15">
        <f t="shared" si="185"/>
        <v>3</v>
      </c>
      <c r="BW58" s="15">
        <f t="shared" si="195"/>
        <v>3</v>
      </c>
      <c r="BX58" s="15">
        <f t="shared" si="205"/>
        <v>3</v>
      </c>
      <c r="BY58" s="15">
        <f t="shared" si="215"/>
        <v>3</v>
      </c>
      <c r="BZ58" s="15">
        <v>-4.5473699999999999</v>
      </c>
      <c r="CA58" s="15">
        <f t="shared" si="116"/>
        <v>-9.9499999999999993</v>
      </c>
      <c r="CB58" s="15">
        <f t="shared" si="126"/>
        <v>-3.4246699999999999</v>
      </c>
      <c r="CC58" s="15">
        <f t="shared" si="136"/>
        <v>-2.74105</v>
      </c>
      <c r="CD58" s="15">
        <f t="shared" si="146"/>
        <v>-4.2627300000000004</v>
      </c>
      <c r="CE58" s="15">
        <f t="shared" si="156"/>
        <v>-2.8028599999999999</v>
      </c>
      <c r="CF58" s="15">
        <f t="shared" si="166"/>
        <v>-9.4807699999999997</v>
      </c>
      <c r="CG58" s="15">
        <f t="shared" si="176"/>
        <v>-8.49</v>
      </c>
      <c r="CH58" s="15">
        <f t="shared" si="186"/>
        <v>-4.4184599999999996</v>
      </c>
      <c r="CI58" s="15">
        <f t="shared" si="196"/>
        <v>-2.7263199999999999</v>
      </c>
      <c r="CJ58" s="15">
        <f t="shared" si="206"/>
        <v>-5.5061499999999999</v>
      </c>
      <c r="CK58" s="15">
        <f t="shared" si="216"/>
        <v>-45.97</v>
      </c>
      <c r="CL58" s="15">
        <v>3</v>
      </c>
      <c r="CM58" s="15">
        <f t="shared" si="117"/>
        <v>3</v>
      </c>
      <c r="CN58" s="15">
        <f t="shared" si="127"/>
        <v>3</v>
      </c>
      <c r="CO58" s="15">
        <f t="shared" si="137"/>
        <v>3</v>
      </c>
      <c r="CP58" s="15">
        <f t="shared" si="147"/>
        <v>3</v>
      </c>
      <c r="CQ58" s="15">
        <f t="shared" si="157"/>
        <v>3</v>
      </c>
      <c r="CR58" s="15">
        <f t="shared" si="167"/>
        <v>3</v>
      </c>
      <c r="CS58" s="15">
        <f t="shared" si="177"/>
        <v>3</v>
      </c>
      <c r="CT58" s="15">
        <f t="shared" si="187"/>
        <v>3</v>
      </c>
      <c r="CU58" s="15">
        <f t="shared" si="197"/>
        <v>3</v>
      </c>
      <c r="CV58" s="15">
        <f t="shared" si="207"/>
        <v>3</v>
      </c>
      <c r="CW58" s="15">
        <f t="shared" si="217"/>
        <v>5</v>
      </c>
      <c r="CX58" s="15">
        <v>-77.5976</v>
      </c>
      <c r="CY58" s="15">
        <f t="shared" si="118"/>
        <v>-84.260900000000007</v>
      </c>
      <c r="CZ58" s="15">
        <f t="shared" si="128"/>
        <v>-73.722200000000001</v>
      </c>
      <c r="DA58" s="15">
        <f t="shared" si="138"/>
        <v>-69.956800000000001</v>
      </c>
      <c r="DB58" s="15">
        <f t="shared" si="148"/>
        <v>-76.797600000000003</v>
      </c>
      <c r="DC58" s="15">
        <f t="shared" si="158"/>
        <v>-70.364699999999999</v>
      </c>
      <c r="DD58" s="15">
        <f t="shared" si="168"/>
        <v>-83.978899999999996</v>
      </c>
      <c r="DE58" s="15">
        <f t="shared" si="178"/>
        <v>-83.282300000000006</v>
      </c>
      <c r="DF58" s="15">
        <f t="shared" si="188"/>
        <v>-77.247500000000002</v>
      </c>
      <c r="DG58" s="15">
        <f t="shared" si="198"/>
        <v>-69.857200000000006</v>
      </c>
      <c r="DH58" s="15">
        <f t="shared" si="208"/>
        <v>-79.706400000000002</v>
      </c>
      <c r="DI58" s="15">
        <f t="shared" si="218"/>
        <v>-88.753799999999998</v>
      </c>
      <c r="DJ58" s="15" t="s">
        <v>19</v>
      </c>
      <c r="DK58" s="15" t="str">
        <f t="shared" si="119"/>
        <v>HL</v>
      </c>
      <c r="DL58" s="15" t="str">
        <f t="shared" si="129"/>
        <v>LL</v>
      </c>
      <c r="DM58" s="15" t="str">
        <f t="shared" si="139"/>
        <v>LL</v>
      </c>
      <c r="DN58" s="15" t="str">
        <f t="shared" si="149"/>
        <v>HL</v>
      </c>
      <c r="DO58" s="15" t="str">
        <f t="shared" si="159"/>
        <v>HL</v>
      </c>
      <c r="DP58" s="15" t="str">
        <f t="shared" si="169"/>
        <v>LL</v>
      </c>
      <c r="DQ58" s="15" t="str">
        <f t="shared" si="179"/>
        <v>HL</v>
      </c>
      <c r="DR58" s="15" t="str">
        <f t="shared" si="189"/>
        <v>HL</v>
      </c>
      <c r="DS58" s="15" t="str">
        <f t="shared" si="199"/>
        <v>LL</v>
      </c>
      <c r="DT58" s="15" t="str">
        <f t="shared" si="209"/>
        <v>HL</v>
      </c>
      <c r="DU58" s="15" t="str">
        <f t="shared" si="219"/>
        <v>LL</v>
      </c>
      <c r="DV58" s="15">
        <f>IFERROR((G58-$F58)/$F58*100,"")</f>
        <v>0.3378972245551608</v>
      </c>
      <c r="DW58" s="15">
        <f>IFERROR((H58-$F58)/$F58*100,"")</f>
        <v>0.18641857154328417</v>
      </c>
      <c r="DX58" s="15">
        <f>IFERROR((I58-$F58)/$F58*100,"")</f>
        <v>0.82119659455154614</v>
      </c>
      <c r="DY58" s="15">
        <f>IFERROR((J58-$F58)/$F58*100,"")</f>
        <v>1.1213326649175022</v>
      </c>
      <c r="DZ58" s="15">
        <f>IFERROR((K58-$F58)/$F58*100,"")</f>
        <v>-0.14887443548158866</v>
      </c>
      <c r="EA58" s="15">
        <f>IFERROR((L58-$F58)/$F58*100,"")</f>
        <v>-1.1710298161205415</v>
      </c>
      <c r="EB58" s="15">
        <f>IFERROR((M58-$F58)/$F58*100,"")</f>
        <v>2.914336434522375</v>
      </c>
      <c r="EC58" s="15">
        <f>IFERROR((N58-$F58)/$F58*100,"")</f>
        <v>1.2814920430303582</v>
      </c>
      <c r="ED58" s="15">
        <f>IFERROR((O58-$F58)/$F58*100,"")</f>
        <v>-1.6942605215813613</v>
      </c>
      <c r="EE58" s="15">
        <f>IFERROR((P58-$F58)/$F58*100,"")</f>
        <v>-1.2945131306817979</v>
      </c>
      <c r="EF58" s="15">
        <f>IFERROR((Q58-$F58)/$F58*100,"")</f>
        <v>-2.7175009928579392</v>
      </c>
      <c r="EG58" s="15" t="str">
        <f>IF(DV58="","",IF(AND(ABS(DV58)&lt;=0.25,$E58="Bottom",DK58="LL"),"EQL",IF(AND(ABS(DV58)&lt;=0.25,$E58="Peak",DK58="HH"),"EQH","")))</f>
        <v/>
      </c>
      <c r="EH58" s="15" t="str">
        <f>IF(DW58="","",IF(AND(ABS(DW58)&lt;=0.25,$E58="Bottom",DL58="LL"),"EQL",IF(AND(ABS(DW58)&lt;=0.25,$E58="Peak",DL58="HH"),"EQH","")))</f>
        <v>EQL</v>
      </c>
      <c r="EI58" s="15" t="str">
        <f>IF(DX58="","",IF(AND(ABS(DX58)&lt;=0.25,$E58="Bottom",DM58="LL"),"EQL",IF(AND(ABS(DX58)&lt;=0.25,$E58="Peak",DM58="HH"),"EQH","")))</f>
        <v/>
      </c>
      <c r="EJ58" s="15" t="str">
        <f>IF(DY58="","",IF(AND(ABS(DY58)&lt;=0.25,$E58="Bottom",DN58="LL"),"EQL",IF(AND(ABS(DY58)&lt;=0.25,$E58="Peak",DN58="HH"),"EQH","")))</f>
        <v/>
      </c>
      <c r="EK58" s="15" t="str">
        <f>IF(DZ58="","",IF(AND(ABS(DZ58)&lt;=0.25,$E58="Bottom",DO58="LL"),"EQL",IF(AND(ABS(DZ58)&lt;=0.25,$E58="Peak",DO58="HH"),"EQH","")))</f>
        <v/>
      </c>
      <c r="EL58" s="15" t="str">
        <f>IF(EA58="","",IF(AND(ABS(EA58)&lt;=0.25,$E58="Bottom",DP58="LL"),"EQL",IF(AND(ABS(EA58)&lt;=0.25,$E58="Peak",DP58="HH"),"EQH","")))</f>
        <v/>
      </c>
      <c r="EM58" s="15" t="str">
        <f>IF(EB58="","",IF(AND(ABS(EB58)&lt;=0.25,$E58="Bottom",DQ58="LL"),"EQL",IF(AND(ABS(EB58)&lt;=0.25,$E58="Peak",DQ58="HH"),"EQH","")))</f>
        <v/>
      </c>
      <c r="EN58" s="15" t="str">
        <f>IF(EC58="","",IF(AND(ABS(EC58)&lt;=0.25,$E58="Bottom",DR58="LL"),"EQL",IF(AND(ABS(EC58)&lt;=0.25,$E58="Peak",DR58="HH"),"EQH","")))</f>
        <v/>
      </c>
      <c r="EO58" s="15" t="str">
        <f>IF(ED58="","",IF(AND(ABS(ED58)&lt;=0.25,$E58="Bottom",DS58="LL"),"EQL",IF(AND(ABS(ED58)&lt;=0.25,$E58="Peak",DS58="HH"),"EQH","")))</f>
        <v/>
      </c>
      <c r="EP58" s="15" t="str">
        <f>IF(EE58="","",IF(AND(ABS(EE58)&lt;=0.25,$E58="Bottom",DT58="LL"),"EQL",IF(AND(ABS(EE58)&lt;=0.25,$E58="Peak",DT58="HH"),"EQH","")))</f>
        <v/>
      </c>
      <c r="EQ58" s="15" t="str">
        <f>IF(EF58="","",IF(AND(ABS(EF58)&lt;=0.25,$E58="Bottom",DU58="LL"),"EQL",IF(AND(ABS(EF58)&lt;=0.25,$E58="Peak",DU58="HH"),"EQH","")))</f>
        <v/>
      </c>
      <c r="ER58" s="15" t="str">
        <f>IF(OR(EG58="EQL",EG58="EQH"),F58,"")</f>
        <v/>
      </c>
      <c r="ES58" s="15">
        <f>IF(OR(EH58="EQL",EH58="EQH"),G58,"")</f>
        <v>4623.4799999999996</v>
      </c>
      <c r="ET58" s="15" t="str">
        <f>IF(OR(EI58="EQL",EI58="EQH"),H58,"")</f>
        <v/>
      </c>
      <c r="EU58" s="15" t="str">
        <f>IF(OR(EJ58="EQL",EJ58="EQH"),I58,"")</f>
        <v/>
      </c>
      <c r="EV58" s="15" t="str">
        <f>IF(OR(EK58="EQL",EK58="EQH"),J58,"")</f>
        <v/>
      </c>
      <c r="EW58" s="15" t="str">
        <f>IF(OR(EL58="EQL",EL58="EQH"),K58,"")</f>
        <v/>
      </c>
      <c r="EX58" s="15" t="str">
        <f>IF(OR(EM58="EQL",EM58="EQH"),L58,"")</f>
        <v/>
      </c>
      <c r="EY58" s="15" t="str">
        <f>IF(OR(EN58="EQL",EN58="EQH"),M58,"")</f>
        <v/>
      </c>
      <c r="EZ58" s="15" t="str">
        <f>IF(OR(EO58="EQL",EO58="EQH"),N58,"")</f>
        <v/>
      </c>
      <c r="FA58" s="15" t="str">
        <f>IF(OR(EP58="EQL",EP58="EQH"),O58,"")</f>
        <v/>
      </c>
      <c r="FB58" s="15" t="str">
        <f>IF(OR(EQ58="EQL",EQ58="EQH"),P58,"")</f>
        <v/>
      </c>
      <c r="FC58" s="15" t="str">
        <f>IF(AND(EG58="EQL",OR(AQ58=4,AQ58=5)),"IEQL",IF(AND(EG58="EQH",OR(AQ58=1,AQ58=2)),"IEQH",""))</f>
        <v/>
      </c>
      <c r="FD58" s="15" t="str">
        <f>IF(AND(EH58="EQL",OR(AR58=4,AR58=5)),"IEQL",IF(AND(EH58="EQH",OR(AR58=1,AR58=2)),"IEQH",""))</f>
        <v/>
      </c>
      <c r="FE58" s="15" t="str">
        <f>IF(AND(EI58="EQL",OR(AS58=4,AS58=5)),"IEQL",IF(AND(EI58="EQH",OR(AS58=1,AS58=2)),"IEQH",""))</f>
        <v/>
      </c>
      <c r="FF58" s="15" t="str">
        <f>IF(AND(EJ58="EQL",OR(AT58=4,AT58=5)),"IEQL",IF(AND(EJ58="EQH",OR(AT58=1,AT58=2)),"IEQH",""))</f>
        <v/>
      </c>
      <c r="FG58" s="15" t="str">
        <f>IF(AND(EK58="EQL",OR(AU58=4,AU58=5)),"IEQL",IF(AND(EK58="EQH",OR(AU58=1,AU58=2)),"IEQH",""))</f>
        <v/>
      </c>
      <c r="FH58" s="15" t="str">
        <f>IF(AND(EL58="EQL",OR(AV58=4,AV58=5)),"IEQL",IF(AND(EL58="EQH",OR(AV58=1,AV58=2)),"IEQH",""))</f>
        <v/>
      </c>
      <c r="FI58" s="15" t="str">
        <f>IF(AND(EM58="EQL",OR(AW58=4,AW58=5)),"IEQL",IF(AND(EM58="EQH",OR(AW58=1,AW58=2)),"IEQH",""))</f>
        <v/>
      </c>
      <c r="FJ58" s="15" t="str">
        <f>IF(AND(EN58="EQL",OR(AX58=4,AX58=5)),"IEQL",IF(AND(EN58="EQH",OR(AX58=1,AX58=2)),"IEQH",""))</f>
        <v/>
      </c>
      <c r="FK58" s="15" t="str">
        <f>IF(AND(EO58="EQL",OR(AY58=4,AY58=5)),"IEQL",IF(AND(EO58="EQH",OR(AY58=1,AY58=2)),"IEQH",""))</f>
        <v/>
      </c>
      <c r="FL58" s="15" t="str">
        <f>IF(AND(EP58="EQL",OR(AZ58=4,AZ58=5)),"IEQL",IF(AND(EP58="EQH",OR(AZ58=1,AZ58=2)),"IEQH",""))</f>
        <v/>
      </c>
      <c r="FM58" s="15" t="str">
        <f>IF(AND(EQ58="EQL",OR(BA58=4,BA58=5)),"IEQL",IF(AND(EQ58="EQH",OR(BA58=1,BA58=2)),"IEQH",""))</f>
        <v/>
      </c>
      <c r="FN58" s="15" t="str">
        <f>IF(OR(AND(DJ58="LL",AP58=5),AND(DJ58="HH",AP58=2)),F58,"")</f>
        <v/>
      </c>
      <c r="FO58" s="15" t="str">
        <f>IF(FN58&lt;&gt;"",F57,"")</f>
        <v/>
      </c>
    </row>
    <row r="59" spans="1:171" s="15" customFormat="1" x14ac:dyDescent="0.55000000000000004">
      <c r="A59" s="15">
        <v>1775606406</v>
      </c>
      <c r="B59" s="15" t="s">
        <v>16</v>
      </c>
      <c r="C59" s="15" t="s">
        <v>17</v>
      </c>
      <c r="D59" s="15">
        <v>4834.2700000000004</v>
      </c>
      <c r="E59" s="15" t="s">
        <v>20</v>
      </c>
      <c r="F59" s="15">
        <v>4857.37</v>
      </c>
      <c r="G59" s="15">
        <f t="shared" si="110"/>
        <v>4694.3100000000004</v>
      </c>
      <c r="H59" s="15">
        <f t="shared" si="120"/>
        <v>4663.28</v>
      </c>
      <c r="I59" s="15">
        <f t="shared" si="130"/>
        <v>4667.87</v>
      </c>
      <c r="J59" s="15">
        <f t="shared" si="140"/>
        <v>4697.83</v>
      </c>
      <c r="K59" s="15">
        <f t="shared" si="150"/>
        <v>4706.47</v>
      </c>
      <c r="L59" s="15">
        <f t="shared" si="160"/>
        <v>4699.1499999999996</v>
      </c>
      <c r="M59" s="15">
        <f t="shared" si="170"/>
        <v>4800.45</v>
      </c>
      <c r="N59" s="15">
        <f t="shared" si="180"/>
        <v>4793.1400000000003</v>
      </c>
      <c r="O59" s="15">
        <f t="shared" si="190"/>
        <v>4724.3999999999996</v>
      </c>
      <c r="P59" s="15">
        <f t="shared" si="200"/>
        <v>4581.6400000000003</v>
      </c>
      <c r="Q59" s="15">
        <f t="shared" si="210"/>
        <v>4619.84</v>
      </c>
      <c r="R59" s="15">
        <v>249.46</v>
      </c>
      <c r="S59" s="15">
        <f t="shared" si="111"/>
        <v>70.83</v>
      </c>
      <c r="T59" s="15">
        <f t="shared" si="121"/>
        <v>46.78</v>
      </c>
      <c r="U59" s="15">
        <f t="shared" si="131"/>
        <v>22.12</v>
      </c>
      <c r="V59" s="15">
        <f t="shared" si="141"/>
        <v>38.25</v>
      </c>
      <c r="W59" s="15">
        <f t="shared" si="151"/>
        <v>105.42</v>
      </c>
      <c r="X59" s="15">
        <f t="shared" si="161"/>
        <v>145.19999999999999</v>
      </c>
      <c r="Y59" s="15">
        <f t="shared" si="171"/>
        <v>58.25</v>
      </c>
      <c r="Z59" s="15">
        <f t="shared" si="181"/>
        <v>126.18</v>
      </c>
      <c r="AA59" s="15">
        <f t="shared" si="191"/>
        <v>194.56</v>
      </c>
      <c r="AB59" s="15">
        <f t="shared" si="201"/>
        <v>33.380000000000003</v>
      </c>
      <c r="AC59" s="15">
        <f t="shared" si="211"/>
        <v>137.15</v>
      </c>
      <c r="AD59" s="15">
        <v>5.41</v>
      </c>
      <c r="AE59" s="15">
        <f t="shared" si="112"/>
        <v>1.53</v>
      </c>
      <c r="AF59" s="15">
        <f t="shared" si="122"/>
        <v>1.01</v>
      </c>
      <c r="AG59" s="15">
        <f t="shared" si="132"/>
        <v>0.48</v>
      </c>
      <c r="AH59" s="15">
        <f t="shared" si="142"/>
        <v>0.82</v>
      </c>
      <c r="AI59" s="15">
        <f t="shared" si="152"/>
        <v>2.29</v>
      </c>
      <c r="AJ59" s="15">
        <f t="shared" si="162"/>
        <v>3.19</v>
      </c>
      <c r="AK59" s="15">
        <f t="shared" si="172"/>
        <v>1.23</v>
      </c>
      <c r="AL59" s="15">
        <f t="shared" si="182"/>
        <v>2.7</v>
      </c>
      <c r="AM59" s="15">
        <f t="shared" si="192"/>
        <v>4.3</v>
      </c>
      <c r="AN59" s="15">
        <f t="shared" si="202"/>
        <v>0.73</v>
      </c>
      <c r="AO59" s="15">
        <f t="shared" si="212"/>
        <v>3.06</v>
      </c>
      <c r="AP59" s="15">
        <v>2</v>
      </c>
      <c r="AQ59" s="15">
        <f t="shared" si="113"/>
        <v>0</v>
      </c>
      <c r="AR59" s="15">
        <f t="shared" si="123"/>
        <v>0</v>
      </c>
      <c r="AS59" s="15">
        <f t="shared" si="133"/>
        <v>0</v>
      </c>
      <c r="AT59" s="15">
        <f t="shared" si="143"/>
        <v>0</v>
      </c>
      <c r="AU59" s="15">
        <f t="shared" si="153"/>
        <v>0</v>
      </c>
      <c r="AV59" s="15">
        <f t="shared" si="163"/>
        <v>0</v>
      </c>
      <c r="AW59" s="15">
        <f t="shared" si="173"/>
        <v>0</v>
      </c>
      <c r="AX59" s="15">
        <f t="shared" si="183"/>
        <v>0</v>
      </c>
      <c r="AY59" s="15">
        <f t="shared" si="193"/>
        <v>0</v>
      </c>
      <c r="AZ59" s="15">
        <f t="shared" si="203"/>
        <v>0</v>
      </c>
      <c r="BA59" s="15">
        <f t="shared" si="213"/>
        <v>0</v>
      </c>
      <c r="BB59" s="15">
        <v>36</v>
      </c>
      <c r="BC59" s="15">
        <f t="shared" si="114"/>
        <v>15</v>
      </c>
      <c r="BD59" s="15">
        <f t="shared" si="124"/>
        <v>11</v>
      </c>
      <c r="BE59" s="15">
        <f t="shared" si="134"/>
        <v>7</v>
      </c>
      <c r="BF59" s="15">
        <f t="shared" si="144"/>
        <v>9</v>
      </c>
      <c r="BG59" s="15">
        <f t="shared" si="154"/>
        <v>37</v>
      </c>
      <c r="BH59" s="15">
        <f t="shared" si="164"/>
        <v>34</v>
      </c>
      <c r="BI59" s="15">
        <f t="shared" si="174"/>
        <v>16</v>
      </c>
      <c r="BJ59" s="15">
        <f t="shared" si="184"/>
        <v>51</v>
      </c>
      <c r="BK59" s="15">
        <f t="shared" si="194"/>
        <v>54</v>
      </c>
      <c r="BL59" s="15">
        <f t="shared" si="204"/>
        <v>3</v>
      </c>
      <c r="BM59" s="15">
        <f t="shared" si="214"/>
        <v>6</v>
      </c>
      <c r="BN59" s="15">
        <v>0</v>
      </c>
      <c r="BO59" s="15">
        <f t="shared" si="115"/>
        <v>0</v>
      </c>
      <c r="BP59" s="15">
        <f t="shared" si="125"/>
        <v>0</v>
      </c>
      <c r="BQ59" s="15">
        <f t="shared" si="135"/>
        <v>0</v>
      </c>
      <c r="BR59" s="15">
        <f t="shared" si="145"/>
        <v>0</v>
      </c>
      <c r="BS59" s="15">
        <f t="shared" si="155"/>
        <v>0</v>
      </c>
      <c r="BT59" s="15">
        <f t="shared" si="165"/>
        <v>0</v>
      </c>
      <c r="BU59" s="15">
        <f t="shared" si="175"/>
        <v>0</v>
      </c>
      <c r="BV59" s="15">
        <f t="shared" si="185"/>
        <v>1</v>
      </c>
      <c r="BW59" s="15">
        <f t="shared" si="195"/>
        <v>2</v>
      </c>
      <c r="BX59" s="15">
        <f t="shared" si="205"/>
        <v>0</v>
      </c>
      <c r="BY59" s="15">
        <f t="shared" si="215"/>
        <v>0</v>
      </c>
      <c r="BZ59" s="15">
        <v>6.9294399999999996</v>
      </c>
      <c r="CA59" s="15">
        <f t="shared" si="116"/>
        <v>4.7220000000000004</v>
      </c>
      <c r="CB59" s="15">
        <f t="shared" si="126"/>
        <v>4.2527299999999997</v>
      </c>
      <c r="CC59" s="15">
        <f t="shared" si="136"/>
        <v>3.16</v>
      </c>
      <c r="CD59" s="15">
        <f t="shared" si="146"/>
        <v>4.25</v>
      </c>
      <c r="CE59" s="15">
        <f t="shared" si="156"/>
        <v>2.8491900000000001</v>
      </c>
      <c r="CF59" s="15">
        <f t="shared" si="166"/>
        <v>4.2705900000000003</v>
      </c>
      <c r="CG59" s="15">
        <f t="shared" si="176"/>
        <v>3.6406200000000002</v>
      </c>
      <c r="CH59" s="15">
        <f t="shared" si="186"/>
        <v>2.4741200000000001</v>
      </c>
      <c r="CI59" s="15">
        <f t="shared" si="196"/>
        <v>3.6029599999999999</v>
      </c>
      <c r="CJ59" s="15">
        <f t="shared" si="206"/>
        <v>11.126670000000001</v>
      </c>
      <c r="CK59" s="15">
        <f t="shared" si="216"/>
        <v>22.858329999999999</v>
      </c>
      <c r="CL59" s="15">
        <v>0</v>
      </c>
      <c r="CM59" s="15">
        <f t="shared" si="117"/>
        <v>0</v>
      </c>
      <c r="CN59" s="15">
        <f t="shared" si="127"/>
        <v>0</v>
      </c>
      <c r="CO59" s="15">
        <f t="shared" si="137"/>
        <v>0</v>
      </c>
      <c r="CP59" s="15">
        <f t="shared" si="147"/>
        <v>0</v>
      </c>
      <c r="CQ59" s="15">
        <f t="shared" si="157"/>
        <v>0</v>
      </c>
      <c r="CR59" s="15">
        <f t="shared" si="167"/>
        <v>0</v>
      </c>
      <c r="CS59" s="15">
        <f t="shared" si="177"/>
        <v>0</v>
      </c>
      <c r="CT59" s="15">
        <f t="shared" si="187"/>
        <v>0</v>
      </c>
      <c r="CU59" s="15">
        <f t="shared" si="197"/>
        <v>0</v>
      </c>
      <c r="CV59" s="15">
        <f t="shared" si="207"/>
        <v>0</v>
      </c>
      <c r="CW59" s="15">
        <f t="shared" si="217"/>
        <v>1</v>
      </c>
      <c r="CX59" s="15">
        <v>81.788200000000003</v>
      </c>
      <c r="CY59" s="15">
        <f t="shared" si="118"/>
        <v>78.042900000000003</v>
      </c>
      <c r="CZ59" s="15">
        <f t="shared" si="128"/>
        <v>76.767700000000005</v>
      </c>
      <c r="DA59" s="15">
        <f t="shared" si="138"/>
        <v>72.439700000000002</v>
      </c>
      <c r="DB59" s="15">
        <f t="shared" si="148"/>
        <v>76.759500000000003</v>
      </c>
      <c r="DC59" s="15">
        <f t="shared" si="158"/>
        <v>70.6601</v>
      </c>
      <c r="DD59" s="15">
        <f t="shared" si="168"/>
        <v>76.821100000000001</v>
      </c>
      <c r="DE59" s="15">
        <f t="shared" si="178"/>
        <v>74.640900000000002</v>
      </c>
      <c r="DF59" s="15">
        <f t="shared" si="188"/>
        <v>67.992199999999997</v>
      </c>
      <c r="DG59" s="15">
        <f t="shared" si="198"/>
        <v>74.488</v>
      </c>
      <c r="DH59" s="15">
        <f t="shared" si="208"/>
        <v>84.864400000000003</v>
      </c>
      <c r="DI59" s="15">
        <f t="shared" si="218"/>
        <v>87.495000000000005</v>
      </c>
      <c r="DJ59" s="15" t="s">
        <v>23</v>
      </c>
      <c r="DK59" s="15" t="str">
        <f t="shared" si="119"/>
        <v>HH</v>
      </c>
      <c r="DL59" s="15" t="str">
        <f t="shared" si="129"/>
        <v>LH</v>
      </c>
      <c r="DM59" s="15" t="str">
        <f t="shared" si="139"/>
        <v>LH</v>
      </c>
      <c r="DN59" s="15" t="str">
        <f t="shared" si="149"/>
        <v>LH</v>
      </c>
      <c r="DO59" s="15" t="str">
        <f t="shared" si="159"/>
        <v>HH</v>
      </c>
      <c r="DP59" s="15" t="str">
        <f t="shared" si="169"/>
        <v>LH</v>
      </c>
      <c r="DQ59" s="15" t="str">
        <f t="shared" si="179"/>
        <v>HH</v>
      </c>
      <c r="DR59" s="15" t="str">
        <f t="shared" si="189"/>
        <v>HH</v>
      </c>
      <c r="DS59" s="15" t="str">
        <f t="shared" si="199"/>
        <v>HH</v>
      </c>
      <c r="DT59" s="15" t="str">
        <f t="shared" si="209"/>
        <v>LH</v>
      </c>
      <c r="DU59" s="15" t="str">
        <f t="shared" si="219"/>
        <v>HH</v>
      </c>
      <c r="DV59" s="15">
        <f>IFERROR((G59-$F59)/$F59*100,"")</f>
        <v>-3.3569606597809001</v>
      </c>
      <c r="DW59" s="15">
        <f>IFERROR((H59-$F59)/$F59*100,"")</f>
        <v>-3.9957837265845542</v>
      </c>
      <c r="DX59" s="15">
        <f>IFERROR((I59-$F59)/$F59*100,"")</f>
        <v>-3.9012881456426007</v>
      </c>
      <c r="DY59" s="15">
        <f>IFERROR((J59-$F59)/$F59*100,"")</f>
        <v>-3.2844934604528779</v>
      </c>
      <c r="DZ59" s="15">
        <f>IFERROR((K59-$F59)/$F59*100,"")</f>
        <v>-3.1066194257386126</v>
      </c>
      <c r="EA59" s="15">
        <f>IFERROR((L59-$F59)/$F59*100,"")</f>
        <v>-3.2573182607048725</v>
      </c>
      <c r="EB59" s="15">
        <f>IFERROR((M59-$F59)/$F59*100,"")</f>
        <v>-1.1718275527703279</v>
      </c>
      <c r="EC59" s="15">
        <f>IFERROR((N59-$F59)/$F59*100,"")</f>
        <v>-1.3223205150112007</v>
      </c>
      <c r="ED59" s="15">
        <f>IFERROR((O59-$F59)/$F59*100,"")</f>
        <v>-2.7374896291614652</v>
      </c>
      <c r="EE59" s="15">
        <f>IFERROR((P59-$F59)/$F59*100,"")</f>
        <v>-5.6765286564539981</v>
      </c>
      <c r="EF59" s="15">
        <f>IFERROR((Q59-$F59)/$F59*100,"")</f>
        <v>-4.8900948455645699</v>
      </c>
      <c r="EG59" s="15" t="str">
        <f>IF(DV59="","",IF(AND(ABS(DV59)&lt;=0.25,$E59="Bottom",DK59="LL"),"EQL",IF(AND(ABS(DV59)&lt;=0.25,$E59="Peak",DK59="HH"),"EQH","")))</f>
        <v/>
      </c>
      <c r="EH59" s="15" t="str">
        <f>IF(DW59="","",IF(AND(ABS(DW59)&lt;=0.25,$E59="Bottom",DL59="LL"),"EQL",IF(AND(ABS(DW59)&lt;=0.25,$E59="Peak",DL59="HH"),"EQH","")))</f>
        <v/>
      </c>
      <c r="EI59" s="15" t="str">
        <f>IF(DX59="","",IF(AND(ABS(DX59)&lt;=0.25,$E59="Bottom",DM59="LL"),"EQL",IF(AND(ABS(DX59)&lt;=0.25,$E59="Peak",DM59="HH"),"EQH","")))</f>
        <v/>
      </c>
      <c r="EJ59" s="15" t="str">
        <f>IF(DY59="","",IF(AND(ABS(DY59)&lt;=0.25,$E59="Bottom",DN59="LL"),"EQL",IF(AND(ABS(DY59)&lt;=0.25,$E59="Peak",DN59="HH"),"EQH","")))</f>
        <v/>
      </c>
      <c r="EK59" s="15" t="str">
        <f>IF(DZ59="","",IF(AND(ABS(DZ59)&lt;=0.25,$E59="Bottom",DO59="LL"),"EQL",IF(AND(ABS(DZ59)&lt;=0.25,$E59="Peak",DO59="HH"),"EQH","")))</f>
        <v/>
      </c>
      <c r="EL59" s="15" t="str">
        <f>IF(EA59="","",IF(AND(ABS(EA59)&lt;=0.25,$E59="Bottom",DP59="LL"),"EQL",IF(AND(ABS(EA59)&lt;=0.25,$E59="Peak",DP59="HH"),"EQH","")))</f>
        <v/>
      </c>
      <c r="EM59" s="15" t="str">
        <f>IF(EB59="","",IF(AND(ABS(EB59)&lt;=0.25,$E59="Bottom",DQ59="LL"),"EQL",IF(AND(ABS(EB59)&lt;=0.25,$E59="Peak",DQ59="HH"),"EQH","")))</f>
        <v/>
      </c>
      <c r="EN59" s="15" t="str">
        <f>IF(EC59="","",IF(AND(ABS(EC59)&lt;=0.25,$E59="Bottom",DR59="LL"),"EQL",IF(AND(ABS(EC59)&lt;=0.25,$E59="Peak",DR59="HH"),"EQH","")))</f>
        <v/>
      </c>
      <c r="EO59" s="15" t="str">
        <f>IF(ED59="","",IF(AND(ABS(ED59)&lt;=0.25,$E59="Bottom",DS59="LL"),"EQL",IF(AND(ABS(ED59)&lt;=0.25,$E59="Peak",DS59="HH"),"EQH","")))</f>
        <v/>
      </c>
      <c r="EP59" s="15" t="str">
        <f>IF(EE59="","",IF(AND(ABS(EE59)&lt;=0.25,$E59="Bottom",DT59="LL"),"EQL",IF(AND(ABS(EE59)&lt;=0.25,$E59="Peak",DT59="HH"),"EQH","")))</f>
        <v/>
      </c>
      <c r="EQ59" s="15" t="str">
        <f>IF(EF59="","",IF(AND(ABS(EF59)&lt;=0.25,$E59="Bottom",DU59="LL"),"EQL",IF(AND(ABS(EF59)&lt;=0.25,$E59="Peak",DU59="HH"),"EQH","")))</f>
        <v/>
      </c>
      <c r="ER59" s="15" t="str">
        <f>IF(OR(EG59="EQL",EG59="EQH"),F59,"")</f>
        <v/>
      </c>
      <c r="ES59" s="15" t="str">
        <f>IF(OR(EH59="EQL",EH59="EQH"),G59,"")</f>
        <v/>
      </c>
      <c r="ET59" s="15" t="str">
        <f>IF(OR(EI59="EQL",EI59="EQH"),H59,"")</f>
        <v/>
      </c>
      <c r="EU59" s="15" t="str">
        <f>IF(OR(EJ59="EQL",EJ59="EQH"),I59,"")</f>
        <v/>
      </c>
      <c r="EV59" s="15" t="str">
        <f>IF(OR(EK59="EQL",EK59="EQH"),J59,"")</f>
        <v/>
      </c>
      <c r="EW59" s="15" t="str">
        <f>IF(OR(EL59="EQL",EL59="EQH"),K59,"")</f>
        <v/>
      </c>
      <c r="EX59" s="15" t="str">
        <f>IF(OR(EM59="EQL",EM59="EQH"),L59,"")</f>
        <v/>
      </c>
      <c r="EY59" s="15" t="str">
        <f>IF(OR(EN59="EQL",EN59="EQH"),M59,"")</f>
        <v/>
      </c>
      <c r="EZ59" s="15" t="str">
        <f>IF(OR(EO59="EQL",EO59="EQH"),N59,"")</f>
        <v/>
      </c>
      <c r="FA59" s="15" t="str">
        <f>IF(OR(EP59="EQL",EP59="EQH"),O59,"")</f>
        <v/>
      </c>
      <c r="FB59" s="15" t="str">
        <f>IF(OR(EQ59="EQL",EQ59="EQH"),P59,"")</f>
        <v/>
      </c>
      <c r="FC59" s="15" t="str">
        <f>IF(AND(EG59="EQL",OR(AQ59=4,AQ59=5)),"IEQL",IF(AND(EG59="EQH",OR(AQ59=1,AQ59=2)),"IEQH",""))</f>
        <v/>
      </c>
      <c r="FD59" s="15" t="str">
        <f>IF(AND(EH59="EQL",OR(AR59=4,AR59=5)),"IEQL",IF(AND(EH59="EQH",OR(AR59=1,AR59=2)),"IEQH",""))</f>
        <v/>
      </c>
      <c r="FE59" s="15" t="str">
        <f>IF(AND(EI59="EQL",OR(AS59=4,AS59=5)),"IEQL",IF(AND(EI59="EQH",OR(AS59=1,AS59=2)),"IEQH",""))</f>
        <v/>
      </c>
      <c r="FF59" s="15" t="str">
        <f>IF(AND(EJ59="EQL",OR(AT59=4,AT59=5)),"IEQL",IF(AND(EJ59="EQH",OR(AT59=1,AT59=2)),"IEQH",""))</f>
        <v/>
      </c>
      <c r="FG59" s="15" t="str">
        <f>IF(AND(EK59="EQL",OR(AU59=4,AU59=5)),"IEQL",IF(AND(EK59="EQH",OR(AU59=1,AU59=2)),"IEQH",""))</f>
        <v/>
      </c>
      <c r="FH59" s="15" t="str">
        <f>IF(AND(EL59="EQL",OR(AV59=4,AV59=5)),"IEQL",IF(AND(EL59="EQH",OR(AV59=1,AV59=2)),"IEQH",""))</f>
        <v/>
      </c>
      <c r="FI59" s="15" t="str">
        <f>IF(AND(EM59="EQL",OR(AW59=4,AW59=5)),"IEQL",IF(AND(EM59="EQH",OR(AW59=1,AW59=2)),"IEQH",""))</f>
        <v/>
      </c>
      <c r="FJ59" s="15" t="str">
        <f>IF(AND(EN59="EQL",OR(AX59=4,AX59=5)),"IEQL",IF(AND(EN59="EQH",OR(AX59=1,AX59=2)),"IEQH",""))</f>
        <v/>
      </c>
      <c r="FK59" s="15" t="str">
        <f>IF(AND(EO59="EQL",OR(AY59=4,AY59=5)),"IEQL",IF(AND(EO59="EQH",OR(AY59=1,AY59=2)),"IEQH",""))</f>
        <v/>
      </c>
      <c r="FL59" s="15" t="str">
        <f>IF(AND(EP59="EQL",OR(AZ59=4,AZ59=5)),"IEQL",IF(AND(EP59="EQH",OR(AZ59=1,AZ59=2)),"IEQH",""))</f>
        <v/>
      </c>
      <c r="FM59" s="15" t="str">
        <f>IF(AND(EQ59="EQL",OR(BA59=4,BA59=5)),"IEQL",IF(AND(EQ59="EQH",OR(BA59=1,BA59=2)),"IEQH",""))</f>
        <v/>
      </c>
      <c r="FN59" s="15">
        <f>IF(OR(AND(DJ59="LL",AP59=5),AND(DJ59="HH",AP59=2)),F59,"")</f>
        <v>4857.37</v>
      </c>
      <c r="FO59" s="15">
        <f>IF(FN59&lt;&gt;"",F58,"")</f>
        <v>4607.91</v>
      </c>
    </row>
    <row r="60" spans="1:171" s="15" customFormat="1" x14ac:dyDescent="0.55000000000000004">
      <c r="A60" s="15">
        <v>1775643306</v>
      </c>
      <c r="B60" s="15" t="s">
        <v>16</v>
      </c>
      <c r="C60" s="15" t="s">
        <v>17</v>
      </c>
      <c r="D60" s="15">
        <v>4782.6099999999997</v>
      </c>
      <c r="E60" s="15" t="s">
        <v>18</v>
      </c>
      <c r="F60" s="15">
        <v>4771.22</v>
      </c>
      <c r="G60" s="15">
        <f t="shared" si="110"/>
        <v>4607.91</v>
      </c>
      <c r="H60" s="15">
        <f t="shared" si="120"/>
        <v>4623.4799999999996</v>
      </c>
      <c r="I60" s="15">
        <f t="shared" si="130"/>
        <v>4616.5</v>
      </c>
      <c r="J60" s="15">
        <f t="shared" si="140"/>
        <v>4645.75</v>
      </c>
      <c r="K60" s="15">
        <f t="shared" si="150"/>
        <v>4659.58</v>
      </c>
      <c r="L60" s="15">
        <f t="shared" si="160"/>
        <v>4601.05</v>
      </c>
      <c r="M60" s="15">
        <f t="shared" si="170"/>
        <v>4553.95</v>
      </c>
      <c r="N60" s="15">
        <f t="shared" si="180"/>
        <v>4742.2</v>
      </c>
      <c r="O60" s="15">
        <f t="shared" si="190"/>
        <v>4666.96</v>
      </c>
      <c r="P60" s="15">
        <f t="shared" si="200"/>
        <v>4529.84</v>
      </c>
      <c r="Q60" s="15">
        <f t="shared" si="210"/>
        <v>4548.26</v>
      </c>
      <c r="R60" s="15">
        <v>-86.15</v>
      </c>
      <c r="S60" s="15">
        <f t="shared" si="111"/>
        <v>-86.4</v>
      </c>
      <c r="T60" s="15">
        <f t="shared" si="121"/>
        <v>-39.799999999999997</v>
      </c>
      <c r="U60" s="15">
        <f t="shared" si="131"/>
        <v>-51.37</v>
      </c>
      <c r="V60" s="15">
        <f t="shared" si="141"/>
        <v>-52.08</v>
      </c>
      <c r="W60" s="15">
        <f t="shared" si="151"/>
        <v>-46.89</v>
      </c>
      <c r="X60" s="15">
        <f t="shared" si="161"/>
        <v>-98.1</v>
      </c>
      <c r="Y60" s="15">
        <f t="shared" si="171"/>
        <v>-246.5</v>
      </c>
      <c r="Z60" s="15">
        <f t="shared" si="181"/>
        <v>-50.94</v>
      </c>
      <c r="AA60" s="15">
        <f t="shared" si="191"/>
        <v>-57.44</v>
      </c>
      <c r="AB60" s="15">
        <f t="shared" si="201"/>
        <v>-51.8</v>
      </c>
      <c r="AC60" s="15">
        <f t="shared" si="211"/>
        <v>-71.58</v>
      </c>
      <c r="AD60" s="15">
        <v>-1.77</v>
      </c>
      <c r="AE60" s="15">
        <f t="shared" si="112"/>
        <v>-1.84</v>
      </c>
      <c r="AF60" s="15">
        <f t="shared" si="122"/>
        <v>-0.85</v>
      </c>
      <c r="AG60" s="15">
        <f t="shared" si="132"/>
        <v>-1.1000000000000001</v>
      </c>
      <c r="AH60" s="15">
        <f t="shared" si="142"/>
        <v>-1.1100000000000001</v>
      </c>
      <c r="AI60" s="15">
        <f t="shared" si="152"/>
        <v>-1</v>
      </c>
      <c r="AJ60" s="15">
        <f t="shared" si="162"/>
        <v>-2.09</v>
      </c>
      <c r="AK60" s="15">
        <f t="shared" si="172"/>
        <v>-5.13</v>
      </c>
      <c r="AL60" s="15">
        <f t="shared" si="182"/>
        <v>-1.06</v>
      </c>
      <c r="AM60" s="15">
        <f t="shared" si="192"/>
        <v>-1.22</v>
      </c>
      <c r="AN60" s="15">
        <f t="shared" si="202"/>
        <v>-1.1299999999999999</v>
      </c>
      <c r="AO60" s="15">
        <f t="shared" si="212"/>
        <v>-1.55</v>
      </c>
      <c r="AP60" s="15">
        <v>3</v>
      </c>
      <c r="AQ60" s="15">
        <f t="shared" si="113"/>
        <v>3</v>
      </c>
      <c r="AR60" s="15">
        <f t="shared" si="123"/>
        <v>3</v>
      </c>
      <c r="AS60" s="15">
        <f t="shared" si="133"/>
        <v>3</v>
      </c>
      <c r="AT60" s="15">
        <f t="shared" si="143"/>
        <v>3</v>
      </c>
      <c r="AU60" s="15">
        <f t="shared" si="153"/>
        <v>3</v>
      </c>
      <c r="AV60" s="15">
        <f t="shared" si="163"/>
        <v>3</v>
      </c>
      <c r="AW60" s="15">
        <f t="shared" si="173"/>
        <v>3</v>
      </c>
      <c r="AX60" s="15">
        <f t="shared" si="183"/>
        <v>3</v>
      </c>
      <c r="AY60" s="15">
        <f t="shared" si="193"/>
        <v>3</v>
      </c>
      <c r="AZ60" s="15">
        <f t="shared" si="203"/>
        <v>3</v>
      </c>
      <c r="BA60" s="15">
        <f t="shared" si="213"/>
        <v>3</v>
      </c>
      <c r="BB60" s="15">
        <v>41</v>
      </c>
      <c r="BC60" s="15">
        <f t="shared" si="114"/>
        <v>19</v>
      </c>
      <c r="BD60" s="15">
        <f t="shared" si="124"/>
        <v>4</v>
      </c>
      <c r="BE60" s="15">
        <f t="shared" si="134"/>
        <v>15</v>
      </c>
      <c r="BF60" s="15">
        <f t="shared" si="144"/>
        <v>19</v>
      </c>
      <c r="BG60" s="15">
        <f t="shared" si="154"/>
        <v>11</v>
      </c>
      <c r="BH60" s="15">
        <f t="shared" si="164"/>
        <v>35</v>
      </c>
      <c r="BI60" s="15">
        <f t="shared" si="174"/>
        <v>26</v>
      </c>
      <c r="BJ60" s="15">
        <f t="shared" si="184"/>
        <v>6</v>
      </c>
      <c r="BK60" s="15">
        <f t="shared" si="194"/>
        <v>13</v>
      </c>
      <c r="BL60" s="15">
        <f t="shared" si="204"/>
        <v>19</v>
      </c>
      <c r="BM60" s="15">
        <f t="shared" si="214"/>
        <v>13</v>
      </c>
      <c r="BN60" s="15">
        <v>4</v>
      </c>
      <c r="BO60" s="15">
        <f t="shared" si="115"/>
        <v>3</v>
      </c>
      <c r="BP60" s="15">
        <f t="shared" si="125"/>
        <v>3</v>
      </c>
      <c r="BQ60" s="15">
        <f t="shared" si="135"/>
        <v>3</v>
      </c>
      <c r="BR60" s="15">
        <f t="shared" si="145"/>
        <v>3</v>
      </c>
      <c r="BS60" s="15">
        <f t="shared" si="155"/>
        <v>3</v>
      </c>
      <c r="BT60" s="15">
        <f t="shared" si="165"/>
        <v>3</v>
      </c>
      <c r="BU60" s="15">
        <f t="shared" si="175"/>
        <v>3</v>
      </c>
      <c r="BV60" s="15">
        <f t="shared" si="185"/>
        <v>3</v>
      </c>
      <c r="BW60" s="15">
        <f t="shared" si="195"/>
        <v>3</v>
      </c>
      <c r="BX60" s="15">
        <f t="shared" si="205"/>
        <v>3</v>
      </c>
      <c r="BY60" s="15">
        <f t="shared" si="215"/>
        <v>3</v>
      </c>
      <c r="BZ60" s="15">
        <v>-2.1012200000000001</v>
      </c>
      <c r="CA60" s="15">
        <f t="shared" si="116"/>
        <v>-4.5473699999999999</v>
      </c>
      <c r="CB60" s="15">
        <f t="shared" si="126"/>
        <v>-9.9499999999999993</v>
      </c>
      <c r="CC60" s="15">
        <f t="shared" si="136"/>
        <v>-3.4246699999999999</v>
      </c>
      <c r="CD60" s="15">
        <f t="shared" si="146"/>
        <v>-2.74105</v>
      </c>
      <c r="CE60" s="15">
        <f t="shared" si="156"/>
        <v>-4.2627300000000004</v>
      </c>
      <c r="CF60" s="15">
        <f t="shared" si="166"/>
        <v>-2.8028599999999999</v>
      </c>
      <c r="CG60" s="15">
        <f t="shared" si="176"/>
        <v>-9.4807699999999997</v>
      </c>
      <c r="CH60" s="15">
        <f t="shared" si="186"/>
        <v>-8.49</v>
      </c>
      <c r="CI60" s="15">
        <f t="shared" si="196"/>
        <v>-4.4184599999999996</v>
      </c>
      <c r="CJ60" s="15">
        <f t="shared" si="206"/>
        <v>-2.7263199999999999</v>
      </c>
      <c r="CK60" s="15">
        <f t="shared" si="216"/>
        <v>-5.5061499999999999</v>
      </c>
      <c r="CL60" s="15">
        <v>3</v>
      </c>
      <c r="CM60" s="15">
        <f t="shared" si="117"/>
        <v>3</v>
      </c>
      <c r="CN60" s="15">
        <f t="shared" si="127"/>
        <v>3</v>
      </c>
      <c r="CO60" s="15">
        <f t="shared" si="137"/>
        <v>3</v>
      </c>
      <c r="CP60" s="15">
        <f t="shared" si="147"/>
        <v>3</v>
      </c>
      <c r="CQ60" s="15">
        <f t="shared" si="157"/>
        <v>3</v>
      </c>
      <c r="CR60" s="15">
        <f t="shared" si="167"/>
        <v>3</v>
      </c>
      <c r="CS60" s="15">
        <f t="shared" si="177"/>
        <v>3</v>
      </c>
      <c r="CT60" s="15">
        <f t="shared" si="187"/>
        <v>3</v>
      </c>
      <c r="CU60" s="15">
        <f t="shared" si="197"/>
        <v>3</v>
      </c>
      <c r="CV60" s="15">
        <f t="shared" si="207"/>
        <v>3</v>
      </c>
      <c r="CW60" s="15">
        <f t="shared" si="217"/>
        <v>3</v>
      </c>
      <c r="CX60" s="15">
        <v>-64.549599999999998</v>
      </c>
      <c r="CY60" s="15">
        <f t="shared" si="118"/>
        <v>-77.5976</v>
      </c>
      <c r="CZ60" s="15">
        <f t="shared" si="128"/>
        <v>-84.260900000000007</v>
      </c>
      <c r="DA60" s="15">
        <f t="shared" si="138"/>
        <v>-73.722200000000001</v>
      </c>
      <c r="DB60" s="15">
        <f t="shared" si="148"/>
        <v>-69.956800000000001</v>
      </c>
      <c r="DC60" s="15">
        <f t="shared" si="158"/>
        <v>-76.797600000000003</v>
      </c>
      <c r="DD60" s="15">
        <f t="shared" si="168"/>
        <v>-70.364699999999999</v>
      </c>
      <c r="DE60" s="15">
        <f t="shared" si="178"/>
        <v>-83.978899999999996</v>
      </c>
      <c r="DF60" s="15">
        <f t="shared" si="188"/>
        <v>-83.282300000000006</v>
      </c>
      <c r="DG60" s="15">
        <f t="shared" si="198"/>
        <v>-77.247500000000002</v>
      </c>
      <c r="DH60" s="15">
        <f t="shared" si="208"/>
        <v>-69.857200000000006</v>
      </c>
      <c r="DI60" s="15">
        <f t="shared" si="218"/>
        <v>-79.706400000000002</v>
      </c>
      <c r="DJ60" s="15" t="s">
        <v>22</v>
      </c>
      <c r="DK60" s="15" t="str">
        <f t="shared" si="119"/>
        <v>LL</v>
      </c>
      <c r="DL60" s="15" t="str">
        <f t="shared" si="129"/>
        <v>HL</v>
      </c>
      <c r="DM60" s="15" t="str">
        <f t="shared" si="139"/>
        <v>LL</v>
      </c>
      <c r="DN60" s="15" t="str">
        <f t="shared" si="149"/>
        <v>LL</v>
      </c>
      <c r="DO60" s="15" t="str">
        <f t="shared" si="159"/>
        <v>HL</v>
      </c>
      <c r="DP60" s="15" t="str">
        <f t="shared" si="169"/>
        <v>HL</v>
      </c>
      <c r="DQ60" s="15" t="str">
        <f t="shared" si="179"/>
        <v>LL</v>
      </c>
      <c r="DR60" s="15" t="str">
        <f t="shared" si="189"/>
        <v>HL</v>
      </c>
      <c r="DS60" s="15" t="str">
        <f t="shared" si="199"/>
        <v>HL</v>
      </c>
      <c r="DT60" s="15" t="str">
        <f t="shared" si="209"/>
        <v>LL</v>
      </c>
      <c r="DU60" s="15" t="str">
        <f t="shared" si="219"/>
        <v>HL</v>
      </c>
      <c r="DV60" s="15">
        <f>IFERROR((G60-$F60)/$F60*100,"")</f>
        <v>-3.4228142906845713</v>
      </c>
      <c r="DW60" s="15">
        <f>IFERROR((H60-$F60)/$F60*100,"")</f>
        <v>-3.0964826606193108</v>
      </c>
      <c r="DX60" s="15">
        <f>IFERROR((I60-$F60)/$F60*100,"")</f>
        <v>-3.2427764806485606</v>
      </c>
      <c r="DY60" s="15">
        <f>IFERROR((J60-$F60)/$F60*100,"")</f>
        <v>-2.6297257305259505</v>
      </c>
      <c r="DZ60" s="15">
        <f>IFERROR((K60-$F60)/$F60*100,"")</f>
        <v>-2.3398627604679794</v>
      </c>
      <c r="EA60" s="15">
        <f>IFERROR((L60-$F60)/$F60*100,"")</f>
        <v>-3.56659303071332</v>
      </c>
      <c r="EB60" s="15">
        <f>IFERROR((M60-$F60)/$F60*100,"")</f>
        <v>-4.5537619309107615</v>
      </c>
      <c r="EC60" s="15">
        <f>IFERROR((N60-$F60)/$F60*100,"")</f>
        <v>-0.6082301801216552</v>
      </c>
      <c r="ED60" s="15">
        <f>IFERROR((O60-$F60)/$F60*100,"")</f>
        <v>-2.1851853404370418</v>
      </c>
      <c r="EE60" s="15">
        <f>IFERROR((P60-$F60)/$F60*100,"")</f>
        <v>-5.0590834210118185</v>
      </c>
      <c r="EF60" s="15">
        <f>IFERROR((Q60-$F60)/$F60*100,"")</f>
        <v>-4.673018640934604</v>
      </c>
      <c r="EG60" s="15" t="str">
        <f>IF(DV60="","",IF(AND(ABS(DV60)&lt;=0.25,$E60="Bottom",DK60="LL"),"EQL",IF(AND(ABS(DV60)&lt;=0.25,$E60="Peak",DK60="HH"),"EQH","")))</f>
        <v/>
      </c>
      <c r="EH60" s="15" t="str">
        <f>IF(DW60="","",IF(AND(ABS(DW60)&lt;=0.25,$E60="Bottom",DL60="LL"),"EQL",IF(AND(ABS(DW60)&lt;=0.25,$E60="Peak",DL60="HH"),"EQH","")))</f>
        <v/>
      </c>
      <c r="EI60" s="15" t="str">
        <f>IF(DX60="","",IF(AND(ABS(DX60)&lt;=0.25,$E60="Bottom",DM60="LL"),"EQL",IF(AND(ABS(DX60)&lt;=0.25,$E60="Peak",DM60="HH"),"EQH","")))</f>
        <v/>
      </c>
      <c r="EJ60" s="15" t="str">
        <f>IF(DY60="","",IF(AND(ABS(DY60)&lt;=0.25,$E60="Bottom",DN60="LL"),"EQL",IF(AND(ABS(DY60)&lt;=0.25,$E60="Peak",DN60="HH"),"EQH","")))</f>
        <v/>
      </c>
      <c r="EK60" s="15" t="str">
        <f>IF(DZ60="","",IF(AND(ABS(DZ60)&lt;=0.25,$E60="Bottom",DO60="LL"),"EQL",IF(AND(ABS(DZ60)&lt;=0.25,$E60="Peak",DO60="HH"),"EQH","")))</f>
        <v/>
      </c>
      <c r="EL60" s="15" t="str">
        <f>IF(EA60="","",IF(AND(ABS(EA60)&lt;=0.25,$E60="Bottom",DP60="LL"),"EQL",IF(AND(ABS(EA60)&lt;=0.25,$E60="Peak",DP60="HH"),"EQH","")))</f>
        <v/>
      </c>
      <c r="EM60" s="15" t="str">
        <f>IF(EB60="","",IF(AND(ABS(EB60)&lt;=0.25,$E60="Bottom",DQ60="LL"),"EQL",IF(AND(ABS(EB60)&lt;=0.25,$E60="Peak",DQ60="HH"),"EQH","")))</f>
        <v/>
      </c>
      <c r="EN60" s="15" t="str">
        <f>IF(EC60="","",IF(AND(ABS(EC60)&lt;=0.25,$E60="Bottom",DR60="LL"),"EQL",IF(AND(ABS(EC60)&lt;=0.25,$E60="Peak",DR60="HH"),"EQH","")))</f>
        <v/>
      </c>
      <c r="EO60" s="15" t="str">
        <f>IF(ED60="","",IF(AND(ABS(ED60)&lt;=0.25,$E60="Bottom",DS60="LL"),"EQL",IF(AND(ABS(ED60)&lt;=0.25,$E60="Peak",DS60="HH"),"EQH","")))</f>
        <v/>
      </c>
      <c r="EP60" s="15" t="str">
        <f>IF(EE60="","",IF(AND(ABS(EE60)&lt;=0.25,$E60="Bottom",DT60="LL"),"EQL",IF(AND(ABS(EE60)&lt;=0.25,$E60="Peak",DT60="HH"),"EQH","")))</f>
        <v/>
      </c>
      <c r="EQ60" s="15" t="str">
        <f>IF(EF60="","",IF(AND(ABS(EF60)&lt;=0.25,$E60="Bottom",DU60="LL"),"EQL",IF(AND(ABS(EF60)&lt;=0.25,$E60="Peak",DU60="HH"),"EQH","")))</f>
        <v/>
      </c>
      <c r="ER60" s="15" t="str">
        <f>IF(OR(EG60="EQL",EG60="EQH"),F60,"")</f>
        <v/>
      </c>
      <c r="ES60" s="15" t="str">
        <f>IF(OR(EH60="EQL",EH60="EQH"),G60,"")</f>
        <v/>
      </c>
      <c r="ET60" s="15" t="str">
        <f>IF(OR(EI60="EQL",EI60="EQH"),H60,"")</f>
        <v/>
      </c>
      <c r="EU60" s="15" t="str">
        <f>IF(OR(EJ60="EQL",EJ60="EQH"),I60,"")</f>
        <v/>
      </c>
      <c r="EV60" s="15" t="str">
        <f>IF(OR(EK60="EQL",EK60="EQH"),J60,"")</f>
        <v/>
      </c>
      <c r="EW60" s="15" t="str">
        <f>IF(OR(EL60="EQL",EL60="EQH"),K60,"")</f>
        <v/>
      </c>
      <c r="EX60" s="15" t="str">
        <f>IF(OR(EM60="EQL",EM60="EQH"),L60,"")</f>
        <v/>
      </c>
      <c r="EY60" s="15" t="str">
        <f>IF(OR(EN60="EQL",EN60="EQH"),M60,"")</f>
        <v/>
      </c>
      <c r="EZ60" s="15" t="str">
        <f>IF(OR(EO60="EQL",EO60="EQH"),N60,"")</f>
        <v/>
      </c>
      <c r="FA60" s="15" t="str">
        <f>IF(OR(EP60="EQL",EP60="EQH"),O60,"")</f>
        <v/>
      </c>
      <c r="FB60" s="15" t="str">
        <f>IF(OR(EQ60="EQL",EQ60="EQH"),P60,"")</f>
        <v/>
      </c>
      <c r="FC60" s="15" t="str">
        <f>IF(AND(EG60="EQL",OR(AQ60=4,AQ60=5)),"IEQL",IF(AND(EG60="EQH",OR(AQ60=1,AQ60=2)),"IEQH",""))</f>
        <v/>
      </c>
      <c r="FD60" s="15" t="str">
        <f>IF(AND(EH60="EQL",OR(AR60=4,AR60=5)),"IEQL",IF(AND(EH60="EQH",OR(AR60=1,AR60=2)),"IEQH",""))</f>
        <v/>
      </c>
      <c r="FE60" s="15" t="str">
        <f>IF(AND(EI60="EQL",OR(AS60=4,AS60=5)),"IEQL",IF(AND(EI60="EQH",OR(AS60=1,AS60=2)),"IEQH",""))</f>
        <v/>
      </c>
      <c r="FF60" s="15" t="str">
        <f>IF(AND(EJ60="EQL",OR(AT60=4,AT60=5)),"IEQL",IF(AND(EJ60="EQH",OR(AT60=1,AT60=2)),"IEQH",""))</f>
        <v/>
      </c>
      <c r="FG60" s="15" t="str">
        <f>IF(AND(EK60="EQL",OR(AU60=4,AU60=5)),"IEQL",IF(AND(EK60="EQH",OR(AU60=1,AU60=2)),"IEQH",""))</f>
        <v/>
      </c>
      <c r="FH60" s="15" t="str">
        <f>IF(AND(EL60="EQL",OR(AV60=4,AV60=5)),"IEQL",IF(AND(EL60="EQH",OR(AV60=1,AV60=2)),"IEQH",""))</f>
        <v/>
      </c>
      <c r="FI60" s="15" t="str">
        <f>IF(AND(EM60="EQL",OR(AW60=4,AW60=5)),"IEQL",IF(AND(EM60="EQH",OR(AW60=1,AW60=2)),"IEQH",""))</f>
        <v/>
      </c>
      <c r="FJ60" s="15" t="str">
        <f>IF(AND(EN60="EQL",OR(AX60=4,AX60=5)),"IEQL",IF(AND(EN60="EQH",OR(AX60=1,AX60=2)),"IEQH",""))</f>
        <v/>
      </c>
      <c r="FK60" s="15" t="str">
        <f>IF(AND(EO60="EQL",OR(AY60=4,AY60=5)),"IEQL",IF(AND(EO60="EQH",OR(AY60=1,AY60=2)),"IEQH",""))</f>
        <v/>
      </c>
      <c r="FL60" s="15" t="str">
        <f>IF(AND(EP60="EQL",OR(AZ60=4,AZ60=5)),"IEQL",IF(AND(EP60="EQH",OR(AZ60=1,AZ60=2)),"IEQH",""))</f>
        <v/>
      </c>
      <c r="FM60" s="15" t="str">
        <f>IF(AND(EQ60="EQL",OR(BA60=4,BA60=5)),"IEQL",IF(AND(EQ60="EQH",OR(BA60=1,BA60=2)),"IEQH",""))</f>
        <v/>
      </c>
      <c r="FN60" s="15" t="str">
        <f>IF(OR(AND(DJ60="LL",AP60=5),AND(DJ60="HH",AP60=2)),F60,"")</f>
        <v/>
      </c>
      <c r="FO60" s="15" t="str">
        <f>IF(FN60&lt;&gt;"",F59,"")</f>
        <v/>
      </c>
    </row>
    <row r="61" spans="1:171" s="15" customFormat="1" x14ac:dyDescent="0.55000000000000004">
      <c r="A61" s="15">
        <v>1775649606</v>
      </c>
      <c r="B61" s="15" t="s">
        <v>16</v>
      </c>
      <c r="C61" s="15" t="s">
        <v>17</v>
      </c>
      <c r="D61" s="15">
        <v>4805.3100000000004</v>
      </c>
      <c r="E61" s="15" t="s">
        <v>20</v>
      </c>
      <c r="F61" s="15">
        <v>4807.34</v>
      </c>
      <c r="G61" s="15">
        <f t="shared" si="110"/>
        <v>4857.37</v>
      </c>
      <c r="H61" s="15">
        <f t="shared" si="120"/>
        <v>4694.3100000000004</v>
      </c>
      <c r="I61" s="15">
        <f t="shared" si="130"/>
        <v>4663.28</v>
      </c>
      <c r="J61" s="15">
        <f t="shared" si="140"/>
        <v>4667.87</v>
      </c>
      <c r="K61" s="15">
        <f t="shared" si="150"/>
        <v>4697.83</v>
      </c>
      <c r="L61" s="15">
        <f t="shared" si="160"/>
        <v>4706.47</v>
      </c>
      <c r="M61" s="15">
        <f t="shared" si="170"/>
        <v>4699.1499999999996</v>
      </c>
      <c r="N61" s="15">
        <f t="shared" si="180"/>
        <v>4800.45</v>
      </c>
      <c r="O61" s="15">
        <f t="shared" si="190"/>
        <v>4793.1400000000003</v>
      </c>
      <c r="P61" s="15">
        <f t="shared" si="200"/>
        <v>4724.3999999999996</v>
      </c>
      <c r="Q61" s="15">
        <f t="shared" si="210"/>
        <v>4581.6400000000003</v>
      </c>
      <c r="R61" s="15">
        <v>36.119999999999997</v>
      </c>
      <c r="S61" s="15">
        <f t="shared" si="111"/>
        <v>249.46</v>
      </c>
      <c r="T61" s="15">
        <f t="shared" si="121"/>
        <v>70.83</v>
      </c>
      <c r="U61" s="15">
        <f t="shared" si="131"/>
        <v>46.78</v>
      </c>
      <c r="V61" s="15">
        <f t="shared" si="141"/>
        <v>22.12</v>
      </c>
      <c r="W61" s="15">
        <f t="shared" si="151"/>
        <v>38.25</v>
      </c>
      <c r="X61" s="15">
        <f t="shared" si="161"/>
        <v>105.42</v>
      </c>
      <c r="Y61" s="15">
        <f t="shared" si="171"/>
        <v>145.19999999999999</v>
      </c>
      <c r="Z61" s="15">
        <f t="shared" si="181"/>
        <v>58.25</v>
      </c>
      <c r="AA61" s="15">
        <f t="shared" si="191"/>
        <v>126.18</v>
      </c>
      <c r="AB61" s="15">
        <f t="shared" si="201"/>
        <v>194.56</v>
      </c>
      <c r="AC61" s="15">
        <f t="shared" si="211"/>
        <v>33.380000000000003</v>
      </c>
      <c r="AD61" s="15">
        <v>0.76</v>
      </c>
      <c r="AE61" s="15">
        <f t="shared" si="112"/>
        <v>5.41</v>
      </c>
      <c r="AF61" s="15">
        <f t="shared" si="122"/>
        <v>1.53</v>
      </c>
      <c r="AG61" s="15">
        <f t="shared" si="132"/>
        <v>1.01</v>
      </c>
      <c r="AH61" s="15">
        <f t="shared" si="142"/>
        <v>0.48</v>
      </c>
      <c r="AI61" s="15">
        <f t="shared" si="152"/>
        <v>0.82</v>
      </c>
      <c r="AJ61" s="15">
        <f t="shared" si="162"/>
        <v>2.29</v>
      </c>
      <c r="AK61" s="15">
        <f t="shared" si="172"/>
        <v>3.19</v>
      </c>
      <c r="AL61" s="15">
        <f t="shared" si="182"/>
        <v>1.23</v>
      </c>
      <c r="AM61" s="15">
        <f t="shared" si="192"/>
        <v>2.7</v>
      </c>
      <c r="AN61" s="15">
        <f t="shared" si="202"/>
        <v>4.3</v>
      </c>
      <c r="AO61" s="15">
        <f t="shared" si="212"/>
        <v>0.73</v>
      </c>
      <c r="AP61" s="15">
        <v>0</v>
      </c>
      <c r="AQ61" s="15">
        <f t="shared" si="113"/>
        <v>2</v>
      </c>
      <c r="AR61" s="15">
        <f t="shared" si="123"/>
        <v>0</v>
      </c>
      <c r="AS61" s="15">
        <f t="shared" si="133"/>
        <v>0</v>
      </c>
      <c r="AT61" s="15">
        <f t="shared" si="143"/>
        <v>0</v>
      </c>
      <c r="AU61" s="15">
        <f t="shared" si="153"/>
        <v>0</v>
      </c>
      <c r="AV61" s="15">
        <f t="shared" si="163"/>
        <v>0</v>
      </c>
      <c r="AW61" s="15">
        <f t="shared" si="173"/>
        <v>0</v>
      </c>
      <c r="AX61" s="15">
        <f t="shared" si="183"/>
        <v>0</v>
      </c>
      <c r="AY61" s="15">
        <f t="shared" si="193"/>
        <v>0</v>
      </c>
      <c r="AZ61" s="15">
        <f t="shared" si="203"/>
        <v>0</v>
      </c>
      <c r="BA61" s="15">
        <f t="shared" si="213"/>
        <v>0</v>
      </c>
      <c r="BB61" s="15">
        <v>7</v>
      </c>
      <c r="BC61" s="15">
        <f t="shared" si="114"/>
        <v>36</v>
      </c>
      <c r="BD61" s="15">
        <f t="shared" si="124"/>
        <v>15</v>
      </c>
      <c r="BE61" s="15">
        <f t="shared" si="134"/>
        <v>11</v>
      </c>
      <c r="BF61" s="15">
        <f t="shared" si="144"/>
        <v>7</v>
      </c>
      <c r="BG61" s="15">
        <f t="shared" si="154"/>
        <v>9</v>
      </c>
      <c r="BH61" s="15">
        <f t="shared" si="164"/>
        <v>37</v>
      </c>
      <c r="BI61" s="15">
        <f t="shared" si="174"/>
        <v>34</v>
      </c>
      <c r="BJ61" s="15">
        <f t="shared" si="184"/>
        <v>16</v>
      </c>
      <c r="BK61" s="15">
        <f t="shared" si="194"/>
        <v>51</v>
      </c>
      <c r="BL61" s="15">
        <f t="shared" si="204"/>
        <v>54</v>
      </c>
      <c r="BM61" s="15">
        <f t="shared" si="214"/>
        <v>3</v>
      </c>
      <c r="BN61" s="15">
        <v>0</v>
      </c>
      <c r="BO61" s="15">
        <f t="shared" si="115"/>
        <v>0</v>
      </c>
      <c r="BP61" s="15">
        <f t="shared" si="125"/>
        <v>0</v>
      </c>
      <c r="BQ61" s="15">
        <f t="shared" si="135"/>
        <v>0</v>
      </c>
      <c r="BR61" s="15">
        <f t="shared" si="145"/>
        <v>0</v>
      </c>
      <c r="BS61" s="15">
        <f t="shared" si="155"/>
        <v>0</v>
      </c>
      <c r="BT61" s="15">
        <f t="shared" si="165"/>
        <v>0</v>
      </c>
      <c r="BU61" s="15">
        <f t="shared" si="175"/>
        <v>0</v>
      </c>
      <c r="BV61" s="15">
        <f t="shared" si="185"/>
        <v>0</v>
      </c>
      <c r="BW61" s="15">
        <f t="shared" si="195"/>
        <v>1</v>
      </c>
      <c r="BX61" s="15">
        <f t="shared" si="205"/>
        <v>2</v>
      </c>
      <c r="BY61" s="15">
        <f t="shared" si="215"/>
        <v>0</v>
      </c>
      <c r="BZ61" s="15">
        <v>5.16</v>
      </c>
      <c r="CA61" s="15">
        <f t="shared" si="116"/>
        <v>6.9294399999999996</v>
      </c>
      <c r="CB61" s="15">
        <f t="shared" si="126"/>
        <v>4.7220000000000004</v>
      </c>
      <c r="CC61" s="15">
        <f t="shared" si="136"/>
        <v>4.2527299999999997</v>
      </c>
      <c r="CD61" s="15">
        <f t="shared" si="146"/>
        <v>3.16</v>
      </c>
      <c r="CE61" s="15">
        <f t="shared" si="156"/>
        <v>4.25</v>
      </c>
      <c r="CF61" s="15">
        <f t="shared" si="166"/>
        <v>2.8491900000000001</v>
      </c>
      <c r="CG61" s="15">
        <f t="shared" si="176"/>
        <v>4.2705900000000003</v>
      </c>
      <c r="CH61" s="15">
        <f t="shared" si="186"/>
        <v>3.6406200000000002</v>
      </c>
      <c r="CI61" s="15">
        <f t="shared" si="196"/>
        <v>2.4741200000000001</v>
      </c>
      <c r="CJ61" s="15">
        <f t="shared" si="206"/>
        <v>3.6029599999999999</v>
      </c>
      <c r="CK61" s="15">
        <f t="shared" si="216"/>
        <v>11.126670000000001</v>
      </c>
      <c r="CL61" s="15">
        <v>0</v>
      </c>
      <c r="CM61" s="15">
        <f t="shared" si="117"/>
        <v>0</v>
      </c>
      <c r="CN61" s="15">
        <f t="shared" si="127"/>
        <v>0</v>
      </c>
      <c r="CO61" s="15">
        <f t="shared" si="137"/>
        <v>0</v>
      </c>
      <c r="CP61" s="15">
        <f t="shared" si="147"/>
        <v>0</v>
      </c>
      <c r="CQ61" s="15">
        <f t="shared" si="157"/>
        <v>0</v>
      </c>
      <c r="CR61" s="15">
        <f t="shared" si="167"/>
        <v>0</v>
      </c>
      <c r="CS61" s="15">
        <f t="shared" si="177"/>
        <v>0</v>
      </c>
      <c r="CT61" s="15">
        <f t="shared" si="187"/>
        <v>0</v>
      </c>
      <c r="CU61" s="15">
        <f t="shared" si="197"/>
        <v>0</v>
      </c>
      <c r="CV61" s="15">
        <f t="shared" si="207"/>
        <v>0</v>
      </c>
      <c r="CW61" s="15">
        <f t="shared" si="217"/>
        <v>0</v>
      </c>
      <c r="CX61" s="15">
        <v>79.0321</v>
      </c>
      <c r="CY61" s="15">
        <f t="shared" si="118"/>
        <v>81.788200000000003</v>
      </c>
      <c r="CZ61" s="15">
        <f t="shared" si="128"/>
        <v>78.042900000000003</v>
      </c>
      <c r="DA61" s="15">
        <f t="shared" si="138"/>
        <v>76.767700000000005</v>
      </c>
      <c r="DB61" s="15">
        <f t="shared" si="148"/>
        <v>72.439700000000002</v>
      </c>
      <c r="DC61" s="15">
        <f t="shared" si="158"/>
        <v>76.759500000000003</v>
      </c>
      <c r="DD61" s="15">
        <f t="shared" si="168"/>
        <v>70.6601</v>
      </c>
      <c r="DE61" s="15">
        <f t="shared" si="178"/>
        <v>76.821100000000001</v>
      </c>
      <c r="DF61" s="15">
        <f t="shared" si="188"/>
        <v>74.640900000000002</v>
      </c>
      <c r="DG61" s="15">
        <f t="shared" si="198"/>
        <v>67.992199999999997</v>
      </c>
      <c r="DH61" s="15">
        <f t="shared" si="208"/>
        <v>74.488</v>
      </c>
      <c r="DI61" s="15">
        <f t="shared" si="218"/>
        <v>84.864400000000003</v>
      </c>
      <c r="DJ61" s="15" t="s">
        <v>21</v>
      </c>
      <c r="DK61" s="15" t="str">
        <f t="shared" si="119"/>
        <v>HH</v>
      </c>
      <c r="DL61" s="15" t="str">
        <f t="shared" si="129"/>
        <v>HH</v>
      </c>
      <c r="DM61" s="15" t="str">
        <f t="shared" si="139"/>
        <v>LH</v>
      </c>
      <c r="DN61" s="15" t="str">
        <f t="shared" si="149"/>
        <v>LH</v>
      </c>
      <c r="DO61" s="15" t="str">
        <f t="shared" si="159"/>
        <v>LH</v>
      </c>
      <c r="DP61" s="15" t="str">
        <f t="shared" si="169"/>
        <v>HH</v>
      </c>
      <c r="DQ61" s="15" t="str">
        <f t="shared" si="179"/>
        <v>LH</v>
      </c>
      <c r="DR61" s="15" t="str">
        <f t="shared" si="189"/>
        <v>HH</v>
      </c>
      <c r="DS61" s="15" t="str">
        <f t="shared" si="199"/>
        <v>HH</v>
      </c>
      <c r="DT61" s="15" t="str">
        <f t="shared" si="209"/>
        <v>HH</v>
      </c>
      <c r="DU61" s="15" t="str">
        <f t="shared" si="219"/>
        <v>LH</v>
      </c>
      <c r="DV61" s="15">
        <f>IFERROR((G61-$F61)/$F61*100,"")</f>
        <v>1.0407002625152317</v>
      </c>
      <c r="DW61" s="15">
        <f>IFERROR((H61-$F61)/$F61*100,"")</f>
        <v>-2.3511962956645411</v>
      </c>
      <c r="DX61" s="15">
        <f>IFERROR((I61-$F61)/$F61*100,"")</f>
        <v>-2.9966675958014286</v>
      </c>
      <c r="DY61" s="15">
        <f>IFERROR((J61-$F61)/$F61*100,"")</f>
        <v>-2.9011885991005473</v>
      </c>
      <c r="DZ61" s="15">
        <f>IFERROR((K61-$F61)/$F61*100,"")</f>
        <v>-2.2779749300028751</v>
      </c>
      <c r="EA61" s="15">
        <f>IFERROR((L61-$F61)/$F61*100,"")</f>
        <v>-2.0982497597423917</v>
      </c>
      <c r="EB61" s="15">
        <f>IFERROR((M61-$F61)/$F61*100,"")</f>
        <v>-2.2505169178797528</v>
      </c>
      <c r="EC61" s="15">
        <f>IFERROR((N61-$F61)/$F61*100,"")</f>
        <v>-0.14332250267300267</v>
      </c>
      <c r="ED61" s="15">
        <f>IFERROR((O61-$F61)/$F61*100,"")</f>
        <v>-0.29538164556698338</v>
      </c>
      <c r="EE61" s="15">
        <f>IFERROR((P61-$F61)/$F61*100,"")</f>
        <v>-1.7252784284032441</v>
      </c>
      <c r="EF61" s="15">
        <f>IFERROR((Q61-$F61)/$F61*100,"")</f>
        <v>-4.6949040425682353</v>
      </c>
      <c r="EG61" s="15" t="str">
        <f>IF(DV61="","",IF(AND(ABS(DV61)&lt;=0.25,$E61="Bottom",DK61="LL"),"EQL",IF(AND(ABS(DV61)&lt;=0.25,$E61="Peak",DK61="HH"),"EQH","")))</f>
        <v/>
      </c>
      <c r="EH61" s="15" t="str">
        <f>IF(DW61="","",IF(AND(ABS(DW61)&lt;=0.25,$E61="Bottom",DL61="LL"),"EQL",IF(AND(ABS(DW61)&lt;=0.25,$E61="Peak",DL61="HH"),"EQH","")))</f>
        <v/>
      </c>
      <c r="EI61" s="15" t="str">
        <f>IF(DX61="","",IF(AND(ABS(DX61)&lt;=0.25,$E61="Bottom",DM61="LL"),"EQL",IF(AND(ABS(DX61)&lt;=0.25,$E61="Peak",DM61="HH"),"EQH","")))</f>
        <v/>
      </c>
      <c r="EJ61" s="15" t="str">
        <f>IF(DY61="","",IF(AND(ABS(DY61)&lt;=0.25,$E61="Bottom",DN61="LL"),"EQL",IF(AND(ABS(DY61)&lt;=0.25,$E61="Peak",DN61="HH"),"EQH","")))</f>
        <v/>
      </c>
      <c r="EK61" s="15" t="str">
        <f>IF(DZ61="","",IF(AND(ABS(DZ61)&lt;=0.25,$E61="Bottom",DO61="LL"),"EQL",IF(AND(ABS(DZ61)&lt;=0.25,$E61="Peak",DO61="HH"),"EQH","")))</f>
        <v/>
      </c>
      <c r="EL61" s="15" t="str">
        <f>IF(EA61="","",IF(AND(ABS(EA61)&lt;=0.25,$E61="Bottom",DP61="LL"),"EQL",IF(AND(ABS(EA61)&lt;=0.25,$E61="Peak",DP61="HH"),"EQH","")))</f>
        <v/>
      </c>
      <c r="EM61" s="15" t="str">
        <f>IF(EB61="","",IF(AND(ABS(EB61)&lt;=0.25,$E61="Bottom",DQ61="LL"),"EQL",IF(AND(ABS(EB61)&lt;=0.25,$E61="Peak",DQ61="HH"),"EQH","")))</f>
        <v/>
      </c>
      <c r="EN61" s="15" t="str">
        <f>IF(EC61="","",IF(AND(ABS(EC61)&lt;=0.25,$E61="Bottom",DR61="LL"),"EQL",IF(AND(ABS(EC61)&lt;=0.25,$E61="Peak",DR61="HH"),"EQH","")))</f>
        <v>EQH</v>
      </c>
      <c r="EO61" s="15" t="str">
        <f>IF(ED61="","",IF(AND(ABS(ED61)&lt;=0.25,$E61="Bottom",DS61="LL"),"EQL",IF(AND(ABS(ED61)&lt;=0.25,$E61="Peak",DS61="HH"),"EQH","")))</f>
        <v/>
      </c>
      <c r="EP61" s="15" t="str">
        <f>IF(EE61="","",IF(AND(ABS(EE61)&lt;=0.25,$E61="Bottom",DT61="LL"),"EQL",IF(AND(ABS(EE61)&lt;=0.25,$E61="Peak",DT61="HH"),"EQH","")))</f>
        <v/>
      </c>
      <c r="EQ61" s="15" t="str">
        <f>IF(EF61="","",IF(AND(ABS(EF61)&lt;=0.25,$E61="Bottom",DU61="LL"),"EQL",IF(AND(ABS(EF61)&lt;=0.25,$E61="Peak",DU61="HH"),"EQH","")))</f>
        <v/>
      </c>
      <c r="ER61" s="15" t="str">
        <f>IF(OR(EG61="EQL",EG61="EQH"),F61,"")</f>
        <v/>
      </c>
      <c r="ES61" s="15" t="str">
        <f>IF(OR(EH61="EQL",EH61="EQH"),G61,"")</f>
        <v/>
      </c>
      <c r="ET61" s="15" t="str">
        <f>IF(OR(EI61="EQL",EI61="EQH"),H61,"")</f>
        <v/>
      </c>
      <c r="EU61" s="15" t="str">
        <f>IF(OR(EJ61="EQL",EJ61="EQH"),I61,"")</f>
        <v/>
      </c>
      <c r="EV61" s="15" t="str">
        <f>IF(OR(EK61="EQL",EK61="EQH"),J61,"")</f>
        <v/>
      </c>
      <c r="EW61" s="15" t="str">
        <f>IF(OR(EL61="EQL",EL61="EQH"),K61,"")</f>
        <v/>
      </c>
      <c r="EX61" s="15" t="str">
        <f>IF(OR(EM61="EQL",EM61="EQH"),L61,"")</f>
        <v/>
      </c>
      <c r="EY61" s="15">
        <f>IF(OR(EN61="EQL",EN61="EQH"),M61,"")</f>
        <v>4699.1499999999996</v>
      </c>
      <c r="EZ61" s="15" t="str">
        <f>IF(OR(EO61="EQL",EO61="EQH"),N61,"")</f>
        <v/>
      </c>
      <c r="FA61" s="15" t="str">
        <f>IF(OR(EP61="EQL",EP61="EQH"),O61,"")</f>
        <v/>
      </c>
      <c r="FB61" s="15" t="str">
        <f>IF(OR(EQ61="EQL",EQ61="EQH"),P61,"")</f>
        <v/>
      </c>
      <c r="FC61" s="15" t="str">
        <f>IF(AND(EG61="EQL",OR(AQ61=4,AQ61=5)),"IEQL",IF(AND(EG61="EQH",OR(AQ61=1,AQ61=2)),"IEQH",""))</f>
        <v/>
      </c>
      <c r="FD61" s="15" t="str">
        <f>IF(AND(EH61="EQL",OR(AR61=4,AR61=5)),"IEQL",IF(AND(EH61="EQH",OR(AR61=1,AR61=2)),"IEQH",""))</f>
        <v/>
      </c>
      <c r="FE61" s="15" t="str">
        <f>IF(AND(EI61="EQL",OR(AS61=4,AS61=5)),"IEQL",IF(AND(EI61="EQH",OR(AS61=1,AS61=2)),"IEQH",""))</f>
        <v/>
      </c>
      <c r="FF61" s="15" t="str">
        <f>IF(AND(EJ61="EQL",OR(AT61=4,AT61=5)),"IEQL",IF(AND(EJ61="EQH",OR(AT61=1,AT61=2)),"IEQH",""))</f>
        <v/>
      </c>
      <c r="FG61" s="15" t="str">
        <f>IF(AND(EK61="EQL",OR(AU61=4,AU61=5)),"IEQL",IF(AND(EK61="EQH",OR(AU61=1,AU61=2)),"IEQH",""))</f>
        <v/>
      </c>
      <c r="FH61" s="15" t="str">
        <f>IF(AND(EL61="EQL",OR(AV61=4,AV61=5)),"IEQL",IF(AND(EL61="EQH",OR(AV61=1,AV61=2)),"IEQH",""))</f>
        <v/>
      </c>
      <c r="FI61" s="15" t="str">
        <f>IF(AND(EM61="EQL",OR(AW61=4,AW61=5)),"IEQL",IF(AND(EM61="EQH",OR(AW61=1,AW61=2)),"IEQH",""))</f>
        <v/>
      </c>
      <c r="FJ61" s="15" t="str">
        <f>IF(AND(EN61="EQL",OR(AX61=4,AX61=5)),"IEQL",IF(AND(EN61="EQH",OR(AX61=1,AX61=2)),"IEQH",""))</f>
        <v/>
      </c>
      <c r="FK61" s="15" t="str">
        <f>IF(AND(EO61="EQL",OR(AY61=4,AY61=5)),"IEQL",IF(AND(EO61="EQH",OR(AY61=1,AY61=2)),"IEQH",""))</f>
        <v/>
      </c>
      <c r="FL61" s="15" t="str">
        <f>IF(AND(EP61="EQL",OR(AZ61=4,AZ61=5)),"IEQL",IF(AND(EP61="EQH",OR(AZ61=1,AZ61=2)),"IEQH",""))</f>
        <v/>
      </c>
      <c r="FM61" s="15" t="str">
        <f>IF(AND(EQ61="EQL",OR(BA61=4,BA61=5)),"IEQL",IF(AND(EQ61="EQH",OR(BA61=1,BA61=2)),"IEQH",""))</f>
        <v/>
      </c>
      <c r="FN61" s="15" t="str">
        <f>IF(OR(AND(DJ61="LL",AP61=5),AND(DJ61="HH",AP61=2)),F61,"")</f>
        <v/>
      </c>
      <c r="FO61" s="15" t="str">
        <f>IF(FN61&lt;&gt;"",F60,"")</f>
        <v/>
      </c>
    </row>
    <row r="62" spans="1:171" s="15" customFormat="1" x14ac:dyDescent="0.55000000000000004">
      <c r="A62" s="15">
        <v>1775692806</v>
      </c>
      <c r="B62" s="15" t="s">
        <v>16</v>
      </c>
      <c r="C62" s="15" t="s">
        <v>17</v>
      </c>
      <c r="D62" s="15">
        <v>4702.29</v>
      </c>
      <c r="E62" s="15" t="s">
        <v>18</v>
      </c>
      <c r="F62" s="15">
        <v>4698.51</v>
      </c>
      <c r="G62" s="15">
        <f t="shared" si="110"/>
        <v>4771.22</v>
      </c>
      <c r="H62" s="15">
        <f t="shared" si="120"/>
        <v>4607.91</v>
      </c>
      <c r="I62" s="15">
        <f t="shared" si="130"/>
        <v>4623.4799999999996</v>
      </c>
      <c r="J62" s="15">
        <f t="shared" si="140"/>
        <v>4616.5</v>
      </c>
      <c r="K62" s="15">
        <f t="shared" si="150"/>
        <v>4645.75</v>
      </c>
      <c r="L62" s="15">
        <f t="shared" si="160"/>
        <v>4659.58</v>
      </c>
      <c r="M62" s="15">
        <f t="shared" si="170"/>
        <v>4601.05</v>
      </c>
      <c r="N62" s="15">
        <f t="shared" si="180"/>
        <v>4553.95</v>
      </c>
      <c r="O62" s="15">
        <f t="shared" si="190"/>
        <v>4742.2</v>
      </c>
      <c r="P62" s="15">
        <f t="shared" si="200"/>
        <v>4666.96</v>
      </c>
      <c r="Q62" s="15">
        <f t="shared" si="210"/>
        <v>4529.84</v>
      </c>
      <c r="R62" s="15">
        <v>-108.83</v>
      </c>
      <c r="S62" s="15">
        <f t="shared" si="111"/>
        <v>-86.15</v>
      </c>
      <c r="T62" s="15">
        <f t="shared" si="121"/>
        <v>-86.4</v>
      </c>
      <c r="U62" s="15">
        <f t="shared" si="131"/>
        <v>-39.799999999999997</v>
      </c>
      <c r="V62" s="15">
        <f t="shared" si="141"/>
        <v>-51.37</v>
      </c>
      <c r="W62" s="15">
        <f t="shared" si="151"/>
        <v>-52.08</v>
      </c>
      <c r="X62" s="15">
        <f t="shared" si="161"/>
        <v>-46.89</v>
      </c>
      <c r="Y62" s="15">
        <f t="shared" si="171"/>
        <v>-98.1</v>
      </c>
      <c r="Z62" s="15">
        <f t="shared" si="181"/>
        <v>-246.5</v>
      </c>
      <c r="AA62" s="15">
        <f t="shared" si="191"/>
        <v>-50.94</v>
      </c>
      <c r="AB62" s="15">
        <f t="shared" si="201"/>
        <v>-57.44</v>
      </c>
      <c r="AC62" s="15">
        <f t="shared" si="211"/>
        <v>-51.8</v>
      </c>
      <c r="AD62" s="15">
        <v>-2.2599999999999998</v>
      </c>
      <c r="AE62" s="15">
        <f t="shared" si="112"/>
        <v>-1.77</v>
      </c>
      <c r="AF62" s="15">
        <f t="shared" si="122"/>
        <v>-1.84</v>
      </c>
      <c r="AG62" s="15">
        <f t="shared" si="132"/>
        <v>-0.85</v>
      </c>
      <c r="AH62" s="15">
        <f t="shared" si="142"/>
        <v>-1.1000000000000001</v>
      </c>
      <c r="AI62" s="15">
        <f t="shared" si="152"/>
        <v>-1.1100000000000001</v>
      </c>
      <c r="AJ62" s="15">
        <f t="shared" si="162"/>
        <v>-1</v>
      </c>
      <c r="AK62" s="15">
        <f t="shared" si="172"/>
        <v>-2.09</v>
      </c>
      <c r="AL62" s="15">
        <f t="shared" si="182"/>
        <v>-5.13</v>
      </c>
      <c r="AM62" s="15">
        <f t="shared" si="192"/>
        <v>-1.06</v>
      </c>
      <c r="AN62" s="15">
        <f t="shared" si="202"/>
        <v>-1.22</v>
      </c>
      <c r="AO62" s="15">
        <f t="shared" si="212"/>
        <v>-1.1299999999999999</v>
      </c>
      <c r="AP62" s="15">
        <v>3</v>
      </c>
      <c r="AQ62" s="15">
        <f t="shared" si="113"/>
        <v>3</v>
      </c>
      <c r="AR62" s="15">
        <f t="shared" si="123"/>
        <v>3</v>
      </c>
      <c r="AS62" s="15">
        <f t="shared" si="133"/>
        <v>3</v>
      </c>
      <c r="AT62" s="15">
        <f t="shared" si="143"/>
        <v>3</v>
      </c>
      <c r="AU62" s="15">
        <f t="shared" si="153"/>
        <v>3</v>
      </c>
      <c r="AV62" s="15">
        <f t="shared" si="163"/>
        <v>3</v>
      </c>
      <c r="AW62" s="15">
        <f t="shared" si="173"/>
        <v>3</v>
      </c>
      <c r="AX62" s="15">
        <f t="shared" si="183"/>
        <v>3</v>
      </c>
      <c r="AY62" s="15">
        <f t="shared" si="193"/>
        <v>3</v>
      </c>
      <c r="AZ62" s="15">
        <f t="shared" si="203"/>
        <v>3</v>
      </c>
      <c r="BA62" s="15">
        <f t="shared" si="213"/>
        <v>3</v>
      </c>
      <c r="BB62" s="15">
        <v>44</v>
      </c>
      <c r="BC62" s="15">
        <f t="shared" si="114"/>
        <v>41</v>
      </c>
      <c r="BD62" s="15">
        <f t="shared" si="124"/>
        <v>19</v>
      </c>
      <c r="BE62" s="15">
        <f t="shared" si="134"/>
        <v>4</v>
      </c>
      <c r="BF62" s="15">
        <f t="shared" si="144"/>
        <v>15</v>
      </c>
      <c r="BG62" s="15">
        <f t="shared" si="154"/>
        <v>19</v>
      </c>
      <c r="BH62" s="15">
        <f t="shared" si="164"/>
        <v>11</v>
      </c>
      <c r="BI62" s="15">
        <f t="shared" si="174"/>
        <v>35</v>
      </c>
      <c r="BJ62" s="15">
        <f t="shared" si="184"/>
        <v>26</v>
      </c>
      <c r="BK62" s="15">
        <f t="shared" si="194"/>
        <v>6</v>
      </c>
      <c r="BL62" s="15">
        <f t="shared" si="204"/>
        <v>13</v>
      </c>
      <c r="BM62" s="15">
        <f t="shared" si="214"/>
        <v>19</v>
      </c>
      <c r="BN62" s="15">
        <v>4</v>
      </c>
      <c r="BO62" s="15">
        <f t="shared" si="115"/>
        <v>4</v>
      </c>
      <c r="BP62" s="15">
        <f t="shared" si="125"/>
        <v>3</v>
      </c>
      <c r="BQ62" s="15">
        <f t="shared" si="135"/>
        <v>3</v>
      </c>
      <c r="BR62" s="15">
        <f t="shared" si="145"/>
        <v>3</v>
      </c>
      <c r="BS62" s="15">
        <f t="shared" si="155"/>
        <v>3</v>
      </c>
      <c r="BT62" s="15">
        <f t="shared" si="165"/>
        <v>3</v>
      </c>
      <c r="BU62" s="15">
        <f t="shared" si="175"/>
        <v>3</v>
      </c>
      <c r="BV62" s="15">
        <f t="shared" si="185"/>
        <v>3</v>
      </c>
      <c r="BW62" s="15">
        <f t="shared" si="195"/>
        <v>3</v>
      </c>
      <c r="BX62" s="15">
        <f t="shared" si="205"/>
        <v>3</v>
      </c>
      <c r="BY62" s="15">
        <f t="shared" si="215"/>
        <v>3</v>
      </c>
      <c r="BZ62" s="15">
        <v>-2.4734099999999999</v>
      </c>
      <c r="CA62" s="15">
        <f t="shared" si="116"/>
        <v>-2.1012200000000001</v>
      </c>
      <c r="CB62" s="15">
        <f t="shared" si="126"/>
        <v>-4.5473699999999999</v>
      </c>
      <c r="CC62" s="15">
        <f t="shared" si="136"/>
        <v>-9.9499999999999993</v>
      </c>
      <c r="CD62" s="15">
        <f t="shared" si="146"/>
        <v>-3.4246699999999999</v>
      </c>
      <c r="CE62" s="15">
        <f t="shared" si="156"/>
        <v>-2.74105</v>
      </c>
      <c r="CF62" s="15">
        <f t="shared" si="166"/>
        <v>-4.2627300000000004</v>
      </c>
      <c r="CG62" s="15">
        <f t="shared" si="176"/>
        <v>-2.8028599999999999</v>
      </c>
      <c r="CH62" s="15">
        <f t="shared" si="186"/>
        <v>-9.4807699999999997</v>
      </c>
      <c r="CI62" s="15">
        <f t="shared" si="196"/>
        <v>-8.49</v>
      </c>
      <c r="CJ62" s="15">
        <f t="shared" si="206"/>
        <v>-4.4184599999999996</v>
      </c>
      <c r="CK62" s="15">
        <f t="shared" si="216"/>
        <v>-2.7263199999999999</v>
      </c>
      <c r="CL62" s="15">
        <v>3</v>
      </c>
      <c r="CM62" s="15">
        <f t="shared" si="117"/>
        <v>3</v>
      </c>
      <c r="CN62" s="15">
        <f t="shared" si="127"/>
        <v>3</v>
      </c>
      <c r="CO62" s="15">
        <f t="shared" si="137"/>
        <v>3</v>
      </c>
      <c r="CP62" s="15">
        <f t="shared" si="147"/>
        <v>3</v>
      </c>
      <c r="CQ62" s="15">
        <f t="shared" si="157"/>
        <v>3</v>
      </c>
      <c r="CR62" s="15">
        <f t="shared" si="167"/>
        <v>3</v>
      </c>
      <c r="CS62" s="15">
        <f t="shared" si="177"/>
        <v>3</v>
      </c>
      <c r="CT62" s="15">
        <f t="shared" si="187"/>
        <v>3</v>
      </c>
      <c r="CU62" s="15">
        <f t="shared" si="197"/>
        <v>3</v>
      </c>
      <c r="CV62" s="15">
        <f t="shared" si="207"/>
        <v>3</v>
      </c>
      <c r="CW62" s="15">
        <f t="shared" si="217"/>
        <v>3</v>
      </c>
      <c r="CX62" s="15">
        <v>-67.986500000000007</v>
      </c>
      <c r="CY62" s="15">
        <f t="shared" si="118"/>
        <v>-64.549599999999998</v>
      </c>
      <c r="CZ62" s="15">
        <f t="shared" si="128"/>
        <v>-77.5976</v>
      </c>
      <c r="DA62" s="15">
        <f t="shared" si="138"/>
        <v>-84.260900000000007</v>
      </c>
      <c r="DB62" s="15">
        <f t="shared" si="148"/>
        <v>-73.722200000000001</v>
      </c>
      <c r="DC62" s="15">
        <f t="shared" si="158"/>
        <v>-69.956800000000001</v>
      </c>
      <c r="DD62" s="15">
        <f t="shared" si="168"/>
        <v>-76.797600000000003</v>
      </c>
      <c r="DE62" s="15">
        <f t="shared" si="178"/>
        <v>-70.364699999999999</v>
      </c>
      <c r="DF62" s="15">
        <f t="shared" si="188"/>
        <v>-83.978899999999996</v>
      </c>
      <c r="DG62" s="15">
        <f t="shared" si="198"/>
        <v>-83.282300000000006</v>
      </c>
      <c r="DH62" s="15">
        <f t="shared" si="208"/>
        <v>-77.247500000000002</v>
      </c>
      <c r="DI62" s="15">
        <f t="shared" si="218"/>
        <v>-69.857200000000006</v>
      </c>
      <c r="DJ62" s="15" t="s">
        <v>19</v>
      </c>
      <c r="DK62" s="15" t="str">
        <f t="shared" si="119"/>
        <v>HL</v>
      </c>
      <c r="DL62" s="15" t="str">
        <f t="shared" si="129"/>
        <v>LL</v>
      </c>
      <c r="DM62" s="15" t="str">
        <f t="shared" si="139"/>
        <v>HL</v>
      </c>
      <c r="DN62" s="15" t="str">
        <f t="shared" si="149"/>
        <v>LL</v>
      </c>
      <c r="DO62" s="15" t="str">
        <f t="shared" si="159"/>
        <v>LL</v>
      </c>
      <c r="DP62" s="15" t="str">
        <f t="shared" si="169"/>
        <v>HL</v>
      </c>
      <c r="DQ62" s="15" t="str">
        <f t="shared" si="179"/>
        <v>HL</v>
      </c>
      <c r="DR62" s="15" t="str">
        <f t="shared" si="189"/>
        <v>LL</v>
      </c>
      <c r="DS62" s="15" t="str">
        <f t="shared" si="199"/>
        <v>HL</v>
      </c>
      <c r="DT62" s="15" t="str">
        <f t="shared" si="209"/>
        <v>HL</v>
      </c>
      <c r="DU62" s="15" t="str">
        <f t="shared" si="219"/>
        <v>LL</v>
      </c>
      <c r="DV62" s="15">
        <f>IFERROR((G62-$F62)/$F62*100,"")</f>
        <v>1.5475118707845685</v>
      </c>
      <c r="DW62" s="15">
        <f>IFERROR((H62-$F62)/$F62*100,"")</f>
        <v>-1.9282708773632566</v>
      </c>
      <c r="DX62" s="15">
        <f>IFERROR((I62-$F62)/$F62*100,"")</f>
        <v>-1.5968892265846122</v>
      </c>
      <c r="DY62" s="15">
        <f>IFERROR((J62-$F62)/$F62*100,"")</f>
        <v>-1.7454469608450385</v>
      </c>
      <c r="DZ62" s="15">
        <f>IFERROR((K62-$F62)/$F62*100,"")</f>
        <v>-1.122909177590347</v>
      </c>
      <c r="EA62" s="15">
        <f>IFERROR((L62-$F62)/$F62*100,"")</f>
        <v>-0.82856054366172027</v>
      </c>
      <c r="EB62" s="15">
        <f>IFERROR((M62-$F62)/$F62*100,"")</f>
        <v>-2.074274610461615</v>
      </c>
      <c r="EC62" s="15">
        <f>IFERROR((N62-$F62)/$F62*100,"")</f>
        <v>-3.0767200665743051</v>
      </c>
      <c r="ED62" s="15">
        <f>IFERROR((O62-$F62)/$F62*100,"")</f>
        <v>0.92986925642383655</v>
      </c>
      <c r="EE62" s="15">
        <f>IFERROR((P62-$F62)/$F62*100,"")</f>
        <v>-0.67148947219438038</v>
      </c>
      <c r="EF62" s="15">
        <f>IFERROR((Q62-$F62)/$F62*100,"")</f>
        <v>-3.5898614667203019</v>
      </c>
      <c r="EG62" s="15" t="str">
        <f>IF(DV62="","",IF(AND(ABS(DV62)&lt;=0.25,$E62="Bottom",DK62="LL"),"EQL",IF(AND(ABS(DV62)&lt;=0.25,$E62="Peak",DK62="HH"),"EQH","")))</f>
        <v/>
      </c>
      <c r="EH62" s="15" t="str">
        <f>IF(DW62="","",IF(AND(ABS(DW62)&lt;=0.25,$E62="Bottom",DL62="LL"),"EQL",IF(AND(ABS(DW62)&lt;=0.25,$E62="Peak",DL62="HH"),"EQH","")))</f>
        <v/>
      </c>
      <c r="EI62" s="15" t="str">
        <f>IF(DX62="","",IF(AND(ABS(DX62)&lt;=0.25,$E62="Bottom",DM62="LL"),"EQL",IF(AND(ABS(DX62)&lt;=0.25,$E62="Peak",DM62="HH"),"EQH","")))</f>
        <v/>
      </c>
      <c r="EJ62" s="15" t="str">
        <f>IF(DY62="","",IF(AND(ABS(DY62)&lt;=0.25,$E62="Bottom",DN62="LL"),"EQL",IF(AND(ABS(DY62)&lt;=0.25,$E62="Peak",DN62="HH"),"EQH","")))</f>
        <v/>
      </c>
      <c r="EK62" s="15" t="str">
        <f>IF(DZ62="","",IF(AND(ABS(DZ62)&lt;=0.25,$E62="Bottom",DO62="LL"),"EQL",IF(AND(ABS(DZ62)&lt;=0.25,$E62="Peak",DO62="HH"),"EQH","")))</f>
        <v/>
      </c>
      <c r="EL62" s="15" t="str">
        <f>IF(EA62="","",IF(AND(ABS(EA62)&lt;=0.25,$E62="Bottom",DP62="LL"),"EQL",IF(AND(ABS(EA62)&lt;=0.25,$E62="Peak",DP62="HH"),"EQH","")))</f>
        <v/>
      </c>
      <c r="EM62" s="15" t="str">
        <f>IF(EB62="","",IF(AND(ABS(EB62)&lt;=0.25,$E62="Bottom",DQ62="LL"),"EQL",IF(AND(ABS(EB62)&lt;=0.25,$E62="Peak",DQ62="HH"),"EQH","")))</f>
        <v/>
      </c>
      <c r="EN62" s="15" t="str">
        <f>IF(EC62="","",IF(AND(ABS(EC62)&lt;=0.25,$E62="Bottom",DR62="LL"),"EQL",IF(AND(ABS(EC62)&lt;=0.25,$E62="Peak",DR62="HH"),"EQH","")))</f>
        <v/>
      </c>
      <c r="EO62" s="15" t="str">
        <f>IF(ED62="","",IF(AND(ABS(ED62)&lt;=0.25,$E62="Bottom",DS62="LL"),"EQL",IF(AND(ABS(ED62)&lt;=0.25,$E62="Peak",DS62="HH"),"EQH","")))</f>
        <v/>
      </c>
      <c r="EP62" s="15" t="str">
        <f>IF(EE62="","",IF(AND(ABS(EE62)&lt;=0.25,$E62="Bottom",DT62="LL"),"EQL",IF(AND(ABS(EE62)&lt;=0.25,$E62="Peak",DT62="HH"),"EQH","")))</f>
        <v/>
      </c>
      <c r="EQ62" s="15" t="str">
        <f>IF(EF62="","",IF(AND(ABS(EF62)&lt;=0.25,$E62="Bottom",DU62="LL"),"EQL",IF(AND(ABS(EF62)&lt;=0.25,$E62="Peak",DU62="HH"),"EQH","")))</f>
        <v/>
      </c>
      <c r="ER62" s="15" t="str">
        <f>IF(OR(EG62="EQL",EG62="EQH"),F62,"")</f>
        <v/>
      </c>
      <c r="ES62" s="15" t="str">
        <f>IF(OR(EH62="EQL",EH62="EQH"),G62,"")</f>
        <v/>
      </c>
      <c r="ET62" s="15" t="str">
        <f>IF(OR(EI62="EQL",EI62="EQH"),H62,"")</f>
        <v/>
      </c>
      <c r="EU62" s="15" t="str">
        <f>IF(OR(EJ62="EQL",EJ62="EQH"),I62,"")</f>
        <v/>
      </c>
      <c r="EV62" s="15" t="str">
        <f>IF(OR(EK62="EQL",EK62="EQH"),J62,"")</f>
        <v/>
      </c>
      <c r="EW62" s="15" t="str">
        <f>IF(OR(EL62="EQL",EL62="EQH"),K62,"")</f>
        <v/>
      </c>
      <c r="EX62" s="15" t="str">
        <f>IF(OR(EM62="EQL",EM62="EQH"),L62,"")</f>
        <v/>
      </c>
      <c r="EY62" s="15" t="str">
        <f>IF(OR(EN62="EQL",EN62="EQH"),M62,"")</f>
        <v/>
      </c>
      <c r="EZ62" s="15" t="str">
        <f>IF(OR(EO62="EQL",EO62="EQH"),N62,"")</f>
        <v/>
      </c>
      <c r="FA62" s="15" t="str">
        <f>IF(OR(EP62="EQL",EP62="EQH"),O62,"")</f>
        <v/>
      </c>
      <c r="FB62" s="15" t="str">
        <f>IF(OR(EQ62="EQL",EQ62="EQH"),P62,"")</f>
        <v/>
      </c>
      <c r="FC62" s="15" t="str">
        <f>IF(AND(EG62="EQL",OR(AQ62=4,AQ62=5)),"IEQL",IF(AND(EG62="EQH",OR(AQ62=1,AQ62=2)),"IEQH",""))</f>
        <v/>
      </c>
      <c r="FD62" s="15" t="str">
        <f>IF(AND(EH62="EQL",OR(AR62=4,AR62=5)),"IEQL",IF(AND(EH62="EQH",OR(AR62=1,AR62=2)),"IEQH",""))</f>
        <v/>
      </c>
      <c r="FE62" s="15" t="str">
        <f>IF(AND(EI62="EQL",OR(AS62=4,AS62=5)),"IEQL",IF(AND(EI62="EQH",OR(AS62=1,AS62=2)),"IEQH",""))</f>
        <v/>
      </c>
      <c r="FF62" s="15" t="str">
        <f>IF(AND(EJ62="EQL",OR(AT62=4,AT62=5)),"IEQL",IF(AND(EJ62="EQH",OR(AT62=1,AT62=2)),"IEQH",""))</f>
        <v/>
      </c>
      <c r="FG62" s="15" t="str">
        <f>IF(AND(EK62="EQL",OR(AU62=4,AU62=5)),"IEQL",IF(AND(EK62="EQH",OR(AU62=1,AU62=2)),"IEQH",""))</f>
        <v/>
      </c>
      <c r="FH62" s="15" t="str">
        <f>IF(AND(EL62="EQL",OR(AV62=4,AV62=5)),"IEQL",IF(AND(EL62="EQH",OR(AV62=1,AV62=2)),"IEQH",""))</f>
        <v/>
      </c>
      <c r="FI62" s="15" t="str">
        <f>IF(AND(EM62="EQL",OR(AW62=4,AW62=5)),"IEQL",IF(AND(EM62="EQH",OR(AW62=1,AW62=2)),"IEQH",""))</f>
        <v/>
      </c>
      <c r="FJ62" s="15" t="str">
        <f>IF(AND(EN62="EQL",OR(AX62=4,AX62=5)),"IEQL",IF(AND(EN62="EQH",OR(AX62=1,AX62=2)),"IEQH",""))</f>
        <v/>
      </c>
      <c r="FK62" s="15" t="str">
        <f>IF(AND(EO62="EQL",OR(AY62=4,AY62=5)),"IEQL",IF(AND(EO62="EQH",OR(AY62=1,AY62=2)),"IEQH",""))</f>
        <v/>
      </c>
      <c r="FL62" s="15" t="str">
        <f>IF(AND(EP62="EQL",OR(AZ62=4,AZ62=5)),"IEQL",IF(AND(EP62="EQH",OR(AZ62=1,AZ62=2)),"IEQH",""))</f>
        <v/>
      </c>
      <c r="FM62" s="15" t="str">
        <f>IF(AND(EQ62="EQL",OR(BA62=4,BA62=5)),"IEQL",IF(AND(EQ62="EQH",OR(BA62=1,BA62=2)),"IEQH",""))</f>
        <v/>
      </c>
      <c r="FN62" s="15" t="str">
        <f>IF(OR(AND(DJ62="LL",AP62=5),AND(DJ62="HH",AP62=2)),F62,"")</f>
        <v/>
      </c>
      <c r="FO62" s="15" t="str">
        <f>IF(FN62&lt;&gt;"",F61,"")</f>
        <v/>
      </c>
    </row>
    <row r="63" spans="1:171" s="15" customFormat="1" x14ac:dyDescent="0.55000000000000004">
      <c r="A63" s="15">
        <v>1775702706</v>
      </c>
      <c r="B63" s="15" t="s">
        <v>16</v>
      </c>
      <c r="C63" s="15" t="s">
        <v>17</v>
      </c>
      <c r="D63" s="15">
        <v>4719.3</v>
      </c>
      <c r="E63" s="15" t="s">
        <v>20</v>
      </c>
      <c r="F63" s="15">
        <v>4733.0200000000004</v>
      </c>
      <c r="G63" s="15">
        <f t="shared" si="110"/>
        <v>4807.34</v>
      </c>
      <c r="H63" s="15">
        <f t="shared" si="120"/>
        <v>4857.37</v>
      </c>
      <c r="I63" s="15">
        <f t="shared" si="130"/>
        <v>4694.3100000000004</v>
      </c>
      <c r="J63" s="15">
        <f t="shared" si="140"/>
        <v>4663.28</v>
      </c>
      <c r="K63" s="15">
        <f t="shared" si="150"/>
        <v>4667.87</v>
      </c>
      <c r="L63" s="15">
        <f t="shared" si="160"/>
        <v>4697.83</v>
      </c>
      <c r="M63" s="15">
        <f t="shared" si="170"/>
        <v>4706.47</v>
      </c>
      <c r="N63" s="15">
        <f t="shared" si="180"/>
        <v>4699.1499999999996</v>
      </c>
      <c r="O63" s="15">
        <f t="shared" si="190"/>
        <v>4800.45</v>
      </c>
      <c r="P63" s="15">
        <f t="shared" si="200"/>
        <v>4793.1400000000003</v>
      </c>
      <c r="Q63" s="15">
        <f t="shared" si="210"/>
        <v>4724.3999999999996</v>
      </c>
      <c r="R63" s="15">
        <v>34.51</v>
      </c>
      <c r="S63" s="15">
        <f t="shared" si="111"/>
        <v>36.119999999999997</v>
      </c>
      <c r="T63" s="15">
        <f t="shared" si="121"/>
        <v>249.46</v>
      </c>
      <c r="U63" s="15">
        <f t="shared" si="131"/>
        <v>70.83</v>
      </c>
      <c r="V63" s="15">
        <f t="shared" si="141"/>
        <v>46.78</v>
      </c>
      <c r="W63" s="15">
        <f t="shared" si="151"/>
        <v>22.12</v>
      </c>
      <c r="X63" s="15">
        <f t="shared" si="161"/>
        <v>38.25</v>
      </c>
      <c r="Y63" s="15">
        <f t="shared" si="171"/>
        <v>105.42</v>
      </c>
      <c r="Z63" s="15">
        <f t="shared" si="181"/>
        <v>145.19999999999999</v>
      </c>
      <c r="AA63" s="15">
        <f t="shared" si="191"/>
        <v>58.25</v>
      </c>
      <c r="AB63" s="15">
        <f t="shared" si="201"/>
        <v>126.18</v>
      </c>
      <c r="AC63" s="15">
        <f t="shared" si="211"/>
        <v>194.56</v>
      </c>
      <c r="AD63" s="15">
        <v>0.73</v>
      </c>
      <c r="AE63" s="15">
        <f t="shared" si="112"/>
        <v>0.76</v>
      </c>
      <c r="AF63" s="15">
        <f t="shared" si="122"/>
        <v>5.41</v>
      </c>
      <c r="AG63" s="15">
        <f t="shared" si="132"/>
        <v>1.53</v>
      </c>
      <c r="AH63" s="15">
        <f t="shared" si="142"/>
        <v>1.01</v>
      </c>
      <c r="AI63" s="15">
        <f t="shared" si="152"/>
        <v>0.48</v>
      </c>
      <c r="AJ63" s="15">
        <f t="shared" si="162"/>
        <v>0.82</v>
      </c>
      <c r="AK63" s="15">
        <f t="shared" si="172"/>
        <v>2.29</v>
      </c>
      <c r="AL63" s="15">
        <f t="shared" si="182"/>
        <v>3.19</v>
      </c>
      <c r="AM63" s="15">
        <f t="shared" si="192"/>
        <v>1.23</v>
      </c>
      <c r="AN63" s="15">
        <f t="shared" si="202"/>
        <v>2.7</v>
      </c>
      <c r="AO63" s="15">
        <f t="shared" si="212"/>
        <v>4.3</v>
      </c>
      <c r="AP63" s="15">
        <v>0</v>
      </c>
      <c r="AQ63" s="15">
        <f t="shared" si="113"/>
        <v>0</v>
      </c>
      <c r="AR63" s="15">
        <f t="shared" si="123"/>
        <v>2</v>
      </c>
      <c r="AS63" s="15">
        <f t="shared" si="133"/>
        <v>0</v>
      </c>
      <c r="AT63" s="15">
        <f t="shared" si="143"/>
        <v>0</v>
      </c>
      <c r="AU63" s="15">
        <f t="shared" si="153"/>
        <v>0</v>
      </c>
      <c r="AV63" s="15">
        <f t="shared" si="163"/>
        <v>0</v>
      </c>
      <c r="AW63" s="15">
        <f t="shared" si="173"/>
        <v>0</v>
      </c>
      <c r="AX63" s="15">
        <f t="shared" si="183"/>
        <v>0</v>
      </c>
      <c r="AY63" s="15">
        <f t="shared" si="193"/>
        <v>0</v>
      </c>
      <c r="AZ63" s="15">
        <f t="shared" si="203"/>
        <v>0</v>
      </c>
      <c r="BA63" s="15">
        <f t="shared" si="213"/>
        <v>0</v>
      </c>
      <c r="BB63" s="15">
        <v>11</v>
      </c>
      <c r="BC63" s="15">
        <f t="shared" si="114"/>
        <v>7</v>
      </c>
      <c r="BD63" s="15">
        <f t="shared" si="124"/>
        <v>36</v>
      </c>
      <c r="BE63" s="15">
        <f t="shared" si="134"/>
        <v>15</v>
      </c>
      <c r="BF63" s="15">
        <f t="shared" si="144"/>
        <v>11</v>
      </c>
      <c r="BG63" s="15">
        <f t="shared" si="154"/>
        <v>7</v>
      </c>
      <c r="BH63" s="15">
        <f t="shared" si="164"/>
        <v>9</v>
      </c>
      <c r="BI63" s="15">
        <f t="shared" si="174"/>
        <v>37</v>
      </c>
      <c r="BJ63" s="15">
        <f t="shared" si="184"/>
        <v>34</v>
      </c>
      <c r="BK63" s="15">
        <f t="shared" si="194"/>
        <v>16</v>
      </c>
      <c r="BL63" s="15">
        <f t="shared" si="204"/>
        <v>51</v>
      </c>
      <c r="BM63" s="15">
        <f t="shared" si="214"/>
        <v>54</v>
      </c>
      <c r="BN63" s="15">
        <v>0</v>
      </c>
      <c r="BO63" s="15">
        <f t="shared" si="115"/>
        <v>0</v>
      </c>
      <c r="BP63" s="15">
        <f t="shared" si="125"/>
        <v>0</v>
      </c>
      <c r="BQ63" s="15">
        <f t="shared" si="135"/>
        <v>0</v>
      </c>
      <c r="BR63" s="15">
        <f t="shared" si="145"/>
        <v>0</v>
      </c>
      <c r="BS63" s="15">
        <f t="shared" si="155"/>
        <v>0</v>
      </c>
      <c r="BT63" s="15">
        <f t="shared" si="165"/>
        <v>0</v>
      </c>
      <c r="BU63" s="15">
        <f t="shared" si="175"/>
        <v>0</v>
      </c>
      <c r="BV63" s="15">
        <f t="shared" si="185"/>
        <v>0</v>
      </c>
      <c r="BW63" s="15">
        <f t="shared" si="195"/>
        <v>0</v>
      </c>
      <c r="BX63" s="15">
        <f t="shared" si="205"/>
        <v>1</v>
      </c>
      <c r="BY63" s="15">
        <f t="shared" si="215"/>
        <v>2</v>
      </c>
      <c r="BZ63" s="15">
        <v>3.13727</v>
      </c>
      <c r="CA63" s="15">
        <f t="shared" si="116"/>
        <v>5.16</v>
      </c>
      <c r="CB63" s="15">
        <f t="shared" si="126"/>
        <v>6.9294399999999996</v>
      </c>
      <c r="CC63" s="15">
        <f t="shared" si="136"/>
        <v>4.7220000000000004</v>
      </c>
      <c r="CD63" s="15">
        <f t="shared" si="146"/>
        <v>4.2527299999999997</v>
      </c>
      <c r="CE63" s="15">
        <f t="shared" si="156"/>
        <v>3.16</v>
      </c>
      <c r="CF63" s="15">
        <f t="shared" si="166"/>
        <v>4.25</v>
      </c>
      <c r="CG63" s="15">
        <f t="shared" si="176"/>
        <v>2.8491900000000001</v>
      </c>
      <c r="CH63" s="15">
        <f t="shared" si="186"/>
        <v>4.2705900000000003</v>
      </c>
      <c r="CI63" s="15">
        <f t="shared" si="196"/>
        <v>3.6406200000000002</v>
      </c>
      <c r="CJ63" s="15">
        <f t="shared" si="206"/>
        <v>2.4741200000000001</v>
      </c>
      <c r="CK63" s="15">
        <f t="shared" si="216"/>
        <v>3.6029599999999999</v>
      </c>
      <c r="CL63" s="15">
        <v>0</v>
      </c>
      <c r="CM63" s="15">
        <f t="shared" si="117"/>
        <v>0</v>
      </c>
      <c r="CN63" s="15">
        <f t="shared" si="127"/>
        <v>0</v>
      </c>
      <c r="CO63" s="15">
        <f t="shared" si="137"/>
        <v>0</v>
      </c>
      <c r="CP63" s="15">
        <f t="shared" si="147"/>
        <v>0</v>
      </c>
      <c r="CQ63" s="15">
        <f t="shared" si="157"/>
        <v>0</v>
      </c>
      <c r="CR63" s="15">
        <f t="shared" si="167"/>
        <v>0</v>
      </c>
      <c r="CS63" s="15">
        <f t="shared" si="177"/>
        <v>0</v>
      </c>
      <c r="CT63" s="15">
        <f t="shared" si="187"/>
        <v>0</v>
      </c>
      <c r="CU63" s="15">
        <f t="shared" si="197"/>
        <v>0</v>
      </c>
      <c r="CV63" s="15">
        <f t="shared" si="207"/>
        <v>0</v>
      </c>
      <c r="CW63" s="15">
        <f t="shared" si="217"/>
        <v>0</v>
      </c>
      <c r="CX63" s="15">
        <v>72.320400000000006</v>
      </c>
      <c r="CY63" s="15">
        <f t="shared" si="118"/>
        <v>79.0321</v>
      </c>
      <c r="CZ63" s="15">
        <f t="shared" si="128"/>
        <v>81.788200000000003</v>
      </c>
      <c r="DA63" s="15">
        <f t="shared" si="138"/>
        <v>78.042900000000003</v>
      </c>
      <c r="DB63" s="15">
        <f t="shared" si="148"/>
        <v>76.767700000000005</v>
      </c>
      <c r="DC63" s="15">
        <f t="shared" si="158"/>
        <v>72.439700000000002</v>
      </c>
      <c r="DD63" s="15">
        <f t="shared" si="168"/>
        <v>76.759500000000003</v>
      </c>
      <c r="DE63" s="15">
        <f t="shared" si="178"/>
        <v>70.6601</v>
      </c>
      <c r="DF63" s="15">
        <f t="shared" si="188"/>
        <v>76.821100000000001</v>
      </c>
      <c r="DG63" s="15">
        <f t="shared" si="198"/>
        <v>74.640900000000002</v>
      </c>
      <c r="DH63" s="15">
        <f t="shared" si="208"/>
        <v>67.992199999999997</v>
      </c>
      <c r="DI63" s="15">
        <f t="shared" si="218"/>
        <v>74.488</v>
      </c>
      <c r="DJ63" s="15" t="s">
        <v>21</v>
      </c>
      <c r="DK63" s="15" t="str">
        <f t="shared" si="119"/>
        <v>LH</v>
      </c>
      <c r="DL63" s="15" t="str">
        <f t="shared" si="129"/>
        <v>HH</v>
      </c>
      <c r="DM63" s="15" t="str">
        <f t="shared" si="139"/>
        <v>HH</v>
      </c>
      <c r="DN63" s="15" t="str">
        <f t="shared" si="149"/>
        <v>LH</v>
      </c>
      <c r="DO63" s="15" t="str">
        <f t="shared" si="159"/>
        <v>LH</v>
      </c>
      <c r="DP63" s="15" t="str">
        <f t="shared" si="169"/>
        <v>LH</v>
      </c>
      <c r="DQ63" s="15" t="str">
        <f t="shared" si="179"/>
        <v>HH</v>
      </c>
      <c r="DR63" s="15" t="str">
        <f t="shared" si="189"/>
        <v>LH</v>
      </c>
      <c r="DS63" s="15" t="str">
        <f t="shared" si="199"/>
        <v>HH</v>
      </c>
      <c r="DT63" s="15" t="str">
        <f t="shared" si="209"/>
        <v>HH</v>
      </c>
      <c r="DU63" s="15" t="str">
        <f t="shared" si="219"/>
        <v>HH</v>
      </c>
      <c r="DV63" s="15">
        <f>IFERROR((G63-$F63)/$F63*100,"")</f>
        <v>1.570244790852346</v>
      </c>
      <c r="DW63" s="15">
        <f>IFERROR((H63-$F63)/$F63*100,"")</f>
        <v>2.6272865950281101</v>
      </c>
      <c r="DX63" s="15">
        <f>IFERROR((I63-$F63)/$F63*100,"")</f>
        <v>-0.81787104216758078</v>
      </c>
      <c r="DY63" s="15">
        <f>IFERROR((J63-$F63)/$F63*100,"")</f>
        <v>-1.4734778217713149</v>
      </c>
      <c r="DZ63" s="15">
        <f>IFERROR((K63-$F63)/$F63*100,"")</f>
        <v>-1.3764995710983798</v>
      </c>
      <c r="EA63" s="15">
        <f>IFERROR((L63-$F63)/$F63*100,"")</f>
        <v>-0.7434999218258217</v>
      </c>
      <c r="EB63" s="15">
        <f>IFERROR((M63-$F63)/$F63*100,"")</f>
        <v>-0.56095262644147248</v>
      </c>
      <c r="EC63" s="15">
        <f>IFERROR((N63-$F63)/$F63*100,"")</f>
        <v>-0.71561075169766453</v>
      </c>
      <c r="ED63" s="15">
        <f>IFERROR((O63-$F63)/$F63*100,"")</f>
        <v>1.4246717740470012</v>
      </c>
      <c r="EE63" s="15">
        <f>IFERROR((P63-$F63)/$F63*100,"")</f>
        <v>1.2702249303827131</v>
      </c>
      <c r="EF63" s="15">
        <f>IFERROR((Q63-$F63)/$F63*100,"")</f>
        <v>-0.18212473220059919</v>
      </c>
      <c r="EG63" s="15" t="str">
        <f>IF(DV63="","",IF(AND(ABS(DV63)&lt;=0.25,$E63="Bottom",DK63="LL"),"EQL",IF(AND(ABS(DV63)&lt;=0.25,$E63="Peak",DK63="HH"),"EQH","")))</f>
        <v/>
      </c>
      <c r="EH63" s="15" t="str">
        <f>IF(DW63="","",IF(AND(ABS(DW63)&lt;=0.25,$E63="Bottom",DL63="LL"),"EQL",IF(AND(ABS(DW63)&lt;=0.25,$E63="Peak",DL63="HH"),"EQH","")))</f>
        <v/>
      </c>
      <c r="EI63" s="15" t="str">
        <f>IF(DX63="","",IF(AND(ABS(DX63)&lt;=0.25,$E63="Bottom",DM63="LL"),"EQL",IF(AND(ABS(DX63)&lt;=0.25,$E63="Peak",DM63="HH"),"EQH","")))</f>
        <v/>
      </c>
      <c r="EJ63" s="15" t="str">
        <f>IF(DY63="","",IF(AND(ABS(DY63)&lt;=0.25,$E63="Bottom",DN63="LL"),"EQL",IF(AND(ABS(DY63)&lt;=0.25,$E63="Peak",DN63="HH"),"EQH","")))</f>
        <v/>
      </c>
      <c r="EK63" s="15" t="str">
        <f>IF(DZ63="","",IF(AND(ABS(DZ63)&lt;=0.25,$E63="Bottom",DO63="LL"),"EQL",IF(AND(ABS(DZ63)&lt;=0.25,$E63="Peak",DO63="HH"),"EQH","")))</f>
        <v/>
      </c>
      <c r="EL63" s="15" t="str">
        <f>IF(EA63="","",IF(AND(ABS(EA63)&lt;=0.25,$E63="Bottom",DP63="LL"),"EQL",IF(AND(ABS(EA63)&lt;=0.25,$E63="Peak",DP63="HH"),"EQH","")))</f>
        <v/>
      </c>
      <c r="EM63" s="15" t="str">
        <f>IF(EB63="","",IF(AND(ABS(EB63)&lt;=0.25,$E63="Bottom",DQ63="LL"),"EQL",IF(AND(ABS(EB63)&lt;=0.25,$E63="Peak",DQ63="HH"),"EQH","")))</f>
        <v/>
      </c>
      <c r="EN63" s="15" t="str">
        <f>IF(EC63="","",IF(AND(ABS(EC63)&lt;=0.25,$E63="Bottom",DR63="LL"),"EQL",IF(AND(ABS(EC63)&lt;=0.25,$E63="Peak",DR63="HH"),"EQH","")))</f>
        <v/>
      </c>
      <c r="EO63" s="15" t="str">
        <f>IF(ED63="","",IF(AND(ABS(ED63)&lt;=0.25,$E63="Bottom",DS63="LL"),"EQL",IF(AND(ABS(ED63)&lt;=0.25,$E63="Peak",DS63="HH"),"EQH","")))</f>
        <v/>
      </c>
      <c r="EP63" s="15" t="str">
        <f>IF(EE63="","",IF(AND(ABS(EE63)&lt;=0.25,$E63="Bottom",DT63="LL"),"EQL",IF(AND(ABS(EE63)&lt;=0.25,$E63="Peak",DT63="HH"),"EQH","")))</f>
        <v/>
      </c>
      <c r="EQ63" s="15" t="str">
        <f>IF(EF63="","",IF(AND(ABS(EF63)&lt;=0.25,$E63="Bottom",DU63="LL"),"EQL",IF(AND(ABS(EF63)&lt;=0.25,$E63="Peak",DU63="HH"),"EQH","")))</f>
        <v>EQH</v>
      </c>
      <c r="ER63" s="15" t="str">
        <f>IF(OR(EG63="EQL",EG63="EQH"),F63,"")</f>
        <v/>
      </c>
      <c r="ES63" s="15" t="str">
        <f>IF(OR(EH63="EQL",EH63="EQH"),G63,"")</f>
        <v/>
      </c>
      <c r="ET63" s="15" t="str">
        <f>IF(OR(EI63="EQL",EI63="EQH"),H63,"")</f>
        <v/>
      </c>
      <c r="EU63" s="15" t="str">
        <f>IF(OR(EJ63="EQL",EJ63="EQH"),I63,"")</f>
        <v/>
      </c>
      <c r="EV63" s="15" t="str">
        <f>IF(OR(EK63="EQL",EK63="EQH"),J63,"")</f>
        <v/>
      </c>
      <c r="EW63" s="15" t="str">
        <f>IF(OR(EL63="EQL",EL63="EQH"),K63,"")</f>
        <v/>
      </c>
      <c r="EX63" s="15" t="str">
        <f>IF(OR(EM63="EQL",EM63="EQH"),L63,"")</f>
        <v/>
      </c>
      <c r="EY63" s="15" t="str">
        <f>IF(OR(EN63="EQL",EN63="EQH"),M63,"")</f>
        <v/>
      </c>
      <c r="EZ63" s="15" t="str">
        <f>IF(OR(EO63="EQL",EO63="EQH"),N63,"")</f>
        <v/>
      </c>
      <c r="FA63" s="15" t="str">
        <f>IF(OR(EP63="EQL",EP63="EQH"),O63,"")</f>
        <v/>
      </c>
      <c r="FB63" s="15">
        <f>IF(OR(EQ63="EQL",EQ63="EQH"),P63,"")</f>
        <v>4793.1400000000003</v>
      </c>
      <c r="FC63" s="15" t="str">
        <f>IF(AND(EG63="EQL",OR(AQ63=4,AQ63=5)),"IEQL",IF(AND(EG63="EQH",OR(AQ63=1,AQ63=2)),"IEQH",""))</f>
        <v/>
      </c>
      <c r="FD63" s="15" t="str">
        <f>IF(AND(EH63="EQL",OR(AR63=4,AR63=5)),"IEQL",IF(AND(EH63="EQH",OR(AR63=1,AR63=2)),"IEQH",""))</f>
        <v/>
      </c>
      <c r="FE63" s="15" t="str">
        <f>IF(AND(EI63="EQL",OR(AS63=4,AS63=5)),"IEQL",IF(AND(EI63="EQH",OR(AS63=1,AS63=2)),"IEQH",""))</f>
        <v/>
      </c>
      <c r="FF63" s="15" t="str">
        <f>IF(AND(EJ63="EQL",OR(AT63=4,AT63=5)),"IEQL",IF(AND(EJ63="EQH",OR(AT63=1,AT63=2)),"IEQH",""))</f>
        <v/>
      </c>
      <c r="FG63" s="15" t="str">
        <f>IF(AND(EK63="EQL",OR(AU63=4,AU63=5)),"IEQL",IF(AND(EK63="EQH",OR(AU63=1,AU63=2)),"IEQH",""))</f>
        <v/>
      </c>
      <c r="FH63" s="15" t="str">
        <f>IF(AND(EL63="EQL",OR(AV63=4,AV63=5)),"IEQL",IF(AND(EL63="EQH",OR(AV63=1,AV63=2)),"IEQH",""))</f>
        <v/>
      </c>
      <c r="FI63" s="15" t="str">
        <f>IF(AND(EM63="EQL",OR(AW63=4,AW63=5)),"IEQL",IF(AND(EM63="EQH",OR(AW63=1,AW63=2)),"IEQH",""))</f>
        <v/>
      </c>
      <c r="FJ63" s="15" t="str">
        <f>IF(AND(EN63="EQL",OR(AX63=4,AX63=5)),"IEQL",IF(AND(EN63="EQH",OR(AX63=1,AX63=2)),"IEQH",""))</f>
        <v/>
      </c>
      <c r="FK63" s="15" t="str">
        <f>IF(AND(EO63="EQL",OR(AY63=4,AY63=5)),"IEQL",IF(AND(EO63="EQH",OR(AY63=1,AY63=2)),"IEQH",""))</f>
        <v/>
      </c>
      <c r="FL63" s="15" t="str">
        <f>IF(AND(EP63="EQL",OR(AZ63=4,AZ63=5)),"IEQL",IF(AND(EP63="EQH",OR(AZ63=1,AZ63=2)),"IEQH",""))</f>
        <v/>
      </c>
      <c r="FM63" s="15" t="str">
        <f>IF(AND(EQ63="EQL",OR(BA63=4,BA63=5)),"IEQL",IF(AND(EQ63="EQH",OR(BA63=1,BA63=2)),"IEQH",""))</f>
        <v/>
      </c>
      <c r="FN63" s="15" t="str">
        <f>IF(OR(AND(DJ63="LL",AP63=5),AND(DJ63="HH",AP63=2)),F63,"")</f>
        <v/>
      </c>
      <c r="FO63" s="15" t="str">
        <f>IF(FN63&lt;&gt;"",F62,"")</f>
        <v/>
      </c>
    </row>
    <row r="64" spans="1:171" s="15" customFormat="1" x14ac:dyDescent="0.55000000000000004">
      <c r="A64" s="15">
        <v>1775717106</v>
      </c>
      <c r="B64" s="15" t="s">
        <v>16</v>
      </c>
      <c r="C64" s="15" t="s">
        <v>17</v>
      </c>
      <c r="D64" s="15">
        <v>4712.5</v>
      </c>
      <c r="E64" s="15" t="s">
        <v>18</v>
      </c>
      <c r="F64" s="15">
        <v>4703.46</v>
      </c>
      <c r="G64" s="15">
        <f t="shared" si="110"/>
        <v>4698.51</v>
      </c>
      <c r="H64" s="15">
        <f t="shared" si="120"/>
        <v>4771.22</v>
      </c>
      <c r="I64" s="15">
        <f t="shared" si="130"/>
        <v>4607.91</v>
      </c>
      <c r="J64" s="15">
        <f t="shared" si="140"/>
        <v>4623.4799999999996</v>
      </c>
      <c r="K64" s="15">
        <f t="shared" si="150"/>
        <v>4616.5</v>
      </c>
      <c r="L64" s="15">
        <f t="shared" si="160"/>
        <v>4645.75</v>
      </c>
      <c r="M64" s="15">
        <f t="shared" si="170"/>
        <v>4659.58</v>
      </c>
      <c r="N64" s="15">
        <f t="shared" si="180"/>
        <v>4601.05</v>
      </c>
      <c r="O64" s="15">
        <f t="shared" si="190"/>
        <v>4553.95</v>
      </c>
      <c r="P64" s="15">
        <f t="shared" si="200"/>
        <v>4742.2</v>
      </c>
      <c r="Q64" s="15">
        <f t="shared" si="210"/>
        <v>4666.96</v>
      </c>
      <c r="R64" s="15">
        <v>-29.56</v>
      </c>
      <c r="S64" s="15">
        <f t="shared" si="111"/>
        <v>-108.83</v>
      </c>
      <c r="T64" s="15">
        <f t="shared" si="121"/>
        <v>-86.15</v>
      </c>
      <c r="U64" s="15">
        <f t="shared" si="131"/>
        <v>-86.4</v>
      </c>
      <c r="V64" s="15">
        <f t="shared" si="141"/>
        <v>-39.799999999999997</v>
      </c>
      <c r="W64" s="15">
        <f t="shared" si="151"/>
        <v>-51.37</v>
      </c>
      <c r="X64" s="15">
        <f t="shared" si="161"/>
        <v>-52.08</v>
      </c>
      <c r="Y64" s="15">
        <f t="shared" si="171"/>
        <v>-46.89</v>
      </c>
      <c r="Z64" s="15">
        <f t="shared" si="181"/>
        <v>-98.1</v>
      </c>
      <c r="AA64" s="15">
        <f t="shared" si="191"/>
        <v>-246.5</v>
      </c>
      <c r="AB64" s="15">
        <f t="shared" si="201"/>
        <v>-50.94</v>
      </c>
      <c r="AC64" s="15">
        <f t="shared" si="211"/>
        <v>-57.44</v>
      </c>
      <c r="AD64" s="15">
        <v>-0.62</v>
      </c>
      <c r="AE64" s="15">
        <f t="shared" si="112"/>
        <v>-2.2599999999999998</v>
      </c>
      <c r="AF64" s="15">
        <f t="shared" si="122"/>
        <v>-1.77</v>
      </c>
      <c r="AG64" s="15">
        <f t="shared" si="132"/>
        <v>-1.84</v>
      </c>
      <c r="AH64" s="15">
        <f t="shared" si="142"/>
        <v>-0.85</v>
      </c>
      <c r="AI64" s="15">
        <f t="shared" si="152"/>
        <v>-1.1000000000000001</v>
      </c>
      <c r="AJ64" s="15">
        <f t="shared" si="162"/>
        <v>-1.1100000000000001</v>
      </c>
      <c r="AK64" s="15">
        <f t="shared" si="172"/>
        <v>-1</v>
      </c>
      <c r="AL64" s="15">
        <f t="shared" si="182"/>
        <v>-2.09</v>
      </c>
      <c r="AM64" s="15">
        <f t="shared" si="192"/>
        <v>-5.13</v>
      </c>
      <c r="AN64" s="15">
        <f t="shared" si="202"/>
        <v>-1.06</v>
      </c>
      <c r="AO64" s="15">
        <f t="shared" si="212"/>
        <v>-1.22</v>
      </c>
      <c r="AP64" s="15">
        <v>3</v>
      </c>
      <c r="AQ64" s="15">
        <f t="shared" si="113"/>
        <v>3</v>
      </c>
      <c r="AR64" s="15">
        <f t="shared" si="123"/>
        <v>3</v>
      </c>
      <c r="AS64" s="15">
        <f t="shared" si="133"/>
        <v>3</v>
      </c>
      <c r="AT64" s="15">
        <f t="shared" si="143"/>
        <v>3</v>
      </c>
      <c r="AU64" s="15">
        <f t="shared" si="153"/>
        <v>3</v>
      </c>
      <c r="AV64" s="15">
        <f t="shared" si="163"/>
        <v>3</v>
      </c>
      <c r="AW64" s="15">
        <f t="shared" si="173"/>
        <v>3</v>
      </c>
      <c r="AX64" s="15">
        <f t="shared" si="183"/>
        <v>3</v>
      </c>
      <c r="AY64" s="15">
        <f t="shared" si="193"/>
        <v>3</v>
      </c>
      <c r="AZ64" s="15">
        <f t="shared" si="203"/>
        <v>3</v>
      </c>
      <c r="BA64" s="15">
        <f t="shared" si="213"/>
        <v>3</v>
      </c>
      <c r="BB64" s="15">
        <v>16</v>
      </c>
      <c r="BC64" s="15">
        <f t="shared" si="114"/>
        <v>44</v>
      </c>
      <c r="BD64" s="15">
        <f t="shared" si="124"/>
        <v>41</v>
      </c>
      <c r="BE64" s="15">
        <f t="shared" si="134"/>
        <v>19</v>
      </c>
      <c r="BF64" s="15">
        <f t="shared" si="144"/>
        <v>4</v>
      </c>
      <c r="BG64" s="15">
        <f t="shared" si="154"/>
        <v>15</v>
      </c>
      <c r="BH64" s="15">
        <f t="shared" si="164"/>
        <v>19</v>
      </c>
      <c r="BI64" s="15">
        <f t="shared" si="174"/>
        <v>11</v>
      </c>
      <c r="BJ64" s="15">
        <f t="shared" si="184"/>
        <v>35</v>
      </c>
      <c r="BK64" s="15">
        <f t="shared" si="194"/>
        <v>26</v>
      </c>
      <c r="BL64" s="15">
        <f t="shared" si="204"/>
        <v>6</v>
      </c>
      <c r="BM64" s="15">
        <f t="shared" si="214"/>
        <v>13</v>
      </c>
      <c r="BN64" s="15">
        <v>3</v>
      </c>
      <c r="BO64" s="15">
        <f t="shared" si="115"/>
        <v>4</v>
      </c>
      <c r="BP64" s="15">
        <f t="shared" si="125"/>
        <v>4</v>
      </c>
      <c r="BQ64" s="15">
        <f t="shared" si="135"/>
        <v>3</v>
      </c>
      <c r="BR64" s="15">
        <f t="shared" si="145"/>
        <v>3</v>
      </c>
      <c r="BS64" s="15">
        <f t="shared" si="155"/>
        <v>3</v>
      </c>
      <c r="BT64" s="15">
        <f t="shared" si="165"/>
        <v>3</v>
      </c>
      <c r="BU64" s="15">
        <f t="shared" si="175"/>
        <v>3</v>
      </c>
      <c r="BV64" s="15">
        <f t="shared" si="185"/>
        <v>3</v>
      </c>
      <c r="BW64" s="15">
        <f t="shared" si="195"/>
        <v>3</v>
      </c>
      <c r="BX64" s="15">
        <f t="shared" si="205"/>
        <v>3</v>
      </c>
      <c r="BY64" s="15">
        <f t="shared" si="215"/>
        <v>3</v>
      </c>
      <c r="BZ64" s="15">
        <v>-1.8474999999999999</v>
      </c>
      <c r="CA64" s="15">
        <f t="shared" si="116"/>
        <v>-2.4734099999999999</v>
      </c>
      <c r="CB64" s="15">
        <f t="shared" si="126"/>
        <v>-2.1012200000000001</v>
      </c>
      <c r="CC64" s="15">
        <f t="shared" si="136"/>
        <v>-4.5473699999999999</v>
      </c>
      <c r="CD64" s="15">
        <f t="shared" si="146"/>
        <v>-9.9499999999999993</v>
      </c>
      <c r="CE64" s="15">
        <f t="shared" si="156"/>
        <v>-3.4246699999999999</v>
      </c>
      <c r="CF64" s="15">
        <f t="shared" si="166"/>
        <v>-2.74105</v>
      </c>
      <c r="CG64" s="15">
        <f t="shared" si="176"/>
        <v>-4.2627300000000004</v>
      </c>
      <c r="CH64" s="15">
        <f t="shared" si="186"/>
        <v>-2.8028599999999999</v>
      </c>
      <c r="CI64" s="15">
        <f t="shared" si="196"/>
        <v>-9.4807699999999997</v>
      </c>
      <c r="CJ64" s="15">
        <f t="shared" si="206"/>
        <v>-8.49</v>
      </c>
      <c r="CK64" s="15">
        <f t="shared" si="216"/>
        <v>-4.4184599999999996</v>
      </c>
      <c r="CL64" s="15">
        <v>3</v>
      </c>
      <c r="CM64" s="15">
        <f t="shared" si="117"/>
        <v>3</v>
      </c>
      <c r="CN64" s="15">
        <f t="shared" si="127"/>
        <v>3</v>
      </c>
      <c r="CO64" s="15">
        <f t="shared" si="137"/>
        <v>3</v>
      </c>
      <c r="CP64" s="15">
        <f t="shared" si="147"/>
        <v>3</v>
      </c>
      <c r="CQ64" s="15">
        <f t="shared" si="157"/>
        <v>3</v>
      </c>
      <c r="CR64" s="15">
        <f t="shared" si="167"/>
        <v>3</v>
      </c>
      <c r="CS64" s="15">
        <f t="shared" si="177"/>
        <v>3</v>
      </c>
      <c r="CT64" s="15">
        <f t="shared" si="187"/>
        <v>3</v>
      </c>
      <c r="CU64" s="15">
        <f t="shared" si="197"/>
        <v>3</v>
      </c>
      <c r="CV64" s="15">
        <f t="shared" si="207"/>
        <v>3</v>
      </c>
      <c r="CW64" s="15">
        <f t="shared" si="217"/>
        <v>3</v>
      </c>
      <c r="CX64" s="15">
        <v>-61.574599999999997</v>
      </c>
      <c r="CY64" s="15">
        <f t="shared" si="118"/>
        <v>-67.986500000000007</v>
      </c>
      <c r="CZ64" s="15">
        <f t="shared" si="128"/>
        <v>-64.549599999999998</v>
      </c>
      <c r="DA64" s="15">
        <f t="shared" si="138"/>
        <v>-77.5976</v>
      </c>
      <c r="DB64" s="15">
        <f t="shared" si="148"/>
        <v>-84.260900000000007</v>
      </c>
      <c r="DC64" s="15">
        <f t="shared" si="158"/>
        <v>-73.722200000000001</v>
      </c>
      <c r="DD64" s="15">
        <f t="shared" si="168"/>
        <v>-69.956800000000001</v>
      </c>
      <c r="DE64" s="15">
        <f t="shared" si="178"/>
        <v>-76.797600000000003</v>
      </c>
      <c r="DF64" s="15">
        <f t="shared" si="188"/>
        <v>-70.364699999999999</v>
      </c>
      <c r="DG64" s="15">
        <f t="shared" si="198"/>
        <v>-83.978899999999996</v>
      </c>
      <c r="DH64" s="15">
        <f t="shared" si="208"/>
        <v>-83.282300000000006</v>
      </c>
      <c r="DI64" s="15">
        <f t="shared" si="218"/>
        <v>-77.247500000000002</v>
      </c>
      <c r="DJ64" s="15" t="s">
        <v>22</v>
      </c>
      <c r="DK64" s="15" t="str">
        <f t="shared" si="119"/>
        <v>LL</v>
      </c>
      <c r="DL64" s="15" t="str">
        <f t="shared" si="129"/>
        <v>HL</v>
      </c>
      <c r="DM64" s="15" t="str">
        <f t="shared" si="139"/>
        <v>LL</v>
      </c>
      <c r="DN64" s="15" t="str">
        <f t="shared" si="149"/>
        <v>HL</v>
      </c>
      <c r="DO64" s="15" t="str">
        <f t="shared" si="159"/>
        <v>LL</v>
      </c>
      <c r="DP64" s="15" t="str">
        <f t="shared" si="169"/>
        <v>LL</v>
      </c>
      <c r="DQ64" s="15" t="str">
        <f t="shared" si="179"/>
        <v>HL</v>
      </c>
      <c r="DR64" s="15" t="str">
        <f t="shared" si="189"/>
        <v>HL</v>
      </c>
      <c r="DS64" s="15" t="str">
        <f t="shared" si="199"/>
        <v>LL</v>
      </c>
      <c r="DT64" s="15" t="str">
        <f t="shared" si="209"/>
        <v>HL</v>
      </c>
      <c r="DU64" s="15" t="str">
        <f t="shared" si="219"/>
        <v>HL</v>
      </c>
      <c r="DV64" s="15">
        <f>IFERROR((G64-$F64)/$F64*100,"")</f>
        <v>-0.10524167315125076</v>
      </c>
      <c r="DW64" s="15">
        <f>IFERROR((H64-$F64)/$F64*100,"")</f>
        <v>1.44064157024829</v>
      </c>
      <c r="DX64" s="15">
        <f>IFERROR((I64-$F64)/$F64*100,"")</f>
        <v>-2.0314832059802819</v>
      </c>
      <c r="DY64" s="15">
        <f>IFERROR((J64-$F64)/$F64*100,"")</f>
        <v>-1.7004503067954331</v>
      </c>
      <c r="DZ64" s="15">
        <f>IFERROR((K64-$F64)/$F64*100,"")</f>
        <v>-1.848851696410728</v>
      </c>
      <c r="EA64" s="15">
        <f>IFERROR((L64-$F64)/$F64*100,"")</f>
        <v>-1.2269690823351327</v>
      </c>
      <c r="EB64" s="15">
        <f>IFERROR((M64-$F64)/$F64*100,"")</f>
        <v>-0.93293022583375018</v>
      </c>
      <c r="EC64" s="15">
        <f>IFERROR((N64-$F64)/$F64*100,"")</f>
        <v>-2.1773332823070648</v>
      </c>
      <c r="ED64" s="15">
        <f>IFERROR((O64-$F64)/$F64*100,"")</f>
        <v>-3.1787237480493129</v>
      </c>
      <c r="EE64" s="15">
        <f>IFERROR((P64-$F64)/$F64*100,"")</f>
        <v>0.82364897330900622</v>
      </c>
      <c r="EF64" s="15">
        <f>IFERROR((Q64-$F64)/$F64*100,"")</f>
        <v>-0.7760244585900592</v>
      </c>
      <c r="EG64" s="15" t="str">
        <f>IF(DV64="","",IF(AND(ABS(DV64)&lt;=0.25,$E64="Bottom",DK64="LL"),"EQL",IF(AND(ABS(DV64)&lt;=0.25,$E64="Peak",DK64="HH"),"EQH","")))</f>
        <v>EQL</v>
      </c>
      <c r="EH64" s="15" t="str">
        <f>IF(DW64="","",IF(AND(ABS(DW64)&lt;=0.25,$E64="Bottom",DL64="LL"),"EQL",IF(AND(ABS(DW64)&lt;=0.25,$E64="Peak",DL64="HH"),"EQH","")))</f>
        <v/>
      </c>
      <c r="EI64" s="15" t="str">
        <f>IF(DX64="","",IF(AND(ABS(DX64)&lt;=0.25,$E64="Bottom",DM64="LL"),"EQL",IF(AND(ABS(DX64)&lt;=0.25,$E64="Peak",DM64="HH"),"EQH","")))</f>
        <v/>
      </c>
      <c r="EJ64" s="15" t="str">
        <f>IF(DY64="","",IF(AND(ABS(DY64)&lt;=0.25,$E64="Bottom",DN64="LL"),"EQL",IF(AND(ABS(DY64)&lt;=0.25,$E64="Peak",DN64="HH"),"EQH","")))</f>
        <v/>
      </c>
      <c r="EK64" s="15" t="str">
        <f>IF(DZ64="","",IF(AND(ABS(DZ64)&lt;=0.25,$E64="Bottom",DO64="LL"),"EQL",IF(AND(ABS(DZ64)&lt;=0.25,$E64="Peak",DO64="HH"),"EQH","")))</f>
        <v/>
      </c>
      <c r="EL64" s="15" t="str">
        <f>IF(EA64="","",IF(AND(ABS(EA64)&lt;=0.25,$E64="Bottom",DP64="LL"),"EQL",IF(AND(ABS(EA64)&lt;=0.25,$E64="Peak",DP64="HH"),"EQH","")))</f>
        <v/>
      </c>
      <c r="EM64" s="15" t="str">
        <f>IF(EB64="","",IF(AND(ABS(EB64)&lt;=0.25,$E64="Bottom",DQ64="LL"),"EQL",IF(AND(ABS(EB64)&lt;=0.25,$E64="Peak",DQ64="HH"),"EQH","")))</f>
        <v/>
      </c>
      <c r="EN64" s="15" t="str">
        <f>IF(EC64="","",IF(AND(ABS(EC64)&lt;=0.25,$E64="Bottom",DR64="LL"),"EQL",IF(AND(ABS(EC64)&lt;=0.25,$E64="Peak",DR64="HH"),"EQH","")))</f>
        <v/>
      </c>
      <c r="EO64" s="15" t="str">
        <f>IF(ED64="","",IF(AND(ABS(ED64)&lt;=0.25,$E64="Bottom",DS64="LL"),"EQL",IF(AND(ABS(ED64)&lt;=0.25,$E64="Peak",DS64="HH"),"EQH","")))</f>
        <v/>
      </c>
      <c r="EP64" s="15" t="str">
        <f>IF(EE64="","",IF(AND(ABS(EE64)&lt;=0.25,$E64="Bottom",DT64="LL"),"EQL",IF(AND(ABS(EE64)&lt;=0.25,$E64="Peak",DT64="HH"),"EQH","")))</f>
        <v/>
      </c>
      <c r="EQ64" s="15" t="str">
        <f>IF(EF64="","",IF(AND(ABS(EF64)&lt;=0.25,$E64="Bottom",DU64="LL"),"EQL",IF(AND(ABS(EF64)&lt;=0.25,$E64="Peak",DU64="HH"),"EQH","")))</f>
        <v/>
      </c>
      <c r="ER64" s="15">
        <f>IF(OR(EG64="EQL",EG64="EQH"),F64,"")</f>
        <v>4703.46</v>
      </c>
      <c r="ES64" s="15" t="str">
        <f>IF(OR(EH64="EQL",EH64="EQH"),G64,"")</f>
        <v/>
      </c>
      <c r="ET64" s="15" t="str">
        <f>IF(OR(EI64="EQL",EI64="EQH"),H64,"")</f>
        <v/>
      </c>
      <c r="EU64" s="15" t="str">
        <f>IF(OR(EJ64="EQL",EJ64="EQH"),I64,"")</f>
        <v/>
      </c>
      <c r="EV64" s="15" t="str">
        <f>IF(OR(EK64="EQL",EK64="EQH"),J64,"")</f>
        <v/>
      </c>
      <c r="EW64" s="15" t="str">
        <f>IF(OR(EL64="EQL",EL64="EQH"),K64,"")</f>
        <v/>
      </c>
      <c r="EX64" s="15" t="str">
        <f>IF(OR(EM64="EQL",EM64="EQH"),L64,"")</f>
        <v/>
      </c>
      <c r="EY64" s="15" t="str">
        <f>IF(OR(EN64="EQL",EN64="EQH"),M64,"")</f>
        <v/>
      </c>
      <c r="EZ64" s="15" t="str">
        <f>IF(OR(EO64="EQL",EO64="EQH"),N64,"")</f>
        <v/>
      </c>
      <c r="FA64" s="15" t="str">
        <f>IF(OR(EP64="EQL",EP64="EQH"),O64,"")</f>
        <v/>
      </c>
      <c r="FB64" s="15" t="str">
        <f>IF(OR(EQ64="EQL",EQ64="EQH"),P64,"")</f>
        <v/>
      </c>
      <c r="FC64" s="15" t="str">
        <f>IF(AND(EG64="EQL",OR(AQ64=4,AQ64=5)),"IEQL",IF(AND(EG64="EQH",OR(AQ64=1,AQ64=2)),"IEQH",""))</f>
        <v/>
      </c>
      <c r="FD64" s="15" t="str">
        <f>IF(AND(EH64="EQL",OR(AR64=4,AR64=5)),"IEQL",IF(AND(EH64="EQH",OR(AR64=1,AR64=2)),"IEQH",""))</f>
        <v/>
      </c>
      <c r="FE64" s="15" t="str">
        <f>IF(AND(EI64="EQL",OR(AS64=4,AS64=5)),"IEQL",IF(AND(EI64="EQH",OR(AS64=1,AS64=2)),"IEQH",""))</f>
        <v/>
      </c>
      <c r="FF64" s="15" t="str">
        <f>IF(AND(EJ64="EQL",OR(AT64=4,AT64=5)),"IEQL",IF(AND(EJ64="EQH",OR(AT64=1,AT64=2)),"IEQH",""))</f>
        <v/>
      </c>
      <c r="FG64" s="15" t="str">
        <f>IF(AND(EK64="EQL",OR(AU64=4,AU64=5)),"IEQL",IF(AND(EK64="EQH",OR(AU64=1,AU64=2)),"IEQH",""))</f>
        <v/>
      </c>
      <c r="FH64" s="15" t="str">
        <f>IF(AND(EL64="EQL",OR(AV64=4,AV64=5)),"IEQL",IF(AND(EL64="EQH",OR(AV64=1,AV64=2)),"IEQH",""))</f>
        <v/>
      </c>
      <c r="FI64" s="15" t="str">
        <f>IF(AND(EM64="EQL",OR(AW64=4,AW64=5)),"IEQL",IF(AND(EM64="EQH",OR(AW64=1,AW64=2)),"IEQH",""))</f>
        <v/>
      </c>
      <c r="FJ64" s="15" t="str">
        <f>IF(AND(EN64="EQL",OR(AX64=4,AX64=5)),"IEQL",IF(AND(EN64="EQH",OR(AX64=1,AX64=2)),"IEQH",""))</f>
        <v/>
      </c>
      <c r="FK64" s="15" t="str">
        <f>IF(AND(EO64="EQL",OR(AY64=4,AY64=5)),"IEQL",IF(AND(EO64="EQH",OR(AY64=1,AY64=2)),"IEQH",""))</f>
        <v/>
      </c>
      <c r="FL64" s="15" t="str">
        <f>IF(AND(EP64="EQL",OR(AZ64=4,AZ64=5)),"IEQL",IF(AND(EP64="EQH",OR(AZ64=1,AZ64=2)),"IEQH",""))</f>
        <v/>
      </c>
      <c r="FM64" s="15" t="str">
        <f>IF(AND(EQ64="EQL",OR(BA64=4,BA64=5)),"IEQL",IF(AND(EQ64="EQH",OR(BA64=1,BA64=2)),"IEQH",""))</f>
        <v/>
      </c>
      <c r="FN64" s="15" t="str">
        <f>IF(OR(AND(DJ64="LL",AP64=5),AND(DJ64="HH",AP64=2)),F64,"")</f>
        <v/>
      </c>
      <c r="FO64" s="15" t="str">
        <f>IF(FN64&lt;&gt;"",F63,"")</f>
        <v/>
      </c>
    </row>
    <row r="65" spans="1:171" s="15" customFormat="1" x14ac:dyDescent="0.55000000000000004">
      <c r="A65" s="15">
        <v>1775755806</v>
      </c>
      <c r="B65" s="15" t="s">
        <v>16</v>
      </c>
      <c r="C65" s="15" t="s">
        <v>17</v>
      </c>
      <c r="D65" s="15">
        <v>4795.37</v>
      </c>
      <c r="E65" s="15" t="s">
        <v>20</v>
      </c>
      <c r="F65" s="15">
        <v>4800.93</v>
      </c>
      <c r="G65" s="15">
        <f t="shared" si="110"/>
        <v>4733.0200000000004</v>
      </c>
      <c r="H65" s="15">
        <f t="shared" si="120"/>
        <v>4807.34</v>
      </c>
      <c r="I65" s="15">
        <f t="shared" si="130"/>
        <v>4857.37</v>
      </c>
      <c r="J65" s="15">
        <f t="shared" si="140"/>
        <v>4694.3100000000004</v>
      </c>
      <c r="K65" s="15">
        <f t="shared" si="150"/>
        <v>4663.28</v>
      </c>
      <c r="L65" s="15">
        <f t="shared" si="160"/>
        <v>4667.87</v>
      </c>
      <c r="M65" s="15">
        <f t="shared" si="170"/>
        <v>4697.83</v>
      </c>
      <c r="N65" s="15">
        <f t="shared" si="180"/>
        <v>4706.47</v>
      </c>
      <c r="O65" s="15">
        <f t="shared" si="190"/>
        <v>4699.1499999999996</v>
      </c>
      <c r="P65" s="15">
        <f t="shared" si="200"/>
        <v>4800.45</v>
      </c>
      <c r="Q65" s="15">
        <f t="shared" si="210"/>
        <v>4793.1400000000003</v>
      </c>
      <c r="R65" s="15">
        <v>97.47</v>
      </c>
      <c r="S65" s="15">
        <f t="shared" si="111"/>
        <v>34.51</v>
      </c>
      <c r="T65" s="15">
        <f t="shared" si="121"/>
        <v>36.119999999999997</v>
      </c>
      <c r="U65" s="15">
        <f t="shared" si="131"/>
        <v>249.46</v>
      </c>
      <c r="V65" s="15">
        <f t="shared" si="141"/>
        <v>70.83</v>
      </c>
      <c r="W65" s="15">
        <f t="shared" si="151"/>
        <v>46.78</v>
      </c>
      <c r="X65" s="15">
        <f t="shared" si="161"/>
        <v>22.12</v>
      </c>
      <c r="Y65" s="15">
        <f t="shared" si="171"/>
        <v>38.25</v>
      </c>
      <c r="Z65" s="15">
        <f t="shared" si="181"/>
        <v>105.42</v>
      </c>
      <c r="AA65" s="15">
        <f t="shared" si="191"/>
        <v>145.19999999999999</v>
      </c>
      <c r="AB65" s="15">
        <f t="shared" si="201"/>
        <v>58.25</v>
      </c>
      <c r="AC65" s="15">
        <f t="shared" si="211"/>
        <v>126.18</v>
      </c>
      <c r="AD65" s="15">
        <v>2.0699999999999998</v>
      </c>
      <c r="AE65" s="15">
        <f t="shared" si="112"/>
        <v>0.73</v>
      </c>
      <c r="AF65" s="15">
        <f t="shared" si="122"/>
        <v>0.76</v>
      </c>
      <c r="AG65" s="15">
        <f t="shared" si="132"/>
        <v>5.41</v>
      </c>
      <c r="AH65" s="15">
        <f t="shared" si="142"/>
        <v>1.53</v>
      </c>
      <c r="AI65" s="15">
        <f t="shared" si="152"/>
        <v>1.01</v>
      </c>
      <c r="AJ65" s="15">
        <f t="shared" si="162"/>
        <v>0.48</v>
      </c>
      <c r="AK65" s="15">
        <f t="shared" si="172"/>
        <v>0.82</v>
      </c>
      <c r="AL65" s="15">
        <f t="shared" si="182"/>
        <v>2.29</v>
      </c>
      <c r="AM65" s="15">
        <f t="shared" si="192"/>
        <v>3.19</v>
      </c>
      <c r="AN65" s="15">
        <f t="shared" si="202"/>
        <v>1.23</v>
      </c>
      <c r="AO65" s="15">
        <f t="shared" si="212"/>
        <v>2.7</v>
      </c>
      <c r="AP65" s="15">
        <v>0</v>
      </c>
      <c r="AQ65" s="15">
        <f t="shared" si="113"/>
        <v>0</v>
      </c>
      <c r="AR65" s="15">
        <f t="shared" si="123"/>
        <v>0</v>
      </c>
      <c r="AS65" s="15">
        <f t="shared" si="133"/>
        <v>2</v>
      </c>
      <c r="AT65" s="15">
        <f t="shared" si="143"/>
        <v>0</v>
      </c>
      <c r="AU65" s="15">
        <f t="shared" si="153"/>
        <v>0</v>
      </c>
      <c r="AV65" s="15">
        <f t="shared" si="163"/>
        <v>0</v>
      </c>
      <c r="AW65" s="15">
        <f t="shared" si="173"/>
        <v>0</v>
      </c>
      <c r="AX65" s="15">
        <f t="shared" si="183"/>
        <v>0</v>
      </c>
      <c r="AY65" s="15">
        <f t="shared" si="193"/>
        <v>0</v>
      </c>
      <c r="AZ65" s="15">
        <f t="shared" si="203"/>
        <v>0</v>
      </c>
      <c r="BA65" s="15">
        <f t="shared" si="213"/>
        <v>0</v>
      </c>
      <c r="BB65" s="15">
        <v>43</v>
      </c>
      <c r="BC65" s="15">
        <f t="shared" si="114"/>
        <v>11</v>
      </c>
      <c r="BD65" s="15">
        <f t="shared" si="124"/>
        <v>7</v>
      </c>
      <c r="BE65" s="15">
        <f t="shared" si="134"/>
        <v>36</v>
      </c>
      <c r="BF65" s="15">
        <f t="shared" si="144"/>
        <v>15</v>
      </c>
      <c r="BG65" s="15">
        <f t="shared" si="154"/>
        <v>11</v>
      </c>
      <c r="BH65" s="15">
        <f t="shared" si="164"/>
        <v>7</v>
      </c>
      <c r="BI65" s="15">
        <f t="shared" si="174"/>
        <v>9</v>
      </c>
      <c r="BJ65" s="15">
        <f t="shared" si="184"/>
        <v>37</v>
      </c>
      <c r="BK65" s="15">
        <f t="shared" si="194"/>
        <v>34</v>
      </c>
      <c r="BL65" s="15">
        <f t="shared" si="204"/>
        <v>16</v>
      </c>
      <c r="BM65" s="15">
        <f t="shared" si="214"/>
        <v>51</v>
      </c>
      <c r="BN65" s="15">
        <v>1</v>
      </c>
      <c r="BO65" s="15">
        <f t="shared" si="115"/>
        <v>0</v>
      </c>
      <c r="BP65" s="15">
        <f t="shared" si="125"/>
        <v>0</v>
      </c>
      <c r="BQ65" s="15">
        <f t="shared" si="135"/>
        <v>0</v>
      </c>
      <c r="BR65" s="15">
        <f t="shared" si="145"/>
        <v>0</v>
      </c>
      <c r="BS65" s="15">
        <f t="shared" si="155"/>
        <v>0</v>
      </c>
      <c r="BT65" s="15">
        <f t="shared" si="165"/>
        <v>0</v>
      </c>
      <c r="BU65" s="15">
        <f t="shared" si="175"/>
        <v>0</v>
      </c>
      <c r="BV65" s="15">
        <f t="shared" si="185"/>
        <v>0</v>
      </c>
      <c r="BW65" s="15">
        <f t="shared" si="195"/>
        <v>0</v>
      </c>
      <c r="BX65" s="15">
        <f t="shared" si="205"/>
        <v>0</v>
      </c>
      <c r="BY65" s="15">
        <f t="shared" si="215"/>
        <v>1</v>
      </c>
      <c r="BZ65" s="15">
        <v>2.26674</v>
      </c>
      <c r="CA65" s="15">
        <f t="shared" si="116"/>
        <v>3.13727</v>
      </c>
      <c r="CB65" s="15">
        <f t="shared" si="126"/>
        <v>5.16</v>
      </c>
      <c r="CC65" s="15">
        <f t="shared" si="136"/>
        <v>6.9294399999999996</v>
      </c>
      <c r="CD65" s="15">
        <f t="shared" si="146"/>
        <v>4.7220000000000004</v>
      </c>
      <c r="CE65" s="15">
        <f t="shared" si="156"/>
        <v>4.2527299999999997</v>
      </c>
      <c r="CF65" s="15">
        <f t="shared" si="166"/>
        <v>3.16</v>
      </c>
      <c r="CG65" s="15">
        <f t="shared" si="176"/>
        <v>4.25</v>
      </c>
      <c r="CH65" s="15">
        <f t="shared" si="186"/>
        <v>2.8491900000000001</v>
      </c>
      <c r="CI65" s="15">
        <f t="shared" si="196"/>
        <v>4.2705900000000003</v>
      </c>
      <c r="CJ65" s="15">
        <f t="shared" si="206"/>
        <v>3.6406200000000002</v>
      </c>
      <c r="CK65" s="15">
        <f t="shared" si="216"/>
        <v>2.4741200000000001</v>
      </c>
      <c r="CL65" s="15">
        <v>0</v>
      </c>
      <c r="CM65" s="15">
        <f t="shared" si="117"/>
        <v>0</v>
      </c>
      <c r="CN65" s="15">
        <f t="shared" si="127"/>
        <v>0</v>
      </c>
      <c r="CO65" s="15">
        <f t="shared" si="137"/>
        <v>0</v>
      </c>
      <c r="CP65" s="15">
        <f t="shared" si="147"/>
        <v>0</v>
      </c>
      <c r="CQ65" s="15">
        <f t="shared" si="157"/>
        <v>0</v>
      </c>
      <c r="CR65" s="15">
        <f t="shared" si="167"/>
        <v>0</v>
      </c>
      <c r="CS65" s="15">
        <f t="shared" si="177"/>
        <v>0</v>
      </c>
      <c r="CT65" s="15">
        <f t="shared" si="187"/>
        <v>0</v>
      </c>
      <c r="CU65" s="15">
        <f t="shared" si="197"/>
        <v>0</v>
      </c>
      <c r="CV65" s="15">
        <f t="shared" si="207"/>
        <v>0</v>
      </c>
      <c r="CW65" s="15">
        <f t="shared" si="217"/>
        <v>0</v>
      </c>
      <c r="CX65" s="15">
        <v>66.194800000000001</v>
      </c>
      <c r="CY65" s="15">
        <f t="shared" si="118"/>
        <v>72.320400000000006</v>
      </c>
      <c r="CZ65" s="15">
        <f t="shared" si="128"/>
        <v>79.0321</v>
      </c>
      <c r="DA65" s="15">
        <f t="shared" si="138"/>
        <v>81.788200000000003</v>
      </c>
      <c r="DB65" s="15">
        <f t="shared" si="148"/>
        <v>78.042900000000003</v>
      </c>
      <c r="DC65" s="15">
        <f t="shared" si="158"/>
        <v>76.767700000000005</v>
      </c>
      <c r="DD65" s="15">
        <f t="shared" si="168"/>
        <v>72.439700000000002</v>
      </c>
      <c r="DE65" s="15">
        <f t="shared" si="178"/>
        <v>76.759500000000003</v>
      </c>
      <c r="DF65" s="15">
        <f t="shared" si="188"/>
        <v>70.6601</v>
      </c>
      <c r="DG65" s="15">
        <f t="shared" si="198"/>
        <v>76.821100000000001</v>
      </c>
      <c r="DH65" s="15">
        <f t="shared" si="208"/>
        <v>74.640900000000002</v>
      </c>
      <c r="DI65" s="15">
        <f t="shared" si="218"/>
        <v>67.992199999999997</v>
      </c>
      <c r="DJ65" s="15" t="s">
        <v>23</v>
      </c>
      <c r="DK65" s="15" t="str">
        <f t="shared" si="119"/>
        <v>LH</v>
      </c>
      <c r="DL65" s="15" t="str">
        <f t="shared" si="129"/>
        <v>LH</v>
      </c>
      <c r="DM65" s="15" t="str">
        <f t="shared" si="139"/>
        <v>HH</v>
      </c>
      <c r="DN65" s="15" t="str">
        <f t="shared" si="149"/>
        <v>HH</v>
      </c>
      <c r="DO65" s="15" t="str">
        <f t="shared" si="159"/>
        <v>LH</v>
      </c>
      <c r="DP65" s="15" t="str">
        <f t="shared" si="169"/>
        <v>LH</v>
      </c>
      <c r="DQ65" s="15" t="str">
        <f t="shared" si="179"/>
        <v>LH</v>
      </c>
      <c r="DR65" s="15" t="str">
        <f t="shared" si="189"/>
        <v>HH</v>
      </c>
      <c r="DS65" s="15" t="str">
        <f t="shared" si="199"/>
        <v>LH</v>
      </c>
      <c r="DT65" s="15" t="str">
        <f t="shared" si="209"/>
        <v>HH</v>
      </c>
      <c r="DU65" s="15" t="str">
        <f t="shared" si="219"/>
        <v>HH</v>
      </c>
      <c r="DV65" s="15">
        <f>IFERROR((G65-$F65)/$F65*100,"")</f>
        <v>-1.4145176038809115</v>
      </c>
      <c r="DW65" s="15">
        <f>IFERROR((H65-$F65)/$F65*100,"")</f>
        <v>0.13351579798080485</v>
      </c>
      <c r="DX65" s="15">
        <f>IFERROR((I65-$F65)/$F65*100,"")</f>
        <v>1.1756055597561221</v>
      </c>
      <c r="DY65" s="15">
        <f>IFERROR((J65-$F65)/$F65*100,"")</f>
        <v>-2.2208197161799879</v>
      </c>
      <c r="DZ65" s="15">
        <f>IFERROR((K65-$F65)/$F65*100,"")</f>
        <v>-2.8671528224739902</v>
      </c>
      <c r="EA65" s="15">
        <f>IFERROR((L65-$F65)/$F65*100,"")</f>
        <v>-2.7715463462287597</v>
      </c>
      <c r="EB65" s="15">
        <f>IFERROR((M65-$F65)/$F65*100,"")</f>
        <v>-2.1475005884276666</v>
      </c>
      <c r="EC65" s="15">
        <f>IFERROR((N65-$F65)/$F65*100,"")</f>
        <v>-1.9675354566719372</v>
      </c>
      <c r="ED65" s="15">
        <f>IFERROR((O65-$F65)/$F65*100,"")</f>
        <v>-2.1200059155205482</v>
      </c>
      <c r="EE65" s="15">
        <f>IFERROR((P65-$F65)/$F65*100,"")</f>
        <v>-9.9980628753277585E-3</v>
      </c>
      <c r="EF65" s="15">
        <f>IFERROR((Q65-$F65)/$F65*100,"")</f>
        <v>-0.16226022874734611</v>
      </c>
      <c r="EG65" s="15" t="str">
        <f>IF(DV65="","",IF(AND(ABS(DV65)&lt;=0.25,$E65="Bottom",DK65="LL"),"EQL",IF(AND(ABS(DV65)&lt;=0.25,$E65="Peak",DK65="HH"),"EQH","")))</f>
        <v/>
      </c>
      <c r="EH65" s="15" t="str">
        <f>IF(DW65="","",IF(AND(ABS(DW65)&lt;=0.25,$E65="Bottom",DL65="LL"),"EQL",IF(AND(ABS(DW65)&lt;=0.25,$E65="Peak",DL65="HH"),"EQH","")))</f>
        <v/>
      </c>
      <c r="EI65" s="15" t="str">
        <f>IF(DX65="","",IF(AND(ABS(DX65)&lt;=0.25,$E65="Bottom",DM65="LL"),"EQL",IF(AND(ABS(DX65)&lt;=0.25,$E65="Peak",DM65="HH"),"EQH","")))</f>
        <v/>
      </c>
      <c r="EJ65" s="15" t="str">
        <f>IF(DY65="","",IF(AND(ABS(DY65)&lt;=0.25,$E65="Bottom",DN65="LL"),"EQL",IF(AND(ABS(DY65)&lt;=0.25,$E65="Peak",DN65="HH"),"EQH","")))</f>
        <v/>
      </c>
      <c r="EK65" s="15" t="str">
        <f>IF(DZ65="","",IF(AND(ABS(DZ65)&lt;=0.25,$E65="Bottom",DO65="LL"),"EQL",IF(AND(ABS(DZ65)&lt;=0.25,$E65="Peak",DO65="HH"),"EQH","")))</f>
        <v/>
      </c>
      <c r="EL65" s="15" t="str">
        <f>IF(EA65="","",IF(AND(ABS(EA65)&lt;=0.25,$E65="Bottom",DP65="LL"),"EQL",IF(AND(ABS(EA65)&lt;=0.25,$E65="Peak",DP65="HH"),"EQH","")))</f>
        <v/>
      </c>
      <c r="EM65" s="15" t="str">
        <f>IF(EB65="","",IF(AND(ABS(EB65)&lt;=0.25,$E65="Bottom",DQ65="LL"),"EQL",IF(AND(ABS(EB65)&lt;=0.25,$E65="Peak",DQ65="HH"),"EQH","")))</f>
        <v/>
      </c>
      <c r="EN65" s="15" t="str">
        <f>IF(EC65="","",IF(AND(ABS(EC65)&lt;=0.25,$E65="Bottom",DR65="LL"),"EQL",IF(AND(ABS(EC65)&lt;=0.25,$E65="Peak",DR65="HH"),"EQH","")))</f>
        <v/>
      </c>
      <c r="EO65" s="15" t="str">
        <f>IF(ED65="","",IF(AND(ABS(ED65)&lt;=0.25,$E65="Bottom",DS65="LL"),"EQL",IF(AND(ABS(ED65)&lt;=0.25,$E65="Peak",DS65="HH"),"EQH","")))</f>
        <v/>
      </c>
      <c r="EP65" s="15" t="str">
        <f>IF(EE65="","",IF(AND(ABS(EE65)&lt;=0.25,$E65="Bottom",DT65="LL"),"EQL",IF(AND(ABS(EE65)&lt;=0.25,$E65="Peak",DT65="HH"),"EQH","")))</f>
        <v>EQH</v>
      </c>
      <c r="EQ65" s="15" t="str">
        <f>IF(EF65="","",IF(AND(ABS(EF65)&lt;=0.25,$E65="Bottom",DU65="LL"),"EQL",IF(AND(ABS(EF65)&lt;=0.25,$E65="Peak",DU65="HH"),"EQH","")))</f>
        <v>EQH</v>
      </c>
      <c r="ER65" s="15" t="str">
        <f>IF(OR(EG65="EQL",EG65="EQH"),F65,"")</f>
        <v/>
      </c>
      <c r="ES65" s="15" t="str">
        <f>IF(OR(EH65="EQL",EH65="EQH"),G65,"")</f>
        <v/>
      </c>
      <c r="ET65" s="15" t="str">
        <f>IF(OR(EI65="EQL",EI65="EQH"),H65,"")</f>
        <v/>
      </c>
      <c r="EU65" s="15" t="str">
        <f>IF(OR(EJ65="EQL",EJ65="EQH"),I65,"")</f>
        <v/>
      </c>
      <c r="EV65" s="15" t="str">
        <f>IF(OR(EK65="EQL",EK65="EQH"),J65,"")</f>
        <v/>
      </c>
      <c r="EW65" s="15" t="str">
        <f>IF(OR(EL65="EQL",EL65="EQH"),K65,"")</f>
        <v/>
      </c>
      <c r="EX65" s="15" t="str">
        <f>IF(OR(EM65="EQL",EM65="EQH"),L65,"")</f>
        <v/>
      </c>
      <c r="EY65" s="15" t="str">
        <f>IF(OR(EN65="EQL",EN65="EQH"),M65,"")</f>
        <v/>
      </c>
      <c r="EZ65" s="15" t="str">
        <f>IF(OR(EO65="EQL",EO65="EQH"),N65,"")</f>
        <v/>
      </c>
      <c r="FA65" s="15">
        <f>IF(OR(EP65="EQL",EP65="EQH"),O65,"")</f>
        <v>4699.1499999999996</v>
      </c>
      <c r="FB65" s="15">
        <f>IF(OR(EQ65="EQL",EQ65="EQH"),P65,"")</f>
        <v>4800.45</v>
      </c>
      <c r="FC65" s="15" t="str">
        <f>IF(AND(EG65="EQL",OR(AQ65=4,AQ65=5)),"IEQL",IF(AND(EG65="EQH",OR(AQ65=1,AQ65=2)),"IEQH",""))</f>
        <v/>
      </c>
      <c r="FD65" s="15" t="str">
        <f>IF(AND(EH65="EQL",OR(AR65=4,AR65=5)),"IEQL",IF(AND(EH65="EQH",OR(AR65=1,AR65=2)),"IEQH",""))</f>
        <v/>
      </c>
      <c r="FE65" s="15" t="str">
        <f>IF(AND(EI65="EQL",OR(AS65=4,AS65=5)),"IEQL",IF(AND(EI65="EQH",OR(AS65=1,AS65=2)),"IEQH",""))</f>
        <v/>
      </c>
      <c r="FF65" s="15" t="str">
        <f>IF(AND(EJ65="EQL",OR(AT65=4,AT65=5)),"IEQL",IF(AND(EJ65="EQH",OR(AT65=1,AT65=2)),"IEQH",""))</f>
        <v/>
      </c>
      <c r="FG65" s="15" t="str">
        <f>IF(AND(EK65="EQL",OR(AU65=4,AU65=5)),"IEQL",IF(AND(EK65="EQH",OR(AU65=1,AU65=2)),"IEQH",""))</f>
        <v/>
      </c>
      <c r="FH65" s="15" t="str">
        <f>IF(AND(EL65="EQL",OR(AV65=4,AV65=5)),"IEQL",IF(AND(EL65="EQH",OR(AV65=1,AV65=2)),"IEQH",""))</f>
        <v/>
      </c>
      <c r="FI65" s="15" t="str">
        <f>IF(AND(EM65="EQL",OR(AW65=4,AW65=5)),"IEQL",IF(AND(EM65="EQH",OR(AW65=1,AW65=2)),"IEQH",""))</f>
        <v/>
      </c>
      <c r="FJ65" s="15" t="str">
        <f>IF(AND(EN65="EQL",OR(AX65=4,AX65=5)),"IEQL",IF(AND(EN65="EQH",OR(AX65=1,AX65=2)),"IEQH",""))</f>
        <v/>
      </c>
      <c r="FK65" s="15" t="str">
        <f>IF(AND(EO65="EQL",OR(AY65=4,AY65=5)),"IEQL",IF(AND(EO65="EQH",OR(AY65=1,AY65=2)),"IEQH",""))</f>
        <v/>
      </c>
      <c r="FL65" s="15" t="str">
        <f>IF(AND(EP65="EQL",OR(AZ65=4,AZ65=5)),"IEQL",IF(AND(EP65="EQH",OR(AZ65=1,AZ65=2)),"IEQH",""))</f>
        <v/>
      </c>
      <c r="FM65" s="15" t="str">
        <f>IF(AND(EQ65="EQL",OR(BA65=4,BA65=5)),"IEQL",IF(AND(EQ65="EQH",OR(BA65=1,BA65=2)),"IEQH",""))</f>
        <v/>
      </c>
      <c r="FN65" s="15" t="str">
        <f>IF(OR(AND(DJ65="LL",AP65=5),AND(DJ65="HH",AP65=2)),F65,"")</f>
        <v/>
      </c>
      <c r="FO65" s="15" t="str">
        <f>IF(FN65&lt;&gt;"",F64,"")</f>
        <v/>
      </c>
    </row>
    <row r="66" spans="1:171" s="15" customFormat="1" x14ac:dyDescent="0.55000000000000004">
      <c r="A66" s="15">
        <v>1775779206</v>
      </c>
      <c r="B66" s="15" t="s">
        <v>16</v>
      </c>
      <c r="C66" s="15" t="s">
        <v>17</v>
      </c>
      <c r="D66" s="15">
        <v>4754.03</v>
      </c>
      <c r="E66" s="15" t="s">
        <v>18</v>
      </c>
      <c r="F66" s="15">
        <v>4750.74</v>
      </c>
      <c r="G66" s="15">
        <f t="shared" si="110"/>
        <v>4703.46</v>
      </c>
      <c r="H66" s="15">
        <f t="shared" si="120"/>
        <v>4698.51</v>
      </c>
      <c r="I66" s="15">
        <f t="shared" si="130"/>
        <v>4771.22</v>
      </c>
      <c r="J66" s="15">
        <f t="shared" si="140"/>
        <v>4607.91</v>
      </c>
      <c r="K66" s="15">
        <f t="shared" si="150"/>
        <v>4623.4799999999996</v>
      </c>
      <c r="L66" s="15">
        <f t="shared" si="160"/>
        <v>4616.5</v>
      </c>
      <c r="M66" s="15">
        <f t="shared" si="170"/>
        <v>4645.75</v>
      </c>
      <c r="N66" s="15">
        <f t="shared" si="180"/>
        <v>4659.58</v>
      </c>
      <c r="O66" s="15">
        <f t="shared" si="190"/>
        <v>4601.05</v>
      </c>
      <c r="P66" s="15">
        <f t="shared" si="200"/>
        <v>4553.95</v>
      </c>
      <c r="Q66" s="15">
        <f t="shared" si="210"/>
        <v>4742.2</v>
      </c>
      <c r="R66" s="15">
        <v>-50.19</v>
      </c>
      <c r="S66" s="15">
        <f t="shared" si="111"/>
        <v>-29.56</v>
      </c>
      <c r="T66" s="15">
        <f t="shared" si="121"/>
        <v>-108.83</v>
      </c>
      <c r="U66" s="15">
        <f t="shared" si="131"/>
        <v>-86.15</v>
      </c>
      <c r="V66" s="15">
        <f t="shared" si="141"/>
        <v>-86.4</v>
      </c>
      <c r="W66" s="15">
        <f t="shared" si="151"/>
        <v>-39.799999999999997</v>
      </c>
      <c r="X66" s="15">
        <f t="shared" si="161"/>
        <v>-51.37</v>
      </c>
      <c r="Y66" s="15">
        <f t="shared" si="171"/>
        <v>-52.08</v>
      </c>
      <c r="Z66" s="15">
        <f t="shared" si="181"/>
        <v>-46.89</v>
      </c>
      <c r="AA66" s="15">
        <f t="shared" si="191"/>
        <v>-98.1</v>
      </c>
      <c r="AB66" s="15">
        <f t="shared" si="201"/>
        <v>-246.5</v>
      </c>
      <c r="AC66" s="15">
        <f t="shared" si="211"/>
        <v>-50.94</v>
      </c>
      <c r="AD66" s="15">
        <v>-1.05</v>
      </c>
      <c r="AE66" s="15">
        <f t="shared" si="112"/>
        <v>-0.62</v>
      </c>
      <c r="AF66" s="15">
        <f t="shared" si="122"/>
        <v>-2.2599999999999998</v>
      </c>
      <c r="AG66" s="15">
        <f t="shared" si="132"/>
        <v>-1.77</v>
      </c>
      <c r="AH66" s="15">
        <f t="shared" si="142"/>
        <v>-1.84</v>
      </c>
      <c r="AI66" s="15">
        <f t="shared" si="152"/>
        <v>-0.85</v>
      </c>
      <c r="AJ66" s="15">
        <f t="shared" si="162"/>
        <v>-1.1000000000000001</v>
      </c>
      <c r="AK66" s="15">
        <f t="shared" si="172"/>
        <v>-1.1100000000000001</v>
      </c>
      <c r="AL66" s="15">
        <f t="shared" si="182"/>
        <v>-1</v>
      </c>
      <c r="AM66" s="15">
        <f t="shared" si="192"/>
        <v>-2.09</v>
      </c>
      <c r="AN66" s="15">
        <f t="shared" si="202"/>
        <v>-5.13</v>
      </c>
      <c r="AO66" s="15">
        <f t="shared" si="212"/>
        <v>-1.06</v>
      </c>
      <c r="AP66" s="15">
        <v>3</v>
      </c>
      <c r="AQ66" s="15">
        <f t="shared" si="113"/>
        <v>3</v>
      </c>
      <c r="AR66" s="15">
        <f t="shared" si="123"/>
        <v>3</v>
      </c>
      <c r="AS66" s="15">
        <f t="shared" si="133"/>
        <v>3</v>
      </c>
      <c r="AT66" s="15">
        <f t="shared" si="143"/>
        <v>3</v>
      </c>
      <c r="AU66" s="15">
        <f t="shared" si="153"/>
        <v>3</v>
      </c>
      <c r="AV66" s="15">
        <f t="shared" si="163"/>
        <v>3</v>
      </c>
      <c r="AW66" s="15">
        <f t="shared" si="173"/>
        <v>3</v>
      </c>
      <c r="AX66" s="15">
        <f t="shared" si="183"/>
        <v>3</v>
      </c>
      <c r="AY66" s="15">
        <f t="shared" si="193"/>
        <v>3</v>
      </c>
      <c r="AZ66" s="15">
        <f t="shared" si="203"/>
        <v>3</v>
      </c>
      <c r="BA66" s="15">
        <f t="shared" si="213"/>
        <v>3</v>
      </c>
      <c r="BB66" s="15">
        <v>22</v>
      </c>
      <c r="BC66" s="15">
        <f t="shared" si="114"/>
        <v>16</v>
      </c>
      <c r="BD66" s="15">
        <f t="shared" si="124"/>
        <v>44</v>
      </c>
      <c r="BE66" s="15">
        <f t="shared" si="134"/>
        <v>41</v>
      </c>
      <c r="BF66" s="15">
        <f t="shared" si="144"/>
        <v>19</v>
      </c>
      <c r="BG66" s="15">
        <f t="shared" si="154"/>
        <v>4</v>
      </c>
      <c r="BH66" s="15">
        <f t="shared" si="164"/>
        <v>15</v>
      </c>
      <c r="BI66" s="15">
        <f t="shared" si="174"/>
        <v>19</v>
      </c>
      <c r="BJ66" s="15">
        <f t="shared" si="184"/>
        <v>11</v>
      </c>
      <c r="BK66" s="15">
        <f t="shared" si="194"/>
        <v>35</v>
      </c>
      <c r="BL66" s="15">
        <f t="shared" si="204"/>
        <v>26</v>
      </c>
      <c r="BM66" s="15">
        <f t="shared" si="214"/>
        <v>6</v>
      </c>
      <c r="BN66" s="15">
        <v>3</v>
      </c>
      <c r="BO66" s="15">
        <f t="shared" si="115"/>
        <v>3</v>
      </c>
      <c r="BP66" s="15">
        <f t="shared" si="125"/>
        <v>4</v>
      </c>
      <c r="BQ66" s="15">
        <f t="shared" si="135"/>
        <v>4</v>
      </c>
      <c r="BR66" s="15">
        <f t="shared" si="145"/>
        <v>3</v>
      </c>
      <c r="BS66" s="15">
        <f t="shared" si="155"/>
        <v>3</v>
      </c>
      <c r="BT66" s="15">
        <f t="shared" si="165"/>
        <v>3</v>
      </c>
      <c r="BU66" s="15">
        <f t="shared" si="175"/>
        <v>3</v>
      </c>
      <c r="BV66" s="15">
        <f t="shared" si="185"/>
        <v>3</v>
      </c>
      <c r="BW66" s="15">
        <f t="shared" si="195"/>
        <v>3</v>
      </c>
      <c r="BX66" s="15">
        <f t="shared" si="205"/>
        <v>3</v>
      </c>
      <c r="BY66" s="15">
        <f t="shared" si="215"/>
        <v>3</v>
      </c>
      <c r="BZ66" s="15">
        <v>-2.2813599999999998</v>
      </c>
      <c r="CA66" s="15">
        <f t="shared" si="116"/>
        <v>-1.8474999999999999</v>
      </c>
      <c r="CB66" s="15">
        <f t="shared" si="126"/>
        <v>-2.4734099999999999</v>
      </c>
      <c r="CC66" s="15">
        <f t="shared" si="136"/>
        <v>-2.1012200000000001</v>
      </c>
      <c r="CD66" s="15">
        <f t="shared" si="146"/>
        <v>-4.5473699999999999</v>
      </c>
      <c r="CE66" s="15">
        <f t="shared" si="156"/>
        <v>-9.9499999999999993</v>
      </c>
      <c r="CF66" s="15">
        <f t="shared" si="166"/>
        <v>-3.4246699999999999</v>
      </c>
      <c r="CG66" s="15">
        <f t="shared" si="176"/>
        <v>-2.74105</v>
      </c>
      <c r="CH66" s="15">
        <f t="shared" si="186"/>
        <v>-4.2627300000000004</v>
      </c>
      <c r="CI66" s="15">
        <f t="shared" si="196"/>
        <v>-2.8028599999999999</v>
      </c>
      <c r="CJ66" s="15">
        <f t="shared" si="206"/>
        <v>-9.4807699999999997</v>
      </c>
      <c r="CK66" s="15">
        <f t="shared" si="216"/>
        <v>-8.49</v>
      </c>
      <c r="CL66" s="15">
        <v>3</v>
      </c>
      <c r="CM66" s="15">
        <f t="shared" si="117"/>
        <v>3</v>
      </c>
      <c r="CN66" s="15">
        <f t="shared" si="127"/>
        <v>3</v>
      </c>
      <c r="CO66" s="15">
        <f t="shared" si="137"/>
        <v>3</v>
      </c>
      <c r="CP66" s="15">
        <f t="shared" si="147"/>
        <v>3</v>
      </c>
      <c r="CQ66" s="15">
        <f t="shared" si="157"/>
        <v>3</v>
      </c>
      <c r="CR66" s="15">
        <f t="shared" si="167"/>
        <v>3</v>
      </c>
      <c r="CS66" s="15">
        <f t="shared" si="177"/>
        <v>3</v>
      </c>
      <c r="CT66" s="15">
        <f t="shared" si="187"/>
        <v>3</v>
      </c>
      <c r="CU66" s="15">
        <f t="shared" si="197"/>
        <v>3</v>
      </c>
      <c r="CV66" s="15">
        <f t="shared" si="207"/>
        <v>3</v>
      </c>
      <c r="CW66" s="15">
        <f t="shared" si="217"/>
        <v>3</v>
      </c>
      <c r="CX66" s="15">
        <v>-66.330500000000001</v>
      </c>
      <c r="CY66" s="15">
        <f t="shared" si="118"/>
        <v>-61.574599999999997</v>
      </c>
      <c r="CZ66" s="15">
        <f t="shared" si="128"/>
        <v>-67.986500000000007</v>
      </c>
      <c r="DA66" s="15">
        <f t="shared" si="138"/>
        <v>-64.549599999999998</v>
      </c>
      <c r="DB66" s="15">
        <f t="shared" si="148"/>
        <v>-77.5976</v>
      </c>
      <c r="DC66" s="15">
        <f t="shared" si="158"/>
        <v>-84.260900000000007</v>
      </c>
      <c r="DD66" s="15">
        <f t="shared" si="168"/>
        <v>-73.722200000000001</v>
      </c>
      <c r="DE66" s="15">
        <f t="shared" si="178"/>
        <v>-69.956800000000001</v>
      </c>
      <c r="DF66" s="15">
        <f t="shared" si="188"/>
        <v>-76.797600000000003</v>
      </c>
      <c r="DG66" s="15">
        <f t="shared" si="198"/>
        <v>-70.364699999999999</v>
      </c>
      <c r="DH66" s="15">
        <f t="shared" si="208"/>
        <v>-83.978899999999996</v>
      </c>
      <c r="DI66" s="15">
        <f t="shared" si="218"/>
        <v>-83.282300000000006</v>
      </c>
      <c r="DJ66" s="15" t="s">
        <v>22</v>
      </c>
      <c r="DK66" s="15" t="str">
        <f t="shared" si="119"/>
        <v>HL</v>
      </c>
      <c r="DL66" s="15" t="str">
        <f t="shared" si="129"/>
        <v>LL</v>
      </c>
      <c r="DM66" s="15" t="str">
        <f t="shared" si="139"/>
        <v>HL</v>
      </c>
      <c r="DN66" s="15" t="str">
        <f t="shared" si="149"/>
        <v>LL</v>
      </c>
      <c r="DO66" s="15" t="str">
        <f t="shared" si="159"/>
        <v>HL</v>
      </c>
      <c r="DP66" s="15" t="str">
        <f t="shared" si="169"/>
        <v>LL</v>
      </c>
      <c r="DQ66" s="15" t="str">
        <f t="shared" si="179"/>
        <v>LL</v>
      </c>
      <c r="DR66" s="15" t="str">
        <f t="shared" si="189"/>
        <v>HL</v>
      </c>
      <c r="DS66" s="15" t="str">
        <f t="shared" si="199"/>
        <v>HL</v>
      </c>
      <c r="DT66" s="15" t="str">
        <f t="shared" si="209"/>
        <v>LL</v>
      </c>
      <c r="DU66" s="15" t="str">
        <f t="shared" si="219"/>
        <v>HL</v>
      </c>
      <c r="DV66" s="15">
        <f>IFERROR((G66-$F66)/$F66*100,"")</f>
        <v>-0.99521337728437564</v>
      </c>
      <c r="DW66" s="15">
        <f>IFERROR((H66-$F66)/$F66*100,"")</f>
        <v>-1.0994076712259473</v>
      </c>
      <c r="DX66" s="15">
        <f>IFERROR((I66-$F66)/$F66*100,"")</f>
        <v>0.43109073533808362</v>
      </c>
      <c r="DY66" s="15">
        <f>IFERROR((J66-$F66)/$F66*100,"")</f>
        <v>-3.0064789906414568</v>
      </c>
      <c r="DZ66" s="15">
        <f>IFERROR((K66-$F66)/$F66*100,"")</f>
        <v>-2.6787405751525073</v>
      </c>
      <c r="EA66" s="15">
        <f>IFERROR((L66-$F66)/$F66*100,"")</f>
        <v>-2.8256650542862753</v>
      </c>
      <c r="EB66" s="15">
        <f>IFERROR((M66-$F66)/$F66*100,"")</f>
        <v>-2.2099714991769659</v>
      </c>
      <c r="EC66" s="15">
        <f>IFERROR((N66-$F66)/$F66*100,"")</f>
        <v>-1.9188589567098993</v>
      </c>
      <c r="ED66" s="15">
        <f>IFERROR((O66-$F66)/$F66*100,"")</f>
        <v>-3.1508775474978554</v>
      </c>
      <c r="EE66" s="15">
        <f>IFERROR((P66-$F66)/$F66*100,"")</f>
        <v>-4.1423020413661868</v>
      </c>
      <c r="EF66" s="15">
        <f>IFERROR((Q66-$F66)/$F66*100,"")</f>
        <v>-0.17976146873960611</v>
      </c>
      <c r="EG66" s="15" t="str">
        <f>IF(DV66="","",IF(AND(ABS(DV66)&lt;=0.25,$E66="Bottom",DK66="LL"),"EQL",IF(AND(ABS(DV66)&lt;=0.25,$E66="Peak",DK66="HH"),"EQH","")))</f>
        <v/>
      </c>
      <c r="EH66" s="15" t="str">
        <f>IF(DW66="","",IF(AND(ABS(DW66)&lt;=0.25,$E66="Bottom",DL66="LL"),"EQL",IF(AND(ABS(DW66)&lt;=0.25,$E66="Peak",DL66="HH"),"EQH","")))</f>
        <v/>
      </c>
      <c r="EI66" s="15" t="str">
        <f>IF(DX66="","",IF(AND(ABS(DX66)&lt;=0.25,$E66="Bottom",DM66="LL"),"EQL",IF(AND(ABS(DX66)&lt;=0.25,$E66="Peak",DM66="HH"),"EQH","")))</f>
        <v/>
      </c>
      <c r="EJ66" s="15" t="str">
        <f>IF(DY66="","",IF(AND(ABS(DY66)&lt;=0.25,$E66="Bottom",DN66="LL"),"EQL",IF(AND(ABS(DY66)&lt;=0.25,$E66="Peak",DN66="HH"),"EQH","")))</f>
        <v/>
      </c>
      <c r="EK66" s="15" t="str">
        <f>IF(DZ66="","",IF(AND(ABS(DZ66)&lt;=0.25,$E66="Bottom",DO66="LL"),"EQL",IF(AND(ABS(DZ66)&lt;=0.25,$E66="Peak",DO66="HH"),"EQH","")))</f>
        <v/>
      </c>
      <c r="EL66" s="15" t="str">
        <f>IF(EA66="","",IF(AND(ABS(EA66)&lt;=0.25,$E66="Bottom",DP66="LL"),"EQL",IF(AND(ABS(EA66)&lt;=0.25,$E66="Peak",DP66="HH"),"EQH","")))</f>
        <v/>
      </c>
      <c r="EM66" s="15" t="str">
        <f>IF(EB66="","",IF(AND(ABS(EB66)&lt;=0.25,$E66="Bottom",DQ66="LL"),"EQL",IF(AND(ABS(EB66)&lt;=0.25,$E66="Peak",DQ66="HH"),"EQH","")))</f>
        <v/>
      </c>
      <c r="EN66" s="15" t="str">
        <f>IF(EC66="","",IF(AND(ABS(EC66)&lt;=0.25,$E66="Bottom",DR66="LL"),"EQL",IF(AND(ABS(EC66)&lt;=0.25,$E66="Peak",DR66="HH"),"EQH","")))</f>
        <v/>
      </c>
      <c r="EO66" s="15" t="str">
        <f>IF(ED66="","",IF(AND(ABS(ED66)&lt;=0.25,$E66="Bottom",DS66="LL"),"EQL",IF(AND(ABS(ED66)&lt;=0.25,$E66="Peak",DS66="HH"),"EQH","")))</f>
        <v/>
      </c>
      <c r="EP66" s="15" t="str">
        <f>IF(EE66="","",IF(AND(ABS(EE66)&lt;=0.25,$E66="Bottom",DT66="LL"),"EQL",IF(AND(ABS(EE66)&lt;=0.25,$E66="Peak",DT66="HH"),"EQH","")))</f>
        <v/>
      </c>
      <c r="EQ66" s="15" t="str">
        <f>IF(EF66="","",IF(AND(ABS(EF66)&lt;=0.25,$E66="Bottom",DU66="LL"),"EQL",IF(AND(ABS(EF66)&lt;=0.25,$E66="Peak",DU66="HH"),"EQH","")))</f>
        <v/>
      </c>
      <c r="ER66" s="15" t="str">
        <f>IF(OR(EG66="EQL",EG66="EQH"),F66,"")</f>
        <v/>
      </c>
      <c r="ES66" s="15" t="str">
        <f>IF(OR(EH66="EQL",EH66="EQH"),G66,"")</f>
        <v/>
      </c>
      <c r="ET66" s="15" t="str">
        <f>IF(OR(EI66="EQL",EI66="EQH"),H66,"")</f>
        <v/>
      </c>
      <c r="EU66" s="15" t="str">
        <f>IF(OR(EJ66="EQL",EJ66="EQH"),I66,"")</f>
        <v/>
      </c>
      <c r="EV66" s="15" t="str">
        <f>IF(OR(EK66="EQL",EK66="EQH"),J66,"")</f>
        <v/>
      </c>
      <c r="EW66" s="15" t="str">
        <f>IF(OR(EL66="EQL",EL66="EQH"),K66,"")</f>
        <v/>
      </c>
      <c r="EX66" s="15" t="str">
        <f>IF(OR(EM66="EQL",EM66="EQH"),L66,"")</f>
        <v/>
      </c>
      <c r="EY66" s="15" t="str">
        <f>IF(OR(EN66="EQL",EN66="EQH"),M66,"")</f>
        <v/>
      </c>
      <c r="EZ66" s="15" t="str">
        <f>IF(OR(EO66="EQL",EO66="EQH"),N66,"")</f>
        <v/>
      </c>
      <c r="FA66" s="15" t="str">
        <f>IF(OR(EP66="EQL",EP66="EQH"),O66,"")</f>
        <v/>
      </c>
      <c r="FB66" s="15" t="str">
        <f>IF(OR(EQ66="EQL",EQ66="EQH"),P66,"")</f>
        <v/>
      </c>
      <c r="FC66" s="15" t="str">
        <f>IF(AND(EG66="EQL",OR(AQ66=4,AQ66=5)),"IEQL",IF(AND(EG66="EQH",OR(AQ66=1,AQ66=2)),"IEQH",""))</f>
        <v/>
      </c>
      <c r="FD66" s="15" t="str">
        <f>IF(AND(EH66="EQL",OR(AR66=4,AR66=5)),"IEQL",IF(AND(EH66="EQH",OR(AR66=1,AR66=2)),"IEQH",""))</f>
        <v/>
      </c>
      <c r="FE66" s="15" t="str">
        <f>IF(AND(EI66="EQL",OR(AS66=4,AS66=5)),"IEQL",IF(AND(EI66="EQH",OR(AS66=1,AS66=2)),"IEQH",""))</f>
        <v/>
      </c>
      <c r="FF66" s="15" t="str">
        <f>IF(AND(EJ66="EQL",OR(AT66=4,AT66=5)),"IEQL",IF(AND(EJ66="EQH",OR(AT66=1,AT66=2)),"IEQH",""))</f>
        <v/>
      </c>
      <c r="FG66" s="15" t="str">
        <f>IF(AND(EK66="EQL",OR(AU66=4,AU66=5)),"IEQL",IF(AND(EK66="EQH",OR(AU66=1,AU66=2)),"IEQH",""))</f>
        <v/>
      </c>
      <c r="FH66" s="15" t="str">
        <f>IF(AND(EL66="EQL",OR(AV66=4,AV66=5)),"IEQL",IF(AND(EL66="EQH",OR(AV66=1,AV66=2)),"IEQH",""))</f>
        <v/>
      </c>
      <c r="FI66" s="15" t="str">
        <f>IF(AND(EM66="EQL",OR(AW66=4,AW66=5)),"IEQL",IF(AND(EM66="EQH",OR(AW66=1,AW66=2)),"IEQH",""))</f>
        <v/>
      </c>
      <c r="FJ66" s="15" t="str">
        <f>IF(AND(EN66="EQL",OR(AX66=4,AX66=5)),"IEQL",IF(AND(EN66="EQH",OR(AX66=1,AX66=2)),"IEQH",""))</f>
        <v/>
      </c>
      <c r="FK66" s="15" t="str">
        <f>IF(AND(EO66="EQL",OR(AY66=4,AY66=5)),"IEQL",IF(AND(EO66="EQH",OR(AY66=1,AY66=2)),"IEQH",""))</f>
        <v/>
      </c>
      <c r="FL66" s="15" t="str">
        <f>IF(AND(EP66="EQL",OR(AZ66=4,AZ66=5)),"IEQL",IF(AND(EP66="EQH",OR(AZ66=1,AZ66=2)),"IEQH",""))</f>
        <v/>
      </c>
      <c r="FM66" s="15" t="str">
        <f>IF(AND(EQ66="EQL",OR(BA66=4,BA66=5)),"IEQL",IF(AND(EQ66="EQH",OR(BA66=1,BA66=2)),"IEQH",""))</f>
        <v/>
      </c>
      <c r="FN66" s="15" t="str">
        <f>IF(OR(AND(DJ66="LL",AP66=5),AND(DJ66="HH",AP66=2)),F66,"")</f>
        <v/>
      </c>
      <c r="FO66" s="15" t="str">
        <f>IF(FN66&lt;&gt;"",F65,"")</f>
        <v/>
      </c>
    </row>
    <row r="67" spans="1:171" s="15" customFormat="1" x14ac:dyDescent="0.55000000000000004">
      <c r="A67" s="15">
        <v>1775784606</v>
      </c>
      <c r="B67" s="15" t="s">
        <v>16</v>
      </c>
      <c r="C67" s="15" t="s">
        <v>17</v>
      </c>
      <c r="D67" s="15">
        <v>4771.97</v>
      </c>
      <c r="E67" s="15" t="s">
        <v>20</v>
      </c>
      <c r="F67" s="15">
        <v>4777.3100000000004</v>
      </c>
      <c r="G67" s="15">
        <f t="shared" si="110"/>
        <v>4800.93</v>
      </c>
      <c r="H67" s="15">
        <f t="shared" si="120"/>
        <v>4733.0200000000004</v>
      </c>
      <c r="I67" s="15">
        <f t="shared" si="130"/>
        <v>4807.34</v>
      </c>
      <c r="J67" s="15">
        <f t="shared" si="140"/>
        <v>4857.37</v>
      </c>
      <c r="K67" s="15">
        <f t="shared" si="150"/>
        <v>4694.3100000000004</v>
      </c>
      <c r="L67" s="15">
        <f t="shared" si="160"/>
        <v>4663.28</v>
      </c>
      <c r="M67" s="15">
        <f t="shared" si="170"/>
        <v>4667.87</v>
      </c>
      <c r="N67" s="15">
        <f t="shared" si="180"/>
        <v>4697.83</v>
      </c>
      <c r="O67" s="15">
        <f t="shared" si="190"/>
        <v>4706.47</v>
      </c>
      <c r="P67" s="15">
        <f t="shared" si="200"/>
        <v>4699.1499999999996</v>
      </c>
      <c r="Q67" s="15">
        <f t="shared" si="210"/>
        <v>4800.45</v>
      </c>
      <c r="R67" s="15">
        <v>26.57</v>
      </c>
      <c r="S67" s="15">
        <f t="shared" si="111"/>
        <v>97.47</v>
      </c>
      <c r="T67" s="15">
        <f t="shared" si="121"/>
        <v>34.51</v>
      </c>
      <c r="U67" s="15">
        <f t="shared" si="131"/>
        <v>36.119999999999997</v>
      </c>
      <c r="V67" s="15">
        <f t="shared" si="141"/>
        <v>249.46</v>
      </c>
      <c r="W67" s="15">
        <f t="shared" si="151"/>
        <v>70.83</v>
      </c>
      <c r="X67" s="15">
        <f t="shared" si="161"/>
        <v>46.78</v>
      </c>
      <c r="Y67" s="15">
        <f t="shared" si="171"/>
        <v>22.12</v>
      </c>
      <c r="Z67" s="15">
        <f t="shared" si="181"/>
        <v>38.25</v>
      </c>
      <c r="AA67" s="15">
        <f t="shared" si="191"/>
        <v>105.42</v>
      </c>
      <c r="AB67" s="15">
        <f t="shared" si="201"/>
        <v>145.19999999999999</v>
      </c>
      <c r="AC67" s="15">
        <f t="shared" si="211"/>
        <v>58.25</v>
      </c>
      <c r="AD67" s="15">
        <v>0.56000000000000005</v>
      </c>
      <c r="AE67" s="15">
        <f t="shared" si="112"/>
        <v>2.0699999999999998</v>
      </c>
      <c r="AF67" s="15">
        <f t="shared" si="122"/>
        <v>0.73</v>
      </c>
      <c r="AG67" s="15">
        <f t="shared" si="132"/>
        <v>0.76</v>
      </c>
      <c r="AH67" s="15">
        <f t="shared" si="142"/>
        <v>5.41</v>
      </c>
      <c r="AI67" s="15">
        <f t="shared" si="152"/>
        <v>1.53</v>
      </c>
      <c r="AJ67" s="15">
        <f t="shared" si="162"/>
        <v>1.01</v>
      </c>
      <c r="AK67" s="15">
        <f t="shared" si="172"/>
        <v>0.48</v>
      </c>
      <c r="AL67" s="15">
        <f t="shared" si="182"/>
        <v>0.82</v>
      </c>
      <c r="AM67" s="15">
        <f t="shared" si="192"/>
        <v>2.29</v>
      </c>
      <c r="AN67" s="15">
        <f t="shared" si="202"/>
        <v>3.19</v>
      </c>
      <c r="AO67" s="15">
        <f t="shared" si="212"/>
        <v>1.23</v>
      </c>
      <c r="AP67" s="15">
        <v>0</v>
      </c>
      <c r="AQ67" s="15">
        <f t="shared" si="113"/>
        <v>0</v>
      </c>
      <c r="AR67" s="15">
        <f t="shared" si="123"/>
        <v>0</v>
      </c>
      <c r="AS67" s="15">
        <f t="shared" si="133"/>
        <v>0</v>
      </c>
      <c r="AT67" s="15">
        <f t="shared" si="143"/>
        <v>2</v>
      </c>
      <c r="AU67" s="15">
        <f t="shared" si="153"/>
        <v>0</v>
      </c>
      <c r="AV67" s="15">
        <f t="shared" si="163"/>
        <v>0</v>
      </c>
      <c r="AW67" s="15">
        <f t="shared" si="173"/>
        <v>0</v>
      </c>
      <c r="AX67" s="15">
        <f t="shared" si="183"/>
        <v>0</v>
      </c>
      <c r="AY67" s="15">
        <f t="shared" si="193"/>
        <v>0</v>
      </c>
      <c r="AZ67" s="15">
        <f t="shared" si="203"/>
        <v>0</v>
      </c>
      <c r="BA67" s="15">
        <f t="shared" si="213"/>
        <v>0</v>
      </c>
      <c r="BB67" s="15">
        <v>6</v>
      </c>
      <c r="BC67" s="15">
        <f t="shared" si="114"/>
        <v>43</v>
      </c>
      <c r="BD67" s="15">
        <f t="shared" si="124"/>
        <v>11</v>
      </c>
      <c r="BE67" s="15">
        <f t="shared" si="134"/>
        <v>7</v>
      </c>
      <c r="BF67" s="15">
        <f t="shared" si="144"/>
        <v>36</v>
      </c>
      <c r="BG67" s="15">
        <f t="shared" si="154"/>
        <v>15</v>
      </c>
      <c r="BH67" s="15">
        <f t="shared" si="164"/>
        <v>11</v>
      </c>
      <c r="BI67" s="15">
        <f t="shared" si="174"/>
        <v>7</v>
      </c>
      <c r="BJ67" s="15">
        <f t="shared" si="184"/>
        <v>9</v>
      </c>
      <c r="BK67" s="15">
        <f t="shared" si="194"/>
        <v>37</v>
      </c>
      <c r="BL67" s="15">
        <f t="shared" si="204"/>
        <v>34</v>
      </c>
      <c r="BM67" s="15">
        <f t="shared" si="214"/>
        <v>16</v>
      </c>
      <c r="BN67" s="15">
        <v>0</v>
      </c>
      <c r="BO67" s="15">
        <f t="shared" si="115"/>
        <v>1</v>
      </c>
      <c r="BP67" s="15">
        <f t="shared" si="125"/>
        <v>0</v>
      </c>
      <c r="BQ67" s="15">
        <f t="shared" si="135"/>
        <v>0</v>
      </c>
      <c r="BR67" s="15">
        <f t="shared" si="145"/>
        <v>0</v>
      </c>
      <c r="BS67" s="15">
        <f t="shared" si="155"/>
        <v>0</v>
      </c>
      <c r="BT67" s="15">
        <f t="shared" si="165"/>
        <v>0</v>
      </c>
      <c r="BU67" s="15">
        <f t="shared" si="175"/>
        <v>0</v>
      </c>
      <c r="BV67" s="15">
        <f t="shared" si="185"/>
        <v>0</v>
      </c>
      <c r="BW67" s="15">
        <f t="shared" si="195"/>
        <v>0</v>
      </c>
      <c r="BX67" s="15">
        <f t="shared" si="205"/>
        <v>0</v>
      </c>
      <c r="BY67" s="15">
        <f t="shared" si="215"/>
        <v>0</v>
      </c>
      <c r="BZ67" s="15">
        <v>4.4283299999999999</v>
      </c>
      <c r="CA67" s="15">
        <f t="shared" si="116"/>
        <v>2.26674</v>
      </c>
      <c r="CB67" s="15">
        <f t="shared" si="126"/>
        <v>3.13727</v>
      </c>
      <c r="CC67" s="15">
        <f t="shared" si="136"/>
        <v>5.16</v>
      </c>
      <c r="CD67" s="15">
        <f t="shared" si="146"/>
        <v>6.9294399999999996</v>
      </c>
      <c r="CE67" s="15">
        <f t="shared" si="156"/>
        <v>4.7220000000000004</v>
      </c>
      <c r="CF67" s="15">
        <f t="shared" si="166"/>
        <v>4.2527299999999997</v>
      </c>
      <c r="CG67" s="15">
        <f t="shared" si="176"/>
        <v>3.16</v>
      </c>
      <c r="CH67" s="15">
        <f t="shared" si="186"/>
        <v>4.25</v>
      </c>
      <c r="CI67" s="15">
        <f t="shared" si="196"/>
        <v>2.8491900000000001</v>
      </c>
      <c r="CJ67" s="15">
        <f t="shared" si="206"/>
        <v>4.2705900000000003</v>
      </c>
      <c r="CK67" s="15">
        <f t="shared" si="216"/>
        <v>3.6406200000000002</v>
      </c>
      <c r="CL67" s="15">
        <v>0</v>
      </c>
      <c r="CM67" s="15">
        <f t="shared" si="117"/>
        <v>0</v>
      </c>
      <c r="CN67" s="15">
        <f t="shared" si="127"/>
        <v>0</v>
      </c>
      <c r="CO67" s="15">
        <f t="shared" si="137"/>
        <v>0</v>
      </c>
      <c r="CP67" s="15">
        <f t="shared" si="147"/>
        <v>0</v>
      </c>
      <c r="CQ67" s="15">
        <f t="shared" si="157"/>
        <v>0</v>
      </c>
      <c r="CR67" s="15">
        <f t="shared" si="167"/>
        <v>0</v>
      </c>
      <c r="CS67" s="15">
        <f t="shared" si="177"/>
        <v>0</v>
      </c>
      <c r="CT67" s="15">
        <f t="shared" si="187"/>
        <v>0</v>
      </c>
      <c r="CU67" s="15">
        <f t="shared" si="197"/>
        <v>0</v>
      </c>
      <c r="CV67" s="15">
        <f t="shared" si="207"/>
        <v>0</v>
      </c>
      <c r="CW67" s="15">
        <f t="shared" si="217"/>
        <v>0</v>
      </c>
      <c r="CX67" s="15">
        <v>77.275000000000006</v>
      </c>
      <c r="CY67" s="15">
        <f t="shared" si="118"/>
        <v>66.194800000000001</v>
      </c>
      <c r="CZ67" s="15">
        <f t="shared" si="128"/>
        <v>72.320400000000006</v>
      </c>
      <c r="DA67" s="15">
        <f t="shared" si="138"/>
        <v>79.0321</v>
      </c>
      <c r="DB67" s="15">
        <f t="shared" si="148"/>
        <v>81.788200000000003</v>
      </c>
      <c r="DC67" s="15">
        <f t="shared" si="158"/>
        <v>78.042900000000003</v>
      </c>
      <c r="DD67" s="15">
        <f t="shared" si="168"/>
        <v>76.767700000000005</v>
      </c>
      <c r="DE67" s="15">
        <f t="shared" si="178"/>
        <v>72.439700000000002</v>
      </c>
      <c r="DF67" s="15">
        <f t="shared" si="188"/>
        <v>76.759500000000003</v>
      </c>
      <c r="DG67" s="15">
        <f t="shared" si="198"/>
        <v>70.6601</v>
      </c>
      <c r="DH67" s="15">
        <f t="shared" si="208"/>
        <v>76.821100000000001</v>
      </c>
      <c r="DI67" s="15">
        <f t="shared" si="218"/>
        <v>74.640900000000002</v>
      </c>
      <c r="DJ67" s="15" t="s">
        <v>21</v>
      </c>
      <c r="DK67" s="15" t="str">
        <f t="shared" si="119"/>
        <v>HH</v>
      </c>
      <c r="DL67" s="15" t="str">
        <f t="shared" si="129"/>
        <v>LH</v>
      </c>
      <c r="DM67" s="15" t="str">
        <f t="shared" si="139"/>
        <v>LH</v>
      </c>
      <c r="DN67" s="15" t="str">
        <f t="shared" si="149"/>
        <v>HH</v>
      </c>
      <c r="DO67" s="15" t="str">
        <f t="shared" si="159"/>
        <v>HH</v>
      </c>
      <c r="DP67" s="15" t="str">
        <f t="shared" si="169"/>
        <v>LH</v>
      </c>
      <c r="DQ67" s="15" t="str">
        <f t="shared" si="179"/>
        <v>LH</v>
      </c>
      <c r="DR67" s="15" t="str">
        <f t="shared" si="189"/>
        <v>LH</v>
      </c>
      <c r="DS67" s="15" t="str">
        <f t="shared" si="199"/>
        <v>HH</v>
      </c>
      <c r="DT67" s="15" t="str">
        <f t="shared" si="209"/>
        <v>LH</v>
      </c>
      <c r="DU67" s="15" t="str">
        <f t="shared" si="219"/>
        <v>HH</v>
      </c>
      <c r="DV67" s="15">
        <f>IFERROR((G67-$F67)/$F67*100,"")</f>
        <v>0.49442050023967227</v>
      </c>
      <c r="DW67" s="15">
        <f>IFERROR((H67-$F67)/$F67*100,"")</f>
        <v>-0.92709076865432549</v>
      </c>
      <c r="DX67" s="15">
        <f>IFERROR((I67-$F67)/$F67*100,"")</f>
        <v>0.62859642769675284</v>
      </c>
      <c r="DY67" s="15">
        <f>IFERROR((J67-$F67)/$F67*100,"")</f>
        <v>1.6758384948851859</v>
      </c>
      <c r="DZ67" s="15">
        <f>IFERROR((K67-$F67)/$F67*100,"")</f>
        <v>-1.7373794038904737</v>
      </c>
      <c r="EA67" s="15">
        <f>IFERROR((L67-$F67)/$F67*100,"")</f>
        <v>-2.3869081135618297</v>
      </c>
      <c r="EB67" s="15">
        <f>IFERROR((M67-$F67)/$F67*100,"")</f>
        <v>-2.290828939298486</v>
      </c>
      <c r="EC67" s="15">
        <f>IFERROR((N67-$F67)/$F67*100,"")</f>
        <v>-1.6636977713399479</v>
      </c>
      <c r="ED67" s="15">
        <f>IFERROR((O67-$F67)/$F67*100,"")</f>
        <v>-1.4828428550795352</v>
      </c>
      <c r="EE67" s="15">
        <f>IFERROR((P67-$F67)/$F67*100,"")</f>
        <v>-1.636067159133503</v>
      </c>
      <c r="EF67" s="15">
        <f>IFERROR((Q67-$F67)/$F67*100,"")</f>
        <v>0.48437300489186208</v>
      </c>
      <c r="EG67" s="15" t="str">
        <f>IF(DV67="","",IF(AND(ABS(DV67)&lt;=0.25,$E67="Bottom",DK67="LL"),"EQL",IF(AND(ABS(DV67)&lt;=0.25,$E67="Peak",DK67="HH"),"EQH","")))</f>
        <v/>
      </c>
      <c r="EH67" s="15" t="str">
        <f>IF(DW67="","",IF(AND(ABS(DW67)&lt;=0.25,$E67="Bottom",DL67="LL"),"EQL",IF(AND(ABS(DW67)&lt;=0.25,$E67="Peak",DL67="HH"),"EQH","")))</f>
        <v/>
      </c>
      <c r="EI67" s="15" t="str">
        <f>IF(DX67="","",IF(AND(ABS(DX67)&lt;=0.25,$E67="Bottom",DM67="LL"),"EQL",IF(AND(ABS(DX67)&lt;=0.25,$E67="Peak",DM67="HH"),"EQH","")))</f>
        <v/>
      </c>
      <c r="EJ67" s="15" t="str">
        <f>IF(DY67="","",IF(AND(ABS(DY67)&lt;=0.25,$E67="Bottom",DN67="LL"),"EQL",IF(AND(ABS(DY67)&lt;=0.25,$E67="Peak",DN67="HH"),"EQH","")))</f>
        <v/>
      </c>
      <c r="EK67" s="15" t="str">
        <f>IF(DZ67="","",IF(AND(ABS(DZ67)&lt;=0.25,$E67="Bottom",DO67="LL"),"EQL",IF(AND(ABS(DZ67)&lt;=0.25,$E67="Peak",DO67="HH"),"EQH","")))</f>
        <v/>
      </c>
      <c r="EL67" s="15" t="str">
        <f>IF(EA67="","",IF(AND(ABS(EA67)&lt;=0.25,$E67="Bottom",DP67="LL"),"EQL",IF(AND(ABS(EA67)&lt;=0.25,$E67="Peak",DP67="HH"),"EQH","")))</f>
        <v/>
      </c>
      <c r="EM67" s="15" t="str">
        <f>IF(EB67="","",IF(AND(ABS(EB67)&lt;=0.25,$E67="Bottom",DQ67="LL"),"EQL",IF(AND(ABS(EB67)&lt;=0.25,$E67="Peak",DQ67="HH"),"EQH","")))</f>
        <v/>
      </c>
      <c r="EN67" s="15" t="str">
        <f>IF(EC67="","",IF(AND(ABS(EC67)&lt;=0.25,$E67="Bottom",DR67="LL"),"EQL",IF(AND(ABS(EC67)&lt;=0.25,$E67="Peak",DR67="HH"),"EQH","")))</f>
        <v/>
      </c>
      <c r="EO67" s="15" t="str">
        <f>IF(ED67="","",IF(AND(ABS(ED67)&lt;=0.25,$E67="Bottom",DS67="LL"),"EQL",IF(AND(ABS(ED67)&lt;=0.25,$E67="Peak",DS67="HH"),"EQH","")))</f>
        <v/>
      </c>
      <c r="EP67" s="15" t="str">
        <f>IF(EE67="","",IF(AND(ABS(EE67)&lt;=0.25,$E67="Bottom",DT67="LL"),"EQL",IF(AND(ABS(EE67)&lt;=0.25,$E67="Peak",DT67="HH"),"EQH","")))</f>
        <v/>
      </c>
      <c r="EQ67" s="15" t="str">
        <f>IF(EF67="","",IF(AND(ABS(EF67)&lt;=0.25,$E67="Bottom",DU67="LL"),"EQL",IF(AND(ABS(EF67)&lt;=0.25,$E67="Peak",DU67="HH"),"EQH","")))</f>
        <v/>
      </c>
      <c r="ER67" s="15" t="str">
        <f>IF(OR(EG67="EQL",EG67="EQH"),F67,"")</f>
        <v/>
      </c>
      <c r="ES67" s="15" t="str">
        <f>IF(OR(EH67="EQL",EH67="EQH"),G67,"")</f>
        <v/>
      </c>
      <c r="ET67" s="15" t="str">
        <f>IF(OR(EI67="EQL",EI67="EQH"),H67,"")</f>
        <v/>
      </c>
      <c r="EU67" s="15" t="str">
        <f>IF(OR(EJ67="EQL",EJ67="EQH"),I67,"")</f>
        <v/>
      </c>
      <c r="EV67" s="15" t="str">
        <f>IF(OR(EK67="EQL",EK67="EQH"),J67,"")</f>
        <v/>
      </c>
      <c r="EW67" s="15" t="str">
        <f>IF(OR(EL67="EQL",EL67="EQH"),K67,"")</f>
        <v/>
      </c>
      <c r="EX67" s="15" t="str">
        <f>IF(OR(EM67="EQL",EM67="EQH"),L67,"")</f>
        <v/>
      </c>
      <c r="EY67" s="15" t="str">
        <f>IF(OR(EN67="EQL",EN67="EQH"),M67,"")</f>
        <v/>
      </c>
      <c r="EZ67" s="15" t="str">
        <f>IF(OR(EO67="EQL",EO67="EQH"),N67,"")</f>
        <v/>
      </c>
      <c r="FA67" s="15" t="str">
        <f>IF(OR(EP67="EQL",EP67="EQH"),O67,"")</f>
        <v/>
      </c>
      <c r="FB67" s="15" t="str">
        <f>IF(OR(EQ67="EQL",EQ67="EQH"),P67,"")</f>
        <v/>
      </c>
      <c r="FC67" s="15" t="str">
        <f>IF(AND(EG67="EQL",OR(AQ67=4,AQ67=5)),"IEQL",IF(AND(EG67="EQH",OR(AQ67=1,AQ67=2)),"IEQH",""))</f>
        <v/>
      </c>
      <c r="FD67" s="15" t="str">
        <f>IF(AND(EH67="EQL",OR(AR67=4,AR67=5)),"IEQL",IF(AND(EH67="EQH",OR(AR67=1,AR67=2)),"IEQH",""))</f>
        <v/>
      </c>
      <c r="FE67" s="15" t="str">
        <f>IF(AND(EI67="EQL",OR(AS67=4,AS67=5)),"IEQL",IF(AND(EI67="EQH",OR(AS67=1,AS67=2)),"IEQH",""))</f>
        <v/>
      </c>
      <c r="FF67" s="15" t="str">
        <f>IF(AND(EJ67="EQL",OR(AT67=4,AT67=5)),"IEQL",IF(AND(EJ67="EQH",OR(AT67=1,AT67=2)),"IEQH",""))</f>
        <v/>
      </c>
      <c r="FG67" s="15" t="str">
        <f>IF(AND(EK67="EQL",OR(AU67=4,AU67=5)),"IEQL",IF(AND(EK67="EQH",OR(AU67=1,AU67=2)),"IEQH",""))</f>
        <v/>
      </c>
      <c r="FH67" s="15" t="str">
        <f>IF(AND(EL67="EQL",OR(AV67=4,AV67=5)),"IEQL",IF(AND(EL67="EQH",OR(AV67=1,AV67=2)),"IEQH",""))</f>
        <v/>
      </c>
      <c r="FI67" s="15" t="str">
        <f>IF(AND(EM67="EQL",OR(AW67=4,AW67=5)),"IEQL",IF(AND(EM67="EQH",OR(AW67=1,AW67=2)),"IEQH",""))</f>
        <v/>
      </c>
      <c r="FJ67" s="15" t="str">
        <f>IF(AND(EN67="EQL",OR(AX67=4,AX67=5)),"IEQL",IF(AND(EN67="EQH",OR(AX67=1,AX67=2)),"IEQH",""))</f>
        <v/>
      </c>
      <c r="FK67" s="15" t="str">
        <f>IF(AND(EO67="EQL",OR(AY67=4,AY67=5)),"IEQL",IF(AND(EO67="EQH",OR(AY67=1,AY67=2)),"IEQH",""))</f>
        <v/>
      </c>
      <c r="FL67" s="15" t="str">
        <f>IF(AND(EP67="EQL",OR(AZ67=4,AZ67=5)),"IEQL",IF(AND(EP67="EQH",OR(AZ67=1,AZ67=2)),"IEQH",""))</f>
        <v/>
      </c>
      <c r="FM67" s="15" t="str">
        <f>IF(AND(EQ67="EQL",OR(BA67=4,BA67=5)),"IEQL",IF(AND(EQ67="EQH",OR(BA67=1,BA67=2)),"IEQH",""))</f>
        <v/>
      </c>
      <c r="FN67" s="15" t="str">
        <f>IF(OR(AND(DJ67="LL",AP67=5),AND(DJ67="HH",AP67=2)),F67,"")</f>
        <v/>
      </c>
      <c r="FO67" s="15" t="str">
        <f>IF(FN67&lt;&gt;"",F66,"")</f>
        <v/>
      </c>
    </row>
    <row r="68" spans="1:171" s="15" customFormat="1" x14ac:dyDescent="0.55000000000000004">
      <c r="A68" s="15">
        <v>1775810706</v>
      </c>
      <c r="B68" s="15" t="s">
        <v>16</v>
      </c>
      <c r="C68" s="15" t="s">
        <v>17</v>
      </c>
      <c r="D68" s="15">
        <v>4741.04</v>
      </c>
      <c r="E68" s="15" t="s">
        <v>18</v>
      </c>
      <c r="F68" s="15">
        <v>4730.8100000000004</v>
      </c>
      <c r="G68" s="15">
        <f t="shared" ref="G68:G99" si="220">F66</f>
        <v>4750.74</v>
      </c>
      <c r="H68" s="15">
        <f t="shared" si="120"/>
        <v>4703.46</v>
      </c>
      <c r="I68" s="15">
        <f t="shared" si="130"/>
        <v>4698.51</v>
      </c>
      <c r="J68" s="15">
        <f t="shared" si="140"/>
        <v>4771.22</v>
      </c>
      <c r="K68" s="15">
        <f t="shared" si="150"/>
        <v>4607.91</v>
      </c>
      <c r="L68" s="15">
        <f t="shared" si="160"/>
        <v>4623.4799999999996</v>
      </c>
      <c r="M68" s="15">
        <f t="shared" si="170"/>
        <v>4616.5</v>
      </c>
      <c r="N68" s="15">
        <f t="shared" si="180"/>
        <v>4645.75</v>
      </c>
      <c r="O68" s="15">
        <f t="shared" si="190"/>
        <v>4659.58</v>
      </c>
      <c r="P68" s="15">
        <f t="shared" si="200"/>
        <v>4601.05</v>
      </c>
      <c r="Q68" s="15">
        <f t="shared" si="210"/>
        <v>4553.95</v>
      </c>
      <c r="R68" s="15">
        <v>-46.5</v>
      </c>
      <c r="S68" s="15">
        <f t="shared" ref="S68:S99" si="221">R66</f>
        <v>-50.19</v>
      </c>
      <c r="T68" s="15">
        <f t="shared" si="121"/>
        <v>-29.56</v>
      </c>
      <c r="U68" s="15">
        <f t="shared" si="131"/>
        <v>-108.83</v>
      </c>
      <c r="V68" s="15">
        <f t="shared" si="141"/>
        <v>-86.15</v>
      </c>
      <c r="W68" s="15">
        <f t="shared" si="151"/>
        <v>-86.4</v>
      </c>
      <c r="X68" s="15">
        <f t="shared" si="161"/>
        <v>-39.799999999999997</v>
      </c>
      <c r="Y68" s="15">
        <f t="shared" si="171"/>
        <v>-51.37</v>
      </c>
      <c r="Z68" s="15">
        <f t="shared" si="181"/>
        <v>-52.08</v>
      </c>
      <c r="AA68" s="15">
        <f t="shared" si="191"/>
        <v>-46.89</v>
      </c>
      <c r="AB68" s="15">
        <f t="shared" si="201"/>
        <v>-98.1</v>
      </c>
      <c r="AC68" s="15">
        <f t="shared" si="211"/>
        <v>-246.5</v>
      </c>
      <c r="AD68" s="15">
        <v>-0.97</v>
      </c>
      <c r="AE68" s="15">
        <f t="shared" ref="AE68:AE99" si="222">AD66</f>
        <v>-1.05</v>
      </c>
      <c r="AF68" s="15">
        <f t="shared" si="122"/>
        <v>-0.62</v>
      </c>
      <c r="AG68" s="15">
        <f t="shared" si="132"/>
        <v>-2.2599999999999998</v>
      </c>
      <c r="AH68" s="15">
        <f t="shared" si="142"/>
        <v>-1.77</v>
      </c>
      <c r="AI68" s="15">
        <f t="shared" si="152"/>
        <v>-1.84</v>
      </c>
      <c r="AJ68" s="15">
        <f t="shared" si="162"/>
        <v>-0.85</v>
      </c>
      <c r="AK68" s="15">
        <f t="shared" si="172"/>
        <v>-1.1000000000000001</v>
      </c>
      <c r="AL68" s="15">
        <f t="shared" si="182"/>
        <v>-1.1100000000000001</v>
      </c>
      <c r="AM68" s="15">
        <f t="shared" si="192"/>
        <v>-1</v>
      </c>
      <c r="AN68" s="15">
        <f t="shared" si="202"/>
        <v>-2.09</v>
      </c>
      <c r="AO68" s="15">
        <f t="shared" si="212"/>
        <v>-5.13</v>
      </c>
      <c r="AP68" s="15">
        <v>3</v>
      </c>
      <c r="AQ68" s="15">
        <f t="shared" ref="AQ68:AQ99" si="223">AP66</f>
        <v>3</v>
      </c>
      <c r="AR68" s="15">
        <f t="shared" si="123"/>
        <v>3</v>
      </c>
      <c r="AS68" s="15">
        <f t="shared" si="133"/>
        <v>3</v>
      </c>
      <c r="AT68" s="15">
        <f t="shared" si="143"/>
        <v>3</v>
      </c>
      <c r="AU68" s="15">
        <f t="shared" si="153"/>
        <v>3</v>
      </c>
      <c r="AV68" s="15">
        <f t="shared" si="163"/>
        <v>3</v>
      </c>
      <c r="AW68" s="15">
        <f t="shared" si="173"/>
        <v>3</v>
      </c>
      <c r="AX68" s="15">
        <f t="shared" si="183"/>
        <v>3</v>
      </c>
      <c r="AY68" s="15">
        <f t="shared" si="193"/>
        <v>3</v>
      </c>
      <c r="AZ68" s="15">
        <f t="shared" si="203"/>
        <v>3</v>
      </c>
      <c r="BA68" s="15">
        <f t="shared" si="213"/>
        <v>3</v>
      </c>
      <c r="BB68" s="15">
        <v>29</v>
      </c>
      <c r="BC68" s="15">
        <f t="shared" ref="BC68:BC99" si="224">BB66</f>
        <v>22</v>
      </c>
      <c r="BD68" s="15">
        <f t="shared" si="124"/>
        <v>16</v>
      </c>
      <c r="BE68" s="15">
        <f t="shared" si="134"/>
        <v>44</v>
      </c>
      <c r="BF68" s="15">
        <f t="shared" si="144"/>
        <v>41</v>
      </c>
      <c r="BG68" s="15">
        <f t="shared" si="154"/>
        <v>19</v>
      </c>
      <c r="BH68" s="15">
        <f t="shared" si="164"/>
        <v>4</v>
      </c>
      <c r="BI68" s="15">
        <f t="shared" si="174"/>
        <v>15</v>
      </c>
      <c r="BJ68" s="15">
        <f t="shared" si="184"/>
        <v>19</v>
      </c>
      <c r="BK68" s="15">
        <f t="shared" si="194"/>
        <v>11</v>
      </c>
      <c r="BL68" s="15">
        <f t="shared" si="204"/>
        <v>35</v>
      </c>
      <c r="BM68" s="15">
        <f t="shared" si="214"/>
        <v>26</v>
      </c>
      <c r="BN68" s="15">
        <v>3</v>
      </c>
      <c r="BO68" s="15">
        <f t="shared" ref="BO68:BO99" si="225">BN66</f>
        <v>3</v>
      </c>
      <c r="BP68" s="15">
        <f t="shared" si="125"/>
        <v>3</v>
      </c>
      <c r="BQ68" s="15">
        <f t="shared" si="135"/>
        <v>4</v>
      </c>
      <c r="BR68" s="15">
        <f t="shared" si="145"/>
        <v>4</v>
      </c>
      <c r="BS68" s="15">
        <f t="shared" si="155"/>
        <v>3</v>
      </c>
      <c r="BT68" s="15">
        <f t="shared" si="165"/>
        <v>3</v>
      </c>
      <c r="BU68" s="15">
        <f t="shared" si="175"/>
        <v>3</v>
      </c>
      <c r="BV68" s="15">
        <f t="shared" si="185"/>
        <v>3</v>
      </c>
      <c r="BW68" s="15">
        <f t="shared" si="195"/>
        <v>3</v>
      </c>
      <c r="BX68" s="15">
        <f t="shared" si="205"/>
        <v>3</v>
      </c>
      <c r="BY68" s="15">
        <f t="shared" si="215"/>
        <v>3</v>
      </c>
      <c r="BZ68" s="15">
        <v>-1.60345</v>
      </c>
      <c r="CA68" s="15">
        <f t="shared" ref="CA68:CA99" si="226">BZ66</f>
        <v>-2.2813599999999998</v>
      </c>
      <c r="CB68" s="15">
        <f t="shared" si="126"/>
        <v>-1.8474999999999999</v>
      </c>
      <c r="CC68" s="15">
        <f t="shared" si="136"/>
        <v>-2.4734099999999999</v>
      </c>
      <c r="CD68" s="15">
        <f t="shared" si="146"/>
        <v>-2.1012200000000001</v>
      </c>
      <c r="CE68" s="15">
        <f t="shared" si="156"/>
        <v>-4.5473699999999999</v>
      </c>
      <c r="CF68" s="15">
        <f t="shared" si="166"/>
        <v>-9.9499999999999993</v>
      </c>
      <c r="CG68" s="15">
        <f t="shared" si="176"/>
        <v>-3.4246699999999999</v>
      </c>
      <c r="CH68" s="15">
        <f t="shared" si="186"/>
        <v>-2.74105</v>
      </c>
      <c r="CI68" s="15">
        <f t="shared" si="196"/>
        <v>-4.2627300000000004</v>
      </c>
      <c r="CJ68" s="15">
        <f t="shared" si="206"/>
        <v>-2.8028599999999999</v>
      </c>
      <c r="CK68" s="15">
        <f t="shared" si="216"/>
        <v>-9.4807699999999997</v>
      </c>
      <c r="CL68" s="15">
        <v>3</v>
      </c>
      <c r="CM68" s="15">
        <f t="shared" ref="CM68:CM99" si="227">CL66</f>
        <v>3</v>
      </c>
      <c r="CN68" s="15">
        <f t="shared" si="127"/>
        <v>3</v>
      </c>
      <c r="CO68" s="15">
        <f t="shared" si="137"/>
        <v>3</v>
      </c>
      <c r="CP68" s="15">
        <f t="shared" si="147"/>
        <v>3</v>
      </c>
      <c r="CQ68" s="15">
        <f t="shared" si="157"/>
        <v>3</v>
      </c>
      <c r="CR68" s="15">
        <f t="shared" si="167"/>
        <v>3</v>
      </c>
      <c r="CS68" s="15">
        <f t="shared" si="177"/>
        <v>3</v>
      </c>
      <c r="CT68" s="15">
        <f t="shared" si="187"/>
        <v>3</v>
      </c>
      <c r="CU68" s="15">
        <f t="shared" si="197"/>
        <v>3</v>
      </c>
      <c r="CV68" s="15">
        <f t="shared" si="207"/>
        <v>3</v>
      </c>
      <c r="CW68" s="15">
        <f t="shared" si="217"/>
        <v>3</v>
      </c>
      <c r="CX68" s="15">
        <v>-58.05</v>
      </c>
      <c r="CY68" s="15">
        <f t="shared" ref="CY68:CY99" si="228">CX66</f>
        <v>-66.330500000000001</v>
      </c>
      <c r="CZ68" s="15">
        <f t="shared" si="128"/>
        <v>-61.574599999999997</v>
      </c>
      <c r="DA68" s="15">
        <f t="shared" si="138"/>
        <v>-67.986500000000007</v>
      </c>
      <c r="DB68" s="15">
        <f t="shared" si="148"/>
        <v>-64.549599999999998</v>
      </c>
      <c r="DC68" s="15">
        <f t="shared" si="158"/>
        <v>-77.5976</v>
      </c>
      <c r="DD68" s="15">
        <f t="shared" si="168"/>
        <v>-84.260900000000007</v>
      </c>
      <c r="DE68" s="15">
        <f t="shared" si="178"/>
        <v>-73.722200000000001</v>
      </c>
      <c r="DF68" s="15">
        <f t="shared" si="188"/>
        <v>-69.956800000000001</v>
      </c>
      <c r="DG68" s="15">
        <f t="shared" si="198"/>
        <v>-76.797600000000003</v>
      </c>
      <c r="DH68" s="15">
        <f t="shared" si="208"/>
        <v>-70.364699999999999</v>
      </c>
      <c r="DI68" s="15">
        <f t="shared" si="218"/>
        <v>-83.978899999999996</v>
      </c>
      <c r="DJ68" s="15" t="s">
        <v>19</v>
      </c>
      <c r="DK68" s="15" t="str">
        <f t="shared" ref="DK68:DK99" si="229">DJ66</f>
        <v>HL</v>
      </c>
      <c r="DL68" s="15" t="str">
        <f t="shared" si="129"/>
        <v>HL</v>
      </c>
      <c r="DM68" s="15" t="str">
        <f t="shared" si="139"/>
        <v>LL</v>
      </c>
      <c r="DN68" s="15" t="str">
        <f t="shared" si="149"/>
        <v>HL</v>
      </c>
      <c r="DO68" s="15" t="str">
        <f t="shared" si="159"/>
        <v>LL</v>
      </c>
      <c r="DP68" s="15" t="str">
        <f t="shared" si="169"/>
        <v>HL</v>
      </c>
      <c r="DQ68" s="15" t="str">
        <f t="shared" si="179"/>
        <v>LL</v>
      </c>
      <c r="DR68" s="15" t="str">
        <f t="shared" si="189"/>
        <v>LL</v>
      </c>
      <c r="DS68" s="15" t="str">
        <f t="shared" si="199"/>
        <v>HL</v>
      </c>
      <c r="DT68" s="15" t="str">
        <f t="shared" si="209"/>
        <v>HL</v>
      </c>
      <c r="DU68" s="15" t="str">
        <f t="shared" si="219"/>
        <v>LL</v>
      </c>
      <c r="DV68" s="15">
        <f>IFERROR((G68-$F68)/$F68*100,"")</f>
        <v>0.42128092229447767</v>
      </c>
      <c r="DW68" s="15">
        <f>IFERROR((H68-$F68)/$F68*100,"")</f>
        <v>-0.57812509908451959</v>
      </c>
      <c r="DX68" s="15">
        <f>IFERROR((I68-$F68)/$F68*100,"")</f>
        <v>-0.68275834370858646</v>
      </c>
      <c r="DY68" s="15">
        <f>IFERROR((J68-$F68)/$F68*100,"")</f>
        <v>0.85418776065831969</v>
      </c>
      <c r="DZ68" s="15">
        <f>IFERROR((K68-$F68)/$F68*100,"")</f>
        <v>-2.597863790767343</v>
      </c>
      <c r="EA68" s="15">
        <f>IFERROR((L68-$F68)/$F68*100,"")</f>
        <v>-2.2687446758589083</v>
      </c>
      <c r="EB68" s="15">
        <f>IFERROR((M68-$F68)/$F68*100,"")</f>
        <v>-2.4162881197934474</v>
      </c>
      <c r="EC68" s="15">
        <f>IFERROR((N68-$F68)/$F68*100,"")</f>
        <v>-1.7980007651966661</v>
      </c>
      <c r="ED68" s="15">
        <f>IFERROR((O68-$F68)/$F68*100,"")</f>
        <v>-1.5056618211257791</v>
      </c>
      <c r="EE68" s="15">
        <f>IFERROR((P68-$F68)/$F68*100,"")</f>
        <v>-2.7428706711958464</v>
      </c>
      <c r="EF68" s="15">
        <f>IFERROR((Q68-$F68)/$F68*100,"")</f>
        <v>-3.7384718473157994</v>
      </c>
      <c r="EG68" s="15" t="str">
        <f>IF(DV68="","",IF(AND(ABS(DV68)&lt;=0.25,$E68="Bottom",DK68="LL"),"EQL",IF(AND(ABS(DV68)&lt;=0.25,$E68="Peak",DK68="HH"),"EQH","")))</f>
        <v/>
      </c>
      <c r="EH68" s="15" t="str">
        <f>IF(DW68="","",IF(AND(ABS(DW68)&lt;=0.25,$E68="Bottom",DL68="LL"),"EQL",IF(AND(ABS(DW68)&lt;=0.25,$E68="Peak",DL68="HH"),"EQH","")))</f>
        <v/>
      </c>
      <c r="EI68" s="15" t="str">
        <f>IF(DX68="","",IF(AND(ABS(DX68)&lt;=0.25,$E68="Bottom",DM68="LL"),"EQL",IF(AND(ABS(DX68)&lt;=0.25,$E68="Peak",DM68="HH"),"EQH","")))</f>
        <v/>
      </c>
      <c r="EJ68" s="15" t="str">
        <f>IF(DY68="","",IF(AND(ABS(DY68)&lt;=0.25,$E68="Bottom",DN68="LL"),"EQL",IF(AND(ABS(DY68)&lt;=0.25,$E68="Peak",DN68="HH"),"EQH","")))</f>
        <v/>
      </c>
      <c r="EK68" s="15" t="str">
        <f>IF(DZ68="","",IF(AND(ABS(DZ68)&lt;=0.25,$E68="Bottom",DO68="LL"),"EQL",IF(AND(ABS(DZ68)&lt;=0.25,$E68="Peak",DO68="HH"),"EQH","")))</f>
        <v/>
      </c>
      <c r="EL68" s="15" t="str">
        <f>IF(EA68="","",IF(AND(ABS(EA68)&lt;=0.25,$E68="Bottom",DP68="LL"),"EQL",IF(AND(ABS(EA68)&lt;=0.25,$E68="Peak",DP68="HH"),"EQH","")))</f>
        <v/>
      </c>
      <c r="EM68" s="15" t="str">
        <f>IF(EB68="","",IF(AND(ABS(EB68)&lt;=0.25,$E68="Bottom",DQ68="LL"),"EQL",IF(AND(ABS(EB68)&lt;=0.25,$E68="Peak",DQ68="HH"),"EQH","")))</f>
        <v/>
      </c>
      <c r="EN68" s="15" t="str">
        <f>IF(EC68="","",IF(AND(ABS(EC68)&lt;=0.25,$E68="Bottom",DR68="LL"),"EQL",IF(AND(ABS(EC68)&lt;=0.25,$E68="Peak",DR68="HH"),"EQH","")))</f>
        <v/>
      </c>
      <c r="EO68" s="15" t="str">
        <f>IF(ED68="","",IF(AND(ABS(ED68)&lt;=0.25,$E68="Bottom",DS68="LL"),"EQL",IF(AND(ABS(ED68)&lt;=0.25,$E68="Peak",DS68="HH"),"EQH","")))</f>
        <v/>
      </c>
      <c r="EP68" s="15" t="str">
        <f>IF(EE68="","",IF(AND(ABS(EE68)&lt;=0.25,$E68="Bottom",DT68="LL"),"EQL",IF(AND(ABS(EE68)&lt;=0.25,$E68="Peak",DT68="HH"),"EQH","")))</f>
        <v/>
      </c>
      <c r="EQ68" s="15" t="str">
        <f>IF(EF68="","",IF(AND(ABS(EF68)&lt;=0.25,$E68="Bottom",DU68="LL"),"EQL",IF(AND(ABS(EF68)&lt;=0.25,$E68="Peak",DU68="HH"),"EQH","")))</f>
        <v/>
      </c>
      <c r="ER68" s="15" t="str">
        <f>IF(OR(EG68="EQL",EG68="EQH"),F68,"")</f>
        <v/>
      </c>
      <c r="ES68" s="15" t="str">
        <f>IF(OR(EH68="EQL",EH68="EQH"),G68,"")</f>
        <v/>
      </c>
      <c r="ET68" s="15" t="str">
        <f>IF(OR(EI68="EQL",EI68="EQH"),H68,"")</f>
        <v/>
      </c>
      <c r="EU68" s="15" t="str">
        <f>IF(OR(EJ68="EQL",EJ68="EQH"),I68,"")</f>
        <v/>
      </c>
      <c r="EV68" s="15" t="str">
        <f>IF(OR(EK68="EQL",EK68="EQH"),J68,"")</f>
        <v/>
      </c>
      <c r="EW68" s="15" t="str">
        <f>IF(OR(EL68="EQL",EL68="EQH"),K68,"")</f>
        <v/>
      </c>
      <c r="EX68" s="15" t="str">
        <f>IF(OR(EM68="EQL",EM68="EQH"),L68,"")</f>
        <v/>
      </c>
      <c r="EY68" s="15" t="str">
        <f>IF(OR(EN68="EQL",EN68="EQH"),M68,"")</f>
        <v/>
      </c>
      <c r="EZ68" s="15" t="str">
        <f>IF(OR(EO68="EQL",EO68="EQH"),N68,"")</f>
        <v/>
      </c>
      <c r="FA68" s="15" t="str">
        <f>IF(OR(EP68="EQL",EP68="EQH"),O68,"")</f>
        <v/>
      </c>
      <c r="FB68" s="15" t="str">
        <f>IF(OR(EQ68="EQL",EQ68="EQH"),P68,"")</f>
        <v/>
      </c>
      <c r="FC68" s="15" t="str">
        <f>IF(AND(EG68="EQL",OR(AQ68=4,AQ68=5)),"IEQL",IF(AND(EG68="EQH",OR(AQ68=1,AQ68=2)),"IEQH",""))</f>
        <v/>
      </c>
      <c r="FD68" s="15" t="str">
        <f>IF(AND(EH68="EQL",OR(AR68=4,AR68=5)),"IEQL",IF(AND(EH68="EQH",OR(AR68=1,AR68=2)),"IEQH",""))</f>
        <v/>
      </c>
      <c r="FE68" s="15" t="str">
        <f>IF(AND(EI68="EQL",OR(AS68=4,AS68=5)),"IEQL",IF(AND(EI68="EQH",OR(AS68=1,AS68=2)),"IEQH",""))</f>
        <v/>
      </c>
      <c r="FF68" s="15" t="str">
        <f>IF(AND(EJ68="EQL",OR(AT68=4,AT68=5)),"IEQL",IF(AND(EJ68="EQH",OR(AT68=1,AT68=2)),"IEQH",""))</f>
        <v/>
      </c>
      <c r="FG68" s="15" t="str">
        <f>IF(AND(EK68="EQL",OR(AU68=4,AU68=5)),"IEQL",IF(AND(EK68="EQH",OR(AU68=1,AU68=2)),"IEQH",""))</f>
        <v/>
      </c>
      <c r="FH68" s="15" t="str">
        <f>IF(AND(EL68="EQL",OR(AV68=4,AV68=5)),"IEQL",IF(AND(EL68="EQH",OR(AV68=1,AV68=2)),"IEQH",""))</f>
        <v/>
      </c>
      <c r="FI68" s="15" t="str">
        <f>IF(AND(EM68="EQL",OR(AW68=4,AW68=5)),"IEQL",IF(AND(EM68="EQH",OR(AW68=1,AW68=2)),"IEQH",""))</f>
        <v/>
      </c>
      <c r="FJ68" s="15" t="str">
        <f>IF(AND(EN68="EQL",OR(AX68=4,AX68=5)),"IEQL",IF(AND(EN68="EQH",OR(AX68=1,AX68=2)),"IEQH",""))</f>
        <v/>
      </c>
      <c r="FK68" s="15" t="str">
        <f>IF(AND(EO68="EQL",OR(AY68=4,AY68=5)),"IEQL",IF(AND(EO68="EQH",OR(AY68=1,AY68=2)),"IEQH",""))</f>
        <v/>
      </c>
      <c r="FL68" s="15" t="str">
        <f>IF(AND(EP68="EQL",OR(AZ68=4,AZ68=5)),"IEQL",IF(AND(EP68="EQH",OR(AZ68=1,AZ68=2)),"IEQH",""))</f>
        <v/>
      </c>
      <c r="FM68" s="15" t="str">
        <f>IF(AND(EQ68="EQL",OR(BA68=4,BA68=5)),"IEQL",IF(AND(EQ68="EQH",OR(BA68=1,BA68=2)),"IEQH",""))</f>
        <v/>
      </c>
      <c r="FN68" s="15" t="str">
        <f>IF(OR(AND(DJ68="LL",AP68=5),AND(DJ68="HH",AP68=2)),F68,"")</f>
        <v/>
      </c>
      <c r="FO68" s="15" t="str">
        <f>IF(FN68&lt;&gt;"",F67,"")</f>
        <v/>
      </c>
    </row>
    <row r="69" spans="1:171" s="15" customFormat="1" x14ac:dyDescent="0.55000000000000004">
      <c r="A69" s="15">
        <v>1775831406</v>
      </c>
      <c r="B69" s="15" t="s">
        <v>16</v>
      </c>
      <c r="C69" s="15" t="s">
        <v>17</v>
      </c>
      <c r="D69" s="15">
        <v>4780.79</v>
      </c>
      <c r="E69" s="15" t="s">
        <v>20</v>
      </c>
      <c r="F69" s="15">
        <v>4794.96</v>
      </c>
      <c r="G69" s="15">
        <f t="shared" si="220"/>
        <v>4777.3100000000004</v>
      </c>
      <c r="H69" s="15">
        <f t="shared" si="120"/>
        <v>4800.93</v>
      </c>
      <c r="I69" s="15">
        <f t="shared" si="130"/>
        <v>4733.0200000000004</v>
      </c>
      <c r="J69" s="15">
        <f t="shared" si="140"/>
        <v>4807.34</v>
      </c>
      <c r="K69" s="15">
        <f t="shared" si="150"/>
        <v>4857.37</v>
      </c>
      <c r="L69" s="15">
        <f t="shared" si="160"/>
        <v>4694.3100000000004</v>
      </c>
      <c r="M69" s="15">
        <f t="shared" si="170"/>
        <v>4663.28</v>
      </c>
      <c r="N69" s="15">
        <f t="shared" si="180"/>
        <v>4667.87</v>
      </c>
      <c r="O69" s="15">
        <f t="shared" si="190"/>
        <v>4697.83</v>
      </c>
      <c r="P69" s="15">
        <f t="shared" si="200"/>
        <v>4706.47</v>
      </c>
      <c r="Q69" s="15">
        <f t="shared" si="210"/>
        <v>4699.1499999999996</v>
      </c>
      <c r="R69" s="15">
        <v>64.150000000000006</v>
      </c>
      <c r="S69" s="15">
        <f t="shared" si="221"/>
        <v>26.57</v>
      </c>
      <c r="T69" s="15">
        <f t="shared" si="121"/>
        <v>97.47</v>
      </c>
      <c r="U69" s="15">
        <f t="shared" si="131"/>
        <v>34.51</v>
      </c>
      <c r="V69" s="15">
        <f t="shared" si="141"/>
        <v>36.119999999999997</v>
      </c>
      <c r="W69" s="15">
        <f t="shared" si="151"/>
        <v>249.46</v>
      </c>
      <c r="X69" s="15">
        <f t="shared" si="161"/>
        <v>70.83</v>
      </c>
      <c r="Y69" s="15">
        <f t="shared" si="171"/>
        <v>46.78</v>
      </c>
      <c r="Z69" s="15">
        <f t="shared" si="181"/>
        <v>22.12</v>
      </c>
      <c r="AA69" s="15">
        <f t="shared" si="191"/>
        <v>38.25</v>
      </c>
      <c r="AB69" s="15">
        <f t="shared" si="201"/>
        <v>105.42</v>
      </c>
      <c r="AC69" s="15">
        <f t="shared" si="211"/>
        <v>145.19999999999999</v>
      </c>
      <c r="AD69" s="15">
        <v>1.36</v>
      </c>
      <c r="AE69" s="15">
        <f t="shared" si="222"/>
        <v>0.56000000000000005</v>
      </c>
      <c r="AF69" s="15">
        <f t="shared" si="122"/>
        <v>2.0699999999999998</v>
      </c>
      <c r="AG69" s="15">
        <f t="shared" si="132"/>
        <v>0.73</v>
      </c>
      <c r="AH69" s="15">
        <f t="shared" si="142"/>
        <v>0.76</v>
      </c>
      <c r="AI69" s="15">
        <f t="shared" si="152"/>
        <v>5.41</v>
      </c>
      <c r="AJ69" s="15">
        <f t="shared" si="162"/>
        <v>1.53</v>
      </c>
      <c r="AK69" s="15">
        <f t="shared" si="172"/>
        <v>1.01</v>
      </c>
      <c r="AL69" s="15">
        <f t="shared" si="182"/>
        <v>0.48</v>
      </c>
      <c r="AM69" s="15">
        <f t="shared" si="192"/>
        <v>0.82</v>
      </c>
      <c r="AN69" s="15">
        <f t="shared" si="202"/>
        <v>2.29</v>
      </c>
      <c r="AO69" s="15">
        <f t="shared" si="212"/>
        <v>3.19</v>
      </c>
      <c r="AP69" s="15">
        <v>0</v>
      </c>
      <c r="AQ69" s="15">
        <f t="shared" si="223"/>
        <v>0</v>
      </c>
      <c r="AR69" s="15">
        <f t="shared" si="123"/>
        <v>0</v>
      </c>
      <c r="AS69" s="15">
        <f t="shared" si="133"/>
        <v>0</v>
      </c>
      <c r="AT69" s="15">
        <f t="shared" si="143"/>
        <v>0</v>
      </c>
      <c r="AU69" s="15">
        <f t="shared" si="153"/>
        <v>2</v>
      </c>
      <c r="AV69" s="15">
        <f t="shared" si="163"/>
        <v>0</v>
      </c>
      <c r="AW69" s="15">
        <f t="shared" si="173"/>
        <v>0</v>
      </c>
      <c r="AX69" s="15">
        <f t="shared" si="183"/>
        <v>0</v>
      </c>
      <c r="AY69" s="15">
        <f t="shared" si="193"/>
        <v>0</v>
      </c>
      <c r="AZ69" s="15">
        <f t="shared" si="203"/>
        <v>0</v>
      </c>
      <c r="BA69" s="15">
        <f t="shared" si="213"/>
        <v>0</v>
      </c>
      <c r="BB69" s="15">
        <v>23</v>
      </c>
      <c r="BC69" s="15">
        <f t="shared" si="224"/>
        <v>6</v>
      </c>
      <c r="BD69" s="15">
        <f t="shared" si="124"/>
        <v>43</v>
      </c>
      <c r="BE69" s="15">
        <f t="shared" si="134"/>
        <v>11</v>
      </c>
      <c r="BF69" s="15">
        <f t="shared" si="144"/>
        <v>7</v>
      </c>
      <c r="BG69" s="15">
        <f t="shared" si="154"/>
        <v>36</v>
      </c>
      <c r="BH69" s="15">
        <f t="shared" si="164"/>
        <v>15</v>
      </c>
      <c r="BI69" s="15">
        <f t="shared" si="174"/>
        <v>11</v>
      </c>
      <c r="BJ69" s="15">
        <f t="shared" si="184"/>
        <v>7</v>
      </c>
      <c r="BK69" s="15">
        <f t="shared" si="194"/>
        <v>9</v>
      </c>
      <c r="BL69" s="15">
        <f t="shared" si="204"/>
        <v>37</v>
      </c>
      <c r="BM69" s="15">
        <f t="shared" si="214"/>
        <v>34</v>
      </c>
      <c r="BN69" s="15">
        <v>0</v>
      </c>
      <c r="BO69" s="15">
        <f t="shared" si="225"/>
        <v>0</v>
      </c>
      <c r="BP69" s="15">
        <f t="shared" si="125"/>
        <v>1</v>
      </c>
      <c r="BQ69" s="15">
        <f t="shared" si="135"/>
        <v>0</v>
      </c>
      <c r="BR69" s="15">
        <f t="shared" si="145"/>
        <v>0</v>
      </c>
      <c r="BS69" s="15">
        <f t="shared" si="155"/>
        <v>0</v>
      </c>
      <c r="BT69" s="15">
        <f t="shared" si="165"/>
        <v>0</v>
      </c>
      <c r="BU69" s="15">
        <f t="shared" si="175"/>
        <v>0</v>
      </c>
      <c r="BV69" s="15">
        <f t="shared" si="185"/>
        <v>0</v>
      </c>
      <c r="BW69" s="15">
        <f t="shared" si="195"/>
        <v>0</v>
      </c>
      <c r="BX69" s="15">
        <f t="shared" si="205"/>
        <v>0</v>
      </c>
      <c r="BY69" s="15">
        <f t="shared" si="215"/>
        <v>0</v>
      </c>
      <c r="BZ69" s="15">
        <v>2.7891300000000001</v>
      </c>
      <c r="CA69" s="15">
        <f t="shared" si="226"/>
        <v>4.4283299999999999</v>
      </c>
      <c r="CB69" s="15">
        <f t="shared" si="126"/>
        <v>2.26674</v>
      </c>
      <c r="CC69" s="15">
        <f t="shared" si="136"/>
        <v>3.13727</v>
      </c>
      <c r="CD69" s="15">
        <f t="shared" si="146"/>
        <v>5.16</v>
      </c>
      <c r="CE69" s="15">
        <f t="shared" si="156"/>
        <v>6.9294399999999996</v>
      </c>
      <c r="CF69" s="15">
        <f t="shared" si="166"/>
        <v>4.7220000000000004</v>
      </c>
      <c r="CG69" s="15">
        <f t="shared" si="176"/>
        <v>4.2527299999999997</v>
      </c>
      <c r="CH69" s="15">
        <f t="shared" si="186"/>
        <v>3.16</v>
      </c>
      <c r="CI69" s="15">
        <f t="shared" si="196"/>
        <v>4.25</v>
      </c>
      <c r="CJ69" s="15">
        <f t="shared" si="206"/>
        <v>2.8491900000000001</v>
      </c>
      <c r="CK69" s="15">
        <f t="shared" si="216"/>
        <v>4.2705900000000003</v>
      </c>
      <c r="CL69" s="15">
        <v>0</v>
      </c>
      <c r="CM69" s="15">
        <f t="shared" si="227"/>
        <v>0</v>
      </c>
      <c r="CN69" s="15">
        <f t="shared" si="127"/>
        <v>0</v>
      </c>
      <c r="CO69" s="15">
        <f t="shared" si="137"/>
        <v>0</v>
      </c>
      <c r="CP69" s="15">
        <f t="shared" si="147"/>
        <v>0</v>
      </c>
      <c r="CQ69" s="15">
        <f t="shared" si="157"/>
        <v>0</v>
      </c>
      <c r="CR69" s="15">
        <f t="shared" si="167"/>
        <v>0</v>
      </c>
      <c r="CS69" s="15">
        <f t="shared" si="177"/>
        <v>0</v>
      </c>
      <c r="CT69" s="15">
        <f t="shared" si="187"/>
        <v>0</v>
      </c>
      <c r="CU69" s="15">
        <f t="shared" si="197"/>
        <v>0</v>
      </c>
      <c r="CV69" s="15">
        <f t="shared" si="207"/>
        <v>0</v>
      </c>
      <c r="CW69" s="15">
        <f t="shared" si="217"/>
        <v>0</v>
      </c>
      <c r="CX69" s="15">
        <v>70.275499999999994</v>
      </c>
      <c r="CY69" s="15">
        <f t="shared" si="228"/>
        <v>77.275000000000006</v>
      </c>
      <c r="CZ69" s="15">
        <f t="shared" si="128"/>
        <v>66.194800000000001</v>
      </c>
      <c r="DA69" s="15">
        <f t="shared" si="138"/>
        <v>72.320400000000006</v>
      </c>
      <c r="DB69" s="15">
        <f t="shared" si="148"/>
        <v>79.0321</v>
      </c>
      <c r="DC69" s="15">
        <f t="shared" si="158"/>
        <v>81.788200000000003</v>
      </c>
      <c r="DD69" s="15">
        <f t="shared" si="168"/>
        <v>78.042900000000003</v>
      </c>
      <c r="DE69" s="15">
        <f t="shared" si="178"/>
        <v>76.767700000000005</v>
      </c>
      <c r="DF69" s="15">
        <f t="shared" si="188"/>
        <v>72.439700000000002</v>
      </c>
      <c r="DG69" s="15">
        <f t="shared" si="198"/>
        <v>76.759500000000003</v>
      </c>
      <c r="DH69" s="15">
        <f t="shared" si="208"/>
        <v>70.6601</v>
      </c>
      <c r="DI69" s="15">
        <f t="shared" si="218"/>
        <v>76.821100000000001</v>
      </c>
      <c r="DJ69" s="15" t="s">
        <v>23</v>
      </c>
      <c r="DK69" s="15" t="str">
        <f t="shared" si="229"/>
        <v>LH</v>
      </c>
      <c r="DL69" s="15" t="str">
        <f t="shared" si="129"/>
        <v>HH</v>
      </c>
      <c r="DM69" s="15" t="str">
        <f t="shared" si="139"/>
        <v>LH</v>
      </c>
      <c r="DN69" s="15" t="str">
        <f t="shared" si="149"/>
        <v>LH</v>
      </c>
      <c r="DO69" s="15" t="str">
        <f t="shared" si="159"/>
        <v>HH</v>
      </c>
      <c r="DP69" s="15" t="str">
        <f t="shared" si="169"/>
        <v>HH</v>
      </c>
      <c r="DQ69" s="15" t="str">
        <f t="shared" si="179"/>
        <v>LH</v>
      </c>
      <c r="DR69" s="15" t="str">
        <f t="shared" si="189"/>
        <v>LH</v>
      </c>
      <c r="DS69" s="15" t="str">
        <f t="shared" si="199"/>
        <v>LH</v>
      </c>
      <c r="DT69" s="15" t="str">
        <f t="shared" si="209"/>
        <v>HH</v>
      </c>
      <c r="DU69" s="15" t="str">
        <f t="shared" si="219"/>
        <v>LH</v>
      </c>
      <c r="DV69" s="15">
        <f>IFERROR((G69-$F69)/$F69*100,"")</f>
        <v>-0.36809483290787903</v>
      </c>
      <c r="DW69" s="15">
        <f>IFERROR((H69-$F69)/$F69*100,"")</f>
        <v>0.12450573101757377</v>
      </c>
      <c r="DX69" s="15">
        <f>IFERROR((I69-$F69)/$F69*100,"")</f>
        <v>-1.2917730283464222</v>
      </c>
      <c r="DY69" s="15">
        <f>IFERROR((J69-$F69)/$F69*100,"")</f>
        <v>0.25818776381867853</v>
      </c>
      <c r="DZ69" s="15">
        <f>IFERROR((K69-$F69)/$F69*100,"")</f>
        <v>1.3015749870697535</v>
      </c>
      <c r="EA69" s="15">
        <f>IFERROR((L69-$F69)/$F69*100,"")</f>
        <v>-2.0990790329846263</v>
      </c>
      <c r="EB69" s="15">
        <f>IFERROR((M69-$F69)/$F69*100,"")</f>
        <v>-2.7462168610374289</v>
      </c>
      <c r="EC69" s="15">
        <f>IFERROR((N69-$F69)/$F69*100,"")</f>
        <v>-2.650491349250049</v>
      </c>
      <c r="ED69" s="15">
        <f>IFERROR((O69-$F69)/$F69*100,"")</f>
        <v>-2.0256686187163213</v>
      </c>
      <c r="EE69" s="15">
        <f>IFERROR((P69-$F69)/$F69*100,"")</f>
        <v>-1.8454794200577229</v>
      </c>
      <c r="EF69" s="15">
        <f>IFERROR((Q69-$F69)/$F69*100,"")</f>
        <v>-1.9981397133657091</v>
      </c>
      <c r="EG69" s="15" t="str">
        <f>IF(DV69="","",IF(AND(ABS(DV69)&lt;=0.25,$E69="Bottom",DK69="LL"),"EQL",IF(AND(ABS(DV69)&lt;=0.25,$E69="Peak",DK69="HH"),"EQH","")))</f>
        <v/>
      </c>
      <c r="EH69" s="15" t="str">
        <f>IF(DW69="","",IF(AND(ABS(DW69)&lt;=0.25,$E69="Bottom",DL69="LL"),"EQL",IF(AND(ABS(DW69)&lt;=0.25,$E69="Peak",DL69="HH"),"EQH","")))</f>
        <v>EQH</v>
      </c>
      <c r="EI69" s="15" t="str">
        <f>IF(DX69="","",IF(AND(ABS(DX69)&lt;=0.25,$E69="Bottom",DM69="LL"),"EQL",IF(AND(ABS(DX69)&lt;=0.25,$E69="Peak",DM69="HH"),"EQH","")))</f>
        <v/>
      </c>
      <c r="EJ69" s="15" t="str">
        <f>IF(DY69="","",IF(AND(ABS(DY69)&lt;=0.25,$E69="Bottom",DN69="LL"),"EQL",IF(AND(ABS(DY69)&lt;=0.25,$E69="Peak",DN69="HH"),"EQH","")))</f>
        <v/>
      </c>
      <c r="EK69" s="15" t="str">
        <f>IF(DZ69="","",IF(AND(ABS(DZ69)&lt;=0.25,$E69="Bottom",DO69="LL"),"EQL",IF(AND(ABS(DZ69)&lt;=0.25,$E69="Peak",DO69="HH"),"EQH","")))</f>
        <v/>
      </c>
      <c r="EL69" s="15" t="str">
        <f>IF(EA69="","",IF(AND(ABS(EA69)&lt;=0.25,$E69="Bottom",DP69="LL"),"EQL",IF(AND(ABS(EA69)&lt;=0.25,$E69="Peak",DP69="HH"),"EQH","")))</f>
        <v/>
      </c>
      <c r="EM69" s="15" t="str">
        <f>IF(EB69="","",IF(AND(ABS(EB69)&lt;=0.25,$E69="Bottom",DQ69="LL"),"EQL",IF(AND(ABS(EB69)&lt;=0.25,$E69="Peak",DQ69="HH"),"EQH","")))</f>
        <v/>
      </c>
      <c r="EN69" s="15" t="str">
        <f>IF(EC69="","",IF(AND(ABS(EC69)&lt;=0.25,$E69="Bottom",DR69="LL"),"EQL",IF(AND(ABS(EC69)&lt;=0.25,$E69="Peak",DR69="HH"),"EQH","")))</f>
        <v/>
      </c>
      <c r="EO69" s="15" t="str">
        <f>IF(ED69="","",IF(AND(ABS(ED69)&lt;=0.25,$E69="Bottom",DS69="LL"),"EQL",IF(AND(ABS(ED69)&lt;=0.25,$E69="Peak",DS69="HH"),"EQH","")))</f>
        <v/>
      </c>
      <c r="EP69" s="15" t="str">
        <f>IF(EE69="","",IF(AND(ABS(EE69)&lt;=0.25,$E69="Bottom",DT69="LL"),"EQL",IF(AND(ABS(EE69)&lt;=0.25,$E69="Peak",DT69="HH"),"EQH","")))</f>
        <v/>
      </c>
      <c r="EQ69" s="15" t="str">
        <f>IF(EF69="","",IF(AND(ABS(EF69)&lt;=0.25,$E69="Bottom",DU69="LL"),"EQL",IF(AND(ABS(EF69)&lt;=0.25,$E69="Peak",DU69="HH"),"EQH","")))</f>
        <v/>
      </c>
      <c r="ER69" s="15" t="str">
        <f>IF(OR(EG69="EQL",EG69="EQH"),F69,"")</f>
        <v/>
      </c>
      <c r="ES69" s="15">
        <f>IF(OR(EH69="EQL",EH69="EQH"),G69,"")</f>
        <v>4777.3100000000004</v>
      </c>
      <c r="ET69" s="15" t="str">
        <f>IF(OR(EI69="EQL",EI69="EQH"),H69,"")</f>
        <v/>
      </c>
      <c r="EU69" s="15" t="str">
        <f>IF(OR(EJ69="EQL",EJ69="EQH"),I69,"")</f>
        <v/>
      </c>
      <c r="EV69" s="15" t="str">
        <f>IF(OR(EK69="EQL",EK69="EQH"),J69,"")</f>
        <v/>
      </c>
      <c r="EW69" s="15" t="str">
        <f>IF(OR(EL69="EQL",EL69="EQH"),K69,"")</f>
        <v/>
      </c>
      <c r="EX69" s="15" t="str">
        <f>IF(OR(EM69="EQL",EM69="EQH"),L69,"")</f>
        <v/>
      </c>
      <c r="EY69" s="15" t="str">
        <f>IF(OR(EN69="EQL",EN69="EQH"),M69,"")</f>
        <v/>
      </c>
      <c r="EZ69" s="15" t="str">
        <f>IF(OR(EO69="EQL",EO69="EQH"),N69,"")</f>
        <v/>
      </c>
      <c r="FA69" s="15" t="str">
        <f>IF(OR(EP69="EQL",EP69="EQH"),O69,"")</f>
        <v/>
      </c>
      <c r="FB69" s="15" t="str">
        <f>IF(OR(EQ69="EQL",EQ69="EQH"),P69,"")</f>
        <v/>
      </c>
      <c r="FC69" s="15" t="str">
        <f>IF(AND(EG69="EQL",OR(AQ69=4,AQ69=5)),"IEQL",IF(AND(EG69="EQH",OR(AQ69=1,AQ69=2)),"IEQH",""))</f>
        <v/>
      </c>
      <c r="FD69" s="15" t="str">
        <f>IF(AND(EH69="EQL",OR(AR69=4,AR69=5)),"IEQL",IF(AND(EH69="EQH",OR(AR69=1,AR69=2)),"IEQH",""))</f>
        <v/>
      </c>
      <c r="FE69" s="15" t="str">
        <f>IF(AND(EI69="EQL",OR(AS69=4,AS69=5)),"IEQL",IF(AND(EI69="EQH",OR(AS69=1,AS69=2)),"IEQH",""))</f>
        <v/>
      </c>
      <c r="FF69" s="15" t="str">
        <f>IF(AND(EJ69="EQL",OR(AT69=4,AT69=5)),"IEQL",IF(AND(EJ69="EQH",OR(AT69=1,AT69=2)),"IEQH",""))</f>
        <v/>
      </c>
      <c r="FG69" s="15" t="str">
        <f>IF(AND(EK69="EQL",OR(AU69=4,AU69=5)),"IEQL",IF(AND(EK69="EQH",OR(AU69=1,AU69=2)),"IEQH",""))</f>
        <v/>
      </c>
      <c r="FH69" s="15" t="str">
        <f>IF(AND(EL69="EQL",OR(AV69=4,AV69=5)),"IEQL",IF(AND(EL69="EQH",OR(AV69=1,AV69=2)),"IEQH",""))</f>
        <v/>
      </c>
      <c r="FI69" s="15" t="str">
        <f>IF(AND(EM69="EQL",OR(AW69=4,AW69=5)),"IEQL",IF(AND(EM69="EQH",OR(AW69=1,AW69=2)),"IEQH",""))</f>
        <v/>
      </c>
      <c r="FJ69" s="15" t="str">
        <f>IF(AND(EN69="EQL",OR(AX69=4,AX69=5)),"IEQL",IF(AND(EN69="EQH",OR(AX69=1,AX69=2)),"IEQH",""))</f>
        <v/>
      </c>
      <c r="FK69" s="15" t="str">
        <f>IF(AND(EO69="EQL",OR(AY69=4,AY69=5)),"IEQL",IF(AND(EO69="EQH",OR(AY69=1,AY69=2)),"IEQH",""))</f>
        <v/>
      </c>
      <c r="FL69" s="15" t="str">
        <f>IF(AND(EP69="EQL",OR(AZ69=4,AZ69=5)),"IEQL",IF(AND(EP69="EQH",OR(AZ69=1,AZ69=2)),"IEQH",""))</f>
        <v/>
      </c>
      <c r="FM69" s="15" t="str">
        <f>IF(AND(EQ69="EQL",OR(BA69=4,BA69=5)),"IEQL",IF(AND(EQ69="EQH",OR(BA69=1,BA69=2)),"IEQH",""))</f>
        <v/>
      </c>
      <c r="FN69" s="15" t="str">
        <f>IF(OR(AND(DJ69="LL",AP69=5),AND(DJ69="HH",AP69=2)),F69,"")</f>
        <v/>
      </c>
      <c r="FO69" s="15" t="str">
        <f>IF(FN69&lt;&gt;"",F68,"")</f>
        <v/>
      </c>
    </row>
    <row r="70" spans="1:171" s="15" customFormat="1" x14ac:dyDescent="0.55000000000000004">
      <c r="A70" s="15">
        <v>1775836806</v>
      </c>
      <c r="B70" s="15" t="s">
        <v>16</v>
      </c>
      <c r="C70" s="15" t="s">
        <v>17</v>
      </c>
      <c r="D70" s="15">
        <v>4763.3599999999997</v>
      </c>
      <c r="E70" s="15" t="s">
        <v>18</v>
      </c>
      <c r="F70" s="15">
        <v>4747.5</v>
      </c>
      <c r="G70" s="15">
        <f t="shared" si="220"/>
        <v>4730.8100000000004</v>
      </c>
      <c r="H70" s="15">
        <f t="shared" ref="H70:H101" si="230">F66</f>
        <v>4750.74</v>
      </c>
      <c r="I70" s="15">
        <f t="shared" si="130"/>
        <v>4703.46</v>
      </c>
      <c r="J70" s="15">
        <f t="shared" si="140"/>
        <v>4698.51</v>
      </c>
      <c r="K70" s="15">
        <f t="shared" si="150"/>
        <v>4771.22</v>
      </c>
      <c r="L70" s="15">
        <f t="shared" si="160"/>
        <v>4607.91</v>
      </c>
      <c r="M70" s="15">
        <f t="shared" si="170"/>
        <v>4623.4799999999996</v>
      </c>
      <c r="N70" s="15">
        <f t="shared" si="180"/>
        <v>4616.5</v>
      </c>
      <c r="O70" s="15">
        <f t="shared" si="190"/>
        <v>4645.75</v>
      </c>
      <c r="P70" s="15">
        <f t="shared" si="200"/>
        <v>4659.58</v>
      </c>
      <c r="Q70" s="15">
        <f t="shared" si="210"/>
        <v>4601.05</v>
      </c>
      <c r="R70" s="15">
        <v>-47.46</v>
      </c>
      <c r="S70" s="15">
        <f t="shared" si="221"/>
        <v>-46.5</v>
      </c>
      <c r="T70" s="15">
        <f t="shared" ref="T70:T101" si="231">R66</f>
        <v>-50.19</v>
      </c>
      <c r="U70" s="15">
        <f t="shared" si="131"/>
        <v>-29.56</v>
      </c>
      <c r="V70" s="15">
        <f t="shared" si="141"/>
        <v>-108.83</v>
      </c>
      <c r="W70" s="15">
        <f t="shared" si="151"/>
        <v>-86.15</v>
      </c>
      <c r="X70" s="15">
        <f t="shared" si="161"/>
        <v>-86.4</v>
      </c>
      <c r="Y70" s="15">
        <f t="shared" si="171"/>
        <v>-39.799999999999997</v>
      </c>
      <c r="Z70" s="15">
        <f t="shared" si="181"/>
        <v>-51.37</v>
      </c>
      <c r="AA70" s="15">
        <f t="shared" si="191"/>
        <v>-52.08</v>
      </c>
      <c r="AB70" s="15">
        <f t="shared" si="201"/>
        <v>-46.89</v>
      </c>
      <c r="AC70" s="15">
        <f t="shared" si="211"/>
        <v>-98.1</v>
      </c>
      <c r="AD70" s="15">
        <v>-0.99</v>
      </c>
      <c r="AE70" s="15">
        <f t="shared" si="222"/>
        <v>-0.97</v>
      </c>
      <c r="AF70" s="15">
        <f t="shared" ref="AF70:AF101" si="232">AD66</f>
        <v>-1.05</v>
      </c>
      <c r="AG70" s="15">
        <f t="shared" si="132"/>
        <v>-0.62</v>
      </c>
      <c r="AH70" s="15">
        <f t="shared" si="142"/>
        <v>-2.2599999999999998</v>
      </c>
      <c r="AI70" s="15">
        <f t="shared" si="152"/>
        <v>-1.77</v>
      </c>
      <c r="AJ70" s="15">
        <f t="shared" si="162"/>
        <v>-1.84</v>
      </c>
      <c r="AK70" s="15">
        <f t="shared" si="172"/>
        <v>-0.85</v>
      </c>
      <c r="AL70" s="15">
        <f t="shared" si="182"/>
        <v>-1.1000000000000001</v>
      </c>
      <c r="AM70" s="15">
        <f t="shared" si="192"/>
        <v>-1.1100000000000001</v>
      </c>
      <c r="AN70" s="15">
        <f t="shared" si="202"/>
        <v>-1</v>
      </c>
      <c r="AO70" s="15">
        <f t="shared" si="212"/>
        <v>-2.09</v>
      </c>
      <c r="AP70" s="15">
        <v>3</v>
      </c>
      <c r="AQ70" s="15">
        <f t="shared" si="223"/>
        <v>3</v>
      </c>
      <c r="AR70" s="15">
        <f t="shared" ref="AR70:AR101" si="233">AP66</f>
        <v>3</v>
      </c>
      <c r="AS70" s="15">
        <f t="shared" si="133"/>
        <v>3</v>
      </c>
      <c r="AT70" s="15">
        <f t="shared" si="143"/>
        <v>3</v>
      </c>
      <c r="AU70" s="15">
        <f t="shared" si="153"/>
        <v>3</v>
      </c>
      <c r="AV70" s="15">
        <f t="shared" si="163"/>
        <v>3</v>
      </c>
      <c r="AW70" s="15">
        <f t="shared" si="173"/>
        <v>3</v>
      </c>
      <c r="AX70" s="15">
        <f t="shared" si="183"/>
        <v>3</v>
      </c>
      <c r="AY70" s="15">
        <f t="shared" si="193"/>
        <v>3</v>
      </c>
      <c r="AZ70" s="15">
        <f t="shared" si="203"/>
        <v>3</v>
      </c>
      <c r="BA70" s="15">
        <f t="shared" si="213"/>
        <v>3</v>
      </c>
      <c r="BB70" s="15">
        <v>6</v>
      </c>
      <c r="BC70" s="15">
        <f t="shared" si="224"/>
        <v>29</v>
      </c>
      <c r="BD70" s="15">
        <f t="shared" ref="BD70:BD101" si="234">BB66</f>
        <v>22</v>
      </c>
      <c r="BE70" s="15">
        <f t="shared" si="134"/>
        <v>16</v>
      </c>
      <c r="BF70" s="15">
        <f t="shared" si="144"/>
        <v>44</v>
      </c>
      <c r="BG70" s="15">
        <f t="shared" si="154"/>
        <v>41</v>
      </c>
      <c r="BH70" s="15">
        <f t="shared" si="164"/>
        <v>19</v>
      </c>
      <c r="BI70" s="15">
        <f t="shared" si="174"/>
        <v>4</v>
      </c>
      <c r="BJ70" s="15">
        <f t="shared" si="184"/>
        <v>15</v>
      </c>
      <c r="BK70" s="15">
        <f t="shared" si="194"/>
        <v>19</v>
      </c>
      <c r="BL70" s="15">
        <f t="shared" si="204"/>
        <v>11</v>
      </c>
      <c r="BM70" s="15">
        <f t="shared" si="214"/>
        <v>35</v>
      </c>
      <c r="BN70" s="15">
        <v>3</v>
      </c>
      <c r="BO70" s="15">
        <f t="shared" si="225"/>
        <v>3</v>
      </c>
      <c r="BP70" s="15">
        <f t="shared" ref="BP70:BP101" si="235">BN66</f>
        <v>3</v>
      </c>
      <c r="BQ70" s="15">
        <f t="shared" si="135"/>
        <v>3</v>
      </c>
      <c r="BR70" s="15">
        <f t="shared" si="145"/>
        <v>4</v>
      </c>
      <c r="BS70" s="15">
        <f t="shared" si="155"/>
        <v>4</v>
      </c>
      <c r="BT70" s="15">
        <f t="shared" si="165"/>
        <v>3</v>
      </c>
      <c r="BU70" s="15">
        <f t="shared" si="175"/>
        <v>3</v>
      </c>
      <c r="BV70" s="15">
        <f t="shared" si="185"/>
        <v>3</v>
      </c>
      <c r="BW70" s="15">
        <f t="shared" si="195"/>
        <v>3</v>
      </c>
      <c r="BX70" s="15">
        <f t="shared" si="205"/>
        <v>3</v>
      </c>
      <c r="BY70" s="15">
        <f t="shared" si="215"/>
        <v>3</v>
      </c>
      <c r="BZ70" s="15">
        <v>-7.91</v>
      </c>
      <c r="CA70" s="15">
        <f t="shared" si="226"/>
        <v>-1.60345</v>
      </c>
      <c r="CB70" s="15">
        <f t="shared" ref="CB70:CB101" si="236">BZ66</f>
        <v>-2.2813599999999998</v>
      </c>
      <c r="CC70" s="15">
        <f t="shared" si="136"/>
        <v>-1.8474999999999999</v>
      </c>
      <c r="CD70" s="15">
        <f t="shared" si="146"/>
        <v>-2.4734099999999999</v>
      </c>
      <c r="CE70" s="15">
        <f t="shared" si="156"/>
        <v>-2.1012200000000001</v>
      </c>
      <c r="CF70" s="15">
        <f t="shared" si="166"/>
        <v>-4.5473699999999999</v>
      </c>
      <c r="CG70" s="15">
        <f t="shared" si="176"/>
        <v>-9.9499999999999993</v>
      </c>
      <c r="CH70" s="15">
        <f t="shared" si="186"/>
        <v>-3.4246699999999999</v>
      </c>
      <c r="CI70" s="15">
        <f t="shared" si="196"/>
        <v>-2.74105</v>
      </c>
      <c r="CJ70" s="15">
        <f t="shared" si="206"/>
        <v>-4.2627300000000004</v>
      </c>
      <c r="CK70" s="15">
        <f t="shared" si="216"/>
        <v>-2.8028599999999999</v>
      </c>
      <c r="CL70" s="15">
        <v>3</v>
      </c>
      <c r="CM70" s="15">
        <f t="shared" si="227"/>
        <v>3</v>
      </c>
      <c r="CN70" s="15">
        <f t="shared" ref="CN70:CN101" si="237">CL66</f>
        <v>3</v>
      </c>
      <c r="CO70" s="15">
        <f t="shared" si="137"/>
        <v>3</v>
      </c>
      <c r="CP70" s="15">
        <f t="shared" si="147"/>
        <v>3</v>
      </c>
      <c r="CQ70" s="15">
        <f t="shared" si="157"/>
        <v>3</v>
      </c>
      <c r="CR70" s="15">
        <f t="shared" si="167"/>
        <v>3</v>
      </c>
      <c r="CS70" s="15">
        <f t="shared" si="177"/>
        <v>3</v>
      </c>
      <c r="CT70" s="15">
        <f t="shared" si="187"/>
        <v>3</v>
      </c>
      <c r="CU70" s="15">
        <f t="shared" si="197"/>
        <v>3</v>
      </c>
      <c r="CV70" s="15">
        <f t="shared" si="207"/>
        <v>3</v>
      </c>
      <c r="CW70" s="15">
        <f t="shared" si="217"/>
        <v>3</v>
      </c>
      <c r="CX70" s="15">
        <v>-82.794799999999995</v>
      </c>
      <c r="CY70" s="15">
        <f t="shared" si="228"/>
        <v>-58.05</v>
      </c>
      <c r="CZ70" s="15">
        <f t="shared" ref="CZ70:CZ101" si="238">CX66</f>
        <v>-66.330500000000001</v>
      </c>
      <c r="DA70" s="15">
        <f t="shared" si="138"/>
        <v>-61.574599999999997</v>
      </c>
      <c r="DB70" s="15">
        <f t="shared" si="148"/>
        <v>-67.986500000000007</v>
      </c>
      <c r="DC70" s="15">
        <f t="shared" si="158"/>
        <v>-64.549599999999998</v>
      </c>
      <c r="DD70" s="15">
        <f t="shared" si="168"/>
        <v>-77.5976</v>
      </c>
      <c r="DE70" s="15">
        <f t="shared" si="178"/>
        <v>-84.260900000000007</v>
      </c>
      <c r="DF70" s="15">
        <f t="shared" si="188"/>
        <v>-73.722200000000001</v>
      </c>
      <c r="DG70" s="15">
        <f t="shared" si="198"/>
        <v>-69.956800000000001</v>
      </c>
      <c r="DH70" s="15">
        <f t="shared" si="208"/>
        <v>-76.797600000000003</v>
      </c>
      <c r="DI70" s="15">
        <f t="shared" si="218"/>
        <v>-70.364699999999999</v>
      </c>
      <c r="DJ70" s="15" t="s">
        <v>22</v>
      </c>
      <c r="DK70" s="15" t="str">
        <f t="shared" si="229"/>
        <v>LL</v>
      </c>
      <c r="DL70" s="15" t="str">
        <f t="shared" ref="DL70:DL101" si="239">DJ66</f>
        <v>HL</v>
      </c>
      <c r="DM70" s="15" t="str">
        <f t="shared" si="139"/>
        <v>HL</v>
      </c>
      <c r="DN70" s="15" t="str">
        <f t="shared" si="149"/>
        <v>LL</v>
      </c>
      <c r="DO70" s="15" t="str">
        <f t="shared" si="159"/>
        <v>HL</v>
      </c>
      <c r="DP70" s="15" t="str">
        <f t="shared" si="169"/>
        <v>LL</v>
      </c>
      <c r="DQ70" s="15" t="str">
        <f t="shared" si="179"/>
        <v>HL</v>
      </c>
      <c r="DR70" s="15" t="str">
        <f t="shared" si="189"/>
        <v>LL</v>
      </c>
      <c r="DS70" s="15" t="str">
        <f t="shared" si="199"/>
        <v>LL</v>
      </c>
      <c r="DT70" s="15" t="str">
        <f t="shared" si="209"/>
        <v>HL</v>
      </c>
      <c r="DU70" s="15" t="str">
        <f t="shared" si="219"/>
        <v>HL</v>
      </c>
      <c r="DV70" s="15">
        <f>IFERROR((G70-$F70)/$F70*100,"")</f>
        <v>-0.35155344918377252</v>
      </c>
      <c r="DW70" s="15">
        <f>IFERROR((H70-$F70)/$F70*100,"")</f>
        <v>6.8246445497625735E-2</v>
      </c>
      <c r="DX70" s="15">
        <f>IFERROR((I70-$F70)/$F70*100,"")</f>
        <v>-0.92764612954186343</v>
      </c>
      <c r="DY70" s="15">
        <f>IFERROR((J70-$F70)/$F70*100,"")</f>
        <v>-1.0319115323854615</v>
      </c>
      <c r="DZ70" s="15">
        <f>IFERROR((K70-$F70)/$F70*100,"")</f>
        <v>0.4996313849394472</v>
      </c>
      <c r="EA70" s="15">
        <f>IFERROR((L70-$F70)/$F70*100,"")</f>
        <v>-2.9402843601895765</v>
      </c>
      <c r="EB70" s="15">
        <f>IFERROR((M70-$F70)/$F70*100,"")</f>
        <v>-2.6123222748815258</v>
      </c>
      <c r="EC70" s="15">
        <f>IFERROR((N70-$F70)/$F70*100,"")</f>
        <v>-2.7593470247498684</v>
      </c>
      <c r="ED70" s="15">
        <f>IFERROR((O70-$F70)/$F70*100,"")</f>
        <v>-2.1432332806740386</v>
      </c>
      <c r="EE70" s="15">
        <f>IFERROR((P70-$F70)/$F70*100,"")</f>
        <v>-1.8519220642443406</v>
      </c>
      <c r="EF70" s="15">
        <f>IFERROR((Q70-$F70)/$F70*100,"")</f>
        <v>-3.0847814639283793</v>
      </c>
      <c r="EG70" s="15" t="str">
        <f>IF(DV70="","",IF(AND(ABS(DV70)&lt;=0.25,$E70="Bottom",DK70="LL"),"EQL",IF(AND(ABS(DV70)&lt;=0.25,$E70="Peak",DK70="HH"),"EQH","")))</f>
        <v/>
      </c>
      <c r="EH70" s="15" t="str">
        <f>IF(DW70="","",IF(AND(ABS(DW70)&lt;=0.25,$E70="Bottom",DL70="LL"),"EQL",IF(AND(ABS(DW70)&lt;=0.25,$E70="Peak",DL70="HH"),"EQH","")))</f>
        <v/>
      </c>
      <c r="EI70" s="15" t="str">
        <f>IF(DX70="","",IF(AND(ABS(DX70)&lt;=0.25,$E70="Bottom",DM70="LL"),"EQL",IF(AND(ABS(DX70)&lt;=0.25,$E70="Peak",DM70="HH"),"EQH","")))</f>
        <v/>
      </c>
      <c r="EJ70" s="15" t="str">
        <f>IF(DY70="","",IF(AND(ABS(DY70)&lt;=0.25,$E70="Bottom",DN70="LL"),"EQL",IF(AND(ABS(DY70)&lt;=0.25,$E70="Peak",DN70="HH"),"EQH","")))</f>
        <v/>
      </c>
      <c r="EK70" s="15" t="str">
        <f>IF(DZ70="","",IF(AND(ABS(DZ70)&lt;=0.25,$E70="Bottom",DO70="LL"),"EQL",IF(AND(ABS(DZ70)&lt;=0.25,$E70="Peak",DO70="HH"),"EQH","")))</f>
        <v/>
      </c>
      <c r="EL70" s="15" t="str">
        <f>IF(EA70="","",IF(AND(ABS(EA70)&lt;=0.25,$E70="Bottom",DP70="LL"),"EQL",IF(AND(ABS(EA70)&lt;=0.25,$E70="Peak",DP70="HH"),"EQH","")))</f>
        <v/>
      </c>
      <c r="EM70" s="15" t="str">
        <f>IF(EB70="","",IF(AND(ABS(EB70)&lt;=0.25,$E70="Bottom",DQ70="LL"),"EQL",IF(AND(ABS(EB70)&lt;=0.25,$E70="Peak",DQ70="HH"),"EQH","")))</f>
        <v/>
      </c>
      <c r="EN70" s="15" t="str">
        <f>IF(EC70="","",IF(AND(ABS(EC70)&lt;=0.25,$E70="Bottom",DR70="LL"),"EQL",IF(AND(ABS(EC70)&lt;=0.25,$E70="Peak",DR70="HH"),"EQH","")))</f>
        <v/>
      </c>
      <c r="EO70" s="15" t="str">
        <f>IF(ED70="","",IF(AND(ABS(ED70)&lt;=0.25,$E70="Bottom",DS70="LL"),"EQL",IF(AND(ABS(ED70)&lt;=0.25,$E70="Peak",DS70="HH"),"EQH","")))</f>
        <v/>
      </c>
      <c r="EP70" s="15" t="str">
        <f>IF(EE70="","",IF(AND(ABS(EE70)&lt;=0.25,$E70="Bottom",DT70="LL"),"EQL",IF(AND(ABS(EE70)&lt;=0.25,$E70="Peak",DT70="HH"),"EQH","")))</f>
        <v/>
      </c>
      <c r="EQ70" s="15" t="str">
        <f>IF(EF70="","",IF(AND(ABS(EF70)&lt;=0.25,$E70="Bottom",DU70="LL"),"EQL",IF(AND(ABS(EF70)&lt;=0.25,$E70="Peak",DU70="HH"),"EQH","")))</f>
        <v/>
      </c>
      <c r="ER70" s="15" t="str">
        <f>IF(OR(EG70="EQL",EG70="EQH"),F70,"")</f>
        <v/>
      </c>
      <c r="ES70" s="15" t="str">
        <f>IF(OR(EH70="EQL",EH70="EQH"),G70,"")</f>
        <v/>
      </c>
      <c r="ET70" s="15" t="str">
        <f>IF(OR(EI70="EQL",EI70="EQH"),H70,"")</f>
        <v/>
      </c>
      <c r="EU70" s="15" t="str">
        <f>IF(OR(EJ70="EQL",EJ70="EQH"),I70,"")</f>
        <v/>
      </c>
      <c r="EV70" s="15" t="str">
        <f>IF(OR(EK70="EQL",EK70="EQH"),J70,"")</f>
        <v/>
      </c>
      <c r="EW70" s="15" t="str">
        <f>IF(OR(EL70="EQL",EL70="EQH"),K70,"")</f>
        <v/>
      </c>
      <c r="EX70" s="15" t="str">
        <f>IF(OR(EM70="EQL",EM70="EQH"),L70,"")</f>
        <v/>
      </c>
      <c r="EY70" s="15" t="str">
        <f>IF(OR(EN70="EQL",EN70="EQH"),M70,"")</f>
        <v/>
      </c>
      <c r="EZ70" s="15" t="str">
        <f>IF(OR(EO70="EQL",EO70="EQH"),N70,"")</f>
        <v/>
      </c>
      <c r="FA70" s="15" t="str">
        <f>IF(OR(EP70="EQL",EP70="EQH"),O70,"")</f>
        <v/>
      </c>
      <c r="FB70" s="15" t="str">
        <f>IF(OR(EQ70="EQL",EQ70="EQH"),P70,"")</f>
        <v/>
      </c>
      <c r="FC70" s="15" t="str">
        <f>IF(AND(EG70="EQL",OR(AQ70=4,AQ70=5)),"IEQL",IF(AND(EG70="EQH",OR(AQ70=1,AQ70=2)),"IEQH",""))</f>
        <v/>
      </c>
      <c r="FD70" s="15" t="str">
        <f>IF(AND(EH70="EQL",OR(AR70=4,AR70=5)),"IEQL",IF(AND(EH70="EQH",OR(AR70=1,AR70=2)),"IEQH",""))</f>
        <v/>
      </c>
      <c r="FE70" s="15" t="str">
        <f>IF(AND(EI70="EQL",OR(AS70=4,AS70=5)),"IEQL",IF(AND(EI70="EQH",OR(AS70=1,AS70=2)),"IEQH",""))</f>
        <v/>
      </c>
      <c r="FF70" s="15" t="str">
        <f>IF(AND(EJ70="EQL",OR(AT70=4,AT70=5)),"IEQL",IF(AND(EJ70="EQH",OR(AT70=1,AT70=2)),"IEQH",""))</f>
        <v/>
      </c>
      <c r="FG70" s="15" t="str">
        <f>IF(AND(EK70="EQL",OR(AU70=4,AU70=5)),"IEQL",IF(AND(EK70="EQH",OR(AU70=1,AU70=2)),"IEQH",""))</f>
        <v/>
      </c>
      <c r="FH70" s="15" t="str">
        <f>IF(AND(EL70="EQL",OR(AV70=4,AV70=5)),"IEQL",IF(AND(EL70="EQH",OR(AV70=1,AV70=2)),"IEQH",""))</f>
        <v/>
      </c>
      <c r="FI70" s="15" t="str">
        <f>IF(AND(EM70="EQL",OR(AW70=4,AW70=5)),"IEQL",IF(AND(EM70="EQH",OR(AW70=1,AW70=2)),"IEQH",""))</f>
        <v/>
      </c>
      <c r="FJ70" s="15" t="str">
        <f>IF(AND(EN70="EQL",OR(AX70=4,AX70=5)),"IEQL",IF(AND(EN70="EQH",OR(AX70=1,AX70=2)),"IEQH",""))</f>
        <v/>
      </c>
      <c r="FK70" s="15" t="str">
        <f>IF(AND(EO70="EQL",OR(AY70=4,AY70=5)),"IEQL",IF(AND(EO70="EQH",OR(AY70=1,AY70=2)),"IEQH",""))</f>
        <v/>
      </c>
      <c r="FL70" s="15" t="str">
        <f>IF(AND(EP70="EQL",OR(AZ70=4,AZ70=5)),"IEQL",IF(AND(EP70="EQH",OR(AZ70=1,AZ70=2)),"IEQH",""))</f>
        <v/>
      </c>
      <c r="FM70" s="15" t="str">
        <f>IF(AND(EQ70="EQL",OR(BA70=4,BA70=5)),"IEQL",IF(AND(EQ70="EQH",OR(BA70=1,BA70=2)),"IEQH",""))</f>
        <v/>
      </c>
      <c r="FN70" s="15" t="str">
        <f>IF(OR(AND(DJ70="LL",AP70=5),AND(DJ70="HH",AP70=2)),F70,"")</f>
        <v/>
      </c>
      <c r="FO70" s="15" t="str">
        <f>IF(FN70&lt;&gt;"",F69,"")</f>
        <v/>
      </c>
    </row>
    <row r="71" spans="1:171" s="15" customFormat="1" x14ac:dyDescent="0.55000000000000004">
      <c r="A71" s="15">
        <v>1775845806</v>
      </c>
      <c r="B71" s="15" t="s">
        <v>16</v>
      </c>
      <c r="C71" s="15" t="s">
        <v>17</v>
      </c>
      <c r="D71" s="15">
        <v>4768.22</v>
      </c>
      <c r="E71" s="15" t="s">
        <v>20</v>
      </c>
      <c r="F71" s="15">
        <v>4773.08</v>
      </c>
      <c r="G71" s="15">
        <f t="shared" si="220"/>
        <v>4794.96</v>
      </c>
      <c r="H71" s="15">
        <f t="shared" si="230"/>
        <v>4777.3100000000004</v>
      </c>
      <c r="I71" s="15">
        <f t="shared" si="130"/>
        <v>4800.93</v>
      </c>
      <c r="J71" s="15">
        <f t="shared" si="140"/>
        <v>4733.0200000000004</v>
      </c>
      <c r="K71" s="15">
        <f t="shared" si="150"/>
        <v>4807.34</v>
      </c>
      <c r="L71" s="15">
        <f t="shared" si="160"/>
        <v>4857.37</v>
      </c>
      <c r="M71" s="15">
        <f t="shared" si="170"/>
        <v>4694.3100000000004</v>
      </c>
      <c r="N71" s="15">
        <f t="shared" si="180"/>
        <v>4663.28</v>
      </c>
      <c r="O71" s="15">
        <f t="shared" si="190"/>
        <v>4667.87</v>
      </c>
      <c r="P71" s="15">
        <f t="shared" si="200"/>
        <v>4697.83</v>
      </c>
      <c r="Q71" s="15">
        <f t="shared" si="210"/>
        <v>4706.47</v>
      </c>
      <c r="R71" s="15">
        <v>25.58</v>
      </c>
      <c r="S71" s="15">
        <f t="shared" si="221"/>
        <v>64.150000000000006</v>
      </c>
      <c r="T71" s="15">
        <f t="shared" si="231"/>
        <v>26.57</v>
      </c>
      <c r="U71" s="15">
        <f t="shared" si="131"/>
        <v>97.47</v>
      </c>
      <c r="V71" s="15">
        <f t="shared" si="141"/>
        <v>34.51</v>
      </c>
      <c r="W71" s="15">
        <f t="shared" si="151"/>
        <v>36.119999999999997</v>
      </c>
      <c r="X71" s="15">
        <f t="shared" si="161"/>
        <v>249.46</v>
      </c>
      <c r="Y71" s="15">
        <f t="shared" si="171"/>
        <v>70.83</v>
      </c>
      <c r="Z71" s="15">
        <f t="shared" si="181"/>
        <v>46.78</v>
      </c>
      <c r="AA71" s="15">
        <f t="shared" si="191"/>
        <v>22.12</v>
      </c>
      <c r="AB71" s="15">
        <f t="shared" si="201"/>
        <v>38.25</v>
      </c>
      <c r="AC71" s="15">
        <f t="shared" si="211"/>
        <v>105.42</v>
      </c>
      <c r="AD71" s="15">
        <v>0.54</v>
      </c>
      <c r="AE71" s="15">
        <f t="shared" si="222"/>
        <v>1.36</v>
      </c>
      <c r="AF71" s="15">
        <f t="shared" si="232"/>
        <v>0.56000000000000005</v>
      </c>
      <c r="AG71" s="15">
        <f t="shared" si="132"/>
        <v>2.0699999999999998</v>
      </c>
      <c r="AH71" s="15">
        <f t="shared" si="142"/>
        <v>0.73</v>
      </c>
      <c r="AI71" s="15">
        <f t="shared" si="152"/>
        <v>0.76</v>
      </c>
      <c r="AJ71" s="15">
        <f t="shared" si="162"/>
        <v>5.41</v>
      </c>
      <c r="AK71" s="15">
        <f t="shared" si="172"/>
        <v>1.53</v>
      </c>
      <c r="AL71" s="15">
        <f t="shared" si="182"/>
        <v>1.01</v>
      </c>
      <c r="AM71" s="15">
        <f t="shared" si="192"/>
        <v>0.48</v>
      </c>
      <c r="AN71" s="15">
        <f t="shared" si="202"/>
        <v>0.82</v>
      </c>
      <c r="AO71" s="15">
        <f t="shared" si="212"/>
        <v>2.29</v>
      </c>
      <c r="AP71" s="15">
        <v>0</v>
      </c>
      <c r="AQ71" s="15">
        <f t="shared" si="223"/>
        <v>0</v>
      </c>
      <c r="AR71" s="15">
        <f t="shared" si="233"/>
        <v>0</v>
      </c>
      <c r="AS71" s="15">
        <f t="shared" si="133"/>
        <v>0</v>
      </c>
      <c r="AT71" s="15">
        <f t="shared" si="143"/>
        <v>0</v>
      </c>
      <c r="AU71" s="15">
        <f t="shared" si="153"/>
        <v>0</v>
      </c>
      <c r="AV71" s="15">
        <f t="shared" si="163"/>
        <v>2</v>
      </c>
      <c r="AW71" s="15">
        <f t="shared" si="173"/>
        <v>0</v>
      </c>
      <c r="AX71" s="15">
        <f t="shared" si="183"/>
        <v>0</v>
      </c>
      <c r="AY71" s="15">
        <f t="shared" si="193"/>
        <v>0</v>
      </c>
      <c r="AZ71" s="15">
        <f t="shared" si="203"/>
        <v>0</v>
      </c>
      <c r="BA71" s="15">
        <f t="shared" si="213"/>
        <v>0</v>
      </c>
      <c r="BB71" s="15">
        <v>10</v>
      </c>
      <c r="BC71" s="15">
        <f t="shared" si="224"/>
        <v>23</v>
      </c>
      <c r="BD71" s="15">
        <f t="shared" si="234"/>
        <v>6</v>
      </c>
      <c r="BE71" s="15">
        <f t="shared" si="134"/>
        <v>43</v>
      </c>
      <c r="BF71" s="15">
        <f t="shared" si="144"/>
        <v>11</v>
      </c>
      <c r="BG71" s="15">
        <f t="shared" si="154"/>
        <v>7</v>
      </c>
      <c r="BH71" s="15">
        <f t="shared" si="164"/>
        <v>36</v>
      </c>
      <c r="BI71" s="15">
        <f t="shared" si="174"/>
        <v>15</v>
      </c>
      <c r="BJ71" s="15">
        <f t="shared" si="184"/>
        <v>11</v>
      </c>
      <c r="BK71" s="15">
        <f t="shared" si="194"/>
        <v>7</v>
      </c>
      <c r="BL71" s="15">
        <f t="shared" si="204"/>
        <v>9</v>
      </c>
      <c r="BM71" s="15">
        <f t="shared" si="214"/>
        <v>37</v>
      </c>
      <c r="BN71" s="15">
        <v>0</v>
      </c>
      <c r="BO71" s="15">
        <f t="shared" si="225"/>
        <v>0</v>
      </c>
      <c r="BP71" s="15">
        <f t="shared" si="235"/>
        <v>0</v>
      </c>
      <c r="BQ71" s="15">
        <f t="shared" si="135"/>
        <v>1</v>
      </c>
      <c r="BR71" s="15">
        <f t="shared" si="145"/>
        <v>0</v>
      </c>
      <c r="BS71" s="15">
        <f t="shared" si="155"/>
        <v>0</v>
      </c>
      <c r="BT71" s="15">
        <f t="shared" si="165"/>
        <v>0</v>
      </c>
      <c r="BU71" s="15">
        <f t="shared" si="175"/>
        <v>0</v>
      </c>
      <c r="BV71" s="15">
        <f t="shared" si="185"/>
        <v>0</v>
      </c>
      <c r="BW71" s="15">
        <f t="shared" si="195"/>
        <v>0</v>
      </c>
      <c r="BX71" s="15">
        <f t="shared" si="205"/>
        <v>0</v>
      </c>
      <c r="BY71" s="15">
        <f t="shared" si="215"/>
        <v>0</v>
      </c>
      <c r="BZ71" s="15">
        <v>2.5579999999999998</v>
      </c>
      <c r="CA71" s="15">
        <f t="shared" si="226"/>
        <v>2.7891300000000001</v>
      </c>
      <c r="CB71" s="15">
        <f t="shared" si="236"/>
        <v>4.4283299999999999</v>
      </c>
      <c r="CC71" s="15">
        <f t="shared" si="136"/>
        <v>2.26674</v>
      </c>
      <c r="CD71" s="15">
        <f t="shared" si="146"/>
        <v>3.13727</v>
      </c>
      <c r="CE71" s="15">
        <f t="shared" si="156"/>
        <v>5.16</v>
      </c>
      <c r="CF71" s="15">
        <f t="shared" si="166"/>
        <v>6.9294399999999996</v>
      </c>
      <c r="CG71" s="15">
        <f t="shared" si="176"/>
        <v>4.7220000000000004</v>
      </c>
      <c r="CH71" s="15">
        <f t="shared" si="186"/>
        <v>4.2527299999999997</v>
      </c>
      <c r="CI71" s="15">
        <f t="shared" si="196"/>
        <v>3.16</v>
      </c>
      <c r="CJ71" s="15">
        <f t="shared" si="206"/>
        <v>4.25</v>
      </c>
      <c r="CK71" s="15">
        <f t="shared" si="216"/>
        <v>2.8491900000000001</v>
      </c>
      <c r="CL71" s="15">
        <v>0</v>
      </c>
      <c r="CM71" s="15">
        <f t="shared" si="227"/>
        <v>0</v>
      </c>
      <c r="CN71" s="15">
        <f t="shared" si="237"/>
        <v>0</v>
      </c>
      <c r="CO71" s="15">
        <f t="shared" si="137"/>
        <v>0</v>
      </c>
      <c r="CP71" s="15">
        <f t="shared" si="147"/>
        <v>0</v>
      </c>
      <c r="CQ71" s="15">
        <f t="shared" si="157"/>
        <v>0</v>
      </c>
      <c r="CR71" s="15">
        <f t="shared" si="167"/>
        <v>0</v>
      </c>
      <c r="CS71" s="15">
        <f t="shared" si="177"/>
        <v>0</v>
      </c>
      <c r="CT71" s="15">
        <f t="shared" si="187"/>
        <v>0</v>
      </c>
      <c r="CU71" s="15">
        <f t="shared" si="197"/>
        <v>0</v>
      </c>
      <c r="CV71" s="15">
        <f t="shared" si="207"/>
        <v>0</v>
      </c>
      <c r="CW71" s="15">
        <f t="shared" si="217"/>
        <v>0</v>
      </c>
      <c r="CX71" s="15">
        <v>68.647999999999996</v>
      </c>
      <c r="CY71" s="15">
        <f t="shared" si="228"/>
        <v>70.275499999999994</v>
      </c>
      <c r="CZ71" s="15">
        <f t="shared" si="238"/>
        <v>77.275000000000006</v>
      </c>
      <c r="DA71" s="15">
        <f t="shared" si="138"/>
        <v>66.194800000000001</v>
      </c>
      <c r="DB71" s="15">
        <f t="shared" si="148"/>
        <v>72.320400000000006</v>
      </c>
      <c r="DC71" s="15">
        <f t="shared" si="158"/>
        <v>79.0321</v>
      </c>
      <c r="DD71" s="15">
        <f t="shared" si="168"/>
        <v>81.788200000000003</v>
      </c>
      <c r="DE71" s="15">
        <f t="shared" si="178"/>
        <v>78.042900000000003</v>
      </c>
      <c r="DF71" s="15">
        <f t="shared" si="188"/>
        <v>76.767700000000005</v>
      </c>
      <c r="DG71" s="15">
        <f t="shared" si="198"/>
        <v>72.439700000000002</v>
      </c>
      <c r="DH71" s="15">
        <f t="shared" si="208"/>
        <v>76.759500000000003</v>
      </c>
      <c r="DI71" s="15">
        <f t="shared" si="218"/>
        <v>70.6601</v>
      </c>
      <c r="DJ71" s="15" t="s">
        <v>21</v>
      </c>
      <c r="DK71" s="15" t="str">
        <f t="shared" si="229"/>
        <v>HH</v>
      </c>
      <c r="DL71" s="15" t="str">
        <f t="shared" si="239"/>
        <v>LH</v>
      </c>
      <c r="DM71" s="15" t="str">
        <f t="shared" si="139"/>
        <v>HH</v>
      </c>
      <c r="DN71" s="15" t="str">
        <f t="shared" si="149"/>
        <v>LH</v>
      </c>
      <c r="DO71" s="15" t="str">
        <f t="shared" si="159"/>
        <v>LH</v>
      </c>
      <c r="DP71" s="15" t="str">
        <f t="shared" si="169"/>
        <v>HH</v>
      </c>
      <c r="DQ71" s="15" t="str">
        <f t="shared" si="179"/>
        <v>HH</v>
      </c>
      <c r="DR71" s="15" t="str">
        <f t="shared" si="189"/>
        <v>LH</v>
      </c>
      <c r="DS71" s="15" t="str">
        <f t="shared" si="199"/>
        <v>LH</v>
      </c>
      <c r="DT71" s="15" t="str">
        <f t="shared" si="209"/>
        <v>LH</v>
      </c>
      <c r="DU71" s="15" t="str">
        <f t="shared" si="219"/>
        <v>HH</v>
      </c>
      <c r="DV71" s="15">
        <f>IFERROR((G71-$F71)/$F71*100,"")</f>
        <v>0.45840421698358519</v>
      </c>
      <c r="DW71" s="15">
        <f>IFERROR((H71-$F71)/$F71*100,"")</f>
        <v>8.8622021839157794E-2</v>
      </c>
      <c r="DX71" s="15">
        <f>IFERROR((I71-$F71)/$F71*100,"")</f>
        <v>0.5834806875225298</v>
      </c>
      <c r="DY71" s="15">
        <f>IFERROR((J71-$F71)/$F71*100,"")</f>
        <v>-0.83929035339863345</v>
      </c>
      <c r="DZ71" s="15">
        <f>IFERROR((K71-$F71)/$F71*100,"")</f>
        <v>0.71777552439934422</v>
      </c>
      <c r="EA71" s="15">
        <f>IFERROR((L71-$F71)/$F71*100,"")</f>
        <v>1.7659456786812702</v>
      </c>
      <c r="EB71" s="15">
        <f>IFERROR((M71-$F71)/$F71*100,"")</f>
        <v>-1.6502970828060608</v>
      </c>
      <c r="EC71" s="15">
        <f>IFERROR((N71-$F71)/$F71*100,"")</f>
        <v>-2.3004014179523531</v>
      </c>
      <c r="ED71" s="15">
        <f>IFERROR((O71-$F71)/$F71*100,"")</f>
        <v>-2.2042370963822111</v>
      </c>
      <c r="EE71" s="15">
        <f>IFERROR((P71-$F71)/$F71*100,"")</f>
        <v>-1.5765501521030445</v>
      </c>
      <c r="EF71" s="15">
        <f>IFERROR((Q71-$F71)/$F71*100,"")</f>
        <v>-1.3955349585592463</v>
      </c>
      <c r="EG71" s="15" t="str">
        <f>IF(DV71="","",IF(AND(ABS(DV71)&lt;=0.25,$E71="Bottom",DK71="LL"),"EQL",IF(AND(ABS(DV71)&lt;=0.25,$E71="Peak",DK71="HH"),"EQH","")))</f>
        <v/>
      </c>
      <c r="EH71" s="15" t="str">
        <f>IF(DW71="","",IF(AND(ABS(DW71)&lt;=0.25,$E71="Bottom",DL71="LL"),"EQL",IF(AND(ABS(DW71)&lt;=0.25,$E71="Peak",DL71="HH"),"EQH","")))</f>
        <v/>
      </c>
      <c r="EI71" s="15" t="str">
        <f>IF(DX71="","",IF(AND(ABS(DX71)&lt;=0.25,$E71="Bottom",DM71="LL"),"EQL",IF(AND(ABS(DX71)&lt;=0.25,$E71="Peak",DM71="HH"),"EQH","")))</f>
        <v/>
      </c>
      <c r="EJ71" s="15" t="str">
        <f>IF(DY71="","",IF(AND(ABS(DY71)&lt;=0.25,$E71="Bottom",DN71="LL"),"EQL",IF(AND(ABS(DY71)&lt;=0.25,$E71="Peak",DN71="HH"),"EQH","")))</f>
        <v/>
      </c>
      <c r="EK71" s="15" t="str">
        <f>IF(DZ71="","",IF(AND(ABS(DZ71)&lt;=0.25,$E71="Bottom",DO71="LL"),"EQL",IF(AND(ABS(DZ71)&lt;=0.25,$E71="Peak",DO71="HH"),"EQH","")))</f>
        <v/>
      </c>
      <c r="EL71" s="15" t="str">
        <f>IF(EA71="","",IF(AND(ABS(EA71)&lt;=0.25,$E71="Bottom",DP71="LL"),"EQL",IF(AND(ABS(EA71)&lt;=0.25,$E71="Peak",DP71="HH"),"EQH","")))</f>
        <v/>
      </c>
      <c r="EM71" s="15" t="str">
        <f>IF(EB71="","",IF(AND(ABS(EB71)&lt;=0.25,$E71="Bottom",DQ71="LL"),"EQL",IF(AND(ABS(EB71)&lt;=0.25,$E71="Peak",DQ71="HH"),"EQH","")))</f>
        <v/>
      </c>
      <c r="EN71" s="15" t="str">
        <f>IF(EC71="","",IF(AND(ABS(EC71)&lt;=0.25,$E71="Bottom",DR71="LL"),"EQL",IF(AND(ABS(EC71)&lt;=0.25,$E71="Peak",DR71="HH"),"EQH","")))</f>
        <v/>
      </c>
      <c r="EO71" s="15" t="str">
        <f>IF(ED71="","",IF(AND(ABS(ED71)&lt;=0.25,$E71="Bottom",DS71="LL"),"EQL",IF(AND(ABS(ED71)&lt;=0.25,$E71="Peak",DS71="HH"),"EQH","")))</f>
        <v/>
      </c>
      <c r="EP71" s="15" t="str">
        <f>IF(EE71="","",IF(AND(ABS(EE71)&lt;=0.25,$E71="Bottom",DT71="LL"),"EQL",IF(AND(ABS(EE71)&lt;=0.25,$E71="Peak",DT71="HH"),"EQH","")))</f>
        <v/>
      </c>
      <c r="EQ71" s="15" t="str">
        <f>IF(EF71="","",IF(AND(ABS(EF71)&lt;=0.25,$E71="Bottom",DU71="LL"),"EQL",IF(AND(ABS(EF71)&lt;=0.25,$E71="Peak",DU71="HH"),"EQH","")))</f>
        <v/>
      </c>
      <c r="ER71" s="15" t="str">
        <f>IF(OR(EG71="EQL",EG71="EQH"),F71,"")</f>
        <v/>
      </c>
      <c r="ES71" s="15" t="str">
        <f>IF(OR(EH71="EQL",EH71="EQH"),G71,"")</f>
        <v/>
      </c>
      <c r="ET71" s="15" t="str">
        <f>IF(OR(EI71="EQL",EI71="EQH"),H71,"")</f>
        <v/>
      </c>
      <c r="EU71" s="15" t="str">
        <f>IF(OR(EJ71="EQL",EJ71="EQH"),I71,"")</f>
        <v/>
      </c>
      <c r="EV71" s="15" t="str">
        <f>IF(OR(EK71="EQL",EK71="EQH"),J71,"")</f>
        <v/>
      </c>
      <c r="EW71" s="15" t="str">
        <f>IF(OR(EL71="EQL",EL71="EQH"),K71,"")</f>
        <v/>
      </c>
      <c r="EX71" s="15" t="str">
        <f>IF(OR(EM71="EQL",EM71="EQH"),L71,"")</f>
        <v/>
      </c>
      <c r="EY71" s="15" t="str">
        <f>IF(OR(EN71="EQL",EN71="EQH"),M71,"")</f>
        <v/>
      </c>
      <c r="EZ71" s="15" t="str">
        <f>IF(OR(EO71="EQL",EO71="EQH"),N71,"")</f>
        <v/>
      </c>
      <c r="FA71" s="15" t="str">
        <f>IF(OR(EP71="EQL",EP71="EQH"),O71,"")</f>
        <v/>
      </c>
      <c r="FB71" s="15" t="str">
        <f>IF(OR(EQ71="EQL",EQ71="EQH"),P71,"")</f>
        <v/>
      </c>
      <c r="FC71" s="15" t="str">
        <f>IF(AND(EG71="EQL",OR(AQ71=4,AQ71=5)),"IEQL",IF(AND(EG71="EQH",OR(AQ71=1,AQ71=2)),"IEQH",""))</f>
        <v/>
      </c>
      <c r="FD71" s="15" t="str">
        <f>IF(AND(EH71="EQL",OR(AR71=4,AR71=5)),"IEQL",IF(AND(EH71="EQH",OR(AR71=1,AR71=2)),"IEQH",""))</f>
        <v/>
      </c>
      <c r="FE71" s="15" t="str">
        <f>IF(AND(EI71="EQL",OR(AS71=4,AS71=5)),"IEQL",IF(AND(EI71="EQH",OR(AS71=1,AS71=2)),"IEQH",""))</f>
        <v/>
      </c>
      <c r="FF71" s="15" t="str">
        <f>IF(AND(EJ71="EQL",OR(AT71=4,AT71=5)),"IEQL",IF(AND(EJ71="EQH",OR(AT71=1,AT71=2)),"IEQH",""))</f>
        <v/>
      </c>
      <c r="FG71" s="15" t="str">
        <f>IF(AND(EK71="EQL",OR(AU71=4,AU71=5)),"IEQL",IF(AND(EK71="EQH",OR(AU71=1,AU71=2)),"IEQH",""))</f>
        <v/>
      </c>
      <c r="FH71" s="15" t="str">
        <f>IF(AND(EL71="EQL",OR(AV71=4,AV71=5)),"IEQL",IF(AND(EL71="EQH",OR(AV71=1,AV71=2)),"IEQH",""))</f>
        <v/>
      </c>
      <c r="FI71" s="15" t="str">
        <f>IF(AND(EM71="EQL",OR(AW71=4,AW71=5)),"IEQL",IF(AND(EM71="EQH",OR(AW71=1,AW71=2)),"IEQH",""))</f>
        <v/>
      </c>
      <c r="FJ71" s="15" t="str">
        <f>IF(AND(EN71="EQL",OR(AX71=4,AX71=5)),"IEQL",IF(AND(EN71="EQH",OR(AX71=1,AX71=2)),"IEQH",""))</f>
        <v/>
      </c>
      <c r="FK71" s="15" t="str">
        <f>IF(AND(EO71="EQL",OR(AY71=4,AY71=5)),"IEQL",IF(AND(EO71="EQH",OR(AY71=1,AY71=2)),"IEQH",""))</f>
        <v/>
      </c>
      <c r="FL71" s="15" t="str">
        <f>IF(AND(EP71="EQL",OR(AZ71=4,AZ71=5)),"IEQL",IF(AND(EP71="EQH",OR(AZ71=1,AZ71=2)),"IEQH",""))</f>
        <v/>
      </c>
      <c r="FM71" s="15" t="str">
        <f>IF(AND(EQ71="EQL",OR(BA71=4,BA71=5)),"IEQL",IF(AND(EQ71="EQH",OR(BA71=1,BA71=2)),"IEQH",""))</f>
        <v/>
      </c>
      <c r="FN71" s="15" t="str">
        <f>IF(OR(AND(DJ71="LL",AP71=5),AND(DJ71="HH",AP71=2)),F71,"")</f>
        <v/>
      </c>
      <c r="FO71" s="15" t="str">
        <f>IF(FN71&lt;&gt;"",F70,"")</f>
        <v/>
      </c>
    </row>
    <row r="72" spans="1:171" s="15" customFormat="1" x14ac:dyDescent="0.55000000000000004">
      <c r="A72" s="15">
        <v>1776031206</v>
      </c>
      <c r="B72" s="15" t="s">
        <v>16</v>
      </c>
      <c r="C72" s="15" t="s">
        <v>17</v>
      </c>
      <c r="D72" s="15">
        <v>4676.5200000000004</v>
      </c>
      <c r="E72" s="15" t="s">
        <v>18</v>
      </c>
      <c r="F72" s="15">
        <v>4638.7</v>
      </c>
      <c r="G72" s="15">
        <f t="shared" si="220"/>
        <v>4747.5</v>
      </c>
      <c r="H72" s="15">
        <f t="shared" si="230"/>
        <v>4730.8100000000004</v>
      </c>
      <c r="I72" s="15">
        <f t="shared" ref="I72:I103" si="240">F66</f>
        <v>4750.74</v>
      </c>
      <c r="J72" s="15">
        <f t="shared" si="140"/>
        <v>4703.46</v>
      </c>
      <c r="K72" s="15">
        <f t="shared" si="150"/>
        <v>4698.51</v>
      </c>
      <c r="L72" s="15">
        <f t="shared" si="160"/>
        <v>4771.22</v>
      </c>
      <c r="M72" s="15">
        <f t="shared" si="170"/>
        <v>4607.91</v>
      </c>
      <c r="N72" s="15">
        <f t="shared" si="180"/>
        <v>4623.4799999999996</v>
      </c>
      <c r="O72" s="15">
        <f t="shared" si="190"/>
        <v>4616.5</v>
      </c>
      <c r="P72" s="15">
        <f t="shared" si="200"/>
        <v>4645.75</v>
      </c>
      <c r="Q72" s="15">
        <f t="shared" si="210"/>
        <v>4659.58</v>
      </c>
      <c r="R72" s="15">
        <v>-134.38</v>
      </c>
      <c r="S72" s="15">
        <f t="shared" si="221"/>
        <v>-47.46</v>
      </c>
      <c r="T72" s="15">
        <f t="shared" si="231"/>
        <v>-46.5</v>
      </c>
      <c r="U72" s="15">
        <f t="shared" ref="U72:U103" si="241">R66</f>
        <v>-50.19</v>
      </c>
      <c r="V72" s="15">
        <f t="shared" si="141"/>
        <v>-29.56</v>
      </c>
      <c r="W72" s="15">
        <f t="shared" si="151"/>
        <v>-108.83</v>
      </c>
      <c r="X72" s="15">
        <f t="shared" si="161"/>
        <v>-86.15</v>
      </c>
      <c r="Y72" s="15">
        <f t="shared" si="171"/>
        <v>-86.4</v>
      </c>
      <c r="Z72" s="15">
        <f t="shared" si="181"/>
        <v>-39.799999999999997</v>
      </c>
      <c r="AA72" s="15">
        <f t="shared" si="191"/>
        <v>-51.37</v>
      </c>
      <c r="AB72" s="15">
        <f t="shared" si="201"/>
        <v>-52.08</v>
      </c>
      <c r="AC72" s="15">
        <f t="shared" si="211"/>
        <v>-46.89</v>
      </c>
      <c r="AD72" s="15">
        <v>-2.82</v>
      </c>
      <c r="AE72" s="15">
        <f t="shared" si="222"/>
        <v>-0.99</v>
      </c>
      <c r="AF72" s="15">
        <f t="shared" si="232"/>
        <v>-0.97</v>
      </c>
      <c r="AG72" s="15">
        <f t="shared" ref="AG72:AG103" si="242">AD66</f>
        <v>-1.05</v>
      </c>
      <c r="AH72" s="15">
        <f t="shared" si="142"/>
        <v>-0.62</v>
      </c>
      <c r="AI72" s="15">
        <f t="shared" si="152"/>
        <v>-2.2599999999999998</v>
      </c>
      <c r="AJ72" s="15">
        <f t="shared" si="162"/>
        <v>-1.77</v>
      </c>
      <c r="AK72" s="15">
        <f t="shared" si="172"/>
        <v>-1.84</v>
      </c>
      <c r="AL72" s="15">
        <f t="shared" si="182"/>
        <v>-0.85</v>
      </c>
      <c r="AM72" s="15">
        <f t="shared" si="192"/>
        <v>-1.1000000000000001</v>
      </c>
      <c r="AN72" s="15">
        <f t="shared" si="202"/>
        <v>-1.1100000000000001</v>
      </c>
      <c r="AO72" s="15">
        <f t="shared" si="212"/>
        <v>-1</v>
      </c>
      <c r="AP72" s="15">
        <v>3</v>
      </c>
      <c r="AQ72" s="15">
        <f t="shared" si="223"/>
        <v>3</v>
      </c>
      <c r="AR72" s="15">
        <f t="shared" si="233"/>
        <v>3</v>
      </c>
      <c r="AS72" s="15">
        <f t="shared" ref="AS72:AS103" si="243">AP66</f>
        <v>3</v>
      </c>
      <c r="AT72" s="15">
        <f t="shared" si="143"/>
        <v>3</v>
      </c>
      <c r="AU72" s="15">
        <f t="shared" si="153"/>
        <v>3</v>
      </c>
      <c r="AV72" s="15">
        <f t="shared" si="163"/>
        <v>3</v>
      </c>
      <c r="AW72" s="15">
        <f t="shared" si="173"/>
        <v>3</v>
      </c>
      <c r="AX72" s="15">
        <f t="shared" si="183"/>
        <v>3</v>
      </c>
      <c r="AY72" s="15">
        <f t="shared" si="193"/>
        <v>3</v>
      </c>
      <c r="AZ72" s="15">
        <f t="shared" si="203"/>
        <v>3</v>
      </c>
      <c r="BA72" s="15">
        <f t="shared" si="213"/>
        <v>3</v>
      </c>
      <c r="BB72" s="15">
        <v>10</v>
      </c>
      <c r="BC72" s="15">
        <f t="shared" si="224"/>
        <v>6</v>
      </c>
      <c r="BD72" s="15">
        <f t="shared" si="234"/>
        <v>29</v>
      </c>
      <c r="BE72" s="15">
        <f t="shared" ref="BE72:BE103" si="244">BB66</f>
        <v>22</v>
      </c>
      <c r="BF72" s="15">
        <f t="shared" si="144"/>
        <v>16</v>
      </c>
      <c r="BG72" s="15">
        <f t="shared" si="154"/>
        <v>44</v>
      </c>
      <c r="BH72" s="15">
        <f t="shared" si="164"/>
        <v>41</v>
      </c>
      <c r="BI72" s="15">
        <f t="shared" si="174"/>
        <v>19</v>
      </c>
      <c r="BJ72" s="15">
        <f t="shared" si="184"/>
        <v>4</v>
      </c>
      <c r="BK72" s="15">
        <f t="shared" si="194"/>
        <v>15</v>
      </c>
      <c r="BL72" s="15">
        <f t="shared" si="204"/>
        <v>19</v>
      </c>
      <c r="BM72" s="15">
        <f t="shared" si="214"/>
        <v>11</v>
      </c>
      <c r="BN72" s="15">
        <v>3</v>
      </c>
      <c r="BO72" s="15">
        <f t="shared" si="225"/>
        <v>3</v>
      </c>
      <c r="BP72" s="15">
        <f t="shared" si="235"/>
        <v>3</v>
      </c>
      <c r="BQ72" s="15">
        <f t="shared" ref="BQ72:BQ103" si="245">BN66</f>
        <v>3</v>
      </c>
      <c r="BR72" s="15">
        <f t="shared" si="145"/>
        <v>3</v>
      </c>
      <c r="BS72" s="15">
        <f t="shared" si="155"/>
        <v>4</v>
      </c>
      <c r="BT72" s="15">
        <f t="shared" si="165"/>
        <v>4</v>
      </c>
      <c r="BU72" s="15">
        <f t="shared" si="175"/>
        <v>3</v>
      </c>
      <c r="BV72" s="15">
        <f t="shared" si="185"/>
        <v>3</v>
      </c>
      <c r="BW72" s="15">
        <f t="shared" si="195"/>
        <v>3</v>
      </c>
      <c r="BX72" s="15">
        <f t="shared" si="205"/>
        <v>3</v>
      </c>
      <c r="BY72" s="15">
        <f t="shared" si="215"/>
        <v>3</v>
      </c>
      <c r="BZ72" s="15">
        <v>-13.438000000000001</v>
      </c>
      <c r="CA72" s="15">
        <f t="shared" si="226"/>
        <v>-7.91</v>
      </c>
      <c r="CB72" s="15">
        <f t="shared" si="236"/>
        <v>-1.60345</v>
      </c>
      <c r="CC72" s="15">
        <f t="shared" ref="CC72:CC103" si="246">BZ66</f>
        <v>-2.2813599999999998</v>
      </c>
      <c r="CD72" s="15">
        <f t="shared" si="146"/>
        <v>-1.8474999999999999</v>
      </c>
      <c r="CE72" s="15">
        <f t="shared" si="156"/>
        <v>-2.4734099999999999</v>
      </c>
      <c r="CF72" s="15">
        <f t="shared" si="166"/>
        <v>-2.1012200000000001</v>
      </c>
      <c r="CG72" s="15">
        <f t="shared" si="176"/>
        <v>-4.5473699999999999</v>
      </c>
      <c r="CH72" s="15">
        <f t="shared" si="186"/>
        <v>-9.9499999999999993</v>
      </c>
      <c r="CI72" s="15">
        <f t="shared" si="196"/>
        <v>-3.4246699999999999</v>
      </c>
      <c r="CJ72" s="15">
        <f t="shared" si="206"/>
        <v>-2.74105</v>
      </c>
      <c r="CK72" s="15">
        <f t="shared" si="216"/>
        <v>-4.2627300000000004</v>
      </c>
      <c r="CL72" s="15">
        <v>3</v>
      </c>
      <c r="CM72" s="15">
        <f t="shared" si="227"/>
        <v>3</v>
      </c>
      <c r="CN72" s="15">
        <f t="shared" si="237"/>
        <v>3</v>
      </c>
      <c r="CO72" s="15">
        <f t="shared" ref="CO72:CO103" si="247">CL66</f>
        <v>3</v>
      </c>
      <c r="CP72" s="15">
        <f t="shared" si="147"/>
        <v>3</v>
      </c>
      <c r="CQ72" s="15">
        <f t="shared" si="157"/>
        <v>3</v>
      </c>
      <c r="CR72" s="15">
        <f t="shared" si="167"/>
        <v>3</v>
      </c>
      <c r="CS72" s="15">
        <f t="shared" si="177"/>
        <v>3</v>
      </c>
      <c r="CT72" s="15">
        <f t="shared" si="187"/>
        <v>3</v>
      </c>
      <c r="CU72" s="15">
        <f t="shared" si="197"/>
        <v>3</v>
      </c>
      <c r="CV72" s="15">
        <f t="shared" si="207"/>
        <v>3</v>
      </c>
      <c r="CW72" s="15">
        <f t="shared" si="217"/>
        <v>3</v>
      </c>
      <c r="CX72" s="15">
        <v>-85.744100000000003</v>
      </c>
      <c r="CY72" s="15">
        <f t="shared" si="228"/>
        <v>-82.794799999999995</v>
      </c>
      <c r="CZ72" s="15">
        <f t="shared" si="238"/>
        <v>-58.05</v>
      </c>
      <c r="DA72" s="15">
        <f t="shared" ref="DA72:DA103" si="248">CX66</f>
        <v>-66.330500000000001</v>
      </c>
      <c r="DB72" s="15">
        <f t="shared" si="148"/>
        <v>-61.574599999999997</v>
      </c>
      <c r="DC72" s="15">
        <f t="shared" si="158"/>
        <v>-67.986500000000007</v>
      </c>
      <c r="DD72" s="15">
        <f t="shared" si="168"/>
        <v>-64.549599999999998</v>
      </c>
      <c r="DE72" s="15">
        <f t="shared" si="178"/>
        <v>-77.5976</v>
      </c>
      <c r="DF72" s="15">
        <f t="shared" si="188"/>
        <v>-84.260900000000007</v>
      </c>
      <c r="DG72" s="15">
        <f t="shared" si="198"/>
        <v>-73.722200000000001</v>
      </c>
      <c r="DH72" s="15">
        <f t="shared" si="208"/>
        <v>-69.956800000000001</v>
      </c>
      <c r="DI72" s="15">
        <f t="shared" si="218"/>
        <v>-76.797600000000003</v>
      </c>
      <c r="DJ72" s="15" t="s">
        <v>19</v>
      </c>
      <c r="DK72" s="15" t="str">
        <f t="shared" si="229"/>
        <v>HL</v>
      </c>
      <c r="DL72" s="15" t="str">
        <f t="shared" si="239"/>
        <v>LL</v>
      </c>
      <c r="DM72" s="15" t="str">
        <f t="shared" ref="DM72:DM103" si="249">DJ66</f>
        <v>HL</v>
      </c>
      <c r="DN72" s="15" t="str">
        <f t="shared" si="149"/>
        <v>HL</v>
      </c>
      <c r="DO72" s="15" t="str">
        <f t="shared" si="159"/>
        <v>LL</v>
      </c>
      <c r="DP72" s="15" t="str">
        <f t="shared" si="169"/>
        <v>HL</v>
      </c>
      <c r="DQ72" s="15" t="str">
        <f t="shared" si="179"/>
        <v>LL</v>
      </c>
      <c r="DR72" s="15" t="str">
        <f t="shared" si="189"/>
        <v>HL</v>
      </c>
      <c r="DS72" s="15" t="str">
        <f t="shared" si="199"/>
        <v>LL</v>
      </c>
      <c r="DT72" s="15" t="str">
        <f t="shared" si="209"/>
        <v>LL</v>
      </c>
      <c r="DU72" s="15" t="str">
        <f t="shared" si="219"/>
        <v>HL</v>
      </c>
      <c r="DV72" s="15">
        <f>IFERROR((G72-$F72)/$F72*100,"")</f>
        <v>2.3454847263241896</v>
      </c>
      <c r="DW72" s="15">
        <f>IFERROR((H72-$F72)/$F72*100,"")</f>
        <v>1.985685644684946</v>
      </c>
      <c r="DX72" s="15">
        <f>IFERROR((I72-$F72)/$F72*100,"")</f>
        <v>2.4153318817772216</v>
      </c>
      <c r="DY72" s="15">
        <f>IFERROR((J72-$F72)/$F72*100,"")</f>
        <v>1.3960807984995844</v>
      </c>
      <c r="DZ72" s="15">
        <f>IFERROR((K72-$F72)/$F72*100,"")</f>
        <v>1.2893698665574493</v>
      </c>
      <c r="EA72" s="15">
        <f>IFERROR((L72-$F72)/$F72*100,"")</f>
        <v>2.8568348890853135</v>
      </c>
      <c r="EB72" s="15">
        <f>IFERROR((M72-$F72)/$F72*100,"")</f>
        <v>-0.66376355444413226</v>
      </c>
      <c r="EC72" s="15">
        <f>IFERROR((N72-$F72)/$F72*100,"")</f>
        <v>-0.32810916851704691</v>
      </c>
      <c r="ED72" s="15">
        <f>IFERROR((O72-$F72)/$F72*100,"")</f>
        <v>-0.4785823614374678</v>
      </c>
      <c r="EE72" s="15">
        <f>IFERROR((P72-$F72)/$F72*100,"")</f>
        <v>0.15198223640244427</v>
      </c>
      <c r="EF72" s="15">
        <f>IFERROR((Q72-$F72)/$F72*100,"")</f>
        <v>0.45012611291957039</v>
      </c>
      <c r="EG72" s="15" t="str">
        <f>IF(DV72="","",IF(AND(ABS(DV72)&lt;=0.25,$E72="Bottom",DK72="LL"),"EQL",IF(AND(ABS(DV72)&lt;=0.25,$E72="Peak",DK72="HH"),"EQH","")))</f>
        <v/>
      </c>
      <c r="EH72" s="15" t="str">
        <f>IF(DW72="","",IF(AND(ABS(DW72)&lt;=0.25,$E72="Bottom",DL72="LL"),"EQL",IF(AND(ABS(DW72)&lt;=0.25,$E72="Peak",DL72="HH"),"EQH","")))</f>
        <v/>
      </c>
      <c r="EI72" s="15" t="str">
        <f>IF(DX72="","",IF(AND(ABS(DX72)&lt;=0.25,$E72="Bottom",DM72="LL"),"EQL",IF(AND(ABS(DX72)&lt;=0.25,$E72="Peak",DM72="HH"),"EQH","")))</f>
        <v/>
      </c>
      <c r="EJ72" s="15" t="str">
        <f>IF(DY72="","",IF(AND(ABS(DY72)&lt;=0.25,$E72="Bottom",DN72="LL"),"EQL",IF(AND(ABS(DY72)&lt;=0.25,$E72="Peak",DN72="HH"),"EQH","")))</f>
        <v/>
      </c>
      <c r="EK72" s="15" t="str">
        <f>IF(DZ72="","",IF(AND(ABS(DZ72)&lt;=0.25,$E72="Bottom",DO72="LL"),"EQL",IF(AND(ABS(DZ72)&lt;=0.25,$E72="Peak",DO72="HH"),"EQH","")))</f>
        <v/>
      </c>
      <c r="EL72" s="15" t="str">
        <f>IF(EA72="","",IF(AND(ABS(EA72)&lt;=0.25,$E72="Bottom",DP72="LL"),"EQL",IF(AND(ABS(EA72)&lt;=0.25,$E72="Peak",DP72="HH"),"EQH","")))</f>
        <v/>
      </c>
      <c r="EM72" s="15" t="str">
        <f>IF(EB72="","",IF(AND(ABS(EB72)&lt;=0.25,$E72="Bottom",DQ72="LL"),"EQL",IF(AND(ABS(EB72)&lt;=0.25,$E72="Peak",DQ72="HH"),"EQH","")))</f>
        <v/>
      </c>
      <c r="EN72" s="15" t="str">
        <f>IF(EC72="","",IF(AND(ABS(EC72)&lt;=0.25,$E72="Bottom",DR72="LL"),"EQL",IF(AND(ABS(EC72)&lt;=0.25,$E72="Peak",DR72="HH"),"EQH","")))</f>
        <v/>
      </c>
      <c r="EO72" s="15" t="str">
        <f>IF(ED72="","",IF(AND(ABS(ED72)&lt;=0.25,$E72="Bottom",DS72="LL"),"EQL",IF(AND(ABS(ED72)&lt;=0.25,$E72="Peak",DS72="HH"),"EQH","")))</f>
        <v/>
      </c>
      <c r="EP72" s="15" t="str">
        <f>IF(EE72="","",IF(AND(ABS(EE72)&lt;=0.25,$E72="Bottom",DT72="LL"),"EQL",IF(AND(ABS(EE72)&lt;=0.25,$E72="Peak",DT72="HH"),"EQH","")))</f>
        <v>EQL</v>
      </c>
      <c r="EQ72" s="15" t="str">
        <f>IF(EF72="","",IF(AND(ABS(EF72)&lt;=0.25,$E72="Bottom",DU72="LL"),"EQL",IF(AND(ABS(EF72)&lt;=0.25,$E72="Peak",DU72="HH"),"EQH","")))</f>
        <v/>
      </c>
      <c r="ER72" s="15" t="str">
        <f>IF(OR(EG72="EQL",EG72="EQH"),F72,"")</f>
        <v/>
      </c>
      <c r="ES72" s="15" t="str">
        <f>IF(OR(EH72="EQL",EH72="EQH"),G72,"")</f>
        <v/>
      </c>
      <c r="ET72" s="15" t="str">
        <f>IF(OR(EI72="EQL",EI72="EQH"),H72,"")</f>
        <v/>
      </c>
      <c r="EU72" s="15" t="str">
        <f>IF(OR(EJ72="EQL",EJ72="EQH"),I72,"")</f>
        <v/>
      </c>
      <c r="EV72" s="15" t="str">
        <f>IF(OR(EK72="EQL",EK72="EQH"),J72,"")</f>
        <v/>
      </c>
      <c r="EW72" s="15" t="str">
        <f>IF(OR(EL72="EQL",EL72="EQH"),K72,"")</f>
        <v/>
      </c>
      <c r="EX72" s="15" t="str">
        <f>IF(OR(EM72="EQL",EM72="EQH"),L72,"")</f>
        <v/>
      </c>
      <c r="EY72" s="15" t="str">
        <f>IF(OR(EN72="EQL",EN72="EQH"),M72,"")</f>
        <v/>
      </c>
      <c r="EZ72" s="15" t="str">
        <f>IF(OR(EO72="EQL",EO72="EQH"),N72,"")</f>
        <v/>
      </c>
      <c r="FA72" s="15">
        <f>IF(OR(EP72="EQL",EP72="EQH"),O72,"")</f>
        <v>4616.5</v>
      </c>
      <c r="FB72" s="15" t="str">
        <f>IF(OR(EQ72="EQL",EQ72="EQH"),P72,"")</f>
        <v/>
      </c>
      <c r="FC72" s="15" t="str">
        <f>IF(AND(EG72="EQL",OR(AQ72=4,AQ72=5)),"IEQL",IF(AND(EG72="EQH",OR(AQ72=1,AQ72=2)),"IEQH",""))</f>
        <v/>
      </c>
      <c r="FD72" s="15" t="str">
        <f>IF(AND(EH72="EQL",OR(AR72=4,AR72=5)),"IEQL",IF(AND(EH72="EQH",OR(AR72=1,AR72=2)),"IEQH",""))</f>
        <v/>
      </c>
      <c r="FE72" s="15" t="str">
        <f>IF(AND(EI72="EQL",OR(AS72=4,AS72=5)),"IEQL",IF(AND(EI72="EQH",OR(AS72=1,AS72=2)),"IEQH",""))</f>
        <v/>
      </c>
      <c r="FF72" s="15" t="str">
        <f>IF(AND(EJ72="EQL",OR(AT72=4,AT72=5)),"IEQL",IF(AND(EJ72="EQH",OR(AT72=1,AT72=2)),"IEQH",""))</f>
        <v/>
      </c>
      <c r="FG72" s="15" t="str">
        <f>IF(AND(EK72="EQL",OR(AU72=4,AU72=5)),"IEQL",IF(AND(EK72="EQH",OR(AU72=1,AU72=2)),"IEQH",""))</f>
        <v/>
      </c>
      <c r="FH72" s="15" t="str">
        <f>IF(AND(EL72="EQL",OR(AV72=4,AV72=5)),"IEQL",IF(AND(EL72="EQH",OR(AV72=1,AV72=2)),"IEQH",""))</f>
        <v/>
      </c>
      <c r="FI72" s="15" t="str">
        <f>IF(AND(EM72="EQL",OR(AW72=4,AW72=5)),"IEQL",IF(AND(EM72="EQH",OR(AW72=1,AW72=2)),"IEQH",""))</f>
        <v/>
      </c>
      <c r="FJ72" s="15" t="str">
        <f>IF(AND(EN72="EQL",OR(AX72=4,AX72=5)),"IEQL",IF(AND(EN72="EQH",OR(AX72=1,AX72=2)),"IEQH",""))</f>
        <v/>
      </c>
      <c r="FK72" s="15" t="str">
        <f>IF(AND(EO72="EQL",OR(AY72=4,AY72=5)),"IEQL",IF(AND(EO72="EQH",OR(AY72=1,AY72=2)),"IEQH",""))</f>
        <v/>
      </c>
      <c r="FL72" s="15" t="str">
        <f>IF(AND(EP72="EQL",OR(AZ72=4,AZ72=5)),"IEQL",IF(AND(EP72="EQH",OR(AZ72=1,AZ72=2)),"IEQH",""))</f>
        <v/>
      </c>
      <c r="FM72" s="15" t="str">
        <f>IF(AND(EQ72="EQL",OR(BA72=4,BA72=5)),"IEQL",IF(AND(EQ72="EQH",OR(BA72=1,BA72=2)),"IEQH",""))</f>
        <v/>
      </c>
      <c r="FN72" s="15" t="str">
        <f>IF(OR(AND(DJ72="LL",AP72=5),AND(DJ72="HH",AP72=2)),F72,"")</f>
        <v/>
      </c>
      <c r="FO72" s="15" t="str">
        <f>IF(FN72&lt;&gt;"",F71,"")</f>
        <v/>
      </c>
    </row>
    <row r="73" spans="1:171" s="15" customFormat="1" x14ac:dyDescent="0.55000000000000004">
      <c r="A73" s="15">
        <v>1776044706</v>
      </c>
      <c r="B73" s="15" t="s">
        <v>16</v>
      </c>
      <c r="C73" s="15" t="s">
        <v>17</v>
      </c>
      <c r="D73" s="15">
        <v>4721.37</v>
      </c>
      <c r="E73" s="15" t="s">
        <v>20</v>
      </c>
      <c r="F73" s="15">
        <v>4728.3599999999997</v>
      </c>
      <c r="G73" s="15">
        <f t="shared" si="220"/>
        <v>4773.08</v>
      </c>
      <c r="H73" s="15">
        <f t="shared" si="230"/>
        <v>4794.96</v>
      </c>
      <c r="I73" s="15">
        <f t="shared" si="240"/>
        <v>4777.3100000000004</v>
      </c>
      <c r="J73" s="15">
        <f t="shared" si="140"/>
        <v>4800.93</v>
      </c>
      <c r="K73" s="15">
        <f t="shared" si="150"/>
        <v>4733.0200000000004</v>
      </c>
      <c r="L73" s="15">
        <f t="shared" si="160"/>
        <v>4807.34</v>
      </c>
      <c r="M73" s="15">
        <f t="shared" si="170"/>
        <v>4857.37</v>
      </c>
      <c r="N73" s="15">
        <f t="shared" si="180"/>
        <v>4694.3100000000004</v>
      </c>
      <c r="O73" s="15">
        <f t="shared" si="190"/>
        <v>4663.28</v>
      </c>
      <c r="P73" s="15">
        <f t="shared" si="200"/>
        <v>4667.87</v>
      </c>
      <c r="Q73" s="15">
        <f t="shared" si="210"/>
        <v>4697.83</v>
      </c>
      <c r="R73" s="15">
        <v>89.66</v>
      </c>
      <c r="S73" s="15">
        <f t="shared" si="221"/>
        <v>25.58</v>
      </c>
      <c r="T73" s="15">
        <f t="shared" si="231"/>
        <v>64.150000000000006</v>
      </c>
      <c r="U73" s="15">
        <f t="shared" si="241"/>
        <v>26.57</v>
      </c>
      <c r="V73" s="15">
        <f t="shared" si="141"/>
        <v>97.47</v>
      </c>
      <c r="W73" s="15">
        <f t="shared" si="151"/>
        <v>34.51</v>
      </c>
      <c r="X73" s="15">
        <f t="shared" si="161"/>
        <v>36.119999999999997</v>
      </c>
      <c r="Y73" s="15">
        <f t="shared" si="171"/>
        <v>249.46</v>
      </c>
      <c r="Z73" s="15">
        <f t="shared" si="181"/>
        <v>70.83</v>
      </c>
      <c r="AA73" s="15">
        <f t="shared" si="191"/>
        <v>46.78</v>
      </c>
      <c r="AB73" s="15">
        <f t="shared" si="201"/>
        <v>22.12</v>
      </c>
      <c r="AC73" s="15">
        <f t="shared" si="211"/>
        <v>38.25</v>
      </c>
      <c r="AD73" s="15">
        <v>1.93</v>
      </c>
      <c r="AE73" s="15">
        <f t="shared" si="222"/>
        <v>0.54</v>
      </c>
      <c r="AF73" s="15">
        <f t="shared" si="232"/>
        <v>1.36</v>
      </c>
      <c r="AG73" s="15">
        <f t="shared" si="242"/>
        <v>0.56000000000000005</v>
      </c>
      <c r="AH73" s="15">
        <f t="shared" si="142"/>
        <v>2.0699999999999998</v>
      </c>
      <c r="AI73" s="15">
        <f t="shared" si="152"/>
        <v>0.73</v>
      </c>
      <c r="AJ73" s="15">
        <f t="shared" si="162"/>
        <v>0.76</v>
      </c>
      <c r="AK73" s="15">
        <f t="shared" si="172"/>
        <v>5.41</v>
      </c>
      <c r="AL73" s="15">
        <f t="shared" si="182"/>
        <v>1.53</v>
      </c>
      <c r="AM73" s="15">
        <f t="shared" si="192"/>
        <v>1.01</v>
      </c>
      <c r="AN73" s="15">
        <f t="shared" si="202"/>
        <v>0.48</v>
      </c>
      <c r="AO73" s="15">
        <f t="shared" si="212"/>
        <v>0.82</v>
      </c>
      <c r="AP73" s="15">
        <v>0</v>
      </c>
      <c r="AQ73" s="15">
        <f t="shared" si="223"/>
        <v>0</v>
      </c>
      <c r="AR73" s="15">
        <f t="shared" si="233"/>
        <v>0</v>
      </c>
      <c r="AS73" s="15">
        <f t="shared" si="243"/>
        <v>0</v>
      </c>
      <c r="AT73" s="15">
        <f t="shared" si="143"/>
        <v>0</v>
      </c>
      <c r="AU73" s="15">
        <f t="shared" si="153"/>
        <v>0</v>
      </c>
      <c r="AV73" s="15">
        <f t="shared" si="163"/>
        <v>0</v>
      </c>
      <c r="AW73" s="15">
        <f t="shared" si="173"/>
        <v>2</v>
      </c>
      <c r="AX73" s="15">
        <f t="shared" si="183"/>
        <v>0</v>
      </c>
      <c r="AY73" s="15">
        <f t="shared" si="193"/>
        <v>0</v>
      </c>
      <c r="AZ73" s="15">
        <f t="shared" si="203"/>
        <v>0</v>
      </c>
      <c r="BA73" s="15">
        <f t="shared" si="213"/>
        <v>0</v>
      </c>
      <c r="BB73" s="15">
        <v>15</v>
      </c>
      <c r="BC73" s="15">
        <f t="shared" si="224"/>
        <v>10</v>
      </c>
      <c r="BD73" s="15">
        <f t="shared" si="234"/>
        <v>23</v>
      </c>
      <c r="BE73" s="15">
        <f t="shared" si="244"/>
        <v>6</v>
      </c>
      <c r="BF73" s="15">
        <f t="shared" si="144"/>
        <v>43</v>
      </c>
      <c r="BG73" s="15">
        <f t="shared" si="154"/>
        <v>11</v>
      </c>
      <c r="BH73" s="15">
        <f t="shared" si="164"/>
        <v>7</v>
      </c>
      <c r="BI73" s="15">
        <f t="shared" si="174"/>
        <v>36</v>
      </c>
      <c r="BJ73" s="15">
        <f t="shared" si="184"/>
        <v>15</v>
      </c>
      <c r="BK73" s="15">
        <f t="shared" si="194"/>
        <v>11</v>
      </c>
      <c r="BL73" s="15">
        <f t="shared" si="204"/>
        <v>7</v>
      </c>
      <c r="BM73" s="15">
        <f t="shared" si="214"/>
        <v>9</v>
      </c>
      <c r="BN73" s="15">
        <v>0</v>
      </c>
      <c r="BO73" s="15">
        <f t="shared" si="225"/>
        <v>0</v>
      </c>
      <c r="BP73" s="15">
        <f t="shared" si="235"/>
        <v>0</v>
      </c>
      <c r="BQ73" s="15">
        <f t="shared" si="245"/>
        <v>0</v>
      </c>
      <c r="BR73" s="15">
        <f t="shared" si="145"/>
        <v>1</v>
      </c>
      <c r="BS73" s="15">
        <f t="shared" si="155"/>
        <v>0</v>
      </c>
      <c r="BT73" s="15">
        <f t="shared" si="165"/>
        <v>0</v>
      </c>
      <c r="BU73" s="15">
        <f t="shared" si="175"/>
        <v>0</v>
      </c>
      <c r="BV73" s="15">
        <f t="shared" si="185"/>
        <v>0</v>
      </c>
      <c r="BW73" s="15">
        <f t="shared" si="195"/>
        <v>0</v>
      </c>
      <c r="BX73" s="15">
        <f t="shared" si="205"/>
        <v>0</v>
      </c>
      <c r="BY73" s="15">
        <f t="shared" si="215"/>
        <v>0</v>
      </c>
      <c r="BZ73" s="15">
        <v>5.9773300000000003</v>
      </c>
      <c r="CA73" s="15">
        <f t="shared" si="226"/>
        <v>2.5579999999999998</v>
      </c>
      <c r="CB73" s="15">
        <f t="shared" si="236"/>
        <v>2.7891300000000001</v>
      </c>
      <c r="CC73" s="15">
        <f t="shared" si="246"/>
        <v>4.4283299999999999</v>
      </c>
      <c r="CD73" s="15">
        <f t="shared" si="146"/>
        <v>2.26674</v>
      </c>
      <c r="CE73" s="15">
        <f t="shared" si="156"/>
        <v>3.13727</v>
      </c>
      <c r="CF73" s="15">
        <f t="shared" si="166"/>
        <v>5.16</v>
      </c>
      <c r="CG73" s="15">
        <f t="shared" si="176"/>
        <v>6.9294399999999996</v>
      </c>
      <c r="CH73" s="15">
        <f t="shared" si="186"/>
        <v>4.7220000000000004</v>
      </c>
      <c r="CI73" s="15">
        <f t="shared" si="196"/>
        <v>4.2527299999999997</v>
      </c>
      <c r="CJ73" s="15">
        <f t="shared" si="206"/>
        <v>3.16</v>
      </c>
      <c r="CK73" s="15">
        <f t="shared" si="216"/>
        <v>4.25</v>
      </c>
      <c r="CL73" s="15">
        <v>0</v>
      </c>
      <c r="CM73" s="15">
        <f t="shared" si="227"/>
        <v>0</v>
      </c>
      <c r="CN73" s="15">
        <f t="shared" si="237"/>
        <v>0</v>
      </c>
      <c r="CO73" s="15">
        <f t="shared" si="247"/>
        <v>0</v>
      </c>
      <c r="CP73" s="15">
        <f t="shared" si="147"/>
        <v>0</v>
      </c>
      <c r="CQ73" s="15">
        <f t="shared" si="157"/>
        <v>0</v>
      </c>
      <c r="CR73" s="15">
        <f t="shared" si="167"/>
        <v>0</v>
      </c>
      <c r="CS73" s="15">
        <f t="shared" si="177"/>
        <v>0</v>
      </c>
      <c r="CT73" s="15">
        <f t="shared" si="187"/>
        <v>0</v>
      </c>
      <c r="CU73" s="15">
        <f t="shared" si="197"/>
        <v>0</v>
      </c>
      <c r="CV73" s="15">
        <f t="shared" si="207"/>
        <v>0</v>
      </c>
      <c r="CW73" s="15">
        <f t="shared" si="217"/>
        <v>0</v>
      </c>
      <c r="CX73" s="15">
        <v>80.502399999999994</v>
      </c>
      <c r="CY73" s="15">
        <f t="shared" si="228"/>
        <v>68.647999999999996</v>
      </c>
      <c r="CZ73" s="15">
        <f t="shared" si="238"/>
        <v>70.275499999999994</v>
      </c>
      <c r="DA73" s="15">
        <f t="shared" si="248"/>
        <v>77.275000000000006</v>
      </c>
      <c r="DB73" s="15">
        <f t="shared" si="148"/>
        <v>66.194800000000001</v>
      </c>
      <c r="DC73" s="15">
        <f t="shared" si="158"/>
        <v>72.320400000000006</v>
      </c>
      <c r="DD73" s="15">
        <f t="shared" si="168"/>
        <v>79.0321</v>
      </c>
      <c r="DE73" s="15">
        <f t="shared" si="178"/>
        <v>81.788200000000003</v>
      </c>
      <c r="DF73" s="15">
        <f t="shared" si="188"/>
        <v>78.042900000000003</v>
      </c>
      <c r="DG73" s="15">
        <f t="shared" si="198"/>
        <v>76.767700000000005</v>
      </c>
      <c r="DH73" s="15">
        <f t="shared" si="208"/>
        <v>72.439700000000002</v>
      </c>
      <c r="DI73" s="15">
        <f t="shared" si="218"/>
        <v>76.759500000000003</v>
      </c>
      <c r="DJ73" s="15" t="s">
        <v>21</v>
      </c>
      <c r="DK73" s="15" t="str">
        <f t="shared" si="229"/>
        <v>LH</v>
      </c>
      <c r="DL73" s="15" t="str">
        <f t="shared" si="239"/>
        <v>HH</v>
      </c>
      <c r="DM73" s="15" t="str">
        <f t="shared" si="249"/>
        <v>LH</v>
      </c>
      <c r="DN73" s="15" t="str">
        <f t="shared" si="149"/>
        <v>HH</v>
      </c>
      <c r="DO73" s="15" t="str">
        <f t="shared" si="159"/>
        <v>LH</v>
      </c>
      <c r="DP73" s="15" t="str">
        <f t="shared" si="169"/>
        <v>LH</v>
      </c>
      <c r="DQ73" s="15" t="str">
        <f t="shared" si="179"/>
        <v>HH</v>
      </c>
      <c r="DR73" s="15" t="str">
        <f t="shared" si="189"/>
        <v>HH</v>
      </c>
      <c r="DS73" s="15" t="str">
        <f t="shared" si="199"/>
        <v>LH</v>
      </c>
      <c r="DT73" s="15" t="str">
        <f t="shared" si="209"/>
        <v>LH</v>
      </c>
      <c r="DU73" s="15" t="str">
        <f t="shared" si="219"/>
        <v>LH</v>
      </c>
      <c r="DV73" s="15">
        <f>IFERROR((G73-$F73)/$F73*100,"")</f>
        <v>0.94578247003189819</v>
      </c>
      <c r="DW73" s="15">
        <f>IFERROR((H73-$F73)/$F73*100,"")</f>
        <v>1.408522193741601</v>
      </c>
      <c r="DX73" s="15">
        <f>IFERROR((I73-$F73)/$F73*100,"")</f>
        <v>1.0352426634181984</v>
      </c>
      <c r="DY73" s="15">
        <f>IFERROR((J73-$F73)/$F73*100,"")</f>
        <v>1.5347816156130376</v>
      </c>
      <c r="DZ73" s="15">
        <f>IFERROR((K73-$F73)/$F73*100,"")</f>
        <v>9.8554255598151674E-2</v>
      </c>
      <c r="EA73" s="15">
        <f>IFERROR((L73-$F73)/$F73*100,"")</f>
        <v>1.6703465895151908</v>
      </c>
      <c r="EB73" s="15">
        <f>IFERROR((M73-$F73)/$F73*100,"")</f>
        <v>2.7284301533724213</v>
      </c>
      <c r="EC73" s="15">
        <f>IFERROR((N73-$F73)/$F73*100,"")</f>
        <v>-0.72012283328679016</v>
      </c>
      <c r="ED73" s="15">
        <f>IFERROR((O73-$F73)/$F73*100,"")</f>
        <v>-1.3763757412718136</v>
      </c>
      <c r="EE73" s="15">
        <f>IFERROR((P73-$F73)/$F73*100,"")</f>
        <v>-1.279301914405836</v>
      </c>
      <c r="EF73" s="15">
        <f>IFERROR((Q73-$F73)/$F73*100,"")</f>
        <v>-0.64567841704099826</v>
      </c>
      <c r="EG73" s="15" t="str">
        <f>IF(DV73="","",IF(AND(ABS(DV73)&lt;=0.25,$E73="Bottom",DK73="LL"),"EQL",IF(AND(ABS(DV73)&lt;=0.25,$E73="Peak",DK73="HH"),"EQH","")))</f>
        <v/>
      </c>
      <c r="EH73" s="15" t="str">
        <f>IF(DW73="","",IF(AND(ABS(DW73)&lt;=0.25,$E73="Bottom",DL73="LL"),"EQL",IF(AND(ABS(DW73)&lt;=0.25,$E73="Peak",DL73="HH"),"EQH","")))</f>
        <v/>
      </c>
      <c r="EI73" s="15" t="str">
        <f>IF(DX73="","",IF(AND(ABS(DX73)&lt;=0.25,$E73="Bottom",DM73="LL"),"EQL",IF(AND(ABS(DX73)&lt;=0.25,$E73="Peak",DM73="HH"),"EQH","")))</f>
        <v/>
      </c>
      <c r="EJ73" s="15" t="str">
        <f>IF(DY73="","",IF(AND(ABS(DY73)&lt;=0.25,$E73="Bottom",DN73="LL"),"EQL",IF(AND(ABS(DY73)&lt;=0.25,$E73="Peak",DN73="HH"),"EQH","")))</f>
        <v/>
      </c>
      <c r="EK73" s="15" t="str">
        <f>IF(DZ73="","",IF(AND(ABS(DZ73)&lt;=0.25,$E73="Bottom",DO73="LL"),"EQL",IF(AND(ABS(DZ73)&lt;=0.25,$E73="Peak",DO73="HH"),"EQH","")))</f>
        <v/>
      </c>
      <c r="EL73" s="15" t="str">
        <f>IF(EA73="","",IF(AND(ABS(EA73)&lt;=0.25,$E73="Bottom",DP73="LL"),"EQL",IF(AND(ABS(EA73)&lt;=0.25,$E73="Peak",DP73="HH"),"EQH","")))</f>
        <v/>
      </c>
      <c r="EM73" s="15" t="str">
        <f>IF(EB73="","",IF(AND(ABS(EB73)&lt;=0.25,$E73="Bottom",DQ73="LL"),"EQL",IF(AND(ABS(EB73)&lt;=0.25,$E73="Peak",DQ73="HH"),"EQH","")))</f>
        <v/>
      </c>
      <c r="EN73" s="15" t="str">
        <f>IF(EC73="","",IF(AND(ABS(EC73)&lt;=0.25,$E73="Bottom",DR73="LL"),"EQL",IF(AND(ABS(EC73)&lt;=0.25,$E73="Peak",DR73="HH"),"EQH","")))</f>
        <v/>
      </c>
      <c r="EO73" s="15" t="str">
        <f>IF(ED73="","",IF(AND(ABS(ED73)&lt;=0.25,$E73="Bottom",DS73="LL"),"EQL",IF(AND(ABS(ED73)&lt;=0.25,$E73="Peak",DS73="HH"),"EQH","")))</f>
        <v/>
      </c>
      <c r="EP73" s="15" t="str">
        <f>IF(EE73="","",IF(AND(ABS(EE73)&lt;=0.25,$E73="Bottom",DT73="LL"),"EQL",IF(AND(ABS(EE73)&lt;=0.25,$E73="Peak",DT73="HH"),"EQH","")))</f>
        <v/>
      </c>
      <c r="EQ73" s="15" t="str">
        <f>IF(EF73="","",IF(AND(ABS(EF73)&lt;=0.25,$E73="Bottom",DU73="LL"),"EQL",IF(AND(ABS(EF73)&lt;=0.25,$E73="Peak",DU73="HH"),"EQH","")))</f>
        <v/>
      </c>
      <c r="ER73" s="15" t="str">
        <f>IF(OR(EG73="EQL",EG73="EQH"),F73,"")</f>
        <v/>
      </c>
      <c r="ES73" s="15" t="str">
        <f>IF(OR(EH73="EQL",EH73="EQH"),G73,"")</f>
        <v/>
      </c>
      <c r="ET73" s="15" t="str">
        <f>IF(OR(EI73="EQL",EI73="EQH"),H73,"")</f>
        <v/>
      </c>
      <c r="EU73" s="15" t="str">
        <f>IF(OR(EJ73="EQL",EJ73="EQH"),I73,"")</f>
        <v/>
      </c>
      <c r="EV73" s="15" t="str">
        <f>IF(OR(EK73="EQL",EK73="EQH"),J73,"")</f>
        <v/>
      </c>
      <c r="EW73" s="15" t="str">
        <f>IF(OR(EL73="EQL",EL73="EQH"),K73,"")</f>
        <v/>
      </c>
      <c r="EX73" s="15" t="str">
        <f>IF(OR(EM73="EQL",EM73="EQH"),L73,"")</f>
        <v/>
      </c>
      <c r="EY73" s="15" t="str">
        <f>IF(OR(EN73="EQL",EN73="EQH"),M73,"")</f>
        <v/>
      </c>
      <c r="EZ73" s="15" t="str">
        <f>IF(OR(EO73="EQL",EO73="EQH"),N73,"")</f>
        <v/>
      </c>
      <c r="FA73" s="15" t="str">
        <f>IF(OR(EP73="EQL",EP73="EQH"),O73,"")</f>
        <v/>
      </c>
      <c r="FB73" s="15" t="str">
        <f>IF(OR(EQ73="EQL",EQ73="EQH"),P73,"")</f>
        <v/>
      </c>
      <c r="FC73" s="15" t="str">
        <f>IF(AND(EG73="EQL",OR(AQ73=4,AQ73=5)),"IEQL",IF(AND(EG73="EQH",OR(AQ73=1,AQ73=2)),"IEQH",""))</f>
        <v/>
      </c>
      <c r="FD73" s="15" t="str">
        <f>IF(AND(EH73="EQL",OR(AR73=4,AR73=5)),"IEQL",IF(AND(EH73="EQH",OR(AR73=1,AR73=2)),"IEQH",""))</f>
        <v/>
      </c>
      <c r="FE73" s="15" t="str">
        <f>IF(AND(EI73="EQL",OR(AS73=4,AS73=5)),"IEQL",IF(AND(EI73="EQH",OR(AS73=1,AS73=2)),"IEQH",""))</f>
        <v/>
      </c>
      <c r="FF73" s="15" t="str">
        <f>IF(AND(EJ73="EQL",OR(AT73=4,AT73=5)),"IEQL",IF(AND(EJ73="EQH",OR(AT73=1,AT73=2)),"IEQH",""))</f>
        <v/>
      </c>
      <c r="FG73" s="15" t="str">
        <f>IF(AND(EK73="EQL",OR(AU73=4,AU73=5)),"IEQL",IF(AND(EK73="EQH",OR(AU73=1,AU73=2)),"IEQH",""))</f>
        <v/>
      </c>
      <c r="FH73" s="15" t="str">
        <f>IF(AND(EL73="EQL",OR(AV73=4,AV73=5)),"IEQL",IF(AND(EL73="EQH",OR(AV73=1,AV73=2)),"IEQH",""))</f>
        <v/>
      </c>
      <c r="FI73" s="15" t="str">
        <f>IF(AND(EM73="EQL",OR(AW73=4,AW73=5)),"IEQL",IF(AND(EM73="EQH",OR(AW73=1,AW73=2)),"IEQH",""))</f>
        <v/>
      </c>
      <c r="FJ73" s="15" t="str">
        <f>IF(AND(EN73="EQL",OR(AX73=4,AX73=5)),"IEQL",IF(AND(EN73="EQH",OR(AX73=1,AX73=2)),"IEQH",""))</f>
        <v/>
      </c>
      <c r="FK73" s="15" t="str">
        <f>IF(AND(EO73="EQL",OR(AY73=4,AY73=5)),"IEQL",IF(AND(EO73="EQH",OR(AY73=1,AY73=2)),"IEQH",""))</f>
        <v/>
      </c>
      <c r="FL73" s="15" t="str">
        <f>IF(AND(EP73="EQL",OR(AZ73=4,AZ73=5)),"IEQL",IF(AND(EP73="EQH",OR(AZ73=1,AZ73=2)),"IEQH",""))</f>
        <v/>
      </c>
      <c r="FM73" s="15" t="str">
        <f>IF(AND(EQ73="EQL",OR(BA73=4,BA73=5)),"IEQL",IF(AND(EQ73="EQH",OR(BA73=1,BA73=2)),"IEQH",""))</f>
        <v/>
      </c>
      <c r="FN73" s="15" t="str">
        <f>IF(OR(AND(DJ73="LL",AP73=5),AND(DJ73="HH",AP73=2)),F73,"")</f>
        <v/>
      </c>
      <c r="FO73" s="15" t="str">
        <f>IF(FN73&lt;&gt;"",F72,"")</f>
        <v/>
      </c>
    </row>
    <row r="74" spans="1:171" s="15" customFormat="1" x14ac:dyDescent="0.55000000000000004">
      <c r="A74" s="15">
        <v>1776052806</v>
      </c>
      <c r="B74" s="15" t="s">
        <v>16</v>
      </c>
      <c r="C74" s="15" t="s">
        <v>17</v>
      </c>
      <c r="D74" s="15">
        <v>4714.72</v>
      </c>
      <c r="E74" s="15" t="s">
        <v>18</v>
      </c>
      <c r="F74" s="15">
        <v>4708.62</v>
      </c>
      <c r="G74" s="15">
        <f t="shared" si="220"/>
        <v>4638.7</v>
      </c>
      <c r="H74" s="15">
        <f t="shared" si="230"/>
        <v>4747.5</v>
      </c>
      <c r="I74" s="15">
        <f t="shared" si="240"/>
        <v>4730.8100000000004</v>
      </c>
      <c r="J74" s="15">
        <f t="shared" ref="J74:J105" si="250">F66</f>
        <v>4750.74</v>
      </c>
      <c r="K74" s="15">
        <f t="shared" si="150"/>
        <v>4703.46</v>
      </c>
      <c r="L74" s="15">
        <f t="shared" si="160"/>
        <v>4698.51</v>
      </c>
      <c r="M74" s="15">
        <f t="shared" si="170"/>
        <v>4771.22</v>
      </c>
      <c r="N74" s="15">
        <f t="shared" si="180"/>
        <v>4607.91</v>
      </c>
      <c r="O74" s="15">
        <f t="shared" si="190"/>
        <v>4623.4799999999996</v>
      </c>
      <c r="P74" s="15">
        <f t="shared" si="200"/>
        <v>4616.5</v>
      </c>
      <c r="Q74" s="15">
        <f t="shared" si="210"/>
        <v>4645.75</v>
      </c>
      <c r="R74" s="15">
        <v>-19.739999999999998</v>
      </c>
      <c r="S74" s="15">
        <f t="shared" si="221"/>
        <v>-134.38</v>
      </c>
      <c r="T74" s="15">
        <f t="shared" si="231"/>
        <v>-47.46</v>
      </c>
      <c r="U74" s="15">
        <f t="shared" si="241"/>
        <v>-46.5</v>
      </c>
      <c r="V74" s="15">
        <f t="shared" ref="V74:V105" si="251">R66</f>
        <v>-50.19</v>
      </c>
      <c r="W74" s="15">
        <f t="shared" si="151"/>
        <v>-29.56</v>
      </c>
      <c r="X74" s="15">
        <f t="shared" si="161"/>
        <v>-108.83</v>
      </c>
      <c r="Y74" s="15">
        <f t="shared" si="171"/>
        <v>-86.15</v>
      </c>
      <c r="Z74" s="15">
        <f t="shared" si="181"/>
        <v>-86.4</v>
      </c>
      <c r="AA74" s="15">
        <f t="shared" si="191"/>
        <v>-39.799999999999997</v>
      </c>
      <c r="AB74" s="15">
        <f t="shared" si="201"/>
        <v>-51.37</v>
      </c>
      <c r="AC74" s="15">
        <f t="shared" si="211"/>
        <v>-52.08</v>
      </c>
      <c r="AD74" s="15">
        <v>-0.42</v>
      </c>
      <c r="AE74" s="15">
        <f t="shared" si="222"/>
        <v>-2.82</v>
      </c>
      <c r="AF74" s="15">
        <f t="shared" si="232"/>
        <v>-0.99</v>
      </c>
      <c r="AG74" s="15">
        <f t="shared" si="242"/>
        <v>-0.97</v>
      </c>
      <c r="AH74" s="15">
        <f t="shared" ref="AH74:AH105" si="252">AD66</f>
        <v>-1.05</v>
      </c>
      <c r="AI74" s="15">
        <f t="shared" si="152"/>
        <v>-0.62</v>
      </c>
      <c r="AJ74" s="15">
        <f t="shared" si="162"/>
        <v>-2.2599999999999998</v>
      </c>
      <c r="AK74" s="15">
        <f t="shared" si="172"/>
        <v>-1.77</v>
      </c>
      <c r="AL74" s="15">
        <f t="shared" si="182"/>
        <v>-1.84</v>
      </c>
      <c r="AM74" s="15">
        <f t="shared" si="192"/>
        <v>-0.85</v>
      </c>
      <c r="AN74" s="15">
        <f t="shared" si="202"/>
        <v>-1.1000000000000001</v>
      </c>
      <c r="AO74" s="15">
        <f t="shared" si="212"/>
        <v>-1.1100000000000001</v>
      </c>
      <c r="AP74" s="15">
        <v>3</v>
      </c>
      <c r="AQ74" s="15">
        <f t="shared" si="223"/>
        <v>3</v>
      </c>
      <c r="AR74" s="15">
        <f t="shared" si="233"/>
        <v>3</v>
      </c>
      <c r="AS74" s="15">
        <f t="shared" si="243"/>
        <v>3</v>
      </c>
      <c r="AT74" s="15">
        <f t="shared" ref="AT74:AT105" si="253">AP66</f>
        <v>3</v>
      </c>
      <c r="AU74" s="15">
        <f t="shared" si="153"/>
        <v>3</v>
      </c>
      <c r="AV74" s="15">
        <f t="shared" si="163"/>
        <v>3</v>
      </c>
      <c r="AW74" s="15">
        <f t="shared" si="173"/>
        <v>3</v>
      </c>
      <c r="AX74" s="15">
        <f t="shared" si="183"/>
        <v>3</v>
      </c>
      <c r="AY74" s="15">
        <f t="shared" si="193"/>
        <v>3</v>
      </c>
      <c r="AZ74" s="15">
        <f t="shared" si="203"/>
        <v>3</v>
      </c>
      <c r="BA74" s="15">
        <f t="shared" si="213"/>
        <v>3</v>
      </c>
      <c r="BB74" s="15">
        <v>9</v>
      </c>
      <c r="BC74" s="15">
        <f t="shared" si="224"/>
        <v>10</v>
      </c>
      <c r="BD74" s="15">
        <f t="shared" si="234"/>
        <v>6</v>
      </c>
      <c r="BE74" s="15">
        <f t="shared" si="244"/>
        <v>29</v>
      </c>
      <c r="BF74" s="15">
        <f t="shared" ref="BF74:BF105" si="254">BB66</f>
        <v>22</v>
      </c>
      <c r="BG74" s="15">
        <f t="shared" si="154"/>
        <v>16</v>
      </c>
      <c r="BH74" s="15">
        <f t="shared" si="164"/>
        <v>44</v>
      </c>
      <c r="BI74" s="15">
        <f t="shared" si="174"/>
        <v>41</v>
      </c>
      <c r="BJ74" s="15">
        <f t="shared" si="184"/>
        <v>19</v>
      </c>
      <c r="BK74" s="15">
        <f t="shared" si="194"/>
        <v>4</v>
      </c>
      <c r="BL74" s="15">
        <f t="shared" si="204"/>
        <v>15</v>
      </c>
      <c r="BM74" s="15">
        <f t="shared" si="214"/>
        <v>19</v>
      </c>
      <c r="BN74" s="15">
        <v>3</v>
      </c>
      <c r="BO74" s="15">
        <f t="shared" si="225"/>
        <v>3</v>
      </c>
      <c r="BP74" s="15">
        <f t="shared" si="235"/>
        <v>3</v>
      </c>
      <c r="BQ74" s="15">
        <f t="shared" si="245"/>
        <v>3</v>
      </c>
      <c r="BR74" s="15">
        <f t="shared" ref="BR74:BR105" si="255">BN66</f>
        <v>3</v>
      </c>
      <c r="BS74" s="15">
        <f t="shared" si="155"/>
        <v>3</v>
      </c>
      <c r="BT74" s="15">
        <f t="shared" si="165"/>
        <v>4</v>
      </c>
      <c r="BU74" s="15">
        <f t="shared" si="175"/>
        <v>4</v>
      </c>
      <c r="BV74" s="15">
        <f t="shared" si="185"/>
        <v>3</v>
      </c>
      <c r="BW74" s="15">
        <f t="shared" si="195"/>
        <v>3</v>
      </c>
      <c r="BX74" s="15">
        <f t="shared" si="205"/>
        <v>3</v>
      </c>
      <c r="BY74" s="15">
        <f t="shared" si="215"/>
        <v>3</v>
      </c>
      <c r="BZ74" s="15">
        <v>-2.19333</v>
      </c>
      <c r="CA74" s="15">
        <f t="shared" si="226"/>
        <v>-13.438000000000001</v>
      </c>
      <c r="CB74" s="15">
        <f t="shared" si="236"/>
        <v>-7.91</v>
      </c>
      <c r="CC74" s="15">
        <f t="shared" si="246"/>
        <v>-1.60345</v>
      </c>
      <c r="CD74" s="15">
        <f t="shared" ref="CD74:CD105" si="256">BZ66</f>
        <v>-2.2813599999999998</v>
      </c>
      <c r="CE74" s="15">
        <f t="shared" si="156"/>
        <v>-1.8474999999999999</v>
      </c>
      <c r="CF74" s="15">
        <f t="shared" si="166"/>
        <v>-2.4734099999999999</v>
      </c>
      <c r="CG74" s="15">
        <f t="shared" si="176"/>
        <v>-2.1012200000000001</v>
      </c>
      <c r="CH74" s="15">
        <f t="shared" si="186"/>
        <v>-4.5473699999999999</v>
      </c>
      <c r="CI74" s="15">
        <f t="shared" si="196"/>
        <v>-9.9499999999999993</v>
      </c>
      <c r="CJ74" s="15">
        <f t="shared" si="206"/>
        <v>-3.4246699999999999</v>
      </c>
      <c r="CK74" s="15">
        <f t="shared" si="216"/>
        <v>-2.74105</v>
      </c>
      <c r="CL74" s="15">
        <v>3</v>
      </c>
      <c r="CM74" s="15">
        <f t="shared" si="227"/>
        <v>3</v>
      </c>
      <c r="CN74" s="15">
        <f t="shared" si="237"/>
        <v>3</v>
      </c>
      <c r="CO74" s="15">
        <f t="shared" si="247"/>
        <v>3</v>
      </c>
      <c r="CP74" s="15">
        <f t="shared" ref="CP74:CP105" si="257">CL66</f>
        <v>3</v>
      </c>
      <c r="CQ74" s="15">
        <f t="shared" si="157"/>
        <v>3</v>
      </c>
      <c r="CR74" s="15">
        <f t="shared" si="167"/>
        <v>3</v>
      </c>
      <c r="CS74" s="15">
        <f t="shared" si="177"/>
        <v>3</v>
      </c>
      <c r="CT74" s="15">
        <f t="shared" si="187"/>
        <v>3</v>
      </c>
      <c r="CU74" s="15">
        <f t="shared" si="197"/>
        <v>3</v>
      </c>
      <c r="CV74" s="15">
        <f t="shared" si="207"/>
        <v>3</v>
      </c>
      <c r="CW74" s="15">
        <f t="shared" si="217"/>
        <v>3</v>
      </c>
      <c r="CX74" s="15">
        <v>-65.490499999999997</v>
      </c>
      <c r="CY74" s="15">
        <f t="shared" si="228"/>
        <v>-85.744100000000003</v>
      </c>
      <c r="CZ74" s="15">
        <f t="shared" si="238"/>
        <v>-82.794799999999995</v>
      </c>
      <c r="DA74" s="15">
        <f t="shared" si="248"/>
        <v>-58.05</v>
      </c>
      <c r="DB74" s="15">
        <f t="shared" ref="DB74:DB105" si="258">CX66</f>
        <v>-66.330500000000001</v>
      </c>
      <c r="DC74" s="15">
        <f t="shared" si="158"/>
        <v>-61.574599999999997</v>
      </c>
      <c r="DD74" s="15">
        <f t="shared" si="168"/>
        <v>-67.986500000000007</v>
      </c>
      <c r="DE74" s="15">
        <f t="shared" si="178"/>
        <v>-64.549599999999998</v>
      </c>
      <c r="DF74" s="15">
        <f t="shared" si="188"/>
        <v>-77.5976</v>
      </c>
      <c r="DG74" s="15">
        <f t="shared" si="198"/>
        <v>-84.260900000000007</v>
      </c>
      <c r="DH74" s="15">
        <f t="shared" si="208"/>
        <v>-73.722200000000001</v>
      </c>
      <c r="DI74" s="15">
        <f t="shared" si="218"/>
        <v>-69.956800000000001</v>
      </c>
      <c r="DJ74" s="15" t="s">
        <v>22</v>
      </c>
      <c r="DK74" s="15" t="str">
        <f t="shared" si="229"/>
        <v>LL</v>
      </c>
      <c r="DL74" s="15" t="str">
        <f t="shared" si="239"/>
        <v>HL</v>
      </c>
      <c r="DM74" s="15" t="str">
        <f t="shared" si="249"/>
        <v>LL</v>
      </c>
      <c r="DN74" s="15" t="str">
        <f t="shared" ref="DN74:DN105" si="259">DJ66</f>
        <v>HL</v>
      </c>
      <c r="DO74" s="15" t="str">
        <f t="shared" si="159"/>
        <v>HL</v>
      </c>
      <c r="DP74" s="15" t="str">
        <f t="shared" si="169"/>
        <v>LL</v>
      </c>
      <c r="DQ74" s="15" t="str">
        <f t="shared" si="179"/>
        <v>HL</v>
      </c>
      <c r="DR74" s="15" t="str">
        <f t="shared" si="189"/>
        <v>LL</v>
      </c>
      <c r="DS74" s="15" t="str">
        <f t="shared" si="199"/>
        <v>HL</v>
      </c>
      <c r="DT74" s="15" t="str">
        <f t="shared" si="209"/>
        <v>LL</v>
      </c>
      <c r="DU74" s="15" t="str">
        <f t="shared" si="219"/>
        <v>LL</v>
      </c>
      <c r="DV74" s="15">
        <f>IFERROR((G74-$F74)/$F74*100,"")</f>
        <v>-1.4849361384014865</v>
      </c>
      <c r="DW74" s="15">
        <f>IFERROR((H74-$F74)/$F74*100,"")</f>
        <v>0.825719637600828</v>
      </c>
      <c r="DX74" s="15">
        <f>IFERROR((I74-$F74)/$F74*100,"")</f>
        <v>0.47126334255048208</v>
      </c>
      <c r="DY74" s="15">
        <f>IFERROR((J74-$F74)/$F74*100,"")</f>
        <v>0.89452960740089227</v>
      </c>
      <c r="DZ74" s="15">
        <f>IFERROR((K74-$F74)/$F74*100,"")</f>
        <v>-0.10958624820010648</v>
      </c>
      <c r="EA74" s="15">
        <f>IFERROR((L74-$F74)/$F74*100,"")</f>
        <v>-0.21471259095020775</v>
      </c>
      <c r="EB74" s="15">
        <f>IFERROR((M74-$F74)/$F74*100,"")</f>
        <v>1.3294765770013373</v>
      </c>
      <c r="EC74" s="15">
        <f>IFERROR((N74-$F74)/$F74*100,"")</f>
        <v>-2.1388432279521399</v>
      </c>
      <c r="ED74" s="15">
        <f>IFERROR((O74-$F74)/$F74*100,"")</f>
        <v>-1.8081730953018151</v>
      </c>
      <c r="EE74" s="15">
        <f>IFERROR((P74-$F74)/$F74*100,"")</f>
        <v>-1.9564118574019542</v>
      </c>
      <c r="EF74" s="15">
        <f>IFERROR((Q74-$F74)/$F74*100,"")</f>
        <v>-1.335210741151333</v>
      </c>
      <c r="EG74" s="15" t="str">
        <f>IF(DV74="","",IF(AND(ABS(DV74)&lt;=0.25,$E74="Bottom",DK74="LL"),"EQL",IF(AND(ABS(DV74)&lt;=0.25,$E74="Peak",DK74="HH"),"EQH","")))</f>
        <v/>
      </c>
      <c r="EH74" s="15" t="str">
        <f>IF(DW74="","",IF(AND(ABS(DW74)&lt;=0.25,$E74="Bottom",DL74="LL"),"EQL",IF(AND(ABS(DW74)&lt;=0.25,$E74="Peak",DL74="HH"),"EQH","")))</f>
        <v/>
      </c>
      <c r="EI74" s="15" t="str">
        <f>IF(DX74="","",IF(AND(ABS(DX74)&lt;=0.25,$E74="Bottom",DM74="LL"),"EQL",IF(AND(ABS(DX74)&lt;=0.25,$E74="Peak",DM74="HH"),"EQH","")))</f>
        <v/>
      </c>
      <c r="EJ74" s="15" t="str">
        <f>IF(DY74="","",IF(AND(ABS(DY74)&lt;=0.25,$E74="Bottom",DN74="LL"),"EQL",IF(AND(ABS(DY74)&lt;=0.25,$E74="Peak",DN74="HH"),"EQH","")))</f>
        <v/>
      </c>
      <c r="EK74" s="15" t="str">
        <f>IF(DZ74="","",IF(AND(ABS(DZ74)&lt;=0.25,$E74="Bottom",DO74="LL"),"EQL",IF(AND(ABS(DZ74)&lt;=0.25,$E74="Peak",DO74="HH"),"EQH","")))</f>
        <v/>
      </c>
      <c r="EL74" s="15" t="str">
        <f>IF(EA74="","",IF(AND(ABS(EA74)&lt;=0.25,$E74="Bottom",DP74="LL"),"EQL",IF(AND(ABS(EA74)&lt;=0.25,$E74="Peak",DP74="HH"),"EQH","")))</f>
        <v>EQL</v>
      </c>
      <c r="EM74" s="15" t="str">
        <f>IF(EB74="","",IF(AND(ABS(EB74)&lt;=0.25,$E74="Bottom",DQ74="LL"),"EQL",IF(AND(ABS(EB74)&lt;=0.25,$E74="Peak",DQ74="HH"),"EQH","")))</f>
        <v/>
      </c>
      <c r="EN74" s="15" t="str">
        <f>IF(EC74="","",IF(AND(ABS(EC74)&lt;=0.25,$E74="Bottom",DR74="LL"),"EQL",IF(AND(ABS(EC74)&lt;=0.25,$E74="Peak",DR74="HH"),"EQH","")))</f>
        <v/>
      </c>
      <c r="EO74" s="15" t="str">
        <f>IF(ED74="","",IF(AND(ABS(ED74)&lt;=0.25,$E74="Bottom",DS74="LL"),"EQL",IF(AND(ABS(ED74)&lt;=0.25,$E74="Peak",DS74="HH"),"EQH","")))</f>
        <v/>
      </c>
      <c r="EP74" s="15" t="str">
        <f>IF(EE74="","",IF(AND(ABS(EE74)&lt;=0.25,$E74="Bottom",DT74="LL"),"EQL",IF(AND(ABS(EE74)&lt;=0.25,$E74="Peak",DT74="HH"),"EQH","")))</f>
        <v/>
      </c>
      <c r="EQ74" s="15" t="str">
        <f>IF(EF74="","",IF(AND(ABS(EF74)&lt;=0.25,$E74="Bottom",DU74="LL"),"EQL",IF(AND(ABS(EF74)&lt;=0.25,$E74="Peak",DU74="HH"),"EQH","")))</f>
        <v/>
      </c>
      <c r="ER74" s="15" t="str">
        <f>IF(OR(EG74="EQL",EG74="EQH"),F74,"")</f>
        <v/>
      </c>
      <c r="ES74" s="15" t="str">
        <f>IF(OR(EH74="EQL",EH74="EQH"),G74,"")</f>
        <v/>
      </c>
      <c r="ET74" s="15" t="str">
        <f>IF(OR(EI74="EQL",EI74="EQH"),H74,"")</f>
        <v/>
      </c>
      <c r="EU74" s="15" t="str">
        <f>IF(OR(EJ74="EQL",EJ74="EQH"),I74,"")</f>
        <v/>
      </c>
      <c r="EV74" s="15" t="str">
        <f>IF(OR(EK74="EQL",EK74="EQH"),J74,"")</f>
        <v/>
      </c>
      <c r="EW74" s="15">
        <f>IF(OR(EL74="EQL",EL74="EQH"),K74,"")</f>
        <v>4703.46</v>
      </c>
      <c r="EX74" s="15" t="str">
        <f>IF(OR(EM74="EQL",EM74="EQH"),L74,"")</f>
        <v/>
      </c>
      <c r="EY74" s="15" t="str">
        <f>IF(OR(EN74="EQL",EN74="EQH"),M74,"")</f>
        <v/>
      </c>
      <c r="EZ74" s="15" t="str">
        <f>IF(OR(EO74="EQL",EO74="EQH"),N74,"")</f>
        <v/>
      </c>
      <c r="FA74" s="15" t="str">
        <f>IF(OR(EP74="EQL",EP74="EQH"),O74,"")</f>
        <v/>
      </c>
      <c r="FB74" s="15" t="str">
        <f>IF(OR(EQ74="EQL",EQ74="EQH"),P74,"")</f>
        <v/>
      </c>
      <c r="FC74" s="15" t="str">
        <f>IF(AND(EG74="EQL",OR(AQ74=4,AQ74=5)),"IEQL",IF(AND(EG74="EQH",OR(AQ74=1,AQ74=2)),"IEQH",""))</f>
        <v/>
      </c>
      <c r="FD74" s="15" t="str">
        <f>IF(AND(EH74="EQL",OR(AR74=4,AR74=5)),"IEQL",IF(AND(EH74="EQH",OR(AR74=1,AR74=2)),"IEQH",""))</f>
        <v/>
      </c>
      <c r="FE74" s="15" t="str">
        <f>IF(AND(EI74="EQL",OR(AS74=4,AS74=5)),"IEQL",IF(AND(EI74="EQH",OR(AS74=1,AS74=2)),"IEQH",""))</f>
        <v/>
      </c>
      <c r="FF74" s="15" t="str">
        <f>IF(AND(EJ74="EQL",OR(AT74=4,AT74=5)),"IEQL",IF(AND(EJ74="EQH",OR(AT74=1,AT74=2)),"IEQH",""))</f>
        <v/>
      </c>
      <c r="FG74" s="15" t="str">
        <f>IF(AND(EK74="EQL",OR(AU74=4,AU74=5)),"IEQL",IF(AND(EK74="EQH",OR(AU74=1,AU74=2)),"IEQH",""))</f>
        <v/>
      </c>
      <c r="FH74" s="15" t="str">
        <f>IF(AND(EL74="EQL",OR(AV74=4,AV74=5)),"IEQL",IF(AND(EL74="EQH",OR(AV74=1,AV74=2)),"IEQH",""))</f>
        <v/>
      </c>
      <c r="FI74" s="15" t="str">
        <f>IF(AND(EM74="EQL",OR(AW74=4,AW74=5)),"IEQL",IF(AND(EM74="EQH",OR(AW74=1,AW74=2)),"IEQH",""))</f>
        <v/>
      </c>
      <c r="FJ74" s="15" t="str">
        <f>IF(AND(EN74="EQL",OR(AX74=4,AX74=5)),"IEQL",IF(AND(EN74="EQH",OR(AX74=1,AX74=2)),"IEQH",""))</f>
        <v/>
      </c>
      <c r="FK74" s="15" t="str">
        <f>IF(AND(EO74="EQL",OR(AY74=4,AY74=5)),"IEQL",IF(AND(EO74="EQH",OR(AY74=1,AY74=2)),"IEQH",""))</f>
        <v/>
      </c>
      <c r="FL74" s="15" t="str">
        <f>IF(AND(EP74="EQL",OR(AZ74=4,AZ74=5)),"IEQL",IF(AND(EP74="EQH",OR(AZ74=1,AZ74=2)),"IEQH",""))</f>
        <v/>
      </c>
      <c r="FM74" s="15" t="str">
        <f>IF(AND(EQ74="EQL",OR(BA74=4,BA74=5)),"IEQL",IF(AND(EQ74="EQH",OR(BA74=1,BA74=2)),"IEQH",""))</f>
        <v/>
      </c>
      <c r="FN74" s="15" t="str">
        <f>IF(OR(AND(DJ74="LL",AP74=5),AND(DJ74="HH",AP74=2)),F74,"")</f>
        <v/>
      </c>
      <c r="FO74" s="15" t="str">
        <f>IF(FN74&lt;&gt;"",F73,"")</f>
        <v/>
      </c>
    </row>
    <row r="75" spans="1:171" s="15" customFormat="1" x14ac:dyDescent="0.55000000000000004">
      <c r="A75" s="15">
        <v>1776066306</v>
      </c>
      <c r="B75" s="15" t="s">
        <v>16</v>
      </c>
      <c r="C75" s="15" t="s">
        <v>17</v>
      </c>
      <c r="D75" s="15">
        <v>4733.67</v>
      </c>
      <c r="E75" s="15" t="s">
        <v>20</v>
      </c>
      <c r="F75" s="15">
        <v>4740.01</v>
      </c>
      <c r="G75" s="15">
        <f t="shared" si="220"/>
        <v>4728.3599999999997</v>
      </c>
      <c r="H75" s="15">
        <f t="shared" si="230"/>
        <v>4773.08</v>
      </c>
      <c r="I75" s="15">
        <f t="shared" si="240"/>
        <v>4794.96</v>
      </c>
      <c r="J75" s="15">
        <f t="shared" si="250"/>
        <v>4777.3100000000004</v>
      </c>
      <c r="K75" s="15">
        <f t="shared" si="150"/>
        <v>4800.93</v>
      </c>
      <c r="L75" s="15">
        <f t="shared" si="160"/>
        <v>4733.0200000000004</v>
      </c>
      <c r="M75" s="15">
        <f t="shared" si="170"/>
        <v>4807.34</v>
      </c>
      <c r="N75" s="15">
        <f t="shared" si="180"/>
        <v>4857.37</v>
      </c>
      <c r="O75" s="15">
        <f t="shared" si="190"/>
        <v>4694.3100000000004</v>
      </c>
      <c r="P75" s="15">
        <f t="shared" si="200"/>
        <v>4663.28</v>
      </c>
      <c r="Q75" s="15">
        <f t="shared" si="210"/>
        <v>4667.87</v>
      </c>
      <c r="R75" s="15">
        <v>31.39</v>
      </c>
      <c r="S75" s="15">
        <f t="shared" si="221"/>
        <v>89.66</v>
      </c>
      <c r="T75" s="15">
        <f t="shared" si="231"/>
        <v>25.58</v>
      </c>
      <c r="U75" s="15">
        <f t="shared" si="241"/>
        <v>64.150000000000006</v>
      </c>
      <c r="V75" s="15">
        <f t="shared" si="251"/>
        <v>26.57</v>
      </c>
      <c r="W75" s="15">
        <f t="shared" si="151"/>
        <v>97.47</v>
      </c>
      <c r="X75" s="15">
        <f t="shared" si="161"/>
        <v>34.51</v>
      </c>
      <c r="Y75" s="15">
        <f t="shared" si="171"/>
        <v>36.119999999999997</v>
      </c>
      <c r="Z75" s="15">
        <f t="shared" si="181"/>
        <v>249.46</v>
      </c>
      <c r="AA75" s="15">
        <f t="shared" si="191"/>
        <v>70.83</v>
      </c>
      <c r="AB75" s="15">
        <f t="shared" si="201"/>
        <v>46.78</v>
      </c>
      <c r="AC75" s="15">
        <f t="shared" si="211"/>
        <v>22.12</v>
      </c>
      <c r="AD75" s="15">
        <v>0.67</v>
      </c>
      <c r="AE75" s="15">
        <f t="shared" si="222"/>
        <v>1.93</v>
      </c>
      <c r="AF75" s="15">
        <f t="shared" si="232"/>
        <v>0.54</v>
      </c>
      <c r="AG75" s="15">
        <f t="shared" si="242"/>
        <v>1.36</v>
      </c>
      <c r="AH75" s="15">
        <f t="shared" si="252"/>
        <v>0.56000000000000005</v>
      </c>
      <c r="AI75" s="15">
        <f t="shared" si="152"/>
        <v>2.0699999999999998</v>
      </c>
      <c r="AJ75" s="15">
        <f t="shared" si="162"/>
        <v>0.73</v>
      </c>
      <c r="AK75" s="15">
        <f t="shared" si="172"/>
        <v>0.76</v>
      </c>
      <c r="AL75" s="15">
        <f t="shared" si="182"/>
        <v>5.41</v>
      </c>
      <c r="AM75" s="15">
        <f t="shared" si="192"/>
        <v>1.53</v>
      </c>
      <c r="AN75" s="15">
        <f t="shared" si="202"/>
        <v>1.01</v>
      </c>
      <c r="AO75" s="15">
        <f t="shared" si="212"/>
        <v>0.48</v>
      </c>
      <c r="AP75" s="15">
        <v>0</v>
      </c>
      <c r="AQ75" s="15">
        <f t="shared" si="223"/>
        <v>0</v>
      </c>
      <c r="AR75" s="15">
        <f t="shared" si="233"/>
        <v>0</v>
      </c>
      <c r="AS75" s="15">
        <f t="shared" si="243"/>
        <v>0</v>
      </c>
      <c r="AT75" s="15">
        <f t="shared" si="253"/>
        <v>0</v>
      </c>
      <c r="AU75" s="15">
        <f t="shared" si="153"/>
        <v>0</v>
      </c>
      <c r="AV75" s="15">
        <f t="shared" si="163"/>
        <v>0</v>
      </c>
      <c r="AW75" s="15">
        <f t="shared" si="173"/>
        <v>0</v>
      </c>
      <c r="AX75" s="15">
        <f t="shared" si="183"/>
        <v>2</v>
      </c>
      <c r="AY75" s="15">
        <f t="shared" si="193"/>
        <v>0</v>
      </c>
      <c r="AZ75" s="15">
        <f t="shared" si="203"/>
        <v>0</v>
      </c>
      <c r="BA75" s="15">
        <f t="shared" si="213"/>
        <v>0</v>
      </c>
      <c r="BB75" s="15">
        <v>15</v>
      </c>
      <c r="BC75" s="15">
        <f t="shared" si="224"/>
        <v>15</v>
      </c>
      <c r="BD75" s="15">
        <f t="shared" si="234"/>
        <v>10</v>
      </c>
      <c r="BE75" s="15">
        <f t="shared" si="244"/>
        <v>23</v>
      </c>
      <c r="BF75" s="15">
        <f t="shared" si="254"/>
        <v>6</v>
      </c>
      <c r="BG75" s="15">
        <f t="shared" si="154"/>
        <v>43</v>
      </c>
      <c r="BH75" s="15">
        <f t="shared" si="164"/>
        <v>11</v>
      </c>
      <c r="BI75" s="15">
        <f t="shared" si="174"/>
        <v>7</v>
      </c>
      <c r="BJ75" s="15">
        <f t="shared" si="184"/>
        <v>36</v>
      </c>
      <c r="BK75" s="15">
        <f t="shared" si="194"/>
        <v>15</v>
      </c>
      <c r="BL75" s="15">
        <f t="shared" si="204"/>
        <v>11</v>
      </c>
      <c r="BM75" s="15">
        <f t="shared" si="214"/>
        <v>7</v>
      </c>
      <c r="BN75" s="15">
        <v>0</v>
      </c>
      <c r="BO75" s="15">
        <f t="shared" si="225"/>
        <v>0</v>
      </c>
      <c r="BP75" s="15">
        <f t="shared" si="235"/>
        <v>0</v>
      </c>
      <c r="BQ75" s="15">
        <f t="shared" si="245"/>
        <v>0</v>
      </c>
      <c r="BR75" s="15">
        <f t="shared" si="255"/>
        <v>0</v>
      </c>
      <c r="BS75" s="15">
        <f t="shared" si="155"/>
        <v>1</v>
      </c>
      <c r="BT75" s="15">
        <f t="shared" si="165"/>
        <v>0</v>
      </c>
      <c r="BU75" s="15">
        <f t="shared" si="175"/>
        <v>0</v>
      </c>
      <c r="BV75" s="15">
        <f t="shared" si="185"/>
        <v>0</v>
      </c>
      <c r="BW75" s="15">
        <f t="shared" si="195"/>
        <v>0</v>
      </c>
      <c r="BX75" s="15">
        <f t="shared" si="205"/>
        <v>0</v>
      </c>
      <c r="BY75" s="15">
        <f t="shared" si="215"/>
        <v>0</v>
      </c>
      <c r="BZ75" s="15">
        <v>2.09267</v>
      </c>
      <c r="CA75" s="15">
        <f t="shared" si="226"/>
        <v>5.9773300000000003</v>
      </c>
      <c r="CB75" s="15">
        <f t="shared" si="236"/>
        <v>2.5579999999999998</v>
      </c>
      <c r="CC75" s="15">
        <f t="shared" si="246"/>
        <v>2.7891300000000001</v>
      </c>
      <c r="CD75" s="15">
        <f t="shared" si="256"/>
        <v>4.4283299999999999</v>
      </c>
      <c r="CE75" s="15">
        <f t="shared" si="156"/>
        <v>2.26674</v>
      </c>
      <c r="CF75" s="15">
        <f t="shared" si="166"/>
        <v>3.13727</v>
      </c>
      <c r="CG75" s="15">
        <f t="shared" si="176"/>
        <v>5.16</v>
      </c>
      <c r="CH75" s="15">
        <f t="shared" si="186"/>
        <v>6.9294399999999996</v>
      </c>
      <c r="CI75" s="15">
        <f t="shared" si="196"/>
        <v>4.7220000000000004</v>
      </c>
      <c r="CJ75" s="15">
        <f t="shared" si="206"/>
        <v>4.2527299999999997</v>
      </c>
      <c r="CK75" s="15">
        <f t="shared" si="216"/>
        <v>3.16</v>
      </c>
      <c r="CL75" s="15">
        <v>0</v>
      </c>
      <c r="CM75" s="15">
        <f t="shared" si="227"/>
        <v>0</v>
      </c>
      <c r="CN75" s="15">
        <f t="shared" si="237"/>
        <v>0</v>
      </c>
      <c r="CO75" s="15">
        <f t="shared" si="247"/>
        <v>0</v>
      </c>
      <c r="CP75" s="15">
        <f t="shared" si="257"/>
        <v>0</v>
      </c>
      <c r="CQ75" s="15">
        <f t="shared" si="157"/>
        <v>0</v>
      </c>
      <c r="CR75" s="15">
        <f t="shared" si="167"/>
        <v>0</v>
      </c>
      <c r="CS75" s="15">
        <f t="shared" si="177"/>
        <v>0</v>
      </c>
      <c r="CT75" s="15">
        <f t="shared" si="187"/>
        <v>0</v>
      </c>
      <c r="CU75" s="15">
        <f t="shared" si="197"/>
        <v>0</v>
      </c>
      <c r="CV75" s="15">
        <f t="shared" si="207"/>
        <v>0</v>
      </c>
      <c r="CW75" s="15">
        <f t="shared" si="217"/>
        <v>0</v>
      </c>
      <c r="CX75" s="15">
        <v>64.458799999999997</v>
      </c>
      <c r="CY75" s="15">
        <f t="shared" si="228"/>
        <v>80.502399999999994</v>
      </c>
      <c r="CZ75" s="15">
        <f t="shared" si="238"/>
        <v>68.647999999999996</v>
      </c>
      <c r="DA75" s="15">
        <f t="shared" si="248"/>
        <v>70.275499999999994</v>
      </c>
      <c r="DB75" s="15">
        <f t="shared" si="258"/>
        <v>77.275000000000006</v>
      </c>
      <c r="DC75" s="15">
        <f t="shared" si="158"/>
        <v>66.194800000000001</v>
      </c>
      <c r="DD75" s="15">
        <f t="shared" si="168"/>
        <v>72.320400000000006</v>
      </c>
      <c r="DE75" s="15">
        <f t="shared" si="178"/>
        <v>79.0321</v>
      </c>
      <c r="DF75" s="15">
        <f t="shared" si="188"/>
        <v>81.788200000000003</v>
      </c>
      <c r="DG75" s="15">
        <f t="shared" si="198"/>
        <v>78.042900000000003</v>
      </c>
      <c r="DH75" s="15">
        <f t="shared" si="208"/>
        <v>76.767700000000005</v>
      </c>
      <c r="DI75" s="15">
        <f t="shared" si="218"/>
        <v>72.439700000000002</v>
      </c>
      <c r="DJ75" s="15" t="s">
        <v>23</v>
      </c>
      <c r="DK75" s="15" t="str">
        <f t="shared" si="229"/>
        <v>LH</v>
      </c>
      <c r="DL75" s="15" t="str">
        <f t="shared" si="239"/>
        <v>LH</v>
      </c>
      <c r="DM75" s="15" t="str">
        <f t="shared" si="249"/>
        <v>HH</v>
      </c>
      <c r="DN75" s="15" t="str">
        <f t="shared" si="259"/>
        <v>LH</v>
      </c>
      <c r="DO75" s="15" t="str">
        <f t="shared" si="159"/>
        <v>HH</v>
      </c>
      <c r="DP75" s="15" t="str">
        <f t="shared" si="169"/>
        <v>LH</v>
      </c>
      <c r="DQ75" s="15" t="str">
        <f t="shared" si="179"/>
        <v>LH</v>
      </c>
      <c r="DR75" s="15" t="str">
        <f t="shared" si="189"/>
        <v>HH</v>
      </c>
      <c r="DS75" s="15" t="str">
        <f t="shared" si="199"/>
        <v>HH</v>
      </c>
      <c r="DT75" s="15" t="str">
        <f t="shared" si="209"/>
        <v>LH</v>
      </c>
      <c r="DU75" s="15" t="str">
        <f t="shared" si="219"/>
        <v>LH</v>
      </c>
      <c r="DV75" s="15">
        <f>IFERROR((G75-$F75)/$F75*100,"")</f>
        <v>-0.24578007219395204</v>
      </c>
      <c r="DW75" s="15">
        <f>IFERROR((H75-$F75)/$F75*100,"")</f>
        <v>0.69767785300030394</v>
      </c>
      <c r="DX75" s="15">
        <f>IFERROR((I75-$F75)/$F75*100,"")</f>
        <v>1.1592802546830032</v>
      </c>
      <c r="DY75" s="15">
        <f>IFERROR((J75-$F75)/$F75*100,"")</f>
        <v>0.78691817105871453</v>
      </c>
      <c r="DZ75" s="15">
        <f>IFERROR((K75-$F75)/$F75*100,"")</f>
        <v>1.2852293560562122</v>
      </c>
      <c r="EA75" s="15">
        <f>IFERROR((L75-$F75)/$F75*100,"")</f>
        <v>-0.14746804331635968</v>
      </c>
      <c r="EB75" s="15">
        <f>IFERROR((M75-$F75)/$F75*100,"")</f>
        <v>1.4204611382676391</v>
      </c>
      <c r="EC75" s="15">
        <f>IFERROR((N75-$F75)/$F75*100,"")</f>
        <v>2.4759441435777489</v>
      </c>
      <c r="ED75" s="15">
        <f>IFERROR((O75-$F75)/$F75*100,"")</f>
        <v>-0.96413298706120487</v>
      </c>
      <c r="EE75" s="15">
        <f>IFERROR((P75-$F75)/$F75*100,"")</f>
        <v>-1.6187729561752078</v>
      </c>
      <c r="EF75" s="15">
        <f>IFERROR((Q75-$F75)/$F75*100,"")</f>
        <v>-1.5219377174309827</v>
      </c>
      <c r="EG75" s="15" t="str">
        <f>IF(DV75="","",IF(AND(ABS(DV75)&lt;=0.25,$E75="Bottom",DK75="LL"),"EQL",IF(AND(ABS(DV75)&lt;=0.25,$E75="Peak",DK75="HH"),"EQH","")))</f>
        <v/>
      </c>
      <c r="EH75" s="15" t="str">
        <f>IF(DW75="","",IF(AND(ABS(DW75)&lt;=0.25,$E75="Bottom",DL75="LL"),"EQL",IF(AND(ABS(DW75)&lt;=0.25,$E75="Peak",DL75="HH"),"EQH","")))</f>
        <v/>
      </c>
      <c r="EI75" s="15" t="str">
        <f>IF(DX75="","",IF(AND(ABS(DX75)&lt;=0.25,$E75="Bottom",DM75="LL"),"EQL",IF(AND(ABS(DX75)&lt;=0.25,$E75="Peak",DM75="HH"),"EQH","")))</f>
        <v/>
      </c>
      <c r="EJ75" s="15" t="str">
        <f>IF(DY75="","",IF(AND(ABS(DY75)&lt;=0.25,$E75="Bottom",DN75="LL"),"EQL",IF(AND(ABS(DY75)&lt;=0.25,$E75="Peak",DN75="HH"),"EQH","")))</f>
        <v/>
      </c>
      <c r="EK75" s="15" t="str">
        <f>IF(DZ75="","",IF(AND(ABS(DZ75)&lt;=0.25,$E75="Bottom",DO75="LL"),"EQL",IF(AND(ABS(DZ75)&lt;=0.25,$E75="Peak",DO75="HH"),"EQH","")))</f>
        <v/>
      </c>
      <c r="EL75" s="15" t="str">
        <f>IF(EA75="","",IF(AND(ABS(EA75)&lt;=0.25,$E75="Bottom",DP75="LL"),"EQL",IF(AND(ABS(EA75)&lt;=0.25,$E75="Peak",DP75="HH"),"EQH","")))</f>
        <v/>
      </c>
      <c r="EM75" s="15" t="str">
        <f>IF(EB75="","",IF(AND(ABS(EB75)&lt;=0.25,$E75="Bottom",DQ75="LL"),"EQL",IF(AND(ABS(EB75)&lt;=0.25,$E75="Peak",DQ75="HH"),"EQH","")))</f>
        <v/>
      </c>
      <c r="EN75" s="15" t="str">
        <f>IF(EC75="","",IF(AND(ABS(EC75)&lt;=0.25,$E75="Bottom",DR75="LL"),"EQL",IF(AND(ABS(EC75)&lt;=0.25,$E75="Peak",DR75="HH"),"EQH","")))</f>
        <v/>
      </c>
      <c r="EO75" s="15" t="str">
        <f>IF(ED75="","",IF(AND(ABS(ED75)&lt;=0.25,$E75="Bottom",DS75="LL"),"EQL",IF(AND(ABS(ED75)&lt;=0.25,$E75="Peak",DS75="HH"),"EQH","")))</f>
        <v/>
      </c>
      <c r="EP75" s="15" t="str">
        <f>IF(EE75="","",IF(AND(ABS(EE75)&lt;=0.25,$E75="Bottom",DT75="LL"),"EQL",IF(AND(ABS(EE75)&lt;=0.25,$E75="Peak",DT75="HH"),"EQH","")))</f>
        <v/>
      </c>
      <c r="EQ75" s="15" t="str">
        <f>IF(EF75="","",IF(AND(ABS(EF75)&lt;=0.25,$E75="Bottom",DU75="LL"),"EQL",IF(AND(ABS(EF75)&lt;=0.25,$E75="Peak",DU75="HH"),"EQH","")))</f>
        <v/>
      </c>
      <c r="ER75" s="15" t="str">
        <f>IF(OR(EG75="EQL",EG75="EQH"),F75,"")</f>
        <v/>
      </c>
      <c r="ES75" s="15" t="str">
        <f>IF(OR(EH75="EQL",EH75="EQH"),G75,"")</f>
        <v/>
      </c>
      <c r="ET75" s="15" t="str">
        <f>IF(OR(EI75="EQL",EI75="EQH"),H75,"")</f>
        <v/>
      </c>
      <c r="EU75" s="15" t="str">
        <f>IF(OR(EJ75="EQL",EJ75="EQH"),I75,"")</f>
        <v/>
      </c>
      <c r="EV75" s="15" t="str">
        <f>IF(OR(EK75="EQL",EK75="EQH"),J75,"")</f>
        <v/>
      </c>
      <c r="EW75" s="15" t="str">
        <f>IF(OR(EL75="EQL",EL75="EQH"),K75,"")</f>
        <v/>
      </c>
      <c r="EX75" s="15" t="str">
        <f>IF(OR(EM75="EQL",EM75="EQH"),L75,"")</f>
        <v/>
      </c>
      <c r="EY75" s="15" t="str">
        <f>IF(OR(EN75="EQL",EN75="EQH"),M75,"")</f>
        <v/>
      </c>
      <c r="EZ75" s="15" t="str">
        <f>IF(OR(EO75="EQL",EO75="EQH"),N75,"")</f>
        <v/>
      </c>
      <c r="FA75" s="15" t="str">
        <f>IF(OR(EP75="EQL",EP75="EQH"),O75,"")</f>
        <v/>
      </c>
      <c r="FB75" s="15" t="str">
        <f>IF(OR(EQ75="EQL",EQ75="EQH"),P75,"")</f>
        <v/>
      </c>
      <c r="FC75" s="15" t="str">
        <f>IF(AND(EG75="EQL",OR(AQ75=4,AQ75=5)),"IEQL",IF(AND(EG75="EQH",OR(AQ75=1,AQ75=2)),"IEQH",""))</f>
        <v/>
      </c>
      <c r="FD75" s="15" t="str">
        <f>IF(AND(EH75="EQL",OR(AR75=4,AR75=5)),"IEQL",IF(AND(EH75="EQH",OR(AR75=1,AR75=2)),"IEQH",""))</f>
        <v/>
      </c>
      <c r="FE75" s="15" t="str">
        <f>IF(AND(EI75="EQL",OR(AS75=4,AS75=5)),"IEQL",IF(AND(EI75="EQH",OR(AS75=1,AS75=2)),"IEQH",""))</f>
        <v/>
      </c>
      <c r="FF75" s="15" t="str">
        <f>IF(AND(EJ75="EQL",OR(AT75=4,AT75=5)),"IEQL",IF(AND(EJ75="EQH",OR(AT75=1,AT75=2)),"IEQH",""))</f>
        <v/>
      </c>
      <c r="FG75" s="15" t="str">
        <f>IF(AND(EK75="EQL",OR(AU75=4,AU75=5)),"IEQL",IF(AND(EK75="EQH",OR(AU75=1,AU75=2)),"IEQH",""))</f>
        <v/>
      </c>
      <c r="FH75" s="15" t="str">
        <f>IF(AND(EL75="EQL",OR(AV75=4,AV75=5)),"IEQL",IF(AND(EL75="EQH",OR(AV75=1,AV75=2)),"IEQH",""))</f>
        <v/>
      </c>
      <c r="FI75" s="15" t="str">
        <f>IF(AND(EM75="EQL",OR(AW75=4,AW75=5)),"IEQL",IF(AND(EM75="EQH",OR(AW75=1,AW75=2)),"IEQH",""))</f>
        <v/>
      </c>
      <c r="FJ75" s="15" t="str">
        <f>IF(AND(EN75="EQL",OR(AX75=4,AX75=5)),"IEQL",IF(AND(EN75="EQH",OR(AX75=1,AX75=2)),"IEQH",""))</f>
        <v/>
      </c>
      <c r="FK75" s="15" t="str">
        <f>IF(AND(EO75="EQL",OR(AY75=4,AY75=5)),"IEQL",IF(AND(EO75="EQH",OR(AY75=1,AY75=2)),"IEQH",""))</f>
        <v/>
      </c>
      <c r="FL75" s="15" t="str">
        <f>IF(AND(EP75="EQL",OR(AZ75=4,AZ75=5)),"IEQL",IF(AND(EP75="EQH",OR(AZ75=1,AZ75=2)),"IEQH",""))</f>
        <v/>
      </c>
      <c r="FM75" s="15" t="str">
        <f>IF(AND(EQ75="EQL",OR(BA75=4,BA75=5)),"IEQL",IF(AND(EQ75="EQH",OR(BA75=1,BA75=2)),"IEQH",""))</f>
        <v/>
      </c>
      <c r="FN75" s="15" t="str">
        <f>IF(OR(AND(DJ75="LL",AP75=5),AND(DJ75="HH",AP75=2)),F75,"")</f>
        <v/>
      </c>
      <c r="FO75" s="15" t="str">
        <f>IF(FN75&lt;&gt;"",F74,"")</f>
        <v/>
      </c>
    </row>
    <row r="76" spans="1:171" s="15" customFormat="1" x14ac:dyDescent="0.55000000000000004">
      <c r="A76" s="15">
        <v>1776080706</v>
      </c>
      <c r="B76" s="15" t="s">
        <v>16</v>
      </c>
      <c r="C76" s="15" t="s">
        <v>17</v>
      </c>
      <c r="D76" s="15">
        <v>4706.83</v>
      </c>
      <c r="E76" s="15" t="s">
        <v>18</v>
      </c>
      <c r="F76" s="15">
        <v>4703.7700000000004</v>
      </c>
      <c r="G76" s="15">
        <f t="shared" si="220"/>
        <v>4708.62</v>
      </c>
      <c r="H76" s="15">
        <f t="shared" si="230"/>
        <v>4638.7</v>
      </c>
      <c r="I76" s="15">
        <f t="shared" si="240"/>
        <v>4747.5</v>
      </c>
      <c r="J76" s="15">
        <f t="shared" si="250"/>
        <v>4730.8100000000004</v>
      </c>
      <c r="K76" s="15">
        <f t="shared" ref="K76:K107" si="260">F66</f>
        <v>4750.74</v>
      </c>
      <c r="L76" s="15">
        <f t="shared" si="160"/>
        <v>4703.46</v>
      </c>
      <c r="M76" s="15">
        <f t="shared" si="170"/>
        <v>4698.51</v>
      </c>
      <c r="N76" s="15">
        <f t="shared" si="180"/>
        <v>4771.22</v>
      </c>
      <c r="O76" s="15">
        <f t="shared" si="190"/>
        <v>4607.91</v>
      </c>
      <c r="P76" s="15">
        <f t="shared" si="200"/>
        <v>4623.4799999999996</v>
      </c>
      <c r="Q76" s="15">
        <f t="shared" si="210"/>
        <v>4616.5</v>
      </c>
      <c r="R76" s="15">
        <v>-36.24</v>
      </c>
      <c r="S76" s="15">
        <f t="shared" si="221"/>
        <v>-19.739999999999998</v>
      </c>
      <c r="T76" s="15">
        <f t="shared" si="231"/>
        <v>-134.38</v>
      </c>
      <c r="U76" s="15">
        <f t="shared" si="241"/>
        <v>-47.46</v>
      </c>
      <c r="V76" s="15">
        <f t="shared" si="251"/>
        <v>-46.5</v>
      </c>
      <c r="W76" s="15">
        <f t="shared" ref="W76:W107" si="261">R66</f>
        <v>-50.19</v>
      </c>
      <c r="X76" s="15">
        <f t="shared" si="161"/>
        <v>-29.56</v>
      </c>
      <c r="Y76" s="15">
        <f t="shared" si="171"/>
        <v>-108.83</v>
      </c>
      <c r="Z76" s="15">
        <f t="shared" si="181"/>
        <v>-86.15</v>
      </c>
      <c r="AA76" s="15">
        <f t="shared" si="191"/>
        <v>-86.4</v>
      </c>
      <c r="AB76" s="15">
        <f t="shared" si="201"/>
        <v>-39.799999999999997</v>
      </c>
      <c r="AC76" s="15">
        <f t="shared" si="211"/>
        <v>-51.37</v>
      </c>
      <c r="AD76" s="15">
        <v>-0.76</v>
      </c>
      <c r="AE76" s="15">
        <f t="shared" si="222"/>
        <v>-0.42</v>
      </c>
      <c r="AF76" s="15">
        <f t="shared" si="232"/>
        <v>-2.82</v>
      </c>
      <c r="AG76" s="15">
        <f t="shared" si="242"/>
        <v>-0.99</v>
      </c>
      <c r="AH76" s="15">
        <f t="shared" si="252"/>
        <v>-0.97</v>
      </c>
      <c r="AI76" s="15">
        <f t="shared" ref="AI76:AI107" si="262">AD66</f>
        <v>-1.05</v>
      </c>
      <c r="AJ76" s="15">
        <f t="shared" si="162"/>
        <v>-0.62</v>
      </c>
      <c r="AK76" s="15">
        <f t="shared" si="172"/>
        <v>-2.2599999999999998</v>
      </c>
      <c r="AL76" s="15">
        <f t="shared" si="182"/>
        <v>-1.77</v>
      </c>
      <c r="AM76" s="15">
        <f t="shared" si="192"/>
        <v>-1.84</v>
      </c>
      <c r="AN76" s="15">
        <f t="shared" si="202"/>
        <v>-0.85</v>
      </c>
      <c r="AO76" s="15">
        <f t="shared" si="212"/>
        <v>-1.1000000000000001</v>
      </c>
      <c r="AP76" s="15">
        <v>3</v>
      </c>
      <c r="AQ76" s="15">
        <f t="shared" si="223"/>
        <v>3</v>
      </c>
      <c r="AR76" s="15">
        <f t="shared" si="233"/>
        <v>3</v>
      </c>
      <c r="AS76" s="15">
        <f t="shared" si="243"/>
        <v>3</v>
      </c>
      <c r="AT76" s="15">
        <f t="shared" si="253"/>
        <v>3</v>
      </c>
      <c r="AU76" s="15">
        <f t="shared" ref="AU76:AU107" si="263">AP66</f>
        <v>3</v>
      </c>
      <c r="AV76" s="15">
        <f t="shared" si="163"/>
        <v>3</v>
      </c>
      <c r="AW76" s="15">
        <f t="shared" si="173"/>
        <v>3</v>
      </c>
      <c r="AX76" s="15">
        <f t="shared" si="183"/>
        <v>3</v>
      </c>
      <c r="AY76" s="15">
        <f t="shared" si="193"/>
        <v>3</v>
      </c>
      <c r="AZ76" s="15">
        <f t="shared" si="203"/>
        <v>3</v>
      </c>
      <c r="BA76" s="15">
        <f t="shared" si="213"/>
        <v>3</v>
      </c>
      <c r="BB76" s="15">
        <v>16</v>
      </c>
      <c r="BC76" s="15">
        <f t="shared" si="224"/>
        <v>9</v>
      </c>
      <c r="BD76" s="15">
        <f t="shared" si="234"/>
        <v>10</v>
      </c>
      <c r="BE76" s="15">
        <f t="shared" si="244"/>
        <v>6</v>
      </c>
      <c r="BF76" s="15">
        <f t="shared" si="254"/>
        <v>29</v>
      </c>
      <c r="BG76" s="15">
        <f t="shared" ref="BG76:BG107" si="264">BB66</f>
        <v>22</v>
      </c>
      <c r="BH76" s="15">
        <f t="shared" si="164"/>
        <v>16</v>
      </c>
      <c r="BI76" s="15">
        <f t="shared" si="174"/>
        <v>44</v>
      </c>
      <c r="BJ76" s="15">
        <f t="shared" si="184"/>
        <v>41</v>
      </c>
      <c r="BK76" s="15">
        <f t="shared" si="194"/>
        <v>19</v>
      </c>
      <c r="BL76" s="15">
        <f t="shared" si="204"/>
        <v>4</v>
      </c>
      <c r="BM76" s="15">
        <f t="shared" si="214"/>
        <v>15</v>
      </c>
      <c r="BN76" s="15">
        <v>3</v>
      </c>
      <c r="BO76" s="15">
        <f t="shared" si="225"/>
        <v>3</v>
      </c>
      <c r="BP76" s="15">
        <f t="shared" si="235"/>
        <v>3</v>
      </c>
      <c r="BQ76" s="15">
        <f t="shared" si="245"/>
        <v>3</v>
      </c>
      <c r="BR76" s="15">
        <f t="shared" si="255"/>
        <v>3</v>
      </c>
      <c r="BS76" s="15">
        <f t="shared" ref="BS76:BS107" si="265">BN66</f>
        <v>3</v>
      </c>
      <c r="BT76" s="15">
        <f t="shared" si="165"/>
        <v>3</v>
      </c>
      <c r="BU76" s="15">
        <f t="shared" si="175"/>
        <v>4</v>
      </c>
      <c r="BV76" s="15">
        <f t="shared" si="185"/>
        <v>4</v>
      </c>
      <c r="BW76" s="15">
        <f t="shared" si="195"/>
        <v>3</v>
      </c>
      <c r="BX76" s="15">
        <f t="shared" si="205"/>
        <v>3</v>
      </c>
      <c r="BY76" s="15">
        <f t="shared" si="215"/>
        <v>3</v>
      </c>
      <c r="BZ76" s="15">
        <v>-2.2650000000000001</v>
      </c>
      <c r="CA76" s="15">
        <f t="shared" si="226"/>
        <v>-2.19333</v>
      </c>
      <c r="CB76" s="15">
        <f t="shared" si="236"/>
        <v>-13.438000000000001</v>
      </c>
      <c r="CC76" s="15">
        <f t="shared" si="246"/>
        <v>-7.91</v>
      </c>
      <c r="CD76" s="15">
        <f t="shared" si="256"/>
        <v>-1.60345</v>
      </c>
      <c r="CE76" s="15">
        <f t="shared" ref="CE76:CE107" si="266">BZ66</f>
        <v>-2.2813599999999998</v>
      </c>
      <c r="CF76" s="15">
        <f t="shared" si="166"/>
        <v>-1.8474999999999999</v>
      </c>
      <c r="CG76" s="15">
        <f t="shared" si="176"/>
        <v>-2.4734099999999999</v>
      </c>
      <c r="CH76" s="15">
        <f t="shared" si="186"/>
        <v>-2.1012200000000001</v>
      </c>
      <c r="CI76" s="15">
        <f t="shared" si="196"/>
        <v>-4.5473699999999999</v>
      </c>
      <c r="CJ76" s="15">
        <f t="shared" si="206"/>
        <v>-9.9499999999999993</v>
      </c>
      <c r="CK76" s="15">
        <f t="shared" si="216"/>
        <v>-3.4246699999999999</v>
      </c>
      <c r="CL76" s="15">
        <v>3</v>
      </c>
      <c r="CM76" s="15">
        <f t="shared" si="227"/>
        <v>3</v>
      </c>
      <c r="CN76" s="15">
        <f t="shared" si="237"/>
        <v>3</v>
      </c>
      <c r="CO76" s="15">
        <f t="shared" si="247"/>
        <v>3</v>
      </c>
      <c r="CP76" s="15">
        <f t="shared" si="257"/>
        <v>3</v>
      </c>
      <c r="CQ76" s="15">
        <f t="shared" ref="CQ76:CQ107" si="267">CL66</f>
        <v>3</v>
      </c>
      <c r="CR76" s="15">
        <f t="shared" si="167"/>
        <v>3</v>
      </c>
      <c r="CS76" s="15">
        <f t="shared" si="177"/>
        <v>3</v>
      </c>
      <c r="CT76" s="15">
        <f t="shared" si="187"/>
        <v>3</v>
      </c>
      <c r="CU76" s="15">
        <f t="shared" si="197"/>
        <v>3</v>
      </c>
      <c r="CV76" s="15">
        <f t="shared" si="207"/>
        <v>3</v>
      </c>
      <c r="CW76" s="15">
        <f t="shared" si="217"/>
        <v>3</v>
      </c>
      <c r="CX76" s="15">
        <v>-66.1785</v>
      </c>
      <c r="CY76" s="15">
        <f t="shared" si="228"/>
        <v>-65.490499999999997</v>
      </c>
      <c r="CZ76" s="15">
        <f t="shared" si="238"/>
        <v>-85.744100000000003</v>
      </c>
      <c r="DA76" s="15">
        <f t="shared" si="248"/>
        <v>-82.794799999999995</v>
      </c>
      <c r="DB76" s="15">
        <f t="shared" si="258"/>
        <v>-58.05</v>
      </c>
      <c r="DC76" s="15">
        <f t="shared" ref="DC76:DC107" si="268">CX66</f>
        <v>-66.330500000000001</v>
      </c>
      <c r="DD76" s="15">
        <f t="shared" si="168"/>
        <v>-61.574599999999997</v>
      </c>
      <c r="DE76" s="15">
        <f t="shared" si="178"/>
        <v>-67.986500000000007</v>
      </c>
      <c r="DF76" s="15">
        <f t="shared" si="188"/>
        <v>-64.549599999999998</v>
      </c>
      <c r="DG76" s="15">
        <f t="shared" si="198"/>
        <v>-77.5976</v>
      </c>
      <c r="DH76" s="15">
        <f t="shared" si="208"/>
        <v>-84.260900000000007</v>
      </c>
      <c r="DI76" s="15">
        <f t="shared" si="218"/>
        <v>-73.722200000000001</v>
      </c>
      <c r="DJ76" s="15" t="s">
        <v>19</v>
      </c>
      <c r="DK76" s="15" t="str">
        <f t="shared" si="229"/>
        <v>HL</v>
      </c>
      <c r="DL76" s="15" t="str">
        <f t="shared" si="239"/>
        <v>LL</v>
      </c>
      <c r="DM76" s="15" t="str">
        <f t="shared" si="249"/>
        <v>HL</v>
      </c>
      <c r="DN76" s="15" t="str">
        <f t="shared" si="259"/>
        <v>LL</v>
      </c>
      <c r="DO76" s="15" t="str">
        <f t="shared" ref="DO76:DO107" si="269">DJ66</f>
        <v>HL</v>
      </c>
      <c r="DP76" s="15" t="str">
        <f t="shared" si="169"/>
        <v>HL</v>
      </c>
      <c r="DQ76" s="15" t="str">
        <f t="shared" si="179"/>
        <v>LL</v>
      </c>
      <c r="DR76" s="15" t="str">
        <f t="shared" si="189"/>
        <v>HL</v>
      </c>
      <c r="DS76" s="15" t="str">
        <f t="shared" si="199"/>
        <v>LL</v>
      </c>
      <c r="DT76" s="15" t="str">
        <f t="shared" si="209"/>
        <v>HL</v>
      </c>
      <c r="DU76" s="15" t="str">
        <f t="shared" si="219"/>
        <v>LL</v>
      </c>
      <c r="DV76" s="15">
        <f>IFERROR((G76-$F76)/$F76*100,"")</f>
        <v>0.10310878295493729</v>
      </c>
      <c r="DW76" s="15">
        <f>IFERROR((H76-$F76)/$F76*100,"")</f>
        <v>-1.383358455026513</v>
      </c>
      <c r="DX76" s="15">
        <f>IFERROR((I76-$F76)/$F76*100,"")</f>
        <v>0.92967981002471545</v>
      </c>
      <c r="DY76" s="15">
        <f>IFERROR((J76-$F76)/$F76*100,"")</f>
        <v>0.57485803940243596</v>
      </c>
      <c r="DZ76" s="15">
        <f>IFERROR((K76-$F76)/$F76*100,"")</f>
        <v>0.99856072894719206</v>
      </c>
      <c r="EA76" s="15">
        <f>IFERROR((L76-$F76)/$F76*100,"")</f>
        <v>-6.5904582919743123E-3</v>
      </c>
      <c r="EB76" s="15">
        <f>IFERROR((M76-$F76)/$F76*100,"")</f>
        <v>-0.11182519553465024</v>
      </c>
      <c r="EC76" s="15">
        <f>IFERROR((N76-$F76)/$F76*100,"")</f>
        <v>1.4339561670744916</v>
      </c>
      <c r="ED76" s="15">
        <f>IFERROR((O76-$F76)/$F76*100,"")</f>
        <v>-2.0379397802188581</v>
      </c>
      <c r="EE76" s="15">
        <f>IFERROR((P76-$F76)/$F76*100,"")</f>
        <v>-1.7069286976191624</v>
      </c>
      <c r="EF76" s="15">
        <f>IFERROR((Q76-$F76)/$F76*100,"")</f>
        <v>-1.8553203069027702</v>
      </c>
      <c r="EG76" s="15" t="str">
        <f>IF(DV76="","",IF(AND(ABS(DV76)&lt;=0.25,$E76="Bottom",DK76="LL"),"EQL",IF(AND(ABS(DV76)&lt;=0.25,$E76="Peak",DK76="HH"),"EQH","")))</f>
        <v/>
      </c>
      <c r="EH76" s="15" t="str">
        <f>IF(DW76="","",IF(AND(ABS(DW76)&lt;=0.25,$E76="Bottom",DL76="LL"),"EQL",IF(AND(ABS(DW76)&lt;=0.25,$E76="Peak",DL76="HH"),"EQH","")))</f>
        <v/>
      </c>
      <c r="EI76" s="15" t="str">
        <f>IF(DX76="","",IF(AND(ABS(DX76)&lt;=0.25,$E76="Bottom",DM76="LL"),"EQL",IF(AND(ABS(DX76)&lt;=0.25,$E76="Peak",DM76="HH"),"EQH","")))</f>
        <v/>
      </c>
      <c r="EJ76" s="15" t="str">
        <f>IF(DY76="","",IF(AND(ABS(DY76)&lt;=0.25,$E76="Bottom",DN76="LL"),"EQL",IF(AND(ABS(DY76)&lt;=0.25,$E76="Peak",DN76="HH"),"EQH","")))</f>
        <v/>
      </c>
      <c r="EK76" s="15" t="str">
        <f>IF(DZ76="","",IF(AND(ABS(DZ76)&lt;=0.25,$E76="Bottom",DO76="LL"),"EQL",IF(AND(ABS(DZ76)&lt;=0.25,$E76="Peak",DO76="HH"),"EQH","")))</f>
        <v/>
      </c>
      <c r="EL76" s="15" t="str">
        <f>IF(EA76="","",IF(AND(ABS(EA76)&lt;=0.25,$E76="Bottom",DP76="LL"),"EQL",IF(AND(ABS(EA76)&lt;=0.25,$E76="Peak",DP76="HH"),"EQH","")))</f>
        <v/>
      </c>
      <c r="EM76" s="15" t="str">
        <f>IF(EB76="","",IF(AND(ABS(EB76)&lt;=0.25,$E76="Bottom",DQ76="LL"),"EQL",IF(AND(ABS(EB76)&lt;=0.25,$E76="Peak",DQ76="HH"),"EQH","")))</f>
        <v>EQL</v>
      </c>
      <c r="EN76" s="15" t="str">
        <f>IF(EC76="","",IF(AND(ABS(EC76)&lt;=0.25,$E76="Bottom",DR76="LL"),"EQL",IF(AND(ABS(EC76)&lt;=0.25,$E76="Peak",DR76="HH"),"EQH","")))</f>
        <v/>
      </c>
      <c r="EO76" s="15" t="str">
        <f>IF(ED76="","",IF(AND(ABS(ED76)&lt;=0.25,$E76="Bottom",DS76="LL"),"EQL",IF(AND(ABS(ED76)&lt;=0.25,$E76="Peak",DS76="HH"),"EQH","")))</f>
        <v/>
      </c>
      <c r="EP76" s="15" t="str">
        <f>IF(EE76="","",IF(AND(ABS(EE76)&lt;=0.25,$E76="Bottom",DT76="LL"),"EQL",IF(AND(ABS(EE76)&lt;=0.25,$E76="Peak",DT76="HH"),"EQH","")))</f>
        <v/>
      </c>
      <c r="EQ76" s="15" t="str">
        <f>IF(EF76="","",IF(AND(ABS(EF76)&lt;=0.25,$E76="Bottom",DU76="LL"),"EQL",IF(AND(ABS(EF76)&lt;=0.25,$E76="Peak",DU76="HH"),"EQH","")))</f>
        <v/>
      </c>
      <c r="ER76" s="15" t="str">
        <f>IF(OR(EG76="EQL",EG76="EQH"),F76,"")</f>
        <v/>
      </c>
      <c r="ES76" s="15" t="str">
        <f>IF(OR(EH76="EQL",EH76="EQH"),G76,"")</f>
        <v/>
      </c>
      <c r="ET76" s="15" t="str">
        <f>IF(OR(EI76="EQL",EI76="EQH"),H76,"")</f>
        <v/>
      </c>
      <c r="EU76" s="15" t="str">
        <f>IF(OR(EJ76="EQL",EJ76="EQH"),I76,"")</f>
        <v/>
      </c>
      <c r="EV76" s="15" t="str">
        <f>IF(OR(EK76="EQL",EK76="EQH"),J76,"")</f>
        <v/>
      </c>
      <c r="EW76" s="15" t="str">
        <f>IF(OR(EL76="EQL",EL76="EQH"),K76,"")</f>
        <v/>
      </c>
      <c r="EX76" s="15">
        <f>IF(OR(EM76="EQL",EM76="EQH"),L76,"")</f>
        <v>4703.46</v>
      </c>
      <c r="EY76" s="15" t="str">
        <f>IF(OR(EN76="EQL",EN76="EQH"),M76,"")</f>
        <v/>
      </c>
      <c r="EZ76" s="15" t="str">
        <f>IF(OR(EO76="EQL",EO76="EQH"),N76,"")</f>
        <v/>
      </c>
      <c r="FA76" s="15" t="str">
        <f>IF(OR(EP76="EQL",EP76="EQH"),O76,"")</f>
        <v/>
      </c>
      <c r="FB76" s="15" t="str">
        <f>IF(OR(EQ76="EQL",EQ76="EQH"),P76,"")</f>
        <v/>
      </c>
      <c r="FC76" s="15" t="str">
        <f>IF(AND(EG76="EQL",OR(AQ76=4,AQ76=5)),"IEQL",IF(AND(EG76="EQH",OR(AQ76=1,AQ76=2)),"IEQH",""))</f>
        <v/>
      </c>
      <c r="FD76" s="15" t="str">
        <f>IF(AND(EH76="EQL",OR(AR76=4,AR76=5)),"IEQL",IF(AND(EH76="EQH",OR(AR76=1,AR76=2)),"IEQH",""))</f>
        <v/>
      </c>
      <c r="FE76" s="15" t="str">
        <f>IF(AND(EI76="EQL",OR(AS76=4,AS76=5)),"IEQL",IF(AND(EI76="EQH",OR(AS76=1,AS76=2)),"IEQH",""))</f>
        <v/>
      </c>
      <c r="FF76" s="15" t="str">
        <f>IF(AND(EJ76="EQL",OR(AT76=4,AT76=5)),"IEQL",IF(AND(EJ76="EQH",OR(AT76=1,AT76=2)),"IEQH",""))</f>
        <v/>
      </c>
      <c r="FG76" s="15" t="str">
        <f>IF(AND(EK76="EQL",OR(AU76=4,AU76=5)),"IEQL",IF(AND(EK76="EQH",OR(AU76=1,AU76=2)),"IEQH",""))</f>
        <v/>
      </c>
      <c r="FH76" s="15" t="str">
        <f>IF(AND(EL76="EQL",OR(AV76=4,AV76=5)),"IEQL",IF(AND(EL76="EQH",OR(AV76=1,AV76=2)),"IEQH",""))</f>
        <v/>
      </c>
      <c r="FI76" s="15" t="str">
        <f>IF(AND(EM76="EQL",OR(AW76=4,AW76=5)),"IEQL",IF(AND(EM76="EQH",OR(AW76=1,AW76=2)),"IEQH",""))</f>
        <v/>
      </c>
      <c r="FJ76" s="15" t="str">
        <f>IF(AND(EN76="EQL",OR(AX76=4,AX76=5)),"IEQL",IF(AND(EN76="EQH",OR(AX76=1,AX76=2)),"IEQH",""))</f>
        <v/>
      </c>
      <c r="FK76" s="15" t="str">
        <f>IF(AND(EO76="EQL",OR(AY76=4,AY76=5)),"IEQL",IF(AND(EO76="EQH",OR(AY76=1,AY76=2)),"IEQH",""))</f>
        <v/>
      </c>
      <c r="FL76" s="15" t="str">
        <f>IF(AND(EP76="EQL",OR(AZ76=4,AZ76=5)),"IEQL",IF(AND(EP76="EQH",OR(AZ76=1,AZ76=2)),"IEQH",""))</f>
        <v/>
      </c>
      <c r="FM76" s="15" t="str">
        <f>IF(AND(EQ76="EQL",OR(BA76=4,BA76=5)),"IEQL",IF(AND(EQ76="EQH",OR(BA76=1,BA76=2)),"IEQH",""))</f>
        <v/>
      </c>
      <c r="FN76" s="15" t="str">
        <f>IF(OR(AND(DJ76="LL",AP76=5),AND(DJ76="HH",AP76=2)),F76,"")</f>
        <v/>
      </c>
      <c r="FO76" s="15" t="str">
        <f>IF(FN76&lt;&gt;"",F75,"")</f>
        <v/>
      </c>
    </row>
    <row r="77" spans="1:171" s="15" customFormat="1" x14ac:dyDescent="0.55000000000000004">
      <c r="A77" s="15">
        <v>1776087906</v>
      </c>
      <c r="B77" s="15" t="s">
        <v>16</v>
      </c>
      <c r="C77" s="15" t="s">
        <v>17</v>
      </c>
      <c r="D77" s="15">
        <v>4730.5600000000004</v>
      </c>
      <c r="E77" s="15" t="s">
        <v>20</v>
      </c>
      <c r="F77" s="15">
        <v>4744.59</v>
      </c>
      <c r="G77" s="15">
        <f t="shared" si="220"/>
        <v>4740.01</v>
      </c>
      <c r="H77" s="15">
        <f t="shared" si="230"/>
        <v>4728.3599999999997</v>
      </c>
      <c r="I77" s="15">
        <f t="shared" si="240"/>
        <v>4773.08</v>
      </c>
      <c r="J77" s="15">
        <f t="shared" si="250"/>
        <v>4794.96</v>
      </c>
      <c r="K77" s="15">
        <f t="shared" si="260"/>
        <v>4777.3100000000004</v>
      </c>
      <c r="L77" s="15">
        <f t="shared" si="160"/>
        <v>4800.93</v>
      </c>
      <c r="M77" s="15">
        <f t="shared" si="170"/>
        <v>4733.0200000000004</v>
      </c>
      <c r="N77" s="15">
        <f t="shared" si="180"/>
        <v>4807.34</v>
      </c>
      <c r="O77" s="15">
        <f t="shared" si="190"/>
        <v>4857.37</v>
      </c>
      <c r="P77" s="15">
        <f t="shared" si="200"/>
        <v>4694.3100000000004</v>
      </c>
      <c r="Q77" s="15">
        <f t="shared" si="210"/>
        <v>4663.28</v>
      </c>
      <c r="R77" s="15">
        <v>40.82</v>
      </c>
      <c r="S77" s="15">
        <f t="shared" si="221"/>
        <v>31.39</v>
      </c>
      <c r="T77" s="15">
        <f t="shared" si="231"/>
        <v>89.66</v>
      </c>
      <c r="U77" s="15">
        <f t="shared" si="241"/>
        <v>25.58</v>
      </c>
      <c r="V77" s="15">
        <f t="shared" si="251"/>
        <v>64.150000000000006</v>
      </c>
      <c r="W77" s="15">
        <f t="shared" si="261"/>
        <v>26.57</v>
      </c>
      <c r="X77" s="15">
        <f t="shared" si="161"/>
        <v>97.47</v>
      </c>
      <c r="Y77" s="15">
        <f t="shared" si="171"/>
        <v>34.51</v>
      </c>
      <c r="Z77" s="15">
        <f t="shared" si="181"/>
        <v>36.119999999999997</v>
      </c>
      <c r="AA77" s="15">
        <f t="shared" si="191"/>
        <v>249.46</v>
      </c>
      <c r="AB77" s="15">
        <f t="shared" si="201"/>
        <v>70.83</v>
      </c>
      <c r="AC77" s="15">
        <f t="shared" si="211"/>
        <v>46.78</v>
      </c>
      <c r="AD77" s="15">
        <v>0.87</v>
      </c>
      <c r="AE77" s="15">
        <f t="shared" si="222"/>
        <v>0.67</v>
      </c>
      <c r="AF77" s="15">
        <f t="shared" si="232"/>
        <v>1.93</v>
      </c>
      <c r="AG77" s="15">
        <f t="shared" si="242"/>
        <v>0.54</v>
      </c>
      <c r="AH77" s="15">
        <f t="shared" si="252"/>
        <v>1.36</v>
      </c>
      <c r="AI77" s="15">
        <f t="shared" si="262"/>
        <v>0.56000000000000005</v>
      </c>
      <c r="AJ77" s="15">
        <f t="shared" si="162"/>
        <v>2.0699999999999998</v>
      </c>
      <c r="AK77" s="15">
        <f t="shared" si="172"/>
        <v>0.73</v>
      </c>
      <c r="AL77" s="15">
        <f t="shared" si="182"/>
        <v>0.76</v>
      </c>
      <c r="AM77" s="15">
        <f t="shared" si="192"/>
        <v>5.41</v>
      </c>
      <c r="AN77" s="15">
        <f t="shared" si="202"/>
        <v>1.53</v>
      </c>
      <c r="AO77" s="15">
        <f t="shared" si="212"/>
        <v>1.01</v>
      </c>
      <c r="AP77" s="15">
        <v>0</v>
      </c>
      <c r="AQ77" s="15">
        <f t="shared" si="223"/>
        <v>0</v>
      </c>
      <c r="AR77" s="15">
        <f t="shared" si="233"/>
        <v>0</v>
      </c>
      <c r="AS77" s="15">
        <f t="shared" si="243"/>
        <v>0</v>
      </c>
      <c r="AT77" s="15">
        <f t="shared" si="253"/>
        <v>0</v>
      </c>
      <c r="AU77" s="15">
        <f t="shared" si="263"/>
        <v>0</v>
      </c>
      <c r="AV77" s="15">
        <f t="shared" si="163"/>
        <v>0</v>
      </c>
      <c r="AW77" s="15">
        <f t="shared" si="173"/>
        <v>0</v>
      </c>
      <c r="AX77" s="15">
        <f t="shared" si="183"/>
        <v>0</v>
      </c>
      <c r="AY77" s="15">
        <f t="shared" si="193"/>
        <v>2</v>
      </c>
      <c r="AZ77" s="15">
        <f t="shared" si="203"/>
        <v>0</v>
      </c>
      <c r="BA77" s="15">
        <f t="shared" si="213"/>
        <v>0</v>
      </c>
      <c r="BB77" s="15">
        <v>8</v>
      </c>
      <c r="BC77" s="15">
        <f t="shared" si="224"/>
        <v>15</v>
      </c>
      <c r="BD77" s="15">
        <f t="shared" si="234"/>
        <v>15</v>
      </c>
      <c r="BE77" s="15">
        <f t="shared" si="244"/>
        <v>10</v>
      </c>
      <c r="BF77" s="15">
        <f t="shared" si="254"/>
        <v>23</v>
      </c>
      <c r="BG77" s="15">
        <f t="shared" si="264"/>
        <v>6</v>
      </c>
      <c r="BH77" s="15">
        <f t="shared" si="164"/>
        <v>43</v>
      </c>
      <c r="BI77" s="15">
        <f t="shared" si="174"/>
        <v>11</v>
      </c>
      <c r="BJ77" s="15">
        <f t="shared" si="184"/>
        <v>7</v>
      </c>
      <c r="BK77" s="15">
        <f t="shared" si="194"/>
        <v>36</v>
      </c>
      <c r="BL77" s="15">
        <f t="shared" si="204"/>
        <v>15</v>
      </c>
      <c r="BM77" s="15">
        <f t="shared" si="214"/>
        <v>11</v>
      </c>
      <c r="BN77" s="15">
        <v>0</v>
      </c>
      <c r="BO77" s="15">
        <f t="shared" si="225"/>
        <v>0</v>
      </c>
      <c r="BP77" s="15">
        <f t="shared" si="235"/>
        <v>0</v>
      </c>
      <c r="BQ77" s="15">
        <f t="shared" si="245"/>
        <v>0</v>
      </c>
      <c r="BR77" s="15">
        <f t="shared" si="255"/>
        <v>0</v>
      </c>
      <c r="BS77" s="15">
        <f t="shared" si="265"/>
        <v>0</v>
      </c>
      <c r="BT77" s="15">
        <f t="shared" si="165"/>
        <v>1</v>
      </c>
      <c r="BU77" s="15">
        <f t="shared" si="175"/>
        <v>0</v>
      </c>
      <c r="BV77" s="15">
        <f t="shared" si="185"/>
        <v>0</v>
      </c>
      <c r="BW77" s="15">
        <f t="shared" si="195"/>
        <v>0</v>
      </c>
      <c r="BX77" s="15">
        <f t="shared" si="205"/>
        <v>0</v>
      </c>
      <c r="BY77" s="15">
        <f t="shared" si="215"/>
        <v>0</v>
      </c>
      <c r="BZ77" s="15">
        <v>5.1025</v>
      </c>
      <c r="CA77" s="15">
        <f t="shared" si="226"/>
        <v>2.09267</v>
      </c>
      <c r="CB77" s="15">
        <f t="shared" si="236"/>
        <v>5.9773300000000003</v>
      </c>
      <c r="CC77" s="15">
        <f t="shared" si="246"/>
        <v>2.5579999999999998</v>
      </c>
      <c r="CD77" s="15">
        <f t="shared" si="256"/>
        <v>2.7891300000000001</v>
      </c>
      <c r="CE77" s="15">
        <f t="shared" si="266"/>
        <v>4.4283299999999999</v>
      </c>
      <c r="CF77" s="15">
        <f t="shared" si="166"/>
        <v>2.26674</v>
      </c>
      <c r="CG77" s="15">
        <f t="shared" si="176"/>
        <v>3.13727</v>
      </c>
      <c r="CH77" s="15">
        <f t="shared" si="186"/>
        <v>5.16</v>
      </c>
      <c r="CI77" s="15">
        <f t="shared" si="196"/>
        <v>6.9294399999999996</v>
      </c>
      <c r="CJ77" s="15">
        <f t="shared" si="206"/>
        <v>4.7220000000000004</v>
      </c>
      <c r="CK77" s="15">
        <f t="shared" si="216"/>
        <v>4.2527299999999997</v>
      </c>
      <c r="CL77" s="15">
        <v>0</v>
      </c>
      <c r="CM77" s="15">
        <f t="shared" si="227"/>
        <v>0</v>
      </c>
      <c r="CN77" s="15">
        <f t="shared" si="237"/>
        <v>0</v>
      </c>
      <c r="CO77" s="15">
        <f t="shared" si="247"/>
        <v>0</v>
      </c>
      <c r="CP77" s="15">
        <f t="shared" si="257"/>
        <v>0</v>
      </c>
      <c r="CQ77" s="15">
        <f t="shared" si="267"/>
        <v>0</v>
      </c>
      <c r="CR77" s="15">
        <f t="shared" si="167"/>
        <v>0</v>
      </c>
      <c r="CS77" s="15">
        <f t="shared" si="177"/>
        <v>0</v>
      </c>
      <c r="CT77" s="15">
        <f t="shared" si="187"/>
        <v>0</v>
      </c>
      <c r="CU77" s="15">
        <f t="shared" si="197"/>
        <v>0</v>
      </c>
      <c r="CV77" s="15">
        <f t="shared" si="207"/>
        <v>0</v>
      </c>
      <c r="CW77" s="15">
        <f t="shared" si="217"/>
        <v>0</v>
      </c>
      <c r="CX77" s="15">
        <v>78.911600000000007</v>
      </c>
      <c r="CY77" s="15">
        <f t="shared" si="228"/>
        <v>64.458799999999997</v>
      </c>
      <c r="CZ77" s="15">
        <f t="shared" si="238"/>
        <v>80.502399999999994</v>
      </c>
      <c r="DA77" s="15">
        <f t="shared" si="248"/>
        <v>68.647999999999996</v>
      </c>
      <c r="DB77" s="15">
        <f t="shared" si="258"/>
        <v>70.275499999999994</v>
      </c>
      <c r="DC77" s="15">
        <f t="shared" si="268"/>
        <v>77.275000000000006</v>
      </c>
      <c r="DD77" s="15">
        <f t="shared" si="168"/>
        <v>66.194800000000001</v>
      </c>
      <c r="DE77" s="15">
        <f t="shared" si="178"/>
        <v>72.320400000000006</v>
      </c>
      <c r="DF77" s="15">
        <f t="shared" si="188"/>
        <v>79.0321</v>
      </c>
      <c r="DG77" s="15">
        <f t="shared" si="198"/>
        <v>81.788200000000003</v>
      </c>
      <c r="DH77" s="15">
        <f t="shared" si="208"/>
        <v>78.042900000000003</v>
      </c>
      <c r="DI77" s="15">
        <f t="shared" si="218"/>
        <v>76.767700000000005</v>
      </c>
      <c r="DJ77" s="15" t="s">
        <v>23</v>
      </c>
      <c r="DK77" s="15" t="str">
        <f t="shared" si="229"/>
        <v>HH</v>
      </c>
      <c r="DL77" s="15" t="str">
        <f t="shared" si="239"/>
        <v>LH</v>
      </c>
      <c r="DM77" s="15" t="str">
        <f t="shared" si="249"/>
        <v>LH</v>
      </c>
      <c r="DN77" s="15" t="str">
        <f t="shared" si="259"/>
        <v>HH</v>
      </c>
      <c r="DO77" s="15" t="str">
        <f t="shared" si="269"/>
        <v>LH</v>
      </c>
      <c r="DP77" s="15" t="str">
        <f t="shared" si="169"/>
        <v>HH</v>
      </c>
      <c r="DQ77" s="15" t="str">
        <f t="shared" si="179"/>
        <v>LH</v>
      </c>
      <c r="DR77" s="15" t="str">
        <f t="shared" si="189"/>
        <v>LH</v>
      </c>
      <c r="DS77" s="15" t="str">
        <f t="shared" si="199"/>
        <v>HH</v>
      </c>
      <c r="DT77" s="15" t="str">
        <f t="shared" si="209"/>
        <v>HH</v>
      </c>
      <c r="DU77" s="15" t="str">
        <f t="shared" si="219"/>
        <v>LH</v>
      </c>
      <c r="DV77" s="15">
        <f>IFERROR((G77-$F77)/$F77*100,"")</f>
        <v>-9.653099635584797E-2</v>
      </c>
      <c r="DW77" s="15">
        <f>IFERROR((H77-$F77)/$F77*100,"")</f>
        <v>-0.34207381459726705</v>
      </c>
      <c r="DX77" s="15">
        <f>IFERROR((I77-$F77)/$F77*100,"")</f>
        <v>0.60047338126160077</v>
      </c>
      <c r="DY77" s="15">
        <f>IFERROR((J77-$F77)/$F77*100,"")</f>
        <v>1.0616301935467529</v>
      </c>
      <c r="DZ77" s="15">
        <f>IFERROR((K77-$F77)/$F77*100,"")</f>
        <v>0.68962755475183846</v>
      </c>
      <c r="EA77" s="15">
        <f>IFERROR((L77-$F77)/$F77*100,"")</f>
        <v>1.1874577149975054</v>
      </c>
      <c r="EB77" s="15">
        <f>IFERROR((M77-$F77)/$F77*100,"")</f>
        <v>-0.24385668730068791</v>
      </c>
      <c r="EC77" s="15">
        <f>IFERROR((N77-$F77)/$F77*100,"")</f>
        <v>1.3225589566221738</v>
      </c>
      <c r="ED77" s="15">
        <f>IFERROR((O77-$F77)/$F77*100,"")</f>
        <v>2.3770230936708914</v>
      </c>
      <c r="EE77" s="15">
        <f>IFERROR((P77-$F77)/$F77*100,"")</f>
        <v>-1.0597332962384471</v>
      </c>
      <c r="EF77" s="15">
        <f>IFERROR((Q77-$F77)/$F77*100,"")</f>
        <v>-1.7137413348677208</v>
      </c>
      <c r="EG77" s="15" t="str">
        <f>IF(DV77="","",IF(AND(ABS(DV77)&lt;=0.25,$E77="Bottom",DK77="LL"),"EQL",IF(AND(ABS(DV77)&lt;=0.25,$E77="Peak",DK77="HH"),"EQH","")))</f>
        <v>EQH</v>
      </c>
      <c r="EH77" s="15" t="str">
        <f>IF(DW77="","",IF(AND(ABS(DW77)&lt;=0.25,$E77="Bottom",DL77="LL"),"EQL",IF(AND(ABS(DW77)&lt;=0.25,$E77="Peak",DL77="HH"),"EQH","")))</f>
        <v/>
      </c>
      <c r="EI77" s="15" t="str">
        <f>IF(DX77="","",IF(AND(ABS(DX77)&lt;=0.25,$E77="Bottom",DM77="LL"),"EQL",IF(AND(ABS(DX77)&lt;=0.25,$E77="Peak",DM77="HH"),"EQH","")))</f>
        <v/>
      </c>
      <c r="EJ77" s="15" t="str">
        <f>IF(DY77="","",IF(AND(ABS(DY77)&lt;=0.25,$E77="Bottom",DN77="LL"),"EQL",IF(AND(ABS(DY77)&lt;=0.25,$E77="Peak",DN77="HH"),"EQH","")))</f>
        <v/>
      </c>
      <c r="EK77" s="15" t="str">
        <f>IF(DZ77="","",IF(AND(ABS(DZ77)&lt;=0.25,$E77="Bottom",DO77="LL"),"EQL",IF(AND(ABS(DZ77)&lt;=0.25,$E77="Peak",DO77="HH"),"EQH","")))</f>
        <v/>
      </c>
      <c r="EL77" s="15" t="str">
        <f>IF(EA77="","",IF(AND(ABS(EA77)&lt;=0.25,$E77="Bottom",DP77="LL"),"EQL",IF(AND(ABS(EA77)&lt;=0.25,$E77="Peak",DP77="HH"),"EQH","")))</f>
        <v/>
      </c>
      <c r="EM77" s="15" t="str">
        <f>IF(EB77="","",IF(AND(ABS(EB77)&lt;=0.25,$E77="Bottom",DQ77="LL"),"EQL",IF(AND(ABS(EB77)&lt;=0.25,$E77="Peak",DQ77="HH"),"EQH","")))</f>
        <v/>
      </c>
      <c r="EN77" s="15" t="str">
        <f>IF(EC77="","",IF(AND(ABS(EC77)&lt;=0.25,$E77="Bottom",DR77="LL"),"EQL",IF(AND(ABS(EC77)&lt;=0.25,$E77="Peak",DR77="HH"),"EQH","")))</f>
        <v/>
      </c>
      <c r="EO77" s="15" t="str">
        <f>IF(ED77="","",IF(AND(ABS(ED77)&lt;=0.25,$E77="Bottom",DS77="LL"),"EQL",IF(AND(ABS(ED77)&lt;=0.25,$E77="Peak",DS77="HH"),"EQH","")))</f>
        <v/>
      </c>
      <c r="EP77" s="15" t="str">
        <f>IF(EE77="","",IF(AND(ABS(EE77)&lt;=0.25,$E77="Bottom",DT77="LL"),"EQL",IF(AND(ABS(EE77)&lt;=0.25,$E77="Peak",DT77="HH"),"EQH","")))</f>
        <v/>
      </c>
      <c r="EQ77" s="15" t="str">
        <f>IF(EF77="","",IF(AND(ABS(EF77)&lt;=0.25,$E77="Bottom",DU77="LL"),"EQL",IF(AND(ABS(EF77)&lt;=0.25,$E77="Peak",DU77="HH"),"EQH","")))</f>
        <v/>
      </c>
      <c r="ER77" s="15">
        <f>IF(OR(EG77="EQL",EG77="EQH"),F77,"")</f>
        <v>4744.59</v>
      </c>
      <c r="ES77" s="15" t="str">
        <f>IF(OR(EH77="EQL",EH77="EQH"),G77,"")</f>
        <v/>
      </c>
      <c r="ET77" s="15" t="str">
        <f>IF(OR(EI77="EQL",EI77="EQH"),H77,"")</f>
        <v/>
      </c>
      <c r="EU77" s="15" t="str">
        <f>IF(OR(EJ77="EQL",EJ77="EQH"),I77,"")</f>
        <v/>
      </c>
      <c r="EV77" s="15" t="str">
        <f>IF(OR(EK77="EQL",EK77="EQH"),J77,"")</f>
        <v/>
      </c>
      <c r="EW77" s="15" t="str">
        <f>IF(OR(EL77="EQL",EL77="EQH"),K77,"")</f>
        <v/>
      </c>
      <c r="EX77" s="15" t="str">
        <f>IF(OR(EM77="EQL",EM77="EQH"),L77,"")</f>
        <v/>
      </c>
      <c r="EY77" s="15" t="str">
        <f>IF(OR(EN77="EQL",EN77="EQH"),M77,"")</f>
        <v/>
      </c>
      <c r="EZ77" s="15" t="str">
        <f>IF(OR(EO77="EQL",EO77="EQH"),N77,"")</f>
        <v/>
      </c>
      <c r="FA77" s="15" t="str">
        <f>IF(OR(EP77="EQL",EP77="EQH"),O77,"")</f>
        <v/>
      </c>
      <c r="FB77" s="15" t="str">
        <f>IF(OR(EQ77="EQL",EQ77="EQH"),P77,"")</f>
        <v/>
      </c>
      <c r="FC77" s="15" t="str">
        <f>IF(AND(EG77="EQL",OR(AQ77=4,AQ77=5)),"IEQL",IF(AND(EG77="EQH",OR(AQ77=1,AQ77=2)),"IEQH",""))</f>
        <v/>
      </c>
      <c r="FD77" s="15" t="str">
        <f>IF(AND(EH77="EQL",OR(AR77=4,AR77=5)),"IEQL",IF(AND(EH77="EQH",OR(AR77=1,AR77=2)),"IEQH",""))</f>
        <v/>
      </c>
      <c r="FE77" s="15" t="str">
        <f>IF(AND(EI77="EQL",OR(AS77=4,AS77=5)),"IEQL",IF(AND(EI77="EQH",OR(AS77=1,AS77=2)),"IEQH",""))</f>
        <v/>
      </c>
      <c r="FF77" s="15" t="str">
        <f>IF(AND(EJ77="EQL",OR(AT77=4,AT77=5)),"IEQL",IF(AND(EJ77="EQH",OR(AT77=1,AT77=2)),"IEQH",""))</f>
        <v/>
      </c>
      <c r="FG77" s="15" t="str">
        <f>IF(AND(EK77="EQL",OR(AU77=4,AU77=5)),"IEQL",IF(AND(EK77="EQH",OR(AU77=1,AU77=2)),"IEQH",""))</f>
        <v/>
      </c>
      <c r="FH77" s="15" t="str">
        <f>IF(AND(EL77="EQL",OR(AV77=4,AV77=5)),"IEQL",IF(AND(EL77="EQH",OR(AV77=1,AV77=2)),"IEQH",""))</f>
        <v/>
      </c>
      <c r="FI77" s="15" t="str">
        <f>IF(AND(EM77="EQL",OR(AW77=4,AW77=5)),"IEQL",IF(AND(EM77="EQH",OR(AW77=1,AW77=2)),"IEQH",""))</f>
        <v/>
      </c>
      <c r="FJ77" s="15" t="str">
        <f>IF(AND(EN77="EQL",OR(AX77=4,AX77=5)),"IEQL",IF(AND(EN77="EQH",OR(AX77=1,AX77=2)),"IEQH",""))</f>
        <v/>
      </c>
      <c r="FK77" s="15" t="str">
        <f>IF(AND(EO77="EQL",OR(AY77=4,AY77=5)),"IEQL",IF(AND(EO77="EQH",OR(AY77=1,AY77=2)),"IEQH",""))</f>
        <v/>
      </c>
      <c r="FL77" s="15" t="str">
        <f>IF(AND(EP77="EQL",OR(AZ77=4,AZ77=5)),"IEQL",IF(AND(EP77="EQH",OR(AZ77=1,AZ77=2)),"IEQH",""))</f>
        <v/>
      </c>
      <c r="FM77" s="15" t="str">
        <f>IF(AND(EQ77="EQL",OR(BA77=4,BA77=5)),"IEQL",IF(AND(EQ77="EQH",OR(BA77=1,BA77=2)),"IEQH",""))</f>
        <v/>
      </c>
      <c r="FN77" s="15" t="str">
        <f>IF(OR(AND(DJ77="LL",AP77=5),AND(DJ77="HH",AP77=2)),F77,"")</f>
        <v/>
      </c>
      <c r="FO77" s="15" t="str">
        <f>IF(FN77&lt;&gt;"",F76,"")</f>
        <v/>
      </c>
    </row>
    <row r="78" spans="1:171" s="15" customFormat="1" x14ac:dyDescent="0.55000000000000004">
      <c r="A78" s="15">
        <v>1776092406</v>
      </c>
      <c r="B78" s="15" t="s">
        <v>16</v>
      </c>
      <c r="C78" s="15" t="s">
        <v>17</v>
      </c>
      <c r="D78" s="15">
        <v>4707.72</v>
      </c>
      <c r="E78" s="15" t="s">
        <v>18</v>
      </c>
      <c r="F78" s="15">
        <v>4700.51</v>
      </c>
      <c r="G78" s="15">
        <f t="shared" si="220"/>
        <v>4703.7700000000004</v>
      </c>
      <c r="H78" s="15">
        <f t="shared" si="230"/>
        <v>4708.62</v>
      </c>
      <c r="I78" s="15">
        <f t="shared" si="240"/>
        <v>4638.7</v>
      </c>
      <c r="J78" s="15">
        <f t="shared" si="250"/>
        <v>4747.5</v>
      </c>
      <c r="K78" s="15">
        <f t="shared" si="260"/>
        <v>4730.8100000000004</v>
      </c>
      <c r="L78" s="15">
        <f t="shared" ref="L78:L109" si="270">F66</f>
        <v>4750.74</v>
      </c>
      <c r="M78" s="15">
        <f t="shared" si="170"/>
        <v>4703.46</v>
      </c>
      <c r="N78" s="15">
        <f t="shared" si="180"/>
        <v>4698.51</v>
      </c>
      <c r="O78" s="15">
        <f t="shared" si="190"/>
        <v>4771.22</v>
      </c>
      <c r="P78" s="15">
        <f t="shared" si="200"/>
        <v>4607.91</v>
      </c>
      <c r="Q78" s="15">
        <f t="shared" si="210"/>
        <v>4623.4799999999996</v>
      </c>
      <c r="R78" s="15">
        <v>-44.08</v>
      </c>
      <c r="S78" s="15">
        <f t="shared" si="221"/>
        <v>-36.24</v>
      </c>
      <c r="T78" s="15">
        <f t="shared" si="231"/>
        <v>-19.739999999999998</v>
      </c>
      <c r="U78" s="15">
        <f t="shared" si="241"/>
        <v>-134.38</v>
      </c>
      <c r="V78" s="15">
        <f t="shared" si="251"/>
        <v>-47.46</v>
      </c>
      <c r="W78" s="15">
        <f t="shared" si="261"/>
        <v>-46.5</v>
      </c>
      <c r="X78" s="15">
        <f t="shared" ref="X78:X109" si="271">R66</f>
        <v>-50.19</v>
      </c>
      <c r="Y78" s="15">
        <f t="shared" si="171"/>
        <v>-29.56</v>
      </c>
      <c r="Z78" s="15">
        <f t="shared" si="181"/>
        <v>-108.83</v>
      </c>
      <c r="AA78" s="15">
        <f t="shared" si="191"/>
        <v>-86.15</v>
      </c>
      <c r="AB78" s="15">
        <f t="shared" si="201"/>
        <v>-86.4</v>
      </c>
      <c r="AC78" s="15">
        <f t="shared" si="211"/>
        <v>-39.799999999999997</v>
      </c>
      <c r="AD78" s="15">
        <v>-0.93</v>
      </c>
      <c r="AE78" s="15">
        <f t="shared" si="222"/>
        <v>-0.76</v>
      </c>
      <c r="AF78" s="15">
        <f t="shared" si="232"/>
        <v>-0.42</v>
      </c>
      <c r="AG78" s="15">
        <f t="shared" si="242"/>
        <v>-2.82</v>
      </c>
      <c r="AH78" s="15">
        <f t="shared" si="252"/>
        <v>-0.99</v>
      </c>
      <c r="AI78" s="15">
        <f t="shared" si="262"/>
        <v>-0.97</v>
      </c>
      <c r="AJ78" s="15">
        <f t="shared" ref="AJ78:AJ109" si="272">AD66</f>
        <v>-1.05</v>
      </c>
      <c r="AK78" s="15">
        <f t="shared" si="172"/>
        <v>-0.62</v>
      </c>
      <c r="AL78" s="15">
        <f t="shared" si="182"/>
        <v>-2.2599999999999998</v>
      </c>
      <c r="AM78" s="15">
        <f t="shared" si="192"/>
        <v>-1.77</v>
      </c>
      <c r="AN78" s="15">
        <f t="shared" si="202"/>
        <v>-1.84</v>
      </c>
      <c r="AO78" s="15">
        <f t="shared" si="212"/>
        <v>-0.85</v>
      </c>
      <c r="AP78" s="15">
        <v>3</v>
      </c>
      <c r="AQ78" s="15">
        <f t="shared" si="223"/>
        <v>3</v>
      </c>
      <c r="AR78" s="15">
        <f t="shared" si="233"/>
        <v>3</v>
      </c>
      <c r="AS78" s="15">
        <f t="shared" si="243"/>
        <v>3</v>
      </c>
      <c r="AT78" s="15">
        <f t="shared" si="253"/>
        <v>3</v>
      </c>
      <c r="AU78" s="15">
        <f t="shared" si="263"/>
        <v>3</v>
      </c>
      <c r="AV78" s="15">
        <f t="shared" ref="AV78:AV109" si="273">AP66</f>
        <v>3</v>
      </c>
      <c r="AW78" s="15">
        <f t="shared" si="173"/>
        <v>3</v>
      </c>
      <c r="AX78" s="15">
        <f t="shared" si="183"/>
        <v>3</v>
      </c>
      <c r="AY78" s="15">
        <f t="shared" si="193"/>
        <v>3</v>
      </c>
      <c r="AZ78" s="15">
        <f t="shared" si="203"/>
        <v>3</v>
      </c>
      <c r="BA78" s="15">
        <f t="shared" si="213"/>
        <v>3</v>
      </c>
      <c r="BB78" s="15">
        <v>5</v>
      </c>
      <c r="BC78" s="15">
        <f t="shared" si="224"/>
        <v>16</v>
      </c>
      <c r="BD78" s="15">
        <f t="shared" si="234"/>
        <v>9</v>
      </c>
      <c r="BE78" s="15">
        <f t="shared" si="244"/>
        <v>10</v>
      </c>
      <c r="BF78" s="15">
        <f t="shared" si="254"/>
        <v>6</v>
      </c>
      <c r="BG78" s="15">
        <f t="shared" si="264"/>
        <v>29</v>
      </c>
      <c r="BH78" s="15">
        <f t="shared" ref="BH78:BH109" si="274">BB66</f>
        <v>22</v>
      </c>
      <c r="BI78" s="15">
        <f t="shared" si="174"/>
        <v>16</v>
      </c>
      <c r="BJ78" s="15">
        <f t="shared" si="184"/>
        <v>44</v>
      </c>
      <c r="BK78" s="15">
        <f t="shared" si="194"/>
        <v>41</v>
      </c>
      <c r="BL78" s="15">
        <f t="shared" si="204"/>
        <v>19</v>
      </c>
      <c r="BM78" s="15">
        <f t="shared" si="214"/>
        <v>4</v>
      </c>
      <c r="BN78" s="15">
        <v>3</v>
      </c>
      <c r="BO78" s="15">
        <f t="shared" si="225"/>
        <v>3</v>
      </c>
      <c r="BP78" s="15">
        <f t="shared" si="235"/>
        <v>3</v>
      </c>
      <c r="BQ78" s="15">
        <f t="shared" si="245"/>
        <v>3</v>
      </c>
      <c r="BR78" s="15">
        <f t="shared" si="255"/>
        <v>3</v>
      </c>
      <c r="BS78" s="15">
        <f t="shared" si="265"/>
        <v>3</v>
      </c>
      <c r="BT78" s="15">
        <f t="shared" ref="BT78:BT109" si="275">BN66</f>
        <v>3</v>
      </c>
      <c r="BU78" s="15">
        <f t="shared" si="175"/>
        <v>3</v>
      </c>
      <c r="BV78" s="15">
        <f t="shared" si="185"/>
        <v>4</v>
      </c>
      <c r="BW78" s="15">
        <f t="shared" si="195"/>
        <v>4</v>
      </c>
      <c r="BX78" s="15">
        <f t="shared" si="205"/>
        <v>3</v>
      </c>
      <c r="BY78" s="15">
        <f t="shared" si="215"/>
        <v>3</v>
      </c>
      <c r="BZ78" s="15">
        <v>-8.8160000000000007</v>
      </c>
      <c r="CA78" s="15">
        <f t="shared" si="226"/>
        <v>-2.2650000000000001</v>
      </c>
      <c r="CB78" s="15">
        <f t="shared" si="236"/>
        <v>-2.19333</v>
      </c>
      <c r="CC78" s="15">
        <f t="shared" si="246"/>
        <v>-13.438000000000001</v>
      </c>
      <c r="CD78" s="15">
        <f t="shared" si="256"/>
        <v>-7.91</v>
      </c>
      <c r="CE78" s="15">
        <f t="shared" si="266"/>
        <v>-1.60345</v>
      </c>
      <c r="CF78" s="15">
        <f t="shared" ref="CF78:CF109" si="276">BZ66</f>
        <v>-2.2813599999999998</v>
      </c>
      <c r="CG78" s="15">
        <f t="shared" si="176"/>
        <v>-1.8474999999999999</v>
      </c>
      <c r="CH78" s="15">
        <f t="shared" si="186"/>
        <v>-2.4734099999999999</v>
      </c>
      <c r="CI78" s="15">
        <f t="shared" si="196"/>
        <v>-2.1012200000000001</v>
      </c>
      <c r="CJ78" s="15">
        <f t="shared" si="206"/>
        <v>-4.5473699999999999</v>
      </c>
      <c r="CK78" s="15">
        <f t="shared" si="216"/>
        <v>-9.9499999999999993</v>
      </c>
      <c r="CL78" s="15">
        <v>3</v>
      </c>
      <c r="CM78" s="15">
        <f t="shared" si="227"/>
        <v>3</v>
      </c>
      <c r="CN78" s="15">
        <f t="shared" si="237"/>
        <v>3</v>
      </c>
      <c r="CO78" s="15">
        <f t="shared" si="247"/>
        <v>3</v>
      </c>
      <c r="CP78" s="15">
        <f t="shared" si="257"/>
        <v>3</v>
      </c>
      <c r="CQ78" s="15">
        <f t="shared" si="267"/>
        <v>3</v>
      </c>
      <c r="CR78" s="15">
        <f t="shared" ref="CR78:CR109" si="277">CL66</f>
        <v>3</v>
      </c>
      <c r="CS78" s="15">
        <f t="shared" si="177"/>
        <v>3</v>
      </c>
      <c r="CT78" s="15">
        <f t="shared" si="187"/>
        <v>3</v>
      </c>
      <c r="CU78" s="15">
        <f t="shared" si="197"/>
        <v>3</v>
      </c>
      <c r="CV78" s="15">
        <f t="shared" si="207"/>
        <v>3</v>
      </c>
      <c r="CW78" s="15">
        <f t="shared" si="217"/>
        <v>3</v>
      </c>
      <c r="CX78" s="15">
        <v>-83.528599999999997</v>
      </c>
      <c r="CY78" s="15">
        <f t="shared" si="228"/>
        <v>-66.1785</v>
      </c>
      <c r="CZ78" s="15">
        <f t="shared" si="238"/>
        <v>-65.490499999999997</v>
      </c>
      <c r="DA78" s="15">
        <f t="shared" si="248"/>
        <v>-85.744100000000003</v>
      </c>
      <c r="DB78" s="15">
        <f t="shared" si="258"/>
        <v>-82.794799999999995</v>
      </c>
      <c r="DC78" s="15">
        <f t="shared" si="268"/>
        <v>-58.05</v>
      </c>
      <c r="DD78" s="15">
        <f t="shared" ref="DD78:DD109" si="278">CX66</f>
        <v>-66.330500000000001</v>
      </c>
      <c r="DE78" s="15">
        <f t="shared" si="178"/>
        <v>-61.574599999999997</v>
      </c>
      <c r="DF78" s="15">
        <f t="shared" si="188"/>
        <v>-67.986500000000007</v>
      </c>
      <c r="DG78" s="15">
        <f t="shared" si="198"/>
        <v>-64.549599999999998</v>
      </c>
      <c r="DH78" s="15">
        <f t="shared" si="208"/>
        <v>-77.5976</v>
      </c>
      <c r="DI78" s="15">
        <f t="shared" si="218"/>
        <v>-84.260900000000007</v>
      </c>
      <c r="DJ78" s="15" t="s">
        <v>19</v>
      </c>
      <c r="DK78" s="15" t="str">
        <f t="shared" si="229"/>
        <v>LL</v>
      </c>
      <c r="DL78" s="15" t="str">
        <f t="shared" si="239"/>
        <v>HL</v>
      </c>
      <c r="DM78" s="15" t="str">
        <f t="shared" si="249"/>
        <v>LL</v>
      </c>
      <c r="DN78" s="15" t="str">
        <f t="shared" si="259"/>
        <v>HL</v>
      </c>
      <c r="DO78" s="15" t="str">
        <f t="shared" si="269"/>
        <v>LL</v>
      </c>
      <c r="DP78" s="15" t="str">
        <f t="shared" ref="DP78:DP109" si="279">DJ66</f>
        <v>HL</v>
      </c>
      <c r="DQ78" s="15" t="str">
        <f t="shared" si="179"/>
        <v>HL</v>
      </c>
      <c r="DR78" s="15" t="str">
        <f t="shared" si="189"/>
        <v>LL</v>
      </c>
      <c r="DS78" s="15" t="str">
        <f t="shared" si="199"/>
        <v>HL</v>
      </c>
      <c r="DT78" s="15" t="str">
        <f t="shared" si="209"/>
        <v>LL</v>
      </c>
      <c r="DU78" s="15" t="str">
        <f t="shared" si="219"/>
        <v>HL</v>
      </c>
      <c r="DV78" s="15">
        <f>IFERROR((G78-$F78)/$F78*100,"")</f>
        <v>6.9354176461707731E-2</v>
      </c>
      <c r="DW78" s="15">
        <f>IFERROR((H78-$F78)/$F78*100,"")</f>
        <v>0.17253446966392311</v>
      </c>
      <c r="DX78" s="15">
        <f>IFERROR((I78-$F78)/$F78*100,"")</f>
        <v>-1.3149636954288022</v>
      </c>
      <c r="DY78" s="15">
        <f>IFERROR((J78-$F78)/$F78*100,"")</f>
        <v>0.99967875826239661</v>
      </c>
      <c r="DZ78" s="15">
        <f>IFERROR((K78-$F78)/$F78*100,"")</f>
        <v>0.64461090392319509</v>
      </c>
      <c r="EA78" s="15">
        <f>IFERROR((L78-$F78)/$F78*100,"")</f>
        <v>1.0686074489789312</v>
      </c>
      <c r="EB78" s="15">
        <f>IFERROR((M78-$F78)/$F78*100,"")</f>
        <v>6.2759147411659971E-2</v>
      </c>
      <c r="EC78" s="15">
        <f>IFERROR((N78-$F78)/$F78*100,"")</f>
        <v>-4.2548574516382262E-2</v>
      </c>
      <c r="ED78" s="15">
        <f>IFERROR((O78-$F78)/$F78*100,"")</f>
        <v>1.5043048520266955</v>
      </c>
      <c r="EE78" s="15">
        <f>IFERROR((P78-$F78)/$F78*100,"")</f>
        <v>-1.9699990001085066</v>
      </c>
      <c r="EF78" s="15">
        <f>IFERROR((Q78-$F78)/$F78*100,"")</f>
        <v>-1.6387583474984768</v>
      </c>
      <c r="EG78" s="15" t="str">
        <f>IF(DV78="","",IF(AND(ABS(DV78)&lt;=0.25,$E78="Bottom",DK78="LL"),"EQL",IF(AND(ABS(DV78)&lt;=0.25,$E78="Peak",DK78="HH"),"EQH","")))</f>
        <v>EQL</v>
      </c>
      <c r="EH78" s="15" t="str">
        <f>IF(DW78="","",IF(AND(ABS(DW78)&lt;=0.25,$E78="Bottom",DL78="LL"),"EQL",IF(AND(ABS(DW78)&lt;=0.25,$E78="Peak",DL78="HH"),"EQH","")))</f>
        <v/>
      </c>
      <c r="EI78" s="15" t="str">
        <f>IF(DX78="","",IF(AND(ABS(DX78)&lt;=0.25,$E78="Bottom",DM78="LL"),"EQL",IF(AND(ABS(DX78)&lt;=0.25,$E78="Peak",DM78="HH"),"EQH","")))</f>
        <v/>
      </c>
      <c r="EJ78" s="15" t="str">
        <f>IF(DY78="","",IF(AND(ABS(DY78)&lt;=0.25,$E78="Bottom",DN78="LL"),"EQL",IF(AND(ABS(DY78)&lt;=0.25,$E78="Peak",DN78="HH"),"EQH","")))</f>
        <v/>
      </c>
      <c r="EK78" s="15" t="str">
        <f>IF(DZ78="","",IF(AND(ABS(DZ78)&lt;=0.25,$E78="Bottom",DO78="LL"),"EQL",IF(AND(ABS(DZ78)&lt;=0.25,$E78="Peak",DO78="HH"),"EQH","")))</f>
        <v/>
      </c>
      <c r="EL78" s="15" t="str">
        <f>IF(EA78="","",IF(AND(ABS(EA78)&lt;=0.25,$E78="Bottom",DP78="LL"),"EQL",IF(AND(ABS(EA78)&lt;=0.25,$E78="Peak",DP78="HH"),"EQH","")))</f>
        <v/>
      </c>
      <c r="EM78" s="15" t="str">
        <f>IF(EB78="","",IF(AND(ABS(EB78)&lt;=0.25,$E78="Bottom",DQ78="LL"),"EQL",IF(AND(ABS(EB78)&lt;=0.25,$E78="Peak",DQ78="HH"),"EQH","")))</f>
        <v/>
      </c>
      <c r="EN78" s="15" t="str">
        <f>IF(EC78="","",IF(AND(ABS(EC78)&lt;=0.25,$E78="Bottom",DR78="LL"),"EQL",IF(AND(ABS(EC78)&lt;=0.25,$E78="Peak",DR78="HH"),"EQH","")))</f>
        <v>EQL</v>
      </c>
      <c r="EO78" s="15" t="str">
        <f>IF(ED78="","",IF(AND(ABS(ED78)&lt;=0.25,$E78="Bottom",DS78="LL"),"EQL",IF(AND(ABS(ED78)&lt;=0.25,$E78="Peak",DS78="HH"),"EQH","")))</f>
        <v/>
      </c>
      <c r="EP78" s="15" t="str">
        <f>IF(EE78="","",IF(AND(ABS(EE78)&lt;=0.25,$E78="Bottom",DT78="LL"),"EQL",IF(AND(ABS(EE78)&lt;=0.25,$E78="Peak",DT78="HH"),"EQH","")))</f>
        <v/>
      </c>
      <c r="EQ78" s="15" t="str">
        <f>IF(EF78="","",IF(AND(ABS(EF78)&lt;=0.25,$E78="Bottom",DU78="LL"),"EQL",IF(AND(ABS(EF78)&lt;=0.25,$E78="Peak",DU78="HH"),"EQH","")))</f>
        <v/>
      </c>
      <c r="ER78" s="15">
        <f>IF(OR(EG78="EQL",EG78="EQH"),F78,"")</f>
        <v>4700.51</v>
      </c>
      <c r="ES78" s="15" t="str">
        <f>IF(OR(EH78="EQL",EH78="EQH"),G78,"")</f>
        <v/>
      </c>
      <c r="ET78" s="15" t="str">
        <f>IF(OR(EI78="EQL",EI78="EQH"),H78,"")</f>
        <v/>
      </c>
      <c r="EU78" s="15" t="str">
        <f>IF(OR(EJ78="EQL",EJ78="EQH"),I78,"")</f>
        <v/>
      </c>
      <c r="EV78" s="15" t="str">
        <f>IF(OR(EK78="EQL",EK78="EQH"),J78,"")</f>
        <v/>
      </c>
      <c r="EW78" s="15" t="str">
        <f>IF(OR(EL78="EQL",EL78="EQH"),K78,"")</f>
        <v/>
      </c>
      <c r="EX78" s="15" t="str">
        <f>IF(OR(EM78="EQL",EM78="EQH"),L78,"")</f>
        <v/>
      </c>
      <c r="EY78" s="15">
        <f>IF(OR(EN78="EQL",EN78="EQH"),M78,"")</f>
        <v>4703.46</v>
      </c>
      <c r="EZ78" s="15" t="str">
        <f>IF(OR(EO78="EQL",EO78="EQH"),N78,"")</f>
        <v/>
      </c>
      <c r="FA78" s="15" t="str">
        <f>IF(OR(EP78="EQL",EP78="EQH"),O78,"")</f>
        <v/>
      </c>
      <c r="FB78" s="15" t="str">
        <f>IF(OR(EQ78="EQL",EQ78="EQH"),P78,"")</f>
        <v/>
      </c>
      <c r="FC78" s="15" t="str">
        <f>IF(AND(EG78="EQL",OR(AQ78=4,AQ78=5)),"IEQL",IF(AND(EG78="EQH",OR(AQ78=1,AQ78=2)),"IEQH",""))</f>
        <v/>
      </c>
      <c r="FD78" s="15" t="str">
        <f>IF(AND(EH78="EQL",OR(AR78=4,AR78=5)),"IEQL",IF(AND(EH78="EQH",OR(AR78=1,AR78=2)),"IEQH",""))</f>
        <v/>
      </c>
      <c r="FE78" s="15" t="str">
        <f>IF(AND(EI78="EQL",OR(AS78=4,AS78=5)),"IEQL",IF(AND(EI78="EQH",OR(AS78=1,AS78=2)),"IEQH",""))</f>
        <v/>
      </c>
      <c r="FF78" s="15" t="str">
        <f>IF(AND(EJ78="EQL",OR(AT78=4,AT78=5)),"IEQL",IF(AND(EJ78="EQH",OR(AT78=1,AT78=2)),"IEQH",""))</f>
        <v/>
      </c>
      <c r="FG78" s="15" t="str">
        <f>IF(AND(EK78="EQL",OR(AU78=4,AU78=5)),"IEQL",IF(AND(EK78="EQH",OR(AU78=1,AU78=2)),"IEQH",""))</f>
        <v/>
      </c>
      <c r="FH78" s="15" t="str">
        <f>IF(AND(EL78="EQL",OR(AV78=4,AV78=5)),"IEQL",IF(AND(EL78="EQH",OR(AV78=1,AV78=2)),"IEQH",""))</f>
        <v/>
      </c>
      <c r="FI78" s="15" t="str">
        <f>IF(AND(EM78="EQL",OR(AW78=4,AW78=5)),"IEQL",IF(AND(EM78="EQH",OR(AW78=1,AW78=2)),"IEQH",""))</f>
        <v/>
      </c>
      <c r="FJ78" s="15" t="str">
        <f>IF(AND(EN78="EQL",OR(AX78=4,AX78=5)),"IEQL",IF(AND(EN78="EQH",OR(AX78=1,AX78=2)),"IEQH",""))</f>
        <v/>
      </c>
      <c r="FK78" s="15" t="str">
        <f>IF(AND(EO78="EQL",OR(AY78=4,AY78=5)),"IEQL",IF(AND(EO78="EQH",OR(AY78=1,AY78=2)),"IEQH",""))</f>
        <v/>
      </c>
      <c r="FL78" s="15" t="str">
        <f>IF(AND(EP78="EQL",OR(AZ78=4,AZ78=5)),"IEQL",IF(AND(EP78="EQH",OR(AZ78=1,AZ78=2)),"IEQH",""))</f>
        <v/>
      </c>
      <c r="FM78" s="15" t="str">
        <f>IF(AND(EQ78="EQL",OR(BA78=4,BA78=5)),"IEQL",IF(AND(EQ78="EQH",OR(BA78=1,BA78=2)),"IEQH",""))</f>
        <v/>
      </c>
      <c r="FN78" s="15" t="str">
        <f>IF(OR(AND(DJ78="LL",AP78=5),AND(DJ78="HH",AP78=2)),F78,"")</f>
        <v/>
      </c>
      <c r="FO78" s="15" t="str">
        <f>IF(FN78&lt;&gt;"",F77,"")</f>
        <v/>
      </c>
    </row>
    <row r="79" spans="1:171" s="15" customFormat="1" x14ac:dyDescent="0.55000000000000004">
      <c r="A79" s="15">
        <v>1776134706</v>
      </c>
      <c r="B79" s="15" t="s">
        <v>16</v>
      </c>
      <c r="C79" s="15" t="s">
        <v>17</v>
      </c>
      <c r="D79" s="15">
        <v>4775.32</v>
      </c>
      <c r="E79" s="15" t="s">
        <v>20</v>
      </c>
      <c r="F79" s="15">
        <v>4777.24</v>
      </c>
      <c r="G79" s="15">
        <f t="shared" si="220"/>
        <v>4744.59</v>
      </c>
      <c r="H79" s="15">
        <f t="shared" si="230"/>
        <v>4740.01</v>
      </c>
      <c r="I79" s="15">
        <f t="shared" si="240"/>
        <v>4728.3599999999997</v>
      </c>
      <c r="J79" s="15">
        <f t="shared" si="250"/>
        <v>4773.08</v>
      </c>
      <c r="K79" s="15">
        <f t="shared" si="260"/>
        <v>4794.96</v>
      </c>
      <c r="L79" s="15">
        <f t="shared" si="270"/>
        <v>4777.3100000000004</v>
      </c>
      <c r="M79" s="15">
        <f t="shared" si="170"/>
        <v>4800.93</v>
      </c>
      <c r="N79" s="15">
        <f t="shared" si="180"/>
        <v>4733.0200000000004</v>
      </c>
      <c r="O79" s="15">
        <f t="shared" si="190"/>
        <v>4807.34</v>
      </c>
      <c r="P79" s="15">
        <f t="shared" si="200"/>
        <v>4857.37</v>
      </c>
      <c r="Q79" s="15">
        <f t="shared" si="210"/>
        <v>4694.3100000000004</v>
      </c>
      <c r="R79" s="15">
        <v>76.73</v>
      </c>
      <c r="S79" s="15">
        <f t="shared" si="221"/>
        <v>40.82</v>
      </c>
      <c r="T79" s="15">
        <f t="shared" si="231"/>
        <v>31.39</v>
      </c>
      <c r="U79" s="15">
        <f t="shared" si="241"/>
        <v>89.66</v>
      </c>
      <c r="V79" s="15">
        <f t="shared" si="251"/>
        <v>25.58</v>
      </c>
      <c r="W79" s="15">
        <f t="shared" si="261"/>
        <v>64.150000000000006</v>
      </c>
      <c r="X79" s="15">
        <f t="shared" si="271"/>
        <v>26.57</v>
      </c>
      <c r="Y79" s="15">
        <f t="shared" si="171"/>
        <v>97.47</v>
      </c>
      <c r="Z79" s="15">
        <f t="shared" si="181"/>
        <v>34.51</v>
      </c>
      <c r="AA79" s="15">
        <f t="shared" si="191"/>
        <v>36.119999999999997</v>
      </c>
      <c r="AB79" s="15">
        <f t="shared" si="201"/>
        <v>249.46</v>
      </c>
      <c r="AC79" s="15">
        <f t="shared" si="211"/>
        <v>70.83</v>
      </c>
      <c r="AD79" s="15">
        <v>1.63</v>
      </c>
      <c r="AE79" s="15">
        <f t="shared" si="222"/>
        <v>0.87</v>
      </c>
      <c r="AF79" s="15">
        <f t="shared" si="232"/>
        <v>0.67</v>
      </c>
      <c r="AG79" s="15">
        <f t="shared" si="242"/>
        <v>1.93</v>
      </c>
      <c r="AH79" s="15">
        <f t="shared" si="252"/>
        <v>0.54</v>
      </c>
      <c r="AI79" s="15">
        <f t="shared" si="262"/>
        <v>1.36</v>
      </c>
      <c r="AJ79" s="15">
        <f t="shared" si="272"/>
        <v>0.56000000000000005</v>
      </c>
      <c r="AK79" s="15">
        <f t="shared" si="172"/>
        <v>2.0699999999999998</v>
      </c>
      <c r="AL79" s="15">
        <f t="shared" si="182"/>
        <v>0.73</v>
      </c>
      <c r="AM79" s="15">
        <f t="shared" si="192"/>
        <v>0.76</v>
      </c>
      <c r="AN79" s="15">
        <f t="shared" si="202"/>
        <v>5.41</v>
      </c>
      <c r="AO79" s="15">
        <f t="shared" si="212"/>
        <v>1.53</v>
      </c>
      <c r="AP79" s="15">
        <v>0</v>
      </c>
      <c r="AQ79" s="15">
        <f t="shared" si="223"/>
        <v>0</v>
      </c>
      <c r="AR79" s="15">
        <f t="shared" si="233"/>
        <v>0</v>
      </c>
      <c r="AS79" s="15">
        <f t="shared" si="243"/>
        <v>0</v>
      </c>
      <c r="AT79" s="15">
        <f t="shared" si="253"/>
        <v>0</v>
      </c>
      <c r="AU79" s="15">
        <f t="shared" si="263"/>
        <v>0</v>
      </c>
      <c r="AV79" s="15">
        <f t="shared" si="273"/>
        <v>0</v>
      </c>
      <c r="AW79" s="15">
        <f t="shared" si="173"/>
        <v>0</v>
      </c>
      <c r="AX79" s="15">
        <f t="shared" si="183"/>
        <v>0</v>
      </c>
      <c r="AY79" s="15">
        <f t="shared" si="193"/>
        <v>0</v>
      </c>
      <c r="AZ79" s="15">
        <f t="shared" si="203"/>
        <v>2</v>
      </c>
      <c r="BA79" s="15">
        <f t="shared" si="213"/>
        <v>0</v>
      </c>
      <c r="BB79" s="15">
        <v>43</v>
      </c>
      <c r="BC79" s="15">
        <f t="shared" si="224"/>
        <v>8</v>
      </c>
      <c r="BD79" s="15">
        <f t="shared" si="234"/>
        <v>15</v>
      </c>
      <c r="BE79" s="15">
        <f t="shared" si="244"/>
        <v>15</v>
      </c>
      <c r="BF79" s="15">
        <f t="shared" si="254"/>
        <v>10</v>
      </c>
      <c r="BG79" s="15">
        <f t="shared" si="264"/>
        <v>23</v>
      </c>
      <c r="BH79" s="15">
        <f t="shared" si="274"/>
        <v>6</v>
      </c>
      <c r="BI79" s="15">
        <f t="shared" si="174"/>
        <v>43</v>
      </c>
      <c r="BJ79" s="15">
        <f t="shared" si="184"/>
        <v>11</v>
      </c>
      <c r="BK79" s="15">
        <f t="shared" si="194"/>
        <v>7</v>
      </c>
      <c r="BL79" s="15">
        <f t="shared" si="204"/>
        <v>36</v>
      </c>
      <c r="BM79" s="15">
        <f t="shared" si="214"/>
        <v>15</v>
      </c>
      <c r="BN79" s="15">
        <v>1</v>
      </c>
      <c r="BO79" s="15">
        <f t="shared" si="225"/>
        <v>0</v>
      </c>
      <c r="BP79" s="15">
        <f t="shared" si="235"/>
        <v>0</v>
      </c>
      <c r="BQ79" s="15">
        <f t="shared" si="245"/>
        <v>0</v>
      </c>
      <c r="BR79" s="15">
        <f t="shared" si="255"/>
        <v>0</v>
      </c>
      <c r="BS79" s="15">
        <f t="shared" si="265"/>
        <v>0</v>
      </c>
      <c r="BT79" s="15">
        <f t="shared" si="275"/>
        <v>0</v>
      </c>
      <c r="BU79" s="15">
        <f t="shared" si="175"/>
        <v>1</v>
      </c>
      <c r="BV79" s="15">
        <f t="shared" si="185"/>
        <v>0</v>
      </c>
      <c r="BW79" s="15">
        <f t="shared" si="195"/>
        <v>0</v>
      </c>
      <c r="BX79" s="15">
        <f t="shared" si="205"/>
        <v>0</v>
      </c>
      <c r="BY79" s="15">
        <f t="shared" si="215"/>
        <v>0</v>
      </c>
      <c r="BZ79" s="15">
        <v>1.7844199999999999</v>
      </c>
      <c r="CA79" s="15">
        <f t="shared" si="226"/>
        <v>5.1025</v>
      </c>
      <c r="CB79" s="15">
        <f t="shared" si="236"/>
        <v>2.09267</v>
      </c>
      <c r="CC79" s="15">
        <f t="shared" si="246"/>
        <v>5.9773300000000003</v>
      </c>
      <c r="CD79" s="15">
        <f t="shared" si="256"/>
        <v>2.5579999999999998</v>
      </c>
      <c r="CE79" s="15">
        <f t="shared" si="266"/>
        <v>2.7891300000000001</v>
      </c>
      <c r="CF79" s="15">
        <f t="shared" si="276"/>
        <v>4.4283299999999999</v>
      </c>
      <c r="CG79" s="15">
        <f t="shared" si="176"/>
        <v>2.26674</v>
      </c>
      <c r="CH79" s="15">
        <f t="shared" si="186"/>
        <v>3.13727</v>
      </c>
      <c r="CI79" s="15">
        <f t="shared" si="196"/>
        <v>5.16</v>
      </c>
      <c r="CJ79" s="15">
        <f t="shared" si="206"/>
        <v>6.9294399999999996</v>
      </c>
      <c r="CK79" s="15">
        <f t="shared" si="216"/>
        <v>4.7220000000000004</v>
      </c>
      <c r="CL79" s="15">
        <v>0</v>
      </c>
      <c r="CM79" s="15">
        <f t="shared" si="227"/>
        <v>0</v>
      </c>
      <c r="CN79" s="15">
        <f t="shared" si="237"/>
        <v>0</v>
      </c>
      <c r="CO79" s="15">
        <f t="shared" si="247"/>
        <v>0</v>
      </c>
      <c r="CP79" s="15">
        <f t="shared" si="257"/>
        <v>0</v>
      </c>
      <c r="CQ79" s="15">
        <f t="shared" si="267"/>
        <v>0</v>
      </c>
      <c r="CR79" s="15">
        <f t="shared" si="277"/>
        <v>0</v>
      </c>
      <c r="CS79" s="15">
        <f t="shared" si="177"/>
        <v>0</v>
      </c>
      <c r="CT79" s="15">
        <f t="shared" si="187"/>
        <v>0</v>
      </c>
      <c r="CU79" s="15">
        <f t="shared" si="197"/>
        <v>0</v>
      </c>
      <c r="CV79" s="15">
        <f t="shared" si="207"/>
        <v>0</v>
      </c>
      <c r="CW79" s="15">
        <f t="shared" si="217"/>
        <v>0</v>
      </c>
      <c r="CX79" s="15">
        <v>60.733400000000003</v>
      </c>
      <c r="CY79" s="15">
        <f t="shared" si="228"/>
        <v>78.911600000000007</v>
      </c>
      <c r="CZ79" s="15">
        <f t="shared" si="238"/>
        <v>64.458799999999997</v>
      </c>
      <c r="DA79" s="15">
        <f t="shared" si="248"/>
        <v>80.502399999999994</v>
      </c>
      <c r="DB79" s="15">
        <f t="shared" si="258"/>
        <v>68.647999999999996</v>
      </c>
      <c r="DC79" s="15">
        <f t="shared" si="268"/>
        <v>70.275499999999994</v>
      </c>
      <c r="DD79" s="15">
        <f t="shared" si="278"/>
        <v>77.275000000000006</v>
      </c>
      <c r="DE79" s="15">
        <f t="shared" si="178"/>
        <v>66.194800000000001</v>
      </c>
      <c r="DF79" s="15">
        <f t="shared" si="188"/>
        <v>72.320400000000006</v>
      </c>
      <c r="DG79" s="15">
        <f t="shared" si="198"/>
        <v>79.0321</v>
      </c>
      <c r="DH79" s="15">
        <f t="shared" si="208"/>
        <v>81.788200000000003</v>
      </c>
      <c r="DI79" s="15">
        <f t="shared" si="218"/>
        <v>78.042900000000003</v>
      </c>
      <c r="DJ79" s="15" t="s">
        <v>23</v>
      </c>
      <c r="DK79" s="15" t="str">
        <f t="shared" si="229"/>
        <v>HH</v>
      </c>
      <c r="DL79" s="15" t="str">
        <f t="shared" si="239"/>
        <v>HH</v>
      </c>
      <c r="DM79" s="15" t="str">
        <f t="shared" si="249"/>
        <v>LH</v>
      </c>
      <c r="DN79" s="15" t="str">
        <f t="shared" si="259"/>
        <v>LH</v>
      </c>
      <c r="DO79" s="15" t="str">
        <f t="shared" si="269"/>
        <v>HH</v>
      </c>
      <c r="DP79" s="15" t="str">
        <f t="shared" si="279"/>
        <v>LH</v>
      </c>
      <c r="DQ79" s="15" t="str">
        <f t="shared" si="179"/>
        <v>HH</v>
      </c>
      <c r="DR79" s="15" t="str">
        <f t="shared" si="189"/>
        <v>LH</v>
      </c>
      <c r="DS79" s="15" t="str">
        <f t="shared" si="199"/>
        <v>LH</v>
      </c>
      <c r="DT79" s="15" t="str">
        <f t="shared" si="209"/>
        <v>HH</v>
      </c>
      <c r="DU79" s="15" t="str">
        <f t="shared" si="219"/>
        <v>HH</v>
      </c>
      <c r="DV79" s="15">
        <f>IFERROR((G79-$F79)/$F79*100,"")</f>
        <v>-0.68344902077349345</v>
      </c>
      <c r="DW79" s="15">
        <f>IFERROR((H79-$F79)/$F79*100,"")</f>
        <v>-0.7793202769800045</v>
      </c>
      <c r="DX79" s="15">
        <f>IFERROR((I79-$F79)/$F79*100,"")</f>
        <v>-1.0231849352345728</v>
      </c>
      <c r="DY79" s="15">
        <f>IFERROR((J79-$F79)/$F79*100,"")</f>
        <v>-8.7079568956130615E-2</v>
      </c>
      <c r="DZ79" s="15">
        <f>IFERROR((K79-$F79)/$F79*100,"")</f>
        <v>0.37092547161122857</v>
      </c>
      <c r="EA79" s="15">
        <f>IFERROR((L79-$F79)/$F79*100,"")</f>
        <v>1.4652812084094259E-3</v>
      </c>
      <c r="EB79" s="15">
        <f>IFERROR((M79-$F79)/$F79*100,"")</f>
        <v>0.49589302609876224</v>
      </c>
      <c r="EC79" s="15">
        <f>IFERROR((N79-$F79)/$F79*100,"")</f>
        <v>-0.92563907193273409</v>
      </c>
      <c r="ED79" s="15">
        <f>IFERROR((O79-$F79)/$F79*100,"")</f>
        <v>0.630070919610494</v>
      </c>
      <c r="EE79" s="15">
        <f>IFERROR((P79-$F79)/$F79*100,"")</f>
        <v>1.6773283318401444</v>
      </c>
      <c r="EF79" s="15">
        <f>IFERROR((Q79-$F79)/$F79*100,"")</f>
        <v>-1.7359395801759885</v>
      </c>
      <c r="EG79" s="15" t="str">
        <f>IF(DV79="","",IF(AND(ABS(DV79)&lt;=0.25,$E79="Bottom",DK79="LL"),"EQL",IF(AND(ABS(DV79)&lt;=0.25,$E79="Peak",DK79="HH"),"EQH","")))</f>
        <v/>
      </c>
      <c r="EH79" s="15" t="str">
        <f>IF(DW79="","",IF(AND(ABS(DW79)&lt;=0.25,$E79="Bottom",DL79="LL"),"EQL",IF(AND(ABS(DW79)&lt;=0.25,$E79="Peak",DL79="HH"),"EQH","")))</f>
        <v/>
      </c>
      <c r="EI79" s="15" t="str">
        <f>IF(DX79="","",IF(AND(ABS(DX79)&lt;=0.25,$E79="Bottom",DM79="LL"),"EQL",IF(AND(ABS(DX79)&lt;=0.25,$E79="Peak",DM79="HH"),"EQH","")))</f>
        <v/>
      </c>
      <c r="EJ79" s="15" t="str">
        <f>IF(DY79="","",IF(AND(ABS(DY79)&lt;=0.25,$E79="Bottom",DN79="LL"),"EQL",IF(AND(ABS(DY79)&lt;=0.25,$E79="Peak",DN79="HH"),"EQH","")))</f>
        <v/>
      </c>
      <c r="EK79" s="15" t="str">
        <f>IF(DZ79="","",IF(AND(ABS(DZ79)&lt;=0.25,$E79="Bottom",DO79="LL"),"EQL",IF(AND(ABS(DZ79)&lt;=0.25,$E79="Peak",DO79="HH"),"EQH","")))</f>
        <v/>
      </c>
      <c r="EL79" s="15" t="str">
        <f>IF(EA79="","",IF(AND(ABS(EA79)&lt;=0.25,$E79="Bottom",DP79="LL"),"EQL",IF(AND(ABS(EA79)&lt;=0.25,$E79="Peak",DP79="HH"),"EQH","")))</f>
        <v/>
      </c>
      <c r="EM79" s="15" t="str">
        <f>IF(EB79="","",IF(AND(ABS(EB79)&lt;=0.25,$E79="Bottom",DQ79="LL"),"EQL",IF(AND(ABS(EB79)&lt;=0.25,$E79="Peak",DQ79="HH"),"EQH","")))</f>
        <v/>
      </c>
      <c r="EN79" s="15" t="str">
        <f>IF(EC79="","",IF(AND(ABS(EC79)&lt;=0.25,$E79="Bottom",DR79="LL"),"EQL",IF(AND(ABS(EC79)&lt;=0.25,$E79="Peak",DR79="HH"),"EQH","")))</f>
        <v/>
      </c>
      <c r="EO79" s="15" t="str">
        <f>IF(ED79="","",IF(AND(ABS(ED79)&lt;=0.25,$E79="Bottom",DS79="LL"),"EQL",IF(AND(ABS(ED79)&lt;=0.25,$E79="Peak",DS79="HH"),"EQH","")))</f>
        <v/>
      </c>
      <c r="EP79" s="15" t="str">
        <f>IF(EE79="","",IF(AND(ABS(EE79)&lt;=0.25,$E79="Bottom",DT79="LL"),"EQL",IF(AND(ABS(EE79)&lt;=0.25,$E79="Peak",DT79="HH"),"EQH","")))</f>
        <v/>
      </c>
      <c r="EQ79" s="15" t="str">
        <f>IF(EF79="","",IF(AND(ABS(EF79)&lt;=0.25,$E79="Bottom",DU79="LL"),"EQL",IF(AND(ABS(EF79)&lt;=0.25,$E79="Peak",DU79="HH"),"EQH","")))</f>
        <v/>
      </c>
      <c r="ER79" s="15" t="str">
        <f>IF(OR(EG79="EQL",EG79="EQH"),F79,"")</f>
        <v/>
      </c>
      <c r="ES79" s="15" t="str">
        <f>IF(OR(EH79="EQL",EH79="EQH"),G79,"")</f>
        <v/>
      </c>
      <c r="ET79" s="15" t="str">
        <f>IF(OR(EI79="EQL",EI79="EQH"),H79,"")</f>
        <v/>
      </c>
      <c r="EU79" s="15" t="str">
        <f>IF(OR(EJ79="EQL",EJ79="EQH"),I79,"")</f>
        <v/>
      </c>
      <c r="EV79" s="15" t="str">
        <f>IF(OR(EK79="EQL",EK79="EQH"),J79,"")</f>
        <v/>
      </c>
      <c r="EW79" s="15" t="str">
        <f>IF(OR(EL79="EQL",EL79="EQH"),K79,"")</f>
        <v/>
      </c>
      <c r="EX79" s="15" t="str">
        <f>IF(OR(EM79="EQL",EM79="EQH"),L79,"")</f>
        <v/>
      </c>
      <c r="EY79" s="15" t="str">
        <f>IF(OR(EN79="EQL",EN79="EQH"),M79,"")</f>
        <v/>
      </c>
      <c r="EZ79" s="15" t="str">
        <f>IF(OR(EO79="EQL",EO79="EQH"),N79,"")</f>
        <v/>
      </c>
      <c r="FA79" s="15" t="str">
        <f>IF(OR(EP79="EQL",EP79="EQH"),O79,"")</f>
        <v/>
      </c>
      <c r="FB79" s="15" t="str">
        <f>IF(OR(EQ79="EQL",EQ79="EQH"),P79,"")</f>
        <v/>
      </c>
      <c r="FC79" s="15" t="str">
        <f>IF(AND(EG79="EQL",OR(AQ79=4,AQ79=5)),"IEQL",IF(AND(EG79="EQH",OR(AQ79=1,AQ79=2)),"IEQH",""))</f>
        <v/>
      </c>
      <c r="FD79" s="15" t="str">
        <f>IF(AND(EH79="EQL",OR(AR79=4,AR79=5)),"IEQL",IF(AND(EH79="EQH",OR(AR79=1,AR79=2)),"IEQH",""))</f>
        <v/>
      </c>
      <c r="FE79" s="15" t="str">
        <f>IF(AND(EI79="EQL",OR(AS79=4,AS79=5)),"IEQL",IF(AND(EI79="EQH",OR(AS79=1,AS79=2)),"IEQH",""))</f>
        <v/>
      </c>
      <c r="FF79" s="15" t="str">
        <f>IF(AND(EJ79="EQL",OR(AT79=4,AT79=5)),"IEQL",IF(AND(EJ79="EQH",OR(AT79=1,AT79=2)),"IEQH",""))</f>
        <v/>
      </c>
      <c r="FG79" s="15" t="str">
        <f>IF(AND(EK79="EQL",OR(AU79=4,AU79=5)),"IEQL",IF(AND(EK79="EQH",OR(AU79=1,AU79=2)),"IEQH",""))</f>
        <v/>
      </c>
      <c r="FH79" s="15" t="str">
        <f>IF(AND(EL79="EQL",OR(AV79=4,AV79=5)),"IEQL",IF(AND(EL79="EQH",OR(AV79=1,AV79=2)),"IEQH",""))</f>
        <v/>
      </c>
      <c r="FI79" s="15" t="str">
        <f>IF(AND(EM79="EQL",OR(AW79=4,AW79=5)),"IEQL",IF(AND(EM79="EQH",OR(AW79=1,AW79=2)),"IEQH",""))</f>
        <v/>
      </c>
      <c r="FJ79" s="15" t="str">
        <f>IF(AND(EN79="EQL",OR(AX79=4,AX79=5)),"IEQL",IF(AND(EN79="EQH",OR(AX79=1,AX79=2)),"IEQH",""))</f>
        <v/>
      </c>
      <c r="FK79" s="15" t="str">
        <f>IF(AND(EO79="EQL",OR(AY79=4,AY79=5)),"IEQL",IF(AND(EO79="EQH",OR(AY79=1,AY79=2)),"IEQH",""))</f>
        <v/>
      </c>
      <c r="FL79" s="15" t="str">
        <f>IF(AND(EP79="EQL",OR(AZ79=4,AZ79=5)),"IEQL",IF(AND(EP79="EQH",OR(AZ79=1,AZ79=2)),"IEQH",""))</f>
        <v/>
      </c>
      <c r="FM79" s="15" t="str">
        <f>IF(AND(EQ79="EQL",OR(BA79=4,BA79=5)),"IEQL",IF(AND(EQ79="EQH",OR(BA79=1,BA79=2)),"IEQH",""))</f>
        <v/>
      </c>
      <c r="FN79" s="15" t="str">
        <f>IF(OR(AND(DJ79="LL",AP79=5),AND(DJ79="HH",AP79=2)),F79,"")</f>
        <v/>
      </c>
      <c r="FO79" s="15" t="str">
        <f>IF(FN79&lt;&gt;"",F78,"")</f>
        <v/>
      </c>
    </row>
    <row r="80" spans="1:171" s="15" customFormat="1" x14ac:dyDescent="0.55000000000000004">
      <c r="A80" s="15">
        <v>1776144606</v>
      </c>
      <c r="B80" s="15" t="s">
        <v>16</v>
      </c>
      <c r="C80" s="15" t="s">
        <v>17</v>
      </c>
      <c r="D80" s="15">
        <v>4761.1899999999996</v>
      </c>
      <c r="E80" s="15" t="s">
        <v>18</v>
      </c>
      <c r="F80" s="15">
        <v>4757.92</v>
      </c>
      <c r="G80" s="15">
        <f t="shared" si="220"/>
        <v>4700.51</v>
      </c>
      <c r="H80" s="15">
        <f t="shared" si="230"/>
        <v>4703.7700000000004</v>
      </c>
      <c r="I80" s="15">
        <f t="shared" si="240"/>
        <v>4708.62</v>
      </c>
      <c r="J80" s="15">
        <f t="shared" si="250"/>
        <v>4638.7</v>
      </c>
      <c r="K80" s="15">
        <f t="shared" si="260"/>
        <v>4747.5</v>
      </c>
      <c r="L80" s="15">
        <f t="shared" si="270"/>
        <v>4730.8100000000004</v>
      </c>
      <c r="M80" s="15">
        <f t="shared" ref="M80:M111" si="280">F66</f>
        <v>4750.74</v>
      </c>
      <c r="N80" s="15">
        <f t="shared" si="180"/>
        <v>4703.46</v>
      </c>
      <c r="O80" s="15">
        <f t="shared" si="190"/>
        <v>4698.51</v>
      </c>
      <c r="P80" s="15">
        <f t="shared" si="200"/>
        <v>4771.22</v>
      </c>
      <c r="Q80" s="15">
        <f t="shared" si="210"/>
        <v>4607.91</v>
      </c>
      <c r="R80" s="15">
        <v>-19.32</v>
      </c>
      <c r="S80" s="15">
        <f t="shared" si="221"/>
        <v>-44.08</v>
      </c>
      <c r="T80" s="15">
        <f t="shared" si="231"/>
        <v>-36.24</v>
      </c>
      <c r="U80" s="15">
        <f t="shared" si="241"/>
        <v>-19.739999999999998</v>
      </c>
      <c r="V80" s="15">
        <f t="shared" si="251"/>
        <v>-134.38</v>
      </c>
      <c r="W80" s="15">
        <f t="shared" si="261"/>
        <v>-47.46</v>
      </c>
      <c r="X80" s="15">
        <f t="shared" si="271"/>
        <v>-46.5</v>
      </c>
      <c r="Y80" s="15">
        <f t="shared" ref="Y80:Y111" si="281">R66</f>
        <v>-50.19</v>
      </c>
      <c r="Z80" s="15">
        <f t="shared" si="181"/>
        <v>-29.56</v>
      </c>
      <c r="AA80" s="15">
        <f t="shared" si="191"/>
        <v>-108.83</v>
      </c>
      <c r="AB80" s="15">
        <f t="shared" si="201"/>
        <v>-86.15</v>
      </c>
      <c r="AC80" s="15">
        <f t="shared" si="211"/>
        <v>-86.4</v>
      </c>
      <c r="AD80" s="15">
        <v>-0.4</v>
      </c>
      <c r="AE80" s="15">
        <f t="shared" si="222"/>
        <v>-0.93</v>
      </c>
      <c r="AF80" s="15">
        <f t="shared" si="232"/>
        <v>-0.76</v>
      </c>
      <c r="AG80" s="15">
        <f t="shared" si="242"/>
        <v>-0.42</v>
      </c>
      <c r="AH80" s="15">
        <f t="shared" si="252"/>
        <v>-2.82</v>
      </c>
      <c r="AI80" s="15">
        <f t="shared" si="262"/>
        <v>-0.99</v>
      </c>
      <c r="AJ80" s="15">
        <f t="shared" si="272"/>
        <v>-0.97</v>
      </c>
      <c r="AK80" s="15">
        <f t="shared" ref="AK80:AK111" si="282">AD66</f>
        <v>-1.05</v>
      </c>
      <c r="AL80" s="15">
        <f t="shared" si="182"/>
        <v>-0.62</v>
      </c>
      <c r="AM80" s="15">
        <f t="shared" si="192"/>
        <v>-2.2599999999999998</v>
      </c>
      <c r="AN80" s="15">
        <f t="shared" si="202"/>
        <v>-1.77</v>
      </c>
      <c r="AO80" s="15">
        <f t="shared" si="212"/>
        <v>-1.84</v>
      </c>
      <c r="AP80" s="15">
        <v>3</v>
      </c>
      <c r="AQ80" s="15">
        <f t="shared" si="223"/>
        <v>3</v>
      </c>
      <c r="AR80" s="15">
        <f t="shared" si="233"/>
        <v>3</v>
      </c>
      <c r="AS80" s="15">
        <f t="shared" si="243"/>
        <v>3</v>
      </c>
      <c r="AT80" s="15">
        <f t="shared" si="253"/>
        <v>3</v>
      </c>
      <c r="AU80" s="15">
        <f t="shared" si="263"/>
        <v>3</v>
      </c>
      <c r="AV80" s="15">
        <f t="shared" si="273"/>
        <v>3</v>
      </c>
      <c r="AW80" s="15">
        <f t="shared" ref="AW80:AW111" si="283">AP66</f>
        <v>3</v>
      </c>
      <c r="AX80" s="15">
        <f t="shared" si="183"/>
        <v>3</v>
      </c>
      <c r="AY80" s="15">
        <f t="shared" si="193"/>
        <v>3</v>
      </c>
      <c r="AZ80" s="15">
        <f t="shared" si="203"/>
        <v>3</v>
      </c>
      <c r="BA80" s="15">
        <f t="shared" si="213"/>
        <v>3</v>
      </c>
      <c r="BB80" s="15">
        <v>11</v>
      </c>
      <c r="BC80" s="15">
        <f t="shared" si="224"/>
        <v>5</v>
      </c>
      <c r="BD80" s="15">
        <f t="shared" si="234"/>
        <v>16</v>
      </c>
      <c r="BE80" s="15">
        <f t="shared" si="244"/>
        <v>9</v>
      </c>
      <c r="BF80" s="15">
        <f t="shared" si="254"/>
        <v>10</v>
      </c>
      <c r="BG80" s="15">
        <f t="shared" si="264"/>
        <v>6</v>
      </c>
      <c r="BH80" s="15">
        <f t="shared" si="274"/>
        <v>29</v>
      </c>
      <c r="BI80" s="15">
        <f t="shared" ref="BI80:BI111" si="284">BB66</f>
        <v>22</v>
      </c>
      <c r="BJ80" s="15">
        <f t="shared" si="184"/>
        <v>16</v>
      </c>
      <c r="BK80" s="15">
        <f t="shared" si="194"/>
        <v>44</v>
      </c>
      <c r="BL80" s="15">
        <f t="shared" si="204"/>
        <v>41</v>
      </c>
      <c r="BM80" s="15">
        <f t="shared" si="214"/>
        <v>19</v>
      </c>
      <c r="BN80" s="15">
        <v>3</v>
      </c>
      <c r="BO80" s="15">
        <f t="shared" si="225"/>
        <v>3</v>
      </c>
      <c r="BP80" s="15">
        <f t="shared" si="235"/>
        <v>3</v>
      </c>
      <c r="BQ80" s="15">
        <f t="shared" si="245"/>
        <v>3</v>
      </c>
      <c r="BR80" s="15">
        <f t="shared" si="255"/>
        <v>3</v>
      </c>
      <c r="BS80" s="15">
        <f t="shared" si="265"/>
        <v>3</v>
      </c>
      <c r="BT80" s="15">
        <f t="shared" si="275"/>
        <v>3</v>
      </c>
      <c r="BU80" s="15">
        <f t="shared" ref="BU80:BU111" si="285">BN66</f>
        <v>3</v>
      </c>
      <c r="BV80" s="15">
        <f t="shared" si="185"/>
        <v>3</v>
      </c>
      <c r="BW80" s="15">
        <f t="shared" si="195"/>
        <v>4</v>
      </c>
      <c r="BX80" s="15">
        <f t="shared" si="205"/>
        <v>4</v>
      </c>
      <c r="BY80" s="15">
        <f t="shared" si="215"/>
        <v>3</v>
      </c>
      <c r="BZ80" s="15">
        <v>-1.7563599999999999</v>
      </c>
      <c r="CA80" s="15">
        <f t="shared" si="226"/>
        <v>-8.8160000000000007</v>
      </c>
      <c r="CB80" s="15">
        <f t="shared" si="236"/>
        <v>-2.2650000000000001</v>
      </c>
      <c r="CC80" s="15">
        <f t="shared" si="246"/>
        <v>-2.19333</v>
      </c>
      <c r="CD80" s="15">
        <f t="shared" si="256"/>
        <v>-13.438000000000001</v>
      </c>
      <c r="CE80" s="15">
        <f t="shared" si="266"/>
        <v>-7.91</v>
      </c>
      <c r="CF80" s="15">
        <f t="shared" si="276"/>
        <v>-1.60345</v>
      </c>
      <c r="CG80" s="15">
        <f t="shared" ref="CG80:CG111" si="286">BZ66</f>
        <v>-2.2813599999999998</v>
      </c>
      <c r="CH80" s="15">
        <f t="shared" si="186"/>
        <v>-1.8474999999999999</v>
      </c>
      <c r="CI80" s="15">
        <f t="shared" si="196"/>
        <v>-2.4734099999999999</v>
      </c>
      <c r="CJ80" s="15">
        <f t="shared" si="206"/>
        <v>-2.1012200000000001</v>
      </c>
      <c r="CK80" s="15">
        <f t="shared" si="216"/>
        <v>-4.5473699999999999</v>
      </c>
      <c r="CL80" s="15">
        <v>3</v>
      </c>
      <c r="CM80" s="15">
        <f t="shared" si="227"/>
        <v>3</v>
      </c>
      <c r="CN80" s="15">
        <f t="shared" si="237"/>
        <v>3</v>
      </c>
      <c r="CO80" s="15">
        <f t="shared" si="247"/>
        <v>3</v>
      </c>
      <c r="CP80" s="15">
        <f t="shared" si="257"/>
        <v>3</v>
      </c>
      <c r="CQ80" s="15">
        <f t="shared" si="267"/>
        <v>3</v>
      </c>
      <c r="CR80" s="15">
        <f t="shared" si="277"/>
        <v>3</v>
      </c>
      <c r="CS80" s="15">
        <f t="shared" ref="CS80:CS111" si="287">CL66</f>
        <v>3</v>
      </c>
      <c r="CT80" s="15">
        <f t="shared" si="187"/>
        <v>3</v>
      </c>
      <c r="CU80" s="15">
        <f t="shared" si="197"/>
        <v>3</v>
      </c>
      <c r="CV80" s="15">
        <f t="shared" si="207"/>
        <v>3</v>
      </c>
      <c r="CW80" s="15">
        <f t="shared" si="217"/>
        <v>3</v>
      </c>
      <c r="CX80" s="15">
        <v>-60.3446</v>
      </c>
      <c r="CY80" s="15">
        <f t="shared" si="228"/>
        <v>-83.528599999999997</v>
      </c>
      <c r="CZ80" s="15">
        <f t="shared" si="238"/>
        <v>-66.1785</v>
      </c>
      <c r="DA80" s="15">
        <f t="shared" si="248"/>
        <v>-65.490499999999997</v>
      </c>
      <c r="DB80" s="15">
        <f t="shared" si="258"/>
        <v>-85.744100000000003</v>
      </c>
      <c r="DC80" s="15">
        <f t="shared" si="268"/>
        <v>-82.794799999999995</v>
      </c>
      <c r="DD80" s="15">
        <f t="shared" si="278"/>
        <v>-58.05</v>
      </c>
      <c r="DE80" s="15">
        <f t="shared" ref="DE80:DE111" si="288">CX66</f>
        <v>-66.330500000000001</v>
      </c>
      <c r="DF80" s="15">
        <f t="shared" si="188"/>
        <v>-61.574599999999997</v>
      </c>
      <c r="DG80" s="15">
        <f t="shared" si="198"/>
        <v>-67.986500000000007</v>
      </c>
      <c r="DH80" s="15">
        <f t="shared" si="208"/>
        <v>-64.549599999999998</v>
      </c>
      <c r="DI80" s="15">
        <f t="shared" si="218"/>
        <v>-77.5976</v>
      </c>
      <c r="DJ80" s="15" t="s">
        <v>22</v>
      </c>
      <c r="DK80" s="15" t="str">
        <f t="shared" si="229"/>
        <v>LL</v>
      </c>
      <c r="DL80" s="15" t="str">
        <f t="shared" si="239"/>
        <v>LL</v>
      </c>
      <c r="DM80" s="15" t="str">
        <f t="shared" si="249"/>
        <v>HL</v>
      </c>
      <c r="DN80" s="15" t="str">
        <f t="shared" si="259"/>
        <v>LL</v>
      </c>
      <c r="DO80" s="15" t="str">
        <f t="shared" si="269"/>
        <v>HL</v>
      </c>
      <c r="DP80" s="15" t="str">
        <f t="shared" si="279"/>
        <v>LL</v>
      </c>
      <c r="DQ80" s="15" t="str">
        <f t="shared" ref="DQ80:DQ111" si="289">DJ66</f>
        <v>HL</v>
      </c>
      <c r="DR80" s="15" t="str">
        <f t="shared" si="189"/>
        <v>HL</v>
      </c>
      <c r="DS80" s="15" t="str">
        <f t="shared" si="199"/>
        <v>LL</v>
      </c>
      <c r="DT80" s="15" t="str">
        <f t="shared" si="209"/>
        <v>HL</v>
      </c>
      <c r="DU80" s="15" t="str">
        <f t="shared" si="219"/>
        <v>LL</v>
      </c>
      <c r="DV80" s="15">
        <f>IFERROR((G80-$F80)/$F80*100,"")</f>
        <v>-1.2066196993644251</v>
      </c>
      <c r="DW80" s="15">
        <f>IFERROR((H80-$F80)/$F80*100,"")</f>
        <v>-1.1381023640582362</v>
      </c>
      <c r="DX80" s="15">
        <f>IFERROR((I80-$F80)/$F80*100,"")</f>
        <v>-1.0361670645996608</v>
      </c>
      <c r="DY80" s="15">
        <f>IFERROR((J80-$F80)/$F80*100,"")</f>
        <v>-2.5057167838046932</v>
      </c>
      <c r="DZ80" s="15">
        <f>IFERROR((K80-$F80)/$F80*100,"")</f>
        <v>-0.21900326192958422</v>
      </c>
      <c r="EA80" s="15">
        <f>IFERROR((L80-$F80)/$F80*100,"")</f>
        <v>-0.56978679759221829</v>
      </c>
      <c r="EB80" s="15">
        <f>IFERROR((M80-$F80)/$F80*100,"")</f>
        <v>-0.15090627837374926</v>
      </c>
      <c r="EC80" s="15">
        <f>IFERROR((N80-$F80)/$F80*100,"")</f>
        <v>-1.1446178161885874</v>
      </c>
      <c r="ED80" s="15">
        <f>IFERROR((O80-$F80)/$F80*100,"")</f>
        <v>-1.2486548743988939</v>
      </c>
      <c r="EE80" s="15">
        <f>IFERROR((P80-$F80)/$F80*100,"")</f>
        <v>0.27953391397922162</v>
      </c>
      <c r="EF80" s="15">
        <f>IFERROR((Q80-$F80)/$F80*100,"")</f>
        <v>-3.1528483034603401</v>
      </c>
      <c r="EG80" s="15" t="str">
        <f>IF(DV80="","",IF(AND(ABS(DV80)&lt;=0.25,$E80="Bottom",DK80="LL"),"EQL",IF(AND(ABS(DV80)&lt;=0.25,$E80="Peak",DK80="HH"),"EQH","")))</f>
        <v/>
      </c>
      <c r="EH80" s="15" t="str">
        <f>IF(DW80="","",IF(AND(ABS(DW80)&lt;=0.25,$E80="Bottom",DL80="LL"),"EQL",IF(AND(ABS(DW80)&lt;=0.25,$E80="Peak",DL80="HH"),"EQH","")))</f>
        <v/>
      </c>
      <c r="EI80" s="15" t="str">
        <f>IF(DX80="","",IF(AND(ABS(DX80)&lt;=0.25,$E80="Bottom",DM80="LL"),"EQL",IF(AND(ABS(DX80)&lt;=0.25,$E80="Peak",DM80="HH"),"EQH","")))</f>
        <v/>
      </c>
      <c r="EJ80" s="15" t="str">
        <f>IF(DY80="","",IF(AND(ABS(DY80)&lt;=0.25,$E80="Bottom",DN80="LL"),"EQL",IF(AND(ABS(DY80)&lt;=0.25,$E80="Peak",DN80="HH"),"EQH","")))</f>
        <v/>
      </c>
      <c r="EK80" s="15" t="str">
        <f>IF(DZ80="","",IF(AND(ABS(DZ80)&lt;=0.25,$E80="Bottom",DO80="LL"),"EQL",IF(AND(ABS(DZ80)&lt;=0.25,$E80="Peak",DO80="HH"),"EQH","")))</f>
        <v/>
      </c>
      <c r="EL80" s="15" t="str">
        <f>IF(EA80="","",IF(AND(ABS(EA80)&lt;=0.25,$E80="Bottom",DP80="LL"),"EQL",IF(AND(ABS(EA80)&lt;=0.25,$E80="Peak",DP80="HH"),"EQH","")))</f>
        <v/>
      </c>
      <c r="EM80" s="15" t="str">
        <f>IF(EB80="","",IF(AND(ABS(EB80)&lt;=0.25,$E80="Bottom",DQ80="LL"),"EQL",IF(AND(ABS(EB80)&lt;=0.25,$E80="Peak",DQ80="HH"),"EQH","")))</f>
        <v/>
      </c>
      <c r="EN80" s="15" t="str">
        <f>IF(EC80="","",IF(AND(ABS(EC80)&lt;=0.25,$E80="Bottom",DR80="LL"),"EQL",IF(AND(ABS(EC80)&lt;=0.25,$E80="Peak",DR80="HH"),"EQH","")))</f>
        <v/>
      </c>
      <c r="EO80" s="15" t="str">
        <f>IF(ED80="","",IF(AND(ABS(ED80)&lt;=0.25,$E80="Bottom",DS80="LL"),"EQL",IF(AND(ABS(ED80)&lt;=0.25,$E80="Peak",DS80="HH"),"EQH","")))</f>
        <v/>
      </c>
      <c r="EP80" s="15" t="str">
        <f>IF(EE80="","",IF(AND(ABS(EE80)&lt;=0.25,$E80="Bottom",DT80="LL"),"EQL",IF(AND(ABS(EE80)&lt;=0.25,$E80="Peak",DT80="HH"),"EQH","")))</f>
        <v/>
      </c>
      <c r="EQ80" s="15" t="str">
        <f>IF(EF80="","",IF(AND(ABS(EF80)&lt;=0.25,$E80="Bottom",DU80="LL"),"EQL",IF(AND(ABS(EF80)&lt;=0.25,$E80="Peak",DU80="HH"),"EQH","")))</f>
        <v/>
      </c>
      <c r="ER80" s="15" t="str">
        <f>IF(OR(EG80="EQL",EG80="EQH"),F80,"")</f>
        <v/>
      </c>
      <c r="ES80" s="15" t="str">
        <f>IF(OR(EH80="EQL",EH80="EQH"),G80,"")</f>
        <v/>
      </c>
      <c r="ET80" s="15" t="str">
        <f>IF(OR(EI80="EQL",EI80="EQH"),H80,"")</f>
        <v/>
      </c>
      <c r="EU80" s="15" t="str">
        <f>IF(OR(EJ80="EQL",EJ80="EQH"),I80,"")</f>
        <v/>
      </c>
      <c r="EV80" s="15" t="str">
        <f>IF(OR(EK80="EQL",EK80="EQH"),J80,"")</f>
        <v/>
      </c>
      <c r="EW80" s="15" t="str">
        <f>IF(OR(EL80="EQL",EL80="EQH"),K80,"")</f>
        <v/>
      </c>
      <c r="EX80" s="15" t="str">
        <f>IF(OR(EM80="EQL",EM80="EQH"),L80,"")</f>
        <v/>
      </c>
      <c r="EY80" s="15" t="str">
        <f>IF(OR(EN80="EQL",EN80="EQH"),M80,"")</f>
        <v/>
      </c>
      <c r="EZ80" s="15" t="str">
        <f>IF(OR(EO80="EQL",EO80="EQH"),N80,"")</f>
        <v/>
      </c>
      <c r="FA80" s="15" t="str">
        <f>IF(OR(EP80="EQL",EP80="EQH"),O80,"")</f>
        <v/>
      </c>
      <c r="FB80" s="15" t="str">
        <f>IF(OR(EQ80="EQL",EQ80="EQH"),P80,"")</f>
        <v/>
      </c>
      <c r="FC80" s="15" t="str">
        <f>IF(AND(EG80="EQL",OR(AQ80=4,AQ80=5)),"IEQL",IF(AND(EG80="EQH",OR(AQ80=1,AQ80=2)),"IEQH",""))</f>
        <v/>
      </c>
      <c r="FD80" s="15" t="str">
        <f>IF(AND(EH80="EQL",OR(AR80=4,AR80=5)),"IEQL",IF(AND(EH80="EQH",OR(AR80=1,AR80=2)),"IEQH",""))</f>
        <v/>
      </c>
      <c r="FE80" s="15" t="str">
        <f>IF(AND(EI80="EQL",OR(AS80=4,AS80=5)),"IEQL",IF(AND(EI80="EQH",OR(AS80=1,AS80=2)),"IEQH",""))</f>
        <v/>
      </c>
      <c r="FF80" s="15" t="str">
        <f>IF(AND(EJ80="EQL",OR(AT80=4,AT80=5)),"IEQL",IF(AND(EJ80="EQH",OR(AT80=1,AT80=2)),"IEQH",""))</f>
        <v/>
      </c>
      <c r="FG80" s="15" t="str">
        <f>IF(AND(EK80="EQL",OR(AU80=4,AU80=5)),"IEQL",IF(AND(EK80="EQH",OR(AU80=1,AU80=2)),"IEQH",""))</f>
        <v/>
      </c>
      <c r="FH80" s="15" t="str">
        <f>IF(AND(EL80="EQL",OR(AV80=4,AV80=5)),"IEQL",IF(AND(EL80="EQH",OR(AV80=1,AV80=2)),"IEQH",""))</f>
        <v/>
      </c>
      <c r="FI80" s="15" t="str">
        <f>IF(AND(EM80="EQL",OR(AW80=4,AW80=5)),"IEQL",IF(AND(EM80="EQH",OR(AW80=1,AW80=2)),"IEQH",""))</f>
        <v/>
      </c>
      <c r="FJ80" s="15" t="str">
        <f>IF(AND(EN80="EQL",OR(AX80=4,AX80=5)),"IEQL",IF(AND(EN80="EQH",OR(AX80=1,AX80=2)),"IEQH",""))</f>
        <v/>
      </c>
      <c r="FK80" s="15" t="str">
        <f>IF(AND(EO80="EQL",OR(AY80=4,AY80=5)),"IEQL",IF(AND(EO80="EQH",OR(AY80=1,AY80=2)),"IEQH",""))</f>
        <v/>
      </c>
      <c r="FL80" s="15" t="str">
        <f>IF(AND(EP80="EQL",OR(AZ80=4,AZ80=5)),"IEQL",IF(AND(EP80="EQH",OR(AZ80=1,AZ80=2)),"IEQH",""))</f>
        <v/>
      </c>
      <c r="FM80" s="15" t="str">
        <f>IF(AND(EQ80="EQL",OR(BA80=4,BA80=5)),"IEQL",IF(AND(EQ80="EQH",OR(BA80=1,BA80=2)),"IEQH",""))</f>
        <v/>
      </c>
      <c r="FN80" s="15" t="str">
        <f>IF(OR(AND(DJ80="LL",AP80=5),AND(DJ80="HH",AP80=2)),F80,"")</f>
        <v/>
      </c>
      <c r="FO80" s="15" t="str">
        <f>IF(FN80&lt;&gt;"",F79,"")</f>
        <v/>
      </c>
    </row>
    <row r="81" spans="1:171" s="15" customFormat="1" x14ac:dyDescent="0.55000000000000004">
      <c r="A81" s="15">
        <v>1776150006</v>
      </c>
      <c r="B81" s="15" t="s">
        <v>16</v>
      </c>
      <c r="C81" s="15" t="s">
        <v>17</v>
      </c>
      <c r="D81" s="15">
        <v>4790.2</v>
      </c>
      <c r="E81" s="15" t="s">
        <v>20</v>
      </c>
      <c r="F81" s="15">
        <v>4796.16</v>
      </c>
      <c r="G81" s="15">
        <f t="shared" si="220"/>
        <v>4777.24</v>
      </c>
      <c r="H81" s="15">
        <f t="shared" si="230"/>
        <v>4744.59</v>
      </c>
      <c r="I81" s="15">
        <f t="shared" si="240"/>
        <v>4740.01</v>
      </c>
      <c r="J81" s="15">
        <f t="shared" si="250"/>
        <v>4728.3599999999997</v>
      </c>
      <c r="K81" s="15">
        <f t="shared" si="260"/>
        <v>4773.08</v>
      </c>
      <c r="L81" s="15">
        <f t="shared" si="270"/>
        <v>4794.96</v>
      </c>
      <c r="M81" s="15">
        <f t="shared" si="280"/>
        <v>4777.3100000000004</v>
      </c>
      <c r="N81" s="15">
        <f t="shared" si="180"/>
        <v>4800.93</v>
      </c>
      <c r="O81" s="15">
        <f t="shared" si="190"/>
        <v>4733.0200000000004</v>
      </c>
      <c r="P81" s="15">
        <f t="shared" si="200"/>
        <v>4807.34</v>
      </c>
      <c r="Q81" s="15">
        <f t="shared" si="210"/>
        <v>4857.37</v>
      </c>
      <c r="R81" s="15">
        <v>38.24</v>
      </c>
      <c r="S81" s="15">
        <f t="shared" si="221"/>
        <v>76.73</v>
      </c>
      <c r="T81" s="15">
        <f t="shared" si="231"/>
        <v>40.82</v>
      </c>
      <c r="U81" s="15">
        <f t="shared" si="241"/>
        <v>31.39</v>
      </c>
      <c r="V81" s="15">
        <f t="shared" si="251"/>
        <v>89.66</v>
      </c>
      <c r="W81" s="15">
        <f t="shared" si="261"/>
        <v>25.58</v>
      </c>
      <c r="X81" s="15">
        <f t="shared" si="271"/>
        <v>64.150000000000006</v>
      </c>
      <c r="Y81" s="15">
        <f t="shared" si="281"/>
        <v>26.57</v>
      </c>
      <c r="Z81" s="15">
        <f t="shared" si="181"/>
        <v>97.47</v>
      </c>
      <c r="AA81" s="15">
        <f t="shared" si="191"/>
        <v>34.51</v>
      </c>
      <c r="AB81" s="15">
        <f t="shared" si="201"/>
        <v>36.119999999999997</v>
      </c>
      <c r="AC81" s="15">
        <f t="shared" si="211"/>
        <v>249.46</v>
      </c>
      <c r="AD81" s="15">
        <v>0.8</v>
      </c>
      <c r="AE81" s="15">
        <f t="shared" si="222"/>
        <v>1.63</v>
      </c>
      <c r="AF81" s="15">
        <f t="shared" si="232"/>
        <v>0.87</v>
      </c>
      <c r="AG81" s="15">
        <f t="shared" si="242"/>
        <v>0.67</v>
      </c>
      <c r="AH81" s="15">
        <f t="shared" si="252"/>
        <v>1.93</v>
      </c>
      <c r="AI81" s="15">
        <f t="shared" si="262"/>
        <v>0.54</v>
      </c>
      <c r="AJ81" s="15">
        <f t="shared" si="272"/>
        <v>1.36</v>
      </c>
      <c r="AK81" s="15">
        <f t="shared" si="282"/>
        <v>0.56000000000000005</v>
      </c>
      <c r="AL81" s="15">
        <f t="shared" si="182"/>
        <v>2.0699999999999998</v>
      </c>
      <c r="AM81" s="15">
        <f t="shared" si="192"/>
        <v>0.73</v>
      </c>
      <c r="AN81" s="15">
        <f t="shared" si="202"/>
        <v>0.76</v>
      </c>
      <c r="AO81" s="15">
        <f t="shared" si="212"/>
        <v>5.41</v>
      </c>
      <c r="AP81" s="15">
        <v>0</v>
      </c>
      <c r="AQ81" s="15">
        <f t="shared" si="223"/>
        <v>0</v>
      </c>
      <c r="AR81" s="15">
        <f t="shared" si="233"/>
        <v>0</v>
      </c>
      <c r="AS81" s="15">
        <f t="shared" si="243"/>
        <v>0</v>
      </c>
      <c r="AT81" s="15">
        <f t="shared" si="253"/>
        <v>0</v>
      </c>
      <c r="AU81" s="15">
        <f t="shared" si="263"/>
        <v>0</v>
      </c>
      <c r="AV81" s="15">
        <f t="shared" si="273"/>
        <v>0</v>
      </c>
      <c r="AW81" s="15">
        <f t="shared" si="283"/>
        <v>0</v>
      </c>
      <c r="AX81" s="15">
        <f t="shared" si="183"/>
        <v>0</v>
      </c>
      <c r="AY81" s="15">
        <f t="shared" si="193"/>
        <v>0</v>
      </c>
      <c r="AZ81" s="15">
        <f t="shared" si="203"/>
        <v>0</v>
      </c>
      <c r="BA81" s="15">
        <f t="shared" si="213"/>
        <v>2</v>
      </c>
      <c r="BB81" s="15">
        <v>6</v>
      </c>
      <c r="BC81" s="15">
        <f t="shared" si="224"/>
        <v>43</v>
      </c>
      <c r="BD81" s="15">
        <f t="shared" si="234"/>
        <v>8</v>
      </c>
      <c r="BE81" s="15">
        <f t="shared" si="244"/>
        <v>15</v>
      </c>
      <c r="BF81" s="15">
        <f t="shared" si="254"/>
        <v>15</v>
      </c>
      <c r="BG81" s="15">
        <f t="shared" si="264"/>
        <v>10</v>
      </c>
      <c r="BH81" s="15">
        <f t="shared" si="274"/>
        <v>23</v>
      </c>
      <c r="BI81" s="15">
        <f t="shared" si="284"/>
        <v>6</v>
      </c>
      <c r="BJ81" s="15">
        <f t="shared" si="184"/>
        <v>43</v>
      </c>
      <c r="BK81" s="15">
        <f t="shared" si="194"/>
        <v>11</v>
      </c>
      <c r="BL81" s="15">
        <f t="shared" si="204"/>
        <v>7</v>
      </c>
      <c r="BM81" s="15">
        <f t="shared" si="214"/>
        <v>36</v>
      </c>
      <c r="BN81" s="15">
        <v>0</v>
      </c>
      <c r="BO81" s="15">
        <f t="shared" si="225"/>
        <v>1</v>
      </c>
      <c r="BP81" s="15">
        <f t="shared" si="235"/>
        <v>0</v>
      </c>
      <c r="BQ81" s="15">
        <f t="shared" si="245"/>
        <v>0</v>
      </c>
      <c r="BR81" s="15">
        <f t="shared" si="255"/>
        <v>0</v>
      </c>
      <c r="BS81" s="15">
        <f t="shared" si="265"/>
        <v>0</v>
      </c>
      <c r="BT81" s="15">
        <f t="shared" si="275"/>
        <v>0</v>
      </c>
      <c r="BU81" s="15">
        <f t="shared" si="285"/>
        <v>0</v>
      </c>
      <c r="BV81" s="15">
        <f t="shared" si="185"/>
        <v>1</v>
      </c>
      <c r="BW81" s="15">
        <f t="shared" si="195"/>
        <v>0</v>
      </c>
      <c r="BX81" s="15">
        <f t="shared" si="205"/>
        <v>0</v>
      </c>
      <c r="BY81" s="15">
        <f t="shared" si="215"/>
        <v>0</v>
      </c>
      <c r="BZ81" s="15">
        <v>6.3733300000000002</v>
      </c>
      <c r="CA81" s="15">
        <f t="shared" si="226"/>
        <v>1.7844199999999999</v>
      </c>
      <c r="CB81" s="15">
        <f t="shared" si="236"/>
        <v>5.1025</v>
      </c>
      <c r="CC81" s="15">
        <f t="shared" si="246"/>
        <v>2.09267</v>
      </c>
      <c r="CD81" s="15">
        <f t="shared" si="256"/>
        <v>5.9773300000000003</v>
      </c>
      <c r="CE81" s="15">
        <f t="shared" si="266"/>
        <v>2.5579999999999998</v>
      </c>
      <c r="CF81" s="15">
        <f t="shared" si="276"/>
        <v>2.7891300000000001</v>
      </c>
      <c r="CG81" s="15">
        <f t="shared" si="286"/>
        <v>4.4283299999999999</v>
      </c>
      <c r="CH81" s="15">
        <f t="shared" si="186"/>
        <v>2.26674</v>
      </c>
      <c r="CI81" s="15">
        <f t="shared" si="196"/>
        <v>3.13727</v>
      </c>
      <c r="CJ81" s="15">
        <f t="shared" si="206"/>
        <v>5.16</v>
      </c>
      <c r="CK81" s="15">
        <f t="shared" si="216"/>
        <v>6.9294399999999996</v>
      </c>
      <c r="CL81" s="15">
        <v>0</v>
      </c>
      <c r="CM81" s="15">
        <f t="shared" si="227"/>
        <v>0</v>
      </c>
      <c r="CN81" s="15">
        <f t="shared" si="237"/>
        <v>0</v>
      </c>
      <c r="CO81" s="15">
        <f t="shared" si="247"/>
        <v>0</v>
      </c>
      <c r="CP81" s="15">
        <f t="shared" si="257"/>
        <v>0</v>
      </c>
      <c r="CQ81" s="15">
        <f t="shared" si="267"/>
        <v>0</v>
      </c>
      <c r="CR81" s="15">
        <f t="shared" si="277"/>
        <v>0</v>
      </c>
      <c r="CS81" s="15">
        <f t="shared" si="287"/>
        <v>0</v>
      </c>
      <c r="CT81" s="15">
        <f t="shared" si="187"/>
        <v>0</v>
      </c>
      <c r="CU81" s="15">
        <f t="shared" si="197"/>
        <v>0</v>
      </c>
      <c r="CV81" s="15">
        <f t="shared" si="207"/>
        <v>0</v>
      </c>
      <c r="CW81" s="15">
        <f t="shared" si="217"/>
        <v>0</v>
      </c>
      <c r="CX81" s="15">
        <v>81.082800000000006</v>
      </c>
      <c r="CY81" s="15">
        <f t="shared" si="228"/>
        <v>60.733400000000003</v>
      </c>
      <c r="CZ81" s="15">
        <f t="shared" si="238"/>
        <v>78.911600000000007</v>
      </c>
      <c r="DA81" s="15">
        <f t="shared" si="248"/>
        <v>64.458799999999997</v>
      </c>
      <c r="DB81" s="15">
        <f t="shared" si="258"/>
        <v>80.502399999999994</v>
      </c>
      <c r="DC81" s="15">
        <f t="shared" si="268"/>
        <v>68.647999999999996</v>
      </c>
      <c r="DD81" s="15">
        <f t="shared" si="278"/>
        <v>70.275499999999994</v>
      </c>
      <c r="DE81" s="15">
        <f t="shared" si="288"/>
        <v>77.275000000000006</v>
      </c>
      <c r="DF81" s="15">
        <f t="shared" si="188"/>
        <v>66.194800000000001</v>
      </c>
      <c r="DG81" s="15">
        <f t="shared" si="198"/>
        <v>72.320400000000006</v>
      </c>
      <c r="DH81" s="15">
        <f t="shared" si="208"/>
        <v>79.0321</v>
      </c>
      <c r="DI81" s="15">
        <f t="shared" si="218"/>
        <v>81.788200000000003</v>
      </c>
      <c r="DJ81" s="15" t="s">
        <v>23</v>
      </c>
      <c r="DK81" s="15" t="str">
        <f t="shared" si="229"/>
        <v>HH</v>
      </c>
      <c r="DL81" s="15" t="str">
        <f t="shared" si="239"/>
        <v>HH</v>
      </c>
      <c r="DM81" s="15" t="str">
        <f t="shared" si="249"/>
        <v>HH</v>
      </c>
      <c r="DN81" s="15" t="str">
        <f t="shared" si="259"/>
        <v>LH</v>
      </c>
      <c r="DO81" s="15" t="str">
        <f t="shared" si="269"/>
        <v>LH</v>
      </c>
      <c r="DP81" s="15" t="str">
        <f t="shared" si="279"/>
        <v>HH</v>
      </c>
      <c r="DQ81" s="15" t="str">
        <f t="shared" si="289"/>
        <v>LH</v>
      </c>
      <c r="DR81" s="15" t="str">
        <f t="shared" si="189"/>
        <v>HH</v>
      </c>
      <c r="DS81" s="15" t="str">
        <f t="shared" si="199"/>
        <v>LH</v>
      </c>
      <c r="DT81" s="15" t="str">
        <f t="shared" si="209"/>
        <v>LH</v>
      </c>
      <c r="DU81" s="15" t="str">
        <f t="shared" si="219"/>
        <v>HH</v>
      </c>
      <c r="DV81" s="15">
        <f>IFERROR((G81-$F81)/$F81*100,"")</f>
        <v>-0.3944822524686431</v>
      </c>
      <c r="DW81" s="15">
        <f>IFERROR((H81-$F81)/$F81*100,"")</f>
        <v>-1.0752351881505144</v>
      </c>
      <c r="DX81" s="15">
        <f>IFERROR((I81-$F81)/$F81*100,"")</f>
        <v>-1.170728249266072</v>
      </c>
      <c r="DY81" s="15">
        <f>IFERROR((J81-$F81)/$F81*100,"")</f>
        <v>-1.4136309047237827</v>
      </c>
      <c r="DZ81" s="15">
        <f>IFERROR((K81-$F81)/$F81*100,"")</f>
        <v>-0.4812183079797156</v>
      </c>
      <c r="EA81" s="15">
        <f>IFERROR((L81-$F81)/$F81*100,"")</f>
        <v>-2.5020016012806456E-2</v>
      </c>
      <c r="EB81" s="15">
        <f>IFERROR((M81-$F81)/$F81*100,"")</f>
        <v>-0.39302275153454957</v>
      </c>
      <c r="EC81" s="15">
        <f>IFERROR((N81-$F81)/$F81*100,"")</f>
        <v>9.9454563650929848E-2</v>
      </c>
      <c r="ED81" s="15">
        <f>IFERROR((O81-$F81)/$F81*100,"")</f>
        <v>-1.3164698425406871</v>
      </c>
      <c r="EE81" s="15">
        <f>IFERROR((P81-$F81)/$F81*100,"")</f>
        <v>0.23310314918602157</v>
      </c>
      <c r="EF81" s="15">
        <f>IFERROR((Q81-$F81)/$F81*100,"")</f>
        <v>1.2762293167867635</v>
      </c>
      <c r="EG81" s="15" t="str">
        <f>IF(DV81="","",IF(AND(ABS(DV81)&lt;=0.25,$E81="Bottom",DK81="LL"),"EQL",IF(AND(ABS(DV81)&lt;=0.25,$E81="Peak",DK81="HH"),"EQH","")))</f>
        <v/>
      </c>
      <c r="EH81" s="15" t="str">
        <f>IF(DW81="","",IF(AND(ABS(DW81)&lt;=0.25,$E81="Bottom",DL81="LL"),"EQL",IF(AND(ABS(DW81)&lt;=0.25,$E81="Peak",DL81="HH"),"EQH","")))</f>
        <v/>
      </c>
      <c r="EI81" s="15" t="str">
        <f>IF(DX81="","",IF(AND(ABS(DX81)&lt;=0.25,$E81="Bottom",DM81="LL"),"EQL",IF(AND(ABS(DX81)&lt;=0.25,$E81="Peak",DM81="HH"),"EQH","")))</f>
        <v/>
      </c>
      <c r="EJ81" s="15" t="str">
        <f>IF(DY81="","",IF(AND(ABS(DY81)&lt;=0.25,$E81="Bottom",DN81="LL"),"EQL",IF(AND(ABS(DY81)&lt;=0.25,$E81="Peak",DN81="HH"),"EQH","")))</f>
        <v/>
      </c>
      <c r="EK81" s="15" t="str">
        <f>IF(DZ81="","",IF(AND(ABS(DZ81)&lt;=0.25,$E81="Bottom",DO81="LL"),"EQL",IF(AND(ABS(DZ81)&lt;=0.25,$E81="Peak",DO81="HH"),"EQH","")))</f>
        <v/>
      </c>
      <c r="EL81" s="15" t="str">
        <f>IF(EA81="","",IF(AND(ABS(EA81)&lt;=0.25,$E81="Bottom",DP81="LL"),"EQL",IF(AND(ABS(EA81)&lt;=0.25,$E81="Peak",DP81="HH"),"EQH","")))</f>
        <v>EQH</v>
      </c>
      <c r="EM81" s="15" t="str">
        <f>IF(EB81="","",IF(AND(ABS(EB81)&lt;=0.25,$E81="Bottom",DQ81="LL"),"EQL",IF(AND(ABS(EB81)&lt;=0.25,$E81="Peak",DQ81="HH"),"EQH","")))</f>
        <v/>
      </c>
      <c r="EN81" s="15" t="str">
        <f>IF(EC81="","",IF(AND(ABS(EC81)&lt;=0.25,$E81="Bottom",DR81="LL"),"EQL",IF(AND(ABS(EC81)&lt;=0.25,$E81="Peak",DR81="HH"),"EQH","")))</f>
        <v>EQH</v>
      </c>
      <c r="EO81" s="15" t="str">
        <f>IF(ED81="","",IF(AND(ABS(ED81)&lt;=0.25,$E81="Bottom",DS81="LL"),"EQL",IF(AND(ABS(ED81)&lt;=0.25,$E81="Peak",DS81="HH"),"EQH","")))</f>
        <v/>
      </c>
      <c r="EP81" s="15" t="str">
        <f>IF(EE81="","",IF(AND(ABS(EE81)&lt;=0.25,$E81="Bottom",DT81="LL"),"EQL",IF(AND(ABS(EE81)&lt;=0.25,$E81="Peak",DT81="HH"),"EQH","")))</f>
        <v/>
      </c>
      <c r="EQ81" s="15" t="str">
        <f>IF(EF81="","",IF(AND(ABS(EF81)&lt;=0.25,$E81="Bottom",DU81="LL"),"EQL",IF(AND(ABS(EF81)&lt;=0.25,$E81="Peak",DU81="HH"),"EQH","")))</f>
        <v/>
      </c>
      <c r="ER81" s="15" t="str">
        <f>IF(OR(EG81="EQL",EG81="EQH"),F81,"")</f>
        <v/>
      </c>
      <c r="ES81" s="15" t="str">
        <f>IF(OR(EH81="EQL",EH81="EQH"),G81,"")</f>
        <v/>
      </c>
      <c r="ET81" s="15" t="str">
        <f>IF(OR(EI81="EQL",EI81="EQH"),H81,"")</f>
        <v/>
      </c>
      <c r="EU81" s="15" t="str">
        <f>IF(OR(EJ81="EQL",EJ81="EQH"),I81,"")</f>
        <v/>
      </c>
      <c r="EV81" s="15" t="str">
        <f>IF(OR(EK81="EQL",EK81="EQH"),J81,"")</f>
        <v/>
      </c>
      <c r="EW81" s="15">
        <f>IF(OR(EL81="EQL",EL81="EQH"),K81,"")</f>
        <v>4773.08</v>
      </c>
      <c r="EX81" s="15" t="str">
        <f>IF(OR(EM81="EQL",EM81="EQH"),L81,"")</f>
        <v/>
      </c>
      <c r="EY81" s="15">
        <f>IF(OR(EN81="EQL",EN81="EQH"),M81,"")</f>
        <v>4777.3100000000004</v>
      </c>
      <c r="EZ81" s="15" t="str">
        <f>IF(OR(EO81="EQL",EO81="EQH"),N81,"")</f>
        <v/>
      </c>
      <c r="FA81" s="15" t="str">
        <f>IF(OR(EP81="EQL",EP81="EQH"),O81,"")</f>
        <v/>
      </c>
      <c r="FB81" s="15" t="str">
        <f>IF(OR(EQ81="EQL",EQ81="EQH"),P81,"")</f>
        <v/>
      </c>
      <c r="FC81" s="15" t="str">
        <f>IF(AND(EG81="EQL",OR(AQ81=4,AQ81=5)),"IEQL",IF(AND(EG81="EQH",OR(AQ81=1,AQ81=2)),"IEQH",""))</f>
        <v/>
      </c>
      <c r="FD81" s="15" t="str">
        <f>IF(AND(EH81="EQL",OR(AR81=4,AR81=5)),"IEQL",IF(AND(EH81="EQH",OR(AR81=1,AR81=2)),"IEQH",""))</f>
        <v/>
      </c>
      <c r="FE81" s="15" t="str">
        <f>IF(AND(EI81="EQL",OR(AS81=4,AS81=5)),"IEQL",IF(AND(EI81="EQH",OR(AS81=1,AS81=2)),"IEQH",""))</f>
        <v/>
      </c>
      <c r="FF81" s="15" t="str">
        <f>IF(AND(EJ81="EQL",OR(AT81=4,AT81=5)),"IEQL",IF(AND(EJ81="EQH",OR(AT81=1,AT81=2)),"IEQH",""))</f>
        <v/>
      </c>
      <c r="FG81" s="15" t="str">
        <f>IF(AND(EK81="EQL",OR(AU81=4,AU81=5)),"IEQL",IF(AND(EK81="EQH",OR(AU81=1,AU81=2)),"IEQH",""))</f>
        <v/>
      </c>
      <c r="FH81" s="15" t="str">
        <f>IF(AND(EL81="EQL",OR(AV81=4,AV81=5)),"IEQL",IF(AND(EL81="EQH",OR(AV81=1,AV81=2)),"IEQH",""))</f>
        <v/>
      </c>
      <c r="FI81" s="15" t="str">
        <f>IF(AND(EM81="EQL",OR(AW81=4,AW81=5)),"IEQL",IF(AND(EM81="EQH",OR(AW81=1,AW81=2)),"IEQH",""))</f>
        <v/>
      </c>
      <c r="FJ81" s="15" t="str">
        <f>IF(AND(EN81="EQL",OR(AX81=4,AX81=5)),"IEQL",IF(AND(EN81="EQH",OR(AX81=1,AX81=2)),"IEQH",""))</f>
        <v/>
      </c>
      <c r="FK81" s="15" t="str">
        <f>IF(AND(EO81="EQL",OR(AY81=4,AY81=5)),"IEQL",IF(AND(EO81="EQH",OR(AY81=1,AY81=2)),"IEQH",""))</f>
        <v/>
      </c>
      <c r="FL81" s="15" t="str">
        <f>IF(AND(EP81="EQL",OR(AZ81=4,AZ81=5)),"IEQL",IF(AND(EP81="EQH",OR(AZ81=1,AZ81=2)),"IEQH",""))</f>
        <v/>
      </c>
      <c r="FM81" s="15" t="str">
        <f>IF(AND(EQ81="EQL",OR(BA81=4,BA81=5)),"IEQL",IF(AND(EQ81="EQH",OR(BA81=1,BA81=2)),"IEQH",""))</f>
        <v/>
      </c>
      <c r="FN81" s="15" t="str">
        <f>IF(OR(AND(DJ81="LL",AP81=5),AND(DJ81="HH",AP81=2)),F81,"")</f>
        <v/>
      </c>
      <c r="FO81" s="15" t="str">
        <f>IF(FN81&lt;&gt;"",F80,"")</f>
        <v/>
      </c>
    </row>
    <row r="82" spans="1:171" s="15" customFormat="1" x14ac:dyDescent="0.55000000000000004">
      <c r="A82" s="15">
        <v>1776162606</v>
      </c>
      <c r="B82" s="15" t="s">
        <v>16</v>
      </c>
      <c r="C82" s="15" t="s">
        <v>17</v>
      </c>
      <c r="D82" s="15">
        <v>4767.71</v>
      </c>
      <c r="E82" s="15" t="s">
        <v>18</v>
      </c>
      <c r="F82" s="15">
        <v>4752.6000000000004</v>
      </c>
      <c r="G82" s="15">
        <f t="shared" si="220"/>
        <v>4757.92</v>
      </c>
      <c r="H82" s="15">
        <f t="shared" si="230"/>
        <v>4700.51</v>
      </c>
      <c r="I82" s="15">
        <f t="shared" si="240"/>
        <v>4703.7700000000004</v>
      </c>
      <c r="J82" s="15">
        <f t="shared" si="250"/>
        <v>4708.62</v>
      </c>
      <c r="K82" s="15">
        <f t="shared" si="260"/>
        <v>4638.7</v>
      </c>
      <c r="L82" s="15">
        <f t="shared" si="270"/>
        <v>4747.5</v>
      </c>
      <c r="M82" s="15">
        <f t="shared" si="280"/>
        <v>4730.8100000000004</v>
      </c>
      <c r="N82" s="15">
        <f t="shared" ref="N82:N113" si="290">F66</f>
        <v>4750.74</v>
      </c>
      <c r="O82" s="15">
        <f t="shared" si="190"/>
        <v>4703.46</v>
      </c>
      <c r="P82" s="15">
        <f t="shared" si="200"/>
        <v>4698.51</v>
      </c>
      <c r="Q82" s="15">
        <f t="shared" si="210"/>
        <v>4771.22</v>
      </c>
      <c r="R82" s="15">
        <v>-43.56</v>
      </c>
      <c r="S82" s="15">
        <f t="shared" si="221"/>
        <v>-19.32</v>
      </c>
      <c r="T82" s="15">
        <f t="shared" si="231"/>
        <v>-44.08</v>
      </c>
      <c r="U82" s="15">
        <f t="shared" si="241"/>
        <v>-36.24</v>
      </c>
      <c r="V82" s="15">
        <f t="shared" si="251"/>
        <v>-19.739999999999998</v>
      </c>
      <c r="W82" s="15">
        <f t="shared" si="261"/>
        <v>-134.38</v>
      </c>
      <c r="X82" s="15">
        <f t="shared" si="271"/>
        <v>-47.46</v>
      </c>
      <c r="Y82" s="15">
        <f t="shared" si="281"/>
        <v>-46.5</v>
      </c>
      <c r="Z82" s="15">
        <f t="shared" ref="Z82:Z113" si="291">R66</f>
        <v>-50.19</v>
      </c>
      <c r="AA82" s="15">
        <f t="shared" si="191"/>
        <v>-29.56</v>
      </c>
      <c r="AB82" s="15">
        <f t="shared" si="201"/>
        <v>-108.83</v>
      </c>
      <c r="AC82" s="15">
        <f t="shared" si="211"/>
        <v>-86.15</v>
      </c>
      <c r="AD82" s="15">
        <v>-0.91</v>
      </c>
      <c r="AE82" s="15">
        <f t="shared" si="222"/>
        <v>-0.4</v>
      </c>
      <c r="AF82" s="15">
        <f t="shared" si="232"/>
        <v>-0.93</v>
      </c>
      <c r="AG82" s="15">
        <f t="shared" si="242"/>
        <v>-0.76</v>
      </c>
      <c r="AH82" s="15">
        <f t="shared" si="252"/>
        <v>-0.42</v>
      </c>
      <c r="AI82" s="15">
        <f t="shared" si="262"/>
        <v>-2.82</v>
      </c>
      <c r="AJ82" s="15">
        <f t="shared" si="272"/>
        <v>-0.99</v>
      </c>
      <c r="AK82" s="15">
        <f t="shared" si="282"/>
        <v>-0.97</v>
      </c>
      <c r="AL82" s="15">
        <f t="shared" ref="AL82:AL113" si="292">AD66</f>
        <v>-1.05</v>
      </c>
      <c r="AM82" s="15">
        <f t="shared" si="192"/>
        <v>-0.62</v>
      </c>
      <c r="AN82" s="15">
        <f t="shared" si="202"/>
        <v>-2.2599999999999998</v>
      </c>
      <c r="AO82" s="15">
        <f t="shared" si="212"/>
        <v>-1.77</v>
      </c>
      <c r="AP82" s="15">
        <v>3</v>
      </c>
      <c r="AQ82" s="15">
        <f t="shared" si="223"/>
        <v>3</v>
      </c>
      <c r="AR82" s="15">
        <f t="shared" si="233"/>
        <v>3</v>
      </c>
      <c r="AS82" s="15">
        <f t="shared" si="243"/>
        <v>3</v>
      </c>
      <c r="AT82" s="15">
        <f t="shared" si="253"/>
        <v>3</v>
      </c>
      <c r="AU82" s="15">
        <f t="shared" si="263"/>
        <v>3</v>
      </c>
      <c r="AV82" s="15">
        <f t="shared" si="273"/>
        <v>3</v>
      </c>
      <c r="AW82" s="15">
        <f t="shared" si="283"/>
        <v>3</v>
      </c>
      <c r="AX82" s="15">
        <f t="shared" ref="AX82:AX113" si="293">AP66</f>
        <v>3</v>
      </c>
      <c r="AY82" s="15">
        <f t="shared" si="193"/>
        <v>3</v>
      </c>
      <c r="AZ82" s="15">
        <f t="shared" si="203"/>
        <v>3</v>
      </c>
      <c r="BA82" s="15">
        <f t="shared" si="213"/>
        <v>3</v>
      </c>
      <c r="BB82" s="15">
        <v>14</v>
      </c>
      <c r="BC82" s="15">
        <f t="shared" si="224"/>
        <v>11</v>
      </c>
      <c r="BD82" s="15">
        <f t="shared" si="234"/>
        <v>5</v>
      </c>
      <c r="BE82" s="15">
        <f t="shared" si="244"/>
        <v>16</v>
      </c>
      <c r="BF82" s="15">
        <f t="shared" si="254"/>
        <v>9</v>
      </c>
      <c r="BG82" s="15">
        <f t="shared" si="264"/>
        <v>10</v>
      </c>
      <c r="BH82" s="15">
        <f t="shared" si="274"/>
        <v>6</v>
      </c>
      <c r="BI82" s="15">
        <f t="shared" si="284"/>
        <v>29</v>
      </c>
      <c r="BJ82" s="15">
        <f t="shared" ref="BJ82:BJ113" si="294">BB66</f>
        <v>22</v>
      </c>
      <c r="BK82" s="15">
        <f t="shared" si="194"/>
        <v>16</v>
      </c>
      <c r="BL82" s="15">
        <f t="shared" si="204"/>
        <v>44</v>
      </c>
      <c r="BM82" s="15">
        <f t="shared" si="214"/>
        <v>41</v>
      </c>
      <c r="BN82" s="15">
        <v>3</v>
      </c>
      <c r="BO82" s="15">
        <f t="shared" si="225"/>
        <v>3</v>
      </c>
      <c r="BP82" s="15">
        <f t="shared" si="235"/>
        <v>3</v>
      </c>
      <c r="BQ82" s="15">
        <f t="shared" si="245"/>
        <v>3</v>
      </c>
      <c r="BR82" s="15">
        <f t="shared" si="255"/>
        <v>3</v>
      </c>
      <c r="BS82" s="15">
        <f t="shared" si="265"/>
        <v>3</v>
      </c>
      <c r="BT82" s="15">
        <f t="shared" si="275"/>
        <v>3</v>
      </c>
      <c r="BU82" s="15">
        <f t="shared" si="285"/>
        <v>3</v>
      </c>
      <c r="BV82" s="15">
        <f t="shared" ref="BV82:BV113" si="295">BN66</f>
        <v>3</v>
      </c>
      <c r="BW82" s="15">
        <f t="shared" si="195"/>
        <v>3</v>
      </c>
      <c r="BX82" s="15">
        <f t="shared" si="205"/>
        <v>4</v>
      </c>
      <c r="BY82" s="15">
        <f t="shared" si="215"/>
        <v>4</v>
      </c>
      <c r="BZ82" s="15">
        <v>-3.1114299999999999</v>
      </c>
      <c r="CA82" s="15">
        <f t="shared" si="226"/>
        <v>-1.7563599999999999</v>
      </c>
      <c r="CB82" s="15">
        <f t="shared" si="236"/>
        <v>-8.8160000000000007</v>
      </c>
      <c r="CC82" s="15">
        <f t="shared" si="246"/>
        <v>-2.2650000000000001</v>
      </c>
      <c r="CD82" s="15">
        <f t="shared" si="256"/>
        <v>-2.19333</v>
      </c>
      <c r="CE82" s="15">
        <f t="shared" si="266"/>
        <v>-13.438000000000001</v>
      </c>
      <c r="CF82" s="15">
        <f t="shared" si="276"/>
        <v>-7.91</v>
      </c>
      <c r="CG82" s="15">
        <f t="shared" si="286"/>
        <v>-1.60345</v>
      </c>
      <c r="CH82" s="15">
        <f t="shared" ref="CH82:CH113" si="296">BZ66</f>
        <v>-2.2813599999999998</v>
      </c>
      <c r="CI82" s="15">
        <f t="shared" si="196"/>
        <v>-1.8474999999999999</v>
      </c>
      <c r="CJ82" s="15">
        <f t="shared" si="206"/>
        <v>-2.4734099999999999</v>
      </c>
      <c r="CK82" s="15">
        <f t="shared" si="216"/>
        <v>-2.1012200000000001</v>
      </c>
      <c r="CL82" s="15">
        <v>3</v>
      </c>
      <c r="CM82" s="15">
        <f t="shared" si="227"/>
        <v>3</v>
      </c>
      <c r="CN82" s="15">
        <f t="shared" si="237"/>
        <v>3</v>
      </c>
      <c r="CO82" s="15">
        <f t="shared" si="247"/>
        <v>3</v>
      </c>
      <c r="CP82" s="15">
        <f t="shared" si="257"/>
        <v>3</v>
      </c>
      <c r="CQ82" s="15">
        <f t="shared" si="267"/>
        <v>3</v>
      </c>
      <c r="CR82" s="15">
        <f t="shared" si="277"/>
        <v>3</v>
      </c>
      <c r="CS82" s="15">
        <f t="shared" si="287"/>
        <v>3</v>
      </c>
      <c r="CT82" s="15">
        <f t="shared" ref="CT82:CT113" si="297">CL66</f>
        <v>3</v>
      </c>
      <c r="CU82" s="15">
        <f t="shared" si="197"/>
        <v>3</v>
      </c>
      <c r="CV82" s="15">
        <f t="shared" si="207"/>
        <v>3</v>
      </c>
      <c r="CW82" s="15">
        <f t="shared" si="217"/>
        <v>3</v>
      </c>
      <c r="CX82" s="15">
        <v>-72.1828</v>
      </c>
      <c r="CY82" s="15">
        <f t="shared" si="228"/>
        <v>-60.3446</v>
      </c>
      <c r="CZ82" s="15">
        <f t="shared" si="238"/>
        <v>-83.528599999999997</v>
      </c>
      <c r="DA82" s="15">
        <f t="shared" si="248"/>
        <v>-66.1785</v>
      </c>
      <c r="DB82" s="15">
        <f t="shared" si="258"/>
        <v>-65.490499999999997</v>
      </c>
      <c r="DC82" s="15">
        <f t="shared" si="268"/>
        <v>-85.744100000000003</v>
      </c>
      <c r="DD82" s="15">
        <f t="shared" si="278"/>
        <v>-82.794799999999995</v>
      </c>
      <c r="DE82" s="15">
        <f t="shared" si="288"/>
        <v>-58.05</v>
      </c>
      <c r="DF82" s="15">
        <f t="shared" ref="DF82:DF113" si="298">CX66</f>
        <v>-66.330500000000001</v>
      </c>
      <c r="DG82" s="15">
        <f t="shared" si="198"/>
        <v>-61.574599999999997</v>
      </c>
      <c r="DH82" s="15">
        <f t="shared" si="208"/>
        <v>-67.986500000000007</v>
      </c>
      <c r="DI82" s="15">
        <f t="shared" si="218"/>
        <v>-64.549599999999998</v>
      </c>
      <c r="DJ82" s="15" t="s">
        <v>19</v>
      </c>
      <c r="DK82" s="15" t="str">
        <f t="shared" si="229"/>
        <v>HL</v>
      </c>
      <c r="DL82" s="15" t="str">
        <f t="shared" si="239"/>
        <v>LL</v>
      </c>
      <c r="DM82" s="15" t="str">
        <f t="shared" si="249"/>
        <v>LL</v>
      </c>
      <c r="DN82" s="15" t="str">
        <f t="shared" si="259"/>
        <v>HL</v>
      </c>
      <c r="DO82" s="15" t="str">
        <f t="shared" si="269"/>
        <v>LL</v>
      </c>
      <c r="DP82" s="15" t="str">
        <f t="shared" si="279"/>
        <v>HL</v>
      </c>
      <c r="DQ82" s="15" t="str">
        <f t="shared" si="289"/>
        <v>LL</v>
      </c>
      <c r="DR82" s="15" t="str">
        <f t="shared" ref="DR82:DR113" si="299">DJ66</f>
        <v>HL</v>
      </c>
      <c r="DS82" s="15" t="str">
        <f t="shared" si="199"/>
        <v>HL</v>
      </c>
      <c r="DT82" s="15" t="str">
        <f t="shared" si="209"/>
        <v>LL</v>
      </c>
      <c r="DU82" s="15" t="str">
        <f t="shared" si="219"/>
        <v>HL</v>
      </c>
      <c r="DV82" s="15">
        <f>IFERROR((G82-$F82)/$F82*100,"")</f>
        <v>0.11193872827504332</v>
      </c>
      <c r="DW82" s="15">
        <f>IFERROR((H82-$F82)/$F82*100,"")</f>
        <v>-1.0960316458359665</v>
      </c>
      <c r="DX82" s="15">
        <f>IFERROR((I82-$F82)/$F82*100,"")</f>
        <v>-1.0274376130959879</v>
      </c>
      <c r="DY82" s="15">
        <f>IFERROR((J82-$F82)/$F82*100,"")</f>
        <v>-0.92538820855953519</v>
      </c>
      <c r="DZ82" s="15">
        <f>IFERROR((K82-$F82)/$F82*100,"")</f>
        <v>-2.3965829230316151</v>
      </c>
      <c r="EA82" s="15">
        <f>IFERROR((L82-$F82)/$F82*100,"")</f>
        <v>-0.10730968312082573</v>
      </c>
      <c r="EB82" s="15">
        <f>IFERROR((M82-$F82)/$F82*100,"")</f>
        <v>-0.45848588141227881</v>
      </c>
      <c r="EC82" s="15">
        <f>IFERROR((N82-$F82)/$F82*100,"")</f>
        <v>-3.913647266760472E-2</v>
      </c>
      <c r="ED82" s="15">
        <f>IFERROR((O82-$F82)/$F82*100,"")</f>
        <v>-1.033960358540595</v>
      </c>
      <c r="EE82" s="15">
        <f>IFERROR((P82-$F82)/$F82*100,"")</f>
        <v>-1.138113874510797</v>
      </c>
      <c r="EF82" s="15">
        <f>IFERROR((Q82-$F82)/$F82*100,"")</f>
        <v>0.39178554896267076</v>
      </c>
      <c r="EG82" s="15" t="str">
        <f>IF(DV82="","",IF(AND(ABS(DV82)&lt;=0.25,$E82="Bottom",DK82="LL"),"EQL",IF(AND(ABS(DV82)&lt;=0.25,$E82="Peak",DK82="HH"),"EQH","")))</f>
        <v/>
      </c>
      <c r="EH82" s="15" t="str">
        <f>IF(DW82="","",IF(AND(ABS(DW82)&lt;=0.25,$E82="Bottom",DL82="LL"),"EQL",IF(AND(ABS(DW82)&lt;=0.25,$E82="Peak",DL82="HH"),"EQH","")))</f>
        <v/>
      </c>
      <c r="EI82" s="15" t="str">
        <f>IF(DX82="","",IF(AND(ABS(DX82)&lt;=0.25,$E82="Bottom",DM82="LL"),"EQL",IF(AND(ABS(DX82)&lt;=0.25,$E82="Peak",DM82="HH"),"EQH","")))</f>
        <v/>
      </c>
      <c r="EJ82" s="15" t="str">
        <f>IF(DY82="","",IF(AND(ABS(DY82)&lt;=0.25,$E82="Bottom",DN82="LL"),"EQL",IF(AND(ABS(DY82)&lt;=0.25,$E82="Peak",DN82="HH"),"EQH","")))</f>
        <v/>
      </c>
      <c r="EK82" s="15" t="str">
        <f>IF(DZ82="","",IF(AND(ABS(DZ82)&lt;=0.25,$E82="Bottom",DO82="LL"),"EQL",IF(AND(ABS(DZ82)&lt;=0.25,$E82="Peak",DO82="HH"),"EQH","")))</f>
        <v/>
      </c>
      <c r="EL82" s="15" t="str">
        <f>IF(EA82="","",IF(AND(ABS(EA82)&lt;=0.25,$E82="Bottom",DP82="LL"),"EQL",IF(AND(ABS(EA82)&lt;=0.25,$E82="Peak",DP82="HH"),"EQH","")))</f>
        <v/>
      </c>
      <c r="EM82" s="15" t="str">
        <f>IF(EB82="","",IF(AND(ABS(EB82)&lt;=0.25,$E82="Bottom",DQ82="LL"),"EQL",IF(AND(ABS(EB82)&lt;=0.25,$E82="Peak",DQ82="HH"),"EQH","")))</f>
        <v/>
      </c>
      <c r="EN82" s="15" t="str">
        <f>IF(EC82="","",IF(AND(ABS(EC82)&lt;=0.25,$E82="Bottom",DR82="LL"),"EQL",IF(AND(ABS(EC82)&lt;=0.25,$E82="Peak",DR82="HH"),"EQH","")))</f>
        <v/>
      </c>
      <c r="EO82" s="15" t="str">
        <f>IF(ED82="","",IF(AND(ABS(ED82)&lt;=0.25,$E82="Bottom",DS82="LL"),"EQL",IF(AND(ABS(ED82)&lt;=0.25,$E82="Peak",DS82="HH"),"EQH","")))</f>
        <v/>
      </c>
      <c r="EP82" s="15" t="str">
        <f>IF(EE82="","",IF(AND(ABS(EE82)&lt;=0.25,$E82="Bottom",DT82="LL"),"EQL",IF(AND(ABS(EE82)&lt;=0.25,$E82="Peak",DT82="HH"),"EQH","")))</f>
        <v/>
      </c>
      <c r="EQ82" s="15" t="str">
        <f>IF(EF82="","",IF(AND(ABS(EF82)&lt;=0.25,$E82="Bottom",DU82="LL"),"EQL",IF(AND(ABS(EF82)&lt;=0.25,$E82="Peak",DU82="HH"),"EQH","")))</f>
        <v/>
      </c>
      <c r="ER82" s="15" t="str">
        <f>IF(OR(EG82="EQL",EG82="EQH"),F82,"")</f>
        <v/>
      </c>
      <c r="ES82" s="15" t="str">
        <f>IF(OR(EH82="EQL",EH82="EQH"),G82,"")</f>
        <v/>
      </c>
      <c r="ET82" s="15" t="str">
        <f>IF(OR(EI82="EQL",EI82="EQH"),H82,"")</f>
        <v/>
      </c>
      <c r="EU82" s="15" t="str">
        <f>IF(OR(EJ82="EQL",EJ82="EQH"),I82,"")</f>
        <v/>
      </c>
      <c r="EV82" s="15" t="str">
        <f>IF(OR(EK82="EQL",EK82="EQH"),J82,"")</f>
        <v/>
      </c>
      <c r="EW82" s="15" t="str">
        <f>IF(OR(EL82="EQL",EL82="EQH"),K82,"")</f>
        <v/>
      </c>
      <c r="EX82" s="15" t="str">
        <f>IF(OR(EM82="EQL",EM82="EQH"),L82,"")</f>
        <v/>
      </c>
      <c r="EY82" s="15" t="str">
        <f>IF(OR(EN82="EQL",EN82="EQH"),M82,"")</f>
        <v/>
      </c>
      <c r="EZ82" s="15" t="str">
        <f>IF(OR(EO82="EQL",EO82="EQH"),N82,"")</f>
        <v/>
      </c>
      <c r="FA82" s="15" t="str">
        <f>IF(OR(EP82="EQL",EP82="EQH"),O82,"")</f>
        <v/>
      </c>
      <c r="FB82" s="15" t="str">
        <f>IF(OR(EQ82="EQL",EQ82="EQH"),P82,"")</f>
        <v/>
      </c>
      <c r="FC82" s="15" t="str">
        <f>IF(AND(EG82="EQL",OR(AQ82=4,AQ82=5)),"IEQL",IF(AND(EG82="EQH",OR(AQ82=1,AQ82=2)),"IEQH",""))</f>
        <v/>
      </c>
      <c r="FD82" s="15" t="str">
        <f>IF(AND(EH82="EQL",OR(AR82=4,AR82=5)),"IEQL",IF(AND(EH82="EQH",OR(AR82=1,AR82=2)),"IEQH",""))</f>
        <v/>
      </c>
      <c r="FE82" s="15" t="str">
        <f>IF(AND(EI82="EQL",OR(AS82=4,AS82=5)),"IEQL",IF(AND(EI82="EQH",OR(AS82=1,AS82=2)),"IEQH",""))</f>
        <v/>
      </c>
      <c r="FF82" s="15" t="str">
        <f>IF(AND(EJ82="EQL",OR(AT82=4,AT82=5)),"IEQL",IF(AND(EJ82="EQH",OR(AT82=1,AT82=2)),"IEQH",""))</f>
        <v/>
      </c>
      <c r="FG82" s="15" t="str">
        <f>IF(AND(EK82="EQL",OR(AU82=4,AU82=5)),"IEQL",IF(AND(EK82="EQH",OR(AU82=1,AU82=2)),"IEQH",""))</f>
        <v/>
      </c>
      <c r="FH82" s="15" t="str">
        <f>IF(AND(EL82="EQL",OR(AV82=4,AV82=5)),"IEQL",IF(AND(EL82="EQH",OR(AV82=1,AV82=2)),"IEQH",""))</f>
        <v/>
      </c>
      <c r="FI82" s="15" t="str">
        <f>IF(AND(EM82="EQL",OR(AW82=4,AW82=5)),"IEQL",IF(AND(EM82="EQH",OR(AW82=1,AW82=2)),"IEQH",""))</f>
        <v/>
      </c>
      <c r="FJ82" s="15" t="str">
        <f>IF(AND(EN82="EQL",OR(AX82=4,AX82=5)),"IEQL",IF(AND(EN82="EQH",OR(AX82=1,AX82=2)),"IEQH",""))</f>
        <v/>
      </c>
      <c r="FK82" s="15" t="str">
        <f>IF(AND(EO82="EQL",OR(AY82=4,AY82=5)),"IEQL",IF(AND(EO82="EQH",OR(AY82=1,AY82=2)),"IEQH",""))</f>
        <v/>
      </c>
      <c r="FL82" s="15" t="str">
        <f>IF(AND(EP82="EQL",OR(AZ82=4,AZ82=5)),"IEQL",IF(AND(EP82="EQH",OR(AZ82=1,AZ82=2)),"IEQH",""))</f>
        <v/>
      </c>
      <c r="FM82" s="15" t="str">
        <f>IF(AND(EQ82="EQL",OR(BA82=4,BA82=5)),"IEQL",IF(AND(EQ82="EQH",OR(BA82=1,BA82=2)),"IEQH",""))</f>
        <v/>
      </c>
      <c r="FN82" s="15" t="str">
        <f>IF(OR(AND(DJ82="LL",AP82=5),AND(DJ82="HH",AP82=2)),F82,"")</f>
        <v/>
      </c>
      <c r="FO82" s="15" t="str">
        <f>IF(FN82&lt;&gt;"",F81,"")</f>
        <v/>
      </c>
    </row>
    <row r="83" spans="1:171" s="15" customFormat="1" x14ac:dyDescent="0.55000000000000004">
      <c r="A83" s="15">
        <v>1776204006</v>
      </c>
      <c r="B83" s="15" t="s">
        <v>16</v>
      </c>
      <c r="C83" s="15" t="s">
        <v>17</v>
      </c>
      <c r="D83" s="15">
        <v>4844.74</v>
      </c>
      <c r="E83" s="15" t="s">
        <v>20</v>
      </c>
      <c r="F83" s="15">
        <v>4850.7700000000004</v>
      </c>
      <c r="G83" s="15">
        <f t="shared" si="220"/>
        <v>4796.16</v>
      </c>
      <c r="H83" s="15">
        <f t="shared" si="230"/>
        <v>4777.24</v>
      </c>
      <c r="I83" s="15">
        <f t="shared" si="240"/>
        <v>4744.59</v>
      </c>
      <c r="J83" s="15">
        <f t="shared" si="250"/>
        <v>4740.01</v>
      </c>
      <c r="K83" s="15">
        <f t="shared" si="260"/>
        <v>4728.3599999999997</v>
      </c>
      <c r="L83" s="15">
        <f t="shared" si="270"/>
        <v>4773.08</v>
      </c>
      <c r="M83" s="15">
        <f t="shared" si="280"/>
        <v>4794.96</v>
      </c>
      <c r="N83" s="15">
        <f t="shared" si="290"/>
        <v>4777.3100000000004</v>
      </c>
      <c r="O83" s="15">
        <f t="shared" si="190"/>
        <v>4800.93</v>
      </c>
      <c r="P83" s="15">
        <f t="shared" si="200"/>
        <v>4733.0200000000004</v>
      </c>
      <c r="Q83" s="15">
        <f t="shared" si="210"/>
        <v>4807.34</v>
      </c>
      <c r="R83" s="15">
        <v>98.17</v>
      </c>
      <c r="S83" s="15">
        <f t="shared" si="221"/>
        <v>38.24</v>
      </c>
      <c r="T83" s="15">
        <f t="shared" si="231"/>
        <v>76.73</v>
      </c>
      <c r="U83" s="15">
        <f t="shared" si="241"/>
        <v>40.82</v>
      </c>
      <c r="V83" s="15">
        <f t="shared" si="251"/>
        <v>31.39</v>
      </c>
      <c r="W83" s="15">
        <f t="shared" si="261"/>
        <v>89.66</v>
      </c>
      <c r="X83" s="15">
        <f t="shared" si="271"/>
        <v>25.58</v>
      </c>
      <c r="Y83" s="15">
        <f t="shared" si="281"/>
        <v>64.150000000000006</v>
      </c>
      <c r="Z83" s="15">
        <f t="shared" si="291"/>
        <v>26.57</v>
      </c>
      <c r="AA83" s="15">
        <f t="shared" si="191"/>
        <v>97.47</v>
      </c>
      <c r="AB83" s="15">
        <f t="shared" si="201"/>
        <v>34.51</v>
      </c>
      <c r="AC83" s="15">
        <f t="shared" si="211"/>
        <v>36.119999999999997</v>
      </c>
      <c r="AD83" s="15">
        <v>2.0699999999999998</v>
      </c>
      <c r="AE83" s="15">
        <f t="shared" si="222"/>
        <v>0.8</v>
      </c>
      <c r="AF83" s="15">
        <f t="shared" si="232"/>
        <v>1.63</v>
      </c>
      <c r="AG83" s="15">
        <f t="shared" si="242"/>
        <v>0.87</v>
      </c>
      <c r="AH83" s="15">
        <f t="shared" si="252"/>
        <v>0.67</v>
      </c>
      <c r="AI83" s="15">
        <f t="shared" si="262"/>
        <v>1.93</v>
      </c>
      <c r="AJ83" s="15">
        <f t="shared" si="272"/>
        <v>0.54</v>
      </c>
      <c r="AK83" s="15">
        <f t="shared" si="282"/>
        <v>1.36</v>
      </c>
      <c r="AL83" s="15">
        <f t="shared" si="292"/>
        <v>0.56000000000000005</v>
      </c>
      <c r="AM83" s="15">
        <f t="shared" si="192"/>
        <v>2.0699999999999998</v>
      </c>
      <c r="AN83" s="15">
        <f t="shared" si="202"/>
        <v>0.73</v>
      </c>
      <c r="AO83" s="15">
        <f t="shared" si="212"/>
        <v>0.76</v>
      </c>
      <c r="AP83" s="15">
        <v>0</v>
      </c>
      <c r="AQ83" s="15">
        <f t="shared" si="223"/>
        <v>0</v>
      </c>
      <c r="AR83" s="15">
        <f t="shared" si="233"/>
        <v>0</v>
      </c>
      <c r="AS83" s="15">
        <f t="shared" si="243"/>
        <v>0</v>
      </c>
      <c r="AT83" s="15">
        <f t="shared" si="253"/>
        <v>0</v>
      </c>
      <c r="AU83" s="15">
        <f t="shared" si="263"/>
        <v>0</v>
      </c>
      <c r="AV83" s="15">
        <f t="shared" si="273"/>
        <v>0</v>
      </c>
      <c r="AW83" s="15">
        <f t="shared" si="283"/>
        <v>0</v>
      </c>
      <c r="AX83" s="15">
        <f t="shared" si="293"/>
        <v>0</v>
      </c>
      <c r="AY83" s="15">
        <f t="shared" si="193"/>
        <v>0</v>
      </c>
      <c r="AZ83" s="15">
        <f t="shared" si="203"/>
        <v>0</v>
      </c>
      <c r="BA83" s="15">
        <f t="shared" si="213"/>
        <v>0</v>
      </c>
      <c r="BB83" s="15">
        <v>42</v>
      </c>
      <c r="BC83" s="15">
        <f t="shared" si="224"/>
        <v>6</v>
      </c>
      <c r="BD83" s="15">
        <f t="shared" si="234"/>
        <v>43</v>
      </c>
      <c r="BE83" s="15">
        <f t="shared" si="244"/>
        <v>8</v>
      </c>
      <c r="BF83" s="15">
        <f t="shared" si="254"/>
        <v>15</v>
      </c>
      <c r="BG83" s="15">
        <f t="shared" si="264"/>
        <v>15</v>
      </c>
      <c r="BH83" s="15">
        <f t="shared" si="274"/>
        <v>10</v>
      </c>
      <c r="BI83" s="15">
        <f t="shared" si="284"/>
        <v>23</v>
      </c>
      <c r="BJ83" s="15">
        <f t="shared" si="294"/>
        <v>6</v>
      </c>
      <c r="BK83" s="15">
        <f t="shared" si="194"/>
        <v>43</v>
      </c>
      <c r="BL83" s="15">
        <f t="shared" si="204"/>
        <v>11</v>
      </c>
      <c r="BM83" s="15">
        <f t="shared" si="214"/>
        <v>7</v>
      </c>
      <c r="BN83" s="15">
        <v>1</v>
      </c>
      <c r="BO83" s="15">
        <f t="shared" si="225"/>
        <v>0</v>
      </c>
      <c r="BP83" s="15">
        <f t="shared" si="235"/>
        <v>1</v>
      </c>
      <c r="BQ83" s="15">
        <f t="shared" si="245"/>
        <v>0</v>
      </c>
      <c r="BR83" s="15">
        <f t="shared" si="255"/>
        <v>0</v>
      </c>
      <c r="BS83" s="15">
        <f t="shared" si="265"/>
        <v>0</v>
      </c>
      <c r="BT83" s="15">
        <f t="shared" si="275"/>
        <v>0</v>
      </c>
      <c r="BU83" s="15">
        <f t="shared" si="285"/>
        <v>0</v>
      </c>
      <c r="BV83" s="15">
        <f t="shared" si="295"/>
        <v>0</v>
      </c>
      <c r="BW83" s="15">
        <f t="shared" si="195"/>
        <v>1</v>
      </c>
      <c r="BX83" s="15">
        <f t="shared" si="205"/>
        <v>0</v>
      </c>
      <c r="BY83" s="15">
        <f t="shared" si="215"/>
        <v>0</v>
      </c>
      <c r="BZ83" s="15">
        <v>2.33738</v>
      </c>
      <c r="CA83" s="15">
        <f t="shared" si="226"/>
        <v>6.3733300000000002</v>
      </c>
      <c r="CB83" s="15">
        <f t="shared" si="236"/>
        <v>1.7844199999999999</v>
      </c>
      <c r="CC83" s="15">
        <f t="shared" si="246"/>
        <v>5.1025</v>
      </c>
      <c r="CD83" s="15">
        <f t="shared" si="256"/>
        <v>2.09267</v>
      </c>
      <c r="CE83" s="15">
        <f t="shared" si="266"/>
        <v>5.9773300000000003</v>
      </c>
      <c r="CF83" s="15">
        <f t="shared" si="276"/>
        <v>2.5579999999999998</v>
      </c>
      <c r="CG83" s="15">
        <f t="shared" si="286"/>
        <v>2.7891300000000001</v>
      </c>
      <c r="CH83" s="15">
        <f t="shared" si="296"/>
        <v>4.4283299999999999</v>
      </c>
      <c r="CI83" s="15">
        <f t="shared" si="196"/>
        <v>2.26674</v>
      </c>
      <c r="CJ83" s="15">
        <f t="shared" si="206"/>
        <v>3.13727</v>
      </c>
      <c r="CK83" s="15">
        <f t="shared" si="216"/>
        <v>5.16</v>
      </c>
      <c r="CL83" s="15">
        <v>0</v>
      </c>
      <c r="CM83" s="15">
        <f t="shared" si="227"/>
        <v>0</v>
      </c>
      <c r="CN83" s="15">
        <f t="shared" si="237"/>
        <v>0</v>
      </c>
      <c r="CO83" s="15">
        <f t="shared" si="247"/>
        <v>0</v>
      </c>
      <c r="CP83" s="15">
        <f t="shared" si="257"/>
        <v>0</v>
      </c>
      <c r="CQ83" s="15">
        <f t="shared" si="267"/>
        <v>0</v>
      </c>
      <c r="CR83" s="15">
        <f t="shared" si="277"/>
        <v>0</v>
      </c>
      <c r="CS83" s="15">
        <f t="shared" si="287"/>
        <v>0</v>
      </c>
      <c r="CT83" s="15">
        <f t="shared" si="297"/>
        <v>0</v>
      </c>
      <c r="CU83" s="15">
        <f t="shared" si="197"/>
        <v>0</v>
      </c>
      <c r="CV83" s="15">
        <f t="shared" si="207"/>
        <v>0</v>
      </c>
      <c r="CW83" s="15">
        <f t="shared" si="217"/>
        <v>0</v>
      </c>
      <c r="CX83" s="15">
        <v>66.837299999999999</v>
      </c>
      <c r="CY83" s="15">
        <f t="shared" si="228"/>
        <v>81.082800000000006</v>
      </c>
      <c r="CZ83" s="15">
        <f t="shared" si="238"/>
        <v>60.733400000000003</v>
      </c>
      <c r="DA83" s="15">
        <f t="shared" si="248"/>
        <v>78.911600000000007</v>
      </c>
      <c r="DB83" s="15">
        <f t="shared" si="258"/>
        <v>64.458799999999997</v>
      </c>
      <c r="DC83" s="15">
        <f t="shared" si="268"/>
        <v>80.502399999999994</v>
      </c>
      <c r="DD83" s="15">
        <f t="shared" si="278"/>
        <v>68.647999999999996</v>
      </c>
      <c r="DE83" s="15">
        <f t="shared" si="288"/>
        <v>70.275499999999994</v>
      </c>
      <c r="DF83" s="15">
        <f t="shared" si="298"/>
        <v>77.275000000000006</v>
      </c>
      <c r="DG83" s="15">
        <f t="shared" si="198"/>
        <v>66.194800000000001</v>
      </c>
      <c r="DH83" s="15">
        <f t="shared" si="208"/>
        <v>72.320400000000006</v>
      </c>
      <c r="DI83" s="15">
        <f t="shared" si="218"/>
        <v>79.0321</v>
      </c>
      <c r="DJ83" s="15" t="s">
        <v>23</v>
      </c>
      <c r="DK83" s="15" t="str">
        <f t="shared" si="229"/>
        <v>HH</v>
      </c>
      <c r="DL83" s="15" t="str">
        <f t="shared" si="239"/>
        <v>HH</v>
      </c>
      <c r="DM83" s="15" t="str">
        <f t="shared" si="249"/>
        <v>HH</v>
      </c>
      <c r="DN83" s="15" t="str">
        <f t="shared" si="259"/>
        <v>HH</v>
      </c>
      <c r="DO83" s="15" t="str">
        <f t="shared" si="269"/>
        <v>LH</v>
      </c>
      <c r="DP83" s="15" t="str">
        <f t="shared" si="279"/>
        <v>LH</v>
      </c>
      <c r="DQ83" s="15" t="str">
        <f t="shared" si="289"/>
        <v>HH</v>
      </c>
      <c r="DR83" s="15" t="str">
        <f t="shared" si="299"/>
        <v>LH</v>
      </c>
      <c r="DS83" s="15" t="str">
        <f t="shared" si="199"/>
        <v>HH</v>
      </c>
      <c r="DT83" s="15" t="str">
        <f t="shared" si="209"/>
        <v>LH</v>
      </c>
      <c r="DU83" s="15" t="str">
        <f t="shared" si="219"/>
        <v>LH</v>
      </c>
      <c r="DV83" s="15">
        <f>IFERROR((G83-$F83)/$F83*100,"")</f>
        <v>-1.1258006460830048</v>
      </c>
      <c r="DW83" s="15">
        <f>IFERROR((H83-$F83)/$F83*100,"")</f>
        <v>-1.5158418148046733</v>
      </c>
      <c r="DX83" s="15">
        <f>IFERROR((I83-$F83)/$F83*100,"")</f>
        <v>-2.1889308295384087</v>
      </c>
      <c r="DY83" s="15">
        <f>IFERROR((J83-$F83)/$F83*100,"")</f>
        <v>-2.2833488291549631</v>
      </c>
      <c r="DZ83" s="15">
        <f>IFERROR((K83-$F83)/$F83*100,"")</f>
        <v>-2.5235168849481782</v>
      </c>
      <c r="EA83" s="15">
        <f>IFERROR((L83-$F83)/$F83*100,"")</f>
        <v>-1.6016013952424153</v>
      </c>
      <c r="EB83" s="15">
        <f>IFERROR((M83-$F83)/$F83*100,"")</f>
        <v>-1.1505389865938891</v>
      </c>
      <c r="EC83" s="15">
        <f>IFERROR((N83-$F83)/$F83*100,"")</f>
        <v>-1.5143987449415255</v>
      </c>
      <c r="ED83" s="15">
        <f>IFERROR((O83-$F83)/$F83*100,"")</f>
        <v>-1.0274657425522162</v>
      </c>
      <c r="EE83" s="15">
        <f>IFERROR((P83-$F83)/$F83*100,"")</f>
        <v>-2.427449662630881</v>
      </c>
      <c r="EF83" s="15">
        <f>IFERROR((Q83-$F83)/$F83*100,"")</f>
        <v>-0.89532177365655941</v>
      </c>
      <c r="EG83" s="15" t="str">
        <f>IF(DV83="","",IF(AND(ABS(DV83)&lt;=0.25,$E83="Bottom",DK83="LL"),"EQL",IF(AND(ABS(DV83)&lt;=0.25,$E83="Peak",DK83="HH"),"EQH","")))</f>
        <v/>
      </c>
      <c r="EH83" s="15" t="str">
        <f>IF(DW83="","",IF(AND(ABS(DW83)&lt;=0.25,$E83="Bottom",DL83="LL"),"EQL",IF(AND(ABS(DW83)&lt;=0.25,$E83="Peak",DL83="HH"),"EQH","")))</f>
        <v/>
      </c>
      <c r="EI83" s="15" t="str">
        <f>IF(DX83="","",IF(AND(ABS(DX83)&lt;=0.25,$E83="Bottom",DM83="LL"),"EQL",IF(AND(ABS(DX83)&lt;=0.25,$E83="Peak",DM83="HH"),"EQH","")))</f>
        <v/>
      </c>
      <c r="EJ83" s="15" t="str">
        <f>IF(DY83="","",IF(AND(ABS(DY83)&lt;=0.25,$E83="Bottom",DN83="LL"),"EQL",IF(AND(ABS(DY83)&lt;=0.25,$E83="Peak",DN83="HH"),"EQH","")))</f>
        <v/>
      </c>
      <c r="EK83" s="15" t="str">
        <f>IF(DZ83="","",IF(AND(ABS(DZ83)&lt;=0.25,$E83="Bottom",DO83="LL"),"EQL",IF(AND(ABS(DZ83)&lt;=0.25,$E83="Peak",DO83="HH"),"EQH","")))</f>
        <v/>
      </c>
      <c r="EL83" s="15" t="str">
        <f>IF(EA83="","",IF(AND(ABS(EA83)&lt;=0.25,$E83="Bottom",DP83="LL"),"EQL",IF(AND(ABS(EA83)&lt;=0.25,$E83="Peak",DP83="HH"),"EQH","")))</f>
        <v/>
      </c>
      <c r="EM83" s="15" t="str">
        <f>IF(EB83="","",IF(AND(ABS(EB83)&lt;=0.25,$E83="Bottom",DQ83="LL"),"EQL",IF(AND(ABS(EB83)&lt;=0.25,$E83="Peak",DQ83="HH"),"EQH","")))</f>
        <v/>
      </c>
      <c r="EN83" s="15" t="str">
        <f>IF(EC83="","",IF(AND(ABS(EC83)&lt;=0.25,$E83="Bottom",DR83="LL"),"EQL",IF(AND(ABS(EC83)&lt;=0.25,$E83="Peak",DR83="HH"),"EQH","")))</f>
        <v/>
      </c>
      <c r="EO83" s="15" t="str">
        <f>IF(ED83="","",IF(AND(ABS(ED83)&lt;=0.25,$E83="Bottom",DS83="LL"),"EQL",IF(AND(ABS(ED83)&lt;=0.25,$E83="Peak",DS83="HH"),"EQH","")))</f>
        <v/>
      </c>
      <c r="EP83" s="15" t="str">
        <f>IF(EE83="","",IF(AND(ABS(EE83)&lt;=0.25,$E83="Bottom",DT83="LL"),"EQL",IF(AND(ABS(EE83)&lt;=0.25,$E83="Peak",DT83="HH"),"EQH","")))</f>
        <v/>
      </c>
      <c r="EQ83" s="15" t="str">
        <f>IF(EF83="","",IF(AND(ABS(EF83)&lt;=0.25,$E83="Bottom",DU83="LL"),"EQL",IF(AND(ABS(EF83)&lt;=0.25,$E83="Peak",DU83="HH"),"EQH","")))</f>
        <v/>
      </c>
      <c r="ER83" s="15" t="str">
        <f>IF(OR(EG83="EQL",EG83="EQH"),F83,"")</f>
        <v/>
      </c>
      <c r="ES83" s="15" t="str">
        <f>IF(OR(EH83="EQL",EH83="EQH"),G83,"")</f>
        <v/>
      </c>
      <c r="ET83" s="15" t="str">
        <f>IF(OR(EI83="EQL",EI83="EQH"),H83,"")</f>
        <v/>
      </c>
      <c r="EU83" s="15" t="str">
        <f>IF(OR(EJ83="EQL",EJ83="EQH"),I83,"")</f>
        <v/>
      </c>
      <c r="EV83" s="15" t="str">
        <f>IF(OR(EK83="EQL",EK83="EQH"),J83,"")</f>
        <v/>
      </c>
      <c r="EW83" s="15" t="str">
        <f>IF(OR(EL83="EQL",EL83="EQH"),K83,"")</f>
        <v/>
      </c>
      <c r="EX83" s="15" t="str">
        <f>IF(OR(EM83="EQL",EM83="EQH"),L83,"")</f>
        <v/>
      </c>
      <c r="EY83" s="15" t="str">
        <f>IF(OR(EN83="EQL",EN83="EQH"),M83,"")</f>
        <v/>
      </c>
      <c r="EZ83" s="15" t="str">
        <f>IF(OR(EO83="EQL",EO83="EQH"),N83,"")</f>
        <v/>
      </c>
      <c r="FA83" s="15" t="str">
        <f>IF(OR(EP83="EQL",EP83="EQH"),O83,"")</f>
        <v/>
      </c>
      <c r="FB83" s="15" t="str">
        <f>IF(OR(EQ83="EQL",EQ83="EQH"),P83,"")</f>
        <v/>
      </c>
      <c r="FC83" s="15" t="str">
        <f>IF(AND(EG83="EQL",OR(AQ83=4,AQ83=5)),"IEQL",IF(AND(EG83="EQH",OR(AQ83=1,AQ83=2)),"IEQH",""))</f>
        <v/>
      </c>
      <c r="FD83" s="15" t="str">
        <f>IF(AND(EH83="EQL",OR(AR83=4,AR83=5)),"IEQL",IF(AND(EH83="EQH",OR(AR83=1,AR83=2)),"IEQH",""))</f>
        <v/>
      </c>
      <c r="FE83" s="15" t="str">
        <f>IF(AND(EI83="EQL",OR(AS83=4,AS83=5)),"IEQL",IF(AND(EI83="EQH",OR(AS83=1,AS83=2)),"IEQH",""))</f>
        <v/>
      </c>
      <c r="FF83" s="15" t="str">
        <f>IF(AND(EJ83="EQL",OR(AT83=4,AT83=5)),"IEQL",IF(AND(EJ83="EQH",OR(AT83=1,AT83=2)),"IEQH",""))</f>
        <v/>
      </c>
      <c r="FG83" s="15" t="str">
        <f>IF(AND(EK83="EQL",OR(AU83=4,AU83=5)),"IEQL",IF(AND(EK83="EQH",OR(AU83=1,AU83=2)),"IEQH",""))</f>
        <v/>
      </c>
      <c r="FH83" s="15" t="str">
        <f>IF(AND(EL83="EQL",OR(AV83=4,AV83=5)),"IEQL",IF(AND(EL83="EQH",OR(AV83=1,AV83=2)),"IEQH",""))</f>
        <v/>
      </c>
      <c r="FI83" s="15" t="str">
        <f>IF(AND(EM83="EQL",OR(AW83=4,AW83=5)),"IEQL",IF(AND(EM83="EQH",OR(AW83=1,AW83=2)),"IEQH",""))</f>
        <v/>
      </c>
      <c r="FJ83" s="15" t="str">
        <f>IF(AND(EN83="EQL",OR(AX83=4,AX83=5)),"IEQL",IF(AND(EN83="EQH",OR(AX83=1,AX83=2)),"IEQH",""))</f>
        <v/>
      </c>
      <c r="FK83" s="15" t="str">
        <f>IF(AND(EO83="EQL",OR(AY83=4,AY83=5)),"IEQL",IF(AND(EO83="EQH",OR(AY83=1,AY83=2)),"IEQH",""))</f>
        <v/>
      </c>
      <c r="FL83" s="15" t="str">
        <f>IF(AND(EP83="EQL",OR(AZ83=4,AZ83=5)),"IEQL",IF(AND(EP83="EQH",OR(AZ83=1,AZ83=2)),"IEQH",""))</f>
        <v/>
      </c>
      <c r="FM83" s="15" t="str">
        <f>IF(AND(EQ83="EQL",OR(BA83=4,BA83=5)),"IEQL",IF(AND(EQ83="EQH",OR(BA83=1,BA83=2)),"IEQH",""))</f>
        <v/>
      </c>
      <c r="FN83" s="15" t="str">
        <f>IF(OR(AND(DJ83="LL",AP83=5),AND(DJ83="HH",AP83=2)),F83,"")</f>
        <v/>
      </c>
      <c r="FO83" s="15" t="str">
        <f>IF(FN83&lt;&gt;"",F82,"")</f>
        <v/>
      </c>
    </row>
    <row r="84" spans="1:171" s="15" customFormat="1" x14ac:dyDescent="0.55000000000000004">
      <c r="A84" s="15">
        <v>1776213006</v>
      </c>
      <c r="B84" s="15" t="s">
        <v>16</v>
      </c>
      <c r="C84" s="15" t="s">
        <v>17</v>
      </c>
      <c r="D84" s="15">
        <v>4830.1099999999997</v>
      </c>
      <c r="E84" s="15" t="s">
        <v>18</v>
      </c>
      <c r="F84" s="15">
        <v>4827.08</v>
      </c>
      <c r="G84" s="15">
        <f t="shared" si="220"/>
        <v>4752.6000000000004</v>
      </c>
      <c r="H84" s="15">
        <f t="shared" si="230"/>
        <v>4757.92</v>
      </c>
      <c r="I84" s="15">
        <f t="shared" si="240"/>
        <v>4700.51</v>
      </c>
      <c r="J84" s="15">
        <f t="shared" si="250"/>
        <v>4703.7700000000004</v>
      </c>
      <c r="K84" s="15">
        <f t="shared" si="260"/>
        <v>4708.62</v>
      </c>
      <c r="L84" s="15">
        <f t="shared" si="270"/>
        <v>4638.7</v>
      </c>
      <c r="M84" s="15">
        <f t="shared" si="280"/>
        <v>4747.5</v>
      </c>
      <c r="N84" s="15">
        <f t="shared" si="290"/>
        <v>4730.8100000000004</v>
      </c>
      <c r="O84" s="15">
        <f t="shared" ref="O84:O115" si="300">F66</f>
        <v>4750.74</v>
      </c>
      <c r="P84" s="15">
        <f t="shared" si="200"/>
        <v>4703.46</v>
      </c>
      <c r="Q84" s="15">
        <f t="shared" si="210"/>
        <v>4698.51</v>
      </c>
      <c r="R84" s="15">
        <v>-23.69</v>
      </c>
      <c r="S84" s="15">
        <f t="shared" si="221"/>
        <v>-43.56</v>
      </c>
      <c r="T84" s="15">
        <f t="shared" si="231"/>
        <v>-19.32</v>
      </c>
      <c r="U84" s="15">
        <f t="shared" si="241"/>
        <v>-44.08</v>
      </c>
      <c r="V84" s="15">
        <f t="shared" si="251"/>
        <v>-36.24</v>
      </c>
      <c r="W84" s="15">
        <f t="shared" si="261"/>
        <v>-19.739999999999998</v>
      </c>
      <c r="X84" s="15">
        <f t="shared" si="271"/>
        <v>-134.38</v>
      </c>
      <c r="Y84" s="15">
        <f t="shared" si="281"/>
        <v>-47.46</v>
      </c>
      <c r="Z84" s="15">
        <f t="shared" si="291"/>
        <v>-46.5</v>
      </c>
      <c r="AA84" s="15">
        <f t="shared" ref="AA84:AA115" si="301">R66</f>
        <v>-50.19</v>
      </c>
      <c r="AB84" s="15">
        <f t="shared" si="201"/>
        <v>-29.56</v>
      </c>
      <c r="AC84" s="15">
        <f t="shared" si="211"/>
        <v>-108.83</v>
      </c>
      <c r="AD84" s="15">
        <v>-0.49</v>
      </c>
      <c r="AE84" s="15">
        <f t="shared" si="222"/>
        <v>-0.91</v>
      </c>
      <c r="AF84" s="15">
        <f t="shared" si="232"/>
        <v>-0.4</v>
      </c>
      <c r="AG84" s="15">
        <f t="shared" si="242"/>
        <v>-0.93</v>
      </c>
      <c r="AH84" s="15">
        <f t="shared" si="252"/>
        <v>-0.76</v>
      </c>
      <c r="AI84" s="15">
        <f t="shared" si="262"/>
        <v>-0.42</v>
      </c>
      <c r="AJ84" s="15">
        <f t="shared" si="272"/>
        <v>-2.82</v>
      </c>
      <c r="AK84" s="15">
        <f t="shared" si="282"/>
        <v>-0.99</v>
      </c>
      <c r="AL84" s="15">
        <f t="shared" si="292"/>
        <v>-0.97</v>
      </c>
      <c r="AM84" s="15">
        <f t="shared" ref="AM84:AM115" si="302">AD66</f>
        <v>-1.05</v>
      </c>
      <c r="AN84" s="15">
        <f t="shared" si="202"/>
        <v>-0.62</v>
      </c>
      <c r="AO84" s="15">
        <f t="shared" si="212"/>
        <v>-2.2599999999999998</v>
      </c>
      <c r="AP84" s="15">
        <v>3</v>
      </c>
      <c r="AQ84" s="15">
        <f t="shared" si="223"/>
        <v>3</v>
      </c>
      <c r="AR84" s="15">
        <f t="shared" si="233"/>
        <v>3</v>
      </c>
      <c r="AS84" s="15">
        <f t="shared" si="243"/>
        <v>3</v>
      </c>
      <c r="AT84" s="15">
        <f t="shared" si="253"/>
        <v>3</v>
      </c>
      <c r="AU84" s="15">
        <f t="shared" si="263"/>
        <v>3</v>
      </c>
      <c r="AV84" s="15">
        <f t="shared" si="273"/>
        <v>3</v>
      </c>
      <c r="AW84" s="15">
        <f t="shared" si="283"/>
        <v>3</v>
      </c>
      <c r="AX84" s="15">
        <f t="shared" si="293"/>
        <v>3</v>
      </c>
      <c r="AY84" s="15">
        <f t="shared" ref="AY84:AY115" si="303">AP66</f>
        <v>3</v>
      </c>
      <c r="AZ84" s="15">
        <f t="shared" si="203"/>
        <v>3</v>
      </c>
      <c r="BA84" s="15">
        <f t="shared" si="213"/>
        <v>3</v>
      </c>
      <c r="BB84" s="15">
        <v>10</v>
      </c>
      <c r="BC84" s="15">
        <f t="shared" si="224"/>
        <v>14</v>
      </c>
      <c r="BD84" s="15">
        <f t="shared" si="234"/>
        <v>11</v>
      </c>
      <c r="BE84" s="15">
        <f t="shared" si="244"/>
        <v>5</v>
      </c>
      <c r="BF84" s="15">
        <f t="shared" si="254"/>
        <v>16</v>
      </c>
      <c r="BG84" s="15">
        <f t="shared" si="264"/>
        <v>9</v>
      </c>
      <c r="BH84" s="15">
        <f t="shared" si="274"/>
        <v>10</v>
      </c>
      <c r="BI84" s="15">
        <f t="shared" si="284"/>
        <v>6</v>
      </c>
      <c r="BJ84" s="15">
        <f t="shared" si="294"/>
        <v>29</v>
      </c>
      <c r="BK84" s="15">
        <f t="shared" ref="BK84:BK115" si="304">BB66</f>
        <v>22</v>
      </c>
      <c r="BL84" s="15">
        <f t="shared" si="204"/>
        <v>16</v>
      </c>
      <c r="BM84" s="15">
        <f t="shared" si="214"/>
        <v>44</v>
      </c>
      <c r="BN84" s="15">
        <v>3</v>
      </c>
      <c r="BO84" s="15">
        <f t="shared" si="225"/>
        <v>3</v>
      </c>
      <c r="BP84" s="15">
        <f t="shared" si="235"/>
        <v>3</v>
      </c>
      <c r="BQ84" s="15">
        <f t="shared" si="245"/>
        <v>3</v>
      </c>
      <c r="BR84" s="15">
        <f t="shared" si="255"/>
        <v>3</v>
      </c>
      <c r="BS84" s="15">
        <f t="shared" si="265"/>
        <v>3</v>
      </c>
      <c r="BT84" s="15">
        <f t="shared" si="275"/>
        <v>3</v>
      </c>
      <c r="BU84" s="15">
        <f t="shared" si="285"/>
        <v>3</v>
      </c>
      <c r="BV84" s="15">
        <f t="shared" si="295"/>
        <v>3</v>
      </c>
      <c r="BW84" s="15">
        <f t="shared" ref="BW84:BW115" si="305">BN66</f>
        <v>3</v>
      </c>
      <c r="BX84" s="15">
        <f t="shared" si="205"/>
        <v>3</v>
      </c>
      <c r="BY84" s="15">
        <f t="shared" si="215"/>
        <v>4</v>
      </c>
      <c r="BZ84" s="15">
        <v>-2.3690000000000002</v>
      </c>
      <c r="CA84" s="15">
        <f t="shared" si="226"/>
        <v>-3.1114299999999999</v>
      </c>
      <c r="CB84" s="15">
        <f t="shared" si="236"/>
        <v>-1.7563599999999999</v>
      </c>
      <c r="CC84" s="15">
        <f t="shared" si="246"/>
        <v>-8.8160000000000007</v>
      </c>
      <c r="CD84" s="15">
        <f t="shared" si="256"/>
        <v>-2.2650000000000001</v>
      </c>
      <c r="CE84" s="15">
        <f t="shared" si="266"/>
        <v>-2.19333</v>
      </c>
      <c r="CF84" s="15">
        <f t="shared" si="276"/>
        <v>-13.438000000000001</v>
      </c>
      <c r="CG84" s="15">
        <f t="shared" si="286"/>
        <v>-7.91</v>
      </c>
      <c r="CH84" s="15">
        <f t="shared" si="296"/>
        <v>-1.60345</v>
      </c>
      <c r="CI84" s="15">
        <f t="shared" ref="CI84:CI115" si="306">BZ66</f>
        <v>-2.2813599999999998</v>
      </c>
      <c r="CJ84" s="15">
        <f t="shared" si="206"/>
        <v>-1.8474999999999999</v>
      </c>
      <c r="CK84" s="15">
        <f t="shared" si="216"/>
        <v>-2.4734099999999999</v>
      </c>
      <c r="CL84" s="15">
        <v>3</v>
      </c>
      <c r="CM84" s="15">
        <f t="shared" si="227"/>
        <v>3</v>
      </c>
      <c r="CN84" s="15">
        <f t="shared" si="237"/>
        <v>3</v>
      </c>
      <c r="CO84" s="15">
        <f t="shared" si="247"/>
        <v>3</v>
      </c>
      <c r="CP84" s="15">
        <f t="shared" si="257"/>
        <v>3</v>
      </c>
      <c r="CQ84" s="15">
        <f t="shared" si="267"/>
        <v>3</v>
      </c>
      <c r="CR84" s="15">
        <f t="shared" si="277"/>
        <v>3</v>
      </c>
      <c r="CS84" s="15">
        <f t="shared" si="287"/>
        <v>3</v>
      </c>
      <c r="CT84" s="15">
        <f t="shared" si="297"/>
        <v>3</v>
      </c>
      <c r="CU84" s="15">
        <f t="shared" ref="CU84:CU115" si="307">CL66</f>
        <v>3</v>
      </c>
      <c r="CV84" s="15">
        <f t="shared" si="207"/>
        <v>3</v>
      </c>
      <c r="CW84" s="15">
        <f t="shared" si="217"/>
        <v>3</v>
      </c>
      <c r="CX84" s="15">
        <v>-67.114500000000007</v>
      </c>
      <c r="CY84" s="15">
        <f t="shared" si="228"/>
        <v>-72.1828</v>
      </c>
      <c r="CZ84" s="15">
        <f t="shared" si="238"/>
        <v>-60.3446</v>
      </c>
      <c r="DA84" s="15">
        <f t="shared" si="248"/>
        <v>-83.528599999999997</v>
      </c>
      <c r="DB84" s="15">
        <f t="shared" si="258"/>
        <v>-66.1785</v>
      </c>
      <c r="DC84" s="15">
        <f t="shared" si="268"/>
        <v>-65.490499999999997</v>
      </c>
      <c r="DD84" s="15">
        <f t="shared" si="278"/>
        <v>-85.744100000000003</v>
      </c>
      <c r="DE84" s="15">
        <f t="shared" si="288"/>
        <v>-82.794799999999995</v>
      </c>
      <c r="DF84" s="15">
        <f t="shared" si="298"/>
        <v>-58.05</v>
      </c>
      <c r="DG84" s="15">
        <f t="shared" ref="DG84:DG115" si="308">CX66</f>
        <v>-66.330500000000001</v>
      </c>
      <c r="DH84" s="15">
        <f t="shared" si="208"/>
        <v>-61.574599999999997</v>
      </c>
      <c r="DI84" s="15">
        <f t="shared" si="218"/>
        <v>-67.986500000000007</v>
      </c>
      <c r="DJ84" s="15" t="s">
        <v>22</v>
      </c>
      <c r="DK84" s="15" t="str">
        <f t="shared" si="229"/>
        <v>LL</v>
      </c>
      <c r="DL84" s="15" t="str">
        <f t="shared" si="239"/>
        <v>HL</v>
      </c>
      <c r="DM84" s="15" t="str">
        <f t="shared" si="249"/>
        <v>LL</v>
      </c>
      <c r="DN84" s="15" t="str">
        <f t="shared" si="259"/>
        <v>LL</v>
      </c>
      <c r="DO84" s="15" t="str">
        <f t="shared" si="269"/>
        <v>HL</v>
      </c>
      <c r="DP84" s="15" t="str">
        <f t="shared" si="279"/>
        <v>LL</v>
      </c>
      <c r="DQ84" s="15" t="str">
        <f t="shared" si="289"/>
        <v>HL</v>
      </c>
      <c r="DR84" s="15" t="str">
        <f t="shared" si="299"/>
        <v>LL</v>
      </c>
      <c r="DS84" s="15" t="str">
        <f t="shared" ref="DS84:DS115" si="309">DJ66</f>
        <v>HL</v>
      </c>
      <c r="DT84" s="15" t="str">
        <f t="shared" si="209"/>
        <v>HL</v>
      </c>
      <c r="DU84" s="15" t="str">
        <f t="shared" si="219"/>
        <v>LL</v>
      </c>
      <c r="DV84" s="15">
        <f>IFERROR((G84-$F84)/$F84*100,"")</f>
        <v>-1.5429617905648874</v>
      </c>
      <c r="DW84" s="15">
        <f>IFERROR((H84-$F84)/$F84*100,"")</f>
        <v>-1.4327502340959724</v>
      </c>
      <c r="DX84" s="15">
        <f>IFERROR((I84-$F84)/$F84*100,"")</f>
        <v>-2.6220820868931054</v>
      </c>
      <c r="DY84" s="15">
        <f>IFERROR((J84-$F84)/$F84*100,"")</f>
        <v>-2.5545464338689121</v>
      </c>
      <c r="DZ84" s="15">
        <f>IFERROR((K84-$F84)/$F84*100,"")</f>
        <v>-2.4540716126519557</v>
      </c>
      <c r="EA84" s="15">
        <f>IFERROR((L84-$F84)/$F84*100,"")</f>
        <v>-3.9025663548149216</v>
      </c>
      <c r="EB84" s="15">
        <f>IFERROR((M84-$F84)/$F84*100,"")</f>
        <v>-1.6486157262775822</v>
      </c>
      <c r="EC84" s="15">
        <f>IFERROR((N84-$F84)/$F84*100,"")</f>
        <v>-1.99437341001184</v>
      </c>
      <c r="ED84" s="15">
        <f>IFERROR((O84-$F84)/$F84*100,"")</f>
        <v>-1.5814944024130559</v>
      </c>
      <c r="EE84" s="15">
        <f>IFERROR((P84-$F84)/$F84*100,"")</f>
        <v>-2.5609685358436134</v>
      </c>
      <c r="EF84" s="15">
        <f>IFERROR((Q84-$F84)/$F84*100,"")</f>
        <v>-2.663515002858865</v>
      </c>
      <c r="EG84" s="15" t="str">
        <f>IF(DV84="","",IF(AND(ABS(DV84)&lt;=0.25,$E84="Bottom",DK84="LL"),"EQL",IF(AND(ABS(DV84)&lt;=0.25,$E84="Peak",DK84="HH"),"EQH","")))</f>
        <v/>
      </c>
      <c r="EH84" s="15" t="str">
        <f>IF(DW84="","",IF(AND(ABS(DW84)&lt;=0.25,$E84="Bottom",DL84="LL"),"EQL",IF(AND(ABS(DW84)&lt;=0.25,$E84="Peak",DL84="HH"),"EQH","")))</f>
        <v/>
      </c>
      <c r="EI84" s="15" t="str">
        <f>IF(DX84="","",IF(AND(ABS(DX84)&lt;=0.25,$E84="Bottom",DM84="LL"),"EQL",IF(AND(ABS(DX84)&lt;=0.25,$E84="Peak",DM84="HH"),"EQH","")))</f>
        <v/>
      </c>
      <c r="EJ84" s="15" t="str">
        <f>IF(DY84="","",IF(AND(ABS(DY84)&lt;=0.25,$E84="Bottom",DN84="LL"),"EQL",IF(AND(ABS(DY84)&lt;=0.25,$E84="Peak",DN84="HH"),"EQH","")))</f>
        <v/>
      </c>
      <c r="EK84" s="15" t="str">
        <f>IF(DZ84="","",IF(AND(ABS(DZ84)&lt;=0.25,$E84="Bottom",DO84="LL"),"EQL",IF(AND(ABS(DZ84)&lt;=0.25,$E84="Peak",DO84="HH"),"EQH","")))</f>
        <v/>
      </c>
      <c r="EL84" s="15" t="str">
        <f>IF(EA84="","",IF(AND(ABS(EA84)&lt;=0.25,$E84="Bottom",DP84="LL"),"EQL",IF(AND(ABS(EA84)&lt;=0.25,$E84="Peak",DP84="HH"),"EQH","")))</f>
        <v/>
      </c>
      <c r="EM84" s="15" t="str">
        <f>IF(EB84="","",IF(AND(ABS(EB84)&lt;=0.25,$E84="Bottom",DQ84="LL"),"EQL",IF(AND(ABS(EB84)&lt;=0.25,$E84="Peak",DQ84="HH"),"EQH","")))</f>
        <v/>
      </c>
      <c r="EN84" s="15" t="str">
        <f>IF(EC84="","",IF(AND(ABS(EC84)&lt;=0.25,$E84="Bottom",DR84="LL"),"EQL",IF(AND(ABS(EC84)&lt;=0.25,$E84="Peak",DR84="HH"),"EQH","")))</f>
        <v/>
      </c>
      <c r="EO84" s="15" t="str">
        <f>IF(ED84="","",IF(AND(ABS(ED84)&lt;=0.25,$E84="Bottom",DS84="LL"),"EQL",IF(AND(ABS(ED84)&lt;=0.25,$E84="Peak",DS84="HH"),"EQH","")))</f>
        <v/>
      </c>
      <c r="EP84" s="15" t="str">
        <f>IF(EE84="","",IF(AND(ABS(EE84)&lt;=0.25,$E84="Bottom",DT84="LL"),"EQL",IF(AND(ABS(EE84)&lt;=0.25,$E84="Peak",DT84="HH"),"EQH","")))</f>
        <v/>
      </c>
      <c r="EQ84" s="15" t="str">
        <f>IF(EF84="","",IF(AND(ABS(EF84)&lt;=0.25,$E84="Bottom",DU84="LL"),"EQL",IF(AND(ABS(EF84)&lt;=0.25,$E84="Peak",DU84="HH"),"EQH","")))</f>
        <v/>
      </c>
      <c r="ER84" s="15" t="str">
        <f>IF(OR(EG84="EQL",EG84="EQH"),F84,"")</f>
        <v/>
      </c>
      <c r="ES84" s="15" t="str">
        <f>IF(OR(EH84="EQL",EH84="EQH"),G84,"")</f>
        <v/>
      </c>
      <c r="ET84" s="15" t="str">
        <f>IF(OR(EI84="EQL",EI84="EQH"),H84,"")</f>
        <v/>
      </c>
      <c r="EU84" s="15" t="str">
        <f>IF(OR(EJ84="EQL",EJ84="EQH"),I84,"")</f>
        <v/>
      </c>
      <c r="EV84" s="15" t="str">
        <f>IF(OR(EK84="EQL",EK84="EQH"),J84,"")</f>
        <v/>
      </c>
      <c r="EW84" s="15" t="str">
        <f>IF(OR(EL84="EQL",EL84="EQH"),K84,"")</f>
        <v/>
      </c>
      <c r="EX84" s="15" t="str">
        <f>IF(OR(EM84="EQL",EM84="EQH"),L84,"")</f>
        <v/>
      </c>
      <c r="EY84" s="15" t="str">
        <f>IF(OR(EN84="EQL",EN84="EQH"),M84,"")</f>
        <v/>
      </c>
      <c r="EZ84" s="15" t="str">
        <f>IF(OR(EO84="EQL",EO84="EQH"),N84,"")</f>
        <v/>
      </c>
      <c r="FA84" s="15" t="str">
        <f>IF(OR(EP84="EQL",EP84="EQH"),O84,"")</f>
        <v/>
      </c>
      <c r="FB84" s="15" t="str">
        <f>IF(OR(EQ84="EQL",EQ84="EQH"),P84,"")</f>
        <v/>
      </c>
      <c r="FC84" s="15" t="str">
        <f>IF(AND(EG84="EQL",OR(AQ84=4,AQ84=5)),"IEQL",IF(AND(EG84="EQH",OR(AQ84=1,AQ84=2)),"IEQH",""))</f>
        <v/>
      </c>
      <c r="FD84" s="15" t="str">
        <f>IF(AND(EH84="EQL",OR(AR84=4,AR84=5)),"IEQL",IF(AND(EH84="EQH",OR(AR84=1,AR84=2)),"IEQH",""))</f>
        <v/>
      </c>
      <c r="FE84" s="15" t="str">
        <f>IF(AND(EI84="EQL",OR(AS84=4,AS84=5)),"IEQL",IF(AND(EI84="EQH",OR(AS84=1,AS84=2)),"IEQH",""))</f>
        <v/>
      </c>
      <c r="FF84" s="15" t="str">
        <f>IF(AND(EJ84="EQL",OR(AT84=4,AT84=5)),"IEQL",IF(AND(EJ84="EQH",OR(AT84=1,AT84=2)),"IEQH",""))</f>
        <v/>
      </c>
      <c r="FG84" s="15" t="str">
        <f>IF(AND(EK84="EQL",OR(AU84=4,AU84=5)),"IEQL",IF(AND(EK84="EQH",OR(AU84=1,AU84=2)),"IEQH",""))</f>
        <v/>
      </c>
      <c r="FH84" s="15" t="str">
        <f>IF(AND(EL84="EQL",OR(AV84=4,AV84=5)),"IEQL",IF(AND(EL84="EQH",OR(AV84=1,AV84=2)),"IEQH",""))</f>
        <v/>
      </c>
      <c r="FI84" s="15" t="str">
        <f>IF(AND(EM84="EQL",OR(AW84=4,AW84=5)),"IEQL",IF(AND(EM84="EQH",OR(AW84=1,AW84=2)),"IEQH",""))</f>
        <v/>
      </c>
      <c r="FJ84" s="15" t="str">
        <f>IF(AND(EN84="EQL",OR(AX84=4,AX84=5)),"IEQL",IF(AND(EN84="EQH",OR(AX84=1,AX84=2)),"IEQH",""))</f>
        <v/>
      </c>
      <c r="FK84" s="15" t="str">
        <f>IF(AND(EO84="EQL",OR(AY84=4,AY84=5)),"IEQL",IF(AND(EO84="EQH",OR(AY84=1,AY84=2)),"IEQH",""))</f>
        <v/>
      </c>
      <c r="FL84" s="15" t="str">
        <f>IF(AND(EP84="EQL",OR(AZ84=4,AZ84=5)),"IEQL",IF(AND(EP84="EQH",OR(AZ84=1,AZ84=2)),"IEQH",""))</f>
        <v/>
      </c>
      <c r="FM84" s="15" t="str">
        <f>IF(AND(EQ84="EQL",OR(BA84=4,BA84=5)),"IEQL",IF(AND(EQ84="EQH",OR(BA84=1,BA84=2)),"IEQH",""))</f>
        <v/>
      </c>
      <c r="FN84" s="15" t="str">
        <f>IF(OR(AND(DJ84="LL",AP84=5),AND(DJ84="HH",AP84=2)),F84,"")</f>
        <v/>
      </c>
      <c r="FO84" s="15" t="str">
        <f>IF(FN84&lt;&gt;"",F83,"")</f>
        <v/>
      </c>
    </row>
    <row r="85" spans="1:171" s="15" customFormat="1" x14ac:dyDescent="0.55000000000000004">
      <c r="A85" s="15">
        <v>1776215706</v>
      </c>
      <c r="B85" s="15" t="s">
        <v>16</v>
      </c>
      <c r="C85" s="15" t="s">
        <v>17</v>
      </c>
      <c r="D85" s="15">
        <v>4850.79</v>
      </c>
      <c r="E85" s="15" t="s">
        <v>20</v>
      </c>
      <c r="F85" s="15">
        <v>4871.22</v>
      </c>
      <c r="G85" s="15">
        <f t="shared" si="220"/>
        <v>4850.7700000000004</v>
      </c>
      <c r="H85" s="15">
        <f t="shared" si="230"/>
        <v>4796.16</v>
      </c>
      <c r="I85" s="15">
        <f t="shared" si="240"/>
        <v>4777.24</v>
      </c>
      <c r="J85" s="15">
        <f t="shared" si="250"/>
        <v>4744.59</v>
      </c>
      <c r="K85" s="15">
        <f t="shared" si="260"/>
        <v>4740.01</v>
      </c>
      <c r="L85" s="15">
        <f t="shared" si="270"/>
        <v>4728.3599999999997</v>
      </c>
      <c r="M85" s="15">
        <f t="shared" si="280"/>
        <v>4773.08</v>
      </c>
      <c r="N85" s="15">
        <f t="shared" si="290"/>
        <v>4794.96</v>
      </c>
      <c r="O85" s="15">
        <f t="shared" si="300"/>
        <v>4777.3100000000004</v>
      </c>
      <c r="P85" s="15">
        <f t="shared" si="200"/>
        <v>4800.93</v>
      </c>
      <c r="Q85" s="15">
        <f t="shared" si="210"/>
        <v>4733.0200000000004</v>
      </c>
      <c r="R85" s="15">
        <v>44.14</v>
      </c>
      <c r="S85" s="15">
        <f t="shared" si="221"/>
        <v>98.17</v>
      </c>
      <c r="T85" s="15">
        <f t="shared" si="231"/>
        <v>38.24</v>
      </c>
      <c r="U85" s="15">
        <f t="shared" si="241"/>
        <v>76.73</v>
      </c>
      <c r="V85" s="15">
        <f t="shared" si="251"/>
        <v>40.82</v>
      </c>
      <c r="W85" s="15">
        <f t="shared" si="261"/>
        <v>31.39</v>
      </c>
      <c r="X85" s="15">
        <f t="shared" si="271"/>
        <v>89.66</v>
      </c>
      <c r="Y85" s="15">
        <f t="shared" si="281"/>
        <v>25.58</v>
      </c>
      <c r="Z85" s="15">
        <f t="shared" si="291"/>
        <v>64.150000000000006</v>
      </c>
      <c r="AA85" s="15">
        <f t="shared" si="301"/>
        <v>26.57</v>
      </c>
      <c r="AB85" s="15">
        <f t="shared" si="201"/>
        <v>97.47</v>
      </c>
      <c r="AC85" s="15">
        <f t="shared" si="211"/>
        <v>34.51</v>
      </c>
      <c r="AD85" s="15">
        <v>0.91</v>
      </c>
      <c r="AE85" s="15">
        <f t="shared" si="222"/>
        <v>2.0699999999999998</v>
      </c>
      <c r="AF85" s="15">
        <f t="shared" si="232"/>
        <v>0.8</v>
      </c>
      <c r="AG85" s="15">
        <f t="shared" si="242"/>
        <v>1.63</v>
      </c>
      <c r="AH85" s="15">
        <f t="shared" si="252"/>
        <v>0.87</v>
      </c>
      <c r="AI85" s="15">
        <f t="shared" si="262"/>
        <v>0.67</v>
      </c>
      <c r="AJ85" s="15">
        <f t="shared" si="272"/>
        <v>1.93</v>
      </c>
      <c r="AK85" s="15">
        <f t="shared" si="282"/>
        <v>0.54</v>
      </c>
      <c r="AL85" s="15">
        <f t="shared" si="292"/>
        <v>1.36</v>
      </c>
      <c r="AM85" s="15">
        <f t="shared" si="302"/>
        <v>0.56000000000000005</v>
      </c>
      <c r="AN85" s="15">
        <f t="shared" si="202"/>
        <v>2.0699999999999998</v>
      </c>
      <c r="AO85" s="15">
        <f t="shared" si="212"/>
        <v>0.73</v>
      </c>
      <c r="AP85" s="15">
        <v>0</v>
      </c>
      <c r="AQ85" s="15">
        <f t="shared" si="223"/>
        <v>0</v>
      </c>
      <c r="AR85" s="15">
        <f t="shared" si="233"/>
        <v>0</v>
      </c>
      <c r="AS85" s="15">
        <f t="shared" si="243"/>
        <v>0</v>
      </c>
      <c r="AT85" s="15">
        <f t="shared" si="253"/>
        <v>0</v>
      </c>
      <c r="AU85" s="15">
        <f t="shared" si="263"/>
        <v>0</v>
      </c>
      <c r="AV85" s="15">
        <f t="shared" si="273"/>
        <v>0</v>
      </c>
      <c r="AW85" s="15">
        <f t="shared" si="283"/>
        <v>0</v>
      </c>
      <c r="AX85" s="15">
        <f t="shared" si="293"/>
        <v>0</v>
      </c>
      <c r="AY85" s="15">
        <f t="shared" si="303"/>
        <v>0</v>
      </c>
      <c r="AZ85" s="15">
        <f t="shared" si="203"/>
        <v>0</v>
      </c>
      <c r="BA85" s="15">
        <f t="shared" si="213"/>
        <v>0</v>
      </c>
      <c r="BB85" s="15">
        <v>3</v>
      </c>
      <c r="BC85" s="15">
        <f t="shared" si="224"/>
        <v>42</v>
      </c>
      <c r="BD85" s="15">
        <f t="shared" si="234"/>
        <v>6</v>
      </c>
      <c r="BE85" s="15">
        <f t="shared" si="244"/>
        <v>43</v>
      </c>
      <c r="BF85" s="15">
        <f t="shared" si="254"/>
        <v>8</v>
      </c>
      <c r="BG85" s="15">
        <f t="shared" si="264"/>
        <v>15</v>
      </c>
      <c r="BH85" s="15">
        <f t="shared" si="274"/>
        <v>15</v>
      </c>
      <c r="BI85" s="15">
        <f t="shared" si="284"/>
        <v>10</v>
      </c>
      <c r="BJ85" s="15">
        <f t="shared" si="294"/>
        <v>23</v>
      </c>
      <c r="BK85" s="15">
        <f t="shared" si="304"/>
        <v>6</v>
      </c>
      <c r="BL85" s="15">
        <f t="shared" si="204"/>
        <v>43</v>
      </c>
      <c r="BM85" s="15">
        <f t="shared" si="214"/>
        <v>11</v>
      </c>
      <c r="BN85" s="15">
        <v>0</v>
      </c>
      <c r="BO85" s="15">
        <f t="shared" si="225"/>
        <v>1</v>
      </c>
      <c r="BP85" s="15">
        <f t="shared" si="235"/>
        <v>0</v>
      </c>
      <c r="BQ85" s="15">
        <f t="shared" si="245"/>
        <v>1</v>
      </c>
      <c r="BR85" s="15">
        <f t="shared" si="255"/>
        <v>0</v>
      </c>
      <c r="BS85" s="15">
        <f t="shared" si="265"/>
        <v>0</v>
      </c>
      <c r="BT85" s="15">
        <f t="shared" si="275"/>
        <v>0</v>
      </c>
      <c r="BU85" s="15">
        <f t="shared" si="285"/>
        <v>0</v>
      </c>
      <c r="BV85" s="15">
        <f t="shared" si="295"/>
        <v>0</v>
      </c>
      <c r="BW85" s="15">
        <f t="shared" si="305"/>
        <v>0</v>
      </c>
      <c r="BX85" s="15">
        <f t="shared" si="205"/>
        <v>1</v>
      </c>
      <c r="BY85" s="15">
        <f t="shared" si="215"/>
        <v>0</v>
      </c>
      <c r="BZ85" s="15">
        <v>14.713329999999999</v>
      </c>
      <c r="CA85" s="15">
        <f t="shared" si="226"/>
        <v>2.33738</v>
      </c>
      <c r="CB85" s="15">
        <f t="shared" si="236"/>
        <v>6.3733300000000002</v>
      </c>
      <c r="CC85" s="15">
        <f t="shared" si="246"/>
        <v>1.7844199999999999</v>
      </c>
      <c r="CD85" s="15">
        <f t="shared" si="256"/>
        <v>5.1025</v>
      </c>
      <c r="CE85" s="15">
        <f t="shared" si="266"/>
        <v>2.09267</v>
      </c>
      <c r="CF85" s="15">
        <f t="shared" si="276"/>
        <v>5.9773300000000003</v>
      </c>
      <c r="CG85" s="15">
        <f t="shared" si="286"/>
        <v>2.5579999999999998</v>
      </c>
      <c r="CH85" s="15">
        <f t="shared" si="296"/>
        <v>2.7891300000000001</v>
      </c>
      <c r="CI85" s="15">
        <f t="shared" si="306"/>
        <v>4.4283299999999999</v>
      </c>
      <c r="CJ85" s="15">
        <f t="shared" si="206"/>
        <v>2.26674</v>
      </c>
      <c r="CK85" s="15">
        <f t="shared" si="216"/>
        <v>3.13727</v>
      </c>
      <c r="CL85" s="15">
        <v>0</v>
      </c>
      <c r="CM85" s="15">
        <f t="shared" si="227"/>
        <v>0</v>
      </c>
      <c r="CN85" s="15">
        <f t="shared" si="237"/>
        <v>0</v>
      </c>
      <c r="CO85" s="15">
        <f t="shared" si="247"/>
        <v>0</v>
      </c>
      <c r="CP85" s="15">
        <f t="shared" si="257"/>
        <v>0</v>
      </c>
      <c r="CQ85" s="15">
        <f t="shared" si="267"/>
        <v>0</v>
      </c>
      <c r="CR85" s="15">
        <f t="shared" si="277"/>
        <v>0</v>
      </c>
      <c r="CS85" s="15">
        <f t="shared" si="287"/>
        <v>0</v>
      </c>
      <c r="CT85" s="15">
        <f t="shared" si="297"/>
        <v>0</v>
      </c>
      <c r="CU85" s="15">
        <f t="shared" si="307"/>
        <v>0</v>
      </c>
      <c r="CV85" s="15">
        <f t="shared" si="207"/>
        <v>0</v>
      </c>
      <c r="CW85" s="15">
        <f t="shared" si="217"/>
        <v>0</v>
      </c>
      <c r="CX85" s="15">
        <v>86.111800000000002</v>
      </c>
      <c r="CY85" s="15">
        <f t="shared" si="228"/>
        <v>66.837299999999999</v>
      </c>
      <c r="CZ85" s="15">
        <f t="shared" si="238"/>
        <v>81.082800000000006</v>
      </c>
      <c r="DA85" s="15">
        <f t="shared" si="248"/>
        <v>60.733400000000003</v>
      </c>
      <c r="DB85" s="15">
        <f t="shared" si="258"/>
        <v>78.911600000000007</v>
      </c>
      <c r="DC85" s="15">
        <f t="shared" si="268"/>
        <v>64.458799999999997</v>
      </c>
      <c r="DD85" s="15">
        <f t="shared" si="278"/>
        <v>80.502399999999994</v>
      </c>
      <c r="DE85" s="15">
        <f t="shared" si="288"/>
        <v>68.647999999999996</v>
      </c>
      <c r="DF85" s="15">
        <f t="shared" si="298"/>
        <v>70.275499999999994</v>
      </c>
      <c r="DG85" s="15">
        <f t="shared" si="308"/>
        <v>77.275000000000006</v>
      </c>
      <c r="DH85" s="15">
        <f t="shared" si="208"/>
        <v>66.194800000000001</v>
      </c>
      <c r="DI85" s="15">
        <f t="shared" si="218"/>
        <v>72.320400000000006</v>
      </c>
      <c r="DJ85" s="15" t="s">
        <v>23</v>
      </c>
      <c r="DK85" s="15" t="str">
        <f t="shared" si="229"/>
        <v>HH</v>
      </c>
      <c r="DL85" s="15" t="str">
        <f t="shared" si="239"/>
        <v>HH</v>
      </c>
      <c r="DM85" s="15" t="str">
        <f t="shared" si="249"/>
        <v>HH</v>
      </c>
      <c r="DN85" s="15" t="str">
        <f t="shared" si="259"/>
        <v>HH</v>
      </c>
      <c r="DO85" s="15" t="str">
        <f t="shared" si="269"/>
        <v>HH</v>
      </c>
      <c r="DP85" s="15" t="str">
        <f t="shared" si="279"/>
        <v>LH</v>
      </c>
      <c r="DQ85" s="15" t="str">
        <f t="shared" si="289"/>
        <v>LH</v>
      </c>
      <c r="DR85" s="15" t="str">
        <f t="shared" si="299"/>
        <v>HH</v>
      </c>
      <c r="DS85" s="15" t="str">
        <f t="shared" si="309"/>
        <v>LH</v>
      </c>
      <c r="DT85" s="15" t="str">
        <f t="shared" si="209"/>
        <v>HH</v>
      </c>
      <c r="DU85" s="15" t="str">
        <f t="shared" si="219"/>
        <v>LH</v>
      </c>
      <c r="DV85" s="15">
        <f>IFERROR((G85-$F85)/$F85*100,"")</f>
        <v>-0.4198126957928367</v>
      </c>
      <c r="DW85" s="15">
        <f>IFERROR((H85-$F85)/$F85*100,"")</f>
        <v>-1.5408870878342673</v>
      </c>
      <c r="DX85" s="15">
        <f>IFERROR((I85-$F85)/$F85*100,"")</f>
        <v>-1.9292908142108232</v>
      </c>
      <c r="DY85" s="15">
        <f>IFERROR((J85-$F85)/$F85*100,"")</f>
        <v>-2.5995541158067197</v>
      </c>
      <c r="DZ85" s="15">
        <f>IFERROR((K85-$F85)/$F85*100,"")</f>
        <v>-2.6935757366737705</v>
      </c>
      <c r="EA85" s="15">
        <f>IFERROR((L85-$F85)/$F85*100,"")</f>
        <v>-2.9327355364775269</v>
      </c>
      <c r="EB85" s="15">
        <f>IFERROR((M85-$F85)/$F85*100,"")</f>
        <v>-2.0146903650420289</v>
      </c>
      <c r="EC85" s="15">
        <f>IFERROR((N85-$F85)/$F85*100,"")</f>
        <v>-1.5655215736509582</v>
      </c>
      <c r="ED85" s="15">
        <f>IFERROR((O85-$F85)/$F85*100,"")</f>
        <v>-1.9278538025381702</v>
      </c>
      <c r="EE85" s="15">
        <f>IFERROR((P85-$F85)/$F85*100,"")</f>
        <v>-1.4429650067128965</v>
      </c>
      <c r="EF85" s="15">
        <f>IFERROR((Q85-$F85)/$F85*100,"")</f>
        <v>-2.8370716165560128</v>
      </c>
      <c r="EG85" s="15" t="str">
        <f>IF(DV85="","",IF(AND(ABS(DV85)&lt;=0.25,$E85="Bottom",DK85="LL"),"EQL",IF(AND(ABS(DV85)&lt;=0.25,$E85="Peak",DK85="HH"),"EQH","")))</f>
        <v/>
      </c>
      <c r="EH85" s="15" t="str">
        <f>IF(DW85="","",IF(AND(ABS(DW85)&lt;=0.25,$E85="Bottom",DL85="LL"),"EQL",IF(AND(ABS(DW85)&lt;=0.25,$E85="Peak",DL85="HH"),"EQH","")))</f>
        <v/>
      </c>
      <c r="EI85" s="15" t="str">
        <f>IF(DX85="","",IF(AND(ABS(DX85)&lt;=0.25,$E85="Bottom",DM85="LL"),"EQL",IF(AND(ABS(DX85)&lt;=0.25,$E85="Peak",DM85="HH"),"EQH","")))</f>
        <v/>
      </c>
      <c r="EJ85" s="15" t="str">
        <f>IF(DY85="","",IF(AND(ABS(DY85)&lt;=0.25,$E85="Bottom",DN85="LL"),"EQL",IF(AND(ABS(DY85)&lt;=0.25,$E85="Peak",DN85="HH"),"EQH","")))</f>
        <v/>
      </c>
      <c r="EK85" s="15" t="str">
        <f>IF(DZ85="","",IF(AND(ABS(DZ85)&lt;=0.25,$E85="Bottom",DO85="LL"),"EQL",IF(AND(ABS(DZ85)&lt;=0.25,$E85="Peak",DO85="HH"),"EQH","")))</f>
        <v/>
      </c>
      <c r="EL85" s="15" t="str">
        <f>IF(EA85="","",IF(AND(ABS(EA85)&lt;=0.25,$E85="Bottom",DP85="LL"),"EQL",IF(AND(ABS(EA85)&lt;=0.25,$E85="Peak",DP85="HH"),"EQH","")))</f>
        <v/>
      </c>
      <c r="EM85" s="15" t="str">
        <f>IF(EB85="","",IF(AND(ABS(EB85)&lt;=0.25,$E85="Bottom",DQ85="LL"),"EQL",IF(AND(ABS(EB85)&lt;=0.25,$E85="Peak",DQ85="HH"),"EQH","")))</f>
        <v/>
      </c>
      <c r="EN85" s="15" t="str">
        <f>IF(EC85="","",IF(AND(ABS(EC85)&lt;=0.25,$E85="Bottom",DR85="LL"),"EQL",IF(AND(ABS(EC85)&lt;=0.25,$E85="Peak",DR85="HH"),"EQH","")))</f>
        <v/>
      </c>
      <c r="EO85" s="15" t="str">
        <f>IF(ED85="","",IF(AND(ABS(ED85)&lt;=0.25,$E85="Bottom",DS85="LL"),"EQL",IF(AND(ABS(ED85)&lt;=0.25,$E85="Peak",DS85="HH"),"EQH","")))</f>
        <v/>
      </c>
      <c r="EP85" s="15" t="str">
        <f>IF(EE85="","",IF(AND(ABS(EE85)&lt;=0.25,$E85="Bottom",DT85="LL"),"EQL",IF(AND(ABS(EE85)&lt;=0.25,$E85="Peak",DT85="HH"),"EQH","")))</f>
        <v/>
      </c>
      <c r="EQ85" s="15" t="str">
        <f>IF(EF85="","",IF(AND(ABS(EF85)&lt;=0.25,$E85="Bottom",DU85="LL"),"EQL",IF(AND(ABS(EF85)&lt;=0.25,$E85="Peak",DU85="HH"),"EQH","")))</f>
        <v/>
      </c>
      <c r="ER85" s="15" t="str">
        <f>IF(OR(EG85="EQL",EG85="EQH"),F85,"")</f>
        <v/>
      </c>
      <c r="ES85" s="15" t="str">
        <f>IF(OR(EH85="EQL",EH85="EQH"),G85,"")</f>
        <v/>
      </c>
      <c r="ET85" s="15" t="str">
        <f>IF(OR(EI85="EQL",EI85="EQH"),H85,"")</f>
        <v/>
      </c>
      <c r="EU85" s="15" t="str">
        <f>IF(OR(EJ85="EQL",EJ85="EQH"),I85,"")</f>
        <v/>
      </c>
      <c r="EV85" s="15" t="str">
        <f>IF(OR(EK85="EQL",EK85="EQH"),J85,"")</f>
        <v/>
      </c>
      <c r="EW85" s="15" t="str">
        <f>IF(OR(EL85="EQL",EL85="EQH"),K85,"")</f>
        <v/>
      </c>
      <c r="EX85" s="15" t="str">
        <f>IF(OR(EM85="EQL",EM85="EQH"),L85,"")</f>
        <v/>
      </c>
      <c r="EY85" s="15" t="str">
        <f>IF(OR(EN85="EQL",EN85="EQH"),M85,"")</f>
        <v/>
      </c>
      <c r="EZ85" s="15" t="str">
        <f>IF(OR(EO85="EQL",EO85="EQH"),N85,"")</f>
        <v/>
      </c>
      <c r="FA85" s="15" t="str">
        <f>IF(OR(EP85="EQL",EP85="EQH"),O85,"")</f>
        <v/>
      </c>
      <c r="FB85" s="15" t="str">
        <f>IF(OR(EQ85="EQL",EQ85="EQH"),P85,"")</f>
        <v/>
      </c>
      <c r="FC85" s="15" t="str">
        <f>IF(AND(EG85="EQL",OR(AQ85=4,AQ85=5)),"IEQL",IF(AND(EG85="EQH",OR(AQ85=1,AQ85=2)),"IEQH",""))</f>
        <v/>
      </c>
      <c r="FD85" s="15" t="str">
        <f>IF(AND(EH85="EQL",OR(AR85=4,AR85=5)),"IEQL",IF(AND(EH85="EQH",OR(AR85=1,AR85=2)),"IEQH",""))</f>
        <v/>
      </c>
      <c r="FE85" s="15" t="str">
        <f>IF(AND(EI85="EQL",OR(AS85=4,AS85=5)),"IEQL",IF(AND(EI85="EQH",OR(AS85=1,AS85=2)),"IEQH",""))</f>
        <v/>
      </c>
      <c r="FF85" s="15" t="str">
        <f>IF(AND(EJ85="EQL",OR(AT85=4,AT85=5)),"IEQL",IF(AND(EJ85="EQH",OR(AT85=1,AT85=2)),"IEQH",""))</f>
        <v/>
      </c>
      <c r="FG85" s="15" t="str">
        <f>IF(AND(EK85="EQL",OR(AU85=4,AU85=5)),"IEQL",IF(AND(EK85="EQH",OR(AU85=1,AU85=2)),"IEQH",""))</f>
        <v/>
      </c>
      <c r="FH85" s="15" t="str">
        <f>IF(AND(EL85="EQL",OR(AV85=4,AV85=5)),"IEQL",IF(AND(EL85="EQH",OR(AV85=1,AV85=2)),"IEQH",""))</f>
        <v/>
      </c>
      <c r="FI85" s="15" t="str">
        <f>IF(AND(EM85="EQL",OR(AW85=4,AW85=5)),"IEQL",IF(AND(EM85="EQH",OR(AW85=1,AW85=2)),"IEQH",""))</f>
        <v/>
      </c>
      <c r="FJ85" s="15" t="str">
        <f>IF(AND(EN85="EQL",OR(AX85=4,AX85=5)),"IEQL",IF(AND(EN85="EQH",OR(AX85=1,AX85=2)),"IEQH",""))</f>
        <v/>
      </c>
      <c r="FK85" s="15" t="str">
        <f>IF(AND(EO85="EQL",OR(AY85=4,AY85=5)),"IEQL",IF(AND(EO85="EQH",OR(AY85=1,AY85=2)),"IEQH",""))</f>
        <v/>
      </c>
      <c r="FL85" s="15" t="str">
        <f>IF(AND(EP85="EQL",OR(AZ85=4,AZ85=5)),"IEQL",IF(AND(EP85="EQH",OR(AZ85=1,AZ85=2)),"IEQH",""))</f>
        <v/>
      </c>
      <c r="FM85" s="15" t="str">
        <f>IF(AND(EQ85="EQL",OR(BA85=4,BA85=5)),"IEQL",IF(AND(EQ85="EQH",OR(BA85=1,BA85=2)),"IEQH",""))</f>
        <v/>
      </c>
      <c r="FN85" s="15" t="str">
        <f>IF(OR(AND(DJ85="LL",AP85=5),AND(DJ85="HH",AP85=2)),F85,"")</f>
        <v/>
      </c>
      <c r="FO85" s="15" t="str">
        <f>IF(FN85&lt;&gt;"",F84,"")</f>
        <v/>
      </c>
    </row>
    <row r="86" spans="1:171" s="15" customFormat="1" x14ac:dyDescent="0.55000000000000004">
      <c r="A86" s="15">
        <v>1776246306</v>
      </c>
      <c r="B86" s="15" t="s">
        <v>16</v>
      </c>
      <c r="C86" s="15" t="s">
        <v>17</v>
      </c>
      <c r="D86" s="15">
        <v>4798.21</v>
      </c>
      <c r="E86" s="15" t="s">
        <v>18</v>
      </c>
      <c r="F86" s="15">
        <v>4786.2299999999996</v>
      </c>
      <c r="G86" s="15">
        <f t="shared" si="220"/>
        <v>4827.08</v>
      </c>
      <c r="H86" s="15">
        <f t="shared" si="230"/>
        <v>4752.6000000000004</v>
      </c>
      <c r="I86" s="15">
        <f t="shared" si="240"/>
        <v>4757.92</v>
      </c>
      <c r="J86" s="15">
        <f t="shared" si="250"/>
        <v>4700.51</v>
      </c>
      <c r="K86" s="15">
        <f t="shared" si="260"/>
        <v>4703.7700000000004</v>
      </c>
      <c r="L86" s="15">
        <f t="shared" si="270"/>
        <v>4708.62</v>
      </c>
      <c r="M86" s="15">
        <f t="shared" si="280"/>
        <v>4638.7</v>
      </c>
      <c r="N86" s="15">
        <f t="shared" si="290"/>
        <v>4747.5</v>
      </c>
      <c r="O86" s="15">
        <f t="shared" si="300"/>
        <v>4730.8100000000004</v>
      </c>
      <c r="P86" s="15">
        <f t="shared" ref="P86:P117" si="310">F66</f>
        <v>4750.74</v>
      </c>
      <c r="Q86" s="15">
        <f t="shared" si="210"/>
        <v>4703.46</v>
      </c>
      <c r="R86" s="15">
        <v>-84.99</v>
      </c>
      <c r="S86" s="15">
        <f t="shared" si="221"/>
        <v>-23.69</v>
      </c>
      <c r="T86" s="15">
        <f t="shared" si="231"/>
        <v>-43.56</v>
      </c>
      <c r="U86" s="15">
        <f t="shared" si="241"/>
        <v>-19.32</v>
      </c>
      <c r="V86" s="15">
        <f t="shared" si="251"/>
        <v>-44.08</v>
      </c>
      <c r="W86" s="15">
        <f t="shared" si="261"/>
        <v>-36.24</v>
      </c>
      <c r="X86" s="15">
        <f t="shared" si="271"/>
        <v>-19.739999999999998</v>
      </c>
      <c r="Y86" s="15">
        <f t="shared" si="281"/>
        <v>-134.38</v>
      </c>
      <c r="Z86" s="15">
        <f t="shared" si="291"/>
        <v>-47.46</v>
      </c>
      <c r="AA86" s="15">
        <f t="shared" si="301"/>
        <v>-46.5</v>
      </c>
      <c r="AB86" s="15">
        <f t="shared" ref="AB86:AB117" si="311">R66</f>
        <v>-50.19</v>
      </c>
      <c r="AC86" s="15">
        <f t="shared" si="211"/>
        <v>-29.56</v>
      </c>
      <c r="AD86" s="15">
        <v>-1.74</v>
      </c>
      <c r="AE86" s="15">
        <f t="shared" si="222"/>
        <v>-0.49</v>
      </c>
      <c r="AF86" s="15">
        <f t="shared" si="232"/>
        <v>-0.91</v>
      </c>
      <c r="AG86" s="15">
        <f t="shared" si="242"/>
        <v>-0.4</v>
      </c>
      <c r="AH86" s="15">
        <f t="shared" si="252"/>
        <v>-0.93</v>
      </c>
      <c r="AI86" s="15">
        <f t="shared" si="262"/>
        <v>-0.76</v>
      </c>
      <c r="AJ86" s="15">
        <f t="shared" si="272"/>
        <v>-0.42</v>
      </c>
      <c r="AK86" s="15">
        <f t="shared" si="282"/>
        <v>-2.82</v>
      </c>
      <c r="AL86" s="15">
        <f t="shared" si="292"/>
        <v>-0.99</v>
      </c>
      <c r="AM86" s="15">
        <f t="shared" si="302"/>
        <v>-0.97</v>
      </c>
      <c r="AN86" s="15">
        <f t="shared" ref="AN86:AN117" si="312">AD66</f>
        <v>-1.05</v>
      </c>
      <c r="AO86" s="15">
        <f t="shared" si="212"/>
        <v>-0.62</v>
      </c>
      <c r="AP86" s="15">
        <v>3</v>
      </c>
      <c r="AQ86" s="15">
        <f t="shared" si="223"/>
        <v>3</v>
      </c>
      <c r="AR86" s="15">
        <f t="shared" si="233"/>
        <v>3</v>
      </c>
      <c r="AS86" s="15">
        <f t="shared" si="243"/>
        <v>3</v>
      </c>
      <c r="AT86" s="15">
        <f t="shared" si="253"/>
        <v>3</v>
      </c>
      <c r="AU86" s="15">
        <f t="shared" si="263"/>
        <v>3</v>
      </c>
      <c r="AV86" s="15">
        <f t="shared" si="273"/>
        <v>3</v>
      </c>
      <c r="AW86" s="15">
        <f t="shared" si="283"/>
        <v>3</v>
      </c>
      <c r="AX86" s="15">
        <f t="shared" si="293"/>
        <v>3</v>
      </c>
      <c r="AY86" s="15">
        <f t="shared" si="303"/>
        <v>3</v>
      </c>
      <c r="AZ86" s="15">
        <f t="shared" ref="AZ86:AZ117" si="313">AP66</f>
        <v>3</v>
      </c>
      <c r="BA86" s="15">
        <f t="shared" si="213"/>
        <v>3</v>
      </c>
      <c r="BB86" s="15">
        <v>34</v>
      </c>
      <c r="BC86" s="15">
        <f t="shared" si="224"/>
        <v>10</v>
      </c>
      <c r="BD86" s="15">
        <f t="shared" si="234"/>
        <v>14</v>
      </c>
      <c r="BE86" s="15">
        <f t="shared" si="244"/>
        <v>11</v>
      </c>
      <c r="BF86" s="15">
        <f t="shared" si="254"/>
        <v>5</v>
      </c>
      <c r="BG86" s="15">
        <f t="shared" si="264"/>
        <v>16</v>
      </c>
      <c r="BH86" s="15">
        <f t="shared" si="274"/>
        <v>9</v>
      </c>
      <c r="BI86" s="15">
        <f t="shared" si="284"/>
        <v>10</v>
      </c>
      <c r="BJ86" s="15">
        <f t="shared" si="294"/>
        <v>6</v>
      </c>
      <c r="BK86" s="15">
        <f t="shared" si="304"/>
        <v>29</v>
      </c>
      <c r="BL86" s="15">
        <f t="shared" ref="BL86:BL117" si="314">BB66</f>
        <v>22</v>
      </c>
      <c r="BM86" s="15">
        <f t="shared" si="214"/>
        <v>16</v>
      </c>
      <c r="BN86" s="15">
        <v>3</v>
      </c>
      <c r="BO86" s="15">
        <f t="shared" si="225"/>
        <v>3</v>
      </c>
      <c r="BP86" s="15">
        <f t="shared" si="235"/>
        <v>3</v>
      </c>
      <c r="BQ86" s="15">
        <f t="shared" si="245"/>
        <v>3</v>
      </c>
      <c r="BR86" s="15">
        <f t="shared" si="255"/>
        <v>3</v>
      </c>
      <c r="BS86" s="15">
        <f t="shared" si="265"/>
        <v>3</v>
      </c>
      <c r="BT86" s="15">
        <f t="shared" si="275"/>
        <v>3</v>
      </c>
      <c r="BU86" s="15">
        <f t="shared" si="285"/>
        <v>3</v>
      </c>
      <c r="BV86" s="15">
        <f t="shared" si="295"/>
        <v>3</v>
      </c>
      <c r="BW86" s="15">
        <f t="shared" si="305"/>
        <v>3</v>
      </c>
      <c r="BX86" s="15">
        <f t="shared" ref="BX86:BX117" si="315">BN66</f>
        <v>3</v>
      </c>
      <c r="BY86" s="15">
        <f t="shared" si="215"/>
        <v>3</v>
      </c>
      <c r="BZ86" s="15">
        <v>-2.4997099999999999</v>
      </c>
      <c r="CA86" s="15">
        <f t="shared" si="226"/>
        <v>-2.3690000000000002</v>
      </c>
      <c r="CB86" s="15">
        <f t="shared" si="236"/>
        <v>-3.1114299999999999</v>
      </c>
      <c r="CC86" s="15">
        <f t="shared" si="246"/>
        <v>-1.7563599999999999</v>
      </c>
      <c r="CD86" s="15">
        <f t="shared" si="256"/>
        <v>-8.8160000000000007</v>
      </c>
      <c r="CE86" s="15">
        <f t="shared" si="266"/>
        <v>-2.2650000000000001</v>
      </c>
      <c r="CF86" s="15">
        <f t="shared" si="276"/>
        <v>-2.19333</v>
      </c>
      <c r="CG86" s="15">
        <f t="shared" si="286"/>
        <v>-13.438000000000001</v>
      </c>
      <c r="CH86" s="15">
        <f t="shared" si="296"/>
        <v>-7.91</v>
      </c>
      <c r="CI86" s="15">
        <f t="shared" si="306"/>
        <v>-1.60345</v>
      </c>
      <c r="CJ86" s="15">
        <f t="shared" ref="CJ86:CJ117" si="316">BZ66</f>
        <v>-2.2813599999999998</v>
      </c>
      <c r="CK86" s="15">
        <f t="shared" si="216"/>
        <v>-1.8474999999999999</v>
      </c>
      <c r="CL86" s="15">
        <v>3</v>
      </c>
      <c r="CM86" s="15">
        <f t="shared" si="227"/>
        <v>3</v>
      </c>
      <c r="CN86" s="15">
        <f t="shared" si="237"/>
        <v>3</v>
      </c>
      <c r="CO86" s="15">
        <f t="shared" si="247"/>
        <v>3</v>
      </c>
      <c r="CP86" s="15">
        <f t="shared" si="257"/>
        <v>3</v>
      </c>
      <c r="CQ86" s="15">
        <f t="shared" si="267"/>
        <v>3</v>
      </c>
      <c r="CR86" s="15">
        <f t="shared" si="277"/>
        <v>3</v>
      </c>
      <c r="CS86" s="15">
        <f t="shared" si="287"/>
        <v>3</v>
      </c>
      <c r="CT86" s="15">
        <f t="shared" si="297"/>
        <v>3</v>
      </c>
      <c r="CU86" s="15">
        <f t="shared" si="307"/>
        <v>3</v>
      </c>
      <c r="CV86" s="15">
        <f t="shared" ref="CV86:CV117" si="317">CL66</f>
        <v>3</v>
      </c>
      <c r="CW86" s="15">
        <f t="shared" si="217"/>
        <v>3</v>
      </c>
      <c r="CX86" s="15">
        <v>-68.196299999999994</v>
      </c>
      <c r="CY86" s="15">
        <f t="shared" si="228"/>
        <v>-67.114500000000007</v>
      </c>
      <c r="CZ86" s="15">
        <f t="shared" si="238"/>
        <v>-72.1828</v>
      </c>
      <c r="DA86" s="15">
        <f t="shared" si="248"/>
        <v>-60.3446</v>
      </c>
      <c r="DB86" s="15">
        <f t="shared" si="258"/>
        <v>-83.528599999999997</v>
      </c>
      <c r="DC86" s="15">
        <f t="shared" si="268"/>
        <v>-66.1785</v>
      </c>
      <c r="DD86" s="15">
        <f t="shared" si="278"/>
        <v>-65.490499999999997</v>
      </c>
      <c r="DE86" s="15">
        <f t="shared" si="288"/>
        <v>-85.744100000000003</v>
      </c>
      <c r="DF86" s="15">
        <f t="shared" si="298"/>
        <v>-82.794799999999995</v>
      </c>
      <c r="DG86" s="15">
        <f t="shared" si="308"/>
        <v>-58.05</v>
      </c>
      <c r="DH86" s="15">
        <f t="shared" ref="DH86:DH117" si="318">CX66</f>
        <v>-66.330500000000001</v>
      </c>
      <c r="DI86" s="15">
        <f t="shared" si="218"/>
        <v>-61.574599999999997</v>
      </c>
      <c r="DJ86" s="15" t="s">
        <v>19</v>
      </c>
      <c r="DK86" s="15" t="str">
        <f t="shared" si="229"/>
        <v>HL</v>
      </c>
      <c r="DL86" s="15" t="str">
        <f t="shared" si="239"/>
        <v>LL</v>
      </c>
      <c r="DM86" s="15" t="str">
        <f t="shared" si="249"/>
        <v>HL</v>
      </c>
      <c r="DN86" s="15" t="str">
        <f t="shared" si="259"/>
        <v>LL</v>
      </c>
      <c r="DO86" s="15" t="str">
        <f t="shared" si="269"/>
        <v>LL</v>
      </c>
      <c r="DP86" s="15" t="str">
        <f t="shared" si="279"/>
        <v>HL</v>
      </c>
      <c r="DQ86" s="15" t="str">
        <f t="shared" si="289"/>
        <v>LL</v>
      </c>
      <c r="DR86" s="15" t="str">
        <f t="shared" si="299"/>
        <v>HL</v>
      </c>
      <c r="DS86" s="15" t="str">
        <f t="shared" si="309"/>
        <v>LL</v>
      </c>
      <c r="DT86" s="15" t="str">
        <f t="shared" ref="DT86:DT117" si="319">DJ66</f>
        <v>HL</v>
      </c>
      <c r="DU86" s="15" t="str">
        <f t="shared" si="219"/>
        <v>HL</v>
      </c>
      <c r="DV86" s="15">
        <f>IFERROR((G86-$F86)/$F86*100,"")</f>
        <v>0.85349011643820649</v>
      </c>
      <c r="DW86" s="15">
        <f>IFERROR((H86-$F86)/$F86*100,"")</f>
        <v>-0.70264070050957017</v>
      </c>
      <c r="DX86" s="15">
        <f>IFERROR((I86-$F86)/$F86*100,"")</f>
        <v>-0.59148849929902014</v>
      </c>
      <c r="DY86" s="15">
        <f>IFERROR((J86-$F86)/$F86*100,"")</f>
        <v>-1.7909711819114282</v>
      </c>
      <c r="DZ86" s="15">
        <f>IFERROR((K86-$F86)/$F86*100,"")</f>
        <v>-1.7228591187636015</v>
      </c>
      <c r="EA86" s="15">
        <f>IFERROR((L86-$F86)/$F86*100,"")</f>
        <v>-1.6215267548780499</v>
      </c>
      <c r="EB86" s="15">
        <f>IFERROR((M86-$F86)/$F86*100,"")</f>
        <v>-3.082384256502503</v>
      </c>
      <c r="EC86" s="15">
        <f>IFERROR((N86-$F86)/$F86*100,"")</f>
        <v>-0.80919638212120126</v>
      </c>
      <c r="ED86" s="15">
        <f>IFERROR((O86-$F86)/$F86*100,"")</f>
        <v>-1.1579050735129564</v>
      </c>
      <c r="EE86" s="15">
        <f>IFERROR((P86-$F86)/$F86*100,"")</f>
        <v>-0.74150218439146853</v>
      </c>
      <c r="EF86" s="15">
        <f>IFERROR((Q86-$F86)/$F86*100,"")</f>
        <v>-1.7293360327439242</v>
      </c>
      <c r="EG86" s="15" t="str">
        <f>IF(DV86="","",IF(AND(ABS(DV86)&lt;=0.25,$E86="Bottom",DK86="LL"),"EQL",IF(AND(ABS(DV86)&lt;=0.25,$E86="Peak",DK86="HH"),"EQH","")))</f>
        <v/>
      </c>
      <c r="EH86" s="15" t="str">
        <f>IF(DW86="","",IF(AND(ABS(DW86)&lt;=0.25,$E86="Bottom",DL86="LL"),"EQL",IF(AND(ABS(DW86)&lt;=0.25,$E86="Peak",DL86="HH"),"EQH","")))</f>
        <v/>
      </c>
      <c r="EI86" s="15" t="str">
        <f>IF(DX86="","",IF(AND(ABS(DX86)&lt;=0.25,$E86="Bottom",DM86="LL"),"EQL",IF(AND(ABS(DX86)&lt;=0.25,$E86="Peak",DM86="HH"),"EQH","")))</f>
        <v/>
      </c>
      <c r="EJ86" s="15" t="str">
        <f>IF(DY86="","",IF(AND(ABS(DY86)&lt;=0.25,$E86="Bottom",DN86="LL"),"EQL",IF(AND(ABS(DY86)&lt;=0.25,$E86="Peak",DN86="HH"),"EQH","")))</f>
        <v/>
      </c>
      <c r="EK86" s="15" t="str">
        <f>IF(DZ86="","",IF(AND(ABS(DZ86)&lt;=0.25,$E86="Bottom",DO86="LL"),"EQL",IF(AND(ABS(DZ86)&lt;=0.25,$E86="Peak",DO86="HH"),"EQH","")))</f>
        <v/>
      </c>
      <c r="EL86" s="15" t="str">
        <f>IF(EA86="","",IF(AND(ABS(EA86)&lt;=0.25,$E86="Bottom",DP86="LL"),"EQL",IF(AND(ABS(EA86)&lt;=0.25,$E86="Peak",DP86="HH"),"EQH","")))</f>
        <v/>
      </c>
      <c r="EM86" s="15" t="str">
        <f>IF(EB86="","",IF(AND(ABS(EB86)&lt;=0.25,$E86="Bottom",DQ86="LL"),"EQL",IF(AND(ABS(EB86)&lt;=0.25,$E86="Peak",DQ86="HH"),"EQH","")))</f>
        <v/>
      </c>
      <c r="EN86" s="15" t="str">
        <f>IF(EC86="","",IF(AND(ABS(EC86)&lt;=0.25,$E86="Bottom",DR86="LL"),"EQL",IF(AND(ABS(EC86)&lt;=0.25,$E86="Peak",DR86="HH"),"EQH","")))</f>
        <v/>
      </c>
      <c r="EO86" s="15" t="str">
        <f>IF(ED86="","",IF(AND(ABS(ED86)&lt;=0.25,$E86="Bottom",DS86="LL"),"EQL",IF(AND(ABS(ED86)&lt;=0.25,$E86="Peak",DS86="HH"),"EQH","")))</f>
        <v/>
      </c>
      <c r="EP86" s="15" t="str">
        <f>IF(EE86="","",IF(AND(ABS(EE86)&lt;=0.25,$E86="Bottom",DT86="LL"),"EQL",IF(AND(ABS(EE86)&lt;=0.25,$E86="Peak",DT86="HH"),"EQH","")))</f>
        <v/>
      </c>
      <c r="EQ86" s="15" t="str">
        <f>IF(EF86="","",IF(AND(ABS(EF86)&lt;=0.25,$E86="Bottom",DU86="LL"),"EQL",IF(AND(ABS(EF86)&lt;=0.25,$E86="Peak",DU86="HH"),"EQH","")))</f>
        <v/>
      </c>
      <c r="ER86" s="15" t="str">
        <f>IF(OR(EG86="EQL",EG86="EQH"),F86,"")</f>
        <v/>
      </c>
      <c r="ES86" s="15" t="str">
        <f>IF(OR(EH86="EQL",EH86="EQH"),G86,"")</f>
        <v/>
      </c>
      <c r="ET86" s="15" t="str">
        <f>IF(OR(EI86="EQL",EI86="EQH"),H86,"")</f>
        <v/>
      </c>
      <c r="EU86" s="15" t="str">
        <f>IF(OR(EJ86="EQL",EJ86="EQH"),I86,"")</f>
        <v/>
      </c>
      <c r="EV86" s="15" t="str">
        <f>IF(OR(EK86="EQL",EK86="EQH"),J86,"")</f>
        <v/>
      </c>
      <c r="EW86" s="15" t="str">
        <f>IF(OR(EL86="EQL",EL86="EQH"),K86,"")</f>
        <v/>
      </c>
      <c r="EX86" s="15" t="str">
        <f>IF(OR(EM86="EQL",EM86="EQH"),L86,"")</f>
        <v/>
      </c>
      <c r="EY86" s="15" t="str">
        <f>IF(OR(EN86="EQL",EN86="EQH"),M86,"")</f>
        <v/>
      </c>
      <c r="EZ86" s="15" t="str">
        <f>IF(OR(EO86="EQL",EO86="EQH"),N86,"")</f>
        <v/>
      </c>
      <c r="FA86" s="15" t="str">
        <f>IF(OR(EP86="EQL",EP86="EQH"),O86,"")</f>
        <v/>
      </c>
      <c r="FB86" s="15" t="str">
        <f>IF(OR(EQ86="EQL",EQ86="EQH"),P86,"")</f>
        <v/>
      </c>
      <c r="FC86" s="15" t="str">
        <f>IF(AND(EG86="EQL",OR(AQ86=4,AQ86=5)),"IEQL",IF(AND(EG86="EQH",OR(AQ86=1,AQ86=2)),"IEQH",""))</f>
        <v/>
      </c>
      <c r="FD86" s="15" t="str">
        <f>IF(AND(EH86="EQL",OR(AR86=4,AR86=5)),"IEQL",IF(AND(EH86="EQH",OR(AR86=1,AR86=2)),"IEQH",""))</f>
        <v/>
      </c>
      <c r="FE86" s="15" t="str">
        <f>IF(AND(EI86="EQL",OR(AS86=4,AS86=5)),"IEQL",IF(AND(EI86="EQH",OR(AS86=1,AS86=2)),"IEQH",""))</f>
        <v/>
      </c>
      <c r="FF86" s="15" t="str">
        <f>IF(AND(EJ86="EQL",OR(AT86=4,AT86=5)),"IEQL",IF(AND(EJ86="EQH",OR(AT86=1,AT86=2)),"IEQH",""))</f>
        <v/>
      </c>
      <c r="FG86" s="15" t="str">
        <f>IF(AND(EK86="EQL",OR(AU86=4,AU86=5)),"IEQL",IF(AND(EK86="EQH",OR(AU86=1,AU86=2)),"IEQH",""))</f>
        <v/>
      </c>
      <c r="FH86" s="15" t="str">
        <f>IF(AND(EL86="EQL",OR(AV86=4,AV86=5)),"IEQL",IF(AND(EL86="EQH",OR(AV86=1,AV86=2)),"IEQH",""))</f>
        <v/>
      </c>
      <c r="FI86" s="15" t="str">
        <f>IF(AND(EM86="EQL",OR(AW86=4,AW86=5)),"IEQL",IF(AND(EM86="EQH",OR(AW86=1,AW86=2)),"IEQH",""))</f>
        <v/>
      </c>
      <c r="FJ86" s="15" t="str">
        <f>IF(AND(EN86="EQL",OR(AX86=4,AX86=5)),"IEQL",IF(AND(EN86="EQH",OR(AX86=1,AX86=2)),"IEQH",""))</f>
        <v/>
      </c>
      <c r="FK86" s="15" t="str">
        <f>IF(AND(EO86="EQL",OR(AY86=4,AY86=5)),"IEQL",IF(AND(EO86="EQH",OR(AY86=1,AY86=2)),"IEQH",""))</f>
        <v/>
      </c>
      <c r="FL86" s="15" t="str">
        <f>IF(AND(EP86="EQL",OR(AZ86=4,AZ86=5)),"IEQL",IF(AND(EP86="EQH",OR(AZ86=1,AZ86=2)),"IEQH",""))</f>
        <v/>
      </c>
      <c r="FM86" s="15" t="str">
        <f>IF(AND(EQ86="EQL",OR(BA86=4,BA86=5)),"IEQL",IF(AND(EQ86="EQH",OR(BA86=1,BA86=2)),"IEQH",""))</f>
        <v/>
      </c>
      <c r="FN86" s="15" t="str">
        <f>IF(OR(AND(DJ86="LL",AP86=5),AND(DJ86="HH",AP86=2)),F86,"")</f>
        <v/>
      </c>
      <c r="FO86" s="15" t="str">
        <f>IF(FN86&lt;&gt;"",F85,"")</f>
        <v/>
      </c>
    </row>
    <row r="87" spans="1:171" s="15" customFormat="1" x14ac:dyDescent="0.55000000000000004">
      <c r="A87" s="15">
        <v>1776262506</v>
      </c>
      <c r="B87" s="15" t="s">
        <v>16</v>
      </c>
      <c r="C87" s="15" t="s">
        <v>17</v>
      </c>
      <c r="D87" s="15">
        <v>4825.22</v>
      </c>
      <c r="E87" s="15" t="s">
        <v>20</v>
      </c>
      <c r="F87" s="15">
        <v>4830.3900000000003</v>
      </c>
      <c r="G87" s="15">
        <f t="shared" si="220"/>
        <v>4871.22</v>
      </c>
      <c r="H87" s="15">
        <f t="shared" si="230"/>
        <v>4850.7700000000004</v>
      </c>
      <c r="I87" s="15">
        <f t="shared" si="240"/>
        <v>4796.16</v>
      </c>
      <c r="J87" s="15">
        <f t="shared" si="250"/>
        <v>4777.24</v>
      </c>
      <c r="K87" s="15">
        <f t="shared" si="260"/>
        <v>4744.59</v>
      </c>
      <c r="L87" s="15">
        <f t="shared" si="270"/>
        <v>4740.01</v>
      </c>
      <c r="M87" s="15">
        <f t="shared" si="280"/>
        <v>4728.3599999999997</v>
      </c>
      <c r="N87" s="15">
        <f t="shared" si="290"/>
        <v>4773.08</v>
      </c>
      <c r="O87" s="15">
        <f t="shared" si="300"/>
        <v>4794.96</v>
      </c>
      <c r="P87" s="15">
        <f t="shared" si="310"/>
        <v>4777.3100000000004</v>
      </c>
      <c r="Q87" s="15">
        <f t="shared" si="210"/>
        <v>4800.93</v>
      </c>
      <c r="R87" s="15">
        <v>44.16</v>
      </c>
      <c r="S87" s="15">
        <f t="shared" si="221"/>
        <v>44.14</v>
      </c>
      <c r="T87" s="15">
        <f t="shared" si="231"/>
        <v>98.17</v>
      </c>
      <c r="U87" s="15">
        <f t="shared" si="241"/>
        <v>38.24</v>
      </c>
      <c r="V87" s="15">
        <f t="shared" si="251"/>
        <v>76.73</v>
      </c>
      <c r="W87" s="15">
        <f t="shared" si="261"/>
        <v>40.82</v>
      </c>
      <c r="X87" s="15">
        <f t="shared" si="271"/>
        <v>31.39</v>
      </c>
      <c r="Y87" s="15">
        <f t="shared" si="281"/>
        <v>89.66</v>
      </c>
      <c r="Z87" s="15">
        <f t="shared" si="291"/>
        <v>25.58</v>
      </c>
      <c r="AA87" s="15">
        <f t="shared" si="301"/>
        <v>64.150000000000006</v>
      </c>
      <c r="AB87" s="15">
        <f t="shared" si="311"/>
        <v>26.57</v>
      </c>
      <c r="AC87" s="15">
        <f t="shared" si="211"/>
        <v>97.47</v>
      </c>
      <c r="AD87" s="15">
        <v>0.92</v>
      </c>
      <c r="AE87" s="15">
        <f t="shared" si="222"/>
        <v>0.91</v>
      </c>
      <c r="AF87" s="15">
        <f t="shared" si="232"/>
        <v>2.0699999999999998</v>
      </c>
      <c r="AG87" s="15">
        <f t="shared" si="242"/>
        <v>0.8</v>
      </c>
      <c r="AH87" s="15">
        <f t="shared" si="252"/>
        <v>1.63</v>
      </c>
      <c r="AI87" s="15">
        <f t="shared" si="262"/>
        <v>0.87</v>
      </c>
      <c r="AJ87" s="15">
        <f t="shared" si="272"/>
        <v>0.67</v>
      </c>
      <c r="AK87" s="15">
        <f t="shared" si="282"/>
        <v>1.93</v>
      </c>
      <c r="AL87" s="15">
        <f t="shared" si="292"/>
        <v>0.54</v>
      </c>
      <c r="AM87" s="15">
        <f t="shared" si="302"/>
        <v>1.36</v>
      </c>
      <c r="AN87" s="15">
        <f t="shared" si="312"/>
        <v>0.56000000000000005</v>
      </c>
      <c r="AO87" s="15">
        <f t="shared" si="212"/>
        <v>2.0699999999999998</v>
      </c>
      <c r="AP87" s="15">
        <v>0</v>
      </c>
      <c r="AQ87" s="15">
        <f t="shared" si="223"/>
        <v>0</v>
      </c>
      <c r="AR87" s="15">
        <f t="shared" si="233"/>
        <v>0</v>
      </c>
      <c r="AS87" s="15">
        <f t="shared" si="243"/>
        <v>0</v>
      </c>
      <c r="AT87" s="15">
        <f t="shared" si="253"/>
        <v>0</v>
      </c>
      <c r="AU87" s="15">
        <f t="shared" si="263"/>
        <v>0</v>
      </c>
      <c r="AV87" s="15">
        <f t="shared" si="273"/>
        <v>0</v>
      </c>
      <c r="AW87" s="15">
        <f t="shared" si="283"/>
        <v>0</v>
      </c>
      <c r="AX87" s="15">
        <f t="shared" si="293"/>
        <v>0</v>
      </c>
      <c r="AY87" s="15">
        <f t="shared" si="303"/>
        <v>0</v>
      </c>
      <c r="AZ87" s="15">
        <f t="shared" si="313"/>
        <v>0</v>
      </c>
      <c r="BA87" s="15">
        <f t="shared" si="213"/>
        <v>0</v>
      </c>
      <c r="BB87" s="15">
        <v>18</v>
      </c>
      <c r="BC87" s="15">
        <f t="shared" si="224"/>
        <v>3</v>
      </c>
      <c r="BD87" s="15">
        <f t="shared" si="234"/>
        <v>42</v>
      </c>
      <c r="BE87" s="15">
        <f t="shared" si="244"/>
        <v>6</v>
      </c>
      <c r="BF87" s="15">
        <f t="shared" si="254"/>
        <v>43</v>
      </c>
      <c r="BG87" s="15">
        <f t="shared" si="264"/>
        <v>8</v>
      </c>
      <c r="BH87" s="15">
        <f t="shared" si="274"/>
        <v>15</v>
      </c>
      <c r="BI87" s="15">
        <f t="shared" si="284"/>
        <v>15</v>
      </c>
      <c r="BJ87" s="15">
        <f t="shared" si="294"/>
        <v>10</v>
      </c>
      <c r="BK87" s="15">
        <f t="shared" si="304"/>
        <v>23</v>
      </c>
      <c r="BL87" s="15">
        <f t="shared" si="314"/>
        <v>6</v>
      </c>
      <c r="BM87" s="15">
        <f t="shared" si="214"/>
        <v>43</v>
      </c>
      <c r="BN87" s="15">
        <v>0</v>
      </c>
      <c r="BO87" s="15">
        <f t="shared" si="225"/>
        <v>0</v>
      </c>
      <c r="BP87" s="15">
        <f t="shared" si="235"/>
        <v>1</v>
      </c>
      <c r="BQ87" s="15">
        <f t="shared" si="245"/>
        <v>0</v>
      </c>
      <c r="BR87" s="15">
        <f t="shared" si="255"/>
        <v>1</v>
      </c>
      <c r="BS87" s="15">
        <f t="shared" si="265"/>
        <v>0</v>
      </c>
      <c r="BT87" s="15">
        <f t="shared" si="275"/>
        <v>0</v>
      </c>
      <c r="BU87" s="15">
        <f t="shared" si="285"/>
        <v>0</v>
      </c>
      <c r="BV87" s="15">
        <f t="shared" si="295"/>
        <v>0</v>
      </c>
      <c r="BW87" s="15">
        <f t="shared" si="305"/>
        <v>0</v>
      </c>
      <c r="BX87" s="15">
        <f t="shared" si="315"/>
        <v>0</v>
      </c>
      <c r="BY87" s="15">
        <f t="shared" si="215"/>
        <v>1</v>
      </c>
      <c r="BZ87" s="15">
        <v>2.4533299999999998</v>
      </c>
      <c r="CA87" s="15">
        <f t="shared" si="226"/>
        <v>14.713329999999999</v>
      </c>
      <c r="CB87" s="15">
        <f t="shared" si="236"/>
        <v>2.33738</v>
      </c>
      <c r="CC87" s="15">
        <f t="shared" si="246"/>
        <v>6.3733300000000002</v>
      </c>
      <c r="CD87" s="15">
        <f t="shared" si="256"/>
        <v>1.7844199999999999</v>
      </c>
      <c r="CE87" s="15">
        <f t="shared" si="266"/>
        <v>5.1025</v>
      </c>
      <c r="CF87" s="15">
        <f t="shared" si="276"/>
        <v>2.09267</v>
      </c>
      <c r="CG87" s="15">
        <f t="shared" si="286"/>
        <v>5.9773300000000003</v>
      </c>
      <c r="CH87" s="15">
        <f t="shared" si="296"/>
        <v>2.5579999999999998</v>
      </c>
      <c r="CI87" s="15">
        <f t="shared" si="306"/>
        <v>2.7891300000000001</v>
      </c>
      <c r="CJ87" s="15">
        <f t="shared" si="316"/>
        <v>4.4283299999999999</v>
      </c>
      <c r="CK87" s="15">
        <f t="shared" si="216"/>
        <v>2.26674</v>
      </c>
      <c r="CL87" s="15">
        <v>0</v>
      </c>
      <c r="CM87" s="15">
        <f t="shared" si="227"/>
        <v>0</v>
      </c>
      <c r="CN87" s="15">
        <f t="shared" si="237"/>
        <v>0</v>
      </c>
      <c r="CO87" s="15">
        <f t="shared" si="247"/>
        <v>0</v>
      </c>
      <c r="CP87" s="15">
        <f t="shared" si="257"/>
        <v>0</v>
      </c>
      <c r="CQ87" s="15">
        <f t="shared" si="267"/>
        <v>0</v>
      </c>
      <c r="CR87" s="15">
        <f t="shared" si="277"/>
        <v>0</v>
      </c>
      <c r="CS87" s="15">
        <f t="shared" si="287"/>
        <v>0</v>
      </c>
      <c r="CT87" s="15">
        <f t="shared" si="297"/>
        <v>0</v>
      </c>
      <c r="CU87" s="15">
        <f t="shared" si="307"/>
        <v>0</v>
      </c>
      <c r="CV87" s="15">
        <f t="shared" si="317"/>
        <v>0</v>
      </c>
      <c r="CW87" s="15">
        <f t="shared" si="217"/>
        <v>0</v>
      </c>
      <c r="CX87" s="15">
        <v>67.823800000000006</v>
      </c>
      <c r="CY87" s="15">
        <f t="shared" si="228"/>
        <v>86.111800000000002</v>
      </c>
      <c r="CZ87" s="15">
        <f t="shared" si="238"/>
        <v>66.837299999999999</v>
      </c>
      <c r="DA87" s="15">
        <f t="shared" si="248"/>
        <v>81.082800000000006</v>
      </c>
      <c r="DB87" s="15">
        <f t="shared" si="258"/>
        <v>60.733400000000003</v>
      </c>
      <c r="DC87" s="15">
        <f t="shared" si="268"/>
        <v>78.911600000000007</v>
      </c>
      <c r="DD87" s="15">
        <f t="shared" si="278"/>
        <v>64.458799999999997</v>
      </c>
      <c r="DE87" s="15">
        <f t="shared" si="288"/>
        <v>80.502399999999994</v>
      </c>
      <c r="DF87" s="15">
        <f t="shared" si="298"/>
        <v>68.647999999999996</v>
      </c>
      <c r="DG87" s="15">
        <f t="shared" si="308"/>
        <v>70.275499999999994</v>
      </c>
      <c r="DH87" s="15">
        <f t="shared" si="318"/>
        <v>77.275000000000006</v>
      </c>
      <c r="DI87" s="15">
        <f t="shared" si="218"/>
        <v>66.194800000000001</v>
      </c>
      <c r="DJ87" s="15" t="s">
        <v>21</v>
      </c>
      <c r="DK87" s="15" t="str">
        <f t="shared" si="229"/>
        <v>HH</v>
      </c>
      <c r="DL87" s="15" t="str">
        <f t="shared" si="239"/>
        <v>HH</v>
      </c>
      <c r="DM87" s="15" t="str">
        <f t="shared" si="249"/>
        <v>HH</v>
      </c>
      <c r="DN87" s="15" t="str">
        <f t="shared" si="259"/>
        <v>HH</v>
      </c>
      <c r="DO87" s="15" t="str">
        <f t="shared" si="269"/>
        <v>HH</v>
      </c>
      <c r="DP87" s="15" t="str">
        <f t="shared" si="279"/>
        <v>HH</v>
      </c>
      <c r="DQ87" s="15" t="str">
        <f t="shared" si="289"/>
        <v>LH</v>
      </c>
      <c r="DR87" s="15" t="str">
        <f t="shared" si="299"/>
        <v>LH</v>
      </c>
      <c r="DS87" s="15" t="str">
        <f t="shared" si="309"/>
        <v>HH</v>
      </c>
      <c r="DT87" s="15" t="str">
        <f t="shared" si="319"/>
        <v>LH</v>
      </c>
      <c r="DU87" s="15" t="str">
        <f t="shared" si="219"/>
        <v>HH</v>
      </c>
      <c r="DV87" s="15">
        <f>IFERROR((G87-$F87)/$F87*100,"")</f>
        <v>0.84527336302037559</v>
      </c>
      <c r="DW87" s="15">
        <f>IFERROR((H87-$F87)/$F87*100,"")</f>
        <v>0.42191210233542442</v>
      </c>
      <c r="DX87" s="15">
        <f>IFERROR((I87-$F87)/$F87*100,"")</f>
        <v>-0.70863843292157502</v>
      </c>
      <c r="DY87" s="15">
        <f>IFERROR((J87-$F87)/$F87*100,"")</f>
        <v>-1.1003252325381707</v>
      </c>
      <c r="DZ87" s="15">
        <f>IFERROR((K87-$F87)/$F87*100,"")</f>
        <v>-1.7762540912845584</v>
      </c>
      <c r="EA87" s="15">
        <f>IFERROR((L87-$F87)/$F87*100,"")</f>
        <v>-1.8710704518682779</v>
      </c>
      <c r="EB87" s="15">
        <f>IFERROR((M87-$F87)/$F87*100,"")</f>
        <v>-2.1122518057548283</v>
      </c>
      <c r="EC87" s="15">
        <f>IFERROR((N87-$F87)/$F87*100,"")</f>
        <v>-1.1864466430246916</v>
      </c>
      <c r="ED87" s="15">
        <f>IFERROR((O87-$F87)/$F87*100,"")</f>
        <v>-0.7334811474849916</v>
      </c>
      <c r="EE87" s="15">
        <f>IFERROR((P87-$F87)/$F87*100,"")</f>
        <v>-1.098876074188625</v>
      </c>
      <c r="EF87" s="15">
        <f>IFERROR((Q87-$F87)/$F87*100,"")</f>
        <v>-0.60988864253197017</v>
      </c>
      <c r="EG87" s="15" t="str">
        <f>IF(DV87="","",IF(AND(ABS(DV87)&lt;=0.25,$E87="Bottom",DK87="LL"),"EQL",IF(AND(ABS(DV87)&lt;=0.25,$E87="Peak",DK87="HH"),"EQH","")))</f>
        <v/>
      </c>
      <c r="EH87" s="15" t="str">
        <f>IF(DW87="","",IF(AND(ABS(DW87)&lt;=0.25,$E87="Bottom",DL87="LL"),"EQL",IF(AND(ABS(DW87)&lt;=0.25,$E87="Peak",DL87="HH"),"EQH","")))</f>
        <v/>
      </c>
      <c r="EI87" s="15" t="str">
        <f>IF(DX87="","",IF(AND(ABS(DX87)&lt;=0.25,$E87="Bottom",DM87="LL"),"EQL",IF(AND(ABS(DX87)&lt;=0.25,$E87="Peak",DM87="HH"),"EQH","")))</f>
        <v/>
      </c>
      <c r="EJ87" s="15" t="str">
        <f>IF(DY87="","",IF(AND(ABS(DY87)&lt;=0.25,$E87="Bottom",DN87="LL"),"EQL",IF(AND(ABS(DY87)&lt;=0.25,$E87="Peak",DN87="HH"),"EQH","")))</f>
        <v/>
      </c>
      <c r="EK87" s="15" t="str">
        <f>IF(DZ87="","",IF(AND(ABS(DZ87)&lt;=0.25,$E87="Bottom",DO87="LL"),"EQL",IF(AND(ABS(DZ87)&lt;=0.25,$E87="Peak",DO87="HH"),"EQH","")))</f>
        <v/>
      </c>
      <c r="EL87" s="15" t="str">
        <f>IF(EA87="","",IF(AND(ABS(EA87)&lt;=0.25,$E87="Bottom",DP87="LL"),"EQL",IF(AND(ABS(EA87)&lt;=0.25,$E87="Peak",DP87="HH"),"EQH","")))</f>
        <v/>
      </c>
      <c r="EM87" s="15" t="str">
        <f>IF(EB87="","",IF(AND(ABS(EB87)&lt;=0.25,$E87="Bottom",DQ87="LL"),"EQL",IF(AND(ABS(EB87)&lt;=0.25,$E87="Peak",DQ87="HH"),"EQH","")))</f>
        <v/>
      </c>
      <c r="EN87" s="15" t="str">
        <f>IF(EC87="","",IF(AND(ABS(EC87)&lt;=0.25,$E87="Bottom",DR87="LL"),"EQL",IF(AND(ABS(EC87)&lt;=0.25,$E87="Peak",DR87="HH"),"EQH","")))</f>
        <v/>
      </c>
      <c r="EO87" s="15" t="str">
        <f>IF(ED87="","",IF(AND(ABS(ED87)&lt;=0.25,$E87="Bottom",DS87="LL"),"EQL",IF(AND(ABS(ED87)&lt;=0.25,$E87="Peak",DS87="HH"),"EQH","")))</f>
        <v/>
      </c>
      <c r="EP87" s="15" t="str">
        <f>IF(EE87="","",IF(AND(ABS(EE87)&lt;=0.25,$E87="Bottom",DT87="LL"),"EQL",IF(AND(ABS(EE87)&lt;=0.25,$E87="Peak",DT87="HH"),"EQH","")))</f>
        <v/>
      </c>
      <c r="EQ87" s="15" t="str">
        <f>IF(EF87="","",IF(AND(ABS(EF87)&lt;=0.25,$E87="Bottom",DU87="LL"),"EQL",IF(AND(ABS(EF87)&lt;=0.25,$E87="Peak",DU87="HH"),"EQH","")))</f>
        <v/>
      </c>
      <c r="ER87" s="15" t="str">
        <f>IF(OR(EG87="EQL",EG87="EQH"),F87,"")</f>
        <v/>
      </c>
      <c r="ES87" s="15" t="str">
        <f>IF(OR(EH87="EQL",EH87="EQH"),G87,"")</f>
        <v/>
      </c>
      <c r="ET87" s="15" t="str">
        <f>IF(OR(EI87="EQL",EI87="EQH"),H87,"")</f>
        <v/>
      </c>
      <c r="EU87" s="15" t="str">
        <f>IF(OR(EJ87="EQL",EJ87="EQH"),I87,"")</f>
        <v/>
      </c>
      <c r="EV87" s="15" t="str">
        <f>IF(OR(EK87="EQL",EK87="EQH"),J87,"")</f>
        <v/>
      </c>
      <c r="EW87" s="15" t="str">
        <f>IF(OR(EL87="EQL",EL87="EQH"),K87,"")</f>
        <v/>
      </c>
      <c r="EX87" s="15" t="str">
        <f>IF(OR(EM87="EQL",EM87="EQH"),L87,"")</f>
        <v/>
      </c>
      <c r="EY87" s="15" t="str">
        <f>IF(OR(EN87="EQL",EN87="EQH"),M87,"")</f>
        <v/>
      </c>
      <c r="EZ87" s="15" t="str">
        <f>IF(OR(EO87="EQL",EO87="EQH"),N87,"")</f>
        <v/>
      </c>
      <c r="FA87" s="15" t="str">
        <f>IF(OR(EP87="EQL",EP87="EQH"),O87,"")</f>
        <v/>
      </c>
      <c r="FB87" s="15" t="str">
        <f>IF(OR(EQ87="EQL",EQ87="EQH"),P87,"")</f>
        <v/>
      </c>
      <c r="FC87" s="15" t="str">
        <f>IF(AND(EG87="EQL",OR(AQ87=4,AQ87=5)),"IEQL",IF(AND(EG87="EQH",OR(AQ87=1,AQ87=2)),"IEQH",""))</f>
        <v/>
      </c>
      <c r="FD87" s="15" t="str">
        <f>IF(AND(EH87="EQL",OR(AR87=4,AR87=5)),"IEQL",IF(AND(EH87="EQH",OR(AR87=1,AR87=2)),"IEQH",""))</f>
        <v/>
      </c>
      <c r="FE87" s="15" t="str">
        <f>IF(AND(EI87="EQL",OR(AS87=4,AS87=5)),"IEQL",IF(AND(EI87="EQH",OR(AS87=1,AS87=2)),"IEQH",""))</f>
        <v/>
      </c>
      <c r="FF87" s="15" t="str">
        <f>IF(AND(EJ87="EQL",OR(AT87=4,AT87=5)),"IEQL",IF(AND(EJ87="EQH",OR(AT87=1,AT87=2)),"IEQH",""))</f>
        <v/>
      </c>
      <c r="FG87" s="15" t="str">
        <f>IF(AND(EK87="EQL",OR(AU87=4,AU87=5)),"IEQL",IF(AND(EK87="EQH",OR(AU87=1,AU87=2)),"IEQH",""))</f>
        <v/>
      </c>
      <c r="FH87" s="15" t="str">
        <f>IF(AND(EL87="EQL",OR(AV87=4,AV87=5)),"IEQL",IF(AND(EL87="EQH",OR(AV87=1,AV87=2)),"IEQH",""))</f>
        <v/>
      </c>
      <c r="FI87" s="15" t="str">
        <f>IF(AND(EM87="EQL",OR(AW87=4,AW87=5)),"IEQL",IF(AND(EM87="EQH",OR(AW87=1,AW87=2)),"IEQH",""))</f>
        <v/>
      </c>
      <c r="FJ87" s="15" t="str">
        <f>IF(AND(EN87="EQL",OR(AX87=4,AX87=5)),"IEQL",IF(AND(EN87="EQH",OR(AX87=1,AX87=2)),"IEQH",""))</f>
        <v/>
      </c>
      <c r="FK87" s="15" t="str">
        <f>IF(AND(EO87="EQL",OR(AY87=4,AY87=5)),"IEQL",IF(AND(EO87="EQH",OR(AY87=1,AY87=2)),"IEQH",""))</f>
        <v/>
      </c>
      <c r="FL87" s="15" t="str">
        <f>IF(AND(EP87="EQL",OR(AZ87=4,AZ87=5)),"IEQL",IF(AND(EP87="EQH",OR(AZ87=1,AZ87=2)),"IEQH",""))</f>
        <v/>
      </c>
      <c r="FM87" s="15" t="str">
        <f>IF(AND(EQ87="EQL",OR(BA87=4,BA87=5)),"IEQL",IF(AND(EQ87="EQH",OR(BA87=1,BA87=2)),"IEQH",""))</f>
        <v/>
      </c>
      <c r="FN87" s="15" t="str">
        <f>IF(OR(AND(DJ87="LL",AP87=5),AND(DJ87="HH",AP87=2)),F87,"")</f>
        <v/>
      </c>
      <c r="FO87" s="15" t="str">
        <f>IF(FN87&lt;&gt;"",F86,"")</f>
        <v/>
      </c>
    </row>
    <row r="88" spans="1:171" s="15" customFormat="1" x14ac:dyDescent="0.55000000000000004">
      <c r="A88" s="15">
        <v>1776267006</v>
      </c>
      <c r="B88" s="15" t="s">
        <v>16</v>
      </c>
      <c r="C88" s="15" t="s">
        <v>17</v>
      </c>
      <c r="D88" s="15">
        <v>4803.6400000000003</v>
      </c>
      <c r="E88" s="15" t="s">
        <v>18</v>
      </c>
      <c r="F88" s="15">
        <v>4787.17</v>
      </c>
      <c r="G88" s="15">
        <f t="shared" si="220"/>
        <v>4786.2299999999996</v>
      </c>
      <c r="H88" s="15">
        <f t="shared" si="230"/>
        <v>4827.08</v>
      </c>
      <c r="I88" s="15">
        <f t="shared" si="240"/>
        <v>4752.6000000000004</v>
      </c>
      <c r="J88" s="15">
        <f t="shared" si="250"/>
        <v>4757.92</v>
      </c>
      <c r="K88" s="15">
        <f t="shared" si="260"/>
        <v>4700.51</v>
      </c>
      <c r="L88" s="15">
        <f t="shared" si="270"/>
        <v>4703.7700000000004</v>
      </c>
      <c r="M88" s="15">
        <f t="shared" si="280"/>
        <v>4708.62</v>
      </c>
      <c r="N88" s="15">
        <f t="shared" si="290"/>
        <v>4638.7</v>
      </c>
      <c r="O88" s="15">
        <f t="shared" si="300"/>
        <v>4747.5</v>
      </c>
      <c r="P88" s="15">
        <f t="shared" si="310"/>
        <v>4730.8100000000004</v>
      </c>
      <c r="Q88" s="15">
        <f t="shared" ref="Q88:Q119" si="320">F66</f>
        <v>4750.74</v>
      </c>
      <c r="R88" s="15">
        <v>-43.22</v>
      </c>
      <c r="S88" s="15">
        <f t="shared" si="221"/>
        <v>-84.99</v>
      </c>
      <c r="T88" s="15">
        <f t="shared" si="231"/>
        <v>-23.69</v>
      </c>
      <c r="U88" s="15">
        <f t="shared" si="241"/>
        <v>-43.56</v>
      </c>
      <c r="V88" s="15">
        <f t="shared" si="251"/>
        <v>-19.32</v>
      </c>
      <c r="W88" s="15">
        <f t="shared" si="261"/>
        <v>-44.08</v>
      </c>
      <c r="X88" s="15">
        <f t="shared" si="271"/>
        <v>-36.24</v>
      </c>
      <c r="Y88" s="15">
        <f t="shared" si="281"/>
        <v>-19.739999999999998</v>
      </c>
      <c r="Z88" s="15">
        <f t="shared" si="291"/>
        <v>-134.38</v>
      </c>
      <c r="AA88" s="15">
        <f t="shared" si="301"/>
        <v>-47.46</v>
      </c>
      <c r="AB88" s="15">
        <f t="shared" si="311"/>
        <v>-46.5</v>
      </c>
      <c r="AC88" s="15">
        <f t="shared" ref="AC88:AC119" si="321">R66</f>
        <v>-50.19</v>
      </c>
      <c r="AD88" s="15">
        <v>-0.89</v>
      </c>
      <c r="AE88" s="15">
        <f t="shared" si="222"/>
        <v>-1.74</v>
      </c>
      <c r="AF88" s="15">
        <f t="shared" si="232"/>
        <v>-0.49</v>
      </c>
      <c r="AG88" s="15">
        <f t="shared" si="242"/>
        <v>-0.91</v>
      </c>
      <c r="AH88" s="15">
        <f t="shared" si="252"/>
        <v>-0.4</v>
      </c>
      <c r="AI88" s="15">
        <f t="shared" si="262"/>
        <v>-0.93</v>
      </c>
      <c r="AJ88" s="15">
        <f t="shared" si="272"/>
        <v>-0.76</v>
      </c>
      <c r="AK88" s="15">
        <f t="shared" si="282"/>
        <v>-0.42</v>
      </c>
      <c r="AL88" s="15">
        <f t="shared" si="292"/>
        <v>-2.82</v>
      </c>
      <c r="AM88" s="15">
        <f t="shared" si="302"/>
        <v>-0.99</v>
      </c>
      <c r="AN88" s="15">
        <f t="shared" si="312"/>
        <v>-0.97</v>
      </c>
      <c r="AO88" s="15">
        <f t="shared" ref="AO88:AO119" si="322">AD66</f>
        <v>-1.05</v>
      </c>
      <c r="AP88" s="15">
        <v>3</v>
      </c>
      <c r="AQ88" s="15">
        <f t="shared" si="223"/>
        <v>3</v>
      </c>
      <c r="AR88" s="15">
        <f t="shared" si="233"/>
        <v>3</v>
      </c>
      <c r="AS88" s="15">
        <f t="shared" si="243"/>
        <v>3</v>
      </c>
      <c r="AT88" s="15">
        <f t="shared" si="253"/>
        <v>3</v>
      </c>
      <c r="AU88" s="15">
        <f t="shared" si="263"/>
        <v>3</v>
      </c>
      <c r="AV88" s="15">
        <f t="shared" si="273"/>
        <v>3</v>
      </c>
      <c r="AW88" s="15">
        <f t="shared" si="283"/>
        <v>3</v>
      </c>
      <c r="AX88" s="15">
        <f t="shared" si="293"/>
        <v>3</v>
      </c>
      <c r="AY88" s="15">
        <f t="shared" si="303"/>
        <v>3</v>
      </c>
      <c r="AZ88" s="15">
        <f t="shared" si="313"/>
        <v>3</v>
      </c>
      <c r="BA88" s="15">
        <f t="shared" ref="BA88:BA119" si="323">AP66</f>
        <v>3</v>
      </c>
      <c r="BB88" s="15">
        <v>5</v>
      </c>
      <c r="BC88" s="15">
        <f t="shared" si="224"/>
        <v>34</v>
      </c>
      <c r="BD88" s="15">
        <f t="shared" si="234"/>
        <v>10</v>
      </c>
      <c r="BE88" s="15">
        <f t="shared" si="244"/>
        <v>14</v>
      </c>
      <c r="BF88" s="15">
        <f t="shared" si="254"/>
        <v>11</v>
      </c>
      <c r="BG88" s="15">
        <f t="shared" si="264"/>
        <v>5</v>
      </c>
      <c r="BH88" s="15">
        <f t="shared" si="274"/>
        <v>16</v>
      </c>
      <c r="BI88" s="15">
        <f t="shared" si="284"/>
        <v>9</v>
      </c>
      <c r="BJ88" s="15">
        <f t="shared" si="294"/>
        <v>10</v>
      </c>
      <c r="BK88" s="15">
        <f t="shared" si="304"/>
        <v>6</v>
      </c>
      <c r="BL88" s="15">
        <f t="shared" si="314"/>
        <v>29</v>
      </c>
      <c r="BM88" s="15">
        <f t="shared" ref="BM88:BM119" si="324">BB66</f>
        <v>22</v>
      </c>
      <c r="BN88" s="15">
        <v>3</v>
      </c>
      <c r="BO88" s="15">
        <f t="shared" si="225"/>
        <v>3</v>
      </c>
      <c r="BP88" s="15">
        <f t="shared" si="235"/>
        <v>3</v>
      </c>
      <c r="BQ88" s="15">
        <f t="shared" si="245"/>
        <v>3</v>
      </c>
      <c r="BR88" s="15">
        <f t="shared" si="255"/>
        <v>3</v>
      </c>
      <c r="BS88" s="15">
        <f t="shared" si="265"/>
        <v>3</v>
      </c>
      <c r="BT88" s="15">
        <f t="shared" si="275"/>
        <v>3</v>
      </c>
      <c r="BU88" s="15">
        <f t="shared" si="285"/>
        <v>3</v>
      </c>
      <c r="BV88" s="15">
        <f t="shared" si="295"/>
        <v>3</v>
      </c>
      <c r="BW88" s="15">
        <f t="shared" si="305"/>
        <v>3</v>
      </c>
      <c r="BX88" s="15">
        <f t="shared" si="315"/>
        <v>3</v>
      </c>
      <c r="BY88" s="15">
        <f t="shared" ref="BY88:BY119" si="325">BN66</f>
        <v>3</v>
      </c>
      <c r="BZ88" s="15">
        <v>-8.6440000000000001</v>
      </c>
      <c r="CA88" s="15">
        <f t="shared" si="226"/>
        <v>-2.4997099999999999</v>
      </c>
      <c r="CB88" s="15">
        <f t="shared" si="236"/>
        <v>-2.3690000000000002</v>
      </c>
      <c r="CC88" s="15">
        <f t="shared" si="246"/>
        <v>-3.1114299999999999</v>
      </c>
      <c r="CD88" s="15">
        <f t="shared" si="256"/>
        <v>-1.7563599999999999</v>
      </c>
      <c r="CE88" s="15">
        <f t="shared" si="266"/>
        <v>-8.8160000000000007</v>
      </c>
      <c r="CF88" s="15">
        <f t="shared" si="276"/>
        <v>-2.2650000000000001</v>
      </c>
      <c r="CG88" s="15">
        <f t="shared" si="286"/>
        <v>-2.19333</v>
      </c>
      <c r="CH88" s="15">
        <f t="shared" si="296"/>
        <v>-13.438000000000001</v>
      </c>
      <c r="CI88" s="15">
        <f t="shared" si="306"/>
        <v>-7.91</v>
      </c>
      <c r="CJ88" s="15">
        <f t="shared" si="316"/>
        <v>-1.60345</v>
      </c>
      <c r="CK88" s="15">
        <f t="shared" ref="CK88:CK119" si="326">BZ66</f>
        <v>-2.2813599999999998</v>
      </c>
      <c r="CL88" s="15">
        <v>3</v>
      </c>
      <c r="CM88" s="15">
        <f t="shared" si="227"/>
        <v>3</v>
      </c>
      <c r="CN88" s="15">
        <f t="shared" si="237"/>
        <v>3</v>
      </c>
      <c r="CO88" s="15">
        <f t="shared" si="247"/>
        <v>3</v>
      </c>
      <c r="CP88" s="15">
        <f t="shared" si="257"/>
        <v>3</v>
      </c>
      <c r="CQ88" s="15">
        <f t="shared" si="267"/>
        <v>3</v>
      </c>
      <c r="CR88" s="15">
        <f t="shared" si="277"/>
        <v>3</v>
      </c>
      <c r="CS88" s="15">
        <f t="shared" si="287"/>
        <v>3</v>
      </c>
      <c r="CT88" s="15">
        <f t="shared" si="297"/>
        <v>3</v>
      </c>
      <c r="CU88" s="15">
        <f t="shared" si="307"/>
        <v>3</v>
      </c>
      <c r="CV88" s="15">
        <f t="shared" si="317"/>
        <v>3</v>
      </c>
      <c r="CW88" s="15">
        <f t="shared" ref="CW88:CW119" si="327">CL66</f>
        <v>3</v>
      </c>
      <c r="CX88" s="15">
        <v>-83.400899999999993</v>
      </c>
      <c r="CY88" s="15">
        <f t="shared" si="228"/>
        <v>-68.196299999999994</v>
      </c>
      <c r="CZ88" s="15">
        <f t="shared" si="238"/>
        <v>-67.114500000000007</v>
      </c>
      <c r="DA88" s="15">
        <f t="shared" si="248"/>
        <v>-72.1828</v>
      </c>
      <c r="DB88" s="15">
        <f t="shared" si="258"/>
        <v>-60.3446</v>
      </c>
      <c r="DC88" s="15">
        <f t="shared" si="268"/>
        <v>-83.528599999999997</v>
      </c>
      <c r="DD88" s="15">
        <f t="shared" si="278"/>
        <v>-66.1785</v>
      </c>
      <c r="DE88" s="15">
        <f t="shared" si="288"/>
        <v>-65.490499999999997</v>
      </c>
      <c r="DF88" s="15">
        <f t="shared" si="298"/>
        <v>-85.744100000000003</v>
      </c>
      <c r="DG88" s="15">
        <f t="shared" si="308"/>
        <v>-82.794799999999995</v>
      </c>
      <c r="DH88" s="15">
        <f t="shared" si="318"/>
        <v>-58.05</v>
      </c>
      <c r="DI88" s="15">
        <f t="shared" ref="DI88:DI119" si="328">CX66</f>
        <v>-66.330500000000001</v>
      </c>
      <c r="DJ88" s="15" t="s">
        <v>22</v>
      </c>
      <c r="DK88" s="15" t="str">
        <f t="shared" si="229"/>
        <v>LL</v>
      </c>
      <c r="DL88" s="15" t="str">
        <f t="shared" si="239"/>
        <v>HL</v>
      </c>
      <c r="DM88" s="15" t="str">
        <f t="shared" si="249"/>
        <v>LL</v>
      </c>
      <c r="DN88" s="15" t="str">
        <f t="shared" si="259"/>
        <v>HL</v>
      </c>
      <c r="DO88" s="15" t="str">
        <f t="shared" si="269"/>
        <v>LL</v>
      </c>
      <c r="DP88" s="15" t="str">
        <f t="shared" si="279"/>
        <v>LL</v>
      </c>
      <c r="DQ88" s="15" t="str">
        <f t="shared" si="289"/>
        <v>HL</v>
      </c>
      <c r="DR88" s="15" t="str">
        <f t="shared" si="299"/>
        <v>LL</v>
      </c>
      <c r="DS88" s="15" t="str">
        <f t="shared" si="309"/>
        <v>HL</v>
      </c>
      <c r="DT88" s="15" t="str">
        <f t="shared" si="319"/>
        <v>LL</v>
      </c>
      <c r="DU88" s="15" t="str">
        <f t="shared" ref="DU88:DU119" si="329">DJ66</f>
        <v>HL</v>
      </c>
      <c r="DV88" s="15">
        <f>IFERROR((G88-$F88)/$F88*100,"")</f>
        <v>-1.9635818239179082E-2</v>
      </c>
      <c r="DW88" s="15">
        <f>IFERROR((H88-$F88)/$F88*100,"")</f>
        <v>0.83368670843107417</v>
      </c>
      <c r="DX88" s="15">
        <f>IFERROR((I88-$F88)/$F88*100,"")</f>
        <v>-0.72213854949792267</v>
      </c>
      <c r="DY88" s="15">
        <f>IFERROR((J88-$F88)/$F88*100,"")</f>
        <v>-0.61100817393157125</v>
      </c>
      <c r="DZ88" s="15">
        <f>IFERROR((K88-$F88)/$F88*100,"")</f>
        <v>-1.8102553283046112</v>
      </c>
      <c r="EA88" s="15">
        <f>IFERROR((L88-$F88)/$F88*100,"")</f>
        <v>-1.7421566395177033</v>
      </c>
      <c r="EB88" s="15">
        <f>IFERROR((M88-$F88)/$F88*100,"")</f>
        <v>-1.6408441730709413</v>
      </c>
      <c r="EC88" s="15">
        <f>IFERROR((N88-$F88)/$F88*100,"")</f>
        <v>-3.1014148233716421</v>
      </c>
      <c r="ED88" s="15">
        <f>IFERROR((O88-$F88)/$F88*100,"")</f>
        <v>-0.82867330802958894</v>
      </c>
      <c r="EE88" s="15">
        <f>IFERROR((P88-$F88)/$F88*100,"")</f>
        <v>-1.1773135276165181</v>
      </c>
      <c r="EF88" s="15">
        <f>IFERROR((Q88-$F88)/$F88*100,"")</f>
        <v>-0.76099240260948098</v>
      </c>
      <c r="EG88" s="15" t="str">
        <f>IF(DV88="","",IF(AND(ABS(DV88)&lt;=0.25,$E88="Bottom",DK88="LL"),"EQL",IF(AND(ABS(DV88)&lt;=0.25,$E88="Peak",DK88="HH"),"EQH","")))</f>
        <v>EQL</v>
      </c>
      <c r="EH88" s="15" t="str">
        <f>IF(DW88="","",IF(AND(ABS(DW88)&lt;=0.25,$E88="Bottom",DL88="LL"),"EQL",IF(AND(ABS(DW88)&lt;=0.25,$E88="Peak",DL88="HH"),"EQH","")))</f>
        <v/>
      </c>
      <c r="EI88" s="15" t="str">
        <f>IF(DX88="","",IF(AND(ABS(DX88)&lt;=0.25,$E88="Bottom",DM88="LL"),"EQL",IF(AND(ABS(DX88)&lt;=0.25,$E88="Peak",DM88="HH"),"EQH","")))</f>
        <v/>
      </c>
      <c r="EJ88" s="15" t="str">
        <f>IF(DY88="","",IF(AND(ABS(DY88)&lt;=0.25,$E88="Bottom",DN88="LL"),"EQL",IF(AND(ABS(DY88)&lt;=0.25,$E88="Peak",DN88="HH"),"EQH","")))</f>
        <v/>
      </c>
      <c r="EK88" s="15" t="str">
        <f>IF(DZ88="","",IF(AND(ABS(DZ88)&lt;=0.25,$E88="Bottom",DO88="LL"),"EQL",IF(AND(ABS(DZ88)&lt;=0.25,$E88="Peak",DO88="HH"),"EQH","")))</f>
        <v/>
      </c>
      <c r="EL88" s="15" t="str">
        <f>IF(EA88="","",IF(AND(ABS(EA88)&lt;=0.25,$E88="Bottom",DP88="LL"),"EQL",IF(AND(ABS(EA88)&lt;=0.25,$E88="Peak",DP88="HH"),"EQH","")))</f>
        <v/>
      </c>
      <c r="EM88" s="15" t="str">
        <f>IF(EB88="","",IF(AND(ABS(EB88)&lt;=0.25,$E88="Bottom",DQ88="LL"),"EQL",IF(AND(ABS(EB88)&lt;=0.25,$E88="Peak",DQ88="HH"),"EQH","")))</f>
        <v/>
      </c>
      <c r="EN88" s="15" t="str">
        <f>IF(EC88="","",IF(AND(ABS(EC88)&lt;=0.25,$E88="Bottom",DR88="LL"),"EQL",IF(AND(ABS(EC88)&lt;=0.25,$E88="Peak",DR88="HH"),"EQH","")))</f>
        <v/>
      </c>
      <c r="EO88" s="15" t="str">
        <f>IF(ED88="","",IF(AND(ABS(ED88)&lt;=0.25,$E88="Bottom",DS88="LL"),"EQL",IF(AND(ABS(ED88)&lt;=0.25,$E88="Peak",DS88="HH"),"EQH","")))</f>
        <v/>
      </c>
      <c r="EP88" s="15" t="str">
        <f>IF(EE88="","",IF(AND(ABS(EE88)&lt;=0.25,$E88="Bottom",DT88="LL"),"EQL",IF(AND(ABS(EE88)&lt;=0.25,$E88="Peak",DT88="HH"),"EQH","")))</f>
        <v/>
      </c>
      <c r="EQ88" s="15" t="str">
        <f>IF(EF88="","",IF(AND(ABS(EF88)&lt;=0.25,$E88="Bottom",DU88="LL"),"EQL",IF(AND(ABS(EF88)&lt;=0.25,$E88="Peak",DU88="HH"),"EQH","")))</f>
        <v/>
      </c>
      <c r="ER88" s="15">
        <f>IF(OR(EG88="EQL",EG88="EQH"),F88,"")</f>
        <v>4787.17</v>
      </c>
      <c r="ES88" s="15" t="str">
        <f>IF(OR(EH88="EQL",EH88="EQH"),G88,"")</f>
        <v/>
      </c>
      <c r="ET88" s="15" t="str">
        <f>IF(OR(EI88="EQL",EI88="EQH"),H88,"")</f>
        <v/>
      </c>
      <c r="EU88" s="15" t="str">
        <f>IF(OR(EJ88="EQL",EJ88="EQH"),I88,"")</f>
        <v/>
      </c>
      <c r="EV88" s="15" t="str">
        <f>IF(OR(EK88="EQL",EK88="EQH"),J88,"")</f>
        <v/>
      </c>
      <c r="EW88" s="15" t="str">
        <f>IF(OR(EL88="EQL",EL88="EQH"),K88,"")</f>
        <v/>
      </c>
      <c r="EX88" s="15" t="str">
        <f>IF(OR(EM88="EQL",EM88="EQH"),L88,"")</f>
        <v/>
      </c>
      <c r="EY88" s="15" t="str">
        <f>IF(OR(EN88="EQL",EN88="EQH"),M88,"")</f>
        <v/>
      </c>
      <c r="EZ88" s="15" t="str">
        <f>IF(OR(EO88="EQL",EO88="EQH"),N88,"")</f>
        <v/>
      </c>
      <c r="FA88" s="15" t="str">
        <f>IF(OR(EP88="EQL",EP88="EQH"),O88,"")</f>
        <v/>
      </c>
      <c r="FB88" s="15" t="str">
        <f>IF(OR(EQ88="EQL",EQ88="EQH"),P88,"")</f>
        <v/>
      </c>
      <c r="FC88" s="15" t="str">
        <f>IF(AND(EG88="EQL",OR(AQ88=4,AQ88=5)),"IEQL",IF(AND(EG88="EQH",OR(AQ88=1,AQ88=2)),"IEQH",""))</f>
        <v/>
      </c>
      <c r="FD88" s="15" t="str">
        <f>IF(AND(EH88="EQL",OR(AR88=4,AR88=5)),"IEQL",IF(AND(EH88="EQH",OR(AR88=1,AR88=2)),"IEQH",""))</f>
        <v/>
      </c>
      <c r="FE88" s="15" t="str">
        <f>IF(AND(EI88="EQL",OR(AS88=4,AS88=5)),"IEQL",IF(AND(EI88="EQH",OR(AS88=1,AS88=2)),"IEQH",""))</f>
        <v/>
      </c>
      <c r="FF88" s="15" t="str">
        <f>IF(AND(EJ88="EQL",OR(AT88=4,AT88=5)),"IEQL",IF(AND(EJ88="EQH",OR(AT88=1,AT88=2)),"IEQH",""))</f>
        <v/>
      </c>
      <c r="FG88" s="15" t="str">
        <f>IF(AND(EK88="EQL",OR(AU88=4,AU88=5)),"IEQL",IF(AND(EK88="EQH",OR(AU88=1,AU88=2)),"IEQH",""))</f>
        <v/>
      </c>
      <c r="FH88" s="15" t="str">
        <f>IF(AND(EL88="EQL",OR(AV88=4,AV88=5)),"IEQL",IF(AND(EL88="EQH",OR(AV88=1,AV88=2)),"IEQH",""))</f>
        <v/>
      </c>
      <c r="FI88" s="15" t="str">
        <f>IF(AND(EM88="EQL",OR(AW88=4,AW88=5)),"IEQL",IF(AND(EM88="EQH",OR(AW88=1,AW88=2)),"IEQH",""))</f>
        <v/>
      </c>
      <c r="FJ88" s="15" t="str">
        <f>IF(AND(EN88="EQL",OR(AX88=4,AX88=5)),"IEQL",IF(AND(EN88="EQH",OR(AX88=1,AX88=2)),"IEQH",""))</f>
        <v/>
      </c>
      <c r="FK88" s="15" t="str">
        <f>IF(AND(EO88="EQL",OR(AY88=4,AY88=5)),"IEQL",IF(AND(EO88="EQH",OR(AY88=1,AY88=2)),"IEQH",""))</f>
        <v/>
      </c>
      <c r="FL88" s="15" t="str">
        <f>IF(AND(EP88="EQL",OR(AZ88=4,AZ88=5)),"IEQL",IF(AND(EP88="EQH",OR(AZ88=1,AZ88=2)),"IEQH",""))</f>
        <v/>
      </c>
      <c r="FM88" s="15" t="str">
        <f>IF(AND(EQ88="EQL",OR(BA88=4,BA88=5)),"IEQL",IF(AND(EQ88="EQH",OR(BA88=1,BA88=2)),"IEQH",""))</f>
        <v/>
      </c>
      <c r="FN88" s="15" t="str">
        <f>IF(OR(AND(DJ88="LL",AP88=5),AND(DJ88="HH",AP88=2)),F88,"")</f>
        <v/>
      </c>
      <c r="FO88" s="15" t="str">
        <f>IF(FN88&lt;&gt;"",F87,"")</f>
        <v/>
      </c>
    </row>
    <row r="89" spans="1:171" s="15" customFormat="1" x14ac:dyDescent="0.55000000000000004">
      <c r="A89" s="15">
        <v>1776315606</v>
      </c>
      <c r="B89" s="15" t="s">
        <v>16</v>
      </c>
      <c r="C89" s="15" t="s">
        <v>17</v>
      </c>
      <c r="D89" s="15">
        <v>4834.26</v>
      </c>
      <c r="E89" s="15" t="s">
        <v>20</v>
      </c>
      <c r="F89" s="15">
        <v>4838.38</v>
      </c>
      <c r="G89" s="15">
        <f t="shared" si="220"/>
        <v>4830.3900000000003</v>
      </c>
      <c r="H89" s="15">
        <f t="shared" si="230"/>
        <v>4871.22</v>
      </c>
      <c r="I89" s="15">
        <f t="shared" si="240"/>
        <v>4850.7700000000004</v>
      </c>
      <c r="J89" s="15">
        <f t="shared" si="250"/>
        <v>4796.16</v>
      </c>
      <c r="K89" s="15">
        <f t="shared" si="260"/>
        <v>4777.24</v>
      </c>
      <c r="L89" s="15">
        <f t="shared" si="270"/>
        <v>4744.59</v>
      </c>
      <c r="M89" s="15">
        <f t="shared" si="280"/>
        <v>4740.01</v>
      </c>
      <c r="N89" s="15">
        <f t="shared" si="290"/>
        <v>4728.3599999999997</v>
      </c>
      <c r="O89" s="15">
        <f t="shared" si="300"/>
        <v>4773.08</v>
      </c>
      <c r="P89" s="15">
        <f t="shared" si="310"/>
        <v>4794.96</v>
      </c>
      <c r="Q89" s="15">
        <f t="shared" si="320"/>
        <v>4777.3100000000004</v>
      </c>
      <c r="R89" s="15">
        <v>51.21</v>
      </c>
      <c r="S89" s="15">
        <f t="shared" si="221"/>
        <v>44.16</v>
      </c>
      <c r="T89" s="15">
        <f t="shared" si="231"/>
        <v>44.14</v>
      </c>
      <c r="U89" s="15">
        <f t="shared" si="241"/>
        <v>98.17</v>
      </c>
      <c r="V89" s="15">
        <f t="shared" si="251"/>
        <v>38.24</v>
      </c>
      <c r="W89" s="15">
        <f t="shared" si="261"/>
        <v>76.73</v>
      </c>
      <c r="X89" s="15">
        <f t="shared" si="271"/>
        <v>40.82</v>
      </c>
      <c r="Y89" s="15">
        <f t="shared" si="281"/>
        <v>31.39</v>
      </c>
      <c r="Z89" s="15">
        <f t="shared" si="291"/>
        <v>89.66</v>
      </c>
      <c r="AA89" s="15">
        <f t="shared" si="301"/>
        <v>25.58</v>
      </c>
      <c r="AB89" s="15">
        <f t="shared" si="311"/>
        <v>64.150000000000006</v>
      </c>
      <c r="AC89" s="15">
        <f t="shared" si="321"/>
        <v>26.57</v>
      </c>
      <c r="AD89" s="15">
        <v>1.07</v>
      </c>
      <c r="AE89" s="15">
        <f t="shared" si="222"/>
        <v>0.92</v>
      </c>
      <c r="AF89" s="15">
        <f t="shared" si="232"/>
        <v>0.91</v>
      </c>
      <c r="AG89" s="15">
        <f t="shared" si="242"/>
        <v>2.0699999999999998</v>
      </c>
      <c r="AH89" s="15">
        <f t="shared" si="252"/>
        <v>0.8</v>
      </c>
      <c r="AI89" s="15">
        <f t="shared" si="262"/>
        <v>1.63</v>
      </c>
      <c r="AJ89" s="15">
        <f t="shared" si="272"/>
        <v>0.87</v>
      </c>
      <c r="AK89" s="15">
        <f t="shared" si="282"/>
        <v>0.67</v>
      </c>
      <c r="AL89" s="15">
        <f t="shared" si="292"/>
        <v>1.93</v>
      </c>
      <c r="AM89" s="15">
        <f t="shared" si="302"/>
        <v>0.54</v>
      </c>
      <c r="AN89" s="15">
        <f t="shared" si="312"/>
        <v>1.36</v>
      </c>
      <c r="AO89" s="15">
        <f t="shared" si="322"/>
        <v>0.56000000000000005</v>
      </c>
      <c r="AP89" s="15">
        <v>0</v>
      </c>
      <c r="AQ89" s="15">
        <f t="shared" si="223"/>
        <v>0</v>
      </c>
      <c r="AR89" s="15">
        <f t="shared" si="233"/>
        <v>0</v>
      </c>
      <c r="AS89" s="15">
        <f t="shared" si="243"/>
        <v>0</v>
      </c>
      <c r="AT89" s="15">
        <f t="shared" si="253"/>
        <v>0</v>
      </c>
      <c r="AU89" s="15">
        <f t="shared" si="263"/>
        <v>0</v>
      </c>
      <c r="AV89" s="15">
        <f t="shared" si="273"/>
        <v>0</v>
      </c>
      <c r="AW89" s="15">
        <f t="shared" si="283"/>
        <v>0</v>
      </c>
      <c r="AX89" s="15">
        <f t="shared" si="293"/>
        <v>0</v>
      </c>
      <c r="AY89" s="15">
        <f t="shared" si="303"/>
        <v>0</v>
      </c>
      <c r="AZ89" s="15">
        <f t="shared" si="313"/>
        <v>0</v>
      </c>
      <c r="BA89" s="15">
        <f t="shared" si="323"/>
        <v>0</v>
      </c>
      <c r="BB89" s="15">
        <v>50</v>
      </c>
      <c r="BC89" s="15">
        <f t="shared" si="224"/>
        <v>18</v>
      </c>
      <c r="BD89" s="15">
        <f t="shared" si="234"/>
        <v>3</v>
      </c>
      <c r="BE89" s="15">
        <f t="shared" si="244"/>
        <v>42</v>
      </c>
      <c r="BF89" s="15">
        <f t="shared" si="254"/>
        <v>6</v>
      </c>
      <c r="BG89" s="15">
        <f t="shared" si="264"/>
        <v>43</v>
      </c>
      <c r="BH89" s="15">
        <f t="shared" si="274"/>
        <v>8</v>
      </c>
      <c r="BI89" s="15">
        <f t="shared" si="284"/>
        <v>15</v>
      </c>
      <c r="BJ89" s="15">
        <f t="shared" si="294"/>
        <v>15</v>
      </c>
      <c r="BK89" s="15">
        <f t="shared" si="304"/>
        <v>10</v>
      </c>
      <c r="BL89" s="15">
        <f t="shared" si="314"/>
        <v>23</v>
      </c>
      <c r="BM89" s="15">
        <f t="shared" si="324"/>
        <v>6</v>
      </c>
      <c r="BN89" s="15">
        <v>2</v>
      </c>
      <c r="BO89" s="15">
        <f t="shared" si="225"/>
        <v>0</v>
      </c>
      <c r="BP89" s="15">
        <f t="shared" si="235"/>
        <v>0</v>
      </c>
      <c r="BQ89" s="15">
        <f t="shared" si="245"/>
        <v>1</v>
      </c>
      <c r="BR89" s="15">
        <f t="shared" si="255"/>
        <v>0</v>
      </c>
      <c r="BS89" s="15">
        <f t="shared" si="265"/>
        <v>1</v>
      </c>
      <c r="BT89" s="15">
        <f t="shared" si="275"/>
        <v>0</v>
      </c>
      <c r="BU89" s="15">
        <f t="shared" si="285"/>
        <v>0</v>
      </c>
      <c r="BV89" s="15">
        <f t="shared" si="295"/>
        <v>0</v>
      </c>
      <c r="BW89" s="15">
        <f t="shared" si="305"/>
        <v>0</v>
      </c>
      <c r="BX89" s="15">
        <f t="shared" si="315"/>
        <v>0</v>
      </c>
      <c r="BY89" s="15">
        <f t="shared" si="325"/>
        <v>0</v>
      </c>
      <c r="BZ89" s="15">
        <v>1.0242</v>
      </c>
      <c r="CA89" s="15">
        <f t="shared" si="226"/>
        <v>2.4533299999999998</v>
      </c>
      <c r="CB89" s="15">
        <f t="shared" si="236"/>
        <v>14.713329999999999</v>
      </c>
      <c r="CC89" s="15">
        <f t="shared" si="246"/>
        <v>2.33738</v>
      </c>
      <c r="CD89" s="15">
        <f t="shared" si="256"/>
        <v>6.3733300000000002</v>
      </c>
      <c r="CE89" s="15">
        <f t="shared" si="266"/>
        <v>1.7844199999999999</v>
      </c>
      <c r="CF89" s="15">
        <f t="shared" si="276"/>
        <v>5.1025</v>
      </c>
      <c r="CG89" s="15">
        <f t="shared" si="286"/>
        <v>2.09267</v>
      </c>
      <c r="CH89" s="15">
        <f t="shared" si="296"/>
        <v>5.9773300000000003</v>
      </c>
      <c r="CI89" s="15">
        <f t="shared" si="306"/>
        <v>2.5579999999999998</v>
      </c>
      <c r="CJ89" s="15">
        <f t="shared" si="316"/>
        <v>2.7891300000000001</v>
      </c>
      <c r="CK89" s="15">
        <f t="shared" si="326"/>
        <v>4.4283299999999999</v>
      </c>
      <c r="CL89" s="15">
        <v>0</v>
      </c>
      <c r="CM89" s="15">
        <f t="shared" si="227"/>
        <v>0</v>
      </c>
      <c r="CN89" s="15">
        <f t="shared" si="237"/>
        <v>0</v>
      </c>
      <c r="CO89" s="15">
        <f t="shared" si="247"/>
        <v>0</v>
      </c>
      <c r="CP89" s="15">
        <f t="shared" si="257"/>
        <v>0</v>
      </c>
      <c r="CQ89" s="15">
        <f t="shared" si="267"/>
        <v>0</v>
      </c>
      <c r="CR89" s="15">
        <f t="shared" si="277"/>
        <v>0</v>
      </c>
      <c r="CS89" s="15">
        <f t="shared" si="287"/>
        <v>0</v>
      </c>
      <c r="CT89" s="15">
        <f t="shared" si="297"/>
        <v>0</v>
      </c>
      <c r="CU89" s="15">
        <f t="shared" si="307"/>
        <v>0</v>
      </c>
      <c r="CV89" s="15">
        <f t="shared" si="317"/>
        <v>0</v>
      </c>
      <c r="CW89" s="15">
        <f t="shared" si="327"/>
        <v>0</v>
      </c>
      <c r="CX89" s="15">
        <v>45.685000000000002</v>
      </c>
      <c r="CY89" s="15">
        <f t="shared" si="228"/>
        <v>67.823800000000006</v>
      </c>
      <c r="CZ89" s="15">
        <f t="shared" si="238"/>
        <v>86.111800000000002</v>
      </c>
      <c r="DA89" s="15">
        <f t="shared" si="248"/>
        <v>66.837299999999999</v>
      </c>
      <c r="DB89" s="15">
        <f t="shared" si="258"/>
        <v>81.082800000000006</v>
      </c>
      <c r="DC89" s="15">
        <f t="shared" si="268"/>
        <v>60.733400000000003</v>
      </c>
      <c r="DD89" s="15">
        <f t="shared" si="278"/>
        <v>78.911600000000007</v>
      </c>
      <c r="DE89" s="15">
        <f t="shared" si="288"/>
        <v>64.458799999999997</v>
      </c>
      <c r="DF89" s="15">
        <f t="shared" si="298"/>
        <v>80.502399999999994</v>
      </c>
      <c r="DG89" s="15">
        <f t="shared" si="308"/>
        <v>68.647999999999996</v>
      </c>
      <c r="DH89" s="15">
        <f t="shared" si="318"/>
        <v>70.275499999999994</v>
      </c>
      <c r="DI89" s="15">
        <f t="shared" si="328"/>
        <v>77.275000000000006</v>
      </c>
      <c r="DJ89" s="15" t="s">
        <v>23</v>
      </c>
      <c r="DK89" s="15" t="str">
        <f t="shared" si="229"/>
        <v>LH</v>
      </c>
      <c r="DL89" s="15" t="str">
        <f t="shared" si="239"/>
        <v>HH</v>
      </c>
      <c r="DM89" s="15" t="str">
        <f t="shared" si="249"/>
        <v>HH</v>
      </c>
      <c r="DN89" s="15" t="str">
        <f t="shared" si="259"/>
        <v>HH</v>
      </c>
      <c r="DO89" s="15" t="str">
        <f t="shared" si="269"/>
        <v>HH</v>
      </c>
      <c r="DP89" s="15" t="str">
        <f t="shared" si="279"/>
        <v>HH</v>
      </c>
      <c r="DQ89" s="15" t="str">
        <f t="shared" si="289"/>
        <v>HH</v>
      </c>
      <c r="DR89" s="15" t="str">
        <f t="shared" si="299"/>
        <v>LH</v>
      </c>
      <c r="DS89" s="15" t="str">
        <f t="shared" si="309"/>
        <v>LH</v>
      </c>
      <c r="DT89" s="15" t="str">
        <f t="shared" si="319"/>
        <v>HH</v>
      </c>
      <c r="DU89" s="15" t="str">
        <f t="shared" si="329"/>
        <v>LH</v>
      </c>
      <c r="DV89" s="15">
        <f>IFERROR((G89-$F89)/$F89*100,"")</f>
        <v>-0.16513791806347955</v>
      </c>
      <c r="DW89" s="15">
        <f>IFERROR((H89-$F89)/$F89*100,"")</f>
        <v>0.67873957812325914</v>
      </c>
      <c r="DX89" s="15">
        <f>IFERROR((I89-$F89)/$F89*100,"")</f>
        <v>0.25607744741009031</v>
      </c>
      <c r="DY89" s="15">
        <f>IFERROR((J89-$F89)/$F89*100,"")</f>
        <v>-0.87260612023033024</v>
      </c>
      <c r="DZ89" s="15">
        <f>IFERROR((K89-$F89)/$F89*100,"")</f>
        <v>-1.2636460964207095</v>
      </c>
      <c r="EA89" s="15">
        <f>IFERROR((L89-$F89)/$F89*100,"")</f>
        <v>-1.9384587403221731</v>
      </c>
      <c r="EB89" s="15">
        <f>IFERROR((M89-$F89)/$F89*100,"")</f>
        <v>-2.0331185231420412</v>
      </c>
      <c r="EC89" s="15">
        <f>IFERROR((N89-$F89)/$F89*100,"")</f>
        <v>-2.2739015951620258</v>
      </c>
      <c r="ED89" s="15">
        <f>IFERROR((O89-$F89)/$F89*100,"")</f>
        <v>-1.349625287802946</v>
      </c>
      <c r="EE89" s="15">
        <f>IFERROR((P89-$F89)/$F89*100,"")</f>
        <v>-0.89740781005212633</v>
      </c>
      <c r="EF89" s="15">
        <f>IFERROR((Q89-$F89)/$F89*100,"")</f>
        <v>-1.2621993311810917</v>
      </c>
      <c r="EG89" s="15" t="str">
        <f>IF(DV89="","",IF(AND(ABS(DV89)&lt;=0.25,$E89="Bottom",DK89="LL"),"EQL",IF(AND(ABS(DV89)&lt;=0.25,$E89="Peak",DK89="HH"),"EQH","")))</f>
        <v/>
      </c>
      <c r="EH89" s="15" t="str">
        <f>IF(DW89="","",IF(AND(ABS(DW89)&lt;=0.25,$E89="Bottom",DL89="LL"),"EQL",IF(AND(ABS(DW89)&lt;=0.25,$E89="Peak",DL89="HH"),"EQH","")))</f>
        <v/>
      </c>
      <c r="EI89" s="15" t="str">
        <f>IF(DX89="","",IF(AND(ABS(DX89)&lt;=0.25,$E89="Bottom",DM89="LL"),"EQL",IF(AND(ABS(DX89)&lt;=0.25,$E89="Peak",DM89="HH"),"EQH","")))</f>
        <v/>
      </c>
      <c r="EJ89" s="15" t="str">
        <f>IF(DY89="","",IF(AND(ABS(DY89)&lt;=0.25,$E89="Bottom",DN89="LL"),"EQL",IF(AND(ABS(DY89)&lt;=0.25,$E89="Peak",DN89="HH"),"EQH","")))</f>
        <v/>
      </c>
      <c r="EK89" s="15" t="str">
        <f>IF(DZ89="","",IF(AND(ABS(DZ89)&lt;=0.25,$E89="Bottom",DO89="LL"),"EQL",IF(AND(ABS(DZ89)&lt;=0.25,$E89="Peak",DO89="HH"),"EQH","")))</f>
        <v/>
      </c>
      <c r="EL89" s="15" t="str">
        <f>IF(EA89="","",IF(AND(ABS(EA89)&lt;=0.25,$E89="Bottom",DP89="LL"),"EQL",IF(AND(ABS(EA89)&lt;=0.25,$E89="Peak",DP89="HH"),"EQH","")))</f>
        <v/>
      </c>
      <c r="EM89" s="15" t="str">
        <f>IF(EB89="","",IF(AND(ABS(EB89)&lt;=0.25,$E89="Bottom",DQ89="LL"),"EQL",IF(AND(ABS(EB89)&lt;=0.25,$E89="Peak",DQ89="HH"),"EQH","")))</f>
        <v/>
      </c>
      <c r="EN89" s="15" t="str">
        <f>IF(EC89="","",IF(AND(ABS(EC89)&lt;=0.25,$E89="Bottom",DR89="LL"),"EQL",IF(AND(ABS(EC89)&lt;=0.25,$E89="Peak",DR89="HH"),"EQH","")))</f>
        <v/>
      </c>
      <c r="EO89" s="15" t="str">
        <f>IF(ED89="","",IF(AND(ABS(ED89)&lt;=0.25,$E89="Bottom",DS89="LL"),"EQL",IF(AND(ABS(ED89)&lt;=0.25,$E89="Peak",DS89="HH"),"EQH","")))</f>
        <v/>
      </c>
      <c r="EP89" s="15" t="str">
        <f>IF(EE89="","",IF(AND(ABS(EE89)&lt;=0.25,$E89="Bottom",DT89="LL"),"EQL",IF(AND(ABS(EE89)&lt;=0.25,$E89="Peak",DT89="HH"),"EQH","")))</f>
        <v/>
      </c>
      <c r="EQ89" s="15" t="str">
        <f>IF(EF89="","",IF(AND(ABS(EF89)&lt;=0.25,$E89="Bottom",DU89="LL"),"EQL",IF(AND(ABS(EF89)&lt;=0.25,$E89="Peak",DU89="HH"),"EQH","")))</f>
        <v/>
      </c>
      <c r="ER89" s="15" t="str">
        <f>IF(OR(EG89="EQL",EG89="EQH"),F89,"")</f>
        <v/>
      </c>
      <c r="ES89" s="15" t="str">
        <f>IF(OR(EH89="EQL",EH89="EQH"),G89,"")</f>
        <v/>
      </c>
      <c r="ET89" s="15" t="str">
        <f>IF(OR(EI89="EQL",EI89="EQH"),H89,"")</f>
        <v/>
      </c>
      <c r="EU89" s="15" t="str">
        <f>IF(OR(EJ89="EQL",EJ89="EQH"),I89,"")</f>
        <v/>
      </c>
      <c r="EV89" s="15" t="str">
        <f>IF(OR(EK89="EQL",EK89="EQH"),J89,"")</f>
        <v/>
      </c>
      <c r="EW89" s="15" t="str">
        <f>IF(OR(EL89="EQL",EL89="EQH"),K89,"")</f>
        <v/>
      </c>
      <c r="EX89" s="15" t="str">
        <f>IF(OR(EM89="EQL",EM89="EQH"),L89,"")</f>
        <v/>
      </c>
      <c r="EY89" s="15" t="str">
        <f>IF(OR(EN89="EQL",EN89="EQH"),M89,"")</f>
        <v/>
      </c>
      <c r="EZ89" s="15" t="str">
        <f>IF(OR(EO89="EQL",EO89="EQH"),N89,"")</f>
        <v/>
      </c>
      <c r="FA89" s="15" t="str">
        <f>IF(OR(EP89="EQL",EP89="EQH"),O89,"")</f>
        <v/>
      </c>
      <c r="FB89" s="15" t="str">
        <f>IF(OR(EQ89="EQL",EQ89="EQH"),P89,"")</f>
        <v/>
      </c>
      <c r="FC89" s="15" t="str">
        <f>IF(AND(EG89="EQL",OR(AQ89=4,AQ89=5)),"IEQL",IF(AND(EG89="EQH",OR(AQ89=1,AQ89=2)),"IEQH",""))</f>
        <v/>
      </c>
      <c r="FD89" s="15" t="str">
        <f>IF(AND(EH89="EQL",OR(AR89=4,AR89=5)),"IEQL",IF(AND(EH89="EQH",OR(AR89=1,AR89=2)),"IEQH",""))</f>
        <v/>
      </c>
      <c r="FE89" s="15" t="str">
        <f>IF(AND(EI89="EQL",OR(AS89=4,AS89=5)),"IEQL",IF(AND(EI89="EQH",OR(AS89=1,AS89=2)),"IEQH",""))</f>
        <v/>
      </c>
      <c r="FF89" s="15" t="str">
        <f>IF(AND(EJ89="EQL",OR(AT89=4,AT89=5)),"IEQL",IF(AND(EJ89="EQH",OR(AT89=1,AT89=2)),"IEQH",""))</f>
        <v/>
      </c>
      <c r="FG89" s="15" t="str">
        <f>IF(AND(EK89="EQL",OR(AU89=4,AU89=5)),"IEQL",IF(AND(EK89="EQH",OR(AU89=1,AU89=2)),"IEQH",""))</f>
        <v/>
      </c>
      <c r="FH89" s="15" t="str">
        <f>IF(AND(EL89="EQL",OR(AV89=4,AV89=5)),"IEQL",IF(AND(EL89="EQH",OR(AV89=1,AV89=2)),"IEQH",""))</f>
        <v/>
      </c>
      <c r="FI89" s="15" t="str">
        <f>IF(AND(EM89="EQL",OR(AW89=4,AW89=5)),"IEQL",IF(AND(EM89="EQH",OR(AW89=1,AW89=2)),"IEQH",""))</f>
        <v/>
      </c>
      <c r="FJ89" s="15" t="str">
        <f>IF(AND(EN89="EQL",OR(AX89=4,AX89=5)),"IEQL",IF(AND(EN89="EQH",OR(AX89=1,AX89=2)),"IEQH",""))</f>
        <v/>
      </c>
      <c r="FK89" s="15" t="str">
        <f>IF(AND(EO89="EQL",OR(AY89=4,AY89=5)),"IEQL",IF(AND(EO89="EQH",OR(AY89=1,AY89=2)),"IEQH",""))</f>
        <v/>
      </c>
      <c r="FL89" s="15" t="str">
        <f>IF(AND(EP89="EQL",OR(AZ89=4,AZ89=5)),"IEQL",IF(AND(EP89="EQH",OR(AZ89=1,AZ89=2)),"IEQH",""))</f>
        <v/>
      </c>
      <c r="FM89" s="15" t="str">
        <f>IF(AND(EQ89="EQL",OR(BA89=4,BA89=5)),"IEQL",IF(AND(EQ89="EQH",OR(BA89=1,BA89=2)),"IEQH",""))</f>
        <v/>
      </c>
      <c r="FN89" s="15" t="str">
        <f>IF(OR(AND(DJ89="LL",AP89=5),AND(DJ89="HH",AP89=2)),F89,"")</f>
        <v/>
      </c>
      <c r="FO89" s="15" t="str">
        <f>IF(FN89&lt;&gt;"",F88,"")</f>
        <v/>
      </c>
    </row>
    <row r="90" spans="1:171" s="15" customFormat="1" x14ac:dyDescent="0.55000000000000004">
      <c r="A90" s="15">
        <v>1776335406</v>
      </c>
      <c r="B90" s="15" t="s">
        <v>16</v>
      </c>
      <c r="C90" s="15" t="s">
        <v>17</v>
      </c>
      <c r="D90" s="15">
        <v>4808.3999999999996</v>
      </c>
      <c r="E90" s="15" t="s">
        <v>18</v>
      </c>
      <c r="F90" s="15">
        <v>4805.21</v>
      </c>
      <c r="G90" s="15">
        <f t="shared" si="220"/>
        <v>4787.17</v>
      </c>
      <c r="H90" s="15">
        <f t="shared" si="230"/>
        <v>4786.2299999999996</v>
      </c>
      <c r="I90" s="15">
        <f t="shared" si="240"/>
        <v>4827.08</v>
      </c>
      <c r="J90" s="15">
        <f t="shared" si="250"/>
        <v>4752.6000000000004</v>
      </c>
      <c r="K90" s="15">
        <f t="shared" si="260"/>
        <v>4757.92</v>
      </c>
      <c r="L90" s="15">
        <f t="shared" si="270"/>
        <v>4700.51</v>
      </c>
      <c r="M90" s="15">
        <f t="shared" si="280"/>
        <v>4703.7700000000004</v>
      </c>
      <c r="N90" s="15">
        <f t="shared" si="290"/>
        <v>4708.62</v>
      </c>
      <c r="O90" s="15">
        <f t="shared" si="300"/>
        <v>4638.7</v>
      </c>
      <c r="P90" s="15">
        <f t="shared" si="310"/>
        <v>4747.5</v>
      </c>
      <c r="Q90" s="15">
        <f t="shared" si="320"/>
        <v>4730.8100000000004</v>
      </c>
      <c r="R90" s="15">
        <v>-33.17</v>
      </c>
      <c r="S90" s="15">
        <f t="shared" si="221"/>
        <v>-43.22</v>
      </c>
      <c r="T90" s="15">
        <f t="shared" si="231"/>
        <v>-84.99</v>
      </c>
      <c r="U90" s="15">
        <f t="shared" si="241"/>
        <v>-23.69</v>
      </c>
      <c r="V90" s="15">
        <f t="shared" si="251"/>
        <v>-43.56</v>
      </c>
      <c r="W90" s="15">
        <f t="shared" si="261"/>
        <v>-19.32</v>
      </c>
      <c r="X90" s="15">
        <f t="shared" si="271"/>
        <v>-44.08</v>
      </c>
      <c r="Y90" s="15">
        <f t="shared" si="281"/>
        <v>-36.24</v>
      </c>
      <c r="Z90" s="15">
        <f t="shared" si="291"/>
        <v>-19.739999999999998</v>
      </c>
      <c r="AA90" s="15">
        <f t="shared" si="301"/>
        <v>-134.38</v>
      </c>
      <c r="AB90" s="15">
        <f t="shared" si="311"/>
        <v>-47.46</v>
      </c>
      <c r="AC90" s="15">
        <f t="shared" si="321"/>
        <v>-46.5</v>
      </c>
      <c r="AD90" s="15">
        <v>-0.69</v>
      </c>
      <c r="AE90" s="15">
        <f t="shared" si="222"/>
        <v>-0.89</v>
      </c>
      <c r="AF90" s="15">
        <f t="shared" si="232"/>
        <v>-1.74</v>
      </c>
      <c r="AG90" s="15">
        <f t="shared" si="242"/>
        <v>-0.49</v>
      </c>
      <c r="AH90" s="15">
        <f t="shared" si="252"/>
        <v>-0.91</v>
      </c>
      <c r="AI90" s="15">
        <f t="shared" si="262"/>
        <v>-0.4</v>
      </c>
      <c r="AJ90" s="15">
        <f t="shared" si="272"/>
        <v>-0.93</v>
      </c>
      <c r="AK90" s="15">
        <f t="shared" si="282"/>
        <v>-0.76</v>
      </c>
      <c r="AL90" s="15">
        <f t="shared" si="292"/>
        <v>-0.42</v>
      </c>
      <c r="AM90" s="15">
        <f t="shared" si="302"/>
        <v>-2.82</v>
      </c>
      <c r="AN90" s="15">
        <f t="shared" si="312"/>
        <v>-0.99</v>
      </c>
      <c r="AO90" s="15">
        <f t="shared" si="322"/>
        <v>-0.97</v>
      </c>
      <c r="AP90" s="15">
        <v>3</v>
      </c>
      <c r="AQ90" s="15">
        <f t="shared" si="223"/>
        <v>3</v>
      </c>
      <c r="AR90" s="15">
        <f t="shared" si="233"/>
        <v>3</v>
      </c>
      <c r="AS90" s="15">
        <f t="shared" si="243"/>
        <v>3</v>
      </c>
      <c r="AT90" s="15">
        <f t="shared" si="253"/>
        <v>3</v>
      </c>
      <c r="AU90" s="15">
        <f t="shared" si="263"/>
        <v>3</v>
      </c>
      <c r="AV90" s="15">
        <f t="shared" si="273"/>
        <v>3</v>
      </c>
      <c r="AW90" s="15">
        <f t="shared" si="283"/>
        <v>3</v>
      </c>
      <c r="AX90" s="15">
        <f t="shared" si="293"/>
        <v>3</v>
      </c>
      <c r="AY90" s="15">
        <f t="shared" si="303"/>
        <v>3</v>
      </c>
      <c r="AZ90" s="15">
        <f t="shared" si="313"/>
        <v>3</v>
      </c>
      <c r="BA90" s="15">
        <f t="shared" si="323"/>
        <v>3</v>
      </c>
      <c r="BB90" s="15">
        <v>22</v>
      </c>
      <c r="BC90" s="15">
        <f t="shared" si="224"/>
        <v>5</v>
      </c>
      <c r="BD90" s="15">
        <f t="shared" si="234"/>
        <v>34</v>
      </c>
      <c r="BE90" s="15">
        <f t="shared" si="244"/>
        <v>10</v>
      </c>
      <c r="BF90" s="15">
        <f t="shared" si="254"/>
        <v>14</v>
      </c>
      <c r="BG90" s="15">
        <f t="shared" si="264"/>
        <v>11</v>
      </c>
      <c r="BH90" s="15">
        <f t="shared" si="274"/>
        <v>5</v>
      </c>
      <c r="BI90" s="15">
        <f t="shared" si="284"/>
        <v>16</v>
      </c>
      <c r="BJ90" s="15">
        <f t="shared" si="294"/>
        <v>9</v>
      </c>
      <c r="BK90" s="15">
        <f t="shared" si="304"/>
        <v>10</v>
      </c>
      <c r="BL90" s="15">
        <f t="shared" si="314"/>
        <v>6</v>
      </c>
      <c r="BM90" s="15">
        <f t="shared" si="324"/>
        <v>29</v>
      </c>
      <c r="BN90" s="15">
        <v>3</v>
      </c>
      <c r="BO90" s="15">
        <f t="shared" si="225"/>
        <v>3</v>
      </c>
      <c r="BP90" s="15">
        <f t="shared" si="235"/>
        <v>3</v>
      </c>
      <c r="BQ90" s="15">
        <f t="shared" si="245"/>
        <v>3</v>
      </c>
      <c r="BR90" s="15">
        <f t="shared" si="255"/>
        <v>3</v>
      </c>
      <c r="BS90" s="15">
        <f t="shared" si="265"/>
        <v>3</v>
      </c>
      <c r="BT90" s="15">
        <f t="shared" si="275"/>
        <v>3</v>
      </c>
      <c r="BU90" s="15">
        <f t="shared" si="285"/>
        <v>3</v>
      </c>
      <c r="BV90" s="15">
        <f t="shared" si="295"/>
        <v>3</v>
      </c>
      <c r="BW90" s="15">
        <f t="shared" si="305"/>
        <v>3</v>
      </c>
      <c r="BX90" s="15">
        <f t="shared" si="315"/>
        <v>3</v>
      </c>
      <c r="BY90" s="15">
        <f t="shared" si="325"/>
        <v>3</v>
      </c>
      <c r="BZ90" s="15">
        <v>-1.50773</v>
      </c>
      <c r="CA90" s="15">
        <f t="shared" si="226"/>
        <v>-8.6440000000000001</v>
      </c>
      <c r="CB90" s="15">
        <f t="shared" si="236"/>
        <v>-2.4997099999999999</v>
      </c>
      <c r="CC90" s="15">
        <f t="shared" si="246"/>
        <v>-2.3690000000000002</v>
      </c>
      <c r="CD90" s="15">
        <f t="shared" si="256"/>
        <v>-3.1114299999999999</v>
      </c>
      <c r="CE90" s="15">
        <f t="shared" si="266"/>
        <v>-1.7563599999999999</v>
      </c>
      <c r="CF90" s="15">
        <f t="shared" si="276"/>
        <v>-8.8160000000000007</v>
      </c>
      <c r="CG90" s="15">
        <f t="shared" si="286"/>
        <v>-2.2650000000000001</v>
      </c>
      <c r="CH90" s="15">
        <f t="shared" si="296"/>
        <v>-2.19333</v>
      </c>
      <c r="CI90" s="15">
        <f t="shared" si="306"/>
        <v>-13.438000000000001</v>
      </c>
      <c r="CJ90" s="15">
        <f t="shared" si="316"/>
        <v>-7.91</v>
      </c>
      <c r="CK90" s="15">
        <f t="shared" si="326"/>
        <v>-1.60345</v>
      </c>
      <c r="CL90" s="15">
        <v>3</v>
      </c>
      <c r="CM90" s="15">
        <f t="shared" si="227"/>
        <v>3</v>
      </c>
      <c r="CN90" s="15">
        <f t="shared" si="237"/>
        <v>3</v>
      </c>
      <c r="CO90" s="15">
        <f t="shared" si="247"/>
        <v>3</v>
      </c>
      <c r="CP90" s="15">
        <f t="shared" si="257"/>
        <v>3</v>
      </c>
      <c r="CQ90" s="15">
        <f t="shared" si="267"/>
        <v>3</v>
      </c>
      <c r="CR90" s="15">
        <f t="shared" si="277"/>
        <v>3</v>
      </c>
      <c r="CS90" s="15">
        <f t="shared" si="287"/>
        <v>3</v>
      </c>
      <c r="CT90" s="15">
        <f t="shared" si="297"/>
        <v>3</v>
      </c>
      <c r="CU90" s="15">
        <f t="shared" si="307"/>
        <v>3</v>
      </c>
      <c r="CV90" s="15">
        <f t="shared" si="317"/>
        <v>3</v>
      </c>
      <c r="CW90" s="15">
        <f t="shared" si="327"/>
        <v>3</v>
      </c>
      <c r="CX90" s="15">
        <v>-56.445700000000002</v>
      </c>
      <c r="CY90" s="15">
        <f t="shared" si="228"/>
        <v>-83.400899999999993</v>
      </c>
      <c r="CZ90" s="15">
        <f t="shared" si="238"/>
        <v>-68.196299999999994</v>
      </c>
      <c r="DA90" s="15">
        <f t="shared" si="248"/>
        <v>-67.114500000000007</v>
      </c>
      <c r="DB90" s="15">
        <f t="shared" si="258"/>
        <v>-72.1828</v>
      </c>
      <c r="DC90" s="15">
        <f t="shared" si="268"/>
        <v>-60.3446</v>
      </c>
      <c r="DD90" s="15">
        <f t="shared" si="278"/>
        <v>-83.528599999999997</v>
      </c>
      <c r="DE90" s="15">
        <f t="shared" si="288"/>
        <v>-66.1785</v>
      </c>
      <c r="DF90" s="15">
        <f t="shared" si="298"/>
        <v>-65.490499999999997</v>
      </c>
      <c r="DG90" s="15">
        <f t="shared" si="308"/>
        <v>-85.744100000000003</v>
      </c>
      <c r="DH90" s="15">
        <f t="shared" si="318"/>
        <v>-82.794799999999995</v>
      </c>
      <c r="DI90" s="15">
        <f t="shared" si="328"/>
        <v>-58.05</v>
      </c>
      <c r="DJ90" s="15" t="s">
        <v>22</v>
      </c>
      <c r="DK90" s="15" t="str">
        <f t="shared" si="229"/>
        <v>HL</v>
      </c>
      <c r="DL90" s="15" t="str">
        <f t="shared" si="239"/>
        <v>LL</v>
      </c>
      <c r="DM90" s="15" t="str">
        <f t="shared" si="249"/>
        <v>HL</v>
      </c>
      <c r="DN90" s="15" t="str">
        <f t="shared" si="259"/>
        <v>LL</v>
      </c>
      <c r="DO90" s="15" t="str">
        <f t="shared" si="269"/>
        <v>HL</v>
      </c>
      <c r="DP90" s="15" t="str">
        <f t="shared" si="279"/>
        <v>LL</v>
      </c>
      <c r="DQ90" s="15" t="str">
        <f t="shared" si="289"/>
        <v>LL</v>
      </c>
      <c r="DR90" s="15" t="str">
        <f t="shared" si="299"/>
        <v>HL</v>
      </c>
      <c r="DS90" s="15" t="str">
        <f t="shared" si="309"/>
        <v>LL</v>
      </c>
      <c r="DT90" s="15" t="str">
        <f t="shared" si="319"/>
        <v>HL</v>
      </c>
      <c r="DU90" s="15" t="str">
        <f t="shared" si="329"/>
        <v>LL</v>
      </c>
      <c r="DV90" s="15">
        <f>IFERROR((G90-$F90)/$F90*100,"")</f>
        <v>-0.37542583986964073</v>
      </c>
      <c r="DW90" s="15">
        <f>IFERROR((H90-$F90)/$F90*100,"")</f>
        <v>-0.39498794017328015</v>
      </c>
      <c r="DX90" s="15">
        <f>IFERROR((I90-$F90)/$F90*100,"")</f>
        <v>0.45513099323442452</v>
      </c>
      <c r="DY90" s="15">
        <f>IFERROR((J90-$F90)/$F90*100,"")</f>
        <v>-1.0948532946530884</v>
      </c>
      <c r="DZ90" s="15">
        <f>IFERROR((K90-$F90)/$F90*100,"")</f>
        <v>-0.98414013123255728</v>
      </c>
      <c r="EA90" s="15">
        <f>IFERROR((L90-$F90)/$F90*100,"")</f>
        <v>-2.1788850019041792</v>
      </c>
      <c r="EB90" s="15">
        <f>IFERROR((M90-$F90)/$F90*100,"")</f>
        <v>-2.1110419731915897</v>
      </c>
      <c r="EC90" s="15">
        <f>IFERROR((N90-$F90)/$F90*100,"")</f>
        <v>-2.0101098599228782</v>
      </c>
      <c r="ED90" s="15">
        <f>IFERROR((O90-$F90)/$F90*100,"")</f>
        <v>-3.4651971505927985</v>
      </c>
      <c r="EE90" s="15">
        <f>IFERROR((P90-$F90)/$F90*100,"")</f>
        <v>-1.200988094172784</v>
      </c>
      <c r="EF90" s="15">
        <f>IFERROR((Q90-$F90)/$F90*100,"")</f>
        <v>-1.5483194282872057</v>
      </c>
      <c r="EG90" s="15" t="str">
        <f>IF(DV90="","",IF(AND(ABS(DV90)&lt;=0.25,$E90="Bottom",DK90="LL"),"EQL",IF(AND(ABS(DV90)&lt;=0.25,$E90="Peak",DK90="HH"),"EQH","")))</f>
        <v/>
      </c>
      <c r="EH90" s="15" t="str">
        <f>IF(DW90="","",IF(AND(ABS(DW90)&lt;=0.25,$E90="Bottom",DL90="LL"),"EQL",IF(AND(ABS(DW90)&lt;=0.25,$E90="Peak",DL90="HH"),"EQH","")))</f>
        <v/>
      </c>
      <c r="EI90" s="15" t="str">
        <f>IF(DX90="","",IF(AND(ABS(DX90)&lt;=0.25,$E90="Bottom",DM90="LL"),"EQL",IF(AND(ABS(DX90)&lt;=0.25,$E90="Peak",DM90="HH"),"EQH","")))</f>
        <v/>
      </c>
      <c r="EJ90" s="15" t="str">
        <f>IF(DY90="","",IF(AND(ABS(DY90)&lt;=0.25,$E90="Bottom",DN90="LL"),"EQL",IF(AND(ABS(DY90)&lt;=0.25,$E90="Peak",DN90="HH"),"EQH","")))</f>
        <v/>
      </c>
      <c r="EK90" s="15" t="str">
        <f>IF(DZ90="","",IF(AND(ABS(DZ90)&lt;=0.25,$E90="Bottom",DO90="LL"),"EQL",IF(AND(ABS(DZ90)&lt;=0.25,$E90="Peak",DO90="HH"),"EQH","")))</f>
        <v/>
      </c>
      <c r="EL90" s="15" t="str">
        <f>IF(EA90="","",IF(AND(ABS(EA90)&lt;=0.25,$E90="Bottom",DP90="LL"),"EQL",IF(AND(ABS(EA90)&lt;=0.25,$E90="Peak",DP90="HH"),"EQH","")))</f>
        <v/>
      </c>
      <c r="EM90" s="15" t="str">
        <f>IF(EB90="","",IF(AND(ABS(EB90)&lt;=0.25,$E90="Bottom",DQ90="LL"),"EQL",IF(AND(ABS(EB90)&lt;=0.25,$E90="Peak",DQ90="HH"),"EQH","")))</f>
        <v/>
      </c>
      <c r="EN90" s="15" t="str">
        <f>IF(EC90="","",IF(AND(ABS(EC90)&lt;=0.25,$E90="Bottom",DR90="LL"),"EQL",IF(AND(ABS(EC90)&lt;=0.25,$E90="Peak",DR90="HH"),"EQH","")))</f>
        <v/>
      </c>
      <c r="EO90" s="15" t="str">
        <f>IF(ED90="","",IF(AND(ABS(ED90)&lt;=0.25,$E90="Bottom",DS90="LL"),"EQL",IF(AND(ABS(ED90)&lt;=0.25,$E90="Peak",DS90="HH"),"EQH","")))</f>
        <v/>
      </c>
      <c r="EP90" s="15" t="str">
        <f>IF(EE90="","",IF(AND(ABS(EE90)&lt;=0.25,$E90="Bottom",DT90="LL"),"EQL",IF(AND(ABS(EE90)&lt;=0.25,$E90="Peak",DT90="HH"),"EQH","")))</f>
        <v/>
      </c>
      <c r="EQ90" s="15" t="str">
        <f>IF(EF90="","",IF(AND(ABS(EF90)&lt;=0.25,$E90="Bottom",DU90="LL"),"EQL",IF(AND(ABS(EF90)&lt;=0.25,$E90="Peak",DU90="HH"),"EQH","")))</f>
        <v/>
      </c>
      <c r="ER90" s="15" t="str">
        <f>IF(OR(EG90="EQL",EG90="EQH"),F90,"")</f>
        <v/>
      </c>
      <c r="ES90" s="15" t="str">
        <f>IF(OR(EH90="EQL",EH90="EQH"),G90,"")</f>
        <v/>
      </c>
      <c r="ET90" s="15" t="str">
        <f>IF(OR(EI90="EQL",EI90="EQH"),H90,"")</f>
        <v/>
      </c>
      <c r="EU90" s="15" t="str">
        <f>IF(OR(EJ90="EQL",EJ90="EQH"),I90,"")</f>
        <v/>
      </c>
      <c r="EV90" s="15" t="str">
        <f>IF(OR(EK90="EQL",EK90="EQH"),J90,"")</f>
        <v/>
      </c>
      <c r="EW90" s="15" t="str">
        <f>IF(OR(EL90="EQL",EL90="EQH"),K90,"")</f>
        <v/>
      </c>
      <c r="EX90" s="15" t="str">
        <f>IF(OR(EM90="EQL",EM90="EQH"),L90,"")</f>
        <v/>
      </c>
      <c r="EY90" s="15" t="str">
        <f>IF(OR(EN90="EQL",EN90="EQH"),M90,"")</f>
        <v/>
      </c>
      <c r="EZ90" s="15" t="str">
        <f>IF(OR(EO90="EQL",EO90="EQH"),N90,"")</f>
        <v/>
      </c>
      <c r="FA90" s="15" t="str">
        <f>IF(OR(EP90="EQL",EP90="EQH"),O90,"")</f>
        <v/>
      </c>
      <c r="FB90" s="15" t="str">
        <f>IF(OR(EQ90="EQL",EQ90="EQH"),P90,"")</f>
        <v/>
      </c>
      <c r="FC90" s="15" t="str">
        <f>IF(AND(EG90="EQL",OR(AQ90=4,AQ90=5)),"IEQL",IF(AND(EG90="EQH",OR(AQ90=1,AQ90=2)),"IEQH",""))</f>
        <v/>
      </c>
      <c r="FD90" s="15" t="str">
        <f>IF(AND(EH90="EQL",OR(AR90=4,AR90=5)),"IEQL",IF(AND(EH90="EQH",OR(AR90=1,AR90=2)),"IEQH",""))</f>
        <v/>
      </c>
      <c r="FE90" s="15" t="str">
        <f>IF(AND(EI90="EQL",OR(AS90=4,AS90=5)),"IEQL",IF(AND(EI90="EQH",OR(AS90=1,AS90=2)),"IEQH",""))</f>
        <v/>
      </c>
      <c r="FF90" s="15" t="str">
        <f>IF(AND(EJ90="EQL",OR(AT90=4,AT90=5)),"IEQL",IF(AND(EJ90="EQH",OR(AT90=1,AT90=2)),"IEQH",""))</f>
        <v/>
      </c>
      <c r="FG90" s="15" t="str">
        <f>IF(AND(EK90="EQL",OR(AU90=4,AU90=5)),"IEQL",IF(AND(EK90="EQH",OR(AU90=1,AU90=2)),"IEQH",""))</f>
        <v/>
      </c>
      <c r="FH90" s="15" t="str">
        <f>IF(AND(EL90="EQL",OR(AV90=4,AV90=5)),"IEQL",IF(AND(EL90="EQH",OR(AV90=1,AV90=2)),"IEQH",""))</f>
        <v/>
      </c>
      <c r="FI90" s="15" t="str">
        <f>IF(AND(EM90="EQL",OR(AW90=4,AW90=5)),"IEQL",IF(AND(EM90="EQH",OR(AW90=1,AW90=2)),"IEQH",""))</f>
        <v/>
      </c>
      <c r="FJ90" s="15" t="str">
        <f>IF(AND(EN90="EQL",OR(AX90=4,AX90=5)),"IEQL",IF(AND(EN90="EQH",OR(AX90=1,AX90=2)),"IEQH",""))</f>
        <v/>
      </c>
      <c r="FK90" s="15" t="str">
        <f>IF(AND(EO90="EQL",OR(AY90=4,AY90=5)),"IEQL",IF(AND(EO90="EQH",OR(AY90=1,AY90=2)),"IEQH",""))</f>
        <v/>
      </c>
      <c r="FL90" s="15" t="str">
        <f>IF(AND(EP90="EQL",OR(AZ90=4,AZ90=5)),"IEQL",IF(AND(EP90="EQH",OR(AZ90=1,AZ90=2)),"IEQH",""))</f>
        <v/>
      </c>
      <c r="FM90" s="15" t="str">
        <f>IF(AND(EQ90="EQL",OR(BA90=4,BA90=5)),"IEQL",IF(AND(EQ90="EQH",OR(BA90=1,BA90=2)),"IEQH",""))</f>
        <v/>
      </c>
      <c r="FN90" s="15" t="str">
        <f>IF(OR(AND(DJ90="LL",AP90=5),AND(DJ90="HH",AP90=2)),F90,"")</f>
        <v/>
      </c>
      <c r="FO90" s="15" t="str">
        <f>IF(FN90&lt;&gt;"",F89,"")</f>
        <v/>
      </c>
    </row>
    <row r="91" spans="1:171" s="15" customFormat="1" x14ac:dyDescent="0.55000000000000004">
      <c r="A91" s="15">
        <v>1776346206</v>
      </c>
      <c r="B91" s="15" t="s">
        <v>16</v>
      </c>
      <c r="C91" s="15" t="s">
        <v>17</v>
      </c>
      <c r="D91" s="15">
        <v>4816.26</v>
      </c>
      <c r="E91" s="15" t="s">
        <v>20</v>
      </c>
      <c r="F91" s="15">
        <v>4823.8100000000004</v>
      </c>
      <c r="G91" s="15">
        <f t="shared" si="220"/>
        <v>4838.38</v>
      </c>
      <c r="H91" s="15">
        <f t="shared" si="230"/>
        <v>4830.3900000000003</v>
      </c>
      <c r="I91" s="15">
        <f t="shared" si="240"/>
        <v>4871.22</v>
      </c>
      <c r="J91" s="15">
        <f t="shared" si="250"/>
        <v>4850.7700000000004</v>
      </c>
      <c r="K91" s="15">
        <f t="shared" si="260"/>
        <v>4796.16</v>
      </c>
      <c r="L91" s="15">
        <f t="shared" si="270"/>
        <v>4777.24</v>
      </c>
      <c r="M91" s="15">
        <f t="shared" si="280"/>
        <v>4744.59</v>
      </c>
      <c r="N91" s="15">
        <f t="shared" si="290"/>
        <v>4740.01</v>
      </c>
      <c r="O91" s="15">
        <f t="shared" si="300"/>
        <v>4728.3599999999997</v>
      </c>
      <c r="P91" s="15">
        <f t="shared" si="310"/>
        <v>4773.08</v>
      </c>
      <c r="Q91" s="15">
        <f t="shared" si="320"/>
        <v>4794.96</v>
      </c>
      <c r="R91" s="15">
        <v>18.600000000000001</v>
      </c>
      <c r="S91" s="15">
        <f t="shared" si="221"/>
        <v>51.21</v>
      </c>
      <c r="T91" s="15">
        <f t="shared" si="231"/>
        <v>44.16</v>
      </c>
      <c r="U91" s="15">
        <f t="shared" si="241"/>
        <v>44.14</v>
      </c>
      <c r="V91" s="15">
        <f t="shared" si="251"/>
        <v>98.17</v>
      </c>
      <c r="W91" s="15">
        <f t="shared" si="261"/>
        <v>38.24</v>
      </c>
      <c r="X91" s="15">
        <f t="shared" si="271"/>
        <v>76.73</v>
      </c>
      <c r="Y91" s="15">
        <f t="shared" si="281"/>
        <v>40.82</v>
      </c>
      <c r="Z91" s="15">
        <f t="shared" si="291"/>
        <v>31.39</v>
      </c>
      <c r="AA91" s="15">
        <f t="shared" si="301"/>
        <v>89.66</v>
      </c>
      <c r="AB91" s="15">
        <f t="shared" si="311"/>
        <v>25.58</v>
      </c>
      <c r="AC91" s="15">
        <f t="shared" si="321"/>
        <v>64.150000000000006</v>
      </c>
      <c r="AD91" s="15">
        <v>0.39</v>
      </c>
      <c r="AE91" s="15">
        <f t="shared" si="222"/>
        <v>1.07</v>
      </c>
      <c r="AF91" s="15">
        <f t="shared" si="232"/>
        <v>0.92</v>
      </c>
      <c r="AG91" s="15">
        <f t="shared" si="242"/>
        <v>0.91</v>
      </c>
      <c r="AH91" s="15">
        <f t="shared" si="252"/>
        <v>2.0699999999999998</v>
      </c>
      <c r="AI91" s="15">
        <f t="shared" si="262"/>
        <v>0.8</v>
      </c>
      <c r="AJ91" s="15">
        <f t="shared" si="272"/>
        <v>1.63</v>
      </c>
      <c r="AK91" s="15">
        <f t="shared" si="282"/>
        <v>0.87</v>
      </c>
      <c r="AL91" s="15">
        <f t="shared" si="292"/>
        <v>0.67</v>
      </c>
      <c r="AM91" s="15">
        <f t="shared" si="302"/>
        <v>1.93</v>
      </c>
      <c r="AN91" s="15">
        <f t="shared" si="312"/>
        <v>0.54</v>
      </c>
      <c r="AO91" s="15">
        <f t="shared" si="322"/>
        <v>1.36</v>
      </c>
      <c r="AP91" s="15">
        <v>0</v>
      </c>
      <c r="AQ91" s="15">
        <f t="shared" si="223"/>
        <v>0</v>
      </c>
      <c r="AR91" s="15">
        <f t="shared" si="233"/>
        <v>0</v>
      </c>
      <c r="AS91" s="15">
        <f t="shared" si="243"/>
        <v>0</v>
      </c>
      <c r="AT91" s="15">
        <f t="shared" si="253"/>
        <v>0</v>
      </c>
      <c r="AU91" s="15">
        <f t="shared" si="263"/>
        <v>0</v>
      </c>
      <c r="AV91" s="15">
        <f t="shared" si="273"/>
        <v>0</v>
      </c>
      <c r="AW91" s="15">
        <f t="shared" si="283"/>
        <v>0</v>
      </c>
      <c r="AX91" s="15">
        <f t="shared" si="293"/>
        <v>0</v>
      </c>
      <c r="AY91" s="15">
        <f t="shared" si="303"/>
        <v>0</v>
      </c>
      <c r="AZ91" s="15">
        <f t="shared" si="313"/>
        <v>0</v>
      </c>
      <c r="BA91" s="15">
        <f t="shared" si="323"/>
        <v>0</v>
      </c>
      <c r="BB91" s="15">
        <v>12</v>
      </c>
      <c r="BC91" s="15">
        <f t="shared" si="224"/>
        <v>50</v>
      </c>
      <c r="BD91" s="15">
        <f t="shared" si="234"/>
        <v>18</v>
      </c>
      <c r="BE91" s="15">
        <f t="shared" si="244"/>
        <v>3</v>
      </c>
      <c r="BF91" s="15">
        <f t="shared" si="254"/>
        <v>42</v>
      </c>
      <c r="BG91" s="15">
        <f t="shared" si="264"/>
        <v>6</v>
      </c>
      <c r="BH91" s="15">
        <f t="shared" si="274"/>
        <v>43</v>
      </c>
      <c r="BI91" s="15">
        <f t="shared" si="284"/>
        <v>8</v>
      </c>
      <c r="BJ91" s="15">
        <f t="shared" si="294"/>
        <v>15</v>
      </c>
      <c r="BK91" s="15">
        <f t="shared" si="304"/>
        <v>15</v>
      </c>
      <c r="BL91" s="15">
        <f t="shared" si="314"/>
        <v>10</v>
      </c>
      <c r="BM91" s="15">
        <f t="shared" si="324"/>
        <v>23</v>
      </c>
      <c r="BN91" s="15">
        <v>0</v>
      </c>
      <c r="BO91" s="15">
        <f t="shared" si="225"/>
        <v>2</v>
      </c>
      <c r="BP91" s="15">
        <f t="shared" si="235"/>
        <v>0</v>
      </c>
      <c r="BQ91" s="15">
        <f t="shared" si="245"/>
        <v>0</v>
      </c>
      <c r="BR91" s="15">
        <f t="shared" si="255"/>
        <v>1</v>
      </c>
      <c r="BS91" s="15">
        <f t="shared" si="265"/>
        <v>0</v>
      </c>
      <c r="BT91" s="15">
        <f t="shared" si="275"/>
        <v>1</v>
      </c>
      <c r="BU91" s="15">
        <f t="shared" si="285"/>
        <v>0</v>
      </c>
      <c r="BV91" s="15">
        <f t="shared" si="295"/>
        <v>0</v>
      </c>
      <c r="BW91" s="15">
        <f t="shared" si="305"/>
        <v>0</v>
      </c>
      <c r="BX91" s="15">
        <f t="shared" si="315"/>
        <v>0</v>
      </c>
      <c r="BY91" s="15">
        <f t="shared" si="325"/>
        <v>0</v>
      </c>
      <c r="BZ91" s="15">
        <v>1.55</v>
      </c>
      <c r="CA91" s="15">
        <f t="shared" si="226"/>
        <v>1.0242</v>
      </c>
      <c r="CB91" s="15">
        <f t="shared" si="236"/>
        <v>2.4533299999999998</v>
      </c>
      <c r="CC91" s="15">
        <f t="shared" si="246"/>
        <v>14.713329999999999</v>
      </c>
      <c r="CD91" s="15">
        <f t="shared" si="256"/>
        <v>2.33738</v>
      </c>
      <c r="CE91" s="15">
        <f t="shared" si="266"/>
        <v>6.3733300000000002</v>
      </c>
      <c r="CF91" s="15">
        <f t="shared" si="276"/>
        <v>1.7844199999999999</v>
      </c>
      <c r="CG91" s="15">
        <f t="shared" si="286"/>
        <v>5.1025</v>
      </c>
      <c r="CH91" s="15">
        <f t="shared" si="296"/>
        <v>2.09267</v>
      </c>
      <c r="CI91" s="15">
        <f t="shared" si="306"/>
        <v>5.9773300000000003</v>
      </c>
      <c r="CJ91" s="15">
        <f t="shared" si="316"/>
        <v>2.5579999999999998</v>
      </c>
      <c r="CK91" s="15">
        <f t="shared" si="326"/>
        <v>2.7891300000000001</v>
      </c>
      <c r="CL91" s="15">
        <v>0</v>
      </c>
      <c r="CM91" s="15">
        <f t="shared" si="227"/>
        <v>0</v>
      </c>
      <c r="CN91" s="15">
        <f t="shared" si="237"/>
        <v>0</v>
      </c>
      <c r="CO91" s="15">
        <f t="shared" si="247"/>
        <v>0</v>
      </c>
      <c r="CP91" s="15">
        <f t="shared" si="257"/>
        <v>0</v>
      </c>
      <c r="CQ91" s="15">
        <f t="shared" si="267"/>
        <v>0</v>
      </c>
      <c r="CR91" s="15">
        <f t="shared" si="277"/>
        <v>0</v>
      </c>
      <c r="CS91" s="15">
        <f t="shared" si="287"/>
        <v>0</v>
      </c>
      <c r="CT91" s="15">
        <f t="shared" si="297"/>
        <v>0</v>
      </c>
      <c r="CU91" s="15">
        <f t="shared" si="307"/>
        <v>0</v>
      </c>
      <c r="CV91" s="15">
        <f t="shared" si="317"/>
        <v>0</v>
      </c>
      <c r="CW91" s="15">
        <f t="shared" si="327"/>
        <v>0</v>
      </c>
      <c r="CX91" s="15">
        <v>57.171500000000002</v>
      </c>
      <c r="CY91" s="15">
        <f t="shared" si="228"/>
        <v>45.685000000000002</v>
      </c>
      <c r="CZ91" s="15">
        <f t="shared" si="238"/>
        <v>67.823800000000006</v>
      </c>
      <c r="DA91" s="15">
        <f t="shared" si="248"/>
        <v>86.111800000000002</v>
      </c>
      <c r="DB91" s="15">
        <f t="shared" si="258"/>
        <v>66.837299999999999</v>
      </c>
      <c r="DC91" s="15">
        <f t="shared" si="268"/>
        <v>81.082800000000006</v>
      </c>
      <c r="DD91" s="15">
        <f t="shared" si="278"/>
        <v>60.733400000000003</v>
      </c>
      <c r="DE91" s="15">
        <f t="shared" si="288"/>
        <v>78.911600000000007</v>
      </c>
      <c r="DF91" s="15">
        <f t="shared" si="298"/>
        <v>64.458799999999997</v>
      </c>
      <c r="DG91" s="15">
        <f t="shared" si="308"/>
        <v>80.502399999999994</v>
      </c>
      <c r="DH91" s="15">
        <f t="shared" si="318"/>
        <v>68.647999999999996</v>
      </c>
      <c r="DI91" s="15">
        <f t="shared" si="328"/>
        <v>70.275499999999994</v>
      </c>
      <c r="DJ91" s="15" t="s">
        <v>21</v>
      </c>
      <c r="DK91" s="15" t="str">
        <f t="shared" si="229"/>
        <v>HH</v>
      </c>
      <c r="DL91" s="15" t="str">
        <f t="shared" si="239"/>
        <v>LH</v>
      </c>
      <c r="DM91" s="15" t="str">
        <f t="shared" si="249"/>
        <v>HH</v>
      </c>
      <c r="DN91" s="15" t="str">
        <f t="shared" si="259"/>
        <v>HH</v>
      </c>
      <c r="DO91" s="15" t="str">
        <f t="shared" si="269"/>
        <v>HH</v>
      </c>
      <c r="DP91" s="15" t="str">
        <f t="shared" si="279"/>
        <v>HH</v>
      </c>
      <c r="DQ91" s="15" t="str">
        <f t="shared" si="289"/>
        <v>HH</v>
      </c>
      <c r="DR91" s="15" t="str">
        <f t="shared" si="299"/>
        <v>HH</v>
      </c>
      <c r="DS91" s="15" t="str">
        <f t="shared" si="309"/>
        <v>LH</v>
      </c>
      <c r="DT91" s="15" t="str">
        <f t="shared" si="319"/>
        <v>LH</v>
      </c>
      <c r="DU91" s="15" t="str">
        <f t="shared" si="329"/>
        <v>HH</v>
      </c>
      <c r="DV91" s="15">
        <f>IFERROR((G91-$F91)/$F91*100,"")</f>
        <v>0.30204340552384334</v>
      </c>
      <c r="DW91" s="15">
        <f>IFERROR((H91-$F91)/$F91*100,"")</f>
        <v>0.1364066992688337</v>
      </c>
      <c r="DX91" s="15">
        <f>IFERROR((I91-$F91)/$F91*100,"")</f>
        <v>0.9828330717835041</v>
      </c>
      <c r="DY91" s="15">
        <f>IFERROR((J91-$F91)/$F91*100,"")</f>
        <v>0.55889431797686961</v>
      </c>
      <c r="DZ91" s="15">
        <f>IFERROR((K91-$F91)/$F91*100,"")</f>
        <v>-0.57319836394884005</v>
      </c>
      <c r="EA91" s="15">
        <f>IFERROR((L91-$F91)/$F91*100,"")</f>
        <v>-0.96541945060026435</v>
      </c>
      <c r="EB91" s="15">
        <f>IFERROR((M91-$F91)/$F91*100,"")</f>
        <v>-1.6422703215922736</v>
      </c>
      <c r="EC91" s="15">
        <f>IFERROR((N91-$F91)/$F91*100,"")</f>
        <v>-1.7372160180438321</v>
      </c>
      <c r="ED91" s="15">
        <f>IFERROR((O91-$F91)/$F91*100,"")</f>
        <v>-1.9787263594544711</v>
      </c>
      <c r="EE91" s="15">
        <f>IFERROR((P91-$F91)/$F91*100,"")</f>
        <v>-1.0516583364601937</v>
      </c>
      <c r="EF91" s="15">
        <f>IFERROR((Q91-$F91)/$F91*100,"")</f>
        <v>-0.59807496563920137</v>
      </c>
      <c r="EG91" s="15" t="str">
        <f>IF(DV91="","",IF(AND(ABS(DV91)&lt;=0.25,$E91="Bottom",DK91="LL"),"EQL",IF(AND(ABS(DV91)&lt;=0.25,$E91="Peak",DK91="HH"),"EQH","")))</f>
        <v/>
      </c>
      <c r="EH91" s="15" t="str">
        <f>IF(DW91="","",IF(AND(ABS(DW91)&lt;=0.25,$E91="Bottom",DL91="LL"),"EQL",IF(AND(ABS(DW91)&lt;=0.25,$E91="Peak",DL91="HH"),"EQH","")))</f>
        <v/>
      </c>
      <c r="EI91" s="15" t="str">
        <f>IF(DX91="","",IF(AND(ABS(DX91)&lt;=0.25,$E91="Bottom",DM91="LL"),"EQL",IF(AND(ABS(DX91)&lt;=0.25,$E91="Peak",DM91="HH"),"EQH","")))</f>
        <v/>
      </c>
      <c r="EJ91" s="15" t="str">
        <f>IF(DY91="","",IF(AND(ABS(DY91)&lt;=0.25,$E91="Bottom",DN91="LL"),"EQL",IF(AND(ABS(DY91)&lt;=0.25,$E91="Peak",DN91="HH"),"EQH","")))</f>
        <v/>
      </c>
      <c r="EK91" s="15" t="str">
        <f>IF(DZ91="","",IF(AND(ABS(DZ91)&lt;=0.25,$E91="Bottom",DO91="LL"),"EQL",IF(AND(ABS(DZ91)&lt;=0.25,$E91="Peak",DO91="HH"),"EQH","")))</f>
        <v/>
      </c>
      <c r="EL91" s="15" t="str">
        <f>IF(EA91="","",IF(AND(ABS(EA91)&lt;=0.25,$E91="Bottom",DP91="LL"),"EQL",IF(AND(ABS(EA91)&lt;=0.25,$E91="Peak",DP91="HH"),"EQH","")))</f>
        <v/>
      </c>
      <c r="EM91" s="15" t="str">
        <f>IF(EB91="","",IF(AND(ABS(EB91)&lt;=0.25,$E91="Bottom",DQ91="LL"),"EQL",IF(AND(ABS(EB91)&lt;=0.25,$E91="Peak",DQ91="HH"),"EQH","")))</f>
        <v/>
      </c>
      <c r="EN91" s="15" t="str">
        <f>IF(EC91="","",IF(AND(ABS(EC91)&lt;=0.25,$E91="Bottom",DR91="LL"),"EQL",IF(AND(ABS(EC91)&lt;=0.25,$E91="Peak",DR91="HH"),"EQH","")))</f>
        <v/>
      </c>
      <c r="EO91" s="15" t="str">
        <f>IF(ED91="","",IF(AND(ABS(ED91)&lt;=0.25,$E91="Bottom",DS91="LL"),"EQL",IF(AND(ABS(ED91)&lt;=0.25,$E91="Peak",DS91="HH"),"EQH","")))</f>
        <v/>
      </c>
      <c r="EP91" s="15" t="str">
        <f>IF(EE91="","",IF(AND(ABS(EE91)&lt;=0.25,$E91="Bottom",DT91="LL"),"EQL",IF(AND(ABS(EE91)&lt;=0.25,$E91="Peak",DT91="HH"),"EQH","")))</f>
        <v/>
      </c>
      <c r="EQ91" s="15" t="str">
        <f>IF(EF91="","",IF(AND(ABS(EF91)&lt;=0.25,$E91="Bottom",DU91="LL"),"EQL",IF(AND(ABS(EF91)&lt;=0.25,$E91="Peak",DU91="HH"),"EQH","")))</f>
        <v/>
      </c>
      <c r="ER91" s="15" t="str">
        <f>IF(OR(EG91="EQL",EG91="EQH"),F91,"")</f>
        <v/>
      </c>
      <c r="ES91" s="15" t="str">
        <f>IF(OR(EH91="EQL",EH91="EQH"),G91,"")</f>
        <v/>
      </c>
      <c r="ET91" s="15" t="str">
        <f>IF(OR(EI91="EQL",EI91="EQH"),H91,"")</f>
        <v/>
      </c>
      <c r="EU91" s="15" t="str">
        <f>IF(OR(EJ91="EQL",EJ91="EQH"),I91,"")</f>
        <v/>
      </c>
      <c r="EV91" s="15" t="str">
        <f>IF(OR(EK91="EQL",EK91="EQH"),J91,"")</f>
        <v/>
      </c>
      <c r="EW91" s="15" t="str">
        <f>IF(OR(EL91="EQL",EL91="EQH"),K91,"")</f>
        <v/>
      </c>
      <c r="EX91" s="15" t="str">
        <f>IF(OR(EM91="EQL",EM91="EQH"),L91,"")</f>
        <v/>
      </c>
      <c r="EY91" s="15" t="str">
        <f>IF(OR(EN91="EQL",EN91="EQH"),M91,"")</f>
        <v/>
      </c>
      <c r="EZ91" s="15" t="str">
        <f>IF(OR(EO91="EQL",EO91="EQH"),N91,"")</f>
        <v/>
      </c>
      <c r="FA91" s="15" t="str">
        <f>IF(OR(EP91="EQL",EP91="EQH"),O91,"")</f>
        <v/>
      </c>
      <c r="FB91" s="15" t="str">
        <f>IF(OR(EQ91="EQL",EQ91="EQH"),P91,"")</f>
        <v/>
      </c>
      <c r="FC91" s="15" t="str">
        <f>IF(AND(EG91="EQL",OR(AQ91=4,AQ91=5)),"IEQL",IF(AND(EG91="EQH",OR(AQ91=1,AQ91=2)),"IEQH",""))</f>
        <v/>
      </c>
      <c r="FD91" s="15" t="str">
        <f>IF(AND(EH91="EQL",OR(AR91=4,AR91=5)),"IEQL",IF(AND(EH91="EQH",OR(AR91=1,AR91=2)),"IEQH",""))</f>
        <v/>
      </c>
      <c r="FE91" s="15" t="str">
        <f>IF(AND(EI91="EQL",OR(AS91=4,AS91=5)),"IEQL",IF(AND(EI91="EQH",OR(AS91=1,AS91=2)),"IEQH",""))</f>
        <v/>
      </c>
      <c r="FF91" s="15" t="str">
        <f>IF(AND(EJ91="EQL",OR(AT91=4,AT91=5)),"IEQL",IF(AND(EJ91="EQH",OR(AT91=1,AT91=2)),"IEQH",""))</f>
        <v/>
      </c>
      <c r="FG91" s="15" t="str">
        <f>IF(AND(EK91="EQL",OR(AU91=4,AU91=5)),"IEQL",IF(AND(EK91="EQH",OR(AU91=1,AU91=2)),"IEQH",""))</f>
        <v/>
      </c>
      <c r="FH91" s="15" t="str">
        <f>IF(AND(EL91="EQL",OR(AV91=4,AV91=5)),"IEQL",IF(AND(EL91="EQH",OR(AV91=1,AV91=2)),"IEQH",""))</f>
        <v/>
      </c>
      <c r="FI91" s="15" t="str">
        <f>IF(AND(EM91="EQL",OR(AW91=4,AW91=5)),"IEQL",IF(AND(EM91="EQH",OR(AW91=1,AW91=2)),"IEQH",""))</f>
        <v/>
      </c>
      <c r="FJ91" s="15" t="str">
        <f>IF(AND(EN91="EQL",OR(AX91=4,AX91=5)),"IEQL",IF(AND(EN91="EQH",OR(AX91=1,AX91=2)),"IEQH",""))</f>
        <v/>
      </c>
      <c r="FK91" s="15" t="str">
        <f>IF(AND(EO91="EQL",OR(AY91=4,AY91=5)),"IEQL",IF(AND(EO91="EQH",OR(AY91=1,AY91=2)),"IEQH",""))</f>
        <v/>
      </c>
      <c r="FL91" s="15" t="str">
        <f>IF(AND(EP91="EQL",OR(AZ91=4,AZ91=5)),"IEQL",IF(AND(EP91="EQH",OR(AZ91=1,AZ91=2)),"IEQH",""))</f>
        <v/>
      </c>
      <c r="FM91" s="15" t="str">
        <f>IF(AND(EQ91="EQL",OR(BA91=4,BA91=5)),"IEQL",IF(AND(EQ91="EQH",OR(BA91=1,BA91=2)),"IEQH",""))</f>
        <v/>
      </c>
      <c r="FN91" s="15" t="str">
        <f>IF(OR(AND(DJ91="LL",AP91=5),AND(DJ91="HH",AP91=2)),F91,"")</f>
        <v/>
      </c>
      <c r="FO91" s="15" t="str">
        <f>IF(FN91&lt;&gt;"",F90,"")</f>
        <v/>
      </c>
    </row>
    <row r="92" spans="1:171" s="15" customFormat="1" x14ac:dyDescent="0.55000000000000004">
      <c r="A92" s="15">
        <v>1776349806</v>
      </c>
      <c r="B92" s="15" t="s">
        <v>16</v>
      </c>
      <c r="C92" s="15" t="s">
        <v>17</v>
      </c>
      <c r="D92" s="15">
        <v>4787.7299999999996</v>
      </c>
      <c r="E92" s="15" t="s">
        <v>18</v>
      </c>
      <c r="F92" s="15">
        <v>4772.67</v>
      </c>
      <c r="G92" s="15">
        <f t="shared" si="220"/>
        <v>4805.21</v>
      </c>
      <c r="H92" s="15">
        <f t="shared" si="230"/>
        <v>4787.17</v>
      </c>
      <c r="I92" s="15">
        <f t="shared" si="240"/>
        <v>4786.2299999999996</v>
      </c>
      <c r="J92" s="15">
        <f t="shared" si="250"/>
        <v>4827.08</v>
      </c>
      <c r="K92" s="15">
        <f t="shared" si="260"/>
        <v>4752.6000000000004</v>
      </c>
      <c r="L92" s="15">
        <f t="shared" si="270"/>
        <v>4757.92</v>
      </c>
      <c r="M92" s="15">
        <f t="shared" si="280"/>
        <v>4700.51</v>
      </c>
      <c r="N92" s="15">
        <f t="shared" si="290"/>
        <v>4703.7700000000004</v>
      </c>
      <c r="O92" s="15">
        <f t="shared" si="300"/>
        <v>4708.62</v>
      </c>
      <c r="P92" s="15">
        <f t="shared" si="310"/>
        <v>4638.7</v>
      </c>
      <c r="Q92" s="15">
        <f t="shared" si="320"/>
        <v>4747.5</v>
      </c>
      <c r="R92" s="15">
        <v>-51.14</v>
      </c>
      <c r="S92" s="15">
        <f t="shared" si="221"/>
        <v>-33.17</v>
      </c>
      <c r="T92" s="15">
        <f t="shared" si="231"/>
        <v>-43.22</v>
      </c>
      <c r="U92" s="15">
        <f t="shared" si="241"/>
        <v>-84.99</v>
      </c>
      <c r="V92" s="15">
        <f t="shared" si="251"/>
        <v>-23.69</v>
      </c>
      <c r="W92" s="15">
        <f t="shared" si="261"/>
        <v>-43.56</v>
      </c>
      <c r="X92" s="15">
        <f t="shared" si="271"/>
        <v>-19.32</v>
      </c>
      <c r="Y92" s="15">
        <f t="shared" si="281"/>
        <v>-44.08</v>
      </c>
      <c r="Z92" s="15">
        <f t="shared" si="291"/>
        <v>-36.24</v>
      </c>
      <c r="AA92" s="15">
        <f t="shared" si="301"/>
        <v>-19.739999999999998</v>
      </c>
      <c r="AB92" s="15">
        <f t="shared" si="311"/>
        <v>-134.38</v>
      </c>
      <c r="AC92" s="15">
        <f t="shared" si="321"/>
        <v>-47.46</v>
      </c>
      <c r="AD92" s="15">
        <v>-1.06</v>
      </c>
      <c r="AE92" s="15">
        <f t="shared" si="222"/>
        <v>-0.69</v>
      </c>
      <c r="AF92" s="15">
        <f t="shared" si="232"/>
        <v>-0.89</v>
      </c>
      <c r="AG92" s="15">
        <f t="shared" si="242"/>
        <v>-1.74</v>
      </c>
      <c r="AH92" s="15">
        <f t="shared" si="252"/>
        <v>-0.49</v>
      </c>
      <c r="AI92" s="15">
        <f t="shared" si="262"/>
        <v>-0.91</v>
      </c>
      <c r="AJ92" s="15">
        <f t="shared" si="272"/>
        <v>-0.4</v>
      </c>
      <c r="AK92" s="15">
        <f t="shared" si="282"/>
        <v>-0.93</v>
      </c>
      <c r="AL92" s="15">
        <f t="shared" si="292"/>
        <v>-0.76</v>
      </c>
      <c r="AM92" s="15">
        <f t="shared" si="302"/>
        <v>-0.42</v>
      </c>
      <c r="AN92" s="15">
        <f t="shared" si="312"/>
        <v>-2.82</v>
      </c>
      <c r="AO92" s="15">
        <f t="shared" si="322"/>
        <v>-0.99</v>
      </c>
      <c r="AP92" s="15">
        <v>3</v>
      </c>
      <c r="AQ92" s="15">
        <f t="shared" si="223"/>
        <v>3</v>
      </c>
      <c r="AR92" s="15">
        <f t="shared" si="233"/>
        <v>3</v>
      </c>
      <c r="AS92" s="15">
        <f t="shared" si="243"/>
        <v>3</v>
      </c>
      <c r="AT92" s="15">
        <f t="shared" si="253"/>
        <v>3</v>
      </c>
      <c r="AU92" s="15">
        <f t="shared" si="263"/>
        <v>3</v>
      </c>
      <c r="AV92" s="15">
        <f t="shared" si="273"/>
        <v>3</v>
      </c>
      <c r="AW92" s="15">
        <f t="shared" si="283"/>
        <v>3</v>
      </c>
      <c r="AX92" s="15">
        <f t="shared" si="293"/>
        <v>3</v>
      </c>
      <c r="AY92" s="15">
        <f t="shared" si="303"/>
        <v>3</v>
      </c>
      <c r="AZ92" s="15">
        <f t="shared" si="313"/>
        <v>3</v>
      </c>
      <c r="BA92" s="15">
        <f t="shared" si="323"/>
        <v>3</v>
      </c>
      <c r="BB92" s="15">
        <v>4</v>
      </c>
      <c r="BC92" s="15">
        <f t="shared" si="224"/>
        <v>22</v>
      </c>
      <c r="BD92" s="15">
        <f t="shared" si="234"/>
        <v>5</v>
      </c>
      <c r="BE92" s="15">
        <f t="shared" si="244"/>
        <v>34</v>
      </c>
      <c r="BF92" s="15">
        <f t="shared" si="254"/>
        <v>10</v>
      </c>
      <c r="BG92" s="15">
        <f t="shared" si="264"/>
        <v>14</v>
      </c>
      <c r="BH92" s="15">
        <f t="shared" si="274"/>
        <v>11</v>
      </c>
      <c r="BI92" s="15">
        <f t="shared" si="284"/>
        <v>5</v>
      </c>
      <c r="BJ92" s="15">
        <f t="shared" si="294"/>
        <v>16</v>
      </c>
      <c r="BK92" s="15">
        <f t="shared" si="304"/>
        <v>9</v>
      </c>
      <c r="BL92" s="15">
        <f t="shared" si="314"/>
        <v>10</v>
      </c>
      <c r="BM92" s="15">
        <f t="shared" si="324"/>
        <v>6</v>
      </c>
      <c r="BN92" s="15">
        <v>3</v>
      </c>
      <c r="BO92" s="15">
        <f t="shared" si="225"/>
        <v>3</v>
      </c>
      <c r="BP92" s="15">
        <f t="shared" si="235"/>
        <v>3</v>
      </c>
      <c r="BQ92" s="15">
        <f t="shared" si="245"/>
        <v>3</v>
      </c>
      <c r="BR92" s="15">
        <f t="shared" si="255"/>
        <v>3</v>
      </c>
      <c r="BS92" s="15">
        <f t="shared" si="265"/>
        <v>3</v>
      </c>
      <c r="BT92" s="15">
        <f t="shared" si="275"/>
        <v>3</v>
      </c>
      <c r="BU92" s="15">
        <f t="shared" si="285"/>
        <v>3</v>
      </c>
      <c r="BV92" s="15">
        <f t="shared" si="295"/>
        <v>3</v>
      </c>
      <c r="BW92" s="15">
        <f t="shared" si="305"/>
        <v>3</v>
      </c>
      <c r="BX92" s="15">
        <f t="shared" si="315"/>
        <v>3</v>
      </c>
      <c r="BY92" s="15">
        <f t="shared" si="325"/>
        <v>3</v>
      </c>
      <c r="BZ92" s="15">
        <v>-12.785</v>
      </c>
      <c r="CA92" s="15">
        <f t="shared" si="226"/>
        <v>-1.50773</v>
      </c>
      <c r="CB92" s="15">
        <f t="shared" si="236"/>
        <v>-8.6440000000000001</v>
      </c>
      <c r="CC92" s="15">
        <f t="shared" si="246"/>
        <v>-2.4997099999999999</v>
      </c>
      <c r="CD92" s="15">
        <f t="shared" si="256"/>
        <v>-2.3690000000000002</v>
      </c>
      <c r="CE92" s="15">
        <f t="shared" si="266"/>
        <v>-3.1114299999999999</v>
      </c>
      <c r="CF92" s="15">
        <f t="shared" si="276"/>
        <v>-1.7563599999999999</v>
      </c>
      <c r="CG92" s="15">
        <f t="shared" si="286"/>
        <v>-8.8160000000000007</v>
      </c>
      <c r="CH92" s="15">
        <f t="shared" si="296"/>
        <v>-2.2650000000000001</v>
      </c>
      <c r="CI92" s="15">
        <f t="shared" si="306"/>
        <v>-2.19333</v>
      </c>
      <c r="CJ92" s="15">
        <f t="shared" si="316"/>
        <v>-13.438000000000001</v>
      </c>
      <c r="CK92" s="15">
        <f t="shared" si="326"/>
        <v>-7.91</v>
      </c>
      <c r="CL92" s="15">
        <v>5</v>
      </c>
      <c r="CM92" s="15">
        <f t="shared" si="227"/>
        <v>3</v>
      </c>
      <c r="CN92" s="15">
        <f t="shared" si="237"/>
        <v>3</v>
      </c>
      <c r="CO92" s="15">
        <f t="shared" si="247"/>
        <v>3</v>
      </c>
      <c r="CP92" s="15">
        <f t="shared" si="257"/>
        <v>3</v>
      </c>
      <c r="CQ92" s="15">
        <f t="shared" si="267"/>
        <v>3</v>
      </c>
      <c r="CR92" s="15">
        <f t="shared" si="277"/>
        <v>3</v>
      </c>
      <c r="CS92" s="15">
        <f t="shared" si="287"/>
        <v>3</v>
      </c>
      <c r="CT92" s="15">
        <f t="shared" si="297"/>
        <v>3</v>
      </c>
      <c r="CU92" s="15">
        <f t="shared" si="307"/>
        <v>3</v>
      </c>
      <c r="CV92" s="15">
        <f t="shared" si="317"/>
        <v>3</v>
      </c>
      <c r="CW92" s="15">
        <f t="shared" si="327"/>
        <v>3</v>
      </c>
      <c r="CX92" s="15">
        <v>-85.527600000000007</v>
      </c>
      <c r="CY92" s="15">
        <f t="shared" si="228"/>
        <v>-56.445700000000002</v>
      </c>
      <c r="CZ92" s="15">
        <f t="shared" si="238"/>
        <v>-83.400899999999993</v>
      </c>
      <c r="DA92" s="15">
        <f t="shared" si="248"/>
        <v>-68.196299999999994</v>
      </c>
      <c r="DB92" s="15">
        <f t="shared" si="258"/>
        <v>-67.114500000000007</v>
      </c>
      <c r="DC92" s="15">
        <f t="shared" si="268"/>
        <v>-72.1828</v>
      </c>
      <c r="DD92" s="15">
        <f t="shared" si="278"/>
        <v>-60.3446</v>
      </c>
      <c r="DE92" s="15">
        <f t="shared" si="288"/>
        <v>-83.528599999999997</v>
      </c>
      <c r="DF92" s="15">
        <f t="shared" si="298"/>
        <v>-66.1785</v>
      </c>
      <c r="DG92" s="15">
        <f t="shared" si="308"/>
        <v>-65.490499999999997</v>
      </c>
      <c r="DH92" s="15">
        <f t="shared" si="318"/>
        <v>-85.744100000000003</v>
      </c>
      <c r="DI92" s="15">
        <f t="shared" si="328"/>
        <v>-82.794799999999995</v>
      </c>
      <c r="DJ92" s="15" t="s">
        <v>19</v>
      </c>
      <c r="DK92" s="15" t="str">
        <f t="shared" si="229"/>
        <v>HL</v>
      </c>
      <c r="DL92" s="15" t="str">
        <f t="shared" si="239"/>
        <v>HL</v>
      </c>
      <c r="DM92" s="15" t="str">
        <f t="shared" si="249"/>
        <v>LL</v>
      </c>
      <c r="DN92" s="15" t="str">
        <f t="shared" si="259"/>
        <v>HL</v>
      </c>
      <c r="DO92" s="15" t="str">
        <f t="shared" si="269"/>
        <v>LL</v>
      </c>
      <c r="DP92" s="15" t="str">
        <f t="shared" si="279"/>
        <v>HL</v>
      </c>
      <c r="DQ92" s="15" t="str">
        <f t="shared" si="289"/>
        <v>LL</v>
      </c>
      <c r="DR92" s="15" t="str">
        <f t="shared" si="299"/>
        <v>LL</v>
      </c>
      <c r="DS92" s="15" t="str">
        <f t="shared" si="309"/>
        <v>HL</v>
      </c>
      <c r="DT92" s="15" t="str">
        <f t="shared" si="319"/>
        <v>LL</v>
      </c>
      <c r="DU92" s="15" t="str">
        <f t="shared" si="329"/>
        <v>HL</v>
      </c>
      <c r="DV92" s="15">
        <f>IFERROR((G92-$F92)/$F92*100,"")</f>
        <v>0.68179865777436865</v>
      </c>
      <c r="DW92" s="15">
        <f>IFERROR((H92-$F92)/$F92*100,"")</f>
        <v>0.30381316956755861</v>
      </c>
      <c r="DX92" s="15">
        <f>IFERROR((I92-$F92)/$F92*100,"")</f>
        <v>0.28411769512661655</v>
      </c>
      <c r="DY92" s="15">
        <f>IFERROR((J92-$F92)/$F92*100,"")</f>
        <v>1.1400327280117808</v>
      </c>
      <c r="DZ92" s="15">
        <f>IFERROR((K92-$F92)/$F92*100,"")</f>
        <v>-0.42051933194626295</v>
      </c>
      <c r="EA92" s="15">
        <f>IFERROR((L92-$F92)/$F92*100,"")</f>
        <v>-0.30905132766355103</v>
      </c>
      <c r="EB92" s="15">
        <f>IFERROR((M92-$F92)/$F92*100,"")</f>
        <v>-1.5119419528272404</v>
      </c>
      <c r="EC92" s="15">
        <f>IFERROR((N92-$F92)/$F92*100,"")</f>
        <v>-1.4436363712554949</v>
      </c>
      <c r="ED92" s="15">
        <f>IFERROR((O92-$F92)/$F92*100,"")</f>
        <v>-1.3420161041932541</v>
      </c>
      <c r="EE92" s="15">
        <f>IFERROR((P92-$F92)/$F92*100,"")</f>
        <v>-2.8070241604804074</v>
      </c>
      <c r="EF92" s="15">
        <f>IFERROR((Q92-$F92)/$F92*100,"")</f>
        <v>-0.52737775710451529</v>
      </c>
      <c r="EG92" s="15" t="str">
        <f>IF(DV92="","",IF(AND(ABS(DV92)&lt;=0.25,$E92="Bottom",DK92="LL"),"EQL",IF(AND(ABS(DV92)&lt;=0.25,$E92="Peak",DK92="HH"),"EQH","")))</f>
        <v/>
      </c>
      <c r="EH92" s="15" t="str">
        <f>IF(DW92="","",IF(AND(ABS(DW92)&lt;=0.25,$E92="Bottom",DL92="LL"),"EQL",IF(AND(ABS(DW92)&lt;=0.25,$E92="Peak",DL92="HH"),"EQH","")))</f>
        <v/>
      </c>
      <c r="EI92" s="15" t="str">
        <f>IF(DX92="","",IF(AND(ABS(DX92)&lt;=0.25,$E92="Bottom",DM92="LL"),"EQL",IF(AND(ABS(DX92)&lt;=0.25,$E92="Peak",DM92="HH"),"EQH","")))</f>
        <v/>
      </c>
      <c r="EJ92" s="15" t="str">
        <f>IF(DY92="","",IF(AND(ABS(DY92)&lt;=0.25,$E92="Bottom",DN92="LL"),"EQL",IF(AND(ABS(DY92)&lt;=0.25,$E92="Peak",DN92="HH"),"EQH","")))</f>
        <v/>
      </c>
      <c r="EK92" s="15" t="str">
        <f>IF(DZ92="","",IF(AND(ABS(DZ92)&lt;=0.25,$E92="Bottom",DO92="LL"),"EQL",IF(AND(ABS(DZ92)&lt;=0.25,$E92="Peak",DO92="HH"),"EQH","")))</f>
        <v/>
      </c>
      <c r="EL92" s="15" t="str">
        <f>IF(EA92="","",IF(AND(ABS(EA92)&lt;=0.25,$E92="Bottom",DP92="LL"),"EQL",IF(AND(ABS(EA92)&lt;=0.25,$E92="Peak",DP92="HH"),"EQH","")))</f>
        <v/>
      </c>
      <c r="EM92" s="15" t="str">
        <f>IF(EB92="","",IF(AND(ABS(EB92)&lt;=0.25,$E92="Bottom",DQ92="LL"),"EQL",IF(AND(ABS(EB92)&lt;=0.25,$E92="Peak",DQ92="HH"),"EQH","")))</f>
        <v/>
      </c>
      <c r="EN92" s="15" t="str">
        <f>IF(EC92="","",IF(AND(ABS(EC92)&lt;=0.25,$E92="Bottom",DR92="LL"),"EQL",IF(AND(ABS(EC92)&lt;=0.25,$E92="Peak",DR92="HH"),"EQH","")))</f>
        <v/>
      </c>
      <c r="EO92" s="15" t="str">
        <f>IF(ED92="","",IF(AND(ABS(ED92)&lt;=0.25,$E92="Bottom",DS92="LL"),"EQL",IF(AND(ABS(ED92)&lt;=0.25,$E92="Peak",DS92="HH"),"EQH","")))</f>
        <v/>
      </c>
      <c r="EP92" s="15" t="str">
        <f>IF(EE92="","",IF(AND(ABS(EE92)&lt;=0.25,$E92="Bottom",DT92="LL"),"EQL",IF(AND(ABS(EE92)&lt;=0.25,$E92="Peak",DT92="HH"),"EQH","")))</f>
        <v/>
      </c>
      <c r="EQ92" s="15" t="str">
        <f>IF(EF92="","",IF(AND(ABS(EF92)&lt;=0.25,$E92="Bottom",DU92="LL"),"EQL",IF(AND(ABS(EF92)&lt;=0.25,$E92="Peak",DU92="HH"),"EQH","")))</f>
        <v/>
      </c>
      <c r="ER92" s="15" t="str">
        <f>IF(OR(EG92="EQL",EG92="EQH"),F92,"")</f>
        <v/>
      </c>
      <c r="ES92" s="15" t="str">
        <f>IF(OR(EH92="EQL",EH92="EQH"),G92,"")</f>
        <v/>
      </c>
      <c r="ET92" s="15" t="str">
        <f>IF(OR(EI92="EQL",EI92="EQH"),H92,"")</f>
        <v/>
      </c>
      <c r="EU92" s="15" t="str">
        <f>IF(OR(EJ92="EQL",EJ92="EQH"),I92,"")</f>
        <v/>
      </c>
      <c r="EV92" s="15" t="str">
        <f>IF(OR(EK92="EQL",EK92="EQH"),J92,"")</f>
        <v/>
      </c>
      <c r="EW92" s="15" t="str">
        <f>IF(OR(EL92="EQL",EL92="EQH"),K92,"")</f>
        <v/>
      </c>
      <c r="EX92" s="15" t="str">
        <f>IF(OR(EM92="EQL",EM92="EQH"),L92,"")</f>
        <v/>
      </c>
      <c r="EY92" s="15" t="str">
        <f>IF(OR(EN92="EQL",EN92="EQH"),M92,"")</f>
        <v/>
      </c>
      <c r="EZ92" s="15" t="str">
        <f>IF(OR(EO92="EQL",EO92="EQH"),N92,"")</f>
        <v/>
      </c>
      <c r="FA92" s="15" t="str">
        <f>IF(OR(EP92="EQL",EP92="EQH"),O92,"")</f>
        <v/>
      </c>
      <c r="FB92" s="15" t="str">
        <f>IF(OR(EQ92="EQL",EQ92="EQH"),P92,"")</f>
        <v/>
      </c>
      <c r="FC92" s="15" t="str">
        <f>IF(AND(EG92="EQL",OR(AQ92=4,AQ92=5)),"IEQL",IF(AND(EG92="EQH",OR(AQ92=1,AQ92=2)),"IEQH",""))</f>
        <v/>
      </c>
      <c r="FD92" s="15" t="str">
        <f>IF(AND(EH92="EQL",OR(AR92=4,AR92=5)),"IEQL",IF(AND(EH92="EQH",OR(AR92=1,AR92=2)),"IEQH",""))</f>
        <v/>
      </c>
      <c r="FE92" s="15" t="str">
        <f>IF(AND(EI92="EQL",OR(AS92=4,AS92=5)),"IEQL",IF(AND(EI92="EQH",OR(AS92=1,AS92=2)),"IEQH",""))</f>
        <v/>
      </c>
      <c r="FF92" s="15" t="str">
        <f>IF(AND(EJ92="EQL",OR(AT92=4,AT92=5)),"IEQL",IF(AND(EJ92="EQH",OR(AT92=1,AT92=2)),"IEQH",""))</f>
        <v/>
      </c>
      <c r="FG92" s="15" t="str">
        <f>IF(AND(EK92="EQL",OR(AU92=4,AU92=5)),"IEQL",IF(AND(EK92="EQH",OR(AU92=1,AU92=2)),"IEQH",""))</f>
        <v/>
      </c>
      <c r="FH92" s="15" t="str">
        <f>IF(AND(EL92="EQL",OR(AV92=4,AV92=5)),"IEQL",IF(AND(EL92="EQH",OR(AV92=1,AV92=2)),"IEQH",""))</f>
        <v/>
      </c>
      <c r="FI92" s="15" t="str">
        <f>IF(AND(EM92="EQL",OR(AW92=4,AW92=5)),"IEQL",IF(AND(EM92="EQH",OR(AW92=1,AW92=2)),"IEQH",""))</f>
        <v/>
      </c>
      <c r="FJ92" s="15" t="str">
        <f>IF(AND(EN92="EQL",OR(AX92=4,AX92=5)),"IEQL",IF(AND(EN92="EQH",OR(AX92=1,AX92=2)),"IEQH",""))</f>
        <v/>
      </c>
      <c r="FK92" s="15" t="str">
        <f>IF(AND(EO92="EQL",OR(AY92=4,AY92=5)),"IEQL",IF(AND(EO92="EQH",OR(AY92=1,AY92=2)),"IEQH",""))</f>
        <v/>
      </c>
      <c r="FL92" s="15" t="str">
        <f>IF(AND(EP92="EQL",OR(AZ92=4,AZ92=5)),"IEQL",IF(AND(EP92="EQH",OR(AZ92=1,AZ92=2)),"IEQH",""))</f>
        <v/>
      </c>
      <c r="FM92" s="15" t="str">
        <f>IF(AND(EQ92="EQL",OR(BA92=4,BA92=5)),"IEQL",IF(AND(EQ92="EQH",OR(BA92=1,BA92=2)),"IEQH",""))</f>
        <v/>
      </c>
      <c r="FN92" s="15" t="str">
        <f>IF(OR(AND(DJ92="LL",AP92=5),AND(DJ92="HH",AP92=2)),F92,"")</f>
        <v/>
      </c>
      <c r="FO92" s="15" t="str">
        <f>IF(FN92&lt;&gt;"",F91,"")</f>
        <v/>
      </c>
    </row>
    <row r="93" spans="1:171" s="15" customFormat="1" x14ac:dyDescent="0.55000000000000004">
      <c r="A93" s="15">
        <v>1776368706</v>
      </c>
      <c r="B93" s="15" t="s">
        <v>16</v>
      </c>
      <c r="C93" s="15" t="s">
        <v>17</v>
      </c>
      <c r="D93" s="15">
        <v>4793.5200000000004</v>
      </c>
      <c r="E93" s="15" t="s">
        <v>20</v>
      </c>
      <c r="F93" s="15">
        <v>4798.58</v>
      </c>
      <c r="G93" s="15">
        <f t="shared" si="220"/>
        <v>4823.8100000000004</v>
      </c>
      <c r="H93" s="15">
        <f t="shared" si="230"/>
        <v>4838.38</v>
      </c>
      <c r="I93" s="15">
        <f t="shared" si="240"/>
        <v>4830.3900000000003</v>
      </c>
      <c r="J93" s="15">
        <f t="shared" si="250"/>
        <v>4871.22</v>
      </c>
      <c r="K93" s="15">
        <f t="shared" si="260"/>
        <v>4850.7700000000004</v>
      </c>
      <c r="L93" s="15">
        <f t="shared" si="270"/>
        <v>4796.16</v>
      </c>
      <c r="M93" s="15">
        <f t="shared" si="280"/>
        <v>4777.24</v>
      </c>
      <c r="N93" s="15">
        <f t="shared" si="290"/>
        <v>4744.59</v>
      </c>
      <c r="O93" s="15">
        <f t="shared" si="300"/>
        <v>4740.01</v>
      </c>
      <c r="P93" s="15">
        <f t="shared" si="310"/>
        <v>4728.3599999999997</v>
      </c>
      <c r="Q93" s="15">
        <f t="shared" si="320"/>
        <v>4773.08</v>
      </c>
      <c r="R93" s="15">
        <v>25.91</v>
      </c>
      <c r="S93" s="15">
        <f t="shared" si="221"/>
        <v>18.600000000000001</v>
      </c>
      <c r="T93" s="15">
        <f t="shared" si="231"/>
        <v>51.21</v>
      </c>
      <c r="U93" s="15">
        <f t="shared" si="241"/>
        <v>44.16</v>
      </c>
      <c r="V93" s="15">
        <f t="shared" si="251"/>
        <v>44.14</v>
      </c>
      <c r="W93" s="15">
        <f t="shared" si="261"/>
        <v>98.17</v>
      </c>
      <c r="X93" s="15">
        <f t="shared" si="271"/>
        <v>38.24</v>
      </c>
      <c r="Y93" s="15">
        <f t="shared" si="281"/>
        <v>76.73</v>
      </c>
      <c r="Z93" s="15">
        <f t="shared" si="291"/>
        <v>40.82</v>
      </c>
      <c r="AA93" s="15">
        <f t="shared" si="301"/>
        <v>31.39</v>
      </c>
      <c r="AB93" s="15">
        <f t="shared" si="311"/>
        <v>89.66</v>
      </c>
      <c r="AC93" s="15">
        <f t="shared" si="321"/>
        <v>25.58</v>
      </c>
      <c r="AD93" s="15">
        <v>0.54</v>
      </c>
      <c r="AE93" s="15">
        <f t="shared" si="222"/>
        <v>0.39</v>
      </c>
      <c r="AF93" s="15">
        <f t="shared" si="232"/>
        <v>1.07</v>
      </c>
      <c r="AG93" s="15">
        <f t="shared" si="242"/>
        <v>0.92</v>
      </c>
      <c r="AH93" s="15">
        <f t="shared" si="252"/>
        <v>0.91</v>
      </c>
      <c r="AI93" s="15">
        <f t="shared" si="262"/>
        <v>2.0699999999999998</v>
      </c>
      <c r="AJ93" s="15">
        <f t="shared" si="272"/>
        <v>0.8</v>
      </c>
      <c r="AK93" s="15">
        <f t="shared" si="282"/>
        <v>1.63</v>
      </c>
      <c r="AL93" s="15">
        <f t="shared" si="292"/>
        <v>0.87</v>
      </c>
      <c r="AM93" s="15">
        <f t="shared" si="302"/>
        <v>0.67</v>
      </c>
      <c r="AN93" s="15">
        <f t="shared" si="312"/>
        <v>1.93</v>
      </c>
      <c r="AO93" s="15">
        <f t="shared" si="322"/>
        <v>0.54</v>
      </c>
      <c r="AP93" s="15">
        <v>0</v>
      </c>
      <c r="AQ93" s="15">
        <f t="shared" si="223"/>
        <v>0</v>
      </c>
      <c r="AR93" s="15">
        <f t="shared" si="233"/>
        <v>0</v>
      </c>
      <c r="AS93" s="15">
        <f t="shared" si="243"/>
        <v>0</v>
      </c>
      <c r="AT93" s="15">
        <f t="shared" si="253"/>
        <v>0</v>
      </c>
      <c r="AU93" s="15">
        <f t="shared" si="263"/>
        <v>0</v>
      </c>
      <c r="AV93" s="15">
        <f t="shared" si="273"/>
        <v>0</v>
      </c>
      <c r="AW93" s="15">
        <f t="shared" si="283"/>
        <v>0</v>
      </c>
      <c r="AX93" s="15">
        <f t="shared" si="293"/>
        <v>0</v>
      </c>
      <c r="AY93" s="15">
        <f t="shared" si="303"/>
        <v>0</v>
      </c>
      <c r="AZ93" s="15">
        <f t="shared" si="313"/>
        <v>0</v>
      </c>
      <c r="BA93" s="15">
        <f t="shared" si="323"/>
        <v>0</v>
      </c>
      <c r="BB93" s="15">
        <v>21</v>
      </c>
      <c r="BC93" s="15">
        <f t="shared" si="224"/>
        <v>12</v>
      </c>
      <c r="BD93" s="15">
        <f t="shared" si="234"/>
        <v>50</v>
      </c>
      <c r="BE93" s="15">
        <f t="shared" si="244"/>
        <v>18</v>
      </c>
      <c r="BF93" s="15">
        <f t="shared" si="254"/>
        <v>3</v>
      </c>
      <c r="BG93" s="15">
        <f t="shared" si="264"/>
        <v>42</v>
      </c>
      <c r="BH93" s="15">
        <f t="shared" si="274"/>
        <v>6</v>
      </c>
      <c r="BI93" s="15">
        <f t="shared" si="284"/>
        <v>43</v>
      </c>
      <c r="BJ93" s="15">
        <f t="shared" si="294"/>
        <v>8</v>
      </c>
      <c r="BK93" s="15">
        <f t="shared" si="304"/>
        <v>15</v>
      </c>
      <c r="BL93" s="15">
        <f t="shared" si="314"/>
        <v>15</v>
      </c>
      <c r="BM93" s="15">
        <f t="shared" si="324"/>
        <v>10</v>
      </c>
      <c r="BN93" s="15">
        <v>0</v>
      </c>
      <c r="BO93" s="15">
        <f t="shared" si="225"/>
        <v>0</v>
      </c>
      <c r="BP93" s="15">
        <f t="shared" si="235"/>
        <v>2</v>
      </c>
      <c r="BQ93" s="15">
        <f t="shared" si="245"/>
        <v>0</v>
      </c>
      <c r="BR93" s="15">
        <f t="shared" si="255"/>
        <v>0</v>
      </c>
      <c r="BS93" s="15">
        <f t="shared" si="265"/>
        <v>1</v>
      </c>
      <c r="BT93" s="15">
        <f t="shared" si="275"/>
        <v>0</v>
      </c>
      <c r="BU93" s="15">
        <f t="shared" si="285"/>
        <v>1</v>
      </c>
      <c r="BV93" s="15">
        <f t="shared" si="295"/>
        <v>0</v>
      </c>
      <c r="BW93" s="15">
        <f t="shared" si="305"/>
        <v>0</v>
      </c>
      <c r="BX93" s="15">
        <f t="shared" si="315"/>
        <v>0</v>
      </c>
      <c r="BY93" s="15">
        <f t="shared" si="325"/>
        <v>0</v>
      </c>
      <c r="BZ93" s="15">
        <v>1.2338100000000001</v>
      </c>
      <c r="CA93" s="15">
        <f t="shared" si="226"/>
        <v>1.55</v>
      </c>
      <c r="CB93" s="15">
        <f t="shared" si="236"/>
        <v>1.0242</v>
      </c>
      <c r="CC93" s="15">
        <f t="shared" si="246"/>
        <v>2.4533299999999998</v>
      </c>
      <c r="CD93" s="15">
        <f t="shared" si="256"/>
        <v>14.713329999999999</v>
      </c>
      <c r="CE93" s="15">
        <f t="shared" si="266"/>
        <v>2.33738</v>
      </c>
      <c r="CF93" s="15">
        <f t="shared" si="276"/>
        <v>6.3733300000000002</v>
      </c>
      <c r="CG93" s="15">
        <f t="shared" si="286"/>
        <v>1.7844199999999999</v>
      </c>
      <c r="CH93" s="15">
        <f t="shared" si="296"/>
        <v>5.1025</v>
      </c>
      <c r="CI93" s="15">
        <f t="shared" si="306"/>
        <v>2.09267</v>
      </c>
      <c r="CJ93" s="15">
        <f t="shared" si="316"/>
        <v>5.9773300000000003</v>
      </c>
      <c r="CK93" s="15">
        <f t="shared" si="326"/>
        <v>2.5579999999999998</v>
      </c>
      <c r="CL93" s="15">
        <v>0</v>
      </c>
      <c r="CM93" s="15">
        <f t="shared" si="227"/>
        <v>0</v>
      </c>
      <c r="CN93" s="15">
        <f t="shared" si="237"/>
        <v>0</v>
      </c>
      <c r="CO93" s="15">
        <f t="shared" si="247"/>
        <v>0</v>
      </c>
      <c r="CP93" s="15">
        <f t="shared" si="257"/>
        <v>0</v>
      </c>
      <c r="CQ93" s="15">
        <f t="shared" si="267"/>
        <v>0</v>
      </c>
      <c r="CR93" s="15">
        <f t="shared" si="277"/>
        <v>0</v>
      </c>
      <c r="CS93" s="15">
        <f t="shared" si="287"/>
        <v>0</v>
      </c>
      <c r="CT93" s="15">
        <f t="shared" si="297"/>
        <v>0</v>
      </c>
      <c r="CU93" s="15">
        <f t="shared" si="307"/>
        <v>0</v>
      </c>
      <c r="CV93" s="15">
        <f t="shared" si="317"/>
        <v>0</v>
      </c>
      <c r="CW93" s="15">
        <f t="shared" si="327"/>
        <v>0</v>
      </c>
      <c r="CX93" s="15">
        <v>50.975299999999997</v>
      </c>
      <c r="CY93" s="15">
        <f t="shared" si="228"/>
        <v>57.171500000000002</v>
      </c>
      <c r="CZ93" s="15">
        <f t="shared" si="238"/>
        <v>45.685000000000002</v>
      </c>
      <c r="DA93" s="15">
        <f t="shared" si="248"/>
        <v>67.823800000000006</v>
      </c>
      <c r="DB93" s="15">
        <f t="shared" si="258"/>
        <v>86.111800000000002</v>
      </c>
      <c r="DC93" s="15">
        <f t="shared" si="268"/>
        <v>66.837299999999999</v>
      </c>
      <c r="DD93" s="15">
        <f t="shared" si="278"/>
        <v>81.082800000000006</v>
      </c>
      <c r="DE93" s="15">
        <f t="shared" si="288"/>
        <v>60.733400000000003</v>
      </c>
      <c r="DF93" s="15">
        <f t="shared" si="298"/>
        <v>78.911600000000007</v>
      </c>
      <c r="DG93" s="15">
        <f t="shared" si="308"/>
        <v>64.458799999999997</v>
      </c>
      <c r="DH93" s="15">
        <f t="shared" si="318"/>
        <v>80.502399999999994</v>
      </c>
      <c r="DI93" s="15">
        <f t="shared" si="328"/>
        <v>68.647999999999996</v>
      </c>
      <c r="DJ93" s="15" t="s">
        <v>21</v>
      </c>
      <c r="DK93" s="15" t="str">
        <f t="shared" si="229"/>
        <v>LH</v>
      </c>
      <c r="DL93" s="15" t="str">
        <f t="shared" si="239"/>
        <v>HH</v>
      </c>
      <c r="DM93" s="15" t="str">
        <f t="shared" si="249"/>
        <v>LH</v>
      </c>
      <c r="DN93" s="15" t="str">
        <f t="shared" si="259"/>
        <v>HH</v>
      </c>
      <c r="DO93" s="15" t="str">
        <f t="shared" si="269"/>
        <v>HH</v>
      </c>
      <c r="DP93" s="15" t="str">
        <f t="shared" si="279"/>
        <v>HH</v>
      </c>
      <c r="DQ93" s="15" t="str">
        <f t="shared" si="289"/>
        <v>HH</v>
      </c>
      <c r="DR93" s="15" t="str">
        <f t="shared" si="299"/>
        <v>HH</v>
      </c>
      <c r="DS93" s="15" t="str">
        <f t="shared" si="309"/>
        <v>HH</v>
      </c>
      <c r="DT93" s="15" t="str">
        <f t="shared" si="319"/>
        <v>LH</v>
      </c>
      <c r="DU93" s="15" t="str">
        <f t="shared" si="329"/>
        <v>LH</v>
      </c>
      <c r="DV93" s="15">
        <f>IFERROR((G93-$F93)/$F93*100,"")</f>
        <v>0.52578054341076885</v>
      </c>
      <c r="DW93" s="15">
        <f>IFERROR((H93-$F93)/$F93*100,"")</f>
        <v>0.82941203439351185</v>
      </c>
      <c r="DX93" s="15">
        <f>IFERROR((I93-$F93)/$F93*100,"")</f>
        <v>0.66290444256426695</v>
      </c>
      <c r="DY93" s="15">
        <f>IFERROR((J93-$F93)/$F93*100,"")</f>
        <v>1.5137811602599172</v>
      </c>
      <c r="DZ93" s="15">
        <f>IFERROR((K93-$F93)/$F93*100,"")</f>
        <v>1.0876134189697892</v>
      </c>
      <c r="EA93" s="15">
        <f>IFERROR((L93-$F93)/$F93*100,"")</f>
        <v>-5.0431586010863068E-2</v>
      </c>
      <c r="EB93" s="15">
        <f>IFERROR((M93-$F93)/$F93*100,"")</f>
        <v>-0.44471489482305487</v>
      </c>
      <c r="EC93" s="15">
        <f>IFERROR((N93-$F93)/$F93*100,"")</f>
        <v>-1.1251245160026462</v>
      </c>
      <c r="ED93" s="15">
        <f>IFERROR((O93-$F93)/$F93*100,"")</f>
        <v>-1.220569418452953</v>
      </c>
      <c r="EE93" s="15">
        <f>IFERROR((P93-$F93)/$F93*100,"")</f>
        <v>-1.4633495742490539</v>
      </c>
      <c r="EF93" s="15">
        <f>IFERROR((Q93-$F93)/$F93*100,"")</f>
        <v>-0.53140720796568985</v>
      </c>
      <c r="EG93" s="15" t="str">
        <f>IF(DV93="","",IF(AND(ABS(DV93)&lt;=0.25,$E93="Bottom",DK93="LL"),"EQL",IF(AND(ABS(DV93)&lt;=0.25,$E93="Peak",DK93="HH"),"EQH","")))</f>
        <v/>
      </c>
      <c r="EH93" s="15" t="str">
        <f>IF(DW93="","",IF(AND(ABS(DW93)&lt;=0.25,$E93="Bottom",DL93="LL"),"EQL",IF(AND(ABS(DW93)&lt;=0.25,$E93="Peak",DL93="HH"),"EQH","")))</f>
        <v/>
      </c>
      <c r="EI93" s="15" t="str">
        <f>IF(DX93="","",IF(AND(ABS(DX93)&lt;=0.25,$E93="Bottom",DM93="LL"),"EQL",IF(AND(ABS(DX93)&lt;=0.25,$E93="Peak",DM93="HH"),"EQH","")))</f>
        <v/>
      </c>
      <c r="EJ93" s="15" t="str">
        <f>IF(DY93="","",IF(AND(ABS(DY93)&lt;=0.25,$E93="Bottom",DN93="LL"),"EQL",IF(AND(ABS(DY93)&lt;=0.25,$E93="Peak",DN93="HH"),"EQH","")))</f>
        <v/>
      </c>
      <c r="EK93" s="15" t="str">
        <f>IF(DZ93="","",IF(AND(ABS(DZ93)&lt;=0.25,$E93="Bottom",DO93="LL"),"EQL",IF(AND(ABS(DZ93)&lt;=0.25,$E93="Peak",DO93="HH"),"EQH","")))</f>
        <v/>
      </c>
      <c r="EL93" s="15" t="str">
        <f>IF(EA93="","",IF(AND(ABS(EA93)&lt;=0.25,$E93="Bottom",DP93="LL"),"EQL",IF(AND(ABS(EA93)&lt;=0.25,$E93="Peak",DP93="HH"),"EQH","")))</f>
        <v>EQH</v>
      </c>
      <c r="EM93" s="15" t="str">
        <f>IF(EB93="","",IF(AND(ABS(EB93)&lt;=0.25,$E93="Bottom",DQ93="LL"),"EQL",IF(AND(ABS(EB93)&lt;=0.25,$E93="Peak",DQ93="HH"),"EQH","")))</f>
        <v/>
      </c>
      <c r="EN93" s="15" t="str">
        <f>IF(EC93="","",IF(AND(ABS(EC93)&lt;=0.25,$E93="Bottom",DR93="LL"),"EQL",IF(AND(ABS(EC93)&lt;=0.25,$E93="Peak",DR93="HH"),"EQH","")))</f>
        <v/>
      </c>
      <c r="EO93" s="15" t="str">
        <f>IF(ED93="","",IF(AND(ABS(ED93)&lt;=0.25,$E93="Bottom",DS93="LL"),"EQL",IF(AND(ABS(ED93)&lt;=0.25,$E93="Peak",DS93="HH"),"EQH","")))</f>
        <v/>
      </c>
      <c r="EP93" s="15" t="str">
        <f>IF(EE93="","",IF(AND(ABS(EE93)&lt;=0.25,$E93="Bottom",DT93="LL"),"EQL",IF(AND(ABS(EE93)&lt;=0.25,$E93="Peak",DT93="HH"),"EQH","")))</f>
        <v/>
      </c>
      <c r="EQ93" s="15" t="str">
        <f>IF(EF93="","",IF(AND(ABS(EF93)&lt;=0.25,$E93="Bottom",DU93="LL"),"EQL",IF(AND(ABS(EF93)&lt;=0.25,$E93="Peak",DU93="HH"),"EQH","")))</f>
        <v/>
      </c>
      <c r="ER93" s="15" t="str">
        <f>IF(OR(EG93="EQL",EG93="EQH"),F93,"")</f>
        <v/>
      </c>
      <c r="ES93" s="15" t="str">
        <f>IF(OR(EH93="EQL",EH93="EQH"),G93,"")</f>
        <v/>
      </c>
      <c r="ET93" s="15" t="str">
        <f>IF(OR(EI93="EQL",EI93="EQH"),H93,"")</f>
        <v/>
      </c>
      <c r="EU93" s="15" t="str">
        <f>IF(OR(EJ93="EQL",EJ93="EQH"),I93,"")</f>
        <v/>
      </c>
      <c r="EV93" s="15" t="str">
        <f>IF(OR(EK93="EQL",EK93="EQH"),J93,"")</f>
        <v/>
      </c>
      <c r="EW93" s="15">
        <f>IF(OR(EL93="EQL",EL93="EQH"),K93,"")</f>
        <v>4850.7700000000004</v>
      </c>
      <c r="EX93" s="15" t="str">
        <f>IF(OR(EM93="EQL",EM93="EQH"),L93,"")</f>
        <v/>
      </c>
      <c r="EY93" s="15" t="str">
        <f>IF(OR(EN93="EQL",EN93="EQH"),M93,"")</f>
        <v/>
      </c>
      <c r="EZ93" s="15" t="str">
        <f>IF(OR(EO93="EQL",EO93="EQH"),N93,"")</f>
        <v/>
      </c>
      <c r="FA93" s="15" t="str">
        <f>IF(OR(EP93="EQL",EP93="EQH"),O93,"")</f>
        <v/>
      </c>
      <c r="FB93" s="15" t="str">
        <f>IF(OR(EQ93="EQL",EQ93="EQH"),P93,"")</f>
        <v/>
      </c>
      <c r="FC93" s="15" t="str">
        <f>IF(AND(EG93="EQL",OR(AQ93=4,AQ93=5)),"IEQL",IF(AND(EG93="EQH",OR(AQ93=1,AQ93=2)),"IEQH",""))</f>
        <v/>
      </c>
      <c r="FD93" s="15" t="str">
        <f>IF(AND(EH93="EQL",OR(AR93=4,AR93=5)),"IEQL",IF(AND(EH93="EQH",OR(AR93=1,AR93=2)),"IEQH",""))</f>
        <v/>
      </c>
      <c r="FE93" s="15" t="str">
        <f>IF(AND(EI93="EQL",OR(AS93=4,AS93=5)),"IEQL",IF(AND(EI93="EQH",OR(AS93=1,AS93=2)),"IEQH",""))</f>
        <v/>
      </c>
      <c r="FF93" s="15" t="str">
        <f>IF(AND(EJ93="EQL",OR(AT93=4,AT93=5)),"IEQL",IF(AND(EJ93="EQH",OR(AT93=1,AT93=2)),"IEQH",""))</f>
        <v/>
      </c>
      <c r="FG93" s="15" t="str">
        <f>IF(AND(EK93="EQL",OR(AU93=4,AU93=5)),"IEQL",IF(AND(EK93="EQH",OR(AU93=1,AU93=2)),"IEQH",""))</f>
        <v/>
      </c>
      <c r="FH93" s="15" t="str">
        <f>IF(AND(EL93="EQL",OR(AV93=4,AV93=5)),"IEQL",IF(AND(EL93="EQH",OR(AV93=1,AV93=2)),"IEQH",""))</f>
        <v/>
      </c>
      <c r="FI93" s="15" t="str">
        <f>IF(AND(EM93="EQL",OR(AW93=4,AW93=5)),"IEQL",IF(AND(EM93="EQH",OR(AW93=1,AW93=2)),"IEQH",""))</f>
        <v/>
      </c>
      <c r="FJ93" s="15" t="str">
        <f>IF(AND(EN93="EQL",OR(AX93=4,AX93=5)),"IEQL",IF(AND(EN93="EQH",OR(AX93=1,AX93=2)),"IEQH",""))</f>
        <v/>
      </c>
      <c r="FK93" s="15" t="str">
        <f>IF(AND(EO93="EQL",OR(AY93=4,AY93=5)),"IEQL",IF(AND(EO93="EQH",OR(AY93=1,AY93=2)),"IEQH",""))</f>
        <v/>
      </c>
      <c r="FL93" s="15" t="str">
        <f>IF(AND(EP93="EQL",OR(AZ93=4,AZ93=5)),"IEQL",IF(AND(EP93="EQH",OR(AZ93=1,AZ93=2)),"IEQH",""))</f>
        <v/>
      </c>
      <c r="FM93" s="15" t="str">
        <f>IF(AND(EQ93="EQL",OR(BA93=4,BA93=5)),"IEQL",IF(AND(EQ93="EQH",OR(BA93=1,BA93=2)),"IEQH",""))</f>
        <v/>
      </c>
      <c r="FN93" s="15" t="str">
        <f>IF(OR(AND(DJ93="LL",AP93=5),AND(DJ93="HH",AP93=2)),F93,"")</f>
        <v/>
      </c>
      <c r="FO93" s="15" t="str">
        <f>IF(FN93&lt;&gt;"",F92,"")</f>
        <v/>
      </c>
    </row>
    <row r="94" spans="1:171" s="15" customFormat="1" x14ac:dyDescent="0.55000000000000004">
      <c r="A94" s="15">
        <v>1776384006</v>
      </c>
      <c r="B94" s="15" t="s">
        <v>16</v>
      </c>
      <c r="C94" s="15" t="s">
        <v>17</v>
      </c>
      <c r="D94" s="15">
        <v>4790.3999999999996</v>
      </c>
      <c r="E94" s="15" t="s">
        <v>18</v>
      </c>
      <c r="F94" s="15">
        <v>4786.1000000000004</v>
      </c>
      <c r="G94" s="15">
        <f t="shared" si="220"/>
        <v>4772.67</v>
      </c>
      <c r="H94" s="15">
        <f t="shared" si="230"/>
        <v>4805.21</v>
      </c>
      <c r="I94" s="15">
        <f t="shared" si="240"/>
        <v>4787.17</v>
      </c>
      <c r="J94" s="15">
        <f t="shared" si="250"/>
        <v>4786.2299999999996</v>
      </c>
      <c r="K94" s="15">
        <f t="shared" si="260"/>
        <v>4827.08</v>
      </c>
      <c r="L94" s="15">
        <f t="shared" si="270"/>
        <v>4752.6000000000004</v>
      </c>
      <c r="M94" s="15">
        <f t="shared" si="280"/>
        <v>4757.92</v>
      </c>
      <c r="N94" s="15">
        <f t="shared" si="290"/>
        <v>4700.51</v>
      </c>
      <c r="O94" s="15">
        <f t="shared" si="300"/>
        <v>4703.7700000000004</v>
      </c>
      <c r="P94" s="15">
        <f t="shared" si="310"/>
        <v>4708.62</v>
      </c>
      <c r="Q94" s="15">
        <f t="shared" si="320"/>
        <v>4638.7</v>
      </c>
      <c r="R94" s="15">
        <v>-12.48</v>
      </c>
      <c r="S94" s="15">
        <f t="shared" si="221"/>
        <v>-51.14</v>
      </c>
      <c r="T94" s="15">
        <f t="shared" si="231"/>
        <v>-33.17</v>
      </c>
      <c r="U94" s="15">
        <f t="shared" si="241"/>
        <v>-43.22</v>
      </c>
      <c r="V94" s="15">
        <f t="shared" si="251"/>
        <v>-84.99</v>
      </c>
      <c r="W94" s="15">
        <f t="shared" si="261"/>
        <v>-23.69</v>
      </c>
      <c r="X94" s="15">
        <f t="shared" si="271"/>
        <v>-43.56</v>
      </c>
      <c r="Y94" s="15">
        <f t="shared" si="281"/>
        <v>-19.32</v>
      </c>
      <c r="Z94" s="15">
        <f t="shared" si="291"/>
        <v>-44.08</v>
      </c>
      <c r="AA94" s="15">
        <f t="shared" si="301"/>
        <v>-36.24</v>
      </c>
      <c r="AB94" s="15">
        <f t="shared" si="311"/>
        <v>-19.739999999999998</v>
      </c>
      <c r="AC94" s="15">
        <f t="shared" si="321"/>
        <v>-134.38</v>
      </c>
      <c r="AD94" s="15">
        <v>-0.26</v>
      </c>
      <c r="AE94" s="15">
        <f t="shared" si="222"/>
        <v>-1.06</v>
      </c>
      <c r="AF94" s="15">
        <f t="shared" si="232"/>
        <v>-0.69</v>
      </c>
      <c r="AG94" s="15">
        <f t="shared" si="242"/>
        <v>-0.89</v>
      </c>
      <c r="AH94" s="15">
        <f t="shared" si="252"/>
        <v>-1.74</v>
      </c>
      <c r="AI94" s="15">
        <f t="shared" si="262"/>
        <v>-0.49</v>
      </c>
      <c r="AJ94" s="15">
        <f t="shared" si="272"/>
        <v>-0.91</v>
      </c>
      <c r="AK94" s="15">
        <f t="shared" si="282"/>
        <v>-0.4</v>
      </c>
      <c r="AL94" s="15">
        <f t="shared" si="292"/>
        <v>-0.93</v>
      </c>
      <c r="AM94" s="15">
        <f t="shared" si="302"/>
        <v>-0.76</v>
      </c>
      <c r="AN94" s="15">
        <f t="shared" si="312"/>
        <v>-0.42</v>
      </c>
      <c r="AO94" s="15">
        <f t="shared" si="322"/>
        <v>-2.82</v>
      </c>
      <c r="AP94" s="15">
        <v>3</v>
      </c>
      <c r="AQ94" s="15">
        <f t="shared" si="223"/>
        <v>3</v>
      </c>
      <c r="AR94" s="15">
        <f t="shared" si="233"/>
        <v>3</v>
      </c>
      <c r="AS94" s="15">
        <f t="shared" si="243"/>
        <v>3</v>
      </c>
      <c r="AT94" s="15">
        <f t="shared" si="253"/>
        <v>3</v>
      </c>
      <c r="AU94" s="15">
        <f t="shared" si="263"/>
        <v>3</v>
      </c>
      <c r="AV94" s="15">
        <f t="shared" si="273"/>
        <v>3</v>
      </c>
      <c r="AW94" s="15">
        <f t="shared" si="283"/>
        <v>3</v>
      </c>
      <c r="AX94" s="15">
        <f t="shared" si="293"/>
        <v>3</v>
      </c>
      <c r="AY94" s="15">
        <f t="shared" si="303"/>
        <v>3</v>
      </c>
      <c r="AZ94" s="15">
        <f t="shared" si="313"/>
        <v>3</v>
      </c>
      <c r="BA94" s="15">
        <f t="shared" si="323"/>
        <v>3</v>
      </c>
      <c r="BB94" s="15">
        <v>13</v>
      </c>
      <c r="BC94" s="15">
        <f t="shared" si="224"/>
        <v>4</v>
      </c>
      <c r="BD94" s="15">
        <f t="shared" si="234"/>
        <v>22</v>
      </c>
      <c r="BE94" s="15">
        <f t="shared" si="244"/>
        <v>5</v>
      </c>
      <c r="BF94" s="15">
        <f t="shared" si="254"/>
        <v>34</v>
      </c>
      <c r="BG94" s="15">
        <f t="shared" si="264"/>
        <v>10</v>
      </c>
      <c r="BH94" s="15">
        <f t="shared" si="274"/>
        <v>14</v>
      </c>
      <c r="BI94" s="15">
        <f t="shared" si="284"/>
        <v>11</v>
      </c>
      <c r="BJ94" s="15">
        <f t="shared" si="294"/>
        <v>5</v>
      </c>
      <c r="BK94" s="15">
        <f t="shared" si="304"/>
        <v>16</v>
      </c>
      <c r="BL94" s="15">
        <f t="shared" si="314"/>
        <v>9</v>
      </c>
      <c r="BM94" s="15">
        <f t="shared" si="324"/>
        <v>10</v>
      </c>
      <c r="BN94" s="15">
        <v>3</v>
      </c>
      <c r="BO94" s="15">
        <f t="shared" si="225"/>
        <v>3</v>
      </c>
      <c r="BP94" s="15">
        <f t="shared" si="235"/>
        <v>3</v>
      </c>
      <c r="BQ94" s="15">
        <f t="shared" si="245"/>
        <v>3</v>
      </c>
      <c r="BR94" s="15">
        <f t="shared" si="255"/>
        <v>3</v>
      </c>
      <c r="BS94" s="15">
        <f t="shared" si="265"/>
        <v>3</v>
      </c>
      <c r="BT94" s="15">
        <f t="shared" si="275"/>
        <v>3</v>
      </c>
      <c r="BU94" s="15">
        <f t="shared" si="285"/>
        <v>3</v>
      </c>
      <c r="BV94" s="15">
        <f t="shared" si="295"/>
        <v>3</v>
      </c>
      <c r="BW94" s="15">
        <f t="shared" si="305"/>
        <v>3</v>
      </c>
      <c r="BX94" s="15">
        <f t="shared" si="315"/>
        <v>3</v>
      </c>
      <c r="BY94" s="15">
        <f t="shared" si="325"/>
        <v>3</v>
      </c>
      <c r="BZ94" s="15">
        <v>-0.96</v>
      </c>
      <c r="CA94" s="15">
        <f t="shared" si="226"/>
        <v>-12.785</v>
      </c>
      <c r="CB94" s="15">
        <f t="shared" si="236"/>
        <v>-1.50773</v>
      </c>
      <c r="CC94" s="15">
        <f t="shared" si="246"/>
        <v>-8.6440000000000001</v>
      </c>
      <c r="CD94" s="15">
        <f t="shared" si="256"/>
        <v>-2.4997099999999999</v>
      </c>
      <c r="CE94" s="15">
        <f t="shared" si="266"/>
        <v>-2.3690000000000002</v>
      </c>
      <c r="CF94" s="15">
        <f t="shared" si="276"/>
        <v>-3.1114299999999999</v>
      </c>
      <c r="CG94" s="15">
        <f t="shared" si="286"/>
        <v>-1.7563599999999999</v>
      </c>
      <c r="CH94" s="15">
        <f t="shared" si="296"/>
        <v>-8.8160000000000007</v>
      </c>
      <c r="CI94" s="15">
        <f t="shared" si="306"/>
        <v>-2.2650000000000001</v>
      </c>
      <c r="CJ94" s="15">
        <f t="shared" si="316"/>
        <v>-2.19333</v>
      </c>
      <c r="CK94" s="15">
        <f t="shared" si="326"/>
        <v>-13.438000000000001</v>
      </c>
      <c r="CL94" s="15">
        <v>3</v>
      </c>
      <c r="CM94" s="15">
        <f t="shared" si="227"/>
        <v>5</v>
      </c>
      <c r="CN94" s="15">
        <f t="shared" si="237"/>
        <v>3</v>
      </c>
      <c r="CO94" s="15">
        <f t="shared" si="247"/>
        <v>3</v>
      </c>
      <c r="CP94" s="15">
        <f t="shared" si="257"/>
        <v>3</v>
      </c>
      <c r="CQ94" s="15">
        <f t="shared" si="267"/>
        <v>3</v>
      </c>
      <c r="CR94" s="15">
        <f t="shared" si="277"/>
        <v>3</v>
      </c>
      <c r="CS94" s="15">
        <f t="shared" si="287"/>
        <v>3</v>
      </c>
      <c r="CT94" s="15">
        <f t="shared" si="297"/>
        <v>3</v>
      </c>
      <c r="CU94" s="15">
        <f t="shared" si="307"/>
        <v>3</v>
      </c>
      <c r="CV94" s="15">
        <f t="shared" si="317"/>
        <v>3</v>
      </c>
      <c r="CW94" s="15">
        <f t="shared" si="327"/>
        <v>3</v>
      </c>
      <c r="CX94" s="15">
        <v>-43.8309</v>
      </c>
      <c r="CY94" s="15">
        <f t="shared" si="228"/>
        <v>-85.527600000000007</v>
      </c>
      <c r="CZ94" s="15">
        <f t="shared" si="238"/>
        <v>-56.445700000000002</v>
      </c>
      <c r="DA94" s="15">
        <f t="shared" si="248"/>
        <v>-83.400899999999993</v>
      </c>
      <c r="DB94" s="15">
        <f t="shared" si="258"/>
        <v>-68.196299999999994</v>
      </c>
      <c r="DC94" s="15">
        <f t="shared" si="268"/>
        <v>-67.114500000000007</v>
      </c>
      <c r="DD94" s="15">
        <f t="shared" si="278"/>
        <v>-72.1828</v>
      </c>
      <c r="DE94" s="15">
        <f t="shared" si="288"/>
        <v>-60.3446</v>
      </c>
      <c r="DF94" s="15">
        <f t="shared" si="298"/>
        <v>-83.528599999999997</v>
      </c>
      <c r="DG94" s="15">
        <f t="shared" si="308"/>
        <v>-66.1785</v>
      </c>
      <c r="DH94" s="15">
        <f t="shared" si="318"/>
        <v>-65.490499999999997</v>
      </c>
      <c r="DI94" s="15">
        <f t="shared" si="328"/>
        <v>-85.744100000000003</v>
      </c>
      <c r="DJ94" s="15" t="s">
        <v>22</v>
      </c>
      <c r="DK94" s="15" t="str">
        <f t="shared" si="229"/>
        <v>LL</v>
      </c>
      <c r="DL94" s="15" t="str">
        <f t="shared" si="239"/>
        <v>HL</v>
      </c>
      <c r="DM94" s="15" t="str">
        <f t="shared" si="249"/>
        <v>HL</v>
      </c>
      <c r="DN94" s="15" t="str">
        <f t="shared" si="259"/>
        <v>LL</v>
      </c>
      <c r="DO94" s="15" t="str">
        <f t="shared" si="269"/>
        <v>HL</v>
      </c>
      <c r="DP94" s="15" t="str">
        <f t="shared" si="279"/>
        <v>LL</v>
      </c>
      <c r="DQ94" s="15" t="str">
        <f t="shared" si="289"/>
        <v>HL</v>
      </c>
      <c r="DR94" s="15" t="str">
        <f t="shared" si="299"/>
        <v>LL</v>
      </c>
      <c r="DS94" s="15" t="str">
        <f t="shared" si="309"/>
        <v>LL</v>
      </c>
      <c r="DT94" s="15" t="str">
        <f t="shared" si="319"/>
        <v>HL</v>
      </c>
      <c r="DU94" s="15" t="str">
        <f t="shared" si="329"/>
        <v>LL</v>
      </c>
      <c r="DV94" s="15">
        <f>IFERROR((G94-$F94)/$F94*100,"")</f>
        <v>-0.28060424980673804</v>
      </c>
      <c r="DW94" s="15">
        <f>IFERROR((H94-$F94)/$F94*100,"")</f>
        <v>0.3992812519587905</v>
      </c>
      <c r="DX94" s="15">
        <f>IFERROR((I94-$F94)/$F94*100,"")</f>
        <v>2.2356407095541441E-2</v>
      </c>
      <c r="DY94" s="15">
        <f>IFERROR((J94-$F94)/$F94*100,"")</f>
        <v>2.7161989929002663E-3</v>
      </c>
      <c r="DZ94" s="15">
        <f>IFERROR((K94-$F94)/$F94*100,"")</f>
        <v>0.85622949792105385</v>
      </c>
      <c r="EA94" s="15">
        <f>IFERROR((L94-$F94)/$F94*100,"")</f>
        <v>-0.69994358663630096</v>
      </c>
      <c r="EB94" s="15">
        <f>IFERROR((M94-$F94)/$F94*100,"")</f>
        <v>-0.58878836631078102</v>
      </c>
      <c r="EC94" s="15">
        <f>IFERROR((N94-$F94)/$F94*100,"")</f>
        <v>-1.7883036292597343</v>
      </c>
      <c r="ED94" s="15">
        <f>IFERROR((O94-$F94)/$F94*100,"")</f>
        <v>-1.7201897160527346</v>
      </c>
      <c r="EE94" s="15">
        <f>IFERROR((P94-$F94)/$F94*100,"")</f>
        <v>-1.6188545997785349</v>
      </c>
      <c r="EF94" s="15">
        <f>IFERROR((Q94-$F94)/$F94*100,"")</f>
        <v>-3.0797517811997355</v>
      </c>
      <c r="EG94" s="15" t="str">
        <f>IF(DV94="","",IF(AND(ABS(DV94)&lt;=0.25,$E94="Bottom",DK94="LL"),"EQL",IF(AND(ABS(DV94)&lt;=0.25,$E94="Peak",DK94="HH"),"EQH","")))</f>
        <v/>
      </c>
      <c r="EH94" s="15" t="str">
        <f>IF(DW94="","",IF(AND(ABS(DW94)&lt;=0.25,$E94="Bottom",DL94="LL"),"EQL",IF(AND(ABS(DW94)&lt;=0.25,$E94="Peak",DL94="HH"),"EQH","")))</f>
        <v/>
      </c>
      <c r="EI94" s="15" t="str">
        <f>IF(DX94="","",IF(AND(ABS(DX94)&lt;=0.25,$E94="Bottom",DM94="LL"),"EQL",IF(AND(ABS(DX94)&lt;=0.25,$E94="Peak",DM94="HH"),"EQH","")))</f>
        <v/>
      </c>
      <c r="EJ94" s="15" t="str">
        <f>IF(DY94="","",IF(AND(ABS(DY94)&lt;=0.25,$E94="Bottom",DN94="LL"),"EQL",IF(AND(ABS(DY94)&lt;=0.25,$E94="Peak",DN94="HH"),"EQH","")))</f>
        <v>EQL</v>
      </c>
      <c r="EK94" s="15" t="str">
        <f>IF(DZ94="","",IF(AND(ABS(DZ94)&lt;=0.25,$E94="Bottom",DO94="LL"),"EQL",IF(AND(ABS(DZ94)&lt;=0.25,$E94="Peak",DO94="HH"),"EQH","")))</f>
        <v/>
      </c>
      <c r="EL94" s="15" t="str">
        <f>IF(EA94="","",IF(AND(ABS(EA94)&lt;=0.25,$E94="Bottom",DP94="LL"),"EQL",IF(AND(ABS(EA94)&lt;=0.25,$E94="Peak",DP94="HH"),"EQH","")))</f>
        <v/>
      </c>
      <c r="EM94" s="15" t="str">
        <f>IF(EB94="","",IF(AND(ABS(EB94)&lt;=0.25,$E94="Bottom",DQ94="LL"),"EQL",IF(AND(ABS(EB94)&lt;=0.25,$E94="Peak",DQ94="HH"),"EQH","")))</f>
        <v/>
      </c>
      <c r="EN94" s="15" t="str">
        <f>IF(EC94="","",IF(AND(ABS(EC94)&lt;=0.25,$E94="Bottom",DR94="LL"),"EQL",IF(AND(ABS(EC94)&lt;=0.25,$E94="Peak",DR94="HH"),"EQH","")))</f>
        <v/>
      </c>
      <c r="EO94" s="15" t="str">
        <f>IF(ED94="","",IF(AND(ABS(ED94)&lt;=0.25,$E94="Bottom",DS94="LL"),"EQL",IF(AND(ABS(ED94)&lt;=0.25,$E94="Peak",DS94="HH"),"EQH","")))</f>
        <v/>
      </c>
      <c r="EP94" s="15" t="str">
        <f>IF(EE94="","",IF(AND(ABS(EE94)&lt;=0.25,$E94="Bottom",DT94="LL"),"EQL",IF(AND(ABS(EE94)&lt;=0.25,$E94="Peak",DT94="HH"),"EQH","")))</f>
        <v/>
      </c>
      <c r="EQ94" s="15" t="str">
        <f>IF(EF94="","",IF(AND(ABS(EF94)&lt;=0.25,$E94="Bottom",DU94="LL"),"EQL",IF(AND(ABS(EF94)&lt;=0.25,$E94="Peak",DU94="HH"),"EQH","")))</f>
        <v/>
      </c>
      <c r="ER94" s="15" t="str">
        <f>IF(OR(EG94="EQL",EG94="EQH"),F94,"")</f>
        <v/>
      </c>
      <c r="ES94" s="15" t="str">
        <f>IF(OR(EH94="EQL",EH94="EQH"),G94,"")</f>
        <v/>
      </c>
      <c r="ET94" s="15" t="str">
        <f>IF(OR(EI94="EQL",EI94="EQH"),H94,"")</f>
        <v/>
      </c>
      <c r="EU94" s="15">
        <f>IF(OR(EJ94="EQL",EJ94="EQH"),I94,"")</f>
        <v>4787.17</v>
      </c>
      <c r="EV94" s="15" t="str">
        <f>IF(OR(EK94="EQL",EK94="EQH"),J94,"")</f>
        <v/>
      </c>
      <c r="EW94" s="15" t="str">
        <f>IF(OR(EL94="EQL",EL94="EQH"),K94,"")</f>
        <v/>
      </c>
      <c r="EX94" s="15" t="str">
        <f>IF(OR(EM94="EQL",EM94="EQH"),L94,"")</f>
        <v/>
      </c>
      <c r="EY94" s="15" t="str">
        <f>IF(OR(EN94="EQL",EN94="EQH"),M94,"")</f>
        <v/>
      </c>
      <c r="EZ94" s="15" t="str">
        <f>IF(OR(EO94="EQL",EO94="EQH"),N94,"")</f>
        <v/>
      </c>
      <c r="FA94" s="15" t="str">
        <f>IF(OR(EP94="EQL",EP94="EQH"),O94,"")</f>
        <v/>
      </c>
      <c r="FB94" s="15" t="str">
        <f>IF(OR(EQ94="EQL",EQ94="EQH"),P94,"")</f>
        <v/>
      </c>
      <c r="FC94" s="15" t="str">
        <f>IF(AND(EG94="EQL",OR(AQ94=4,AQ94=5)),"IEQL",IF(AND(EG94="EQH",OR(AQ94=1,AQ94=2)),"IEQH",""))</f>
        <v/>
      </c>
      <c r="FD94" s="15" t="str">
        <f>IF(AND(EH94="EQL",OR(AR94=4,AR94=5)),"IEQL",IF(AND(EH94="EQH",OR(AR94=1,AR94=2)),"IEQH",""))</f>
        <v/>
      </c>
      <c r="FE94" s="15" t="str">
        <f>IF(AND(EI94="EQL",OR(AS94=4,AS94=5)),"IEQL",IF(AND(EI94="EQH",OR(AS94=1,AS94=2)),"IEQH",""))</f>
        <v/>
      </c>
      <c r="FF94" s="15" t="str">
        <f>IF(AND(EJ94="EQL",OR(AT94=4,AT94=5)),"IEQL",IF(AND(EJ94="EQH",OR(AT94=1,AT94=2)),"IEQH",""))</f>
        <v/>
      </c>
      <c r="FG94" s="15" t="str">
        <f>IF(AND(EK94="EQL",OR(AU94=4,AU94=5)),"IEQL",IF(AND(EK94="EQH",OR(AU94=1,AU94=2)),"IEQH",""))</f>
        <v/>
      </c>
      <c r="FH94" s="15" t="str">
        <f>IF(AND(EL94="EQL",OR(AV94=4,AV94=5)),"IEQL",IF(AND(EL94="EQH",OR(AV94=1,AV94=2)),"IEQH",""))</f>
        <v/>
      </c>
      <c r="FI94" s="15" t="str">
        <f>IF(AND(EM94="EQL",OR(AW94=4,AW94=5)),"IEQL",IF(AND(EM94="EQH",OR(AW94=1,AW94=2)),"IEQH",""))</f>
        <v/>
      </c>
      <c r="FJ94" s="15" t="str">
        <f>IF(AND(EN94="EQL",OR(AX94=4,AX94=5)),"IEQL",IF(AND(EN94="EQH",OR(AX94=1,AX94=2)),"IEQH",""))</f>
        <v/>
      </c>
      <c r="FK94" s="15" t="str">
        <f>IF(AND(EO94="EQL",OR(AY94=4,AY94=5)),"IEQL",IF(AND(EO94="EQH",OR(AY94=1,AY94=2)),"IEQH",""))</f>
        <v/>
      </c>
      <c r="FL94" s="15" t="str">
        <f>IF(AND(EP94="EQL",OR(AZ94=4,AZ94=5)),"IEQL",IF(AND(EP94="EQH",OR(AZ94=1,AZ94=2)),"IEQH",""))</f>
        <v/>
      </c>
      <c r="FM94" s="15" t="str">
        <f>IF(AND(EQ94="EQL",OR(BA94=4,BA94=5)),"IEQL",IF(AND(EQ94="EQH",OR(BA94=1,BA94=2)),"IEQH",""))</f>
        <v/>
      </c>
      <c r="FN94" s="15" t="str">
        <f>IF(OR(AND(DJ94="LL",AP94=5),AND(DJ94="HH",AP94=2)),F94,"")</f>
        <v/>
      </c>
      <c r="FO94" s="15" t="str">
        <f>IF(FN94&lt;&gt;"",F93,"")</f>
        <v/>
      </c>
    </row>
    <row r="95" spans="1:171" s="15" customFormat="1" x14ac:dyDescent="0.55000000000000004">
      <c r="A95" s="15">
        <v>1776386706</v>
      </c>
      <c r="B95" s="15" t="s">
        <v>16</v>
      </c>
      <c r="C95" s="15" t="s">
        <v>17</v>
      </c>
      <c r="D95" s="15">
        <v>4794.8999999999996</v>
      </c>
      <c r="E95" s="15" t="s">
        <v>20</v>
      </c>
      <c r="F95" s="15">
        <v>4801.12</v>
      </c>
      <c r="G95" s="15">
        <f t="shared" si="220"/>
        <v>4798.58</v>
      </c>
      <c r="H95" s="15">
        <f t="shared" si="230"/>
        <v>4823.8100000000004</v>
      </c>
      <c r="I95" s="15">
        <f t="shared" si="240"/>
        <v>4838.38</v>
      </c>
      <c r="J95" s="15">
        <f t="shared" si="250"/>
        <v>4830.3900000000003</v>
      </c>
      <c r="K95" s="15">
        <f t="shared" si="260"/>
        <v>4871.22</v>
      </c>
      <c r="L95" s="15">
        <f t="shared" si="270"/>
        <v>4850.7700000000004</v>
      </c>
      <c r="M95" s="15">
        <f t="shared" si="280"/>
        <v>4796.16</v>
      </c>
      <c r="N95" s="15">
        <f t="shared" si="290"/>
        <v>4777.24</v>
      </c>
      <c r="O95" s="15">
        <f t="shared" si="300"/>
        <v>4744.59</v>
      </c>
      <c r="P95" s="15">
        <f t="shared" si="310"/>
        <v>4740.01</v>
      </c>
      <c r="Q95" s="15">
        <f t="shared" si="320"/>
        <v>4728.3599999999997</v>
      </c>
      <c r="R95" s="15">
        <v>15.02</v>
      </c>
      <c r="S95" s="15">
        <f t="shared" si="221"/>
        <v>25.91</v>
      </c>
      <c r="T95" s="15">
        <f t="shared" si="231"/>
        <v>18.600000000000001</v>
      </c>
      <c r="U95" s="15">
        <f t="shared" si="241"/>
        <v>51.21</v>
      </c>
      <c r="V95" s="15">
        <f t="shared" si="251"/>
        <v>44.16</v>
      </c>
      <c r="W95" s="15">
        <f t="shared" si="261"/>
        <v>44.14</v>
      </c>
      <c r="X95" s="15">
        <f t="shared" si="271"/>
        <v>98.17</v>
      </c>
      <c r="Y95" s="15">
        <f t="shared" si="281"/>
        <v>38.24</v>
      </c>
      <c r="Z95" s="15">
        <f t="shared" si="291"/>
        <v>76.73</v>
      </c>
      <c r="AA95" s="15">
        <f t="shared" si="301"/>
        <v>40.82</v>
      </c>
      <c r="AB95" s="15">
        <f t="shared" si="311"/>
        <v>31.39</v>
      </c>
      <c r="AC95" s="15">
        <f t="shared" si="321"/>
        <v>89.66</v>
      </c>
      <c r="AD95" s="15">
        <v>0.31</v>
      </c>
      <c r="AE95" s="15">
        <f t="shared" si="222"/>
        <v>0.54</v>
      </c>
      <c r="AF95" s="15">
        <f t="shared" si="232"/>
        <v>0.39</v>
      </c>
      <c r="AG95" s="15">
        <f t="shared" si="242"/>
        <v>1.07</v>
      </c>
      <c r="AH95" s="15">
        <f t="shared" si="252"/>
        <v>0.92</v>
      </c>
      <c r="AI95" s="15">
        <f t="shared" si="262"/>
        <v>0.91</v>
      </c>
      <c r="AJ95" s="15">
        <f t="shared" si="272"/>
        <v>2.0699999999999998</v>
      </c>
      <c r="AK95" s="15">
        <f t="shared" si="282"/>
        <v>0.8</v>
      </c>
      <c r="AL95" s="15">
        <f t="shared" si="292"/>
        <v>1.63</v>
      </c>
      <c r="AM95" s="15">
        <f t="shared" si="302"/>
        <v>0.87</v>
      </c>
      <c r="AN95" s="15">
        <f t="shared" si="312"/>
        <v>0.67</v>
      </c>
      <c r="AO95" s="15">
        <f t="shared" si="322"/>
        <v>1.93</v>
      </c>
      <c r="AP95" s="15">
        <v>0</v>
      </c>
      <c r="AQ95" s="15">
        <f t="shared" si="223"/>
        <v>0</v>
      </c>
      <c r="AR95" s="15">
        <f t="shared" si="233"/>
        <v>0</v>
      </c>
      <c r="AS95" s="15">
        <f t="shared" si="243"/>
        <v>0</v>
      </c>
      <c r="AT95" s="15">
        <f t="shared" si="253"/>
        <v>0</v>
      </c>
      <c r="AU95" s="15">
        <f t="shared" si="263"/>
        <v>0</v>
      </c>
      <c r="AV95" s="15">
        <f t="shared" si="273"/>
        <v>0</v>
      </c>
      <c r="AW95" s="15">
        <f t="shared" si="283"/>
        <v>0</v>
      </c>
      <c r="AX95" s="15">
        <f t="shared" si="293"/>
        <v>0</v>
      </c>
      <c r="AY95" s="15">
        <f t="shared" si="303"/>
        <v>0</v>
      </c>
      <c r="AZ95" s="15">
        <f t="shared" si="313"/>
        <v>0</v>
      </c>
      <c r="BA95" s="15">
        <f t="shared" si="323"/>
        <v>0</v>
      </c>
      <c r="BB95" s="15">
        <v>3</v>
      </c>
      <c r="BC95" s="15">
        <f t="shared" si="224"/>
        <v>21</v>
      </c>
      <c r="BD95" s="15">
        <f t="shared" si="234"/>
        <v>12</v>
      </c>
      <c r="BE95" s="15">
        <f t="shared" si="244"/>
        <v>50</v>
      </c>
      <c r="BF95" s="15">
        <f t="shared" si="254"/>
        <v>18</v>
      </c>
      <c r="BG95" s="15">
        <f t="shared" si="264"/>
        <v>3</v>
      </c>
      <c r="BH95" s="15">
        <f t="shared" si="274"/>
        <v>42</v>
      </c>
      <c r="BI95" s="15">
        <f t="shared" si="284"/>
        <v>6</v>
      </c>
      <c r="BJ95" s="15">
        <f t="shared" si="294"/>
        <v>43</v>
      </c>
      <c r="BK95" s="15">
        <f t="shared" si="304"/>
        <v>8</v>
      </c>
      <c r="BL95" s="15">
        <f t="shared" si="314"/>
        <v>15</v>
      </c>
      <c r="BM95" s="15">
        <f t="shared" si="324"/>
        <v>15</v>
      </c>
      <c r="BN95" s="15">
        <v>0</v>
      </c>
      <c r="BO95" s="15">
        <f t="shared" si="225"/>
        <v>0</v>
      </c>
      <c r="BP95" s="15">
        <f t="shared" si="235"/>
        <v>0</v>
      </c>
      <c r="BQ95" s="15">
        <f t="shared" si="245"/>
        <v>2</v>
      </c>
      <c r="BR95" s="15">
        <f t="shared" si="255"/>
        <v>0</v>
      </c>
      <c r="BS95" s="15">
        <f t="shared" si="265"/>
        <v>0</v>
      </c>
      <c r="BT95" s="15">
        <f t="shared" si="275"/>
        <v>1</v>
      </c>
      <c r="BU95" s="15">
        <f t="shared" si="285"/>
        <v>0</v>
      </c>
      <c r="BV95" s="15">
        <f t="shared" si="295"/>
        <v>1</v>
      </c>
      <c r="BW95" s="15">
        <f t="shared" si="305"/>
        <v>0</v>
      </c>
      <c r="BX95" s="15">
        <f t="shared" si="315"/>
        <v>0</v>
      </c>
      <c r="BY95" s="15">
        <f t="shared" si="325"/>
        <v>0</v>
      </c>
      <c r="BZ95" s="15">
        <v>5.0066699999999997</v>
      </c>
      <c r="CA95" s="15">
        <f t="shared" si="226"/>
        <v>1.2338100000000001</v>
      </c>
      <c r="CB95" s="15">
        <f t="shared" si="236"/>
        <v>1.55</v>
      </c>
      <c r="CC95" s="15">
        <f t="shared" si="246"/>
        <v>1.0242</v>
      </c>
      <c r="CD95" s="15">
        <f t="shared" si="256"/>
        <v>2.4533299999999998</v>
      </c>
      <c r="CE95" s="15">
        <f t="shared" si="266"/>
        <v>14.713329999999999</v>
      </c>
      <c r="CF95" s="15">
        <f t="shared" si="276"/>
        <v>2.33738</v>
      </c>
      <c r="CG95" s="15">
        <f t="shared" si="286"/>
        <v>6.3733300000000002</v>
      </c>
      <c r="CH95" s="15">
        <f t="shared" si="296"/>
        <v>1.7844199999999999</v>
      </c>
      <c r="CI95" s="15">
        <f t="shared" si="306"/>
        <v>5.1025</v>
      </c>
      <c r="CJ95" s="15">
        <f t="shared" si="316"/>
        <v>2.09267</v>
      </c>
      <c r="CK95" s="15">
        <f t="shared" si="326"/>
        <v>5.9773300000000003</v>
      </c>
      <c r="CL95" s="15">
        <v>0</v>
      </c>
      <c r="CM95" s="15">
        <f t="shared" si="227"/>
        <v>0</v>
      </c>
      <c r="CN95" s="15">
        <f t="shared" si="237"/>
        <v>0</v>
      </c>
      <c r="CO95" s="15">
        <f t="shared" si="247"/>
        <v>0</v>
      </c>
      <c r="CP95" s="15">
        <f t="shared" si="257"/>
        <v>0</v>
      </c>
      <c r="CQ95" s="15">
        <f t="shared" si="267"/>
        <v>0</v>
      </c>
      <c r="CR95" s="15">
        <f t="shared" si="277"/>
        <v>0</v>
      </c>
      <c r="CS95" s="15">
        <f t="shared" si="287"/>
        <v>0</v>
      </c>
      <c r="CT95" s="15">
        <f t="shared" si="297"/>
        <v>0</v>
      </c>
      <c r="CU95" s="15">
        <f t="shared" si="307"/>
        <v>0</v>
      </c>
      <c r="CV95" s="15">
        <f t="shared" si="317"/>
        <v>0</v>
      </c>
      <c r="CW95" s="15">
        <f t="shared" si="327"/>
        <v>0</v>
      </c>
      <c r="CX95" s="15">
        <v>78.704700000000003</v>
      </c>
      <c r="CY95" s="15">
        <f t="shared" si="228"/>
        <v>50.975299999999997</v>
      </c>
      <c r="CZ95" s="15">
        <f t="shared" si="238"/>
        <v>57.171500000000002</v>
      </c>
      <c r="DA95" s="15">
        <f t="shared" si="248"/>
        <v>45.685000000000002</v>
      </c>
      <c r="DB95" s="15">
        <f t="shared" si="258"/>
        <v>67.823800000000006</v>
      </c>
      <c r="DC95" s="15">
        <f t="shared" si="268"/>
        <v>86.111800000000002</v>
      </c>
      <c r="DD95" s="15">
        <f t="shared" si="278"/>
        <v>66.837299999999999</v>
      </c>
      <c r="DE95" s="15">
        <f t="shared" si="288"/>
        <v>81.082800000000006</v>
      </c>
      <c r="DF95" s="15">
        <f t="shared" si="298"/>
        <v>60.733400000000003</v>
      </c>
      <c r="DG95" s="15">
        <f t="shared" si="308"/>
        <v>78.911600000000007</v>
      </c>
      <c r="DH95" s="15">
        <f t="shared" si="318"/>
        <v>64.458799999999997</v>
      </c>
      <c r="DI95" s="15">
        <f t="shared" si="328"/>
        <v>80.502399999999994</v>
      </c>
      <c r="DJ95" s="15" t="s">
        <v>23</v>
      </c>
      <c r="DK95" s="15" t="str">
        <f t="shared" si="229"/>
        <v>LH</v>
      </c>
      <c r="DL95" s="15" t="str">
        <f t="shared" si="239"/>
        <v>LH</v>
      </c>
      <c r="DM95" s="15" t="str">
        <f t="shared" si="249"/>
        <v>HH</v>
      </c>
      <c r="DN95" s="15" t="str">
        <f t="shared" si="259"/>
        <v>LH</v>
      </c>
      <c r="DO95" s="15" t="str">
        <f t="shared" si="269"/>
        <v>HH</v>
      </c>
      <c r="DP95" s="15" t="str">
        <f t="shared" si="279"/>
        <v>HH</v>
      </c>
      <c r="DQ95" s="15" t="str">
        <f t="shared" si="289"/>
        <v>HH</v>
      </c>
      <c r="DR95" s="15" t="str">
        <f t="shared" si="299"/>
        <v>HH</v>
      </c>
      <c r="DS95" s="15" t="str">
        <f t="shared" si="309"/>
        <v>HH</v>
      </c>
      <c r="DT95" s="15" t="str">
        <f t="shared" si="319"/>
        <v>HH</v>
      </c>
      <c r="DU95" s="15" t="str">
        <f t="shared" si="329"/>
        <v>LH</v>
      </c>
      <c r="DV95" s="15">
        <f>IFERROR((G95-$F95)/$F95*100,"")</f>
        <v>-5.2904322324790129E-2</v>
      </c>
      <c r="DW95" s="15">
        <f>IFERROR((H95-$F95)/$F95*100,"")</f>
        <v>0.47259806045257169</v>
      </c>
      <c r="DX95" s="15">
        <f>IFERROR((I95-$F95)/$F95*100,"")</f>
        <v>0.7760689172526456</v>
      </c>
      <c r="DY95" s="15">
        <f>IFERROR((J95-$F95)/$F95*100,"")</f>
        <v>0.60964941513647719</v>
      </c>
      <c r="DZ95" s="15">
        <f>IFERROR((K95-$F95)/$F95*100,"")</f>
        <v>1.4600759822708111</v>
      </c>
      <c r="EA95" s="15">
        <f>IFERROR((L95-$F95)/$F95*100,"")</f>
        <v>1.0341337021361796</v>
      </c>
      <c r="EB95" s="15">
        <f>IFERROR((M95-$F95)/$F95*100,"")</f>
        <v>-0.10330922784683649</v>
      </c>
      <c r="EC95" s="15">
        <f>IFERROR((N95-$F95)/$F95*100,"")</f>
        <v>-0.4973839437464615</v>
      </c>
      <c r="ED95" s="15">
        <f>IFERROR((O95-$F95)/$F95*100,"")</f>
        <v>-1.1774335988269351</v>
      </c>
      <c r="EE95" s="15">
        <f>IFERROR((P95-$F95)/$F95*100,"")</f>
        <v>-1.272828006798407</v>
      </c>
      <c r="EF95" s="15">
        <f>IFERROR((Q95-$F95)/$F95*100,"")</f>
        <v>-1.5154797213983451</v>
      </c>
      <c r="EG95" s="15" t="str">
        <f>IF(DV95="","",IF(AND(ABS(DV95)&lt;=0.25,$E95="Bottom",DK95="LL"),"EQL",IF(AND(ABS(DV95)&lt;=0.25,$E95="Peak",DK95="HH"),"EQH","")))</f>
        <v/>
      </c>
      <c r="EH95" s="15" t="str">
        <f>IF(DW95="","",IF(AND(ABS(DW95)&lt;=0.25,$E95="Bottom",DL95="LL"),"EQL",IF(AND(ABS(DW95)&lt;=0.25,$E95="Peak",DL95="HH"),"EQH","")))</f>
        <v/>
      </c>
      <c r="EI95" s="15" t="str">
        <f>IF(DX95="","",IF(AND(ABS(DX95)&lt;=0.25,$E95="Bottom",DM95="LL"),"EQL",IF(AND(ABS(DX95)&lt;=0.25,$E95="Peak",DM95="HH"),"EQH","")))</f>
        <v/>
      </c>
      <c r="EJ95" s="15" t="str">
        <f>IF(DY95="","",IF(AND(ABS(DY95)&lt;=0.25,$E95="Bottom",DN95="LL"),"EQL",IF(AND(ABS(DY95)&lt;=0.25,$E95="Peak",DN95="HH"),"EQH","")))</f>
        <v/>
      </c>
      <c r="EK95" s="15" t="str">
        <f>IF(DZ95="","",IF(AND(ABS(DZ95)&lt;=0.25,$E95="Bottom",DO95="LL"),"EQL",IF(AND(ABS(DZ95)&lt;=0.25,$E95="Peak",DO95="HH"),"EQH","")))</f>
        <v/>
      </c>
      <c r="EL95" s="15" t="str">
        <f>IF(EA95="","",IF(AND(ABS(EA95)&lt;=0.25,$E95="Bottom",DP95="LL"),"EQL",IF(AND(ABS(EA95)&lt;=0.25,$E95="Peak",DP95="HH"),"EQH","")))</f>
        <v/>
      </c>
      <c r="EM95" s="15" t="str">
        <f>IF(EB95="","",IF(AND(ABS(EB95)&lt;=0.25,$E95="Bottom",DQ95="LL"),"EQL",IF(AND(ABS(EB95)&lt;=0.25,$E95="Peak",DQ95="HH"),"EQH","")))</f>
        <v>EQH</v>
      </c>
      <c r="EN95" s="15" t="str">
        <f>IF(EC95="","",IF(AND(ABS(EC95)&lt;=0.25,$E95="Bottom",DR95="LL"),"EQL",IF(AND(ABS(EC95)&lt;=0.25,$E95="Peak",DR95="HH"),"EQH","")))</f>
        <v/>
      </c>
      <c r="EO95" s="15" t="str">
        <f>IF(ED95="","",IF(AND(ABS(ED95)&lt;=0.25,$E95="Bottom",DS95="LL"),"EQL",IF(AND(ABS(ED95)&lt;=0.25,$E95="Peak",DS95="HH"),"EQH","")))</f>
        <v/>
      </c>
      <c r="EP95" s="15" t="str">
        <f>IF(EE95="","",IF(AND(ABS(EE95)&lt;=0.25,$E95="Bottom",DT95="LL"),"EQL",IF(AND(ABS(EE95)&lt;=0.25,$E95="Peak",DT95="HH"),"EQH","")))</f>
        <v/>
      </c>
      <c r="EQ95" s="15" t="str">
        <f>IF(EF95="","",IF(AND(ABS(EF95)&lt;=0.25,$E95="Bottom",DU95="LL"),"EQL",IF(AND(ABS(EF95)&lt;=0.25,$E95="Peak",DU95="HH"),"EQH","")))</f>
        <v/>
      </c>
      <c r="ER95" s="15" t="str">
        <f>IF(OR(EG95="EQL",EG95="EQH"),F95,"")</f>
        <v/>
      </c>
      <c r="ES95" s="15" t="str">
        <f>IF(OR(EH95="EQL",EH95="EQH"),G95,"")</f>
        <v/>
      </c>
      <c r="ET95" s="15" t="str">
        <f>IF(OR(EI95="EQL",EI95="EQH"),H95,"")</f>
        <v/>
      </c>
      <c r="EU95" s="15" t="str">
        <f>IF(OR(EJ95="EQL",EJ95="EQH"),I95,"")</f>
        <v/>
      </c>
      <c r="EV95" s="15" t="str">
        <f>IF(OR(EK95="EQL",EK95="EQH"),J95,"")</f>
        <v/>
      </c>
      <c r="EW95" s="15" t="str">
        <f>IF(OR(EL95="EQL",EL95="EQH"),K95,"")</f>
        <v/>
      </c>
      <c r="EX95" s="15">
        <f>IF(OR(EM95="EQL",EM95="EQH"),L95,"")</f>
        <v>4850.7700000000004</v>
      </c>
      <c r="EY95" s="15" t="str">
        <f>IF(OR(EN95="EQL",EN95="EQH"),M95,"")</f>
        <v/>
      </c>
      <c r="EZ95" s="15" t="str">
        <f>IF(OR(EO95="EQL",EO95="EQH"),N95,"")</f>
        <v/>
      </c>
      <c r="FA95" s="15" t="str">
        <f>IF(OR(EP95="EQL",EP95="EQH"),O95,"")</f>
        <v/>
      </c>
      <c r="FB95" s="15" t="str">
        <f>IF(OR(EQ95="EQL",EQ95="EQH"),P95,"")</f>
        <v/>
      </c>
      <c r="FC95" s="15" t="str">
        <f>IF(AND(EG95="EQL",OR(AQ95=4,AQ95=5)),"IEQL",IF(AND(EG95="EQH",OR(AQ95=1,AQ95=2)),"IEQH",""))</f>
        <v/>
      </c>
      <c r="FD95" s="15" t="str">
        <f>IF(AND(EH95="EQL",OR(AR95=4,AR95=5)),"IEQL",IF(AND(EH95="EQH",OR(AR95=1,AR95=2)),"IEQH",""))</f>
        <v/>
      </c>
      <c r="FE95" s="15" t="str">
        <f>IF(AND(EI95="EQL",OR(AS95=4,AS95=5)),"IEQL",IF(AND(EI95="EQH",OR(AS95=1,AS95=2)),"IEQH",""))</f>
        <v/>
      </c>
      <c r="FF95" s="15" t="str">
        <f>IF(AND(EJ95="EQL",OR(AT95=4,AT95=5)),"IEQL",IF(AND(EJ95="EQH",OR(AT95=1,AT95=2)),"IEQH",""))</f>
        <v/>
      </c>
      <c r="FG95" s="15" t="str">
        <f>IF(AND(EK95="EQL",OR(AU95=4,AU95=5)),"IEQL",IF(AND(EK95="EQH",OR(AU95=1,AU95=2)),"IEQH",""))</f>
        <v/>
      </c>
      <c r="FH95" s="15" t="str">
        <f>IF(AND(EL95="EQL",OR(AV95=4,AV95=5)),"IEQL",IF(AND(EL95="EQH",OR(AV95=1,AV95=2)),"IEQH",""))</f>
        <v/>
      </c>
      <c r="FI95" s="15" t="str">
        <f>IF(AND(EM95="EQL",OR(AW95=4,AW95=5)),"IEQL",IF(AND(EM95="EQH",OR(AW95=1,AW95=2)),"IEQH",""))</f>
        <v/>
      </c>
      <c r="FJ95" s="15" t="str">
        <f>IF(AND(EN95="EQL",OR(AX95=4,AX95=5)),"IEQL",IF(AND(EN95="EQH",OR(AX95=1,AX95=2)),"IEQH",""))</f>
        <v/>
      </c>
      <c r="FK95" s="15" t="str">
        <f>IF(AND(EO95="EQL",OR(AY95=4,AY95=5)),"IEQL",IF(AND(EO95="EQH",OR(AY95=1,AY95=2)),"IEQH",""))</f>
        <v/>
      </c>
      <c r="FL95" s="15" t="str">
        <f>IF(AND(EP95="EQL",OR(AZ95=4,AZ95=5)),"IEQL",IF(AND(EP95="EQH",OR(AZ95=1,AZ95=2)),"IEQH",""))</f>
        <v/>
      </c>
      <c r="FM95" s="15" t="str">
        <f>IF(AND(EQ95="EQL",OR(BA95=4,BA95=5)),"IEQL",IF(AND(EQ95="EQH",OR(BA95=1,BA95=2)),"IEQH",""))</f>
        <v/>
      </c>
      <c r="FN95" s="15" t="str">
        <f>IF(OR(AND(DJ95="LL",AP95=5),AND(DJ95="HH",AP95=2)),F95,"")</f>
        <v/>
      </c>
      <c r="FO95" s="15" t="str">
        <f>IF(FN95&lt;&gt;"",F94,"")</f>
        <v/>
      </c>
    </row>
    <row r="96" spans="1:171" s="15" customFormat="1" x14ac:dyDescent="0.55000000000000004">
      <c r="A96" s="15">
        <v>1776389406</v>
      </c>
      <c r="B96" s="15" t="s">
        <v>16</v>
      </c>
      <c r="C96" s="15" t="s">
        <v>17</v>
      </c>
      <c r="D96" s="15">
        <v>4777.87</v>
      </c>
      <c r="E96" s="15" t="s">
        <v>18</v>
      </c>
      <c r="F96" s="15">
        <v>4768.07</v>
      </c>
      <c r="G96" s="15">
        <f t="shared" si="220"/>
        <v>4786.1000000000004</v>
      </c>
      <c r="H96" s="15">
        <f t="shared" si="230"/>
        <v>4772.67</v>
      </c>
      <c r="I96" s="15">
        <f t="shared" si="240"/>
        <v>4805.21</v>
      </c>
      <c r="J96" s="15">
        <f t="shared" si="250"/>
        <v>4787.17</v>
      </c>
      <c r="K96" s="15">
        <f t="shared" si="260"/>
        <v>4786.2299999999996</v>
      </c>
      <c r="L96" s="15">
        <f t="shared" si="270"/>
        <v>4827.08</v>
      </c>
      <c r="M96" s="15">
        <f t="shared" si="280"/>
        <v>4752.6000000000004</v>
      </c>
      <c r="N96" s="15">
        <f t="shared" si="290"/>
        <v>4757.92</v>
      </c>
      <c r="O96" s="15">
        <f t="shared" si="300"/>
        <v>4700.51</v>
      </c>
      <c r="P96" s="15">
        <f t="shared" si="310"/>
        <v>4703.7700000000004</v>
      </c>
      <c r="Q96" s="15">
        <f t="shared" si="320"/>
        <v>4708.62</v>
      </c>
      <c r="R96" s="15">
        <v>-33.049999999999997</v>
      </c>
      <c r="S96" s="15">
        <f t="shared" si="221"/>
        <v>-12.48</v>
      </c>
      <c r="T96" s="15">
        <f t="shared" si="231"/>
        <v>-51.14</v>
      </c>
      <c r="U96" s="15">
        <f t="shared" si="241"/>
        <v>-33.17</v>
      </c>
      <c r="V96" s="15">
        <f t="shared" si="251"/>
        <v>-43.22</v>
      </c>
      <c r="W96" s="15">
        <f t="shared" si="261"/>
        <v>-84.99</v>
      </c>
      <c r="X96" s="15">
        <f t="shared" si="271"/>
        <v>-23.69</v>
      </c>
      <c r="Y96" s="15">
        <f t="shared" si="281"/>
        <v>-43.56</v>
      </c>
      <c r="Z96" s="15">
        <f t="shared" si="291"/>
        <v>-19.32</v>
      </c>
      <c r="AA96" s="15">
        <f t="shared" si="301"/>
        <v>-44.08</v>
      </c>
      <c r="AB96" s="15">
        <f t="shared" si="311"/>
        <v>-36.24</v>
      </c>
      <c r="AC96" s="15">
        <f t="shared" si="321"/>
        <v>-19.739999999999998</v>
      </c>
      <c r="AD96" s="15">
        <v>-0.69</v>
      </c>
      <c r="AE96" s="15">
        <f t="shared" si="222"/>
        <v>-0.26</v>
      </c>
      <c r="AF96" s="15">
        <f t="shared" si="232"/>
        <v>-1.06</v>
      </c>
      <c r="AG96" s="15">
        <f t="shared" si="242"/>
        <v>-0.69</v>
      </c>
      <c r="AH96" s="15">
        <f t="shared" si="252"/>
        <v>-0.89</v>
      </c>
      <c r="AI96" s="15">
        <f t="shared" si="262"/>
        <v>-1.74</v>
      </c>
      <c r="AJ96" s="15">
        <f t="shared" si="272"/>
        <v>-0.49</v>
      </c>
      <c r="AK96" s="15">
        <f t="shared" si="282"/>
        <v>-0.91</v>
      </c>
      <c r="AL96" s="15">
        <f t="shared" si="292"/>
        <v>-0.4</v>
      </c>
      <c r="AM96" s="15">
        <f t="shared" si="302"/>
        <v>-0.93</v>
      </c>
      <c r="AN96" s="15">
        <f t="shared" si="312"/>
        <v>-0.76</v>
      </c>
      <c r="AO96" s="15">
        <f t="shared" si="322"/>
        <v>-0.42</v>
      </c>
      <c r="AP96" s="15">
        <v>3</v>
      </c>
      <c r="AQ96" s="15">
        <f t="shared" si="223"/>
        <v>3</v>
      </c>
      <c r="AR96" s="15">
        <f t="shared" si="233"/>
        <v>3</v>
      </c>
      <c r="AS96" s="15">
        <f t="shared" si="243"/>
        <v>3</v>
      </c>
      <c r="AT96" s="15">
        <f t="shared" si="253"/>
        <v>3</v>
      </c>
      <c r="AU96" s="15">
        <f t="shared" si="263"/>
        <v>3</v>
      </c>
      <c r="AV96" s="15">
        <f t="shared" si="273"/>
        <v>3</v>
      </c>
      <c r="AW96" s="15">
        <f t="shared" si="283"/>
        <v>3</v>
      </c>
      <c r="AX96" s="15">
        <f t="shared" si="293"/>
        <v>3</v>
      </c>
      <c r="AY96" s="15">
        <f t="shared" si="303"/>
        <v>3</v>
      </c>
      <c r="AZ96" s="15">
        <f t="shared" si="313"/>
        <v>3</v>
      </c>
      <c r="BA96" s="15">
        <f t="shared" si="323"/>
        <v>3</v>
      </c>
      <c r="BB96" s="15">
        <v>3</v>
      </c>
      <c r="BC96" s="15">
        <f t="shared" si="224"/>
        <v>13</v>
      </c>
      <c r="BD96" s="15">
        <f t="shared" si="234"/>
        <v>4</v>
      </c>
      <c r="BE96" s="15">
        <f t="shared" si="244"/>
        <v>22</v>
      </c>
      <c r="BF96" s="15">
        <f t="shared" si="254"/>
        <v>5</v>
      </c>
      <c r="BG96" s="15">
        <f t="shared" si="264"/>
        <v>34</v>
      </c>
      <c r="BH96" s="15">
        <f t="shared" si="274"/>
        <v>10</v>
      </c>
      <c r="BI96" s="15">
        <f t="shared" si="284"/>
        <v>14</v>
      </c>
      <c r="BJ96" s="15">
        <f t="shared" si="294"/>
        <v>11</v>
      </c>
      <c r="BK96" s="15">
        <f t="shared" si="304"/>
        <v>5</v>
      </c>
      <c r="BL96" s="15">
        <f t="shared" si="314"/>
        <v>16</v>
      </c>
      <c r="BM96" s="15">
        <f t="shared" si="324"/>
        <v>9</v>
      </c>
      <c r="BN96" s="15">
        <v>3</v>
      </c>
      <c r="BO96" s="15">
        <f t="shared" si="225"/>
        <v>3</v>
      </c>
      <c r="BP96" s="15">
        <f t="shared" si="235"/>
        <v>3</v>
      </c>
      <c r="BQ96" s="15">
        <f t="shared" si="245"/>
        <v>3</v>
      </c>
      <c r="BR96" s="15">
        <f t="shared" si="255"/>
        <v>3</v>
      </c>
      <c r="BS96" s="15">
        <f t="shared" si="265"/>
        <v>3</v>
      </c>
      <c r="BT96" s="15">
        <f t="shared" si="275"/>
        <v>3</v>
      </c>
      <c r="BU96" s="15">
        <f t="shared" si="285"/>
        <v>3</v>
      </c>
      <c r="BV96" s="15">
        <f t="shared" si="295"/>
        <v>3</v>
      </c>
      <c r="BW96" s="15">
        <f t="shared" si="305"/>
        <v>3</v>
      </c>
      <c r="BX96" s="15">
        <f t="shared" si="315"/>
        <v>3</v>
      </c>
      <c r="BY96" s="15">
        <f t="shared" si="325"/>
        <v>3</v>
      </c>
      <c r="BZ96" s="15">
        <v>-11.01667</v>
      </c>
      <c r="CA96" s="15">
        <f t="shared" si="226"/>
        <v>-0.96</v>
      </c>
      <c r="CB96" s="15">
        <f t="shared" si="236"/>
        <v>-12.785</v>
      </c>
      <c r="CC96" s="15">
        <f t="shared" si="246"/>
        <v>-1.50773</v>
      </c>
      <c r="CD96" s="15">
        <f t="shared" si="256"/>
        <v>-8.6440000000000001</v>
      </c>
      <c r="CE96" s="15">
        <f t="shared" si="266"/>
        <v>-2.4997099999999999</v>
      </c>
      <c r="CF96" s="15">
        <f t="shared" si="276"/>
        <v>-2.3690000000000002</v>
      </c>
      <c r="CG96" s="15">
        <f t="shared" si="286"/>
        <v>-3.1114299999999999</v>
      </c>
      <c r="CH96" s="15">
        <f t="shared" si="296"/>
        <v>-1.7563599999999999</v>
      </c>
      <c r="CI96" s="15">
        <f t="shared" si="306"/>
        <v>-8.8160000000000007</v>
      </c>
      <c r="CJ96" s="15">
        <f t="shared" si="316"/>
        <v>-2.2650000000000001</v>
      </c>
      <c r="CK96" s="15">
        <f t="shared" si="326"/>
        <v>-2.19333</v>
      </c>
      <c r="CL96" s="15">
        <v>5</v>
      </c>
      <c r="CM96" s="15">
        <f t="shared" si="227"/>
        <v>3</v>
      </c>
      <c r="CN96" s="15">
        <f t="shared" si="237"/>
        <v>5</v>
      </c>
      <c r="CO96" s="15">
        <f t="shared" si="247"/>
        <v>3</v>
      </c>
      <c r="CP96" s="15">
        <f t="shared" si="257"/>
        <v>3</v>
      </c>
      <c r="CQ96" s="15">
        <f t="shared" si="267"/>
        <v>3</v>
      </c>
      <c r="CR96" s="15">
        <f t="shared" si="277"/>
        <v>3</v>
      </c>
      <c r="CS96" s="15">
        <f t="shared" si="287"/>
        <v>3</v>
      </c>
      <c r="CT96" s="15">
        <f t="shared" si="297"/>
        <v>3</v>
      </c>
      <c r="CU96" s="15">
        <f t="shared" si="307"/>
        <v>3</v>
      </c>
      <c r="CV96" s="15">
        <f t="shared" si="317"/>
        <v>3</v>
      </c>
      <c r="CW96" s="15">
        <f t="shared" si="327"/>
        <v>3</v>
      </c>
      <c r="CX96" s="15">
        <v>-84.813400000000001</v>
      </c>
      <c r="CY96" s="15">
        <f t="shared" si="228"/>
        <v>-43.8309</v>
      </c>
      <c r="CZ96" s="15">
        <f t="shared" si="238"/>
        <v>-85.527600000000007</v>
      </c>
      <c r="DA96" s="15">
        <f t="shared" si="248"/>
        <v>-56.445700000000002</v>
      </c>
      <c r="DB96" s="15">
        <f t="shared" si="258"/>
        <v>-83.400899999999993</v>
      </c>
      <c r="DC96" s="15">
        <f t="shared" si="268"/>
        <v>-68.196299999999994</v>
      </c>
      <c r="DD96" s="15">
        <f t="shared" si="278"/>
        <v>-67.114500000000007</v>
      </c>
      <c r="DE96" s="15">
        <f t="shared" si="288"/>
        <v>-72.1828</v>
      </c>
      <c r="DF96" s="15">
        <f t="shared" si="298"/>
        <v>-60.3446</v>
      </c>
      <c r="DG96" s="15">
        <f t="shared" si="308"/>
        <v>-83.528599999999997</v>
      </c>
      <c r="DH96" s="15">
        <f t="shared" si="318"/>
        <v>-66.1785</v>
      </c>
      <c r="DI96" s="15">
        <f t="shared" si="328"/>
        <v>-65.490499999999997</v>
      </c>
      <c r="DJ96" s="15" t="s">
        <v>19</v>
      </c>
      <c r="DK96" s="15" t="str">
        <f t="shared" si="229"/>
        <v>HL</v>
      </c>
      <c r="DL96" s="15" t="str">
        <f t="shared" si="239"/>
        <v>LL</v>
      </c>
      <c r="DM96" s="15" t="str">
        <f t="shared" si="249"/>
        <v>HL</v>
      </c>
      <c r="DN96" s="15" t="str">
        <f t="shared" si="259"/>
        <v>HL</v>
      </c>
      <c r="DO96" s="15" t="str">
        <f t="shared" si="269"/>
        <v>LL</v>
      </c>
      <c r="DP96" s="15" t="str">
        <f t="shared" si="279"/>
        <v>HL</v>
      </c>
      <c r="DQ96" s="15" t="str">
        <f t="shared" si="289"/>
        <v>LL</v>
      </c>
      <c r="DR96" s="15" t="str">
        <f t="shared" si="299"/>
        <v>HL</v>
      </c>
      <c r="DS96" s="15" t="str">
        <f t="shared" si="309"/>
        <v>LL</v>
      </c>
      <c r="DT96" s="15" t="str">
        <f t="shared" si="319"/>
        <v>LL</v>
      </c>
      <c r="DU96" s="15" t="str">
        <f t="shared" si="329"/>
        <v>HL</v>
      </c>
      <c r="DV96" s="15">
        <f>IFERROR((G96-$F96)/$F96*100,"")</f>
        <v>0.37814042159617317</v>
      </c>
      <c r="DW96" s="15">
        <f>IFERROR((H96-$F96)/$F96*100,"")</f>
        <v>9.6475093696199166E-2</v>
      </c>
      <c r="DX96" s="15">
        <f>IFERROR((I96-$F96)/$F96*100,"")</f>
        <v>0.77893151736447508</v>
      </c>
      <c r="DY96" s="15">
        <f>IFERROR((J96-$F96)/$F96*100,"")</f>
        <v>0.40058136730375948</v>
      </c>
      <c r="DZ96" s="15">
        <f>IFERROR((K96-$F96)/$F96*100,"")</f>
        <v>0.38086689163539661</v>
      </c>
      <c r="EA96" s="15">
        <f>IFERROR((L96-$F96)/$F96*100,"")</f>
        <v>1.2376076693504965</v>
      </c>
      <c r="EB96" s="15">
        <f>IFERROR((M96-$F96)/$F96*100,"")</f>
        <v>-0.32444993466956956</v>
      </c>
      <c r="EC96" s="15">
        <f>IFERROR((N96-$F96)/$F96*100,"")</f>
        <v>-0.21287439152528459</v>
      </c>
      <c r="ED96" s="15">
        <f>IFERROR((O96-$F96)/$F96*100,"")</f>
        <v>-1.4169255065466635</v>
      </c>
      <c r="EE96" s="15">
        <f>IFERROR((P96-$F96)/$F96*100,"")</f>
        <v>-1.348554027101097</v>
      </c>
      <c r="EF96" s="15">
        <f>IFERROR((Q96-$F96)/$F96*100,"")</f>
        <v>-1.2468357217909933</v>
      </c>
      <c r="EG96" s="15" t="str">
        <f>IF(DV96="","",IF(AND(ABS(DV96)&lt;=0.25,$E96="Bottom",DK96="LL"),"EQL",IF(AND(ABS(DV96)&lt;=0.25,$E96="Peak",DK96="HH"),"EQH","")))</f>
        <v/>
      </c>
      <c r="EH96" s="15" t="str">
        <f>IF(DW96="","",IF(AND(ABS(DW96)&lt;=0.25,$E96="Bottom",DL96="LL"),"EQL",IF(AND(ABS(DW96)&lt;=0.25,$E96="Peak",DL96="HH"),"EQH","")))</f>
        <v>EQL</v>
      </c>
      <c r="EI96" s="15" t="str">
        <f>IF(DX96="","",IF(AND(ABS(DX96)&lt;=0.25,$E96="Bottom",DM96="LL"),"EQL",IF(AND(ABS(DX96)&lt;=0.25,$E96="Peak",DM96="HH"),"EQH","")))</f>
        <v/>
      </c>
      <c r="EJ96" s="15" t="str">
        <f>IF(DY96="","",IF(AND(ABS(DY96)&lt;=0.25,$E96="Bottom",DN96="LL"),"EQL",IF(AND(ABS(DY96)&lt;=0.25,$E96="Peak",DN96="HH"),"EQH","")))</f>
        <v/>
      </c>
      <c r="EK96" s="15" t="str">
        <f>IF(DZ96="","",IF(AND(ABS(DZ96)&lt;=0.25,$E96="Bottom",DO96="LL"),"EQL",IF(AND(ABS(DZ96)&lt;=0.25,$E96="Peak",DO96="HH"),"EQH","")))</f>
        <v/>
      </c>
      <c r="EL96" s="15" t="str">
        <f>IF(EA96="","",IF(AND(ABS(EA96)&lt;=0.25,$E96="Bottom",DP96="LL"),"EQL",IF(AND(ABS(EA96)&lt;=0.25,$E96="Peak",DP96="HH"),"EQH","")))</f>
        <v/>
      </c>
      <c r="EM96" s="15" t="str">
        <f>IF(EB96="","",IF(AND(ABS(EB96)&lt;=0.25,$E96="Bottom",DQ96="LL"),"EQL",IF(AND(ABS(EB96)&lt;=0.25,$E96="Peak",DQ96="HH"),"EQH","")))</f>
        <v/>
      </c>
      <c r="EN96" s="15" t="str">
        <f>IF(EC96="","",IF(AND(ABS(EC96)&lt;=0.25,$E96="Bottom",DR96="LL"),"EQL",IF(AND(ABS(EC96)&lt;=0.25,$E96="Peak",DR96="HH"),"EQH","")))</f>
        <v/>
      </c>
      <c r="EO96" s="15" t="str">
        <f>IF(ED96="","",IF(AND(ABS(ED96)&lt;=0.25,$E96="Bottom",DS96="LL"),"EQL",IF(AND(ABS(ED96)&lt;=0.25,$E96="Peak",DS96="HH"),"EQH","")))</f>
        <v/>
      </c>
      <c r="EP96" s="15" t="str">
        <f>IF(EE96="","",IF(AND(ABS(EE96)&lt;=0.25,$E96="Bottom",DT96="LL"),"EQL",IF(AND(ABS(EE96)&lt;=0.25,$E96="Peak",DT96="HH"),"EQH","")))</f>
        <v/>
      </c>
      <c r="EQ96" s="15" t="str">
        <f>IF(EF96="","",IF(AND(ABS(EF96)&lt;=0.25,$E96="Bottom",DU96="LL"),"EQL",IF(AND(ABS(EF96)&lt;=0.25,$E96="Peak",DU96="HH"),"EQH","")))</f>
        <v/>
      </c>
      <c r="ER96" s="15" t="str">
        <f>IF(OR(EG96="EQL",EG96="EQH"),F96,"")</f>
        <v/>
      </c>
      <c r="ES96" s="15">
        <f>IF(OR(EH96="EQL",EH96="EQH"),G96,"")</f>
        <v>4786.1000000000004</v>
      </c>
      <c r="ET96" s="15" t="str">
        <f>IF(OR(EI96="EQL",EI96="EQH"),H96,"")</f>
        <v/>
      </c>
      <c r="EU96" s="15" t="str">
        <f>IF(OR(EJ96="EQL",EJ96="EQH"),I96,"")</f>
        <v/>
      </c>
      <c r="EV96" s="15" t="str">
        <f>IF(OR(EK96="EQL",EK96="EQH"),J96,"")</f>
        <v/>
      </c>
      <c r="EW96" s="15" t="str">
        <f>IF(OR(EL96="EQL",EL96="EQH"),K96,"")</f>
        <v/>
      </c>
      <c r="EX96" s="15" t="str">
        <f>IF(OR(EM96="EQL",EM96="EQH"),L96,"")</f>
        <v/>
      </c>
      <c r="EY96" s="15" t="str">
        <f>IF(OR(EN96="EQL",EN96="EQH"),M96,"")</f>
        <v/>
      </c>
      <c r="EZ96" s="15" t="str">
        <f>IF(OR(EO96="EQL",EO96="EQH"),N96,"")</f>
        <v/>
      </c>
      <c r="FA96" s="15" t="str">
        <f>IF(OR(EP96="EQL",EP96="EQH"),O96,"")</f>
        <v/>
      </c>
      <c r="FB96" s="15" t="str">
        <f>IF(OR(EQ96="EQL",EQ96="EQH"),P96,"")</f>
        <v/>
      </c>
      <c r="FC96" s="15" t="str">
        <f>IF(AND(EG96="EQL",OR(AQ96=4,AQ96=5)),"IEQL",IF(AND(EG96="EQH",OR(AQ96=1,AQ96=2)),"IEQH",""))</f>
        <v/>
      </c>
      <c r="FD96" s="15" t="str">
        <f>IF(AND(EH96="EQL",OR(AR96=4,AR96=5)),"IEQL",IF(AND(EH96="EQH",OR(AR96=1,AR96=2)),"IEQH",""))</f>
        <v/>
      </c>
      <c r="FE96" s="15" t="str">
        <f>IF(AND(EI96="EQL",OR(AS96=4,AS96=5)),"IEQL",IF(AND(EI96="EQH",OR(AS96=1,AS96=2)),"IEQH",""))</f>
        <v/>
      </c>
      <c r="FF96" s="15" t="str">
        <f>IF(AND(EJ96="EQL",OR(AT96=4,AT96=5)),"IEQL",IF(AND(EJ96="EQH",OR(AT96=1,AT96=2)),"IEQH",""))</f>
        <v/>
      </c>
      <c r="FG96" s="15" t="str">
        <f>IF(AND(EK96="EQL",OR(AU96=4,AU96=5)),"IEQL",IF(AND(EK96="EQH",OR(AU96=1,AU96=2)),"IEQH",""))</f>
        <v/>
      </c>
      <c r="FH96" s="15" t="str">
        <f>IF(AND(EL96="EQL",OR(AV96=4,AV96=5)),"IEQL",IF(AND(EL96="EQH",OR(AV96=1,AV96=2)),"IEQH",""))</f>
        <v/>
      </c>
      <c r="FI96" s="15" t="str">
        <f>IF(AND(EM96="EQL",OR(AW96=4,AW96=5)),"IEQL",IF(AND(EM96="EQH",OR(AW96=1,AW96=2)),"IEQH",""))</f>
        <v/>
      </c>
      <c r="FJ96" s="15" t="str">
        <f>IF(AND(EN96="EQL",OR(AX96=4,AX96=5)),"IEQL",IF(AND(EN96="EQH",OR(AX96=1,AX96=2)),"IEQH",""))</f>
        <v/>
      </c>
      <c r="FK96" s="15" t="str">
        <f>IF(AND(EO96="EQL",OR(AY96=4,AY96=5)),"IEQL",IF(AND(EO96="EQH",OR(AY96=1,AY96=2)),"IEQH",""))</f>
        <v/>
      </c>
      <c r="FL96" s="15" t="str">
        <f>IF(AND(EP96="EQL",OR(AZ96=4,AZ96=5)),"IEQL",IF(AND(EP96="EQH",OR(AZ96=1,AZ96=2)),"IEQH",""))</f>
        <v/>
      </c>
      <c r="FM96" s="15" t="str">
        <f>IF(AND(EQ96="EQL",OR(BA96=4,BA96=5)),"IEQL",IF(AND(EQ96="EQH",OR(BA96=1,BA96=2)),"IEQH",""))</f>
        <v/>
      </c>
      <c r="FN96" s="15" t="str">
        <f>IF(OR(AND(DJ96="LL",AP96=5),AND(DJ96="HH",AP96=2)),F96,"")</f>
        <v/>
      </c>
      <c r="FO96" s="15" t="str">
        <f>IF(FN96&lt;&gt;"",F95,"")</f>
        <v/>
      </c>
    </row>
    <row r="97" spans="1:171" s="15" customFormat="1" x14ac:dyDescent="0.55000000000000004">
      <c r="A97" s="15">
        <v>1776402006</v>
      </c>
      <c r="B97" s="15" t="s">
        <v>16</v>
      </c>
      <c r="C97" s="15" t="s">
        <v>17</v>
      </c>
      <c r="D97" s="15">
        <v>4804.78</v>
      </c>
      <c r="E97" s="15" t="s">
        <v>20</v>
      </c>
      <c r="F97" s="15">
        <v>4805.97</v>
      </c>
      <c r="G97" s="15">
        <f t="shared" si="220"/>
        <v>4801.12</v>
      </c>
      <c r="H97" s="15">
        <f t="shared" si="230"/>
        <v>4798.58</v>
      </c>
      <c r="I97" s="15">
        <f t="shared" si="240"/>
        <v>4823.8100000000004</v>
      </c>
      <c r="J97" s="15">
        <f t="shared" si="250"/>
        <v>4838.38</v>
      </c>
      <c r="K97" s="15">
        <f t="shared" si="260"/>
        <v>4830.3900000000003</v>
      </c>
      <c r="L97" s="15">
        <f t="shared" si="270"/>
        <v>4871.22</v>
      </c>
      <c r="M97" s="15">
        <f t="shared" si="280"/>
        <v>4850.7700000000004</v>
      </c>
      <c r="N97" s="15">
        <f t="shared" si="290"/>
        <v>4796.16</v>
      </c>
      <c r="O97" s="15">
        <f t="shared" si="300"/>
        <v>4777.24</v>
      </c>
      <c r="P97" s="15">
        <f t="shared" si="310"/>
        <v>4744.59</v>
      </c>
      <c r="Q97" s="15">
        <f t="shared" si="320"/>
        <v>4740.01</v>
      </c>
      <c r="R97" s="15">
        <v>37.9</v>
      </c>
      <c r="S97" s="15">
        <f t="shared" si="221"/>
        <v>15.02</v>
      </c>
      <c r="T97" s="15">
        <f t="shared" si="231"/>
        <v>25.91</v>
      </c>
      <c r="U97" s="15">
        <f t="shared" si="241"/>
        <v>18.600000000000001</v>
      </c>
      <c r="V97" s="15">
        <f t="shared" si="251"/>
        <v>51.21</v>
      </c>
      <c r="W97" s="15">
        <f t="shared" si="261"/>
        <v>44.16</v>
      </c>
      <c r="X97" s="15">
        <f t="shared" si="271"/>
        <v>44.14</v>
      </c>
      <c r="Y97" s="15">
        <f t="shared" si="281"/>
        <v>98.17</v>
      </c>
      <c r="Z97" s="15">
        <f t="shared" si="291"/>
        <v>38.24</v>
      </c>
      <c r="AA97" s="15">
        <f t="shared" si="301"/>
        <v>76.73</v>
      </c>
      <c r="AB97" s="15">
        <f t="shared" si="311"/>
        <v>40.82</v>
      </c>
      <c r="AC97" s="15">
        <f t="shared" si="321"/>
        <v>31.39</v>
      </c>
      <c r="AD97" s="15">
        <v>0.79</v>
      </c>
      <c r="AE97" s="15">
        <f t="shared" si="222"/>
        <v>0.31</v>
      </c>
      <c r="AF97" s="15">
        <f t="shared" si="232"/>
        <v>0.54</v>
      </c>
      <c r="AG97" s="15">
        <f t="shared" si="242"/>
        <v>0.39</v>
      </c>
      <c r="AH97" s="15">
        <f t="shared" si="252"/>
        <v>1.07</v>
      </c>
      <c r="AI97" s="15">
        <f t="shared" si="262"/>
        <v>0.92</v>
      </c>
      <c r="AJ97" s="15">
        <f t="shared" si="272"/>
        <v>0.91</v>
      </c>
      <c r="AK97" s="15">
        <f t="shared" si="282"/>
        <v>2.0699999999999998</v>
      </c>
      <c r="AL97" s="15">
        <f t="shared" si="292"/>
        <v>0.8</v>
      </c>
      <c r="AM97" s="15">
        <f t="shared" si="302"/>
        <v>1.63</v>
      </c>
      <c r="AN97" s="15">
        <f t="shared" si="312"/>
        <v>0.87</v>
      </c>
      <c r="AO97" s="15">
        <f t="shared" si="322"/>
        <v>0.67</v>
      </c>
      <c r="AP97" s="15">
        <v>0</v>
      </c>
      <c r="AQ97" s="15">
        <f t="shared" si="223"/>
        <v>0</v>
      </c>
      <c r="AR97" s="15">
        <f t="shared" si="233"/>
        <v>0</v>
      </c>
      <c r="AS97" s="15">
        <f t="shared" si="243"/>
        <v>0</v>
      </c>
      <c r="AT97" s="15">
        <f t="shared" si="253"/>
        <v>0</v>
      </c>
      <c r="AU97" s="15">
        <f t="shared" si="263"/>
        <v>0</v>
      </c>
      <c r="AV97" s="15">
        <f t="shared" si="273"/>
        <v>0</v>
      </c>
      <c r="AW97" s="15">
        <f t="shared" si="283"/>
        <v>0</v>
      </c>
      <c r="AX97" s="15">
        <f t="shared" si="293"/>
        <v>0</v>
      </c>
      <c r="AY97" s="15">
        <f t="shared" si="303"/>
        <v>0</v>
      </c>
      <c r="AZ97" s="15">
        <f t="shared" si="313"/>
        <v>0</v>
      </c>
      <c r="BA97" s="15">
        <f t="shared" si="323"/>
        <v>0</v>
      </c>
      <c r="BB97" s="15">
        <v>14</v>
      </c>
      <c r="BC97" s="15">
        <f t="shared" si="224"/>
        <v>3</v>
      </c>
      <c r="BD97" s="15">
        <f t="shared" si="234"/>
        <v>21</v>
      </c>
      <c r="BE97" s="15">
        <f t="shared" si="244"/>
        <v>12</v>
      </c>
      <c r="BF97" s="15">
        <f t="shared" si="254"/>
        <v>50</v>
      </c>
      <c r="BG97" s="15">
        <f t="shared" si="264"/>
        <v>18</v>
      </c>
      <c r="BH97" s="15">
        <f t="shared" si="274"/>
        <v>3</v>
      </c>
      <c r="BI97" s="15">
        <f t="shared" si="284"/>
        <v>42</v>
      </c>
      <c r="BJ97" s="15">
        <f t="shared" si="294"/>
        <v>6</v>
      </c>
      <c r="BK97" s="15">
        <f t="shared" si="304"/>
        <v>43</v>
      </c>
      <c r="BL97" s="15">
        <f t="shared" si="314"/>
        <v>8</v>
      </c>
      <c r="BM97" s="15">
        <f t="shared" si="324"/>
        <v>15</v>
      </c>
      <c r="BN97" s="15">
        <v>0</v>
      </c>
      <c r="BO97" s="15">
        <f t="shared" si="225"/>
        <v>0</v>
      </c>
      <c r="BP97" s="15">
        <f t="shared" si="235"/>
        <v>0</v>
      </c>
      <c r="BQ97" s="15">
        <f t="shared" si="245"/>
        <v>0</v>
      </c>
      <c r="BR97" s="15">
        <f t="shared" si="255"/>
        <v>2</v>
      </c>
      <c r="BS97" s="15">
        <f t="shared" si="265"/>
        <v>0</v>
      </c>
      <c r="BT97" s="15">
        <f t="shared" si="275"/>
        <v>0</v>
      </c>
      <c r="BU97" s="15">
        <f t="shared" si="285"/>
        <v>1</v>
      </c>
      <c r="BV97" s="15">
        <f t="shared" si="295"/>
        <v>0</v>
      </c>
      <c r="BW97" s="15">
        <f t="shared" si="305"/>
        <v>1</v>
      </c>
      <c r="BX97" s="15">
        <f t="shared" si="315"/>
        <v>0</v>
      </c>
      <c r="BY97" s="15">
        <f t="shared" si="325"/>
        <v>0</v>
      </c>
      <c r="BZ97" s="15">
        <v>2.7071399999999999</v>
      </c>
      <c r="CA97" s="15">
        <f t="shared" si="226"/>
        <v>5.0066699999999997</v>
      </c>
      <c r="CB97" s="15">
        <f t="shared" si="236"/>
        <v>1.2338100000000001</v>
      </c>
      <c r="CC97" s="15">
        <f t="shared" si="246"/>
        <v>1.55</v>
      </c>
      <c r="CD97" s="15">
        <f t="shared" si="256"/>
        <v>1.0242</v>
      </c>
      <c r="CE97" s="15">
        <f t="shared" si="266"/>
        <v>2.4533299999999998</v>
      </c>
      <c r="CF97" s="15">
        <f t="shared" si="276"/>
        <v>14.713329999999999</v>
      </c>
      <c r="CG97" s="15">
        <f t="shared" si="286"/>
        <v>2.33738</v>
      </c>
      <c r="CH97" s="15">
        <f t="shared" si="296"/>
        <v>6.3733300000000002</v>
      </c>
      <c r="CI97" s="15">
        <f t="shared" si="306"/>
        <v>1.7844199999999999</v>
      </c>
      <c r="CJ97" s="15">
        <f t="shared" si="316"/>
        <v>5.1025</v>
      </c>
      <c r="CK97" s="15">
        <f t="shared" si="326"/>
        <v>2.09267</v>
      </c>
      <c r="CL97" s="15">
        <v>0</v>
      </c>
      <c r="CM97" s="15">
        <f t="shared" si="227"/>
        <v>0</v>
      </c>
      <c r="CN97" s="15">
        <f t="shared" si="237"/>
        <v>0</v>
      </c>
      <c r="CO97" s="15">
        <f t="shared" si="247"/>
        <v>0</v>
      </c>
      <c r="CP97" s="15">
        <f t="shared" si="257"/>
        <v>0</v>
      </c>
      <c r="CQ97" s="15">
        <f t="shared" si="267"/>
        <v>0</v>
      </c>
      <c r="CR97" s="15">
        <f t="shared" si="277"/>
        <v>0</v>
      </c>
      <c r="CS97" s="15">
        <f t="shared" si="287"/>
        <v>0</v>
      </c>
      <c r="CT97" s="15">
        <f t="shared" si="297"/>
        <v>0</v>
      </c>
      <c r="CU97" s="15">
        <f t="shared" si="307"/>
        <v>0</v>
      </c>
      <c r="CV97" s="15">
        <f t="shared" si="317"/>
        <v>0</v>
      </c>
      <c r="CW97" s="15">
        <f t="shared" si="327"/>
        <v>0</v>
      </c>
      <c r="CX97" s="15">
        <v>69.726100000000002</v>
      </c>
      <c r="CY97" s="15">
        <f t="shared" si="228"/>
        <v>78.704700000000003</v>
      </c>
      <c r="CZ97" s="15">
        <f t="shared" si="238"/>
        <v>50.975299999999997</v>
      </c>
      <c r="DA97" s="15">
        <f t="shared" si="248"/>
        <v>57.171500000000002</v>
      </c>
      <c r="DB97" s="15">
        <f t="shared" si="258"/>
        <v>45.685000000000002</v>
      </c>
      <c r="DC97" s="15">
        <f t="shared" si="268"/>
        <v>67.823800000000006</v>
      </c>
      <c r="DD97" s="15">
        <f t="shared" si="278"/>
        <v>86.111800000000002</v>
      </c>
      <c r="DE97" s="15">
        <f t="shared" si="288"/>
        <v>66.837299999999999</v>
      </c>
      <c r="DF97" s="15">
        <f t="shared" si="298"/>
        <v>81.082800000000006</v>
      </c>
      <c r="DG97" s="15">
        <f t="shared" si="308"/>
        <v>60.733400000000003</v>
      </c>
      <c r="DH97" s="15">
        <f t="shared" si="318"/>
        <v>78.911600000000007</v>
      </c>
      <c r="DI97" s="15">
        <f t="shared" si="328"/>
        <v>64.458799999999997</v>
      </c>
      <c r="DJ97" s="15" t="s">
        <v>23</v>
      </c>
      <c r="DK97" s="15" t="str">
        <f t="shared" si="229"/>
        <v>HH</v>
      </c>
      <c r="DL97" s="15" t="str">
        <f t="shared" si="239"/>
        <v>LH</v>
      </c>
      <c r="DM97" s="15" t="str">
        <f t="shared" si="249"/>
        <v>LH</v>
      </c>
      <c r="DN97" s="15" t="str">
        <f t="shared" si="259"/>
        <v>HH</v>
      </c>
      <c r="DO97" s="15" t="str">
        <f t="shared" si="269"/>
        <v>LH</v>
      </c>
      <c r="DP97" s="15" t="str">
        <f t="shared" si="279"/>
        <v>HH</v>
      </c>
      <c r="DQ97" s="15" t="str">
        <f t="shared" si="289"/>
        <v>HH</v>
      </c>
      <c r="DR97" s="15" t="str">
        <f t="shared" si="299"/>
        <v>HH</v>
      </c>
      <c r="DS97" s="15" t="str">
        <f t="shared" si="309"/>
        <v>HH</v>
      </c>
      <c r="DT97" s="15" t="str">
        <f t="shared" si="319"/>
        <v>HH</v>
      </c>
      <c r="DU97" s="15" t="str">
        <f t="shared" si="329"/>
        <v>HH</v>
      </c>
      <c r="DV97" s="15">
        <f>IFERROR((G97-$F97)/$F97*100,"")</f>
        <v>-0.10091615220237254</v>
      </c>
      <c r="DW97" s="15">
        <f>IFERROR((H97-$F97)/$F97*100,"")</f>
        <v>-0.15376708552072374</v>
      </c>
      <c r="DX97" s="15">
        <f>IFERROR((I97-$F97)/$F97*100,"")</f>
        <v>0.37120498047220735</v>
      </c>
      <c r="DY97" s="15">
        <f>IFERROR((J97-$F97)/$F97*100,"")</f>
        <v>0.6743695861605431</v>
      </c>
      <c r="DZ97" s="15">
        <f>IFERROR((K97-$F97)/$F97*100,"")</f>
        <v>0.50811802820242469</v>
      </c>
      <c r="EA97" s="15">
        <f>IFERROR((L97-$F97)/$F97*100,"")</f>
        <v>1.3576863775678998</v>
      </c>
      <c r="EB97" s="15">
        <f>IFERROR((M97-$F97)/$F97*100,"")</f>
        <v>0.93217394199298331</v>
      </c>
      <c r="EC97" s="15">
        <f>IFERROR((N97-$F97)/$F97*100,"")</f>
        <v>-0.20412112435159602</v>
      </c>
      <c r="ED97" s="15">
        <f>IFERROR((O97-$F97)/$F97*100,"")</f>
        <v>-0.59779815521113266</v>
      </c>
      <c r="EE97" s="15">
        <f>IFERROR((P97-$F97)/$F97*100,"")</f>
        <v>-1.2771615303466335</v>
      </c>
      <c r="EF97" s="15">
        <f>IFERROR((Q97-$F97)/$F97*100,"")</f>
        <v>-1.3724596699521645</v>
      </c>
      <c r="EG97" s="15" t="str">
        <f>IF(DV97="","",IF(AND(ABS(DV97)&lt;=0.25,$E97="Bottom",DK97="LL"),"EQL",IF(AND(ABS(DV97)&lt;=0.25,$E97="Peak",DK97="HH"),"EQH","")))</f>
        <v>EQH</v>
      </c>
      <c r="EH97" s="15" t="str">
        <f>IF(DW97="","",IF(AND(ABS(DW97)&lt;=0.25,$E97="Bottom",DL97="LL"),"EQL",IF(AND(ABS(DW97)&lt;=0.25,$E97="Peak",DL97="HH"),"EQH","")))</f>
        <v/>
      </c>
      <c r="EI97" s="15" t="str">
        <f>IF(DX97="","",IF(AND(ABS(DX97)&lt;=0.25,$E97="Bottom",DM97="LL"),"EQL",IF(AND(ABS(DX97)&lt;=0.25,$E97="Peak",DM97="HH"),"EQH","")))</f>
        <v/>
      </c>
      <c r="EJ97" s="15" t="str">
        <f>IF(DY97="","",IF(AND(ABS(DY97)&lt;=0.25,$E97="Bottom",DN97="LL"),"EQL",IF(AND(ABS(DY97)&lt;=0.25,$E97="Peak",DN97="HH"),"EQH","")))</f>
        <v/>
      </c>
      <c r="EK97" s="15" t="str">
        <f>IF(DZ97="","",IF(AND(ABS(DZ97)&lt;=0.25,$E97="Bottom",DO97="LL"),"EQL",IF(AND(ABS(DZ97)&lt;=0.25,$E97="Peak",DO97="HH"),"EQH","")))</f>
        <v/>
      </c>
      <c r="EL97" s="15" t="str">
        <f>IF(EA97="","",IF(AND(ABS(EA97)&lt;=0.25,$E97="Bottom",DP97="LL"),"EQL",IF(AND(ABS(EA97)&lt;=0.25,$E97="Peak",DP97="HH"),"EQH","")))</f>
        <v/>
      </c>
      <c r="EM97" s="15" t="str">
        <f>IF(EB97="","",IF(AND(ABS(EB97)&lt;=0.25,$E97="Bottom",DQ97="LL"),"EQL",IF(AND(ABS(EB97)&lt;=0.25,$E97="Peak",DQ97="HH"),"EQH","")))</f>
        <v/>
      </c>
      <c r="EN97" s="15" t="str">
        <f>IF(EC97="","",IF(AND(ABS(EC97)&lt;=0.25,$E97="Bottom",DR97="LL"),"EQL",IF(AND(ABS(EC97)&lt;=0.25,$E97="Peak",DR97="HH"),"EQH","")))</f>
        <v>EQH</v>
      </c>
      <c r="EO97" s="15" t="str">
        <f>IF(ED97="","",IF(AND(ABS(ED97)&lt;=0.25,$E97="Bottom",DS97="LL"),"EQL",IF(AND(ABS(ED97)&lt;=0.25,$E97="Peak",DS97="HH"),"EQH","")))</f>
        <v/>
      </c>
      <c r="EP97" s="15" t="str">
        <f>IF(EE97="","",IF(AND(ABS(EE97)&lt;=0.25,$E97="Bottom",DT97="LL"),"EQL",IF(AND(ABS(EE97)&lt;=0.25,$E97="Peak",DT97="HH"),"EQH","")))</f>
        <v/>
      </c>
      <c r="EQ97" s="15" t="str">
        <f>IF(EF97="","",IF(AND(ABS(EF97)&lt;=0.25,$E97="Bottom",DU97="LL"),"EQL",IF(AND(ABS(EF97)&lt;=0.25,$E97="Peak",DU97="HH"),"EQH","")))</f>
        <v/>
      </c>
      <c r="ER97" s="15">
        <f>IF(OR(EG97="EQL",EG97="EQH"),F97,"")</f>
        <v>4805.97</v>
      </c>
      <c r="ES97" s="15" t="str">
        <f>IF(OR(EH97="EQL",EH97="EQH"),G97,"")</f>
        <v/>
      </c>
      <c r="ET97" s="15" t="str">
        <f>IF(OR(EI97="EQL",EI97="EQH"),H97,"")</f>
        <v/>
      </c>
      <c r="EU97" s="15" t="str">
        <f>IF(OR(EJ97="EQL",EJ97="EQH"),I97,"")</f>
        <v/>
      </c>
      <c r="EV97" s="15" t="str">
        <f>IF(OR(EK97="EQL",EK97="EQH"),J97,"")</f>
        <v/>
      </c>
      <c r="EW97" s="15" t="str">
        <f>IF(OR(EL97="EQL",EL97="EQH"),K97,"")</f>
        <v/>
      </c>
      <c r="EX97" s="15" t="str">
        <f>IF(OR(EM97="EQL",EM97="EQH"),L97,"")</f>
        <v/>
      </c>
      <c r="EY97" s="15">
        <f>IF(OR(EN97="EQL",EN97="EQH"),M97,"")</f>
        <v>4850.7700000000004</v>
      </c>
      <c r="EZ97" s="15" t="str">
        <f>IF(OR(EO97="EQL",EO97="EQH"),N97,"")</f>
        <v/>
      </c>
      <c r="FA97" s="15" t="str">
        <f>IF(OR(EP97="EQL",EP97="EQH"),O97,"")</f>
        <v/>
      </c>
      <c r="FB97" s="15" t="str">
        <f>IF(OR(EQ97="EQL",EQ97="EQH"),P97,"")</f>
        <v/>
      </c>
      <c r="FC97" s="15" t="str">
        <f>IF(AND(EG97="EQL",OR(AQ97=4,AQ97=5)),"IEQL",IF(AND(EG97="EQH",OR(AQ97=1,AQ97=2)),"IEQH",""))</f>
        <v/>
      </c>
      <c r="FD97" s="15" t="str">
        <f>IF(AND(EH97="EQL",OR(AR97=4,AR97=5)),"IEQL",IF(AND(EH97="EQH",OR(AR97=1,AR97=2)),"IEQH",""))</f>
        <v/>
      </c>
      <c r="FE97" s="15" t="str">
        <f>IF(AND(EI97="EQL",OR(AS97=4,AS97=5)),"IEQL",IF(AND(EI97="EQH",OR(AS97=1,AS97=2)),"IEQH",""))</f>
        <v/>
      </c>
      <c r="FF97" s="15" t="str">
        <f>IF(AND(EJ97="EQL",OR(AT97=4,AT97=5)),"IEQL",IF(AND(EJ97="EQH",OR(AT97=1,AT97=2)),"IEQH",""))</f>
        <v/>
      </c>
      <c r="FG97" s="15" t="str">
        <f>IF(AND(EK97="EQL",OR(AU97=4,AU97=5)),"IEQL",IF(AND(EK97="EQH",OR(AU97=1,AU97=2)),"IEQH",""))</f>
        <v/>
      </c>
      <c r="FH97" s="15" t="str">
        <f>IF(AND(EL97="EQL",OR(AV97=4,AV97=5)),"IEQL",IF(AND(EL97="EQH",OR(AV97=1,AV97=2)),"IEQH",""))</f>
        <v/>
      </c>
      <c r="FI97" s="15" t="str">
        <f>IF(AND(EM97="EQL",OR(AW97=4,AW97=5)),"IEQL",IF(AND(EM97="EQH",OR(AW97=1,AW97=2)),"IEQH",""))</f>
        <v/>
      </c>
      <c r="FJ97" s="15" t="str">
        <f>IF(AND(EN97="EQL",OR(AX97=4,AX97=5)),"IEQL",IF(AND(EN97="EQH",OR(AX97=1,AX97=2)),"IEQH",""))</f>
        <v/>
      </c>
      <c r="FK97" s="15" t="str">
        <f>IF(AND(EO97="EQL",OR(AY97=4,AY97=5)),"IEQL",IF(AND(EO97="EQH",OR(AY97=1,AY97=2)),"IEQH",""))</f>
        <v/>
      </c>
      <c r="FL97" s="15" t="str">
        <f>IF(AND(EP97="EQL",OR(AZ97=4,AZ97=5)),"IEQL",IF(AND(EP97="EQH",OR(AZ97=1,AZ97=2)),"IEQH",""))</f>
        <v/>
      </c>
      <c r="FM97" s="15" t="str">
        <f>IF(AND(EQ97="EQL",OR(BA97=4,BA97=5)),"IEQL",IF(AND(EQ97="EQH",OR(BA97=1,BA97=2)),"IEQH",""))</f>
        <v/>
      </c>
      <c r="FN97" s="15" t="str">
        <f>IF(OR(AND(DJ97="LL",AP97=5),AND(DJ97="HH",AP97=2)),F97,"")</f>
        <v/>
      </c>
      <c r="FO97" s="15" t="str">
        <f>IF(FN97&lt;&gt;"",F96,"")</f>
        <v/>
      </c>
    </row>
    <row r="98" spans="1:171" s="15" customFormat="1" x14ac:dyDescent="0.55000000000000004">
      <c r="A98" s="15">
        <v>1776411906</v>
      </c>
      <c r="B98" s="15" t="s">
        <v>16</v>
      </c>
      <c r="C98" s="15" t="s">
        <v>17</v>
      </c>
      <c r="D98" s="15">
        <v>4784.38</v>
      </c>
      <c r="E98" s="15" t="s">
        <v>18</v>
      </c>
      <c r="F98" s="15">
        <v>4778.83</v>
      </c>
      <c r="G98" s="15">
        <f t="shared" si="220"/>
        <v>4768.07</v>
      </c>
      <c r="H98" s="15">
        <f t="shared" si="230"/>
        <v>4786.1000000000004</v>
      </c>
      <c r="I98" s="15">
        <f t="shared" si="240"/>
        <v>4772.67</v>
      </c>
      <c r="J98" s="15">
        <f t="shared" si="250"/>
        <v>4805.21</v>
      </c>
      <c r="K98" s="15">
        <f t="shared" si="260"/>
        <v>4787.17</v>
      </c>
      <c r="L98" s="15">
        <f t="shared" si="270"/>
        <v>4786.2299999999996</v>
      </c>
      <c r="M98" s="15">
        <f t="shared" si="280"/>
        <v>4827.08</v>
      </c>
      <c r="N98" s="15">
        <f t="shared" si="290"/>
        <v>4752.6000000000004</v>
      </c>
      <c r="O98" s="15">
        <f t="shared" si="300"/>
        <v>4757.92</v>
      </c>
      <c r="P98" s="15">
        <f t="shared" si="310"/>
        <v>4700.51</v>
      </c>
      <c r="Q98" s="15">
        <f t="shared" si="320"/>
        <v>4703.7700000000004</v>
      </c>
      <c r="R98" s="15">
        <v>-27.14</v>
      </c>
      <c r="S98" s="15">
        <f t="shared" si="221"/>
        <v>-33.049999999999997</v>
      </c>
      <c r="T98" s="15">
        <f t="shared" si="231"/>
        <v>-12.48</v>
      </c>
      <c r="U98" s="15">
        <f t="shared" si="241"/>
        <v>-51.14</v>
      </c>
      <c r="V98" s="15">
        <f t="shared" si="251"/>
        <v>-33.17</v>
      </c>
      <c r="W98" s="15">
        <f t="shared" si="261"/>
        <v>-43.22</v>
      </c>
      <c r="X98" s="15">
        <f t="shared" si="271"/>
        <v>-84.99</v>
      </c>
      <c r="Y98" s="15">
        <f t="shared" si="281"/>
        <v>-23.69</v>
      </c>
      <c r="Z98" s="15">
        <f t="shared" si="291"/>
        <v>-43.56</v>
      </c>
      <c r="AA98" s="15">
        <f t="shared" si="301"/>
        <v>-19.32</v>
      </c>
      <c r="AB98" s="15">
        <f t="shared" si="311"/>
        <v>-44.08</v>
      </c>
      <c r="AC98" s="15">
        <f t="shared" si="321"/>
        <v>-36.24</v>
      </c>
      <c r="AD98" s="15">
        <v>-0.56000000000000005</v>
      </c>
      <c r="AE98" s="15">
        <f t="shared" si="222"/>
        <v>-0.69</v>
      </c>
      <c r="AF98" s="15">
        <f t="shared" si="232"/>
        <v>-0.26</v>
      </c>
      <c r="AG98" s="15">
        <f t="shared" si="242"/>
        <v>-1.06</v>
      </c>
      <c r="AH98" s="15">
        <f t="shared" si="252"/>
        <v>-0.69</v>
      </c>
      <c r="AI98" s="15">
        <f t="shared" si="262"/>
        <v>-0.89</v>
      </c>
      <c r="AJ98" s="15">
        <f t="shared" si="272"/>
        <v>-1.74</v>
      </c>
      <c r="AK98" s="15">
        <f t="shared" si="282"/>
        <v>-0.49</v>
      </c>
      <c r="AL98" s="15">
        <f t="shared" si="292"/>
        <v>-0.91</v>
      </c>
      <c r="AM98" s="15">
        <f t="shared" si="302"/>
        <v>-0.4</v>
      </c>
      <c r="AN98" s="15">
        <f t="shared" si="312"/>
        <v>-0.93</v>
      </c>
      <c r="AO98" s="15">
        <f t="shared" si="322"/>
        <v>-0.76</v>
      </c>
      <c r="AP98" s="15">
        <v>3</v>
      </c>
      <c r="AQ98" s="15">
        <f t="shared" si="223"/>
        <v>3</v>
      </c>
      <c r="AR98" s="15">
        <f t="shared" si="233"/>
        <v>3</v>
      </c>
      <c r="AS98" s="15">
        <f t="shared" si="243"/>
        <v>3</v>
      </c>
      <c r="AT98" s="15">
        <f t="shared" si="253"/>
        <v>3</v>
      </c>
      <c r="AU98" s="15">
        <f t="shared" si="263"/>
        <v>3</v>
      </c>
      <c r="AV98" s="15">
        <f t="shared" si="273"/>
        <v>3</v>
      </c>
      <c r="AW98" s="15">
        <f t="shared" si="283"/>
        <v>3</v>
      </c>
      <c r="AX98" s="15">
        <f t="shared" si="293"/>
        <v>3</v>
      </c>
      <c r="AY98" s="15">
        <f t="shared" si="303"/>
        <v>3</v>
      </c>
      <c r="AZ98" s="15">
        <f t="shared" si="313"/>
        <v>3</v>
      </c>
      <c r="BA98" s="15">
        <f t="shared" si="323"/>
        <v>3</v>
      </c>
      <c r="BB98" s="15">
        <v>11</v>
      </c>
      <c r="BC98" s="15">
        <f t="shared" si="224"/>
        <v>3</v>
      </c>
      <c r="BD98" s="15">
        <f t="shared" si="234"/>
        <v>13</v>
      </c>
      <c r="BE98" s="15">
        <f t="shared" si="244"/>
        <v>4</v>
      </c>
      <c r="BF98" s="15">
        <f t="shared" si="254"/>
        <v>22</v>
      </c>
      <c r="BG98" s="15">
        <f t="shared" si="264"/>
        <v>5</v>
      </c>
      <c r="BH98" s="15">
        <f t="shared" si="274"/>
        <v>34</v>
      </c>
      <c r="BI98" s="15">
        <f t="shared" si="284"/>
        <v>10</v>
      </c>
      <c r="BJ98" s="15">
        <f t="shared" si="294"/>
        <v>14</v>
      </c>
      <c r="BK98" s="15">
        <f t="shared" si="304"/>
        <v>11</v>
      </c>
      <c r="BL98" s="15">
        <f t="shared" si="314"/>
        <v>5</v>
      </c>
      <c r="BM98" s="15">
        <f t="shared" si="324"/>
        <v>16</v>
      </c>
      <c r="BN98" s="15">
        <v>3</v>
      </c>
      <c r="BO98" s="15">
        <f t="shared" si="225"/>
        <v>3</v>
      </c>
      <c r="BP98" s="15">
        <f t="shared" si="235"/>
        <v>3</v>
      </c>
      <c r="BQ98" s="15">
        <f t="shared" si="245"/>
        <v>3</v>
      </c>
      <c r="BR98" s="15">
        <f t="shared" si="255"/>
        <v>3</v>
      </c>
      <c r="BS98" s="15">
        <f t="shared" si="265"/>
        <v>3</v>
      </c>
      <c r="BT98" s="15">
        <f t="shared" si="275"/>
        <v>3</v>
      </c>
      <c r="BU98" s="15">
        <f t="shared" si="285"/>
        <v>3</v>
      </c>
      <c r="BV98" s="15">
        <f t="shared" si="295"/>
        <v>3</v>
      </c>
      <c r="BW98" s="15">
        <f t="shared" si="305"/>
        <v>3</v>
      </c>
      <c r="BX98" s="15">
        <f t="shared" si="315"/>
        <v>3</v>
      </c>
      <c r="BY98" s="15">
        <f t="shared" si="325"/>
        <v>3</v>
      </c>
      <c r="BZ98" s="15">
        <v>-2.4672700000000001</v>
      </c>
      <c r="CA98" s="15">
        <f t="shared" si="226"/>
        <v>-11.01667</v>
      </c>
      <c r="CB98" s="15">
        <f t="shared" si="236"/>
        <v>-0.96</v>
      </c>
      <c r="CC98" s="15">
        <f t="shared" si="246"/>
        <v>-12.785</v>
      </c>
      <c r="CD98" s="15">
        <f t="shared" si="256"/>
        <v>-1.50773</v>
      </c>
      <c r="CE98" s="15">
        <f t="shared" si="266"/>
        <v>-8.6440000000000001</v>
      </c>
      <c r="CF98" s="15">
        <f t="shared" si="276"/>
        <v>-2.4997099999999999</v>
      </c>
      <c r="CG98" s="15">
        <f t="shared" si="286"/>
        <v>-2.3690000000000002</v>
      </c>
      <c r="CH98" s="15">
        <f t="shared" si="296"/>
        <v>-3.1114299999999999</v>
      </c>
      <c r="CI98" s="15">
        <f t="shared" si="306"/>
        <v>-1.7563599999999999</v>
      </c>
      <c r="CJ98" s="15">
        <f t="shared" si="316"/>
        <v>-8.8160000000000007</v>
      </c>
      <c r="CK98" s="15">
        <f t="shared" si="326"/>
        <v>-2.2650000000000001</v>
      </c>
      <c r="CL98" s="15">
        <v>3</v>
      </c>
      <c r="CM98" s="15">
        <f t="shared" si="227"/>
        <v>5</v>
      </c>
      <c r="CN98" s="15">
        <f t="shared" si="237"/>
        <v>3</v>
      </c>
      <c r="CO98" s="15">
        <f t="shared" si="247"/>
        <v>5</v>
      </c>
      <c r="CP98" s="15">
        <f t="shared" si="257"/>
        <v>3</v>
      </c>
      <c r="CQ98" s="15">
        <f t="shared" si="267"/>
        <v>3</v>
      </c>
      <c r="CR98" s="15">
        <f t="shared" si="277"/>
        <v>3</v>
      </c>
      <c r="CS98" s="15">
        <f t="shared" si="287"/>
        <v>3</v>
      </c>
      <c r="CT98" s="15">
        <f t="shared" si="297"/>
        <v>3</v>
      </c>
      <c r="CU98" s="15">
        <f t="shared" si="307"/>
        <v>3</v>
      </c>
      <c r="CV98" s="15">
        <f t="shared" si="317"/>
        <v>3</v>
      </c>
      <c r="CW98" s="15">
        <f t="shared" si="327"/>
        <v>3</v>
      </c>
      <c r="CX98" s="15">
        <v>-67.936999999999998</v>
      </c>
      <c r="CY98" s="15">
        <f t="shared" si="228"/>
        <v>-84.813400000000001</v>
      </c>
      <c r="CZ98" s="15">
        <f t="shared" si="238"/>
        <v>-43.8309</v>
      </c>
      <c r="DA98" s="15">
        <f t="shared" si="248"/>
        <v>-85.527600000000007</v>
      </c>
      <c r="DB98" s="15">
        <f t="shared" si="258"/>
        <v>-56.445700000000002</v>
      </c>
      <c r="DC98" s="15">
        <f t="shared" si="268"/>
        <v>-83.400899999999993</v>
      </c>
      <c r="DD98" s="15">
        <f t="shared" si="278"/>
        <v>-68.196299999999994</v>
      </c>
      <c r="DE98" s="15">
        <f t="shared" si="288"/>
        <v>-67.114500000000007</v>
      </c>
      <c r="DF98" s="15">
        <f t="shared" si="298"/>
        <v>-72.1828</v>
      </c>
      <c r="DG98" s="15">
        <f t="shared" si="308"/>
        <v>-60.3446</v>
      </c>
      <c r="DH98" s="15">
        <f t="shared" si="318"/>
        <v>-83.528599999999997</v>
      </c>
      <c r="DI98" s="15">
        <f t="shared" si="328"/>
        <v>-66.1785</v>
      </c>
      <c r="DJ98" s="15" t="s">
        <v>22</v>
      </c>
      <c r="DK98" s="15" t="str">
        <f t="shared" si="229"/>
        <v>LL</v>
      </c>
      <c r="DL98" s="15" t="str">
        <f t="shared" si="239"/>
        <v>HL</v>
      </c>
      <c r="DM98" s="15" t="str">
        <f t="shared" si="249"/>
        <v>LL</v>
      </c>
      <c r="DN98" s="15" t="str">
        <f t="shared" si="259"/>
        <v>HL</v>
      </c>
      <c r="DO98" s="15" t="str">
        <f t="shared" si="269"/>
        <v>HL</v>
      </c>
      <c r="DP98" s="15" t="str">
        <f t="shared" si="279"/>
        <v>LL</v>
      </c>
      <c r="DQ98" s="15" t="str">
        <f t="shared" si="289"/>
        <v>HL</v>
      </c>
      <c r="DR98" s="15" t="str">
        <f t="shared" si="299"/>
        <v>LL</v>
      </c>
      <c r="DS98" s="15" t="str">
        <f t="shared" si="309"/>
        <v>HL</v>
      </c>
      <c r="DT98" s="15" t="str">
        <f t="shared" si="319"/>
        <v>LL</v>
      </c>
      <c r="DU98" s="15" t="str">
        <f t="shared" si="329"/>
        <v>LL</v>
      </c>
      <c r="DV98" s="15">
        <f>IFERROR((G98-$F98)/$F98*100,"")</f>
        <v>-0.22515971482559996</v>
      </c>
      <c r="DW98" s="15">
        <f>IFERROR((H98-$F98)/$F98*100,"")</f>
        <v>0.15212928687566699</v>
      </c>
      <c r="DX98" s="15">
        <f>IFERROR((I98-$F98)/$F98*100,"")</f>
        <v>-0.12890184417524486</v>
      </c>
      <c r="DY98" s="15">
        <f>IFERROR((J98-$F98)/$F98*100,"")</f>
        <v>0.55201796255569058</v>
      </c>
      <c r="DZ98" s="15">
        <f>IFERROR((K98-$F98)/$F98*100,"")</f>
        <v>0.17451970461389391</v>
      </c>
      <c r="EA98" s="15">
        <f>IFERROR((L98-$F98)/$F98*100,"")</f>
        <v>0.15484961800272529</v>
      </c>
      <c r="EB98" s="15">
        <f>IFERROR((M98-$F98)/$F98*100,"")</f>
        <v>1.0096613606259273</v>
      </c>
      <c r="EC98" s="15">
        <f>IFERROR((N98-$F98)/$F98*100,"")</f>
        <v>-0.54887911894751562</v>
      </c>
      <c r="ED98" s="15">
        <f>IFERROR((O98-$F98)/$F98*100,"")</f>
        <v>-0.43755479897798949</v>
      </c>
      <c r="EE98" s="15">
        <f>IFERROR((P98-$F98)/$F98*100,"")</f>
        <v>-1.638894875942432</v>
      </c>
      <c r="EF98" s="15">
        <f>IFERROR((Q98-$F98)/$F98*100,"")</f>
        <v>-1.570677341525007</v>
      </c>
      <c r="EG98" s="15" t="str">
        <f>IF(DV98="","",IF(AND(ABS(DV98)&lt;=0.25,$E98="Bottom",DK98="LL"),"EQL",IF(AND(ABS(DV98)&lt;=0.25,$E98="Peak",DK98="HH"),"EQH","")))</f>
        <v>EQL</v>
      </c>
      <c r="EH98" s="15" t="str">
        <f>IF(DW98="","",IF(AND(ABS(DW98)&lt;=0.25,$E98="Bottom",DL98="LL"),"EQL",IF(AND(ABS(DW98)&lt;=0.25,$E98="Peak",DL98="HH"),"EQH","")))</f>
        <v/>
      </c>
      <c r="EI98" s="15" t="str">
        <f>IF(DX98="","",IF(AND(ABS(DX98)&lt;=0.25,$E98="Bottom",DM98="LL"),"EQL",IF(AND(ABS(DX98)&lt;=0.25,$E98="Peak",DM98="HH"),"EQH","")))</f>
        <v>EQL</v>
      </c>
      <c r="EJ98" s="15" t="str">
        <f>IF(DY98="","",IF(AND(ABS(DY98)&lt;=0.25,$E98="Bottom",DN98="LL"),"EQL",IF(AND(ABS(DY98)&lt;=0.25,$E98="Peak",DN98="HH"),"EQH","")))</f>
        <v/>
      </c>
      <c r="EK98" s="15" t="str">
        <f>IF(DZ98="","",IF(AND(ABS(DZ98)&lt;=0.25,$E98="Bottom",DO98="LL"),"EQL",IF(AND(ABS(DZ98)&lt;=0.25,$E98="Peak",DO98="HH"),"EQH","")))</f>
        <v/>
      </c>
      <c r="EL98" s="15" t="str">
        <f>IF(EA98="","",IF(AND(ABS(EA98)&lt;=0.25,$E98="Bottom",DP98="LL"),"EQL",IF(AND(ABS(EA98)&lt;=0.25,$E98="Peak",DP98="HH"),"EQH","")))</f>
        <v>EQL</v>
      </c>
      <c r="EM98" s="15" t="str">
        <f>IF(EB98="","",IF(AND(ABS(EB98)&lt;=0.25,$E98="Bottom",DQ98="LL"),"EQL",IF(AND(ABS(EB98)&lt;=0.25,$E98="Peak",DQ98="HH"),"EQH","")))</f>
        <v/>
      </c>
      <c r="EN98" s="15" t="str">
        <f>IF(EC98="","",IF(AND(ABS(EC98)&lt;=0.25,$E98="Bottom",DR98="LL"),"EQL",IF(AND(ABS(EC98)&lt;=0.25,$E98="Peak",DR98="HH"),"EQH","")))</f>
        <v/>
      </c>
      <c r="EO98" s="15" t="str">
        <f>IF(ED98="","",IF(AND(ABS(ED98)&lt;=0.25,$E98="Bottom",DS98="LL"),"EQL",IF(AND(ABS(ED98)&lt;=0.25,$E98="Peak",DS98="HH"),"EQH","")))</f>
        <v/>
      </c>
      <c r="EP98" s="15" t="str">
        <f>IF(EE98="","",IF(AND(ABS(EE98)&lt;=0.25,$E98="Bottom",DT98="LL"),"EQL",IF(AND(ABS(EE98)&lt;=0.25,$E98="Peak",DT98="HH"),"EQH","")))</f>
        <v/>
      </c>
      <c r="EQ98" s="15" t="str">
        <f>IF(EF98="","",IF(AND(ABS(EF98)&lt;=0.25,$E98="Bottom",DU98="LL"),"EQL",IF(AND(ABS(EF98)&lt;=0.25,$E98="Peak",DU98="HH"),"EQH","")))</f>
        <v/>
      </c>
      <c r="ER98" s="15">
        <f>IF(OR(EG98="EQL",EG98="EQH"),F98,"")</f>
        <v>4778.83</v>
      </c>
      <c r="ES98" s="15" t="str">
        <f>IF(OR(EH98="EQL",EH98="EQH"),G98,"")</f>
        <v/>
      </c>
      <c r="ET98" s="15">
        <f>IF(OR(EI98="EQL",EI98="EQH"),H98,"")</f>
        <v>4786.1000000000004</v>
      </c>
      <c r="EU98" s="15" t="str">
        <f>IF(OR(EJ98="EQL",EJ98="EQH"),I98,"")</f>
        <v/>
      </c>
      <c r="EV98" s="15" t="str">
        <f>IF(OR(EK98="EQL",EK98="EQH"),J98,"")</f>
        <v/>
      </c>
      <c r="EW98" s="15">
        <f>IF(OR(EL98="EQL",EL98="EQH"),K98,"")</f>
        <v>4787.17</v>
      </c>
      <c r="EX98" s="15" t="str">
        <f>IF(OR(EM98="EQL",EM98="EQH"),L98,"")</f>
        <v/>
      </c>
      <c r="EY98" s="15" t="str">
        <f>IF(OR(EN98="EQL",EN98="EQH"),M98,"")</f>
        <v/>
      </c>
      <c r="EZ98" s="15" t="str">
        <f>IF(OR(EO98="EQL",EO98="EQH"),N98,"")</f>
        <v/>
      </c>
      <c r="FA98" s="15" t="str">
        <f>IF(OR(EP98="EQL",EP98="EQH"),O98,"")</f>
        <v/>
      </c>
      <c r="FB98" s="15" t="str">
        <f>IF(OR(EQ98="EQL",EQ98="EQH"),P98,"")</f>
        <v/>
      </c>
      <c r="FC98" s="15" t="str">
        <f>IF(AND(EG98="EQL",OR(AQ98=4,AQ98=5)),"IEQL",IF(AND(EG98="EQH",OR(AQ98=1,AQ98=2)),"IEQH",""))</f>
        <v/>
      </c>
      <c r="FD98" s="15" t="str">
        <f>IF(AND(EH98="EQL",OR(AR98=4,AR98=5)),"IEQL",IF(AND(EH98="EQH",OR(AR98=1,AR98=2)),"IEQH",""))</f>
        <v/>
      </c>
      <c r="FE98" s="15" t="str">
        <f>IF(AND(EI98="EQL",OR(AS98=4,AS98=5)),"IEQL",IF(AND(EI98="EQH",OR(AS98=1,AS98=2)),"IEQH",""))</f>
        <v/>
      </c>
      <c r="FF98" s="15" t="str">
        <f>IF(AND(EJ98="EQL",OR(AT98=4,AT98=5)),"IEQL",IF(AND(EJ98="EQH",OR(AT98=1,AT98=2)),"IEQH",""))</f>
        <v/>
      </c>
      <c r="FG98" s="15" t="str">
        <f>IF(AND(EK98="EQL",OR(AU98=4,AU98=5)),"IEQL",IF(AND(EK98="EQH",OR(AU98=1,AU98=2)),"IEQH",""))</f>
        <v/>
      </c>
      <c r="FH98" s="15" t="str">
        <f>IF(AND(EL98="EQL",OR(AV98=4,AV98=5)),"IEQL",IF(AND(EL98="EQH",OR(AV98=1,AV98=2)),"IEQH",""))</f>
        <v/>
      </c>
      <c r="FI98" s="15" t="str">
        <f>IF(AND(EM98="EQL",OR(AW98=4,AW98=5)),"IEQL",IF(AND(EM98="EQH",OR(AW98=1,AW98=2)),"IEQH",""))</f>
        <v/>
      </c>
      <c r="FJ98" s="15" t="str">
        <f>IF(AND(EN98="EQL",OR(AX98=4,AX98=5)),"IEQL",IF(AND(EN98="EQH",OR(AX98=1,AX98=2)),"IEQH",""))</f>
        <v/>
      </c>
      <c r="FK98" s="15" t="str">
        <f>IF(AND(EO98="EQL",OR(AY98=4,AY98=5)),"IEQL",IF(AND(EO98="EQH",OR(AY98=1,AY98=2)),"IEQH",""))</f>
        <v/>
      </c>
      <c r="FL98" s="15" t="str">
        <f>IF(AND(EP98="EQL",OR(AZ98=4,AZ98=5)),"IEQL",IF(AND(EP98="EQH",OR(AZ98=1,AZ98=2)),"IEQH",""))</f>
        <v/>
      </c>
      <c r="FM98" s="15" t="str">
        <f>IF(AND(EQ98="EQL",OR(BA98=4,BA98=5)),"IEQL",IF(AND(EQ98="EQH",OR(BA98=1,BA98=2)),"IEQH",""))</f>
        <v/>
      </c>
      <c r="FN98" s="15" t="str">
        <f>IF(OR(AND(DJ98="LL",AP98=5),AND(DJ98="HH",AP98=2)),F98,"")</f>
        <v/>
      </c>
      <c r="FO98" s="15" t="str">
        <f>IF(FN98&lt;&gt;"",F97,"")</f>
        <v/>
      </c>
    </row>
    <row r="99" spans="1:171" s="15" customFormat="1" x14ac:dyDescent="0.55000000000000004">
      <c r="A99" s="15">
        <v>1776430806</v>
      </c>
      <c r="B99" s="15" t="s">
        <v>16</v>
      </c>
      <c r="C99" s="15" t="s">
        <v>17</v>
      </c>
      <c r="D99" s="15">
        <v>4883.6000000000004</v>
      </c>
      <c r="E99" s="15" t="s">
        <v>20</v>
      </c>
      <c r="F99" s="15">
        <v>4889.21</v>
      </c>
      <c r="G99" s="15">
        <f t="shared" si="220"/>
        <v>4805.97</v>
      </c>
      <c r="H99" s="15">
        <f t="shared" si="230"/>
        <v>4801.12</v>
      </c>
      <c r="I99" s="15">
        <f t="shared" si="240"/>
        <v>4798.58</v>
      </c>
      <c r="J99" s="15">
        <f t="shared" si="250"/>
        <v>4823.8100000000004</v>
      </c>
      <c r="K99" s="15">
        <f t="shared" si="260"/>
        <v>4838.38</v>
      </c>
      <c r="L99" s="15">
        <f t="shared" si="270"/>
        <v>4830.3900000000003</v>
      </c>
      <c r="M99" s="15">
        <f t="shared" si="280"/>
        <v>4871.22</v>
      </c>
      <c r="N99" s="15">
        <f t="shared" si="290"/>
        <v>4850.7700000000004</v>
      </c>
      <c r="O99" s="15">
        <f t="shared" si="300"/>
        <v>4796.16</v>
      </c>
      <c r="P99" s="15">
        <f t="shared" si="310"/>
        <v>4777.24</v>
      </c>
      <c r="Q99" s="15">
        <f t="shared" si="320"/>
        <v>4744.59</v>
      </c>
      <c r="R99" s="15">
        <v>110.38</v>
      </c>
      <c r="S99" s="15">
        <f t="shared" si="221"/>
        <v>37.9</v>
      </c>
      <c r="T99" s="15">
        <f t="shared" si="231"/>
        <v>15.02</v>
      </c>
      <c r="U99" s="15">
        <f t="shared" si="241"/>
        <v>25.91</v>
      </c>
      <c r="V99" s="15">
        <f t="shared" si="251"/>
        <v>18.600000000000001</v>
      </c>
      <c r="W99" s="15">
        <f t="shared" si="261"/>
        <v>51.21</v>
      </c>
      <c r="X99" s="15">
        <f t="shared" si="271"/>
        <v>44.16</v>
      </c>
      <c r="Y99" s="15">
        <f t="shared" si="281"/>
        <v>44.14</v>
      </c>
      <c r="Z99" s="15">
        <f t="shared" si="291"/>
        <v>98.17</v>
      </c>
      <c r="AA99" s="15">
        <f t="shared" si="301"/>
        <v>38.24</v>
      </c>
      <c r="AB99" s="15">
        <f t="shared" si="311"/>
        <v>76.73</v>
      </c>
      <c r="AC99" s="15">
        <f t="shared" si="321"/>
        <v>40.82</v>
      </c>
      <c r="AD99" s="15">
        <v>2.31</v>
      </c>
      <c r="AE99" s="15">
        <f t="shared" si="222"/>
        <v>0.79</v>
      </c>
      <c r="AF99" s="15">
        <f t="shared" si="232"/>
        <v>0.31</v>
      </c>
      <c r="AG99" s="15">
        <f t="shared" si="242"/>
        <v>0.54</v>
      </c>
      <c r="AH99" s="15">
        <f t="shared" si="252"/>
        <v>0.39</v>
      </c>
      <c r="AI99" s="15">
        <f t="shared" si="262"/>
        <v>1.07</v>
      </c>
      <c r="AJ99" s="15">
        <f t="shared" si="272"/>
        <v>0.92</v>
      </c>
      <c r="AK99" s="15">
        <f t="shared" si="282"/>
        <v>0.91</v>
      </c>
      <c r="AL99" s="15">
        <f t="shared" si="292"/>
        <v>2.0699999999999998</v>
      </c>
      <c r="AM99" s="15">
        <f t="shared" si="302"/>
        <v>0.8</v>
      </c>
      <c r="AN99" s="15">
        <f t="shared" si="312"/>
        <v>1.63</v>
      </c>
      <c r="AO99" s="15">
        <f t="shared" si="322"/>
        <v>0.87</v>
      </c>
      <c r="AP99" s="15">
        <v>0</v>
      </c>
      <c r="AQ99" s="15">
        <f t="shared" si="223"/>
        <v>0</v>
      </c>
      <c r="AR99" s="15">
        <f t="shared" si="233"/>
        <v>0</v>
      </c>
      <c r="AS99" s="15">
        <f t="shared" si="243"/>
        <v>0</v>
      </c>
      <c r="AT99" s="15">
        <f t="shared" si="253"/>
        <v>0</v>
      </c>
      <c r="AU99" s="15">
        <f t="shared" si="263"/>
        <v>0</v>
      </c>
      <c r="AV99" s="15">
        <f t="shared" si="273"/>
        <v>0</v>
      </c>
      <c r="AW99" s="15">
        <f t="shared" si="283"/>
        <v>0</v>
      </c>
      <c r="AX99" s="15">
        <f t="shared" si="293"/>
        <v>0</v>
      </c>
      <c r="AY99" s="15">
        <f t="shared" si="303"/>
        <v>0</v>
      </c>
      <c r="AZ99" s="15">
        <f t="shared" si="313"/>
        <v>0</v>
      </c>
      <c r="BA99" s="15">
        <f t="shared" si="323"/>
        <v>0</v>
      </c>
      <c r="BB99" s="15">
        <v>21</v>
      </c>
      <c r="BC99" s="15">
        <f t="shared" si="224"/>
        <v>14</v>
      </c>
      <c r="BD99" s="15">
        <f t="shared" si="234"/>
        <v>3</v>
      </c>
      <c r="BE99" s="15">
        <f t="shared" si="244"/>
        <v>21</v>
      </c>
      <c r="BF99" s="15">
        <f t="shared" si="254"/>
        <v>12</v>
      </c>
      <c r="BG99" s="15">
        <f t="shared" si="264"/>
        <v>50</v>
      </c>
      <c r="BH99" s="15">
        <f t="shared" si="274"/>
        <v>18</v>
      </c>
      <c r="BI99" s="15">
        <f t="shared" si="284"/>
        <v>3</v>
      </c>
      <c r="BJ99" s="15">
        <f t="shared" si="294"/>
        <v>42</v>
      </c>
      <c r="BK99" s="15">
        <f t="shared" si="304"/>
        <v>6</v>
      </c>
      <c r="BL99" s="15">
        <f t="shared" si="314"/>
        <v>43</v>
      </c>
      <c r="BM99" s="15">
        <f t="shared" si="324"/>
        <v>8</v>
      </c>
      <c r="BN99" s="15">
        <v>0</v>
      </c>
      <c r="BO99" s="15">
        <f t="shared" si="225"/>
        <v>0</v>
      </c>
      <c r="BP99" s="15">
        <f t="shared" si="235"/>
        <v>0</v>
      </c>
      <c r="BQ99" s="15">
        <f t="shared" si="245"/>
        <v>0</v>
      </c>
      <c r="BR99" s="15">
        <f t="shared" si="255"/>
        <v>0</v>
      </c>
      <c r="BS99" s="15">
        <f t="shared" si="265"/>
        <v>2</v>
      </c>
      <c r="BT99" s="15">
        <f t="shared" si="275"/>
        <v>0</v>
      </c>
      <c r="BU99" s="15">
        <f t="shared" si="285"/>
        <v>0</v>
      </c>
      <c r="BV99" s="15">
        <f t="shared" si="295"/>
        <v>1</v>
      </c>
      <c r="BW99" s="15">
        <f t="shared" si="305"/>
        <v>0</v>
      </c>
      <c r="BX99" s="15">
        <f t="shared" si="315"/>
        <v>1</v>
      </c>
      <c r="BY99" s="15">
        <f t="shared" si="325"/>
        <v>0</v>
      </c>
      <c r="BZ99" s="15">
        <v>5.2561900000000001</v>
      </c>
      <c r="CA99" s="15">
        <f t="shared" si="226"/>
        <v>2.7071399999999999</v>
      </c>
      <c r="CB99" s="15">
        <f t="shared" si="236"/>
        <v>5.0066699999999997</v>
      </c>
      <c r="CC99" s="15">
        <f t="shared" si="246"/>
        <v>1.2338100000000001</v>
      </c>
      <c r="CD99" s="15">
        <f t="shared" si="256"/>
        <v>1.55</v>
      </c>
      <c r="CE99" s="15">
        <f t="shared" si="266"/>
        <v>1.0242</v>
      </c>
      <c r="CF99" s="15">
        <f t="shared" si="276"/>
        <v>2.4533299999999998</v>
      </c>
      <c r="CG99" s="15">
        <f t="shared" si="286"/>
        <v>14.713329999999999</v>
      </c>
      <c r="CH99" s="15">
        <f t="shared" si="296"/>
        <v>2.33738</v>
      </c>
      <c r="CI99" s="15">
        <f t="shared" si="306"/>
        <v>6.3733300000000002</v>
      </c>
      <c r="CJ99" s="15">
        <f t="shared" si="316"/>
        <v>1.7844199999999999</v>
      </c>
      <c r="CK99" s="15">
        <f t="shared" si="326"/>
        <v>5.1025</v>
      </c>
      <c r="CL99" s="15">
        <v>0</v>
      </c>
      <c r="CM99" s="15">
        <f t="shared" si="227"/>
        <v>0</v>
      </c>
      <c r="CN99" s="15">
        <f t="shared" si="237"/>
        <v>0</v>
      </c>
      <c r="CO99" s="15">
        <f t="shared" si="247"/>
        <v>0</v>
      </c>
      <c r="CP99" s="15">
        <f t="shared" si="257"/>
        <v>0</v>
      </c>
      <c r="CQ99" s="15">
        <f t="shared" si="267"/>
        <v>0</v>
      </c>
      <c r="CR99" s="15">
        <f t="shared" si="277"/>
        <v>0</v>
      </c>
      <c r="CS99" s="15">
        <f t="shared" si="287"/>
        <v>0</v>
      </c>
      <c r="CT99" s="15">
        <f t="shared" si="297"/>
        <v>0</v>
      </c>
      <c r="CU99" s="15">
        <f t="shared" si="307"/>
        <v>0</v>
      </c>
      <c r="CV99" s="15">
        <f t="shared" si="317"/>
        <v>0</v>
      </c>
      <c r="CW99" s="15">
        <f t="shared" si="327"/>
        <v>0</v>
      </c>
      <c r="CX99" s="15">
        <v>79.228099999999998</v>
      </c>
      <c r="CY99" s="15">
        <f t="shared" si="228"/>
        <v>69.726100000000002</v>
      </c>
      <c r="CZ99" s="15">
        <f t="shared" si="238"/>
        <v>78.704700000000003</v>
      </c>
      <c r="DA99" s="15">
        <f t="shared" si="248"/>
        <v>50.975299999999997</v>
      </c>
      <c r="DB99" s="15">
        <f t="shared" si="258"/>
        <v>57.171500000000002</v>
      </c>
      <c r="DC99" s="15">
        <f t="shared" si="268"/>
        <v>45.685000000000002</v>
      </c>
      <c r="DD99" s="15">
        <f t="shared" si="278"/>
        <v>67.823800000000006</v>
      </c>
      <c r="DE99" s="15">
        <f t="shared" si="288"/>
        <v>86.111800000000002</v>
      </c>
      <c r="DF99" s="15">
        <f t="shared" si="298"/>
        <v>66.837299999999999</v>
      </c>
      <c r="DG99" s="15">
        <f t="shared" si="308"/>
        <v>81.082800000000006</v>
      </c>
      <c r="DH99" s="15">
        <f t="shared" si="318"/>
        <v>60.733400000000003</v>
      </c>
      <c r="DI99" s="15">
        <f t="shared" si="328"/>
        <v>78.911600000000007</v>
      </c>
      <c r="DJ99" s="15" t="s">
        <v>23</v>
      </c>
      <c r="DK99" s="15" t="str">
        <f t="shared" si="229"/>
        <v>HH</v>
      </c>
      <c r="DL99" s="15" t="str">
        <f t="shared" si="239"/>
        <v>HH</v>
      </c>
      <c r="DM99" s="15" t="str">
        <f t="shared" si="249"/>
        <v>LH</v>
      </c>
      <c r="DN99" s="15" t="str">
        <f t="shared" si="259"/>
        <v>LH</v>
      </c>
      <c r="DO99" s="15" t="str">
        <f t="shared" si="269"/>
        <v>HH</v>
      </c>
      <c r="DP99" s="15" t="str">
        <f t="shared" si="279"/>
        <v>LH</v>
      </c>
      <c r="DQ99" s="15" t="str">
        <f t="shared" si="289"/>
        <v>HH</v>
      </c>
      <c r="DR99" s="15" t="str">
        <f t="shared" si="299"/>
        <v>HH</v>
      </c>
      <c r="DS99" s="15" t="str">
        <f t="shared" si="309"/>
        <v>HH</v>
      </c>
      <c r="DT99" s="15" t="str">
        <f t="shared" si="319"/>
        <v>HH</v>
      </c>
      <c r="DU99" s="15" t="str">
        <f t="shared" si="329"/>
        <v>HH</v>
      </c>
      <c r="DV99" s="15">
        <f>IFERROR((G99-$F99)/$F99*100,"")</f>
        <v>-1.7025245387291561</v>
      </c>
      <c r="DW99" s="15">
        <f>IFERROR((H99-$F99)/$F99*100,"")</f>
        <v>-1.8017225686767422</v>
      </c>
      <c r="DX99" s="15">
        <f>IFERROR((I99-$F99)/$F99*100,"")</f>
        <v>-1.8536737018864011</v>
      </c>
      <c r="DY99" s="15">
        <f>IFERROR((J99-$F99)/$F99*100,"")</f>
        <v>-1.3376394141384731</v>
      </c>
      <c r="DZ99" s="15">
        <f>IFERROR((K99-$F99)/$F99*100,"")</f>
        <v>-1.0396362602547227</v>
      </c>
      <c r="EA99" s="15">
        <f>IFERROR((L99-$F99)/$F99*100,"")</f>
        <v>-1.2030573446425845</v>
      </c>
      <c r="EB99" s="15">
        <f>IFERROR((M99-$F99)/$F99*100,"")</f>
        <v>-0.36795310489833288</v>
      </c>
      <c r="EC99" s="15">
        <f>IFERROR((N99-$F99)/$F99*100,"")</f>
        <v>-0.78622108684224234</v>
      </c>
      <c r="ED99" s="15">
        <f>IFERROR((O99-$F99)/$F99*100,"")</f>
        <v>-1.9031704508499363</v>
      </c>
      <c r="EE99" s="15">
        <f>IFERROR((P99-$F99)/$F99*100,"")</f>
        <v>-2.2901450336557492</v>
      </c>
      <c r="EF99" s="15">
        <f>IFERROR((Q99-$F99)/$F99*100,"")</f>
        <v>-2.9579420806224292</v>
      </c>
      <c r="EG99" s="15" t="str">
        <f>IF(DV99="","",IF(AND(ABS(DV99)&lt;=0.25,$E99="Bottom",DK99="LL"),"EQL",IF(AND(ABS(DV99)&lt;=0.25,$E99="Peak",DK99="HH"),"EQH","")))</f>
        <v/>
      </c>
      <c r="EH99" s="15" t="str">
        <f>IF(DW99="","",IF(AND(ABS(DW99)&lt;=0.25,$E99="Bottom",DL99="LL"),"EQL",IF(AND(ABS(DW99)&lt;=0.25,$E99="Peak",DL99="HH"),"EQH","")))</f>
        <v/>
      </c>
      <c r="EI99" s="15" t="str">
        <f>IF(DX99="","",IF(AND(ABS(DX99)&lt;=0.25,$E99="Bottom",DM99="LL"),"EQL",IF(AND(ABS(DX99)&lt;=0.25,$E99="Peak",DM99="HH"),"EQH","")))</f>
        <v/>
      </c>
      <c r="EJ99" s="15" t="str">
        <f>IF(DY99="","",IF(AND(ABS(DY99)&lt;=0.25,$E99="Bottom",DN99="LL"),"EQL",IF(AND(ABS(DY99)&lt;=0.25,$E99="Peak",DN99="HH"),"EQH","")))</f>
        <v/>
      </c>
      <c r="EK99" s="15" t="str">
        <f>IF(DZ99="","",IF(AND(ABS(DZ99)&lt;=0.25,$E99="Bottom",DO99="LL"),"EQL",IF(AND(ABS(DZ99)&lt;=0.25,$E99="Peak",DO99="HH"),"EQH","")))</f>
        <v/>
      </c>
      <c r="EL99" s="15" t="str">
        <f>IF(EA99="","",IF(AND(ABS(EA99)&lt;=0.25,$E99="Bottom",DP99="LL"),"EQL",IF(AND(ABS(EA99)&lt;=0.25,$E99="Peak",DP99="HH"),"EQH","")))</f>
        <v/>
      </c>
      <c r="EM99" s="15" t="str">
        <f>IF(EB99="","",IF(AND(ABS(EB99)&lt;=0.25,$E99="Bottom",DQ99="LL"),"EQL",IF(AND(ABS(EB99)&lt;=0.25,$E99="Peak",DQ99="HH"),"EQH","")))</f>
        <v/>
      </c>
      <c r="EN99" s="15" t="str">
        <f>IF(EC99="","",IF(AND(ABS(EC99)&lt;=0.25,$E99="Bottom",DR99="LL"),"EQL",IF(AND(ABS(EC99)&lt;=0.25,$E99="Peak",DR99="HH"),"EQH","")))</f>
        <v/>
      </c>
      <c r="EO99" s="15" t="str">
        <f>IF(ED99="","",IF(AND(ABS(ED99)&lt;=0.25,$E99="Bottom",DS99="LL"),"EQL",IF(AND(ABS(ED99)&lt;=0.25,$E99="Peak",DS99="HH"),"EQH","")))</f>
        <v/>
      </c>
      <c r="EP99" s="15" t="str">
        <f>IF(EE99="","",IF(AND(ABS(EE99)&lt;=0.25,$E99="Bottom",DT99="LL"),"EQL",IF(AND(ABS(EE99)&lt;=0.25,$E99="Peak",DT99="HH"),"EQH","")))</f>
        <v/>
      </c>
      <c r="EQ99" s="15" t="str">
        <f>IF(EF99="","",IF(AND(ABS(EF99)&lt;=0.25,$E99="Bottom",DU99="LL"),"EQL",IF(AND(ABS(EF99)&lt;=0.25,$E99="Peak",DU99="HH"),"EQH","")))</f>
        <v/>
      </c>
      <c r="ER99" s="15" t="str">
        <f>IF(OR(EG99="EQL",EG99="EQH"),F99,"")</f>
        <v/>
      </c>
      <c r="ES99" s="15" t="str">
        <f>IF(OR(EH99="EQL",EH99="EQH"),G99,"")</f>
        <v/>
      </c>
      <c r="ET99" s="15" t="str">
        <f>IF(OR(EI99="EQL",EI99="EQH"),H99,"")</f>
        <v/>
      </c>
      <c r="EU99" s="15" t="str">
        <f>IF(OR(EJ99="EQL",EJ99="EQH"),I99,"")</f>
        <v/>
      </c>
      <c r="EV99" s="15" t="str">
        <f>IF(OR(EK99="EQL",EK99="EQH"),J99,"")</f>
        <v/>
      </c>
      <c r="EW99" s="15" t="str">
        <f>IF(OR(EL99="EQL",EL99="EQH"),K99,"")</f>
        <v/>
      </c>
      <c r="EX99" s="15" t="str">
        <f>IF(OR(EM99="EQL",EM99="EQH"),L99,"")</f>
        <v/>
      </c>
      <c r="EY99" s="15" t="str">
        <f>IF(OR(EN99="EQL",EN99="EQH"),M99,"")</f>
        <v/>
      </c>
      <c r="EZ99" s="15" t="str">
        <f>IF(OR(EO99="EQL",EO99="EQH"),N99,"")</f>
        <v/>
      </c>
      <c r="FA99" s="15" t="str">
        <f>IF(OR(EP99="EQL",EP99="EQH"),O99,"")</f>
        <v/>
      </c>
      <c r="FB99" s="15" t="str">
        <f>IF(OR(EQ99="EQL",EQ99="EQH"),P99,"")</f>
        <v/>
      </c>
      <c r="FC99" s="15" t="str">
        <f>IF(AND(EG99="EQL",OR(AQ99=4,AQ99=5)),"IEQL",IF(AND(EG99="EQH",OR(AQ99=1,AQ99=2)),"IEQH",""))</f>
        <v/>
      </c>
      <c r="FD99" s="15" t="str">
        <f>IF(AND(EH99="EQL",OR(AR99=4,AR99=5)),"IEQL",IF(AND(EH99="EQH",OR(AR99=1,AR99=2)),"IEQH",""))</f>
        <v/>
      </c>
      <c r="FE99" s="15" t="str">
        <f>IF(AND(EI99="EQL",OR(AS99=4,AS99=5)),"IEQL",IF(AND(EI99="EQH",OR(AS99=1,AS99=2)),"IEQH",""))</f>
        <v/>
      </c>
      <c r="FF99" s="15" t="str">
        <f>IF(AND(EJ99="EQL",OR(AT99=4,AT99=5)),"IEQL",IF(AND(EJ99="EQH",OR(AT99=1,AT99=2)),"IEQH",""))</f>
        <v/>
      </c>
      <c r="FG99" s="15" t="str">
        <f>IF(AND(EK99="EQL",OR(AU99=4,AU99=5)),"IEQL",IF(AND(EK99="EQH",OR(AU99=1,AU99=2)),"IEQH",""))</f>
        <v/>
      </c>
      <c r="FH99" s="15" t="str">
        <f>IF(AND(EL99="EQL",OR(AV99=4,AV99=5)),"IEQL",IF(AND(EL99="EQH",OR(AV99=1,AV99=2)),"IEQH",""))</f>
        <v/>
      </c>
      <c r="FI99" s="15" t="str">
        <f>IF(AND(EM99="EQL",OR(AW99=4,AW99=5)),"IEQL",IF(AND(EM99="EQH",OR(AW99=1,AW99=2)),"IEQH",""))</f>
        <v/>
      </c>
      <c r="FJ99" s="15" t="str">
        <f>IF(AND(EN99="EQL",OR(AX99=4,AX99=5)),"IEQL",IF(AND(EN99="EQH",OR(AX99=1,AX99=2)),"IEQH",""))</f>
        <v/>
      </c>
      <c r="FK99" s="15" t="str">
        <f>IF(AND(EO99="EQL",OR(AY99=4,AY99=5)),"IEQL",IF(AND(EO99="EQH",OR(AY99=1,AY99=2)),"IEQH",""))</f>
        <v/>
      </c>
      <c r="FL99" s="15" t="str">
        <f>IF(AND(EP99="EQL",OR(AZ99=4,AZ99=5)),"IEQL",IF(AND(EP99="EQH",OR(AZ99=1,AZ99=2)),"IEQH",""))</f>
        <v/>
      </c>
      <c r="FM99" s="15" t="str">
        <f>IF(AND(EQ99="EQL",OR(BA99=4,BA99=5)),"IEQL",IF(AND(EQ99="EQH",OR(BA99=1,BA99=2)),"IEQH",""))</f>
        <v/>
      </c>
      <c r="FN99" s="15" t="str">
        <f>IF(OR(AND(DJ99="LL",AP99=5),AND(DJ99="HH",AP99=2)),F99,"")</f>
        <v/>
      </c>
      <c r="FO99" s="15" t="str">
        <f>IF(FN99&lt;&gt;"",F98,"")</f>
        <v/>
      </c>
    </row>
    <row r="100" spans="1:171" s="15" customFormat="1" x14ac:dyDescent="0.55000000000000004">
      <c r="A100" s="15">
        <v>1776642306</v>
      </c>
      <c r="B100" s="15" t="s">
        <v>16</v>
      </c>
      <c r="C100" s="15" t="s">
        <v>17</v>
      </c>
      <c r="D100" s="15">
        <v>4755.07</v>
      </c>
      <c r="E100" s="15" t="s">
        <v>18</v>
      </c>
      <c r="F100" s="15">
        <v>4736.96</v>
      </c>
      <c r="G100" s="15">
        <f t="shared" ref="G100:G131" si="330">F98</f>
        <v>4778.83</v>
      </c>
      <c r="H100" s="15">
        <f t="shared" si="230"/>
        <v>4768.07</v>
      </c>
      <c r="I100" s="15">
        <f t="shared" si="240"/>
        <v>4786.1000000000004</v>
      </c>
      <c r="J100" s="15">
        <f t="shared" si="250"/>
        <v>4772.67</v>
      </c>
      <c r="K100" s="15">
        <f t="shared" si="260"/>
        <v>4805.21</v>
      </c>
      <c r="L100" s="15">
        <f t="shared" si="270"/>
        <v>4787.17</v>
      </c>
      <c r="M100" s="15">
        <f t="shared" si="280"/>
        <v>4786.2299999999996</v>
      </c>
      <c r="N100" s="15">
        <f t="shared" si="290"/>
        <v>4827.08</v>
      </c>
      <c r="O100" s="15">
        <f t="shared" si="300"/>
        <v>4752.6000000000004</v>
      </c>
      <c r="P100" s="15">
        <f t="shared" si="310"/>
        <v>4757.92</v>
      </c>
      <c r="Q100" s="15">
        <f t="shared" si="320"/>
        <v>4700.51</v>
      </c>
      <c r="R100" s="15">
        <v>-152.25</v>
      </c>
      <c r="S100" s="15">
        <f t="shared" ref="S100:S131" si="331">R98</f>
        <v>-27.14</v>
      </c>
      <c r="T100" s="15">
        <f t="shared" si="231"/>
        <v>-33.049999999999997</v>
      </c>
      <c r="U100" s="15">
        <f t="shared" si="241"/>
        <v>-12.48</v>
      </c>
      <c r="V100" s="15">
        <f t="shared" si="251"/>
        <v>-51.14</v>
      </c>
      <c r="W100" s="15">
        <f t="shared" si="261"/>
        <v>-33.17</v>
      </c>
      <c r="X100" s="15">
        <f t="shared" si="271"/>
        <v>-43.22</v>
      </c>
      <c r="Y100" s="15">
        <f t="shared" si="281"/>
        <v>-84.99</v>
      </c>
      <c r="Z100" s="15">
        <f t="shared" si="291"/>
        <v>-23.69</v>
      </c>
      <c r="AA100" s="15">
        <f t="shared" si="301"/>
        <v>-43.56</v>
      </c>
      <c r="AB100" s="15">
        <f t="shared" si="311"/>
        <v>-19.32</v>
      </c>
      <c r="AC100" s="15">
        <f t="shared" si="321"/>
        <v>-44.08</v>
      </c>
      <c r="AD100" s="15">
        <v>-3.11</v>
      </c>
      <c r="AE100" s="15">
        <f t="shared" ref="AE100:AE131" si="332">AD98</f>
        <v>-0.56000000000000005</v>
      </c>
      <c r="AF100" s="15">
        <f t="shared" si="232"/>
        <v>-0.69</v>
      </c>
      <c r="AG100" s="15">
        <f t="shared" si="242"/>
        <v>-0.26</v>
      </c>
      <c r="AH100" s="15">
        <f t="shared" si="252"/>
        <v>-1.06</v>
      </c>
      <c r="AI100" s="15">
        <f t="shared" si="262"/>
        <v>-0.69</v>
      </c>
      <c r="AJ100" s="15">
        <f t="shared" si="272"/>
        <v>-0.89</v>
      </c>
      <c r="AK100" s="15">
        <f t="shared" si="282"/>
        <v>-1.74</v>
      </c>
      <c r="AL100" s="15">
        <f t="shared" si="292"/>
        <v>-0.49</v>
      </c>
      <c r="AM100" s="15">
        <f t="shared" si="302"/>
        <v>-0.91</v>
      </c>
      <c r="AN100" s="15">
        <f t="shared" si="312"/>
        <v>-0.4</v>
      </c>
      <c r="AO100" s="15">
        <f t="shared" si="322"/>
        <v>-0.93</v>
      </c>
      <c r="AP100" s="15">
        <v>5</v>
      </c>
      <c r="AQ100" s="15">
        <f t="shared" ref="AQ100:AQ131" si="333">AP98</f>
        <v>3</v>
      </c>
      <c r="AR100" s="15">
        <f t="shared" si="233"/>
        <v>3</v>
      </c>
      <c r="AS100" s="15">
        <f t="shared" si="243"/>
        <v>3</v>
      </c>
      <c r="AT100" s="15">
        <f t="shared" si="253"/>
        <v>3</v>
      </c>
      <c r="AU100" s="15">
        <f t="shared" si="263"/>
        <v>3</v>
      </c>
      <c r="AV100" s="15">
        <f t="shared" si="273"/>
        <v>3</v>
      </c>
      <c r="AW100" s="15">
        <f t="shared" si="283"/>
        <v>3</v>
      </c>
      <c r="AX100" s="15">
        <f t="shared" si="293"/>
        <v>3</v>
      </c>
      <c r="AY100" s="15">
        <f t="shared" si="303"/>
        <v>3</v>
      </c>
      <c r="AZ100" s="15">
        <f t="shared" si="313"/>
        <v>3</v>
      </c>
      <c r="BA100" s="15">
        <f t="shared" si="323"/>
        <v>3</v>
      </c>
      <c r="BB100" s="15">
        <v>39</v>
      </c>
      <c r="BC100" s="15">
        <f t="shared" ref="BC100:BC131" si="334">BB98</f>
        <v>11</v>
      </c>
      <c r="BD100" s="15">
        <f t="shared" si="234"/>
        <v>3</v>
      </c>
      <c r="BE100" s="15">
        <f t="shared" si="244"/>
        <v>13</v>
      </c>
      <c r="BF100" s="15">
        <f t="shared" si="254"/>
        <v>4</v>
      </c>
      <c r="BG100" s="15">
        <f t="shared" si="264"/>
        <v>22</v>
      </c>
      <c r="BH100" s="15">
        <f t="shared" si="274"/>
        <v>5</v>
      </c>
      <c r="BI100" s="15">
        <f t="shared" si="284"/>
        <v>34</v>
      </c>
      <c r="BJ100" s="15">
        <f t="shared" si="294"/>
        <v>10</v>
      </c>
      <c r="BK100" s="15">
        <f t="shared" si="304"/>
        <v>14</v>
      </c>
      <c r="BL100" s="15">
        <f t="shared" si="314"/>
        <v>11</v>
      </c>
      <c r="BM100" s="15">
        <f t="shared" si="324"/>
        <v>5</v>
      </c>
      <c r="BN100" s="15">
        <v>4</v>
      </c>
      <c r="BO100" s="15">
        <f t="shared" ref="BO100:BO131" si="335">BN98</f>
        <v>3</v>
      </c>
      <c r="BP100" s="15">
        <f t="shared" si="235"/>
        <v>3</v>
      </c>
      <c r="BQ100" s="15">
        <f t="shared" si="245"/>
        <v>3</v>
      </c>
      <c r="BR100" s="15">
        <f t="shared" si="255"/>
        <v>3</v>
      </c>
      <c r="BS100" s="15">
        <f t="shared" si="265"/>
        <v>3</v>
      </c>
      <c r="BT100" s="15">
        <f t="shared" si="275"/>
        <v>3</v>
      </c>
      <c r="BU100" s="15">
        <f t="shared" si="285"/>
        <v>3</v>
      </c>
      <c r="BV100" s="15">
        <f t="shared" si="295"/>
        <v>3</v>
      </c>
      <c r="BW100" s="15">
        <f t="shared" si="305"/>
        <v>3</v>
      </c>
      <c r="BX100" s="15">
        <f t="shared" si="315"/>
        <v>3</v>
      </c>
      <c r="BY100" s="15">
        <f t="shared" si="325"/>
        <v>3</v>
      </c>
      <c r="BZ100" s="15">
        <v>-3.9038499999999998</v>
      </c>
      <c r="CA100" s="15">
        <f t="shared" ref="CA100:CA131" si="336">BZ98</f>
        <v>-2.4672700000000001</v>
      </c>
      <c r="CB100" s="15">
        <f t="shared" si="236"/>
        <v>-11.01667</v>
      </c>
      <c r="CC100" s="15">
        <f t="shared" si="246"/>
        <v>-0.96</v>
      </c>
      <c r="CD100" s="15">
        <f t="shared" si="256"/>
        <v>-12.785</v>
      </c>
      <c r="CE100" s="15">
        <f t="shared" si="266"/>
        <v>-1.50773</v>
      </c>
      <c r="CF100" s="15">
        <f t="shared" si="276"/>
        <v>-8.6440000000000001</v>
      </c>
      <c r="CG100" s="15">
        <f t="shared" si="286"/>
        <v>-2.4997099999999999</v>
      </c>
      <c r="CH100" s="15">
        <f t="shared" si="296"/>
        <v>-2.3690000000000002</v>
      </c>
      <c r="CI100" s="15">
        <f t="shared" si="306"/>
        <v>-3.1114299999999999</v>
      </c>
      <c r="CJ100" s="15">
        <f t="shared" si="316"/>
        <v>-1.7563599999999999</v>
      </c>
      <c r="CK100" s="15">
        <f t="shared" si="326"/>
        <v>-8.8160000000000007</v>
      </c>
      <c r="CL100" s="15">
        <v>3</v>
      </c>
      <c r="CM100" s="15">
        <f t="shared" ref="CM100:CM131" si="337">CL98</f>
        <v>3</v>
      </c>
      <c r="CN100" s="15">
        <f t="shared" si="237"/>
        <v>5</v>
      </c>
      <c r="CO100" s="15">
        <f t="shared" si="247"/>
        <v>3</v>
      </c>
      <c r="CP100" s="15">
        <f t="shared" si="257"/>
        <v>5</v>
      </c>
      <c r="CQ100" s="15">
        <f t="shared" si="267"/>
        <v>3</v>
      </c>
      <c r="CR100" s="15">
        <f t="shared" si="277"/>
        <v>3</v>
      </c>
      <c r="CS100" s="15">
        <f t="shared" si="287"/>
        <v>3</v>
      </c>
      <c r="CT100" s="15">
        <f t="shared" si="297"/>
        <v>3</v>
      </c>
      <c r="CU100" s="15">
        <f t="shared" si="307"/>
        <v>3</v>
      </c>
      <c r="CV100" s="15">
        <f t="shared" si="317"/>
        <v>3</v>
      </c>
      <c r="CW100" s="15">
        <f t="shared" si="327"/>
        <v>3</v>
      </c>
      <c r="CX100" s="15">
        <v>-75.632199999999997</v>
      </c>
      <c r="CY100" s="15">
        <f t="shared" ref="CY100:CY131" si="338">CX98</f>
        <v>-67.936999999999998</v>
      </c>
      <c r="CZ100" s="15">
        <f t="shared" si="238"/>
        <v>-84.813400000000001</v>
      </c>
      <c r="DA100" s="15">
        <f t="shared" si="248"/>
        <v>-43.8309</v>
      </c>
      <c r="DB100" s="15">
        <f t="shared" si="258"/>
        <v>-85.527600000000007</v>
      </c>
      <c r="DC100" s="15">
        <f t="shared" si="268"/>
        <v>-56.445700000000002</v>
      </c>
      <c r="DD100" s="15">
        <f t="shared" si="278"/>
        <v>-83.400899999999993</v>
      </c>
      <c r="DE100" s="15">
        <f t="shared" si="288"/>
        <v>-68.196299999999994</v>
      </c>
      <c r="DF100" s="15">
        <f t="shared" si="298"/>
        <v>-67.114500000000007</v>
      </c>
      <c r="DG100" s="15">
        <f t="shared" si="308"/>
        <v>-72.1828</v>
      </c>
      <c r="DH100" s="15">
        <f t="shared" si="318"/>
        <v>-60.3446</v>
      </c>
      <c r="DI100" s="15">
        <f t="shared" si="328"/>
        <v>-83.528599999999997</v>
      </c>
      <c r="DJ100" s="15" t="s">
        <v>19</v>
      </c>
      <c r="DK100" s="15" t="str">
        <f t="shared" ref="DK100:DK131" si="339">DJ98</f>
        <v>HL</v>
      </c>
      <c r="DL100" s="15" t="str">
        <f t="shared" si="239"/>
        <v>LL</v>
      </c>
      <c r="DM100" s="15" t="str">
        <f t="shared" si="249"/>
        <v>HL</v>
      </c>
      <c r="DN100" s="15" t="str">
        <f t="shared" si="259"/>
        <v>LL</v>
      </c>
      <c r="DO100" s="15" t="str">
        <f t="shared" si="269"/>
        <v>HL</v>
      </c>
      <c r="DP100" s="15" t="str">
        <f t="shared" si="279"/>
        <v>HL</v>
      </c>
      <c r="DQ100" s="15" t="str">
        <f t="shared" si="289"/>
        <v>LL</v>
      </c>
      <c r="DR100" s="15" t="str">
        <f t="shared" si="299"/>
        <v>HL</v>
      </c>
      <c r="DS100" s="15" t="str">
        <f t="shared" si="309"/>
        <v>LL</v>
      </c>
      <c r="DT100" s="15" t="str">
        <f t="shared" si="319"/>
        <v>HL</v>
      </c>
      <c r="DU100" s="15" t="str">
        <f t="shared" si="329"/>
        <v>LL</v>
      </c>
      <c r="DV100" s="15">
        <f>IFERROR((G100-$F100)/$F100*100,"")</f>
        <v>0.88390022292778259</v>
      </c>
      <c r="DW100" s="15">
        <f>IFERROR((H100-$F100)/$F100*100,"")</f>
        <v>0.65675032088089558</v>
      </c>
      <c r="DX100" s="15">
        <f>IFERROR((I100-$F100)/$F100*100,"")</f>
        <v>1.037374180909282</v>
      </c>
      <c r="DY100" s="15">
        <f>IFERROR((J100-$F100)/$F100*100,"")</f>
        <v>0.75385901506451469</v>
      </c>
      <c r="DZ100" s="15">
        <f>IFERROR((K100-$F100)/$F100*100,"")</f>
        <v>1.4407974734851043</v>
      </c>
      <c r="EA100" s="15">
        <f>IFERROR((L100-$F100)/$F100*100,"")</f>
        <v>1.0599625075998116</v>
      </c>
      <c r="EB100" s="15">
        <f>IFERROR((M100-$F100)/$F100*100,"")</f>
        <v>1.0401185570492366</v>
      </c>
      <c r="EC100" s="15">
        <f>IFERROR((N100-$F100)/$F100*100,"")</f>
        <v>1.902485982571098</v>
      </c>
      <c r="ED100" s="15">
        <f>IFERROR((O100-$F100)/$F100*100,"")</f>
        <v>0.33016956022428579</v>
      </c>
      <c r="EE100" s="15">
        <f>IFERROR((P100-$F100)/$F100*100,"")</f>
        <v>0.44247787610619549</v>
      </c>
      <c r="EF100" s="15">
        <f>IFERROR((Q100-$F100)/$F100*100,"")</f>
        <v>-0.76948084847665632</v>
      </c>
      <c r="EG100" s="15" t="str">
        <f>IF(DV100="","",IF(AND(ABS(DV100)&lt;=0.25,$E100="Bottom",DK100="LL"),"EQL",IF(AND(ABS(DV100)&lt;=0.25,$E100="Peak",DK100="HH"),"EQH","")))</f>
        <v/>
      </c>
      <c r="EH100" s="15" t="str">
        <f>IF(DW100="","",IF(AND(ABS(DW100)&lt;=0.25,$E100="Bottom",DL100="LL"),"EQL",IF(AND(ABS(DW100)&lt;=0.25,$E100="Peak",DL100="HH"),"EQH","")))</f>
        <v/>
      </c>
      <c r="EI100" s="15" t="str">
        <f>IF(DX100="","",IF(AND(ABS(DX100)&lt;=0.25,$E100="Bottom",DM100="LL"),"EQL",IF(AND(ABS(DX100)&lt;=0.25,$E100="Peak",DM100="HH"),"EQH","")))</f>
        <v/>
      </c>
      <c r="EJ100" s="15" t="str">
        <f>IF(DY100="","",IF(AND(ABS(DY100)&lt;=0.25,$E100="Bottom",DN100="LL"),"EQL",IF(AND(ABS(DY100)&lt;=0.25,$E100="Peak",DN100="HH"),"EQH","")))</f>
        <v/>
      </c>
      <c r="EK100" s="15" t="str">
        <f>IF(DZ100="","",IF(AND(ABS(DZ100)&lt;=0.25,$E100="Bottom",DO100="LL"),"EQL",IF(AND(ABS(DZ100)&lt;=0.25,$E100="Peak",DO100="HH"),"EQH","")))</f>
        <v/>
      </c>
      <c r="EL100" s="15" t="str">
        <f>IF(EA100="","",IF(AND(ABS(EA100)&lt;=0.25,$E100="Bottom",DP100="LL"),"EQL",IF(AND(ABS(EA100)&lt;=0.25,$E100="Peak",DP100="HH"),"EQH","")))</f>
        <v/>
      </c>
      <c r="EM100" s="15" t="str">
        <f>IF(EB100="","",IF(AND(ABS(EB100)&lt;=0.25,$E100="Bottom",DQ100="LL"),"EQL",IF(AND(ABS(EB100)&lt;=0.25,$E100="Peak",DQ100="HH"),"EQH","")))</f>
        <v/>
      </c>
      <c r="EN100" s="15" t="str">
        <f>IF(EC100="","",IF(AND(ABS(EC100)&lt;=0.25,$E100="Bottom",DR100="LL"),"EQL",IF(AND(ABS(EC100)&lt;=0.25,$E100="Peak",DR100="HH"),"EQH","")))</f>
        <v/>
      </c>
      <c r="EO100" s="15" t="str">
        <f>IF(ED100="","",IF(AND(ABS(ED100)&lt;=0.25,$E100="Bottom",DS100="LL"),"EQL",IF(AND(ABS(ED100)&lt;=0.25,$E100="Peak",DS100="HH"),"EQH","")))</f>
        <v/>
      </c>
      <c r="EP100" s="15" t="str">
        <f>IF(EE100="","",IF(AND(ABS(EE100)&lt;=0.25,$E100="Bottom",DT100="LL"),"EQL",IF(AND(ABS(EE100)&lt;=0.25,$E100="Peak",DT100="HH"),"EQH","")))</f>
        <v/>
      </c>
      <c r="EQ100" s="15" t="str">
        <f>IF(EF100="","",IF(AND(ABS(EF100)&lt;=0.25,$E100="Bottom",DU100="LL"),"EQL",IF(AND(ABS(EF100)&lt;=0.25,$E100="Peak",DU100="HH"),"EQH","")))</f>
        <v/>
      </c>
      <c r="ER100" s="15" t="str">
        <f>IF(OR(EG100="EQL",EG100="EQH"),F100,"")</f>
        <v/>
      </c>
      <c r="ES100" s="15" t="str">
        <f>IF(OR(EH100="EQL",EH100="EQH"),G100,"")</f>
        <v/>
      </c>
      <c r="ET100" s="15" t="str">
        <f>IF(OR(EI100="EQL",EI100="EQH"),H100,"")</f>
        <v/>
      </c>
      <c r="EU100" s="15" t="str">
        <f>IF(OR(EJ100="EQL",EJ100="EQH"),I100,"")</f>
        <v/>
      </c>
      <c r="EV100" s="15" t="str">
        <f>IF(OR(EK100="EQL",EK100="EQH"),J100,"")</f>
        <v/>
      </c>
      <c r="EW100" s="15" t="str">
        <f>IF(OR(EL100="EQL",EL100="EQH"),K100,"")</f>
        <v/>
      </c>
      <c r="EX100" s="15" t="str">
        <f>IF(OR(EM100="EQL",EM100="EQH"),L100,"")</f>
        <v/>
      </c>
      <c r="EY100" s="15" t="str">
        <f>IF(OR(EN100="EQL",EN100="EQH"),M100,"")</f>
        <v/>
      </c>
      <c r="EZ100" s="15" t="str">
        <f>IF(OR(EO100="EQL",EO100="EQH"),N100,"")</f>
        <v/>
      </c>
      <c r="FA100" s="15" t="str">
        <f>IF(OR(EP100="EQL",EP100="EQH"),O100,"")</f>
        <v/>
      </c>
      <c r="FB100" s="15" t="str">
        <f>IF(OR(EQ100="EQL",EQ100="EQH"),P100,"")</f>
        <v/>
      </c>
      <c r="FC100" s="15" t="str">
        <f>IF(AND(EG100="EQL",OR(AQ100=4,AQ100=5)),"IEQL",IF(AND(EG100="EQH",OR(AQ100=1,AQ100=2)),"IEQH",""))</f>
        <v/>
      </c>
      <c r="FD100" s="15" t="str">
        <f>IF(AND(EH100="EQL",OR(AR100=4,AR100=5)),"IEQL",IF(AND(EH100="EQH",OR(AR100=1,AR100=2)),"IEQH",""))</f>
        <v/>
      </c>
      <c r="FE100" s="15" t="str">
        <f>IF(AND(EI100="EQL",OR(AS100=4,AS100=5)),"IEQL",IF(AND(EI100="EQH",OR(AS100=1,AS100=2)),"IEQH",""))</f>
        <v/>
      </c>
      <c r="FF100" s="15" t="str">
        <f>IF(AND(EJ100="EQL",OR(AT100=4,AT100=5)),"IEQL",IF(AND(EJ100="EQH",OR(AT100=1,AT100=2)),"IEQH",""))</f>
        <v/>
      </c>
      <c r="FG100" s="15" t="str">
        <f>IF(AND(EK100="EQL",OR(AU100=4,AU100=5)),"IEQL",IF(AND(EK100="EQH",OR(AU100=1,AU100=2)),"IEQH",""))</f>
        <v/>
      </c>
      <c r="FH100" s="15" t="str">
        <f>IF(AND(EL100="EQL",OR(AV100=4,AV100=5)),"IEQL",IF(AND(EL100="EQH",OR(AV100=1,AV100=2)),"IEQH",""))</f>
        <v/>
      </c>
      <c r="FI100" s="15" t="str">
        <f>IF(AND(EM100="EQL",OR(AW100=4,AW100=5)),"IEQL",IF(AND(EM100="EQH",OR(AW100=1,AW100=2)),"IEQH",""))</f>
        <v/>
      </c>
      <c r="FJ100" s="15" t="str">
        <f>IF(AND(EN100="EQL",OR(AX100=4,AX100=5)),"IEQL",IF(AND(EN100="EQH",OR(AX100=1,AX100=2)),"IEQH",""))</f>
        <v/>
      </c>
      <c r="FK100" s="15" t="str">
        <f>IF(AND(EO100="EQL",OR(AY100=4,AY100=5)),"IEQL",IF(AND(EO100="EQH",OR(AY100=1,AY100=2)),"IEQH",""))</f>
        <v/>
      </c>
      <c r="FL100" s="15" t="str">
        <f>IF(AND(EP100="EQL",OR(AZ100=4,AZ100=5)),"IEQL",IF(AND(EP100="EQH",OR(AZ100=1,AZ100=2)),"IEQH",""))</f>
        <v/>
      </c>
      <c r="FM100" s="15" t="str">
        <f>IF(AND(EQ100="EQL",OR(BA100=4,BA100=5)),"IEQL",IF(AND(EQ100="EQH",OR(BA100=1,BA100=2)),"IEQH",""))</f>
        <v/>
      </c>
      <c r="FN100" s="15">
        <f>IF(OR(AND(DJ100="LL",AP100=5),AND(DJ100="HH",AP100=2)),F100,"")</f>
        <v>4736.96</v>
      </c>
      <c r="FO100" s="15">
        <f>IF(FN100&lt;&gt;"",F99,"")</f>
        <v>4889.21</v>
      </c>
    </row>
    <row r="101" spans="1:171" s="15" customFormat="1" x14ac:dyDescent="0.55000000000000004">
      <c r="A101" s="15">
        <v>1776649506</v>
      </c>
      <c r="B101" s="15" t="s">
        <v>16</v>
      </c>
      <c r="C101" s="15" t="s">
        <v>17</v>
      </c>
      <c r="D101" s="15">
        <v>4807.6000000000004</v>
      </c>
      <c r="E101" s="15" t="s">
        <v>20</v>
      </c>
      <c r="F101" s="15">
        <v>4814.28</v>
      </c>
      <c r="G101" s="15">
        <f t="shared" si="330"/>
        <v>4889.21</v>
      </c>
      <c r="H101" s="15">
        <f t="shared" si="230"/>
        <v>4805.97</v>
      </c>
      <c r="I101" s="15">
        <f t="shared" si="240"/>
        <v>4801.12</v>
      </c>
      <c r="J101" s="15">
        <f t="shared" si="250"/>
        <v>4798.58</v>
      </c>
      <c r="K101" s="15">
        <f t="shared" si="260"/>
        <v>4823.8100000000004</v>
      </c>
      <c r="L101" s="15">
        <f t="shared" si="270"/>
        <v>4838.38</v>
      </c>
      <c r="M101" s="15">
        <f t="shared" si="280"/>
        <v>4830.3900000000003</v>
      </c>
      <c r="N101" s="15">
        <f t="shared" si="290"/>
        <v>4871.22</v>
      </c>
      <c r="O101" s="15">
        <f t="shared" si="300"/>
        <v>4850.7700000000004</v>
      </c>
      <c r="P101" s="15">
        <f t="shared" si="310"/>
        <v>4796.16</v>
      </c>
      <c r="Q101" s="15">
        <f t="shared" si="320"/>
        <v>4777.24</v>
      </c>
      <c r="R101" s="15">
        <v>77.319999999999993</v>
      </c>
      <c r="S101" s="15">
        <f t="shared" si="331"/>
        <v>110.38</v>
      </c>
      <c r="T101" s="15">
        <f t="shared" si="231"/>
        <v>37.9</v>
      </c>
      <c r="U101" s="15">
        <f t="shared" si="241"/>
        <v>15.02</v>
      </c>
      <c r="V101" s="15">
        <f t="shared" si="251"/>
        <v>25.91</v>
      </c>
      <c r="W101" s="15">
        <f t="shared" si="261"/>
        <v>18.600000000000001</v>
      </c>
      <c r="X101" s="15">
        <f t="shared" si="271"/>
        <v>51.21</v>
      </c>
      <c r="Y101" s="15">
        <f t="shared" si="281"/>
        <v>44.16</v>
      </c>
      <c r="Z101" s="15">
        <f t="shared" si="291"/>
        <v>44.14</v>
      </c>
      <c r="AA101" s="15">
        <f t="shared" si="301"/>
        <v>98.17</v>
      </c>
      <c r="AB101" s="15">
        <f t="shared" si="311"/>
        <v>38.24</v>
      </c>
      <c r="AC101" s="15">
        <f t="shared" si="321"/>
        <v>76.73</v>
      </c>
      <c r="AD101" s="15">
        <v>1.63</v>
      </c>
      <c r="AE101" s="15">
        <f t="shared" si="332"/>
        <v>2.31</v>
      </c>
      <c r="AF101" s="15">
        <f t="shared" si="232"/>
        <v>0.79</v>
      </c>
      <c r="AG101" s="15">
        <f t="shared" si="242"/>
        <v>0.31</v>
      </c>
      <c r="AH101" s="15">
        <f t="shared" si="252"/>
        <v>0.54</v>
      </c>
      <c r="AI101" s="15">
        <f t="shared" si="262"/>
        <v>0.39</v>
      </c>
      <c r="AJ101" s="15">
        <f t="shared" si="272"/>
        <v>1.07</v>
      </c>
      <c r="AK101" s="15">
        <f t="shared" si="282"/>
        <v>0.92</v>
      </c>
      <c r="AL101" s="15">
        <f t="shared" si="292"/>
        <v>0.91</v>
      </c>
      <c r="AM101" s="15">
        <f t="shared" si="302"/>
        <v>2.0699999999999998</v>
      </c>
      <c r="AN101" s="15">
        <f t="shared" si="312"/>
        <v>0.8</v>
      </c>
      <c r="AO101" s="15">
        <f t="shared" si="322"/>
        <v>1.63</v>
      </c>
      <c r="AP101" s="15">
        <v>0</v>
      </c>
      <c r="AQ101" s="15">
        <f t="shared" si="333"/>
        <v>0</v>
      </c>
      <c r="AR101" s="15">
        <f t="shared" si="233"/>
        <v>0</v>
      </c>
      <c r="AS101" s="15">
        <f t="shared" si="243"/>
        <v>0</v>
      </c>
      <c r="AT101" s="15">
        <f t="shared" si="253"/>
        <v>0</v>
      </c>
      <c r="AU101" s="15">
        <f t="shared" si="263"/>
        <v>0</v>
      </c>
      <c r="AV101" s="15">
        <f t="shared" si="273"/>
        <v>0</v>
      </c>
      <c r="AW101" s="15">
        <f t="shared" si="283"/>
        <v>0</v>
      </c>
      <c r="AX101" s="15">
        <f t="shared" si="293"/>
        <v>0</v>
      </c>
      <c r="AY101" s="15">
        <f t="shared" si="303"/>
        <v>0</v>
      </c>
      <c r="AZ101" s="15">
        <f t="shared" si="313"/>
        <v>0</v>
      </c>
      <c r="BA101" s="15">
        <f t="shared" si="323"/>
        <v>0</v>
      </c>
      <c r="BB101" s="15">
        <v>8</v>
      </c>
      <c r="BC101" s="15">
        <f t="shared" si="334"/>
        <v>21</v>
      </c>
      <c r="BD101" s="15">
        <f t="shared" si="234"/>
        <v>14</v>
      </c>
      <c r="BE101" s="15">
        <f t="shared" si="244"/>
        <v>3</v>
      </c>
      <c r="BF101" s="15">
        <f t="shared" si="254"/>
        <v>21</v>
      </c>
      <c r="BG101" s="15">
        <f t="shared" si="264"/>
        <v>12</v>
      </c>
      <c r="BH101" s="15">
        <f t="shared" si="274"/>
        <v>50</v>
      </c>
      <c r="BI101" s="15">
        <f t="shared" si="284"/>
        <v>18</v>
      </c>
      <c r="BJ101" s="15">
        <f t="shared" si="294"/>
        <v>3</v>
      </c>
      <c r="BK101" s="15">
        <f t="shared" si="304"/>
        <v>42</v>
      </c>
      <c r="BL101" s="15">
        <f t="shared" si="314"/>
        <v>6</v>
      </c>
      <c r="BM101" s="15">
        <f t="shared" si="324"/>
        <v>43</v>
      </c>
      <c r="BN101" s="15">
        <v>0</v>
      </c>
      <c r="BO101" s="15">
        <f t="shared" si="335"/>
        <v>0</v>
      </c>
      <c r="BP101" s="15">
        <f t="shared" si="235"/>
        <v>0</v>
      </c>
      <c r="BQ101" s="15">
        <f t="shared" si="245"/>
        <v>0</v>
      </c>
      <c r="BR101" s="15">
        <f t="shared" si="255"/>
        <v>0</v>
      </c>
      <c r="BS101" s="15">
        <f t="shared" si="265"/>
        <v>0</v>
      </c>
      <c r="BT101" s="15">
        <f t="shared" si="275"/>
        <v>2</v>
      </c>
      <c r="BU101" s="15">
        <f t="shared" si="285"/>
        <v>0</v>
      </c>
      <c r="BV101" s="15">
        <f t="shared" si="295"/>
        <v>0</v>
      </c>
      <c r="BW101" s="15">
        <f t="shared" si="305"/>
        <v>1</v>
      </c>
      <c r="BX101" s="15">
        <f t="shared" si="315"/>
        <v>0</v>
      </c>
      <c r="BY101" s="15">
        <f t="shared" si="325"/>
        <v>1</v>
      </c>
      <c r="BZ101" s="15">
        <v>9.6649999999999991</v>
      </c>
      <c r="CA101" s="15">
        <f t="shared" si="336"/>
        <v>5.2561900000000001</v>
      </c>
      <c r="CB101" s="15">
        <f t="shared" si="236"/>
        <v>2.7071399999999999</v>
      </c>
      <c r="CC101" s="15">
        <f t="shared" si="246"/>
        <v>5.0066699999999997</v>
      </c>
      <c r="CD101" s="15">
        <f t="shared" si="256"/>
        <v>1.2338100000000001</v>
      </c>
      <c r="CE101" s="15">
        <f t="shared" si="266"/>
        <v>1.55</v>
      </c>
      <c r="CF101" s="15">
        <f t="shared" si="276"/>
        <v>1.0242</v>
      </c>
      <c r="CG101" s="15">
        <f t="shared" si="286"/>
        <v>2.4533299999999998</v>
      </c>
      <c r="CH101" s="15">
        <f t="shared" si="296"/>
        <v>14.713329999999999</v>
      </c>
      <c r="CI101" s="15">
        <f t="shared" si="306"/>
        <v>2.33738</v>
      </c>
      <c r="CJ101" s="15">
        <f t="shared" si="316"/>
        <v>6.3733300000000002</v>
      </c>
      <c r="CK101" s="15">
        <f t="shared" si="326"/>
        <v>1.7844199999999999</v>
      </c>
      <c r="CL101" s="15">
        <v>1</v>
      </c>
      <c r="CM101" s="15">
        <f t="shared" si="337"/>
        <v>0</v>
      </c>
      <c r="CN101" s="15">
        <f t="shared" si="237"/>
        <v>0</v>
      </c>
      <c r="CO101" s="15">
        <f t="shared" si="247"/>
        <v>0</v>
      </c>
      <c r="CP101" s="15">
        <f t="shared" si="257"/>
        <v>0</v>
      </c>
      <c r="CQ101" s="15">
        <f t="shared" si="267"/>
        <v>0</v>
      </c>
      <c r="CR101" s="15">
        <f t="shared" si="277"/>
        <v>0</v>
      </c>
      <c r="CS101" s="15">
        <f t="shared" si="287"/>
        <v>0</v>
      </c>
      <c r="CT101" s="15">
        <f t="shared" si="297"/>
        <v>0</v>
      </c>
      <c r="CU101" s="15">
        <f t="shared" si="307"/>
        <v>0</v>
      </c>
      <c r="CV101" s="15">
        <f t="shared" si="317"/>
        <v>0</v>
      </c>
      <c r="CW101" s="15">
        <f t="shared" si="327"/>
        <v>0</v>
      </c>
      <c r="CX101" s="15">
        <v>84.092799999999997</v>
      </c>
      <c r="CY101" s="15">
        <f t="shared" si="338"/>
        <v>79.228099999999998</v>
      </c>
      <c r="CZ101" s="15">
        <f t="shared" si="238"/>
        <v>69.726100000000002</v>
      </c>
      <c r="DA101" s="15">
        <f t="shared" si="248"/>
        <v>78.704700000000003</v>
      </c>
      <c r="DB101" s="15">
        <f t="shared" si="258"/>
        <v>50.975299999999997</v>
      </c>
      <c r="DC101" s="15">
        <f t="shared" si="268"/>
        <v>57.171500000000002</v>
      </c>
      <c r="DD101" s="15">
        <f t="shared" si="278"/>
        <v>45.685000000000002</v>
      </c>
      <c r="DE101" s="15">
        <f t="shared" si="288"/>
        <v>67.823800000000006</v>
      </c>
      <c r="DF101" s="15">
        <f t="shared" si="298"/>
        <v>86.111800000000002</v>
      </c>
      <c r="DG101" s="15">
        <f t="shared" si="308"/>
        <v>66.837299999999999</v>
      </c>
      <c r="DH101" s="15">
        <f t="shared" si="318"/>
        <v>81.082800000000006</v>
      </c>
      <c r="DI101" s="15">
        <f t="shared" si="328"/>
        <v>60.733400000000003</v>
      </c>
      <c r="DJ101" s="15" t="s">
        <v>21</v>
      </c>
      <c r="DK101" s="15" t="str">
        <f t="shared" si="339"/>
        <v>HH</v>
      </c>
      <c r="DL101" s="15" t="str">
        <f t="shared" si="239"/>
        <v>HH</v>
      </c>
      <c r="DM101" s="15" t="str">
        <f t="shared" si="249"/>
        <v>HH</v>
      </c>
      <c r="DN101" s="15" t="str">
        <f t="shared" si="259"/>
        <v>LH</v>
      </c>
      <c r="DO101" s="15" t="str">
        <f t="shared" si="269"/>
        <v>LH</v>
      </c>
      <c r="DP101" s="15" t="str">
        <f t="shared" si="279"/>
        <v>HH</v>
      </c>
      <c r="DQ101" s="15" t="str">
        <f t="shared" si="289"/>
        <v>LH</v>
      </c>
      <c r="DR101" s="15" t="str">
        <f t="shared" si="299"/>
        <v>HH</v>
      </c>
      <c r="DS101" s="15" t="str">
        <f t="shared" si="309"/>
        <v>HH</v>
      </c>
      <c r="DT101" s="15" t="str">
        <f t="shared" si="319"/>
        <v>HH</v>
      </c>
      <c r="DU101" s="15" t="str">
        <f t="shared" si="329"/>
        <v>HH</v>
      </c>
      <c r="DV101" s="15">
        <f>IFERROR((G101-$F101)/$F101*100,"")</f>
        <v>1.5564113429214814</v>
      </c>
      <c r="DW101" s="15">
        <f>IFERROR((H101-$F101)/$F101*100,"")</f>
        <v>-0.17261148084447708</v>
      </c>
      <c r="DX101" s="15">
        <f>IFERROR((I101-$F101)/$F101*100,"")</f>
        <v>-0.27335344018212182</v>
      </c>
      <c r="DY101" s="15">
        <f>IFERROR((J101-$F101)/$F101*100,"")</f>
        <v>-0.32611314672183211</v>
      </c>
      <c r="DZ101" s="15">
        <f>IFERROR((K101-$F101)/$F101*100,"")</f>
        <v>0.19795275721396877</v>
      </c>
      <c r="EA101" s="15">
        <f>IFERROR((L101-$F101)/$F101*100,"")</f>
        <v>0.50059406598702949</v>
      </c>
      <c r="EB101" s="15">
        <f>IFERROR((M101-$F101)/$F101*100,"")</f>
        <v>0.33462947730502968</v>
      </c>
      <c r="EC101" s="15">
        <f>IFERROR((N101-$F101)/$F101*100,"")</f>
        <v>1.1827313741618792</v>
      </c>
      <c r="ED101" s="15">
        <f>IFERROR((O101-$F101)/$F101*100,"")</f>
        <v>0.75795342190318582</v>
      </c>
      <c r="EE101" s="15">
        <f>IFERROR((P101-$F101)/$F101*100,"")</f>
        <v>-0.37638026870061342</v>
      </c>
      <c r="EF101" s="15">
        <f>IFERROR((Q101-$F101)/$F101*100,"")</f>
        <v>-0.76937776780743883</v>
      </c>
      <c r="EG101" s="15" t="str">
        <f>IF(DV101="","",IF(AND(ABS(DV101)&lt;=0.25,$E101="Bottom",DK101="LL"),"EQL",IF(AND(ABS(DV101)&lt;=0.25,$E101="Peak",DK101="HH"),"EQH","")))</f>
        <v/>
      </c>
      <c r="EH101" s="15" t="str">
        <f>IF(DW101="","",IF(AND(ABS(DW101)&lt;=0.25,$E101="Bottom",DL101="LL"),"EQL",IF(AND(ABS(DW101)&lt;=0.25,$E101="Peak",DL101="HH"),"EQH","")))</f>
        <v>EQH</v>
      </c>
      <c r="EI101" s="15" t="str">
        <f>IF(DX101="","",IF(AND(ABS(DX101)&lt;=0.25,$E101="Bottom",DM101="LL"),"EQL",IF(AND(ABS(DX101)&lt;=0.25,$E101="Peak",DM101="HH"),"EQH","")))</f>
        <v/>
      </c>
      <c r="EJ101" s="15" t="str">
        <f>IF(DY101="","",IF(AND(ABS(DY101)&lt;=0.25,$E101="Bottom",DN101="LL"),"EQL",IF(AND(ABS(DY101)&lt;=0.25,$E101="Peak",DN101="HH"),"EQH","")))</f>
        <v/>
      </c>
      <c r="EK101" s="15" t="str">
        <f>IF(DZ101="","",IF(AND(ABS(DZ101)&lt;=0.25,$E101="Bottom",DO101="LL"),"EQL",IF(AND(ABS(DZ101)&lt;=0.25,$E101="Peak",DO101="HH"),"EQH","")))</f>
        <v/>
      </c>
      <c r="EL101" s="15" t="str">
        <f>IF(EA101="","",IF(AND(ABS(EA101)&lt;=0.25,$E101="Bottom",DP101="LL"),"EQL",IF(AND(ABS(EA101)&lt;=0.25,$E101="Peak",DP101="HH"),"EQH","")))</f>
        <v/>
      </c>
      <c r="EM101" s="15" t="str">
        <f>IF(EB101="","",IF(AND(ABS(EB101)&lt;=0.25,$E101="Bottom",DQ101="LL"),"EQL",IF(AND(ABS(EB101)&lt;=0.25,$E101="Peak",DQ101="HH"),"EQH","")))</f>
        <v/>
      </c>
      <c r="EN101" s="15" t="str">
        <f>IF(EC101="","",IF(AND(ABS(EC101)&lt;=0.25,$E101="Bottom",DR101="LL"),"EQL",IF(AND(ABS(EC101)&lt;=0.25,$E101="Peak",DR101="HH"),"EQH","")))</f>
        <v/>
      </c>
      <c r="EO101" s="15" t="str">
        <f>IF(ED101="","",IF(AND(ABS(ED101)&lt;=0.25,$E101="Bottom",DS101="LL"),"EQL",IF(AND(ABS(ED101)&lt;=0.25,$E101="Peak",DS101="HH"),"EQH","")))</f>
        <v/>
      </c>
      <c r="EP101" s="15" t="str">
        <f>IF(EE101="","",IF(AND(ABS(EE101)&lt;=0.25,$E101="Bottom",DT101="LL"),"EQL",IF(AND(ABS(EE101)&lt;=0.25,$E101="Peak",DT101="HH"),"EQH","")))</f>
        <v/>
      </c>
      <c r="EQ101" s="15" t="str">
        <f>IF(EF101="","",IF(AND(ABS(EF101)&lt;=0.25,$E101="Bottom",DU101="LL"),"EQL",IF(AND(ABS(EF101)&lt;=0.25,$E101="Peak",DU101="HH"),"EQH","")))</f>
        <v/>
      </c>
      <c r="ER101" s="15" t="str">
        <f>IF(OR(EG101="EQL",EG101="EQH"),F101,"")</f>
        <v/>
      </c>
      <c r="ES101" s="15">
        <f>IF(OR(EH101="EQL",EH101="EQH"),G101,"")</f>
        <v>4889.21</v>
      </c>
      <c r="ET101" s="15" t="str">
        <f>IF(OR(EI101="EQL",EI101="EQH"),H101,"")</f>
        <v/>
      </c>
      <c r="EU101" s="15" t="str">
        <f>IF(OR(EJ101="EQL",EJ101="EQH"),I101,"")</f>
        <v/>
      </c>
      <c r="EV101" s="15" t="str">
        <f>IF(OR(EK101="EQL",EK101="EQH"),J101,"")</f>
        <v/>
      </c>
      <c r="EW101" s="15" t="str">
        <f>IF(OR(EL101="EQL",EL101="EQH"),K101,"")</f>
        <v/>
      </c>
      <c r="EX101" s="15" t="str">
        <f>IF(OR(EM101="EQL",EM101="EQH"),L101,"")</f>
        <v/>
      </c>
      <c r="EY101" s="15" t="str">
        <f>IF(OR(EN101="EQL",EN101="EQH"),M101,"")</f>
        <v/>
      </c>
      <c r="EZ101" s="15" t="str">
        <f>IF(OR(EO101="EQL",EO101="EQH"),N101,"")</f>
        <v/>
      </c>
      <c r="FA101" s="15" t="str">
        <f>IF(OR(EP101="EQL",EP101="EQH"),O101,"")</f>
        <v/>
      </c>
      <c r="FB101" s="15" t="str">
        <f>IF(OR(EQ101="EQL",EQ101="EQH"),P101,"")</f>
        <v/>
      </c>
      <c r="FC101" s="15" t="str">
        <f>IF(AND(EG101="EQL",OR(AQ101=4,AQ101=5)),"IEQL",IF(AND(EG101="EQH",OR(AQ101=1,AQ101=2)),"IEQH",""))</f>
        <v/>
      </c>
      <c r="FD101" s="15" t="str">
        <f>IF(AND(EH101="EQL",OR(AR101=4,AR101=5)),"IEQL",IF(AND(EH101="EQH",OR(AR101=1,AR101=2)),"IEQH",""))</f>
        <v/>
      </c>
      <c r="FE101" s="15" t="str">
        <f>IF(AND(EI101="EQL",OR(AS101=4,AS101=5)),"IEQL",IF(AND(EI101="EQH",OR(AS101=1,AS101=2)),"IEQH",""))</f>
        <v/>
      </c>
      <c r="FF101" s="15" t="str">
        <f>IF(AND(EJ101="EQL",OR(AT101=4,AT101=5)),"IEQL",IF(AND(EJ101="EQH",OR(AT101=1,AT101=2)),"IEQH",""))</f>
        <v/>
      </c>
      <c r="FG101" s="15" t="str">
        <f>IF(AND(EK101="EQL",OR(AU101=4,AU101=5)),"IEQL",IF(AND(EK101="EQH",OR(AU101=1,AU101=2)),"IEQH",""))</f>
        <v/>
      </c>
      <c r="FH101" s="15" t="str">
        <f>IF(AND(EL101="EQL",OR(AV101=4,AV101=5)),"IEQL",IF(AND(EL101="EQH",OR(AV101=1,AV101=2)),"IEQH",""))</f>
        <v/>
      </c>
      <c r="FI101" s="15" t="str">
        <f>IF(AND(EM101="EQL",OR(AW101=4,AW101=5)),"IEQL",IF(AND(EM101="EQH",OR(AW101=1,AW101=2)),"IEQH",""))</f>
        <v/>
      </c>
      <c r="FJ101" s="15" t="str">
        <f>IF(AND(EN101="EQL",OR(AX101=4,AX101=5)),"IEQL",IF(AND(EN101="EQH",OR(AX101=1,AX101=2)),"IEQH",""))</f>
        <v/>
      </c>
      <c r="FK101" s="15" t="str">
        <f>IF(AND(EO101="EQL",OR(AY101=4,AY101=5)),"IEQL",IF(AND(EO101="EQH",OR(AY101=1,AY101=2)),"IEQH",""))</f>
        <v/>
      </c>
      <c r="FL101" s="15" t="str">
        <f>IF(AND(EP101="EQL",OR(AZ101=4,AZ101=5)),"IEQL",IF(AND(EP101="EQH",OR(AZ101=1,AZ101=2)),"IEQH",""))</f>
        <v/>
      </c>
      <c r="FM101" s="15" t="str">
        <f>IF(AND(EQ101="EQL",OR(BA101=4,BA101=5)),"IEQL",IF(AND(EQ101="EQH",OR(BA101=1,BA101=2)),"IEQH",""))</f>
        <v/>
      </c>
      <c r="FN101" s="15" t="str">
        <f>IF(OR(AND(DJ101="LL",AP101=5),AND(DJ101="HH",AP101=2)),F101,"")</f>
        <v/>
      </c>
      <c r="FO101" s="15" t="str">
        <f>IF(FN101&lt;&gt;"",F100,"")</f>
        <v/>
      </c>
    </row>
    <row r="102" spans="1:171" s="15" customFormat="1" x14ac:dyDescent="0.55000000000000004">
      <c r="A102" s="15">
        <v>1776663006</v>
      </c>
      <c r="B102" s="15" t="s">
        <v>16</v>
      </c>
      <c r="C102" s="15" t="s">
        <v>17</v>
      </c>
      <c r="D102" s="15">
        <v>4780.97</v>
      </c>
      <c r="E102" s="15" t="s">
        <v>18</v>
      </c>
      <c r="F102" s="15">
        <v>4779.8</v>
      </c>
      <c r="G102" s="15">
        <f t="shared" si="330"/>
        <v>4736.96</v>
      </c>
      <c r="H102" s="15">
        <f t="shared" ref="H102:H133" si="340">F98</f>
        <v>4778.83</v>
      </c>
      <c r="I102" s="15">
        <f t="shared" si="240"/>
        <v>4768.07</v>
      </c>
      <c r="J102" s="15">
        <f t="shared" si="250"/>
        <v>4786.1000000000004</v>
      </c>
      <c r="K102" s="15">
        <f t="shared" si="260"/>
        <v>4772.67</v>
      </c>
      <c r="L102" s="15">
        <f t="shared" si="270"/>
        <v>4805.21</v>
      </c>
      <c r="M102" s="15">
        <f t="shared" si="280"/>
        <v>4787.17</v>
      </c>
      <c r="N102" s="15">
        <f t="shared" si="290"/>
        <v>4786.2299999999996</v>
      </c>
      <c r="O102" s="15">
        <f t="shared" si="300"/>
        <v>4827.08</v>
      </c>
      <c r="P102" s="15">
        <f t="shared" si="310"/>
        <v>4752.6000000000004</v>
      </c>
      <c r="Q102" s="15">
        <f t="shared" si="320"/>
        <v>4757.92</v>
      </c>
      <c r="R102" s="15">
        <v>-34.479999999999997</v>
      </c>
      <c r="S102" s="15">
        <f t="shared" si="331"/>
        <v>-152.25</v>
      </c>
      <c r="T102" s="15">
        <f t="shared" ref="T102:T133" si="341">R98</f>
        <v>-27.14</v>
      </c>
      <c r="U102" s="15">
        <f t="shared" si="241"/>
        <v>-33.049999999999997</v>
      </c>
      <c r="V102" s="15">
        <f t="shared" si="251"/>
        <v>-12.48</v>
      </c>
      <c r="W102" s="15">
        <f t="shared" si="261"/>
        <v>-51.14</v>
      </c>
      <c r="X102" s="15">
        <f t="shared" si="271"/>
        <v>-33.17</v>
      </c>
      <c r="Y102" s="15">
        <f t="shared" si="281"/>
        <v>-43.22</v>
      </c>
      <c r="Z102" s="15">
        <f t="shared" si="291"/>
        <v>-84.99</v>
      </c>
      <c r="AA102" s="15">
        <f t="shared" si="301"/>
        <v>-23.69</v>
      </c>
      <c r="AB102" s="15">
        <f t="shared" si="311"/>
        <v>-43.56</v>
      </c>
      <c r="AC102" s="15">
        <f t="shared" si="321"/>
        <v>-19.32</v>
      </c>
      <c r="AD102" s="15">
        <v>-0.72</v>
      </c>
      <c r="AE102" s="15">
        <f t="shared" si="332"/>
        <v>-3.11</v>
      </c>
      <c r="AF102" s="15">
        <f t="shared" ref="AF102:AF133" si="342">AD98</f>
        <v>-0.56000000000000005</v>
      </c>
      <c r="AG102" s="15">
        <f t="shared" si="242"/>
        <v>-0.69</v>
      </c>
      <c r="AH102" s="15">
        <f t="shared" si="252"/>
        <v>-0.26</v>
      </c>
      <c r="AI102" s="15">
        <f t="shared" si="262"/>
        <v>-1.06</v>
      </c>
      <c r="AJ102" s="15">
        <f t="shared" si="272"/>
        <v>-0.69</v>
      </c>
      <c r="AK102" s="15">
        <f t="shared" si="282"/>
        <v>-0.89</v>
      </c>
      <c r="AL102" s="15">
        <f t="shared" si="292"/>
        <v>-1.74</v>
      </c>
      <c r="AM102" s="15">
        <f t="shared" si="302"/>
        <v>-0.49</v>
      </c>
      <c r="AN102" s="15">
        <f t="shared" si="312"/>
        <v>-0.91</v>
      </c>
      <c r="AO102" s="15">
        <f t="shared" si="322"/>
        <v>-0.4</v>
      </c>
      <c r="AP102" s="15">
        <v>3</v>
      </c>
      <c r="AQ102" s="15">
        <f t="shared" si="333"/>
        <v>5</v>
      </c>
      <c r="AR102" s="15">
        <f t="shared" ref="AR102:AR133" si="343">AP98</f>
        <v>3</v>
      </c>
      <c r="AS102" s="15">
        <f t="shared" si="243"/>
        <v>3</v>
      </c>
      <c r="AT102" s="15">
        <f t="shared" si="253"/>
        <v>3</v>
      </c>
      <c r="AU102" s="15">
        <f t="shared" si="263"/>
        <v>3</v>
      </c>
      <c r="AV102" s="15">
        <f t="shared" si="273"/>
        <v>3</v>
      </c>
      <c r="AW102" s="15">
        <f t="shared" si="283"/>
        <v>3</v>
      </c>
      <c r="AX102" s="15">
        <f t="shared" si="293"/>
        <v>3</v>
      </c>
      <c r="AY102" s="15">
        <f t="shared" si="303"/>
        <v>3</v>
      </c>
      <c r="AZ102" s="15">
        <f t="shared" si="313"/>
        <v>3</v>
      </c>
      <c r="BA102" s="15">
        <f t="shared" si="323"/>
        <v>3</v>
      </c>
      <c r="BB102" s="15">
        <v>15</v>
      </c>
      <c r="BC102" s="15">
        <f t="shared" si="334"/>
        <v>39</v>
      </c>
      <c r="BD102" s="15">
        <f t="shared" ref="BD102:BD133" si="344">BB98</f>
        <v>11</v>
      </c>
      <c r="BE102" s="15">
        <f t="shared" si="244"/>
        <v>3</v>
      </c>
      <c r="BF102" s="15">
        <f t="shared" si="254"/>
        <v>13</v>
      </c>
      <c r="BG102" s="15">
        <f t="shared" si="264"/>
        <v>4</v>
      </c>
      <c r="BH102" s="15">
        <f t="shared" si="274"/>
        <v>22</v>
      </c>
      <c r="BI102" s="15">
        <f t="shared" si="284"/>
        <v>5</v>
      </c>
      <c r="BJ102" s="15">
        <f t="shared" si="294"/>
        <v>34</v>
      </c>
      <c r="BK102" s="15">
        <f t="shared" si="304"/>
        <v>10</v>
      </c>
      <c r="BL102" s="15">
        <f t="shared" si="314"/>
        <v>14</v>
      </c>
      <c r="BM102" s="15">
        <f t="shared" si="324"/>
        <v>11</v>
      </c>
      <c r="BN102" s="15">
        <v>3</v>
      </c>
      <c r="BO102" s="15">
        <f t="shared" si="335"/>
        <v>4</v>
      </c>
      <c r="BP102" s="15">
        <f t="shared" ref="BP102:BP133" si="345">BN98</f>
        <v>3</v>
      </c>
      <c r="BQ102" s="15">
        <f t="shared" si="245"/>
        <v>3</v>
      </c>
      <c r="BR102" s="15">
        <f t="shared" si="255"/>
        <v>3</v>
      </c>
      <c r="BS102" s="15">
        <f t="shared" si="265"/>
        <v>3</v>
      </c>
      <c r="BT102" s="15">
        <f t="shared" si="275"/>
        <v>3</v>
      </c>
      <c r="BU102" s="15">
        <f t="shared" si="285"/>
        <v>3</v>
      </c>
      <c r="BV102" s="15">
        <f t="shared" si="295"/>
        <v>3</v>
      </c>
      <c r="BW102" s="15">
        <f t="shared" si="305"/>
        <v>3</v>
      </c>
      <c r="BX102" s="15">
        <f t="shared" si="315"/>
        <v>3</v>
      </c>
      <c r="BY102" s="15">
        <f t="shared" si="325"/>
        <v>3</v>
      </c>
      <c r="BZ102" s="15">
        <v>-2.29867</v>
      </c>
      <c r="CA102" s="15">
        <f t="shared" si="336"/>
        <v>-3.9038499999999998</v>
      </c>
      <c r="CB102" s="15">
        <f t="shared" ref="CB102:CB133" si="346">BZ98</f>
        <v>-2.4672700000000001</v>
      </c>
      <c r="CC102" s="15">
        <f t="shared" si="246"/>
        <v>-11.01667</v>
      </c>
      <c r="CD102" s="15">
        <f t="shared" si="256"/>
        <v>-0.96</v>
      </c>
      <c r="CE102" s="15">
        <f t="shared" si="266"/>
        <v>-12.785</v>
      </c>
      <c r="CF102" s="15">
        <f t="shared" si="276"/>
        <v>-1.50773</v>
      </c>
      <c r="CG102" s="15">
        <f t="shared" si="286"/>
        <v>-8.6440000000000001</v>
      </c>
      <c r="CH102" s="15">
        <f t="shared" si="296"/>
        <v>-2.4997099999999999</v>
      </c>
      <c r="CI102" s="15">
        <f t="shared" si="306"/>
        <v>-2.3690000000000002</v>
      </c>
      <c r="CJ102" s="15">
        <f t="shared" si="316"/>
        <v>-3.1114299999999999</v>
      </c>
      <c r="CK102" s="15">
        <f t="shared" si="326"/>
        <v>-1.7563599999999999</v>
      </c>
      <c r="CL102" s="15">
        <v>3</v>
      </c>
      <c r="CM102" s="15">
        <f t="shared" si="337"/>
        <v>3</v>
      </c>
      <c r="CN102" s="15">
        <f t="shared" ref="CN102:CN133" si="347">CL98</f>
        <v>3</v>
      </c>
      <c r="CO102" s="15">
        <f t="shared" si="247"/>
        <v>5</v>
      </c>
      <c r="CP102" s="15">
        <f t="shared" si="257"/>
        <v>3</v>
      </c>
      <c r="CQ102" s="15">
        <f t="shared" si="267"/>
        <v>5</v>
      </c>
      <c r="CR102" s="15">
        <f t="shared" si="277"/>
        <v>3</v>
      </c>
      <c r="CS102" s="15">
        <f t="shared" si="287"/>
        <v>3</v>
      </c>
      <c r="CT102" s="15">
        <f t="shared" si="297"/>
        <v>3</v>
      </c>
      <c r="CU102" s="15">
        <f t="shared" si="307"/>
        <v>3</v>
      </c>
      <c r="CV102" s="15">
        <f t="shared" si="317"/>
        <v>3</v>
      </c>
      <c r="CW102" s="15">
        <f t="shared" si="327"/>
        <v>3</v>
      </c>
      <c r="CX102" s="15">
        <v>-66.4893</v>
      </c>
      <c r="CY102" s="15">
        <f t="shared" si="338"/>
        <v>-75.632199999999997</v>
      </c>
      <c r="CZ102" s="15">
        <f t="shared" ref="CZ102:CZ133" si="348">CX98</f>
        <v>-67.936999999999998</v>
      </c>
      <c r="DA102" s="15">
        <f t="shared" si="248"/>
        <v>-84.813400000000001</v>
      </c>
      <c r="DB102" s="15">
        <f t="shared" si="258"/>
        <v>-43.8309</v>
      </c>
      <c r="DC102" s="15">
        <f t="shared" si="268"/>
        <v>-85.527600000000007</v>
      </c>
      <c r="DD102" s="15">
        <f t="shared" si="278"/>
        <v>-56.445700000000002</v>
      </c>
      <c r="DE102" s="15">
        <f t="shared" si="288"/>
        <v>-83.400899999999993</v>
      </c>
      <c r="DF102" s="15">
        <f t="shared" si="298"/>
        <v>-68.196299999999994</v>
      </c>
      <c r="DG102" s="15">
        <f t="shared" si="308"/>
        <v>-67.114500000000007</v>
      </c>
      <c r="DH102" s="15">
        <f t="shared" si="318"/>
        <v>-72.1828</v>
      </c>
      <c r="DI102" s="15">
        <f t="shared" si="328"/>
        <v>-60.3446</v>
      </c>
      <c r="DJ102" s="15" t="s">
        <v>22</v>
      </c>
      <c r="DK102" s="15" t="str">
        <f t="shared" si="339"/>
        <v>LL</v>
      </c>
      <c r="DL102" s="15" t="str">
        <f t="shared" ref="DL102:DL133" si="349">DJ98</f>
        <v>HL</v>
      </c>
      <c r="DM102" s="15" t="str">
        <f t="shared" si="249"/>
        <v>LL</v>
      </c>
      <c r="DN102" s="15" t="str">
        <f t="shared" si="259"/>
        <v>HL</v>
      </c>
      <c r="DO102" s="15" t="str">
        <f t="shared" si="269"/>
        <v>LL</v>
      </c>
      <c r="DP102" s="15" t="str">
        <f t="shared" si="279"/>
        <v>HL</v>
      </c>
      <c r="DQ102" s="15" t="str">
        <f t="shared" si="289"/>
        <v>HL</v>
      </c>
      <c r="DR102" s="15" t="str">
        <f t="shared" si="299"/>
        <v>LL</v>
      </c>
      <c r="DS102" s="15" t="str">
        <f t="shared" si="309"/>
        <v>HL</v>
      </c>
      <c r="DT102" s="15" t="str">
        <f t="shared" si="319"/>
        <v>LL</v>
      </c>
      <c r="DU102" s="15" t="str">
        <f t="shared" si="329"/>
        <v>HL</v>
      </c>
      <c r="DV102" s="15">
        <f>IFERROR((G102-$F102)/$F102*100,"")</f>
        <v>-0.89627181053600868</v>
      </c>
      <c r="DW102" s="15">
        <f>IFERROR((H102-$F102)/$F102*100,"")</f>
        <v>-2.0293736139592757E-2</v>
      </c>
      <c r="DX102" s="15">
        <f>IFERROR((I102-$F102)/$F102*100,"")</f>
        <v>-0.24540775764677336</v>
      </c>
      <c r="DY102" s="15">
        <f>IFERROR((J102-$F102)/$F102*100,"")</f>
        <v>0.13180467802000462</v>
      </c>
      <c r="DZ102" s="15">
        <f>IFERROR((K102-$F102)/$F102*100,"")</f>
        <v>-0.14916942131470162</v>
      </c>
      <c r="EA102" s="15">
        <f>IFERROR((L102-$F102)/$F102*100,"")</f>
        <v>0.53161220134733367</v>
      </c>
      <c r="EB102" s="15">
        <f>IFERROR((M102-$F102)/$F102*100,"")</f>
        <v>0.1541905519059352</v>
      </c>
      <c r="EC102" s="15">
        <f>IFERROR((N102-$F102)/$F102*100,"")</f>
        <v>0.13452445709024188</v>
      </c>
      <c r="ED102" s="15">
        <f>IFERROR((O102-$F102)/$F102*100,"")</f>
        <v>0.98916272647390568</v>
      </c>
      <c r="EE102" s="15">
        <f>IFERROR((P102-$F102)/$F102*100,"")</f>
        <v>-0.5690614670069839</v>
      </c>
      <c r="EF102" s="15">
        <f>IFERROR((Q102-$F102)/$F102*100,"")</f>
        <v>-0.45775973890121152</v>
      </c>
      <c r="EG102" s="15" t="str">
        <f>IF(DV102="","",IF(AND(ABS(DV102)&lt;=0.25,$E102="Bottom",DK102="LL"),"EQL",IF(AND(ABS(DV102)&lt;=0.25,$E102="Peak",DK102="HH"),"EQH","")))</f>
        <v/>
      </c>
      <c r="EH102" s="15" t="str">
        <f>IF(DW102="","",IF(AND(ABS(DW102)&lt;=0.25,$E102="Bottom",DL102="LL"),"EQL",IF(AND(ABS(DW102)&lt;=0.25,$E102="Peak",DL102="HH"),"EQH","")))</f>
        <v/>
      </c>
      <c r="EI102" s="15" t="str">
        <f>IF(DX102="","",IF(AND(ABS(DX102)&lt;=0.25,$E102="Bottom",DM102="LL"),"EQL",IF(AND(ABS(DX102)&lt;=0.25,$E102="Peak",DM102="HH"),"EQH","")))</f>
        <v>EQL</v>
      </c>
      <c r="EJ102" s="15" t="str">
        <f>IF(DY102="","",IF(AND(ABS(DY102)&lt;=0.25,$E102="Bottom",DN102="LL"),"EQL",IF(AND(ABS(DY102)&lt;=0.25,$E102="Peak",DN102="HH"),"EQH","")))</f>
        <v/>
      </c>
      <c r="EK102" s="15" t="str">
        <f>IF(DZ102="","",IF(AND(ABS(DZ102)&lt;=0.25,$E102="Bottom",DO102="LL"),"EQL",IF(AND(ABS(DZ102)&lt;=0.25,$E102="Peak",DO102="HH"),"EQH","")))</f>
        <v>EQL</v>
      </c>
      <c r="EL102" s="15" t="str">
        <f>IF(EA102="","",IF(AND(ABS(EA102)&lt;=0.25,$E102="Bottom",DP102="LL"),"EQL",IF(AND(ABS(EA102)&lt;=0.25,$E102="Peak",DP102="HH"),"EQH","")))</f>
        <v/>
      </c>
      <c r="EM102" s="15" t="str">
        <f>IF(EB102="","",IF(AND(ABS(EB102)&lt;=0.25,$E102="Bottom",DQ102="LL"),"EQL",IF(AND(ABS(EB102)&lt;=0.25,$E102="Peak",DQ102="HH"),"EQH","")))</f>
        <v/>
      </c>
      <c r="EN102" s="15" t="str">
        <f>IF(EC102="","",IF(AND(ABS(EC102)&lt;=0.25,$E102="Bottom",DR102="LL"),"EQL",IF(AND(ABS(EC102)&lt;=0.25,$E102="Peak",DR102="HH"),"EQH","")))</f>
        <v>EQL</v>
      </c>
      <c r="EO102" s="15" t="str">
        <f>IF(ED102="","",IF(AND(ABS(ED102)&lt;=0.25,$E102="Bottom",DS102="LL"),"EQL",IF(AND(ABS(ED102)&lt;=0.25,$E102="Peak",DS102="HH"),"EQH","")))</f>
        <v/>
      </c>
      <c r="EP102" s="15" t="str">
        <f>IF(EE102="","",IF(AND(ABS(EE102)&lt;=0.25,$E102="Bottom",DT102="LL"),"EQL",IF(AND(ABS(EE102)&lt;=0.25,$E102="Peak",DT102="HH"),"EQH","")))</f>
        <v/>
      </c>
      <c r="EQ102" s="15" t="str">
        <f>IF(EF102="","",IF(AND(ABS(EF102)&lt;=0.25,$E102="Bottom",DU102="LL"),"EQL",IF(AND(ABS(EF102)&lt;=0.25,$E102="Peak",DU102="HH"),"EQH","")))</f>
        <v/>
      </c>
      <c r="ER102" s="15" t="str">
        <f>IF(OR(EG102="EQL",EG102="EQH"),F102,"")</f>
        <v/>
      </c>
      <c r="ES102" s="15" t="str">
        <f>IF(OR(EH102="EQL",EH102="EQH"),G102,"")</f>
        <v/>
      </c>
      <c r="ET102" s="15">
        <f>IF(OR(EI102="EQL",EI102="EQH"),H102,"")</f>
        <v>4778.83</v>
      </c>
      <c r="EU102" s="15" t="str">
        <f>IF(OR(EJ102="EQL",EJ102="EQH"),I102,"")</f>
        <v/>
      </c>
      <c r="EV102" s="15">
        <f>IF(OR(EK102="EQL",EK102="EQH"),J102,"")</f>
        <v>4786.1000000000004</v>
      </c>
      <c r="EW102" s="15" t="str">
        <f>IF(OR(EL102="EQL",EL102="EQH"),K102,"")</f>
        <v/>
      </c>
      <c r="EX102" s="15" t="str">
        <f>IF(OR(EM102="EQL",EM102="EQH"),L102,"")</f>
        <v/>
      </c>
      <c r="EY102" s="15">
        <f>IF(OR(EN102="EQL",EN102="EQH"),M102,"")</f>
        <v>4787.17</v>
      </c>
      <c r="EZ102" s="15" t="str">
        <f>IF(OR(EO102="EQL",EO102="EQH"),N102,"")</f>
        <v/>
      </c>
      <c r="FA102" s="15" t="str">
        <f>IF(OR(EP102="EQL",EP102="EQH"),O102,"")</f>
        <v/>
      </c>
      <c r="FB102" s="15" t="str">
        <f>IF(OR(EQ102="EQL",EQ102="EQH"),P102,"")</f>
        <v/>
      </c>
      <c r="FC102" s="15" t="str">
        <f>IF(AND(EG102="EQL",OR(AQ102=4,AQ102=5)),"IEQL",IF(AND(EG102="EQH",OR(AQ102=1,AQ102=2)),"IEQH",""))</f>
        <v/>
      </c>
      <c r="FD102" s="15" t="str">
        <f>IF(AND(EH102="EQL",OR(AR102=4,AR102=5)),"IEQL",IF(AND(EH102="EQH",OR(AR102=1,AR102=2)),"IEQH",""))</f>
        <v/>
      </c>
      <c r="FE102" s="15" t="str">
        <f>IF(AND(EI102="EQL",OR(AS102=4,AS102=5)),"IEQL",IF(AND(EI102="EQH",OR(AS102=1,AS102=2)),"IEQH",""))</f>
        <v/>
      </c>
      <c r="FF102" s="15" t="str">
        <f>IF(AND(EJ102="EQL",OR(AT102=4,AT102=5)),"IEQL",IF(AND(EJ102="EQH",OR(AT102=1,AT102=2)),"IEQH",""))</f>
        <v/>
      </c>
      <c r="FG102" s="15" t="str">
        <f>IF(AND(EK102="EQL",OR(AU102=4,AU102=5)),"IEQL",IF(AND(EK102="EQH",OR(AU102=1,AU102=2)),"IEQH",""))</f>
        <v/>
      </c>
      <c r="FH102" s="15" t="str">
        <f>IF(AND(EL102="EQL",OR(AV102=4,AV102=5)),"IEQL",IF(AND(EL102="EQH",OR(AV102=1,AV102=2)),"IEQH",""))</f>
        <v/>
      </c>
      <c r="FI102" s="15" t="str">
        <f>IF(AND(EM102="EQL",OR(AW102=4,AW102=5)),"IEQL",IF(AND(EM102="EQH",OR(AW102=1,AW102=2)),"IEQH",""))</f>
        <v/>
      </c>
      <c r="FJ102" s="15" t="str">
        <f>IF(AND(EN102="EQL",OR(AX102=4,AX102=5)),"IEQL",IF(AND(EN102="EQH",OR(AX102=1,AX102=2)),"IEQH",""))</f>
        <v/>
      </c>
      <c r="FK102" s="15" t="str">
        <f>IF(AND(EO102="EQL",OR(AY102=4,AY102=5)),"IEQL",IF(AND(EO102="EQH",OR(AY102=1,AY102=2)),"IEQH",""))</f>
        <v/>
      </c>
      <c r="FL102" s="15" t="str">
        <f>IF(AND(EP102="EQL",OR(AZ102=4,AZ102=5)),"IEQL",IF(AND(EP102="EQH",OR(AZ102=1,AZ102=2)),"IEQH",""))</f>
        <v/>
      </c>
      <c r="FM102" s="15" t="str">
        <f>IF(AND(EQ102="EQL",OR(BA102=4,BA102=5)),"IEQL",IF(AND(EQ102="EQH",OR(BA102=1,BA102=2)),"IEQH",""))</f>
        <v/>
      </c>
      <c r="FN102" s="15" t="str">
        <f>IF(OR(AND(DJ102="LL",AP102=5),AND(DJ102="HH",AP102=2)),F102,"")</f>
        <v/>
      </c>
      <c r="FO102" s="15" t="str">
        <f>IF(FN102&lt;&gt;"",F101,"")</f>
        <v/>
      </c>
    </row>
    <row r="103" spans="1:171" s="15" customFormat="1" x14ac:dyDescent="0.55000000000000004">
      <c r="A103" s="15">
        <v>1776669306</v>
      </c>
      <c r="B103" s="15" t="s">
        <v>16</v>
      </c>
      <c r="C103" s="15" t="s">
        <v>17</v>
      </c>
      <c r="D103" s="15">
        <v>4797.92</v>
      </c>
      <c r="E103" s="15" t="s">
        <v>20</v>
      </c>
      <c r="F103" s="15">
        <v>4805.79</v>
      </c>
      <c r="G103" s="15">
        <f t="shared" si="330"/>
        <v>4814.28</v>
      </c>
      <c r="H103" s="15">
        <f t="shared" si="340"/>
        <v>4889.21</v>
      </c>
      <c r="I103" s="15">
        <f t="shared" si="240"/>
        <v>4805.97</v>
      </c>
      <c r="J103" s="15">
        <f t="shared" si="250"/>
        <v>4801.12</v>
      </c>
      <c r="K103" s="15">
        <f t="shared" si="260"/>
        <v>4798.58</v>
      </c>
      <c r="L103" s="15">
        <f t="shared" si="270"/>
        <v>4823.8100000000004</v>
      </c>
      <c r="M103" s="15">
        <f t="shared" si="280"/>
        <v>4838.38</v>
      </c>
      <c r="N103" s="15">
        <f t="shared" si="290"/>
        <v>4830.3900000000003</v>
      </c>
      <c r="O103" s="15">
        <f t="shared" si="300"/>
        <v>4871.22</v>
      </c>
      <c r="P103" s="15">
        <f t="shared" si="310"/>
        <v>4850.7700000000004</v>
      </c>
      <c r="Q103" s="15">
        <f t="shared" si="320"/>
        <v>4796.16</v>
      </c>
      <c r="R103" s="15">
        <v>25.99</v>
      </c>
      <c r="S103" s="15">
        <f t="shared" si="331"/>
        <v>77.319999999999993</v>
      </c>
      <c r="T103" s="15">
        <f t="shared" si="341"/>
        <v>110.38</v>
      </c>
      <c r="U103" s="15">
        <f t="shared" si="241"/>
        <v>37.9</v>
      </c>
      <c r="V103" s="15">
        <f t="shared" si="251"/>
        <v>15.02</v>
      </c>
      <c r="W103" s="15">
        <f t="shared" si="261"/>
        <v>25.91</v>
      </c>
      <c r="X103" s="15">
        <f t="shared" si="271"/>
        <v>18.600000000000001</v>
      </c>
      <c r="Y103" s="15">
        <f t="shared" si="281"/>
        <v>51.21</v>
      </c>
      <c r="Z103" s="15">
        <f t="shared" si="291"/>
        <v>44.16</v>
      </c>
      <c r="AA103" s="15">
        <f t="shared" si="301"/>
        <v>44.14</v>
      </c>
      <c r="AB103" s="15">
        <f t="shared" si="311"/>
        <v>98.17</v>
      </c>
      <c r="AC103" s="15">
        <f t="shared" si="321"/>
        <v>38.24</v>
      </c>
      <c r="AD103" s="15">
        <v>0.54</v>
      </c>
      <c r="AE103" s="15">
        <f t="shared" si="332"/>
        <v>1.63</v>
      </c>
      <c r="AF103" s="15">
        <f t="shared" si="342"/>
        <v>2.31</v>
      </c>
      <c r="AG103" s="15">
        <f t="shared" si="242"/>
        <v>0.79</v>
      </c>
      <c r="AH103" s="15">
        <f t="shared" si="252"/>
        <v>0.31</v>
      </c>
      <c r="AI103" s="15">
        <f t="shared" si="262"/>
        <v>0.54</v>
      </c>
      <c r="AJ103" s="15">
        <f t="shared" si="272"/>
        <v>0.39</v>
      </c>
      <c r="AK103" s="15">
        <f t="shared" si="282"/>
        <v>1.07</v>
      </c>
      <c r="AL103" s="15">
        <f t="shared" si="292"/>
        <v>0.92</v>
      </c>
      <c r="AM103" s="15">
        <f t="shared" si="302"/>
        <v>0.91</v>
      </c>
      <c r="AN103" s="15">
        <f t="shared" si="312"/>
        <v>2.0699999999999998</v>
      </c>
      <c r="AO103" s="15">
        <f t="shared" si="322"/>
        <v>0.8</v>
      </c>
      <c r="AP103" s="15">
        <v>0</v>
      </c>
      <c r="AQ103" s="15">
        <f t="shared" si="333"/>
        <v>0</v>
      </c>
      <c r="AR103" s="15">
        <f t="shared" si="343"/>
        <v>0</v>
      </c>
      <c r="AS103" s="15">
        <f t="shared" si="243"/>
        <v>0</v>
      </c>
      <c r="AT103" s="15">
        <f t="shared" si="253"/>
        <v>0</v>
      </c>
      <c r="AU103" s="15">
        <f t="shared" si="263"/>
        <v>0</v>
      </c>
      <c r="AV103" s="15">
        <f t="shared" si="273"/>
        <v>0</v>
      </c>
      <c r="AW103" s="15">
        <f t="shared" si="283"/>
        <v>0</v>
      </c>
      <c r="AX103" s="15">
        <f t="shared" si="293"/>
        <v>0</v>
      </c>
      <c r="AY103" s="15">
        <f t="shared" si="303"/>
        <v>0</v>
      </c>
      <c r="AZ103" s="15">
        <f t="shared" si="313"/>
        <v>0</v>
      </c>
      <c r="BA103" s="15">
        <f t="shared" si="323"/>
        <v>0</v>
      </c>
      <c r="BB103" s="15">
        <v>7</v>
      </c>
      <c r="BC103" s="15">
        <f t="shared" si="334"/>
        <v>8</v>
      </c>
      <c r="BD103" s="15">
        <f t="shared" si="344"/>
        <v>21</v>
      </c>
      <c r="BE103" s="15">
        <f t="shared" si="244"/>
        <v>14</v>
      </c>
      <c r="BF103" s="15">
        <f t="shared" si="254"/>
        <v>3</v>
      </c>
      <c r="BG103" s="15">
        <f t="shared" si="264"/>
        <v>21</v>
      </c>
      <c r="BH103" s="15">
        <f t="shared" si="274"/>
        <v>12</v>
      </c>
      <c r="BI103" s="15">
        <f t="shared" si="284"/>
        <v>50</v>
      </c>
      <c r="BJ103" s="15">
        <f t="shared" si="294"/>
        <v>18</v>
      </c>
      <c r="BK103" s="15">
        <f t="shared" si="304"/>
        <v>3</v>
      </c>
      <c r="BL103" s="15">
        <f t="shared" si="314"/>
        <v>42</v>
      </c>
      <c r="BM103" s="15">
        <f t="shared" si="324"/>
        <v>6</v>
      </c>
      <c r="BN103" s="15">
        <v>0</v>
      </c>
      <c r="BO103" s="15">
        <f t="shared" si="335"/>
        <v>0</v>
      </c>
      <c r="BP103" s="15">
        <f t="shared" si="345"/>
        <v>0</v>
      </c>
      <c r="BQ103" s="15">
        <f t="shared" si="245"/>
        <v>0</v>
      </c>
      <c r="BR103" s="15">
        <f t="shared" si="255"/>
        <v>0</v>
      </c>
      <c r="BS103" s="15">
        <f t="shared" si="265"/>
        <v>0</v>
      </c>
      <c r="BT103" s="15">
        <f t="shared" si="275"/>
        <v>0</v>
      </c>
      <c r="BU103" s="15">
        <f t="shared" si="285"/>
        <v>2</v>
      </c>
      <c r="BV103" s="15">
        <f t="shared" si="295"/>
        <v>0</v>
      </c>
      <c r="BW103" s="15">
        <f t="shared" si="305"/>
        <v>0</v>
      </c>
      <c r="BX103" s="15">
        <f t="shared" si="315"/>
        <v>1</v>
      </c>
      <c r="BY103" s="15">
        <f t="shared" si="325"/>
        <v>0</v>
      </c>
      <c r="BZ103" s="15">
        <v>3.71286</v>
      </c>
      <c r="CA103" s="15">
        <f t="shared" si="336"/>
        <v>9.6649999999999991</v>
      </c>
      <c r="CB103" s="15">
        <f t="shared" si="346"/>
        <v>5.2561900000000001</v>
      </c>
      <c r="CC103" s="15">
        <f t="shared" si="246"/>
        <v>2.7071399999999999</v>
      </c>
      <c r="CD103" s="15">
        <f t="shared" si="256"/>
        <v>5.0066699999999997</v>
      </c>
      <c r="CE103" s="15">
        <f t="shared" si="266"/>
        <v>1.2338100000000001</v>
      </c>
      <c r="CF103" s="15">
        <f t="shared" si="276"/>
        <v>1.55</v>
      </c>
      <c r="CG103" s="15">
        <f t="shared" si="286"/>
        <v>1.0242</v>
      </c>
      <c r="CH103" s="15">
        <f t="shared" si="296"/>
        <v>2.4533299999999998</v>
      </c>
      <c r="CI103" s="15">
        <f t="shared" si="306"/>
        <v>14.713329999999999</v>
      </c>
      <c r="CJ103" s="15">
        <f t="shared" si="316"/>
        <v>2.33738</v>
      </c>
      <c r="CK103" s="15">
        <f t="shared" si="326"/>
        <v>6.3733300000000002</v>
      </c>
      <c r="CL103" s="15">
        <v>0</v>
      </c>
      <c r="CM103" s="15">
        <f t="shared" si="337"/>
        <v>1</v>
      </c>
      <c r="CN103" s="15">
        <f t="shared" si="347"/>
        <v>0</v>
      </c>
      <c r="CO103" s="15">
        <f t="shared" si="247"/>
        <v>0</v>
      </c>
      <c r="CP103" s="15">
        <f t="shared" si="257"/>
        <v>0</v>
      </c>
      <c r="CQ103" s="15">
        <f t="shared" si="267"/>
        <v>0</v>
      </c>
      <c r="CR103" s="15">
        <f t="shared" si="277"/>
        <v>0</v>
      </c>
      <c r="CS103" s="15">
        <f t="shared" si="287"/>
        <v>0</v>
      </c>
      <c r="CT103" s="15">
        <f t="shared" si="297"/>
        <v>0</v>
      </c>
      <c r="CU103" s="15">
        <f t="shared" si="307"/>
        <v>0</v>
      </c>
      <c r="CV103" s="15">
        <f t="shared" si="317"/>
        <v>0</v>
      </c>
      <c r="CW103" s="15">
        <f t="shared" si="327"/>
        <v>0</v>
      </c>
      <c r="CX103" s="15">
        <v>74.926000000000002</v>
      </c>
      <c r="CY103" s="15">
        <f t="shared" si="338"/>
        <v>84.092799999999997</v>
      </c>
      <c r="CZ103" s="15">
        <f t="shared" si="348"/>
        <v>79.228099999999998</v>
      </c>
      <c r="DA103" s="15">
        <f t="shared" si="248"/>
        <v>69.726100000000002</v>
      </c>
      <c r="DB103" s="15">
        <f t="shared" si="258"/>
        <v>78.704700000000003</v>
      </c>
      <c r="DC103" s="15">
        <f t="shared" si="268"/>
        <v>50.975299999999997</v>
      </c>
      <c r="DD103" s="15">
        <f t="shared" si="278"/>
        <v>57.171500000000002</v>
      </c>
      <c r="DE103" s="15">
        <f t="shared" si="288"/>
        <v>45.685000000000002</v>
      </c>
      <c r="DF103" s="15">
        <f t="shared" si="298"/>
        <v>67.823800000000006</v>
      </c>
      <c r="DG103" s="15">
        <f t="shared" si="308"/>
        <v>86.111800000000002</v>
      </c>
      <c r="DH103" s="15">
        <f t="shared" si="318"/>
        <v>66.837299999999999</v>
      </c>
      <c r="DI103" s="15">
        <f t="shared" si="328"/>
        <v>81.082800000000006</v>
      </c>
      <c r="DJ103" s="15" t="s">
        <v>21</v>
      </c>
      <c r="DK103" s="15" t="str">
        <f t="shared" si="339"/>
        <v>LH</v>
      </c>
      <c r="DL103" s="15" t="str">
        <f t="shared" si="349"/>
        <v>HH</v>
      </c>
      <c r="DM103" s="15" t="str">
        <f t="shared" si="249"/>
        <v>HH</v>
      </c>
      <c r="DN103" s="15" t="str">
        <f t="shared" si="259"/>
        <v>HH</v>
      </c>
      <c r="DO103" s="15" t="str">
        <f t="shared" si="269"/>
        <v>LH</v>
      </c>
      <c r="DP103" s="15" t="str">
        <f t="shared" si="279"/>
        <v>LH</v>
      </c>
      <c r="DQ103" s="15" t="str">
        <f t="shared" si="289"/>
        <v>HH</v>
      </c>
      <c r="DR103" s="15" t="str">
        <f t="shared" si="299"/>
        <v>LH</v>
      </c>
      <c r="DS103" s="15" t="str">
        <f t="shared" si="309"/>
        <v>HH</v>
      </c>
      <c r="DT103" s="15" t="str">
        <f t="shared" si="319"/>
        <v>HH</v>
      </c>
      <c r="DU103" s="15" t="str">
        <f t="shared" si="329"/>
        <v>HH</v>
      </c>
      <c r="DV103" s="15">
        <f>IFERROR((G103-$F103)/$F103*100,"")</f>
        <v>0.17666190158121312</v>
      </c>
      <c r="DW103" s="15">
        <f>IFERROR((H103-$F103)/$F103*100,"")</f>
        <v>1.7358228303775252</v>
      </c>
      <c r="DX103" s="15">
        <f>IFERROR((I103-$F103)/$F103*100,"")</f>
        <v>3.745482012328692E-3</v>
      </c>
      <c r="DY103" s="15">
        <f>IFERROR((J103-$F103)/$F103*100,"")</f>
        <v>-9.7174449986372119E-2</v>
      </c>
      <c r="DZ103" s="15">
        <f>IFERROR((K103-$F103)/$F103*100,"")</f>
        <v>-0.15002736282692411</v>
      </c>
      <c r="EA103" s="15">
        <f>IFERROR((L103-$F103)/$F103*100,"")</f>
        <v>0.37496436590030852</v>
      </c>
      <c r="EB103" s="15">
        <f>IFERROR((M103-$F103)/$F103*100,"")</f>
        <v>0.67814032656441803</v>
      </c>
      <c r="EC103" s="15">
        <f>IFERROR((N103-$F103)/$F103*100,"")</f>
        <v>0.51188254168410108</v>
      </c>
      <c r="ED103" s="15">
        <f>IFERROR((O103-$F103)/$F103*100,"")</f>
        <v>1.3614827114792842</v>
      </c>
      <c r="EE103" s="15">
        <f>IFERROR((P103-$F103)/$F103*100,"")</f>
        <v>0.93595433841263298</v>
      </c>
      <c r="EF103" s="15">
        <f>IFERROR((Q103-$F103)/$F103*100,"")</f>
        <v>-0.20038328765926328</v>
      </c>
      <c r="EG103" s="15" t="str">
        <f>IF(DV103="","",IF(AND(ABS(DV103)&lt;=0.25,$E103="Bottom",DK103="LL"),"EQL",IF(AND(ABS(DV103)&lt;=0.25,$E103="Peak",DK103="HH"),"EQH","")))</f>
        <v/>
      </c>
      <c r="EH103" s="15" t="str">
        <f>IF(DW103="","",IF(AND(ABS(DW103)&lt;=0.25,$E103="Bottom",DL103="LL"),"EQL",IF(AND(ABS(DW103)&lt;=0.25,$E103="Peak",DL103="HH"),"EQH","")))</f>
        <v/>
      </c>
      <c r="EI103" s="15" t="str">
        <f>IF(DX103="","",IF(AND(ABS(DX103)&lt;=0.25,$E103="Bottom",DM103="LL"),"EQL",IF(AND(ABS(DX103)&lt;=0.25,$E103="Peak",DM103="HH"),"EQH","")))</f>
        <v>EQH</v>
      </c>
      <c r="EJ103" s="15" t="str">
        <f>IF(DY103="","",IF(AND(ABS(DY103)&lt;=0.25,$E103="Bottom",DN103="LL"),"EQL",IF(AND(ABS(DY103)&lt;=0.25,$E103="Peak",DN103="HH"),"EQH","")))</f>
        <v>EQH</v>
      </c>
      <c r="EK103" s="15" t="str">
        <f>IF(DZ103="","",IF(AND(ABS(DZ103)&lt;=0.25,$E103="Bottom",DO103="LL"),"EQL",IF(AND(ABS(DZ103)&lt;=0.25,$E103="Peak",DO103="HH"),"EQH","")))</f>
        <v/>
      </c>
      <c r="EL103" s="15" t="str">
        <f>IF(EA103="","",IF(AND(ABS(EA103)&lt;=0.25,$E103="Bottom",DP103="LL"),"EQL",IF(AND(ABS(EA103)&lt;=0.25,$E103="Peak",DP103="HH"),"EQH","")))</f>
        <v/>
      </c>
      <c r="EM103" s="15" t="str">
        <f>IF(EB103="","",IF(AND(ABS(EB103)&lt;=0.25,$E103="Bottom",DQ103="LL"),"EQL",IF(AND(ABS(EB103)&lt;=0.25,$E103="Peak",DQ103="HH"),"EQH","")))</f>
        <v/>
      </c>
      <c r="EN103" s="15" t="str">
        <f>IF(EC103="","",IF(AND(ABS(EC103)&lt;=0.25,$E103="Bottom",DR103="LL"),"EQL",IF(AND(ABS(EC103)&lt;=0.25,$E103="Peak",DR103="HH"),"EQH","")))</f>
        <v/>
      </c>
      <c r="EO103" s="15" t="str">
        <f>IF(ED103="","",IF(AND(ABS(ED103)&lt;=0.25,$E103="Bottom",DS103="LL"),"EQL",IF(AND(ABS(ED103)&lt;=0.25,$E103="Peak",DS103="HH"),"EQH","")))</f>
        <v/>
      </c>
      <c r="EP103" s="15" t="str">
        <f>IF(EE103="","",IF(AND(ABS(EE103)&lt;=0.25,$E103="Bottom",DT103="LL"),"EQL",IF(AND(ABS(EE103)&lt;=0.25,$E103="Peak",DT103="HH"),"EQH","")))</f>
        <v/>
      </c>
      <c r="EQ103" s="15" t="str">
        <f>IF(EF103="","",IF(AND(ABS(EF103)&lt;=0.25,$E103="Bottom",DU103="LL"),"EQL",IF(AND(ABS(EF103)&lt;=0.25,$E103="Peak",DU103="HH"),"EQH","")))</f>
        <v>EQH</v>
      </c>
      <c r="ER103" s="15" t="str">
        <f>IF(OR(EG103="EQL",EG103="EQH"),F103,"")</f>
        <v/>
      </c>
      <c r="ES103" s="15" t="str">
        <f>IF(OR(EH103="EQL",EH103="EQH"),G103,"")</f>
        <v/>
      </c>
      <c r="ET103" s="15">
        <f>IF(OR(EI103="EQL",EI103="EQH"),H103,"")</f>
        <v>4889.21</v>
      </c>
      <c r="EU103" s="15">
        <f>IF(OR(EJ103="EQL",EJ103="EQH"),I103,"")</f>
        <v>4805.97</v>
      </c>
      <c r="EV103" s="15" t="str">
        <f>IF(OR(EK103="EQL",EK103="EQH"),J103,"")</f>
        <v/>
      </c>
      <c r="EW103" s="15" t="str">
        <f>IF(OR(EL103="EQL",EL103="EQH"),K103,"")</f>
        <v/>
      </c>
      <c r="EX103" s="15" t="str">
        <f>IF(OR(EM103="EQL",EM103="EQH"),L103,"")</f>
        <v/>
      </c>
      <c r="EY103" s="15" t="str">
        <f>IF(OR(EN103="EQL",EN103="EQH"),M103,"")</f>
        <v/>
      </c>
      <c r="EZ103" s="15" t="str">
        <f>IF(OR(EO103="EQL",EO103="EQH"),N103,"")</f>
        <v/>
      </c>
      <c r="FA103" s="15" t="str">
        <f>IF(OR(EP103="EQL",EP103="EQH"),O103,"")</f>
        <v/>
      </c>
      <c r="FB103" s="15">
        <f>IF(OR(EQ103="EQL",EQ103="EQH"),P103,"")</f>
        <v>4850.7700000000004</v>
      </c>
      <c r="FC103" s="15" t="str">
        <f>IF(AND(EG103="EQL",OR(AQ103=4,AQ103=5)),"IEQL",IF(AND(EG103="EQH",OR(AQ103=1,AQ103=2)),"IEQH",""))</f>
        <v/>
      </c>
      <c r="FD103" s="15" t="str">
        <f>IF(AND(EH103="EQL",OR(AR103=4,AR103=5)),"IEQL",IF(AND(EH103="EQH",OR(AR103=1,AR103=2)),"IEQH",""))</f>
        <v/>
      </c>
      <c r="FE103" s="15" t="str">
        <f>IF(AND(EI103="EQL",OR(AS103=4,AS103=5)),"IEQL",IF(AND(EI103="EQH",OR(AS103=1,AS103=2)),"IEQH",""))</f>
        <v/>
      </c>
      <c r="FF103" s="15" t="str">
        <f>IF(AND(EJ103="EQL",OR(AT103=4,AT103=5)),"IEQL",IF(AND(EJ103="EQH",OR(AT103=1,AT103=2)),"IEQH",""))</f>
        <v/>
      </c>
      <c r="FG103" s="15" t="str">
        <f>IF(AND(EK103="EQL",OR(AU103=4,AU103=5)),"IEQL",IF(AND(EK103="EQH",OR(AU103=1,AU103=2)),"IEQH",""))</f>
        <v/>
      </c>
      <c r="FH103" s="15" t="str">
        <f>IF(AND(EL103="EQL",OR(AV103=4,AV103=5)),"IEQL",IF(AND(EL103="EQH",OR(AV103=1,AV103=2)),"IEQH",""))</f>
        <v/>
      </c>
      <c r="FI103" s="15" t="str">
        <f>IF(AND(EM103="EQL",OR(AW103=4,AW103=5)),"IEQL",IF(AND(EM103="EQH",OR(AW103=1,AW103=2)),"IEQH",""))</f>
        <v/>
      </c>
      <c r="FJ103" s="15" t="str">
        <f>IF(AND(EN103="EQL",OR(AX103=4,AX103=5)),"IEQL",IF(AND(EN103="EQH",OR(AX103=1,AX103=2)),"IEQH",""))</f>
        <v/>
      </c>
      <c r="FK103" s="15" t="str">
        <f>IF(AND(EO103="EQL",OR(AY103=4,AY103=5)),"IEQL",IF(AND(EO103="EQH",OR(AY103=1,AY103=2)),"IEQH",""))</f>
        <v/>
      </c>
      <c r="FL103" s="15" t="str">
        <f>IF(AND(EP103="EQL",OR(AZ103=4,AZ103=5)),"IEQL",IF(AND(EP103="EQH",OR(AZ103=1,AZ103=2)),"IEQH",""))</f>
        <v/>
      </c>
      <c r="FM103" s="15" t="str">
        <f>IF(AND(EQ103="EQL",OR(BA103=4,BA103=5)),"IEQL",IF(AND(EQ103="EQH",OR(BA103=1,BA103=2)),"IEQH",""))</f>
        <v/>
      </c>
      <c r="FN103" s="15" t="str">
        <f>IF(OR(AND(DJ103="LL",AP103=5),AND(DJ103="HH",AP103=2)),F103,"")</f>
        <v/>
      </c>
      <c r="FO103" s="15" t="str">
        <f>IF(FN103&lt;&gt;"",F102,"")</f>
        <v/>
      </c>
    </row>
    <row r="104" spans="1:171" s="15" customFormat="1" x14ac:dyDescent="0.55000000000000004">
      <c r="A104" s="15">
        <v>1776677406</v>
      </c>
      <c r="B104" s="15" t="s">
        <v>16</v>
      </c>
      <c r="C104" s="15" t="s">
        <v>17</v>
      </c>
      <c r="D104" s="15">
        <v>4791.96</v>
      </c>
      <c r="E104" s="15" t="s">
        <v>18</v>
      </c>
      <c r="F104" s="15">
        <v>4783.51</v>
      </c>
      <c r="G104" s="15">
        <f t="shared" si="330"/>
        <v>4779.8</v>
      </c>
      <c r="H104" s="15">
        <f t="shared" si="340"/>
        <v>4736.96</v>
      </c>
      <c r="I104" s="15">
        <f t="shared" ref="I104:I135" si="350">F98</f>
        <v>4778.83</v>
      </c>
      <c r="J104" s="15">
        <f t="shared" si="250"/>
        <v>4768.07</v>
      </c>
      <c r="K104" s="15">
        <f t="shared" si="260"/>
        <v>4786.1000000000004</v>
      </c>
      <c r="L104" s="15">
        <f t="shared" si="270"/>
        <v>4772.67</v>
      </c>
      <c r="M104" s="15">
        <f t="shared" si="280"/>
        <v>4805.21</v>
      </c>
      <c r="N104" s="15">
        <f t="shared" si="290"/>
        <v>4787.17</v>
      </c>
      <c r="O104" s="15">
        <f t="shared" si="300"/>
        <v>4786.2299999999996</v>
      </c>
      <c r="P104" s="15">
        <f t="shared" si="310"/>
        <v>4827.08</v>
      </c>
      <c r="Q104" s="15">
        <f t="shared" si="320"/>
        <v>4752.6000000000004</v>
      </c>
      <c r="R104" s="15">
        <v>-22.28</v>
      </c>
      <c r="S104" s="15">
        <f t="shared" si="331"/>
        <v>-34.479999999999997</v>
      </c>
      <c r="T104" s="15">
        <f t="shared" si="341"/>
        <v>-152.25</v>
      </c>
      <c r="U104" s="15">
        <f t="shared" ref="U104:U135" si="351">R98</f>
        <v>-27.14</v>
      </c>
      <c r="V104" s="15">
        <f t="shared" si="251"/>
        <v>-33.049999999999997</v>
      </c>
      <c r="W104" s="15">
        <f t="shared" si="261"/>
        <v>-12.48</v>
      </c>
      <c r="X104" s="15">
        <f t="shared" si="271"/>
        <v>-51.14</v>
      </c>
      <c r="Y104" s="15">
        <f t="shared" si="281"/>
        <v>-33.17</v>
      </c>
      <c r="Z104" s="15">
        <f t="shared" si="291"/>
        <v>-43.22</v>
      </c>
      <c r="AA104" s="15">
        <f t="shared" si="301"/>
        <v>-84.99</v>
      </c>
      <c r="AB104" s="15">
        <f t="shared" si="311"/>
        <v>-23.69</v>
      </c>
      <c r="AC104" s="15">
        <f t="shared" si="321"/>
        <v>-43.56</v>
      </c>
      <c r="AD104" s="15">
        <v>-0.46</v>
      </c>
      <c r="AE104" s="15">
        <f t="shared" si="332"/>
        <v>-0.72</v>
      </c>
      <c r="AF104" s="15">
        <f t="shared" si="342"/>
        <v>-3.11</v>
      </c>
      <c r="AG104" s="15">
        <f t="shared" ref="AG104:AG135" si="352">AD98</f>
        <v>-0.56000000000000005</v>
      </c>
      <c r="AH104" s="15">
        <f t="shared" si="252"/>
        <v>-0.69</v>
      </c>
      <c r="AI104" s="15">
        <f t="shared" si="262"/>
        <v>-0.26</v>
      </c>
      <c r="AJ104" s="15">
        <f t="shared" si="272"/>
        <v>-1.06</v>
      </c>
      <c r="AK104" s="15">
        <f t="shared" si="282"/>
        <v>-0.69</v>
      </c>
      <c r="AL104" s="15">
        <f t="shared" si="292"/>
        <v>-0.89</v>
      </c>
      <c r="AM104" s="15">
        <f t="shared" si="302"/>
        <v>-1.74</v>
      </c>
      <c r="AN104" s="15">
        <f t="shared" si="312"/>
        <v>-0.49</v>
      </c>
      <c r="AO104" s="15">
        <f t="shared" si="322"/>
        <v>-0.91</v>
      </c>
      <c r="AP104" s="15">
        <v>3</v>
      </c>
      <c r="AQ104" s="15">
        <f t="shared" si="333"/>
        <v>3</v>
      </c>
      <c r="AR104" s="15">
        <f t="shared" si="343"/>
        <v>5</v>
      </c>
      <c r="AS104" s="15">
        <f t="shared" ref="AS104:AS135" si="353">AP98</f>
        <v>3</v>
      </c>
      <c r="AT104" s="15">
        <f t="shared" si="253"/>
        <v>3</v>
      </c>
      <c r="AU104" s="15">
        <f t="shared" si="263"/>
        <v>3</v>
      </c>
      <c r="AV104" s="15">
        <f t="shared" si="273"/>
        <v>3</v>
      </c>
      <c r="AW104" s="15">
        <f t="shared" si="283"/>
        <v>3</v>
      </c>
      <c r="AX104" s="15">
        <f t="shared" si="293"/>
        <v>3</v>
      </c>
      <c r="AY104" s="15">
        <f t="shared" si="303"/>
        <v>3</v>
      </c>
      <c r="AZ104" s="15">
        <f t="shared" si="313"/>
        <v>3</v>
      </c>
      <c r="BA104" s="15">
        <f t="shared" si="323"/>
        <v>3</v>
      </c>
      <c r="BB104" s="15">
        <v>9</v>
      </c>
      <c r="BC104" s="15">
        <f t="shared" si="334"/>
        <v>15</v>
      </c>
      <c r="BD104" s="15">
        <f t="shared" si="344"/>
        <v>39</v>
      </c>
      <c r="BE104" s="15">
        <f t="shared" ref="BE104:BE135" si="354">BB98</f>
        <v>11</v>
      </c>
      <c r="BF104" s="15">
        <f t="shared" si="254"/>
        <v>3</v>
      </c>
      <c r="BG104" s="15">
        <f t="shared" si="264"/>
        <v>13</v>
      </c>
      <c r="BH104" s="15">
        <f t="shared" si="274"/>
        <v>4</v>
      </c>
      <c r="BI104" s="15">
        <f t="shared" si="284"/>
        <v>22</v>
      </c>
      <c r="BJ104" s="15">
        <f t="shared" si="294"/>
        <v>5</v>
      </c>
      <c r="BK104" s="15">
        <f t="shared" si="304"/>
        <v>34</v>
      </c>
      <c r="BL104" s="15">
        <f t="shared" si="314"/>
        <v>10</v>
      </c>
      <c r="BM104" s="15">
        <f t="shared" si="324"/>
        <v>14</v>
      </c>
      <c r="BN104" s="15">
        <v>3</v>
      </c>
      <c r="BO104" s="15">
        <f t="shared" si="335"/>
        <v>3</v>
      </c>
      <c r="BP104" s="15">
        <f t="shared" si="345"/>
        <v>4</v>
      </c>
      <c r="BQ104" s="15">
        <f t="shared" ref="BQ104:BQ135" si="355">BN98</f>
        <v>3</v>
      </c>
      <c r="BR104" s="15">
        <f t="shared" si="255"/>
        <v>3</v>
      </c>
      <c r="BS104" s="15">
        <f t="shared" si="265"/>
        <v>3</v>
      </c>
      <c r="BT104" s="15">
        <f t="shared" si="275"/>
        <v>3</v>
      </c>
      <c r="BU104" s="15">
        <f t="shared" si="285"/>
        <v>3</v>
      </c>
      <c r="BV104" s="15">
        <f t="shared" si="295"/>
        <v>3</v>
      </c>
      <c r="BW104" s="15">
        <f t="shared" si="305"/>
        <v>3</v>
      </c>
      <c r="BX104" s="15">
        <f t="shared" si="315"/>
        <v>3</v>
      </c>
      <c r="BY104" s="15">
        <f t="shared" si="325"/>
        <v>3</v>
      </c>
      <c r="BZ104" s="15">
        <v>-2.4755600000000002</v>
      </c>
      <c r="CA104" s="15">
        <f t="shared" si="336"/>
        <v>-2.29867</v>
      </c>
      <c r="CB104" s="15">
        <f t="shared" si="346"/>
        <v>-3.9038499999999998</v>
      </c>
      <c r="CC104" s="15">
        <f t="shared" ref="CC104:CC135" si="356">BZ98</f>
        <v>-2.4672700000000001</v>
      </c>
      <c r="CD104" s="15">
        <f t="shared" si="256"/>
        <v>-11.01667</v>
      </c>
      <c r="CE104" s="15">
        <f t="shared" si="266"/>
        <v>-0.96</v>
      </c>
      <c r="CF104" s="15">
        <f t="shared" si="276"/>
        <v>-12.785</v>
      </c>
      <c r="CG104" s="15">
        <f t="shared" si="286"/>
        <v>-1.50773</v>
      </c>
      <c r="CH104" s="15">
        <f t="shared" si="296"/>
        <v>-8.6440000000000001</v>
      </c>
      <c r="CI104" s="15">
        <f t="shared" si="306"/>
        <v>-2.4997099999999999</v>
      </c>
      <c r="CJ104" s="15">
        <f t="shared" si="316"/>
        <v>-2.3690000000000002</v>
      </c>
      <c r="CK104" s="15">
        <f t="shared" si="326"/>
        <v>-3.1114299999999999</v>
      </c>
      <c r="CL104" s="15">
        <v>3</v>
      </c>
      <c r="CM104" s="15">
        <f t="shared" si="337"/>
        <v>3</v>
      </c>
      <c r="CN104" s="15">
        <f t="shared" si="347"/>
        <v>3</v>
      </c>
      <c r="CO104" s="15">
        <f t="shared" ref="CO104:CO135" si="357">CL98</f>
        <v>3</v>
      </c>
      <c r="CP104" s="15">
        <f t="shared" si="257"/>
        <v>5</v>
      </c>
      <c r="CQ104" s="15">
        <f t="shared" si="267"/>
        <v>3</v>
      </c>
      <c r="CR104" s="15">
        <f t="shared" si="277"/>
        <v>5</v>
      </c>
      <c r="CS104" s="15">
        <f t="shared" si="287"/>
        <v>3</v>
      </c>
      <c r="CT104" s="15">
        <f t="shared" si="297"/>
        <v>3</v>
      </c>
      <c r="CU104" s="15">
        <f t="shared" si="307"/>
        <v>3</v>
      </c>
      <c r="CV104" s="15">
        <f t="shared" si="317"/>
        <v>3</v>
      </c>
      <c r="CW104" s="15">
        <f t="shared" si="327"/>
        <v>3</v>
      </c>
      <c r="CX104" s="15">
        <v>-68.003799999999998</v>
      </c>
      <c r="CY104" s="15">
        <f t="shared" si="338"/>
        <v>-66.4893</v>
      </c>
      <c r="CZ104" s="15">
        <f t="shared" si="348"/>
        <v>-75.632199999999997</v>
      </c>
      <c r="DA104" s="15">
        <f t="shared" ref="DA104:DA135" si="358">CX98</f>
        <v>-67.936999999999998</v>
      </c>
      <c r="DB104" s="15">
        <f t="shared" si="258"/>
        <v>-84.813400000000001</v>
      </c>
      <c r="DC104" s="15">
        <f t="shared" si="268"/>
        <v>-43.8309</v>
      </c>
      <c r="DD104" s="15">
        <f t="shared" si="278"/>
        <v>-85.527600000000007</v>
      </c>
      <c r="DE104" s="15">
        <f t="shared" si="288"/>
        <v>-56.445700000000002</v>
      </c>
      <c r="DF104" s="15">
        <f t="shared" si="298"/>
        <v>-83.400899999999993</v>
      </c>
      <c r="DG104" s="15">
        <f t="shared" si="308"/>
        <v>-68.196299999999994</v>
      </c>
      <c r="DH104" s="15">
        <f t="shared" si="318"/>
        <v>-67.114500000000007</v>
      </c>
      <c r="DI104" s="15">
        <f t="shared" si="328"/>
        <v>-72.1828</v>
      </c>
      <c r="DJ104" s="15" t="s">
        <v>22</v>
      </c>
      <c r="DK104" s="15" t="str">
        <f t="shared" si="339"/>
        <v>HL</v>
      </c>
      <c r="DL104" s="15" t="str">
        <f t="shared" si="349"/>
        <v>LL</v>
      </c>
      <c r="DM104" s="15" t="str">
        <f t="shared" ref="DM104:DM135" si="359">DJ98</f>
        <v>HL</v>
      </c>
      <c r="DN104" s="15" t="str">
        <f t="shared" si="259"/>
        <v>LL</v>
      </c>
      <c r="DO104" s="15" t="str">
        <f t="shared" si="269"/>
        <v>HL</v>
      </c>
      <c r="DP104" s="15" t="str">
        <f t="shared" si="279"/>
        <v>LL</v>
      </c>
      <c r="DQ104" s="15" t="str">
        <f t="shared" si="289"/>
        <v>HL</v>
      </c>
      <c r="DR104" s="15" t="str">
        <f t="shared" si="299"/>
        <v>HL</v>
      </c>
      <c r="DS104" s="15" t="str">
        <f t="shared" si="309"/>
        <v>LL</v>
      </c>
      <c r="DT104" s="15" t="str">
        <f t="shared" si="319"/>
        <v>HL</v>
      </c>
      <c r="DU104" s="15" t="str">
        <f t="shared" si="329"/>
        <v>LL</v>
      </c>
      <c r="DV104" s="15">
        <f>IFERROR((G104-$F104)/$F104*100,"")</f>
        <v>-7.7558111094155474E-2</v>
      </c>
      <c r="DW104" s="15">
        <f>IFERROR((H104-$F104)/$F104*100,"")</f>
        <v>-0.97313479014364301</v>
      </c>
      <c r="DX104" s="15">
        <f>IFERROR((I104-$F104)/$F104*100,"")</f>
        <v>-9.7836107795327934E-2</v>
      </c>
      <c r="DY104" s="15">
        <f>IFERROR((J104-$F104)/$F104*100,"")</f>
        <v>-0.32277553511961948</v>
      </c>
      <c r="DZ104" s="15">
        <f>IFERROR((K104-$F104)/$F104*100,"")</f>
        <v>5.4144341707243124E-2</v>
      </c>
      <c r="EA104" s="15">
        <f>IFERROR((L104-$F104)/$F104*100,"")</f>
        <v>-0.22661183942335536</v>
      </c>
      <c r="EB104" s="15">
        <f>IFERROR((M104-$F104)/$F104*100,"")</f>
        <v>0.45364178187146714</v>
      </c>
      <c r="EC104" s="15">
        <f>IFERROR((N104-$F104)/$F104*100,"")</f>
        <v>7.6512853532235831E-2</v>
      </c>
      <c r="ED104" s="15">
        <f>IFERROR((O104-$F104)/$F104*100,"")</f>
        <v>5.6862011368207552E-2</v>
      </c>
      <c r="EE104" s="15">
        <f>IFERROR((P104-$F104)/$F104*100,"")</f>
        <v>0.91083743945344964</v>
      </c>
      <c r="EF104" s="15">
        <f>IFERROR((Q104-$F104)/$F104*100,"")</f>
        <v>-0.646178224776364</v>
      </c>
      <c r="EG104" s="15" t="str">
        <f>IF(DV104="","",IF(AND(ABS(DV104)&lt;=0.25,$E104="Bottom",DK104="LL"),"EQL",IF(AND(ABS(DV104)&lt;=0.25,$E104="Peak",DK104="HH"),"EQH","")))</f>
        <v/>
      </c>
      <c r="EH104" s="15" t="str">
        <f>IF(DW104="","",IF(AND(ABS(DW104)&lt;=0.25,$E104="Bottom",DL104="LL"),"EQL",IF(AND(ABS(DW104)&lt;=0.25,$E104="Peak",DL104="HH"),"EQH","")))</f>
        <v/>
      </c>
      <c r="EI104" s="15" t="str">
        <f>IF(DX104="","",IF(AND(ABS(DX104)&lt;=0.25,$E104="Bottom",DM104="LL"),"EQL",IF(AND(ABS(DX104)&lt;=0.25,$E104="Peak",DM104="HH"),"EQH","")))</f>
        <v/>
      </c>
      <c r="EJ104" s="15" t="str">
        <f>IF(DY104="","",IF(AND(ABS(DY104)&lt;=0.25,$E104="Bottom",DN104="LL"),"EQL",IF(AND(ABS(DY104)&lt;=0.25,$E104="Peak",DN104="HH"),"EQH","")))</f>
        <v/>
      </c>
      <c r="EK104" s="15" t="str">
        <f>IF(DZ104="","",IF(AND(ABS(DZ104)&lt;=0.25,$E104="Bottom",DO104="LL"),"EQL",IF(AND(ABS(DZ104)&lt;=0.25,$E104="Peak",DO104="HH"),"EQH","")))</f>
        <v/>
      </c>
      <c r="EL104" s="15" t="str">
        <f>IF(EA104="","",IF(AND(ABS(EA104)&lt;=0.25,$E104="Bottom",DP104="LL"),"EQL",IF(AND(ABS(EA104)&lt;=0.25,$E104="Peak",DP104="HH"),"EQH","")))</f>
        <v>EQL</v>
      </c>
      <c r="EM104" s="15" t="str">
        <f>IF(EB104="","",IF(AND(ABS(EB104)&lt;=0.25,$E104="Bottom",DQ104="LL"),"EQL",IF(AND(ABS(EB104)&lt;=0.25,$E104="Peak",DQ104="HH"),"EQH","")))</f>
        <v/>
      </c>
      <c r="EN104" s="15" t="str">
        <f>IF(EC104="","",IF(AND(ABS(EC104)&lt;=0.25,$E104="Bottom",DR104="LL"),"EQL",IF(AND(ABS(EC104)&lt;=0.25,$E104="Peak",DR104="HH"),"EQH","")))</f>
        <v/>
      </c>
      <c r="EO104" s="15" t="str">
        <f>IF(ED104="","",IF(AND(ABS(ED104)&lt;=0.25,$E104="Bottom",DS104="LL"),"EQL",IF(AND(ABS(ED104)&lt;=0.25,$E104="Peak",DS104="HH"),"EQH","")))</f>
        <v>EQL</v>
      </c>
      <c r="EP104" s="15" t="str">
        <f>IF(EE104="","",IF(AND(ABS(EE104)&lt;=0.25,$E104="Bottom",DT104="LL"),"EQL",IF(AND(ABS(EE104)&lt;=0.25,$E104="Peak",DT104="HH"),"EQH","")))</f>
        <v/>
      </c>
      <c r="EQ104" s="15" t="str">
        <f>IF(EF104="","",IF(AND(ABS(EF104)&lt;=0.25,$E104="Bottom",DU104="LL"),"EQL",IF(AND(ABS(EF104)&lt;=0.25,$E104="Peak",DU104="HH"),"EQH","")))</f>
        <v/>
      </c>
      <c r="ER104" s="15" t="str">
        <f>IF(OR(EG104="EQL",EG104="EQH"),F104,"")</f>
        <v/>
      </c>
      <c r="ES104" s="15" t="str">
        <f>IF(OR(EH104="EQL",EH104="EQH"),G104,"")</f>
        <v/>
      </c>
      <c r="ET104" s="15" t="str">
        <f>IF(OR(EI104="EQL",EI104="EQH"),H104,"")</f>
        <v/>
      </c>
      <c r="EU104" s="15" t="str">
        <f>IF(OR(EJ104="EQL",EJ104="EQH"),I104,"")</f>
        <v/>
      </c>
      <c r="EV104" s="15" t="str">
        <f>IF(OR(EK104="EQL",EK104="EQH"),J104,"")</f>
        <v/>
      </c>
      <c r="EW104" s="15">
        <f>IF(OR(EL104="EQL",EL104="EQH"),K104,"")</f>
        <v>4786.1000000000004</v>
      </c>
      <c r="EX104" s="15" t="str">
        <f>IF(OR(EM104="EQL",EM104="EQH"),L104,"")</f>
        <v/>
      </c>
      <c r="EY104" s="15" t="str">
        <f>IF(OR(EN104="EQL",EN104="EQH"),M104,"")</f>
        <v/>
      </c>
      <c r="EZ104" s="15">
        <f>IF(OR(EO104="EQL",EO104="EQH"),N104,"")</f>
        <v>4787.17</v>
      </c>
      <c r="FA104" s="15" t="str">
        <f>IF(OR(EP104="EQL",EP104="EQH"),O104,"")</f>
        <v/>
      </c>
      <c r="FB104" s="15" t="str">
        <f>IF(OR(EQ104="EQL",EQ104="EQH"),P104,"")</f>
        <v/>
      </c>
      <c r="FC104" s="15" t="str">
        <f>IF(AND(EG104="EQL",OR(AQ104=4,AQ104=5)),"IEQL",IF(AND(EG104="EQH",OR(AQ104=1,AQ104=2)),"IEQH",""))</f>
        <v/>
      </c>
      <c r="FD104" s="15" t="str">
        <f>IF(AND(EH104="EQL",OR(AR104=4,AR104=5)),"IEQL",IF(AND(EH104="EQH",OR(AR104=1,AR104=2)),"IEQH",""))</f>
        <v/>
      </c>
      <c r="FE104" s="15" t="str">
        <f>IF(AND(EI104="EQL",OR(AS104=4,AS104=5)),"IEQL",IF(AND(EI104="EQH",OR(AS104=1,AS104=2)),"IEQH",""))</f>
        <v/>
      </c>
      <c r="FF104" s="15" t="str">
        <f>IF(AND(EJ104="EQL",OR(AT104=4,AT104=5)),"IEQL",IF(AND(EJ104="EQH",OR(AT104=1,AT104=2)),"IEQH",""))</f>
        <v/>
      </c>
      <c r="FG104" s="15" t="str">
        <f>IF(AND(EK104="EQL",OR(AU104=4,AU104=5)),"IEQL",IF(AND(EK104="EQH",OR(AU104=1,AU104=2)),"IEQH",""))</f>
        <v/>
      </c>
      <c r="FH104" s="15" t="str">
        <f>IF(AND(EL104="EQL",OR(AV104=4,AV104=5)),"IEQL",IF(AND(EL104="EQH",OR(AV104=1,AV104=2)),"IEQH",""))</f>
        <v/>
      </c>
      <c r="FI104" s="15" t="str">
        <f>IF(AND(EM104="EQL",OR(AW104=4,AW104=5)),"IEQL",IF(AND(EM104="EQH",OR(AW104=1,AW104=2)),"IEQH",""))</f>
        <v/>
      </c>
      <c r="FJ104" s="15" t="str">
        <f>IF(AND(EN104="EQL",OR(AX104=4,AX104=5)),"IEQL",IF(AND(EN104="EQH",OR(AX104=1,AX104=2)),"IEQH",""))</f>
        <v/>
      </c>
      <c r="FK104" s="15" t="str">
        <f>IF(AND(EO104="EQL",OR(AY104=4,AY104=5)),"IEQL",IF(AND(EO104="EQH",OR(AY104=1,AY104=2)),"IEQH",""))</f>
        <v/>
      </c>
      <c r="FL104" s="15" t="str">
        <f>IF(AND(EP104="EQL",OR(AZ104=4,AZ104=5)),"IEQL",IF(AND(EP104="EQH",OR(AZ104=1,AZ104=2)),"IEQH",""))</f>
        <v/>
      </c>
      <c r="FM104" s="15" t="str">
        <f>IF(AND(EQ104="EQL",OR(BA104=4,BA104=5)),"IEQL",IF(AND(EQ104="EQH",OR(BA104=1,BA104=2)),"IEQH",""))</f>
        <v/>
      </c>
      <c r="FN104" s="15" t="str">
        <f>IF(OR(AND(DJ104="LL",AP104=5),AND(DJ104="HH",AP104=2)),F104,"")</f>
        <v/>
      </c>
      <c r="FO104" s="15" t="str">
        <f>IF(FN104&lt;&gt;"",F103,"")</f>
        <v/>
      </c>
    </row>
    <row r="105" spans="1:171" s="15" customFormat="1" x14ac:dyDescent="0.55000000000000004">
      <c r="A105" s="15">
        <v>1776695406</v>
      </c>
      <c r="B105" s="15" t="s">
        <v>16</v>
      </c>
      <c r="C105" s="15" t="s">
        <v>17</v>
      </c>
      <c r="D105" s="15">
        <v>4814.18</v>
      </c>
      <c r="E105" s="15" t="s">
        <v>20</v>
      </c>
      <c r="F105" s="15">
        <v>4827.74</v>
      </c>
      <c r="G105" s="15">
        <f t="shared" si="330"/>
        <v>4805.79</v>
      </c>
      <c r="H105" s="15">
        <f t="shared" si="340"/>
        <v>4814.28</v>
      </c>
      <c r="I105" s="15">
        <f t="shared" si="350"/>
        <v>4889.21</v>
      </c>
      <c r="J105" s="15">
        <f t="shared" si="250"/>
        <v>4805.97</v>
      </c>
      <c r="K105" s="15">
        <f t="shared" si="260"/>
        <v>4801.12</v>
      </c>
      <c r="L105" s="15">
        <f t="shared" si="270"/>
        <v>4798.58</v>
      </c>
      <c r="M105" s="15">
        <f t="shared" si="280"/>
        <v>4823.8100000000004</v>
      </c>
      <c r="N105" s="15">
        <f t="shared" si="290"/>
        <v>4838.38</v>
      </c>
      <c r="O105" s="15">
        <f t="shared" si="300"/>
        <v>4830.3900000000003</v>
      </c>
      <c r="P105" s="15">
        <f t="shared" si="310"/>
        <v>4871.22</v>
      </c>
      <c r="Q105" s="15">
        <f t="shared" si="320"/>
        <v>4850.7700000000004</v>
      </c>
      <c r="R105" s="15">
        <v>44.23</v>
      </c>
      <c r="S105" s="15">
        <f t="shared" si="331"/>
        <v>25.99</v>
      </c>
      <c r="T105" s="15">
        <f t="shared" si="341"/>
        <v>77.319999999999993</v>
      </c>
      <c r="U105" s="15">
        <f t="shared" si="351"/>
        <v>110.38</v>
      </c>
      <c r="V105" s="15">
        <f t="shared" si="251"/>
        <v>37.9</v>
      </c>
      <c r="W105" s="15">
        <f t="shared" si="261"/>
        <v>15.02</v>
      </c>
      <c r="X105" s="15">
        <f t="shared" si="271"/>
        <v>25.91</v>
      </c>
      <c r="Y105" s="15">
        <f t="shared" si="281"/>
        <v>18.600000000000001</v>
      </c>
      <c r="Z105" s="15">
        <f t="shared" si="291"/>
        <v>51.21</v>
      </c>
      <c r="AA105" s="15">
        <f t="shared" si="301"/>
        <v>44.16</v>
      </c>
      <c r="AB105" s="15">
        <f t="shared" si="311"/>
        <v>44.14</v>
      </c>
      <c r="AC105" s="15">
        <f t="shared" si="321"/>
        <v>98.17</v>
      </c>
      <c r="AD105" s="15">
        <v>0.92</v>
      </c>
      <c r="AE105" s="15">
        <f t="shared" si="332"/>
        <v>0.54</v>
      </c>
      <c r="AF105" s="15">
        <f t="shared" si="342"/>
        <v>1.63</v>
      </c>
      <c r="AG105" s="15">
        <f t="shared" si="352"/>
        <v>2.31</v>
      </c>
      <c r="AH105" s="15">
        <f t="shared" si="252"/>
        <v>0.79</v>
      </c>
      <c r="AI105" s="15">
        <f t="shared" si="262"/>
        <v>0.31</v>
      </c>
      <c r="AJ105" s="15">
        <f t="shared" si="272"/>
        <v>0.54</v>
      </c>
      <c r="AK105" s="15">
        <f t="shared" si="282"/>
        <v>0.39</v>
      </c>
      <c r="AL105" s="15">
        <f t="shared" si="292"/>
        <v>1.07</v>
      </c>
      <c r="AM105" s="15">
        <f t="shared" si="302"/>
        <v>0.92</v>
      </c>
      <c r="AN105" s="15">
        <f t="shared" si="312"/>
        <v>0.91</v>
      </c>
      <c r="AO105" s="15">
        <f t="shared" si="322"/>
        <v>2.0699999999999998</v>
      </c>
      <c r="AP105" s="15">
        <v>0</v>
      </c>
      <c r="AQ105" s="15">
        <f t="shared" si="333"/>
        <v>0</v>
      </c>
      <c r="AR105" s="15">
        <f t="shared" si="343"/>
        <v>0</v>
      </c>
      <c r="AS105" s="15">
        <f t="shared" si="353"/>
        <v>0</v>
      </c>
      <c r="AT105" s="15">
        <f t="shared" si="253"/>
        <v>0</v>
      </c>
      <c r="AU105" s="15">
        <f t="shared" si="263"/>
        <v>0</v>
      </c>
      <c r="AV105" s="15">
        <f t="shared" si="273"/>
        <v>0</v>
      </c>
      <c r="AW105" s="15">
        <f t="shared" si="283"/>
        <v>0</v>
      </c>
      <c r="AX105" s="15">
        <f t="shared" si="293"/>
        <v>0</v>
      </c>
      <c r="AY105" s="15">
        <f t="shared" si="303"/>
        <v>0</v>
      </c>
      <c r="AZ105" s="15">
        <f t="shared" si="313"/>
        <v>0</v>
      </c>
      <c r="BA105" s="15">
        <f t="shared" si="323"/>
        <v>0</v>
      </c>
      <c r="BB105" s="15">
        <v>20</v>
      </c>
      <c r="BC105" s="15">
        <f t="shared" si="334"/>
        <v>7</v>
      </c>
      <c r="BD105" s="15">
        <f t="shared" si="344"/>
        <v>8</v>
      </c>
      <c r="BE105" s="15">
        <f t="shared" si="354"/>
        <v>21</v>
      </c>
      <c r="BF105" s="15">
        <f t="shared" si="254"/>
        <v>14</v>
      </c>
      <c r="BG105" s="15">
        <f t="shared" si="264"/>
        <v>3</v>
      </c>
      <c r="BH105" s="15">
        <f t="shared" si="274"/>
        <v>21</v>
      </c>
      <c r="BI105" s="15">
        <f t="shared" si="284"/>
        <v>12</v>
      </c>
      <c r="BJ105" s="15">
        <f t="shared" si="294"/>
        <v>50</v>
      </c>
      <c r="BK105" s="15">
        <f t="shared" si="304"/>
        <v>18</v>
      </c>
      <c r="BL105" s="15">
        <f t="shared" si="314"/>
        <v>3</v>
      </c>
      <c r="BM105" s="15">
        <f t="shared" si="324"/>
        <v>42</v>
      </c>
      <c r="BN105" s="15">
        <v>0</v>
      </c>
      <c r="BO105" s="15">
        <f t="shared" si="335"/>
        <v>0</v>
      </c>
      <c r="BP105" s="15">
        <f t="shared" si="345"/>
        <v>0</v>
      </c>
      <c r="BQ105" s="15">
        <f t="shared" si="355"/>
        <v>0</v>
      </c>
      <c r="BR105" s="15">
        <f t="shared" si="255"/>
        <v>0</v>
      </c>
      <c r="BS105" s="15">
        <f t="shared" si="265"/>
        <v>0</v>
      </c>
      <c r="BT105" s="15">
        <f t="shared" si="275"/>
        <v>0</v>
      </c>
      <c r="BU105" s="15">
        <f t="shared" si="285"/>
        <v>0</v>
      </c>
      <c r="BV105" s="15">
        <f t="shared" si="295"/>
        <v>2</v>
      </c>
      <c r="BW105" s="15">
        <f t="shared" si="305"/>
        <v>0</v>
      </c>
      <c r="BX105" s="15">
        <f t="shared" si="315"/>
        <v>0</v>
      </c>
      <c r="BY105" s="15">
        <f t="shared" si="325"/>
        <v>1</v>
      </c>
      <c r="BZ105" s="15">
        <v>2.2115</v>
      </c>
      <c r="CA105" s="15">
        <f t="shared" si="336"/>
        <v>3.71286</v>
      </c>
      <c r="CB105" s="15">
        <f t="shared" si="346"/>
        <v>9.6649999999999991</v>
      </c>
      <c r="CC105" s="15">
        <f t="shared" si="356"/>
        <v>5.2561900000000001</v>
      </c>
      <c r="CD105" s="15">
        <f t="shared" si="256"/>
        <v>2.7071399999999999</v>
      </c>
      <c r="CE105" s="15">
        <f t="shared" si="266"/>
        <v>5.0066699999999997</v>
      </c>
      <c r="CF105" s="15">
        <f t="shared" si="276"/>
        <v>1.2338100000000001</v>
      </c>
      <c r="CG105" s="15">
        <f t="shared" si="286"/>
        <v>1.55</v>
      </c>
      <c r="CH105" s="15">
        <f t="shared" si="296"/>
        <v>1.0242</v>
      </c>
      <c r="CI105" s="15">
        <f t="shared" si="306"/>
        <v>2.4533299999999998</v>
      </c>
      <c r="CJ105" s="15">
        <f t="shared" si="316"/>
        <v>14.713329999999999</v>
      </c>
      <c r="CK105" s="15">
        <f t="shared" si="326"/>
        <v>2.33738</v>
      </c>
      <c r="CL105" s="15">
        <v>0</v>
      </c>
      <c r="CM105" s="15">
        <f t="shared" si="337"/>
        <v>0</v>
      </c>
      <c r="CN105" s="15">
        <f t="shared" si="347"/>
        <v>1</v>
      </c>
      <c r="CO105" s="15">
        <f t="shared" si="357"/>
        <v>0</v>
      </c>
      <c r="CP105" s="15">
        <f t="shared" si="257"/>
        <v>0</v>
      </c>
      <c r="CQ105" s="15">
        <f t="shared" si="267"/>
        <v>0</v>
      </c>
      <c r="CR105" s="15">
        <f t="shared" si="277"/>
        <v>0</v>
      </c>
      <c r="CS105" s="15">
        <f t="shared" si="287"/>
        <v>0</v>
      </c>
      <c r="CT105" s="15">
        <f t="shared" si="297"/>
        <v>0</v>
      </c>
      <c r="CU105" s="15">
        <f t="shared" si="307"/>
        <v>0</v>
      </c>
      <c r="CV105" s="15">
        <f t="shared" si="317"/>
        <v>0</v>
      </c>
      <c r="CW105" s="15">
        <f t="shared" si="327"/>
        <v>0</v>
      </c>
      <c r="CX105" s="15">
        <v>65.668400000000005</v>
      </c>
      <c r="CY105" s="15">
        <f t="shared" si="338"/>
        <v>74.926000000000002</v>
      </c>
      <c r="CZ105" s="15">
        <f t="shared" si="348"/>
        <v>84.092799999999997</v>
      </c>
      <c r="DA105" s="15">
        <f t="shared" si="358"/>
        <v>79.228099999999998</v>
      </c>
      <c r="DB105" s="15">
        <f t="shared" si="258"/>
        <v>69.726100000000002</v>
      </c>
      <c r="DC105" s="15">
        <f t="shared" si="268"/>
        <v>78.704700000000003</v>
      </c>
      <c r="DD105" s="15">
        <f t="shared" si="278"/>
        <v>50.975299999999997</v>
      </c>
      <c r="DE105" s="15">
        <f t="shared" si="288"/>
        <v>57.171500000000002</v>
      </c>
      <c r="DF105" s="15">
        <f t="shared" si="298"/>
        <v>45.685000000000002</v>
      </c>
      <c r="DG105" s="15">
        <f t="shared" si="308"/>
        <v>67.823800000000006</v>
      </c>
      <c r="DH105" s="15">
        <f t="shared" si="318"/>
        <v>86.111800000000002</v>
      </c>
      <c r="DI105" s="15">
        <f t="shared" si="328"/>
        <v>66.837299999999999</v>
      </c>
      <c r="DJ105" s="15" t="s">
        <v>23</v>
      </c>
      <c r="DK105" s="15" t="str">
        <f t="shared" si="339"/>
        <v>LH</v>
      </c>
      <c r="DL105" s="15" t="str">
        <f t="shared" si="349"/>
        <v>LH</v>
      </c>
      <c r="DM105" s="15" t="str">
        <f t="shared" si="359"/>
        <v>HH</v>
      </c>
      <c r="DN105" s="15" t="str">
        <f t="shared" si="259"/>
        <v>HH</v>
      </c>
      <c r="DO105" s="15" t="str">
        <f t="shared" si="269"/>
        <v>HH</v>
      </c>
      <c r="DP105" s="15" t="str">
        <f t="shared" si="279"/>
        <v>LH</v>
      </c>
      <c r="DQ105" s="15" t="str">
        <f t="shared" si="289"/>
        <v>LH</v>
      </c>
      <c r="DR105" s="15" t="str">
        <f t="shared" si="299"/>
        <v>HH</v>
      </c>
      <c r="DS105" s="15" t="str">
        <f t="shared" si="309"/>
        <v>LH</v>
      </c>
      <c r="DT105" s="15" t="str">
        <f t="shared" si="319"/>
        <v>HH</v>
      </c>
      <c r="DU105" s="15" t="str">
        <f t="shared" si="329"/>
        <v>HH</v>
      </c>
      <c r="DV105" s="15">
        <f>IFERROR((G105-$F105)/$F105*100,"")</f>
        <v>-0.45466408712979195</v>
      </c>
      <c r="DW105" s="15">
        <f>IFERROR((H105-$F105)/$F105*100,"")</f>
        <v>-0.27880540377070923</v>
      </c>
      <c r="DX105" s="15">
        <f>IFERROR((I105-$F105)/$F105*100,"")</f>
        <v>1.2732665802218068</v>
      </c>
      <c r="DY105" s="15">
        <f>IFERROR((J105-$F105)/$F105*100,"")</f>
        <v>-0.45093563447906326</v>
      </c>
      <c r="DZ105" s="15">
        <f>IFERROR((K105-$F105)/$F105*100,"")</f>
        <v>-0.55139671979021021</v>
      </c>
      <c r="EA105" s="15">
        <f>IFERROR((L105-$F105)/$F105*100,"")</f>
        <v>-0.60400932941707419</v>
      </c>
      <c r="EB105" s="15">
        <f>IFERROR((M105-$F105)/$F105*100,"")</f>
        <v>-8.1404549540766105E-2</v>
      </c>
      <c r="EC105" s="15">
        <f>IFERROR((N105-$F105)/$F105*100,"")</f>
        <v>0.22039297890939299</v>
      </c>
      <c r="ED105" s="15">
        <f>IFERROR((O105-$F105)/$F105*100,"")</f>
        <v>5.4891108468984373E-2</v>
      </c>
      <c r="EE105" s="15">
        <f>IFERROR((P105-$F105)/$F105*100,"")</f>
        <v>0.90062845140791503</v>
      </c>
      <c r="EF105" s="15">
        <f>IFERROR((Q105-$F105)/$F105*100,"")</f>
        <v>0.47703480303414547</v>
      </c>
      <c r="EG105" s="15" t="str">
        <f>IF(DV105="","",IF(AND(ABS(DV105)&lt;=0.25,$E105="Bottom",DK105="LL"),"EQL",IF(AND(ABS(DV105)&lt;=0.25,$E105="Peak",DK105="HH"),"EQH","")))</f>
        <v/>
      </c>
      <c r="EH105" s="15" t="str">
        <f>IF(DW105="","",IF(AND(ABS(DW105)&lt;=0.25,$E105="Bottom",DL105="LL"),"EQL",IF(AND(ABS(DW105)&lt;=0.25,$E105="Peak",DL105="HH"),"EQH","")))</f>
        <v/>
      </c>
      <c r="EI105" s="15" t="str">
        <f>IF(DX105="","",IF(AND(ABS(DX105)&lt;=0.25,$E105="Bottom",DM105="LL"),"EQL",IF(AND(ABS(DX105)&lt;=0.25,$E105="Peak",DM105="HH"),"EQH","")))</f>
        <v/>
      </c>
      <c r="EJ105" s="15" t="str">
        <f>IF(DY105="","",IF(AND(ABS(DY105)&lt;=0.25,$E105="Bottom",DN105="LL"),"EQL",IF(AND(ABS(DY105)&lt;=0.25,$E105="Peak",DN105="HH"),"EQH","")))</f>
        <v/>
      </c>
      <c r="EK105" s="15" t="str">
        <f>IF(DZ105="","",IF(AND(ABS(DZ105)&lt;=0.25,$E105="Bottom",DO105="LL"),"EQL",IF(AND(ABS(DZ105)&lt;=0.25,$E105="Peak",DO105="HH"),"EQH","")))</f>
        <v/>
      </c>
      <c r="EL105" s="15" t="str">
        <f>IF(EA105="","",IF(AND(ABS(EA105)&lt;=0.25,$E105="Bottom",DP105="LL"),"EQL",IF(AND(ABS(EA105)&lt;=0.25,$E105="Peak",DP105="HH"),"EQH","")))</f>
        <v/>
      </c>
      <c r="EM105" s="15" t="str">
        <f>IF(EB105="","",IF(AND(ABS(EB105)&lt;=0.25,$E105="Bottom",DQ105="LL"),"EQL",IF(AND(ABS(EB105)&lt;=0.25,$E105="Peak",DQ105="HH"),"EQH","")))</f>
        <v/>
      </c>
      <c r="EN105" s="15" t="str">
        <f>IF(EC105="","",IF(AND(ABS(EC105)&lt;=0.25,$E105="Bottom",DR105="LL"),"EQL",IF(AND(ABS(EC105)&lt;=0.25,$E105="Peak",DR105="HH"),"EQH","")))</f>
        <v>EQH</v>
      </c>
      <c r="EO105" s="15" t="str">
        <f>IF(ED105="","",IF(AND(ABS(ED105)&lt;=0.25,$E105="Bottom",DS105="LL"),"EQL",IF(AND(ABS(ED105)&lt;=0.25,$E105="Peak",DS105="HH"),"EQH","")))</f>
        <v/>
      </c>
      <c r="EP105" s="15" t="str">
        <f>IF(EE105="","",IF(AND(ABS(EE105)&lt;=0.25,$E105="Bottom",DT105="LL"),"EQL",IF(AND(ABS(EE105)&lt;=0.25,$E105="Peak",DT105="HH"),"EQH","")))</f>
        <v/>
      </c>
      <c r="EQ105" s="15" t="str">
        <f>IF(EF105="","",IF(AND(ABS(EF105)&lt;=0.25,$E105="Bottom",DU105="LL"),"EQL",IF(AND(ABS(EF105)&lt;=0.25,$E105="Peak",DU105="HH"),"EQH","")))</f>
        <v/>
      </c>
      <c r="ER105" s="15" t="str">
        <f>IF(OR(EG105="EQL",EG105="EQH"),F105,"")</f>
        <v/>
      </c>
      <c r="ES105" s="15" t="str">
        <f>IF(OR(EH105="EQL",EH105="EQH"),G105,"")</f>
        <v/>
      </c>
      <c r="ET105" s="15" t="str">
        <f>IF(OR(EI105="EQL",EI105="EQH"),H105,"")</f>
        <v/>
      </c>
      <c r="EU105" s="15" t="str">
        <f>IF(OR(EJ105="EQL",EJ105="EQH"),I105,"")</f>
        <v/>
      </c>
      <c r="EV105" s="15" t="str">
        <f>IF(OR(EK105="EQL",EK105="EQH"),J105,"")</f>
        <v/>
      </c>
      <c r="EW105" s="15" t="str">
        <f>IF(OR(EL105="EQL",EL105="EQH"),K105,"")</f>
        <v/>
      </c>
      <c r="EX105" s="15" t="str">
        <f>IF(OR(EM105="EQL",EM105="EQH"),L105,"")</f>
        <v/>
      </c>
      <c r="EY105" s="15">
        <f>IF(OR(EN105="EQL",EN105="EQH"),M105,"")</f>
        <v>4823.8100000000004</v>
      </c>
      <c r="EZ105" s="15" t="str">
        <f>IF(OR(EO105="EQL",EO105="EQH"),N105,"")</f>
        <v/>
      </c>
      <c r="FA105" s="15" t="str">
        <f>IF(OR(EP105="EQL",EP105="EQH"),O105,"")</f>
        <v/>
      </c>
      <c r="FB105" s="15" t="str">
        <f>IF(OR(EQ105="EQL",EQ105="EQH"),P105,"")</f>
        <v/>
      </c>
      <c r="FC105" s="15" t="str">
        <f>IF(AND(EG105="EQL",OR(AQ105=4,AQ105=5)),"IEQL",IF(AND(EG105="EQH",OR(AQ105=1,AQ105=2)),"IEQH",""))</f>
        <v/>
      </c>
      <c r="FD105" s="15" t="str">
        <f>IF(AND(EH105="EQL",OR(AR105=4,AR105=5)),"IEQL",IF(AND(EH105="EQH",OR(AR105=1,AR105=2)),"IEQH",""))</f>
        <v/>
      </c>
      <c r="FE105" s="15" t="str">
        <f>IF(AND(EI105="EQL",OR(AS105=4,AS105=5)),"IEQL",IF(AND(EI105="EQH",OR(AS105=1,AS105=2)),"IEQH",""))</f>
        <v/>
      </c>
      <c r="FF105" s="15" t="str">
        <f>IF(AND(EJ105="EQL",OR(AT105=4,AT105=5)),"IEQL",IF(AND(EJ105="EQH",OR(AT105=1,AT105=2)),"IEQH",""))</f>
        <v/>
      </c>
      <c r="FG105" s="15" t="str">
        <f>IF(AND(EK105="EQL",OR(AU105=4,AU105=5)),"IEQL",IF(AND(EK105="EQH",OR(AU105=1,AU105=2)),"IEQH",""))</f>
        <v/>
      </c>
      <c r="FH105" s="15" t="str">
        <f>IF(AND(EL105="EQL",OR(AV105=4,AV105=5)),"IEQL",IF(AND(EL105="EQH",OR(AV105=1,AV105=2)),"IEQH",""))</f>
        <v/>
      </c>
      <c r="FI105" s="15" t="str">
        <f>IF(AND(EM105="EQL",OR(AW105=4,AW105=5)),"IEQL",IF(AND(EM105="EQH",OR(AW105=1,AW105=2)),"IEQH",""))</f>
        <v/>
      </c>
      <c r="FJ105" s="15" t="str">
        <f>IF(AND(EN105="EQL",OR(AX105=4,AX105=5)),"IEQL",IF(AND(EN105="EQH",OR(AX105=1,AX105=2)),"IEQH",""))</f>
        <v/>
      </c>
      <c r="FK105" s="15" t="str">
        <f>IF(AND(EO105="EQL",OR(AY105=4,AY105=5)),"IEQL",IF(AND(EO105="EQH",OR(AY105=1,AY105=2)),"IEQH",""))</f>
        <v/>
      </c>
      <c r="FL105" s="15" t="str">
        <f>IF(AND(EP105="EQL",OR(AZ105=4,AZ105=5)),"IEQL",IF(AND(EP105="EQH",OR(AZ105=1,AZ105=2)),"IEQH",""))</f>
        <v/>
      </c>
      <c r="FM105" s="15" t="str">
        <f>IF(AND(EQ105="EQL",OR(BA105=4,BA105=5)),"IEQL",IF(AND(EQ105="EQH",OR(BA105=1,BA105=2)),"IEQH",""))</f>
        <v/>
      </c>
      <c r="FN105" s="15" t="str">
        <f>IF(OR(AND(DJ105="LL",AP105=5),AND(DJ105="HH",AP105=2)),F105,"")</f>
        <v/>
      </c>
      <c r="FO105" s="15" t="str">
        <f>IF(FN105&lt;&gt;"",F104,"")</f>
        <v/>
      </c>
    </row>
    <row r="106" spans="1:171" s="15" customFormat="1" x14ac:dyDescent="0.55000000000000004">
      <c r="A106" s="15">
        <v>1776696306</v>
      </c>
      <c r="B106" s="15" t="s">
        <v>16</v>
      </c>
      <c r="C106" s="15" t="s">
        <v>17</v>
      </c>
      <c r="D106" s="15">
        <v>4805.3100000000004</v>
      </c>
      <c r="E106" s="15" t="s">
        <v>18</v>
      </c>
      <c r="F106" s="15">
        <v>4792.42</v>
      </c>
      <c r="G106" s="15">
        <f t="shared" si="330"/>
        <v>4783.51</v>
      </c>
      <c r="H106" s="15">
        <f t="shared" si="340"/>
        <v>4779.8</v>
      </c>
      <c r="I106" s="15">
        <f t="shared" si="350"/>
        <v>4736.96</v>
      </c>
      <c r="J106" s="15">
        <f t="shared" ref="J106:J137" si="360">F98</f>
        <v>4778.83</v>
      </c>
      <c r="K106" s="15">
        <f t="shared" si="260"/>
        <v>4768.07</v>
      </c>
      <c r="L106" s="15">
        <f t="shared" si="270"/>
        <v>4786.1000000000004</v>
      </c>
      <c r="M106" s="15">
        <f t="shared" si="280"/>
        <v>4772.67</v>
      </c>
      <c r="N106" s="15">
        <f t="shared" si="290"/>
        <v>4805.21</v>
      </c>
      <c r="O106" s="15">
        <f t="shared" si="300"/>
        <v>4787.17</v>
      </c>
      <c r="P106" s="15">
        <f t="shared" si="310"/>
        <v>4786.2299999999996</v>
      </c>
      <c r="Q106" s="15">
        <f t="shared" si="320"/>
        <v>4827.08</v>
      </c>
      <c r="R106" s="15">
        <v>-35.32</v>
      </c>
      <c r="S106" s="15">
        <f t="shared" si="331"/>
        <v>-22.28</v>
      </c>
      <c r="T106" s="15">
        <f t="shared" si="341"/>
        <v>-34.479999999999997</v>
      </c>
      <c r="U106" s="15">
        <f t="shared" si="351"/>
        <v>-152.25</v>
      </c>
      <c r="V106" s="15">
        <f t="shared" ref="V106:V137" si="361">R98</f>
        <v>-27.14</v>
      </c>
      <c r="W106" s="15">
        <f t="shared" si="261"/>
        <v>-33.049999999999997</v>
      </c>
      <c r="X106" s="15">
        <f t="shared" si="271"/>
        <v>-12.48</v>
      </c>
      <c r="Y106" s="15">
        <f t="shared" si="281"/>
        <v>-51.14</v>
      </c>
      <c r="Z106" s="15">
        <f t="shared" si="291"/>
        <v>-33.17</v>
      </c>
      <c r="AA106" s="15">
        <f t="shared" si="301"/>
        <v>-43.22</v>
      </c>
      <c r="AB106" s="15">
        <f t="shared" si="311"/>
        <v>-84.99</v>
      </c>
      <c r="AC106" s="15">
        <f t="shared" si="321"/>
        <v>-23.69</v>
      </c>
      <c r="AD106" s="15">
        <v>-0.73</v>
      </c>
      <c r="AE106" s="15">
        <f t="shared" si="332"/>
        <v>-0.46</v>
      </c>
      <c r="AF106" s="15">
        <f t="shared" si="342"/>
        <v>-0.72</v>
      </c>
      <c r="AG106" s="15">
        <f t="shared" si="352"/>
        <v>-3.11</v>
      </c>
      <c r="AH106" s="15">
        <f t="shared" ref="AH106:AH137" si="362">AD98</f>
        <v>-0.56000000000000005</v>
      </c>
      <c r="AI106" s="15">
        <f t="shared" si="262"/>
        <v>-0.69</v>
      </c>
      <c r="AJ106" s="15">
        <f t="shared" si="272"/>
        <v>-0.26</v>
      </c>
      <c r="AK106" s="15">
        <f t="shared" si="282"/>
        <v>-1.06</v>
      </c>
      <c r="AL106" s="15">
        <f t="shared" si="292"/>
        <v>-0.69</v>
      </c>
      <c r="AM106" s="15">
        <f t="shared" si="302"/>
        <v>-0.89</v>
      </c>
      <c r="AN106" s="15">
        <f t="shared" si="312"/>
        <v>-1.74</v>
      </c>
      <c r="AO106" s="15">
        <f t="shared" si="322"/>
        <v>-0.49</v>
      </c>
      <c r="AP106" s="15">
        <v>3</v>
      </c>
      <c r="AQ106" s="15">
        <f t="shared" si="333"/>
        <v>3</v>
      </c>
      <c r="AR106" s="15">
        <f t="shared" si="343"/>
        <v>3</v>
      </c>
      <c r="AS106" s="15">
        <f t="shared" si="353"/>
        <v>5</v>
      </c>
      <c r="AT106" s="15">
        <f t="shared" ref="AT106:AT137" si="363">AP98</f>
        <v>3</v>
      </c>
      <c r="AU106" s="15">
        <f t="shared" si="263"/>
        <v>3</v>
      </c>
      <c r="AV106" s="15">
        <f t="shared" si="273"/>
        <v>3</v>
      </c>
      <c r="AW106" s="15">
        <f t="shared" si="283"/>
        <v>3</v>
      </c>
      <c r="AX106" s="15">
        <f t="shared" si="293"/>
        <v>3</v>
      </c>
      <c r="AY106" s="15">
        <f t="shared" si="303"/>
        <v>3</v>
      </c>
      <c r="AZ106" s="15">
        <f t="shared" si="313"/>
        <v>3</v>
      </c>
      <c r="BA106" s="15">
        <f t="shared" si="323"/>
        <v>3</v>
      </c>
      <c r="BB106" s="15">
        <v>1</v>
      </c>
      <c r="BC106" s="15">
        <f t="shared" si="334"/>
        <v>9</v>
      </c>
      <c r="BD106" s="15">
        <f t="shared" si="344"/>
        <v>15</v>
      </c>
      <c r="BE106" s="15">
        <f t="shared" si="354"/>
        <v>39</v>
      </c>
      <c r="BF106" s="15">
        <f t="shared" ref="BF106:BF137" si="364">BB98</f>
        <v>11</v>
      </c>
      <c r="BG106" s="15">
        <f t="shared" si="264"/>
        <v>3</v>
      </c>
      <c r="BH106" s="15">
        <f t="shared" si="274"/>
        <v>13</v>
      </c>
      <c r="BI106" s="15">
        <f t="shared" si="284"/>
        <v>4</v>
      </c>
      <c r="BJ106" s="15">
        <f t="shared" si="294"/>
        <v>22</v>
      </c>
      <c r="BK106" s="15">
        <f t="shared" si="304"/>
        <v>5</v>
      </c>
      <c r="BL106" s="15">
        <f t="shared" si="314"/>
        <v>34</v>
      </c>
      <c r="BM106" s="15">
        <f t="shared" si="324"/>
        <v>10</v>
      </c>
      <c r="BN106" s="15">
        <v>3</v>
      </c>
      <c r="BO106" s="15">
        <f t="shared" si="335"/>
        <v>3</v>
      </c>
      <c r="BP106" s="15">
        <f t="shared" si="345"/>
        <v>3</v>
      </c>
      <c r="BQ106" s="15">
        <f t="shared" si="355"/>
        <v>4</v>
      </c>
      <c r="BR106" s="15">
        <f t="shared" ref="BR106:BR137" si="365">BN98</f>
        <v>3</v>
      </c>
      <c r="BS106" s="15">
        <f t="shared" si="265"/>
        <v>3</v>
      </c>
      <c r="BT106" s="15">
        <f t="shared" si="275"/>
        <v>3</v>
      </c>
      <c r="BU106" s="15">
        <f t="shared" si="285"/>
        <v>3</v>
      </c>
      <c r="BV106" s="15">
        <f t="shared" si="295"/>
        <v>3</v>
      </c>
      <c r="BW106" s="15">
        <f t="shared" si="305"/>
        <v>3</v>
      </c>
      <c r="BX106" s="15">
        <f t="shared" si="315"/>
        <v>3</v>
      </c>
      <c r="BY106" s="15">
        <f t="shared" si="325"/>
        <v>3</v>
      </c>
      <c r="BZ106" s="15">
        <v>-35.32</v>
      </c>
      <c r="CA106" s="15">
        <f t="shared" si="336"/>
        <v>-2.4755600000000002</v>
      </c>
      <c r="CB106" s="15">
        <f t="shared" si="346"/>
        <v>-2.29867</v>
      </c>
      <c r="CC106" s="15">
        <f t="shared" si="356"/>
        <v>-3.9038499999999998</v>
      </c>
      <c r="CD106" s="15">
        <f t="shared" ref="CD106:CD137" si="366">BZ98</f>
        <v>-2.4672700000000001</v>
      </c>
      <c r="CE106" s="15">
        <f t="shared" si="266"/>
        <v>-11.01667</v>
      </c>
      <c r="CF106" s="15">
        <f t="shared" si="276"/>
        <v>-0.96</v>
      </c>
      <c r="CG106" s="15">
        <f t="shared" si="286"/>
        <v>-12.785</v>
      </c>
      <c r="CH106" s="15">
        <f t="shared" si="296"/>
        <v>-1.50773</v>
      </c>
      <c r="CI106" s="15">
        <f t="shared" si="306"/>
        <v>-8.6440000000000001</v>
      </c>
      <c r="CJ106" s="15">
        <f t="shared" si="316"/>
        <v>-2.4997099999999999</v>
      </c>
      <c r="CK106" s="15">
        <f t="shared" si="326"/>
        <v>-2.3690000000000002</v>
      </c>
      <c r="CL106" s="15">
        <v>5</v>
      </c>
      <c r="CM106" s="15">
        <f t="shared" si="337"/>
        <v>3</v>
      </c>
      <c r="CN106" s="15">
        <f t="shared" si="347"/>
        <v>3</v>
      </c>
      <c r="CO106" s="15">
        <f t="shared" si="357"/>
        <v>3</v>
      </c>
      <c r="CP106" s="15">
        <f t="shared" ref="CP106:CP137" si="367">CL98</f>
        <v>3</v>
      </c>
      <c r="CQ106" s="15">
        <f t="shared" si="267"/>
        <v>5</v>
      </c>
      <c r="CR106" s="15">
        <f t="shared" si="277"/>
        <v>3</v>
      </c>
      <c r="CS106" s="15">
        <f t="shared" si="287"/>
        <v>5</v>
      </c>
      <c r="CT106" s="15">
        <f t="shared" si="297"/>
        <v>3</v>
      </c>
      <c r="CU106" s="15">
        <f t="shared" si="307"/>
        <v>3</v>
      </c>
      <c r="CV106" s="15">
        <f t="shared" si="317"/>
        <v>3</v>
      </c>
      <c r="CW106" s="15">
        <f t="shared" si="327"/>
        <v>3</v>
      </c>
      <c r="CX106" s="15">
        <v>-88.378200000000007</v>
      </c>
      <c r="CY106" s="15">
        <f t="shared" si="338"/>
        <v>-68.003799999999998</v>
      </c>
      <c r="CZ106" s="15">
        <f t="shared" si="348"/>
        <v>-66.4893</v>
      </c>
      <c r="DA106" s="15">
        <f t="shared" si="358"/>
        <v>-75.632199999999997</v>
      </c>
      <c r="DB106" s="15">
        <f t="shared" ref="DB106:DB137" si="368">CX98</f>
        <v>-67.936999999999998</v>
      </c>
      <c r="DC106" s="15">
        <f t="shared" si="268"/>
        <v>-84.813400000000001</v>
      </c>
      <c r="DD106" s="15">
        <f t="shared" si="278"/>
        <v>-43.8309</v>
      </c>
      <c r="DE106" s="15">
        <f t="shared" si="288"/>
        <v>-85.527600000000007</v>
      </c>
      <c r="DF106" s="15">
        <f t="shared" si="298"/>
        <v>-56.445700000000002</v>
      </c>
      <c r="DG106" s="15">
        <f t="shared" si="308"/>
        <v>-83.400899999999993</v>
      </c>
      <c r="DH106" s="15">
        <f t="shared" si="318"/>
        <v>-68.196299999999994</v>
      </c>
      <c r="DI106" s="15">
        <f t="shared" si="328"/>
        <v>-67.114500000000007</v>
      </c>
      <c r="DJ106" s="15" t="s">
        <v>22</v>
      </c>
      <c r="DK106" s="15" t="str">
        <f t="shared" si="339"/>
        <v>HL</v>
      </c>
      <c r="DL106" s="15" t="str">
        <f t="shared" si="349"/>
        <v>HL</v>
      </c>
      <c r="DM106" s="15" t="str">
        <f t="shared" si="359"/>
        <v>LL</v>
      </c>
      <c r="DN106" s="15" t="str">
        <f t="shared" ref="DN106:DN137" si="369">DJ98</f>
        <v>HL</v>
      </c>
      <c r="DO106" s="15" t="str">
        <f t="shared" si="269"/>
        <v>LL</v>
      </c>
      <c r="DP106" s="15" t="str">
        <f t="shared" si="279"/>
        <v>HL</v>
      </c>
      <c r="DQ106" s="15" t="str">
        <f t="shared" si="289"/>
        <v>LL</v>
      </c>
      <c r="DR106" s="15" t="str">
        <f t="shared" si="299"/>
        <v>HL</v>
      </c>
      <c r="DS106" s="15" t="str">
        <f t="shared" si="309"/>
        <v>HL</v>
      </c>
      <c r="DT106" s="15" t="str">
        <f t="shared" si="319"/>
        <v>LL</v>
      </c>
      <c r="DU106" s="15" t="str">
        <f t="shared" si="329"/>
        <v>HL</v>
      </c>
      <c r="DV106" s="15">
        <f>IFERROR((G106-$F106)/$F106*100,"")</f>
        <v>-0.1859185964502246</v>
      </c>
      <c r="DW106" s="15">
        <f>IFERROR((H106-$F106)/$F106*100,"")</f>
        <v>-0.26333251259280049</v>
      </c>
      <c r="DX106" s="15">
        <f>IFERROR((I106-$F106)/$F106*100,"")</f>
        <v>-1.1572441480504636</v>
      </c>
      <c r="DY106" s="15">
        <f>IFERROR((J106-$F106)/$F106*100,"")</f>
        <v>-0.28357280872711793</v>
      </c>
      <c r="DZ106" s="15">
        <f>IFERROR((K106-$F106)/$F106*100,"")</f>
        <v>-0.50809403182526502</v>
      </c>
      <c r="EA106" s="15">
        <f>IFERROR((L106-$F106)/$F106*100,"")</f>
        <v>-0.13187491914314081</v>
      </c>
      <c r="EB106" s="15">
        <f>IFERROR((M106-$F106)/$F106*100,"")</f>
        <v>-0.41210912232233404</v>
      </c>
      <c r="EC106" s="15">
        <f>IFERROR((N106-$F106)/$F106*100,"")</f>
        <v>0.26687978098747528</v>
      </c>
      <c r="ED106" s="15">
        <f>IFERROR((O106-$F106)/$F106*100,"")</f>
        <v>-0.10954799454137992</v>
      </c>
      <c r="EE106" s="15">
        <f>IFERROR((P106-$F106)/$F106*100,"")</f>
        <v>-0.1291623021354662</v>
      </c>
      <c r="EF106" s="15">
        <f>IFERROR((Q106-$F106)/$F106*100,"")</f>
        <v>0.72322542681984991</v>
      </c>
      <c r="EG106" s="15" t="str">
        <f>IF(DV106="","",IF(AND(ABS(DV106)&lt;=0.25,$E106="Bottom",DK106="LL"),"EQL",IF(AND(ABS(DV106)&lt;=0.25,$E106="Peak",DK106="HH"),"EQH","")))</f>
        <v/>
      </c>
      <c r="EH106" s="15" t="str">
        <f>IF(DW106="","",IF(AND(ABS(DW106)&lt;=0.25,$E106="Bottom",DL106="LL"),"EQL",IF(AND(ABS(DW106)&lt;=0.25,$E106="Peak",DL106="HH"),"EQH","")))</f>
        <v/>
      </c>
      <c r="EI106" s="15" t="str">
        <f>IF(DX106="","",IF(AND(ABS(DX106)&lt;=0.25,$E106="Bottom",DM106="LL"),"EQL",IF(AND(ABS(DX106)&lt;=0.25,$E106="Peak",DM106="HH"),"EQH","")))</f>
        <v/>
      </c>
      <c r="EJ106" s="15" t="str">
        <f>IF(DY106="","",IF(AND(ABS(DY106)&lt;=0.25,$E106="Bottom",DN106="LL"),"EQL",IF(AND(ABS(DY106)&lt;=0.25,$E106="Peak",DN106="HH"),"EQH","")))</f>
        <v/>
      </c>
      <c r="EK106" s="15" t="str">
        <f>IF(DZ106="","",IF(AND(ABS(DZ106)&lt;=0.25,$E106="Bottom",DO106="LL"),"EQL",IF(AND(ABS(DZ106)&lt;=0.25,$E106="Peak",DO106="HH"),"EQH","")))</f>
        <v/>
      </c>
      <c r="EL106" s="15" t="str">
        <f>IF(EA106="","",IF(AND(ABS(EA106)&lt;=0.25,$E106="Bottom",DP106="LL"),"EQL",IF(AND(ABS(EA106)&lt;=0.25,$E106="Peak",DP106="HH"),"EQH","")))</f>
        <v/>
      </c>
      <c r="EM106" s="15" t="str">
        <f>IF(EB106="","",IF(AND(ABS(EB106)&lt;=0.25,$E106="Bottom",DQ106="LL"),"EQL",IF(AND(ABS(EB106)&lt;=0.25,$E106="Peak",DQ106="HH"),"EQH","")))</f>
        <v/>
      </c>
      <c r="EN106" s="15" t="str">
        <f>IF(EC106="","",IF(AND(ABS(EC106)&lt;=0.25,$E106="Bottom",DR106="LL"),"EQL",IF(AND(ABS(EC106)&lt;=0.25,$E106="Peak",DR106="HH"),"EQH","")))</f>
        <v/>
      </c>
      <c r="EO106" s="15" t="str">
        <f>IF(ED106="","",IF(AND(ABS(ED106)&lt;=0.25,$E106="Bottom",DS106="LL"),"EQL",IF(AND(ABS(ED106)&lt;=0.25,$E106="Peak",DS106="HH"),"EQH","")))</f>
        <v/>
      </c>
      <c r="EP106" s="15" t="str">
        <f>IF(EE106="","",IF(AND(ABS(EE106)&lt;=0.25,$E106="Bottom",DT106="LL"),"EQL",IF(AND(ABS(EE106)&lt;=0.25,$E106="Peak",DT106="HH"),"EQH","")))</f>
        <v>EQL</v>
      </c>
      <c r="EQ106" s="15" t="str">
        <f>IF(EF106="","",IF(AND(ABS(EF106)&lt;=0.25,$E106="Bottom",DU106="LL"),"EQL",IF(AND(ABS(EF106)&lt;=0.25,$E106="Peak",DU106="HH"),"EQH","")))</f>
        <v/>
      </c>
      <c r="ER106" s="15" t="str">
        <f>IF(OR(EG106="EQL",EG106="EQH"),F106,"")</f>
        <v/>
      </c>
      <c r="ES106" s="15" t="str">
        <f>IF(OR(EH106="EQL",EH106="EQH"),G106,"")</f>
        <v/>
      </c>
      <c r="ET106" s="15" t="str">
        <f>IF(OR(EI106="EQL",EI106="EQH"),H106,"")</f>
        <v/>
      </c>
      <c r="EU106" s="15" t="str">
        <f>IF(OR(EJ106="EQL",EJ106="EQH"),I106,"")</f>
        <v/>
      </c>
      <c r="EV106" s="15" t="str">
        <f>IF(OR(EK106="EQL",EK106="EQH"),J106,"")</f>
        <v/>
      </c>
      <c r="EW106" s="15" t="str">
        <f>IF(OR(EL106="EQL",EL106="EQH"),K106,"")</f>
        <v/>
      </c>
      <c r="EX106" s="15" t="str">
        <f>IF(OR(EM106="EQL",EM106="EQH"),L106,"")</f>
        <v/>
      </c>
      <c r="EY106" s="15" t="str">
        <f>IF(OR(EN106="EQL",EN106="EQH"),M106,"")</f>
        <v/>
      </c>
      <c r="EZ106" s="15" t="str">
        <f>IF(OR(EO106="EQL",EO106="EQH"),N106,"")</f>
        <v/>
      </c>
      <c r="FA106" s="15">
        <f>IF(OR(EP106="EQL",EP106="EQH"),O106,"")</f>
        <v>4787.17</v>
      </c>
      <c r="FB106" s="15" t="str">
        <f>IF(OR(EQ106="EQL",EQ106="EQH"),P106,"")</f>
        <v/>
      </c>
      <c r="FC106" s="15" t="str">
        <f>IF(AND(EG106="EQL",OR(AQ106=4,AQ106=5)),"IEQL",IF(AND(EG106="EQH",OR(AQ106=1,AQ106=2)),"IEQH",""))</f>
        <v/>
      </c>
      <c r="FD106" s="15" t="str">
        <f>IF(AND(EH106="EQL",OR(AR106=4,AR106=5)),"IEQL",IF(AND(EH106="EQH",OR(AR106=1,AR106=2)),"IEQH",""))</f>
        <v/>
      </c>
      <c r="FE106" s="15" t="str">
        <f>IF(AND(EI106="EQL",OR(AS106=4,AS106=5)),"IEQL",IF(AND(EI106="EQH",OR(AS106=1,AS106=2)),"IEQH",""))</f>
        <v/>
      </c>
      <c r="FF106" s="15" t="str">
        <f>IF(AND(EJ106="EQL",OR(AT106=4,AT106=5)),"IEQL",IF(AND(EJ106="EQH",OR(AT106=1,AT106=2)),"IEQH",""))</f>
        <v/>
      </c>
      <c r="FG106" s="15" t="str">
        <f>IF(AND(EK106="EQL",OR(AU106=4,AU106=5)),"IEQL",IF(AND(EK106="EQH",OR(AU106=1,AU106=2)),"IEQH",""))</f>
        <v/>
      </c>
      <c r="FH106" s="15" t="str">
        <f>IF(AND(EL106="EQL",OR(AV106=4,AV106=5)),"IEQL",IF(AND(EL106="EQH",OR(AV106=1,AV106=2)),"IEQH",""))</f>
        <v/>
      </c>
      <c r="FI106" s="15" t="str">
        <f>IF(AND(EM106="EQL",OR(AW106=4,AW106=5)),"IEQL",IF(AND(EM106="EQH",OR(AW106=1,AW106=2)),"IEQH",""))</f>
        <v/>
      </c>
      <c r="FJ106" s="15" t="str">
        <f>IF(AND(EN106="EQL",OR(AX106=4,AX106=5)),"IEQL",IF(AND(EN106="EQH",OR(AX106=1,AX106=2)),"IEQH",""))</f>
        <v/>
      </c>
      <c r="FK106" s="15" t="str">
        <f>IF(AND(EO106="EQL",OR(AY106=4,AY106=5)),"IEQL",IF(AND(EO106="EQH",OR(AY106=1,AY106=2)),"IEQH",""))</f>
        <v/>
      </c>
      <c r="FL106" s="15" t="str">
        <f>IF(AND(EP106="EQL",OR(AZ106=4,AZ106=5)),"IEQL",IF(AND(EP106="EQH",OR(AZ106=1,AZ106=2)),"IEQH",""))</f>
        <v/>
      </c>
      <c r="FM106" s="15" t="str">
        <f>IF(AND(EQ106="EQL",OR(BA106=4,BA106=5)),"IEQL",IF(AND(EQ106="EQH",OR(BA106=1,BA106=2)),"IEQH",""))</f>
        <v/>
      </c>
      <c r="FN106" s="15" t="str">
        <f>IF(OR(AND(DJ106="LL",AP106=5),AND(DJ106="HH",AP106=2)),F106,"")</f>
        <v/>
      </c>
      <c r="FO106" s="15" t="str">
        <f>IF(FN106&lt;&gt;"",F105,"")</f>
        <v/>
      </c>
    </row>
    <row r="107" spans="1:171" s="15" customFormat="1" x14ac:dyDescent="0.55000000000000004">
      <c r="A107" s="15">
        <v>1776723306</v>
      </c>
      <c r="B107" s="15" t="s">
        <v>16</v>
      </c>
      <c r="C107" s="15" t="s">
        <v>17</v>
      </c>
      <c r="D107" s="15">
        <v>4828.53</v>
      </c>
      <c r="E107" s="15" t="s">
        <v>20</v>
      </c>
      <c r="F107" s="15">
        <v>4833.25</v>
      </c>
      <c r="G107" s="15">
        <f t="shared" si="330"/>
        <v>4827.74</v>
      </c>
      <c r="H107" s="15">
        <f t="shared" si="340"/>
        <v>4805.79</v>
      </c>
      <c r="I107" s="15">
        <f t="shared" si="350"/>
        <v>4814.28</v>
      </c>
      <c r="J107" s="15">
        <f t="shared" si="360"/>
        <v>4889.21</v>
      </c>
      <c r="K107" s="15">
        <f t="shared" si="260"/>
        <v>4805.97</v>
      </c>
      <c r="L107" s="15">
        <f t="shared" si="270"/>
        <v>4801.12</v>
      </c>
      <c r="M107" s="15">
        <f t="shared" si="280"/>
        <v>4798.58</v>
      </c>
      <c r="N107" s="15">
        <f t="shared" si="290"/>
        <v>4823.8100000000004</v>
      </c>
      <c r="O107" s="15">
        <f t="shared" si="300"/>
        <v>4838.38</v>
      </c>
      <c r="P107" s="15">
        <f t="shared" si="310"/>
        <v>4830.3900000000003</v>
      </c>
      <c r="Q107" s="15">
        <f t="shared" si="320"/>
        <v>4871.22</v>
      </c>
      <c r="R107" s="15">
        <v>40.83</v>
      </c>
      <c r="S107" s="15">
        <f t="shared" si="331"/>
        <v>44.23</v>
      </c>
      <c r="T107" s="15">
        <f t="shared" si="341"/>
        <v>25.99</v>
      </c>
      <c r="U107" s="15">
        <f t="shared" si="351"/>
        <v>77.319999999999993</v>
      </c>
      <c r="V107" s="15">
        <f t="shared" si="361"/>
        <v>110.38</v>
      </c>
      <c r="W107" s="15">
        <f t="shared" si="261"/>
        <v>37.9</v>
      </c>
      <c r="X107" s="15">
        <f t="shared" si="271"/>
        <v>15.02</v>
      </c>
      <c r="Y107" s="15">
        <f t="shared" si="281"/>
        <v>25.91</v>
      </c>
      <c r="Z107" s="15">
        <f t="shared" si="291"/>
        <v>18.600000000000001</v>
      </c>
      <c r="AA107" s="15">
        <f t="shared" si="301"/>
        <v>51.21</v>
      </c>
      <c r="AB107" s="15">
        <f t="shared" si="311"/>
        <v>44.16</v>
      </c>
      <c r="AC107" s="15">
        <f t="shared" si="321"/>
        <v>44.14</v>
      </c>
      <c r="AD107" s="15">
        <v>0.85</v>
      </c>
      <c r="AE107" s="15">
        <f t="shared" si="332"/>
        <v>0.92</v>
      </c>
      <c r="AF107" s="15">
        <f t="shared" si="342"/>
        <v>0.54</v>
      </c>
      <c r="AG107" s="15">
        <f t="shared" si="352"/>
        <v>1.63</v>
      </c>
      <c r="AH107" s="15">
        <f t="shared" si="362"/>
        <v>2.31</v>
      </c>
      <c r="AI107" s="15">
        <f t="shared" si="262"/>
        <v>0.79</v>
      </c>
      <c r="AJ107" s="15">
        <f t="shared" si="272"/>
        <v>0.31</v>
      </c>
      <c r="AK107" s="15">
        <f t="shared" si="282"/>
        <v>0.54</v>
      </c>
      <c r="AL107" s="15">
        <f t="shared" si="292"/>
        <v>0.39</v>
      </c>
      <c r="AM107" s="15">
        <f t="shared" si="302"/>
        <v>1.07</v>
      </c>
      <c r="AN107" s="15">
        <f t="shared" si="312"/>
        <v>0.92</v>
      </c>
      <c r="AO107" s="15">
        <f t="shared" si="322"/>
        <v>0.91</v>
      </c>
      <c r="AP107" s="15">
        <v>0</v>
      </c>
      <c r="AQ107" s="15">
        <f t="shared" si="333"/>
        <v>0</v>
      </c>
      <c r="AR107" s="15">
        <f t="shared" si="343"/>
        <v>0</v>
      </c>
      <c r="AS107" s="15">
        <f t="shared" si="353"/>
        <v>0</v>
      </c>
      <c r="AT107" s="15">
        <f t="shared" si="363"/>
        <v>0</v>
      </c>
      <c r="AU107" s="15">
        <f t="shared" si="263"/>
        <v>0</v>
      </c>
      <c r="AV107" s="15">
        <f t="shared" si="273"/>
        <v>0</v>
      </c>
      <c r="AW107" s="15">
        <f t="shared" si="283"/>
        <v>0</v>
      </c>
      <c r="AX107" s="15">
        <f t="shared" si="293"/>
        <v>0</v>
      </c>
      <c r="AY107" s="15">
        <f t="shared" si="303"/>
        <v>0</v>
      </c>
      <c r="AZ107" s="15">
        <f t="shared" si="313"/>
        <v>0</v>
      </c>
      <c r="BA107" s="15">
        <f t="shared" si="323"/>
        <v>0</v>
      </c>
      <c r="BB107" s="15">
        <v>26</v>
      </c>
      <c r="BC107" s="15">
        <f t="shared" si="334"/>
        <v>20</v>
      </c>
      <c r="BD107" s="15">
        <f t="shared" si="344"/>
        <v>7</v>
      </c>
      <c r="BE107" s="15">
        <f t="shared" si="354"/>
        <v>8</v>
      </c>
      <c r="BF107" s="15">
        <f t="shared" si="364"/>
        <v>21</v>
      </c>
      <c r="BG107" s="15">
        <f t="shared" si="264"/>
        <v>14</v>
      </c>
      <c r="BH107" s="15">
        <f t="shared" si="274"/>
        <v>3</v>
      </c>
      <c r="BI107" s="15">
        <f t="shared" si="284"/>
        <v>21</v>
      </c>
      <c r="BJ107" s="15">
        <f t="shared" si="294"/>
        <v>12</v>
      </c>
      <c r="BK107" s="15">
        <f t="shared" si="304"/>
        <v>50</v>
      </c>
      <c r="BL107" s="15">
        <f t="shared" si="314"/>
        <v>18</v>
      </c>
      <c r="BM107" s="15">
        <f t="shared" si="324"/>
        <v>3</v>
      </c>
      <c r="BN107" s="15">
        <v>0</v>
      </c>
      <c r="BO107" s="15">
        <f t="shared" si="335"/>
        <v>0</v>
      </c>
      <c r="BP107" s="15">
        <f t="shared" si="345"/>
        <v>0</v>
      </c>
      <c r="BQ107" s="15">
        <f t="shared" si="355"/>
        <v>0</v>
      </c>
      <c r="BR107" s="15">
        <f t="shared" si="365"/>
        <v>0</v>
      </c>
      <c r="BS107" s="15">
        <f t="shared" si="265"/>
        <v>0</v>
      </c>
      <c r="BT107" s="15">
        <f t="shared" si="275"/>
        <v>0</v>
      </c>
      <c r="BU107" s="15">
        <f t="shared" si="285"/>
        <v>0</v>
      </c>
      <c r="BV107" s="15">
        <f t="shared" si="295"/>
        <v>0</v>
      </c>
      <c r="BW107" s="15">
        <f t="shared" si="305"/>
        <v>2</v>
      </c>
      <c r="BX107" s="15">
        <f t="shared" si="315"/>
        <v>0</v>
      </c>
      <c r="BY107" s="15">
        <f t="shared" si="325"/>
        <v>0</v>
      </c>
      <c r="BZ107" s="15">
        <v>1.5703800000000001</v>
      </c>
      <c r="CA107" s="15">
        <f t="shared" si="336"/>
        <v>2.2115</v>
      </c>
      <c r="CB107" s="15">
        <f t="shared" si="346"/>
        <v>3.71286</v>
      </c>
      <c r="CC107" s="15">
        <f t="shared" si="356"/>
        <v>9.6649999999999991</v>
      </c>
      <c r="CD107" s="15">
        <f t="shared" si="366"/>
        <v>5.2561900000000001</v>
      </c>
      <c r="CE107" s="15">
        <f t="shared" si="266"/>
        <v>2.7071399999999999</v>
      </c>
      <c r="CF107" s="15">
        <f t="shared" si="276"/>
        <v>5.0066699999999997</v>
      </c>
      <c r="CG107" s="15">
        <f t="shared" si="286"/>
        <v>1.2338100000000001</v>
      </c>
      <c r="CH107" s="15">
        <f t="shared" si="296"/>
        <v>1.55</v>
      </c>
      <c r="CI107" s="15">
        <f t="shared" si="306"/>
        <v>1.0242</v>
      </c>
      <c r="CJ107" s="15">
        <f t="shared" si="316"/>
        <v>2.4533299999999998</v>
      </c>
      <c r="CK107" s="15">
        <f t="shared" si="326"/>
        <v>14.713329999999999</v>
      </c>
      <c r="CL107" s="15">
        <v>0</v>
      </c>
      <c r="CM107" s="15">
        <f t="shared" si="337"/>
        <v>0</v>
      </c>
      <c r="CN107" s="15">
        <f t="shared" si="347"/>
        <v>0</v>
      </c>
      <c r="CO107" s="15">
        <f t="shared" si="357"/>
        <v>1</v>
      </c>
      <c r="CP107" s="15">
        <f t="shared" si="367"/>
        <v>0</v>
      </c>
      <c r="CQ107" s="15">
        <f t="shared" si="267"/>
        <v>0</v>
      </c>
      <c r="CR107" s="15">
        <f t="shared" si="277"/>
        <v>0</v>
      </c>
      <c r="CS107" s="15">
        <f t="shared" si="287"/>
        <v>0</v>
      </c>
      <c r="CT107" s="15">
        <f t="shared" si="297"/>
        <v>0</v>
      </c>
      <c r="CU107" s="15">
        <f t="shared" si="307"/>
        <v>0</v>
      </c>
      <c r="CV107" s="15">
        <f t="shared" si="317"/>
        <v>0</v>
      </c>
      <c r="CW107" s="15">
        <f t="shared" si="327"/>
        <v>0</v>
      </c>
      <c r="CX107" s="15">
        <v>57.511600000000001</v>
      </c>
      <c r="CY107" s="15">
        <f t="shared" si="338"/>
        <v>65.668400000000005</v>
      </c>
      <c r="CZ107" s="15">
        <f t="shared" si="348"/>
        <v>74.926000000000002</v>
      </c>
      <c r="DA107" s="15">
        <f t="shared" si="358"/>
        <v>84.092799999999997</v>
      </c>
      <c r="DB107" s="15">
        <f t="shared" si="368"/>
        <v>79.228099999999998</v>
      </c>
      <c r="DC107" s="15">
        <f t="shared" si="268"/>
        <v>69.726100000000002</v>
      </c>
      <c r="DD107" s="15">
        <f t="shared" si="278"/>
        <v>78.704700000000003</v>
      </c>
      <c r="DE107" s="15">
        <f t="shared" si="288"/>
        <v>50.975299999999997</v>
      </c>
      <c r="DF107" s="15">
        <f t="shared" si="298"/>
        <v>57.171500000000002</v>
      </c>
      <c r="DG107" s="15">
        <f t="shared" si="308"/>
        <v>45.685000000000002</v>
      </c>
      <c r="DH107" s="15">
        <f t="shared" si="318"/>
        <v>67.823800000000006</v>
      </c>
      <c r="DI107" s="15">
        <f t="shared" si="328"/>
        <v>86.111800000000002</v>
      </c>
      <c r="DJ107" s="15" t="s">
        <v>23</v>
      </c>
      <c r="DK107" s="15" t="str">
        <f t="shared" si="339"/>
        <v>HH</v>
      </c>
      <c r="DL107" s="15" t="str">
        <f t="shared" si="349"/>
        <v>LH</v>
      </c>
      <c r="DM107" s="15" t="str">
        <f t="shared" si="359"/>
        <v>LH</v>
      </c>
      <c r="DN107" s="15" t="str">
        <f t="shared" si="369"/>
        <v>HH</v>
      </c>
      <c r="DO107" s="15" t="str">
        <f t="shared" si="269"/>
        <v>HH</v>
      </c>
      <c r="DP107" s="15" t="str">
        <f t="shared" si="279"/>
        <v>HH</v>
      </c>
      <c r="DQ107" s="15" t="str">
        <f t="shared" si="289"/>
        <v>LH</v>
      </c>
      <c r="DR107" s="15" t="str">
        <f t="shared" si="299"/>
        <v>LH</v>
      </c>
      <c r="DS107" s="15" t="str">
        <f t="shared" si="309"/>
        <v>HH</v>
      </c>
      <c r="DT107" s="15" t="str">
        <f t="shared" si="319"/>
        <v>LH</v>
      </c>
      <c r="DU107" s="15" t="str">
        <f t="shared" si="329"/>
        <v>HH</v>
      </c>
      <c r="DV107" s="15">
        <f>IFERROR((G107-$F107)/$F107*100,"")</f>
        <v>-0.11400196555113472</v>
      </c>
      <c r="DW107" s="15">
        <f>IFERROR((H107-$F107)/$F107*100,"")</f>
        <v>-0.56814772668494351</v>
      </c>
      <c r="DX107" s="15">
        <f>IFERROR((I107-$F107)/$F107*100,"")</f>
        <v>-0.3924895256814826</v>
      </c>
      <c r="DY107" s="15">
        <f>IFERROR((J107-$F107)/$F107*100,"")</f>
        <v>1.1578130657425136</v>
      </c>
      <c r="DZ107" s="15">
        <f>IFERROR((K107-$F107)/$F107*100,"")</f>
        <v>-0.56442352454352129</v>
      </c>
      <c r="EA107" s="15">
        <f>IFERROR((L107-$F107)/$F107*100,"")</f>
        <v>-0.66477008224279954</v>
      </c>
      <c r="EB107" s="15">
        <f>IFERROR((M107-$F107)/$F107*100,"")</f>
        <v>-0.71732271246056112</v>
      </c>
      <c r="EC107" s="15">
        <f>IFERROR((N107-$F107)/$F107*100,"")</f>
        <v>-0.19531371230537631</v>
      </c>
      <c r="ED107" s="15">
        <f>IFERROR((O107-$F107)/$F107*100,"")</f>
        <v>0.10613976103036485</v>
      </c>
      <c r="EE107" s="15">
        <f>IFERROR((P107-$F107)/$F107*100,"")</f>
        <v>-5.9173434024717787E-2</v>
      </c>
      <c r="EF107" s="15">
        <f>IFERROR((Q107-$F107)/$F107*100,"")</f>
        <v>0.78559975171986263</v>
      </c>
      <c r="EG107" s="15" t="str">
        <f>IF(DV107="","",IF(AND(ABS(DV107)&lt;=0.25,$E107="Bottom",DK107="LL"),"EQL",IF(AND(ABS(DV107)&lt;=0.25,$E107="Peak",DK107="HH"),"EQH","")))</f>
        <v>EQH</v>
      </c>
      <c r="EH107" s="15" t="str">
        <f>IF(DW107="","",IF(AND(ABS(DW107)&lt;=0.25,$E107="Bottom",DL107="LL"),"EQL",IF(AND(ABS(DW107)&lt;=0.25,$E107="Peak",DL107="HH"),"EQH","")))</f>
        <v/>
      </c>
      <c r="EI107" s="15" t="str">
        <f>IF(DX107="","",IF(AND(ABS(DX107)&lt;=0.25,$E107="Bottom",DM107="LL"),"EQL",IF(AND(ABS(DX107)&lt;=0.25,$E107="Peak",DM107="HH"),"EQH","")))</f>
        <v/>
      </c>
      <c r="EJ107" s="15" t="str">
        <f>IF(DY107="","",IF(AND(ABS(DY107)&lt;=0.25,$E107="Bottom",DN107="LL"),"EQL",IF(AND(ABS(DY107)&lt;=0.25,$E107="Peak",DN107="HH"),"EQH","")))</f>
        <v/>
      </c>
      <c r="EK107" s="15" t="str">
        <f>IF(DZ107="","",IF(AND(ABS(DZ107)&lt;=0.25,$E107="Bottom",DO107="LL"),"EQL",IF(AND(ABS(DZ107)&lt;=0.25,$E107="Peak",DO107="HH"),"EQH","")))</f>
        <v/>
      </c>
      <c r="EL107" s="15" t="str">
        <f>IF(EA107="","",IF(AND(ABS(EA107)&lt;=0.25,$E107="Bottom",DP107="LL"),"EQL",IF(AND(ABS(EA107)&lt;=0.25,$E107="Peak",DP107="HH"),"EQH","")))</f>
        <v/>
      </c>
      <c r="EM107" s="15" t="str">
        <f>IF(EB107="","",IF(AND(ABS(EB107)&lt;=0.25,$E107="Bottom",DQ107="LL"),"EQL",IF(AND(ABS(EB107)&lt;=0.25,$E107="Peak",DQ107="HH"),"EQH","")))</f>
        <v/>
      </c>
      <c r="EN107" s="15" t="str">
        <f>IF(EC107="","",IF(AND(ABS(EC107)&lt;=0.25,$E107="Bottom",DR107="LL"),"EQL",IF(AND(ABS(EC107)&lt;=0.25,$E107="Peak",DR107="HH"),"EQH","")))</f>
        <v/>
      </c>
      <c r="EO107" s="15" t="str">
        <f>IF(ED107="","",IF(AND(ABS(ED107)&lt;=0.25,$E107="Bottom",DS107="LL"),"EQL",IF(AND(ABS(ED107)&lt;=0.25,$E107="Peak",DS107="HH"),"EQH","")))</f>
        <v>EQH</v>
      </c>
      <c r="EP107" s="15" t="str">
        <f>IF(EE107="","",IF(AND(ABS(EE107)&lt;=0.25,$E107="Bottom",DT107="LL"),"EQL",IF(AND(ABS(EE107)&lt;=0.25,$E107="Peak",DT107="HH"),"EQH","")))</f>
        <v/>
      </c>
      <c r="EQ107" s="15" t="str">
        <f>IF(EF107="","",IF(AND(ABS(EF107)&lt;=0.25,$E107="Bottom",DU107="LL"),"EQL",IF(AND(ABS(EF107)&lt;=0.25,$E107="Peak",DU107="HH"),"EQH","")))</f>
        <v/>
      </c>
      <c r="ER107" s="15">
        <f>IF(OR(EG107="EQL",EG107="EQH"),F107,"")</f>
        <v>4833.25</v>
      </c>
      <c r="ES107" s="15" t="str">
        <f>IF(OR(EH107="EQL",EH107="EQH"),G107,"")</f>
        <v/>
      </c>
      <c r="ET107" s="15" t="str">
        <f>IF(OR(EI107="EQL",EI107="EQH"),H107,"")</f>
        <v/>
      </c>
      <c r="EU107" s="15" t="str">
        <f>IF(OR(EJ107="EQL",EJ107="EQH"),I107,"")</f>
        <v/>
      </c>
      <c r="EV107" s="15" t="str">
        <f>IF(OR(EK107="EQL",EK107="EQH"),J107,"")</f>
        <v/>
      </c>
      <c r="EW107" s="15" t="str">
        <f>IF(OR(EL107="EQL",EL107="EQH"),K107,"")</f>
        <v/>
      </c>
      <c r="EX107" s="15" t="str">
        <f>IF(OR(EM107="EQL",EM107="EQH"),L107,"")</f>
        <v/>
      </c>
      <c r="EY107" s="15" t="str">
        <f>IF(OR(EN107="EQL",EN107="EQH"),M107,"")</f>
        <v/>
      </c>
      <c r="EZ107" s="15">
        <f>IF(OR(EO107="EQL",EO107="EQH"),N107,"")</f>
        <v>4823.8100000000004</v>
      </c>
      <c r="FA107" s="15" t="str">
        <f>IF(OR(EP107="EQL",EP107="EQH"),O107,"")</f>
        <v/>
      </c>
      <c r="FB107" s="15" t="str">
        <f>IF(OR(EQ107="EQL",EQ107="EQH"),P107,"")</f>
        <v/>
      </c>
      <c r="FC107" s="15" t="str">
        <f>IF(AND(EG107="EQL",OR(AQ107=4,AQ107=5)),"IEQL",IF(AND(EG107="EQH",OR(AQ107=1,AQ107=2)),"IEQH",""))</f>
        <v/>
      </c>
      <c r="FD107" s="15" t="str">
        <f>IF(AND(EH107="EQL",OR(AR107=4,AR107=5)),"IEQL",IF(AND(EH107="EQH",OR(AR107=1,AR107=2)),"IEQH",""))</f>
        <v/>
      </c>
      <c r="FE107" s="15" t="str">
        <f>IF(AND(EI107="EQL",OR(AS107=4,AS107=5)),"IEQL",IF(AND(EI107="EQH",OR(AS107=1,AS107=2)),"IEQH",""))</f>
        <v/>
      </c>
      <c r="FF107" s="15" t="str">
        <f>IF(AND(EJ107="EQL",OR(AT107=4,AT107=5)),"IEQL",IF(AND(EJ107="EQH",OR(AT107=1,AT107=2)),"IEQH",""))</f>
        <v/>
      </c>
      <c r="FG107" s="15" t="str">
        <f>IF(AND(EK107="EQL",OR(AU107=4,AU107=5)),"IEQL",IF(AND(EK107="EQH",OR(AU107=1,AU107=2)),"IEQH",""))</f>
        <v/>
      </c>
      <c r="FH107" s="15" t="str">
        <f>IF(AND(EL107="EQL",OR(AV107=4,AV107=5)),"IEQL",IF(AND(EL107="EQH",OR(AV107=1,AV107=2)),"IEQH",""))</f>
        <v/>
      </c>
      <c r="FI107" s="15" t="str">
        <f>IF(AND(EM107="EQL",OR(AW107=4,AW107=5)),"IEQL",IF(AND(EM107="EQH",OR(AW107=1,AW107=2)),"IEQH",""))</f>
        <v/>
      </c>
      <c r="FJ107" s="15" t="str">
        <f>IF(AND(EN107="EQL",OR(AX107=4,AX107=5)),"IEQL",IF(AND(EN107="EQH",OR(AX107=1,AX107=2)),"IEQH",""))</f>
        <v/>
      </c>
      <c r="FK107" s="15" t="str">
        <f>IF(AND(EO107="EQL",OR(AY107=4,AY107=5)),"IEQL",IF(AND(EO107="EQH",OR(AY107=1,AY107=2)),"IEQH",""))</f>
        <v/>
      </c>
      <c r="FL107" s="15" t="str">
        <f>IF(AND(EP107="EQL",OR(AZ107=4,AZ107=5)),"IEQL",IF(AND(EP107="EQH",OR(AZ107=1,AZ107=2)),"IEQH",""))</f>
        <v/>
      </c>
      <c r="FM107" s="15" t="str">
        <f>IF(AND(EQ107="EQL",OR(BA107=4,BA107=5)),"IEQL",IF(AND(EQ107="EQH",OR(BA107=1,BA107=2)),"IEQH",""))</f>
        <v/>
      </c>
      <c r="FN107" s="15" t="str">
        <f>IF(OR(AND(DJ107="LL",AP107=5),AND(DJ107="HH",AP107=2)),F107,"")</f>
        <v/>
      </c>
      <c r="FO107" s="15" t="str">
        <f>IF(FN107&lt;&gt;"",F106,"")</f>
        <v/>
      </c>
    </row>
    <row r="108" spans="1:171" s="15" customFormat="1" x14ac:dyDescent="0.55000000000000004">
      <c r="A108" s="15">
        <v>1776754806</v>
      </c>
      <c r="B108" s="15" t="s">
        <v>16</v>
      </c>
      <c r="C108" s="15" t="s">
        <v>17</v>
      </c>
      <c r="D108" s="15">
        <v>4782.82</v>
      </c>
      <c r="E108" s="15" t="s">
        <v>18</v>
      </c>
      <c r="F108" s="15">
        <v>4772.78</v>
      </c>
      <c r="G108" s="15">
        <f t="shared" si="330"/>
        <v>4792.42</v>
      </c>
      <c r="H108" s="15">
        <f t="shared" si="340"/>
        <v>4783.51</v>
      </c>
      <c r="I108" s="15">
        <f t="shared" si="350"/>
        <v>4779.8</v>
      </c>
      <c r="J108" s="15">
        <f t="shared" si="360"/>
        <v>4736.96</v>
      </c>
      <c r="K108" s="15">
        <f t="shared" ref="K108:K139" si="370">F98</f>
        <v>4778.83</v>
      </c>
      <c r="L108" s="15">
        <f t="shared" si="270"/>
        <v>4768.07</v>
      </c>
      <c r="M108" s="15">
        <f t="shared" si="280"/>
        <v>4786.1000000000004</v>
      </c>
      <c r="N108" s="15">
        <f t="shared" si="290"/>
        <v>4772.67</v>
      </c>
      <c r="O108" s="15">
        <f t="shared" si="300"/>
        <v>4805.21</v>
      </c>
      <c r="P108" s="15">
        <f t="shared" si="310"/>
        <v>4787.17</v>
      </c>
      <c r="Q108" s="15">
        <f t="shared" si="320"/>
        <v>4786.2299999999996</v>
      </c>
      <c r="R108" s="15">
        <v>-60.47</v>
      </c>
      <c r="S108" s="15">
        <f t="shared" si="331"/>
        <v>-35.32</v>
      </c>
      <c r="T108" s="15">
        <f t="shared" si="341"/>
        <v>-22.28</v>
      </c>
      <c r="U108" s="15">
        <f t="shared" si="351"/>
        <v>-34.479999999999997</v>
      </c>
      <c r="V108" s="15">
        <f t="shared" si="361"/>
        <v>-152.25</v>
      </c>
      <c r="W108" s="15">
        <f t="shared" ref="W108:W139" si="371">R98</f>
        <v>-27.14</v>
      </c>
      <c r="X108" s="15">
        <f t="shared" si="271"/>
        <v>-33.049999999999997</v>
      </c>
      <c r="Y108" s="15">
        <f t="shared" si="281"/>
        <v>-12.48</v>
      </c>
      <c r="Z108" s="15">
        <f t="shared" si="291"/>
        <v>-51.14</v>
      </c>
      <c r="AA108" s="15">
        <f t="shared" si="301"/>
        <v>-33.17</v>
      </c>
      <c r="AB108" s="15">
        <f t="shared" si="311"/>
        <v>-43.22</v>
      </c>
      <c r="AC108" s="15">
        <f t="shared" si="321"/>
        <v>-84.99</v>
      </c>
      <c r="AD108" s="15">
        <v>-1.25</v>
      </c>
      <c r="AE108" s="15">
        <f t="shared" si="332"/>
        <v>-0.73</v>
      </c>
      <c r="AF108" s="15">
        <f t="shared" si="342"/>
        <v>-0.46</v>
      </c>
      <c r="AG108" s="15">
        <f t="shared" si="352"/>
        <v>-0.72</v>
      </c>
      <c r="AH108" s="15">
        <f t="shared" si="362"/>
        <v>-3.11</v>
      </c>
      <c r="AI108" s="15">
        <f t="shared" ref="AI108:AI139" si="372">AD98</f>
        <v>-0.56000000000000005</v>
      </c>
      <c r="AJ108" s="15">
        <f t="shared" si="272"/>
        <v>-0.69</v>
      </c>
      <c r="AK108" s="15">
        <f t="shared" si="282"/>
        <v>-0.26</v>
      </c>
      <c r="AL108" s="15">
        <f t="shared" si="292"/>
        <v>-1.06</v>
      </c>
      <c r="AM108" s="15">
        <f t="shared" si="302"/>
        <v>-0.69</v>
      </c>
      <c r="AN108" s="15">
        <f t="shared" si="312"/>
        <v>-0.89</v>
      </c>
      <c r="AO108" s="15">
        <f t="shared" si="322"/>
        <v>-1.74</v>
      </c>
      <c r="AP108" s="15">
        <v>3</v>
      </c>
      <c r="AQ108" s="15">
        <f t="shared" si="333"/>
        <v>3</v>
      </c>
      <c r="AR108" s="15">
        <f t="shared" si="343"/>
        <v>3</v>
      </c>
      <c r="AS108" s="15">
        <f t="shared" si="353"/>
        <v>3</v>
      </c>
      <c r="AT108" s="15">
        <f t="shared" si="363"/>
        <v>5</v>
      </c>
      <c r="AU108" s="15">
        <f t="shared" ref="AU108:AU139" si="373">AP98</f>
        <v>3</v>
      </c>
      <c r="AV108" s="15">
        <f t="shared" si="273"/>
        <v>3</v>
      </c>
      <c r="AW108" s="15">
        <f t="shared" si="283"/>
        <v>3</v>
      </c>
      <c r="AX108" s="15">
        <f t="shared" si="293"/>
        <v>3</v>
      </c>
      <c r="AY108" s="15">
        <f t="shared" si="303"/>
        <v>3</v>
      </c>
      <c r="AZ108" s="15">
        <f t="shared" si="313"/>
        <v>3</v>
      </c>
      <c r="BA108" s="15">
        <f t="shared" si="323"/>
        <v>3</v>
      </c>
      <c r="BB108" s="15">
        <v>35</v>
      </c>
      <c r="BC108" s="15">
        <f t="shared" si="334"/>
        <v>1</v>
      </c>
      <c r="BD108" s="15">
        <f t="shared" si="344"/>
        <v>9</v>
      </c>
      <c r="BE108" s="15">
        <f t="shared" si="354"/>
        <v>15</v>
      </c>
      <c r="BF108" s="15">
        <f t="shared" si="364"/>
        <v>39</v>
      </c>
      <c r="BG108" s="15">
        <f t="shared" ref="BG108:BG139" si="374">BB98</f>
        <v>11</v>
      </c>
      <c r="BH108" s="15">
        <f t="shared" si="274"/>
        <v>3</v>
      </c>
      <c r="BI108" s="15">
        <f t="shared" si="284"/>
        <v>13</v>
      </c>
      <c r="BJ108" s="15">
        <f t="shared" si="294"/>
        <v>4</v>
      </c>
      <c r="BK108" s="15">
        <f t="shared" si="304"/>
        <v>22</v>
      </c>
      <c r="BL108" s="15">
        <f t="shared" si="314"/>
        <v>5</v>
      </c>
      <c r="BM108" s="15">
        <f t="shared" si="324"/>
        <v>34</v>
      </c>
      <c r="BN108" s="15">
        <v>3</v>
      </c>
      <c r="BO108" s="15">
        <f t="shared" si="335"/>
        <v>3</v>
      </c>
      <c r="BP108" s="15">
        <f t="shared" si="345"/>
        <v>3</v>
      </c>
      <c r="BQ108" s="15">
        <f t="shared" si="355"/>
        <v>3</v>
      </c>
      <c r="BR108" s="15">
        <f t="shared" si="365"/>
        <v>4</v>
      </c>
      <c r="BS108" s="15">
        <f t="shared" ref="BS108:BS139" si="375">BN98</f>
        <v>3</v>
      </c>
      <c r="BT108" s="15">
        <f t="shared" si="275"/>
        <v>3</v>
      </c>
      <c r="BU108" s="15">
        <f t="shared" si="285"/>
        <v>3</v>
      </c>
      <c r="BV108" s="15">
        <f t="shared" si="295"/>
        <v>3</v>
      </c>
      <c r="BW108" s="15">
        <f t="shared" si="305"/>
        <v>3</v>
      </c>
      <c r="BX108" s="15">
        <f t="shared" si="315"/>
        <v>3</v>
      </c>
      <c r="BY108" s="15">
        <f t="shared" si="325"/>
        <v>3</v>
      </c>
      <c r="BZ108" s="15">
        <v>-1.7277100000000001</v>
      </c>
      <c r="CA108" s="15">
        <f t="shared" si="336"/>
        <v>-35.32</v>
      </c>
      <c r="CB108" s="15">
        <f t="shared" si="346"/>
        <v>-2.4755600000000002</v>
      </c>
      <c r="CC108" s="15">
        <f t="shared" si="356"/>
        <v>-2.29867</v>
      </c>
      <c r="CD108" s="15">
        <f t="shared" si="366"/>
        <v>-3.9038499999999998</v>
      </c>
      <c r="CE108" s="15">
        <f t="shared" ref="CE108:CE139" si="376">BZ98</f>
        <v>-2.4672700000000001</v>
      </c>
      <c r="CF108" s="15">
        <f t="shared" si="276"/>
        <v>-11.01667</v>
      </c>
      <c r="CG108" s="15">
        <f t="shared" si="286"/>
        <v>-0.96</v>
      </c>
      <c r="CH108" s="15">
        <f t="shared" si="296"/>
        <v>-12.785</v>
      </c>
      <c r="CI108" s="15">
        <f t="shared" si="306"/>
        <v>-1.50773</v>
      </c>
      <c r="CJ108" s="15">
        <f t="shared" si="316"/>
        <v>-8.6440000000000001</v>
      </c>
      <c r="CK108" s="15">
        <f t="shared" si="326"/>
        <v>-2.4997099999999999</v>
      </c>
      <c r="CL108" s="15">
        <v>3</v>
      </c>
      <c r="CM108" s="15">
        <f t="shared" si="337"/>
        <v>5</v>
      </c>
      <c r="CN108" s="15">
        <f t="shared" si="347"/>
        <v>3</v>
      </c>
      <c r="CO108" s="15">
        <f t="shared" si="357"/>
        <v>3</v>
      </c>
      <c r="CP108" s="15">
        <f t="shared" si="367"/>
        <v>3</v>
      </c>
      <c r="CQ108" s="15">
        <f t="shared" ref="CQ108:CQ139" si="377">CL98</f>
        <v>3</v>
      </c>
      <c r="CR108" s="15">
        <f t="shared" si="277"/>
        <v>5</v>
      </c>
      <c r="CS108" s="15">
        <f t="shared" si="287"/>
        <v>3</v>
      </c>
      <c r="CT108" s="15">
        <f t="shared" si="297"/>
        <v>5</v>
      </c>
      <c r="CU108" s="15">
        <f t="shared" si="307"/>
        <v>3</v>
      </c>
      <c r="CV108" s="15">
        <f t="shared" si="317"/>
        <v>3</v>
      </c>
      <c r="CW108" s="15">
        <f t="shared" si="327"/>
        <v>3</v>
      </c>
      <c r="CX108" s="15">
        <v>-59.937800000000003</v>
      </c>
      <c r="CY108" s="15">
        <f t="shared" si="338"/>
        <v>-88.378200000000007</v>
      </c>
      <c r="CZ108" s="15">
        <f t="shared" si="348"/>
        <v>-68.003799999999998</v>
      </c>
      <c r="DA108" s="15">
        <f t="shared" si="358"/>
        <v>-66.4893</v>
      </c>
      <c r="DB108" s="15">
        <f t="shared" si="368"/>
        <v>-75.632199999999997</v>
      </c>
      <c r="DC108" s="15">
        <f t="shared" ref="DC108:DC139" si="378">CX98</f>
        <v>-67.936999999999998</v>
      </c>
      <c r="DD108" s="15">
        <f t="shared" si="278"/>
        <v>-84.813400000000001</v>
      </c>
      <c r="DE108" s="15">
        <f t="shared" si="288"/>
        <v>-43.8309</v>
      </c>
      <c r="DF108" s="15">
        <f t="shared" si="298"/>
        <v>-85.527600000000007</v>
      </c>
      <c r="DG108" s="15">
        <f t="shared" si="308"/>
        <v>-56.445700000000002</v>
      </c>
      <c r="DH108" s="15">
        <f t="shared" si="318"/>
        <v>-83.400899999999993</v>
      </c>
      <c r="DI108" s="15">
        <f t="shared" si="328"/>
        <v>-68.196299999999994</v>
      </c>
      <c r="DJ108" s="15" t="s">
        <v>19</v>
      </c>
      <c r="DK108" s="15" t="str">
        <f t="shared" si="339"/>
        <v>HL</v>
      </c>
      <c r="DL108" s="15" t="str">
        <f t="shared" si="349"/>
        <v>HL</v>
      </c>
      <c r="DM108" s="15" t="str">
        <f t="shared" si="359"/>
        <v>HL</v>
      </c>
      <c r="DN108" s="15" t="str">
        <f t="shared" si="369"/>
        <v>LL</v>
      </c>
      <c r="DO108" s="15" t="str">
        <f t="shared" ref="DO108:DO139" si="379">DJ98</f>
        <v>HL</v>
      </c>
      <c r="DP108" s="15" t="str">
        <f t="shared" si="279"/>
        <v>LL</v>
      </c>
      <c r="DQ108" s="15" t="str">
        <f t="shared" si="289"/>
        <v>HL</v>
      </c>
      <c r="DR108" s="15" t="str">
        <f t="shared" si="299"/>
        <v>LL</v>
      </c>
      <c r="DS108" s="15" t="str">
        <f t="shared" si="309"/>
        <v>HL</v>
      </c>
      <c r="DT108" s="15" t="str">
        <f t="shared" si="319"/>
        <v>HL</v>
      </c>
      <c r="DU108" s="15" t="str">
        <f t="shared" si="329"/>
        <v>LL</v>
      </c>
      <c r="DV108" s="15">
        <f>IFERROR((G108-$F108)/$F108*100,"")</f>
        <v>0.41150021580714652</v>
      </c>
      <c r="DW108" s="15">
        <f>IFERROR((H108-$F108)/$F108*100,"")</f>
        <v>0.22481656393130364</v>
      </c>
      <c r="DX108" s="15">
        <f>IFERROR((I108-$F108)/$F108*100,"")</f>
        <v>0.14708408935673625</v>
      </c>
      <c r="DY108" s="15">
        <f>IFERROR((J108-$F108)/$F108*100,"")</f>
        <v>-0.75050599440996046</v>
      </c>
      <c r="DZ108" s="15">
        <f>IFERROR((K108-$F108)/$F108*100,"")</f>
        <v>0.12676050436014613</v>
      </c>
      <c r="EA108" s="15">
        <f>IFERROR((L108-$F108)/$F108*100,"")</f>
        <v>-9.8684624055582634E-2</v>
      </c>
      <c r="EB108" s="15">
        <f>IFERROR((M108-$F108)/$F108*100,"")</f>
        <v>0.27908263108713616</v>
      </c>
      <c r="EC108" s="15">
        <f>IFERROR((N108-$F108)/$F108*100,"")</f>
        <v>-2.3047364429048182E-3</v>
      </c>
      <c r="ED108" s="15">
        <f>IFERROR((O108-$F108)/$F108*100,"")</f>
        <v>0.67947820766933087</v>
      </c>
      <c r="EE108" s="15">
        <f>IFERROR((P108-$F108)/$F108*100,"")</f>
        <v>0.30150143103181642</v>
      </c>
      <c r="EF108" s="15">
        <f>IFERROR((Q108-$F108)/$F108*100,"")</f>
        <v>0.28180641051965144</v>
      </c>
      <c r="EG108" s="15" t="str">
        <f>IF(DV108="","",IF(AND(ABS(DV108)&lt;=0.25,$E108="Bottom",DK108="LL"),"EQL",IF(AND(ABS(DV108)&lt;=0.25,$E108="Peak",DK108="HH"),"EQH","")))</f>
        <v/>
      </c>
      <c r="EH108" s="15" t="str">
        <f>IF(DW108="","",IF(AND(ABS(DW108)&lt;=0.25,$E108="Bottom",DL108="LL"),"EQL",IF(AND(ABS(DW108)&lt;=0.25,$E108="Peak",DL108="HH"),"EQH","")))</f>
        <v/>
      </c>
      <c r="EI108" s="15" t="str">
        <f>IF(DX108="","",IF(AND(ABS(DX108)&lt;=0.25,$E108="Bottom",DM108="LL"),"EQL",IF(AND(ABS(DX108)&lt;=0.25,$E108="Peak",DM108="HH"),"EQH","")))</f>
        <v/>
      </c>
      <c r="EJ108" s="15" t="str">
        <f>IF(DY108="","",IF(AND(ABS(DY108)&lt;=0.25,$E108="Bottom",DN108="LL"),"EQL",IF(AND(ABS(DY108)&lt;=0.25,$E108="Peak",DN108="HH"),"EQH","")))</f>
        <v/>
      </c>
      <c r="EK108" s="15" t="str">
        <f>IF(DZ108="","",IF(AND(ABS(DZ108)&lt;=0.25,$E108="Bottom",DO108="LL"),"EQL",IF(AND(ABS(DZ108)&lt;=0.25,$E108="Peak",DO108="HH"),"EQH","")))</f>
        <v/>
      </c>
      <c r="EL108" s="15" t="str">
        <f>IF(EA108="","",IF(AND(ABS(EA108)&lt;=0.25,$E108="Bottom",DP108="LL"),"EQL",IF(AND(ABS(EA108)&lt;=0.25,$E108="Peak",DP108="HH"),"EQH","")))</f>
        <v>EQL</v>
      </c>
      <c r="EM108" s="15" t="str">
        <f>IF(EB108="","",IF(AND(ABS(EB108)&lt;=0.25,$E108="Bottom",DQ108="LL"),"EQL",IF(AND(ABS(EB108)&lt;=0.25,$E108="Peak",DQ108="HH"),"EQH","")))</f>
        <v/>
      </c>
      <c r="EN108" s="15" t="str">
        <f>IF(EC108="","",IF(AND(ABS(EC108)&lt;=0.25,$E108="Bottom",DR108="LL"),"EQL",IF(AND(ABS(EC108)&lt;=0.25,$E108="Peak",DR108="HH"),"EQH","")))</f>
        <v>EQL</v>
      </c>
      <c r="EO108" s="15" t="str">
        <f>IF(ED108="","",IF(AND(ABS(ED108)&lt;=0.25,$E108="Bottom",DS108="LL"),"EQL",IF(AND(ABS(ED108)&lt;=0.25,$E108="Peak",DS108="HH"),"EQH","")))</f>
        <v/>
      </c>
      <c r="EP108" s="15" t="str">
        <f>IF(EE108="","",IF(AND(ABS(EE108)&lt;=0.25,$E108="Bottom",DT108="LL"),"EQL",IF(AND(ABS(EE108)&lt;=0.25,$E108="Peak",DT108="HH"),"EQH","")))</f>
        <v/>
      </c>
      <c r="EQ108" s="15" t="str">
        <f>IF(EF108="","",IF(AND(ABS(EF108)&lt;=0.25,$E108="Bottom",DU108="LL"),"EQL",IF(AND(ABS(EF108)&lt;=0.25,$E108="Peak",DU108="HH"),"EQH","")))</f>
        <v/>
      </c>
      <c r="ER108" s="15" t="str">
        <f>IF(OR(EG108="EQL",EG108="EQH"),F108,"")</f>
        <v/>
      </c>
      <c r="ES108" s="15" t="str">
        <f>IF(OR(EH108="EQL",EH108="EQH"),G108,"")</f>
        <v/>
      </c>
      <c r="ET108" s="15" t="str">
        <f>IF(OR(EI108="EQL",EI108="EQH"),H108,"")</f>
        <v/>
      </c>
      <c r="EU108" s="15" t="str">
        <f>IF(OR(EJ108="EQL",EJ108="EQH"),I108,"")</f>
        <v/>
      </c>
      <c r="EV108" s="15" t="str">
        <f>IF(OR(EK108="EQL",EK108="EQH"),J108,"")</f>
        <v/>
      </c>
      <c r="EW108" s="15">
        <f>IF(OR(EL108="EQL",EL108="EQH"),K108,"")</f>
        <v>4778.83</v>
      </c>
      <c r="EX108" s="15" t="str">
        <f>IF(OR(EM108="EQL",EM108="EQH"),L108,"")</f>
        <v/>
      </c>
      <c r="EY108" s="15">
        <f>IF(OR(EN108="EQL",EN108="EQH"),M108,"")</f>
        <v>4786.1000000000004</v>
      </c>
      <c r="EZ108" s="15" t="str">
        <f>IF(OR(EO108="EQL",EO108="EQH"),N108,"")</f>
        <v/>
      </c>
      <c r="FA108" s="15" t="str">
        <f>IF(OR(EP108="EQL",EP108="EQH"),O108,"")</f>
        <v/>
      </c>
      <c r="FB108" s="15" t="str">
        <f>IF(OR(EQ108="EQL",EQ108="EQH"),P108,"")</f>
        <v/>
      </c>
      <c r="FC108" s="15" t="str">
        <f>IF(AND(EG108="EQL",OR(AQ108=4,AQ108=5)),"IEQL",IF(AND(EG108="EQH",OR(AQ108=1,AQ108=2)),"IEQH",""))</f>
        <v/>
      </c>
      <c r="FD108" s="15" t="str">
        <f>IF(AND(EH108="EQL",OR(AR108=4,AR108=5)),"IEQL",IF(AND(EH108="EQH",OR(AR108=1,AR108=2)),"IEQH",""))</f>
        <v/>
      </c>
      <c r="FE108" s="15" t="str">
        <f>IF(AND(EI108="EQL",OR(AS108=4,AS108=5)),"IEQL",IF(AND(EI108="EQH",OR(AS108=1,AS108=2)),"IEQH",""))</f>
        <v/>
      </c>
      <c r="FF108" s="15" t="str">
        <f>IF(AND(EJ108="EQL",OR(AT108=4,AT108=5)),"IEQL",IF(AND(EJ108="EQH",OR(AT108=1,AT108=2)),"IEQH",""))</f>
        <v/>
      </c>
      <c r="FG108" s="15" t="str">
        <f>IF(AND(EK108="EQL",OR(AU108=4,AU108=5)),"IEQL",IF(AND(EK108="EQH",OR(AU108=1,AU108=2)),"IEQH",""))</f>
        <v/>
      </c>
      <c r="FH108" s="15" t="str">
        <f>IF(AND(EL108="EQL",OR(AV108=4,AV108=5)),"IEQL",IF(AND(EL108="EQH",OR(AV108=1,AV108=2)),"IEQH",""))</f>
        <v/>
      </c>
      <c r="FI108" s="15" t="str">
        <f>IF(AND(EM108="EQL",OR(AW108=4,AW108=5)),"IEQL",IF(AND(EM108="EQH",OR(AW108=1,AW108=2)),"IEQH",""))</f>
        <v/>
      </c>
      <c r="FJ108" s="15" t="str">
        <f>IF(AND(EN108="EQL",OR(AX108=4,AX108=5)),"IEQL",IF(AND(EN108="EQH",OR(AX108=1,AX108=2)),"IEQH",""))</f>
        <v/>
      </c>
      <c r="FK108" s="15" t="str">
        <f>IF(AND(EO108="EQL",OR(AY108=4,AY108=5)),"IEQL",IF(AND(EO108="EQH",OR(AY108=1,AY108=2)),"IEQH",""))</f>
        <v/>
      </c>
      <c r="FL108" s="15" t="str">
        <f>IF(AND(EP108="EQL",OR(AZ108=4,AZ108=5)),"IEQL",IF(AND(EP108="EQH",OR(AZ108=1,AZ108=2)),"IEQH",""))</f>
        <v/>
      </c>
      <c r="FM108" s="15" t="str">
        <f>IF(AND(EQ108="EQL",OR(BA108=4,BA108=5)),"IEQL",IF(AND(EQ108="EQH",OR(BA108=1,BA108=2)),"IEQH",""))</f>
        <v/>
      </c>
      <c r="FN108" s="15" t="str">
        <f>IF(OR(AND(DJ108="LL",AP108=5),AND(DJ108="HH",AP108=2)),F108,"")</f>
        <v/>
      </c>
      <c r="FO108" s="15" t="str">
        <f>IF(FN108&lt;&gt;"",F107,"")</f>
        <v/>
      </c>
    </row>
    <row r="109" spans="1:171" s="15" customFormat="1" x14ac:dyDescent="0.55000000000000004">
      <c r="A109" s="15">
        <v>1776771906</v>
      </c>
      <c r="B109" s="15" t="s">
        <v>16</v>
      </c>
      <c r="C109" s="15" t="s">
        <v>17</v>
      </c>
      <c r="D109" s="15">
        <v>4794.6099999999997</v>
      </c>
      <c r="E109" s="15" t="s">
        <v>20</v>
      </c>
      <c r="F109" s="15">
        <v>4797.91</v>
      </c>
      <c r="G109" s="15">
        <f t="shared" si="330"/>
        <v>4833.25</v>
      </c>
      <c r="H109" s="15">
        <f t="shared" si="340"/>
        <v>4827.74</v>
      </c>
      <c r="I109" s="15">
        <f t="shared" si="350"/>
        <v>4805.79</v>
      </c>
      <c r="J109" s="15">
        <f t="shared" si="360"/>
        <v>4814.28</v>
      </c>
      <c r="K109" s="15">
        <f t="shared" si="370"/>
        <v>4889.21</v>
      </c>
      <c r="L109" s="15">
        <f t="shared" si="270"/>
        <v>4805.97</v>
      </c>
      <c r="M109" s="15">
        <f t="shared" si="280"/>
        <v>4801.12</v>
      </c>
      <c r="N109" s="15">
        <f t="shared" si="290"/>
        <v>4798.58</v>
      </c>
      <c r="O109" s="15">
        <f t="shared" si="300"/>
        <v>4823.8100000000004</v>
      </c>
      <c r="P109" s="15">
        <f t="shared" si="310"/>
        <v>4838.38</v>
      </c>
      <c r="Q109" s="15">
        <f t="shared" si="320"/>
        <v>4830.3900000000003</v>
      </c>
      <c r="R109" s="15">
        <v>25.13</v>
      </c>
      <c r="S109" s="15">
        <f t="shared" si="331"/>
        <v>40.83</v>
      </c>
      <c r="T109" s="15">
        <f t="shared" si="341"/>
        <v>44.23</v>
      </c>
      <c r="U109" s="15">
        <f t="shared" si="351"/>
        <v>25.99</v>
      </c>
      <c r="V109" s="15">
        <f t="shared" si="361"/>
        <v>77.319999999999993</v>
      </c>
      <c r="W109" s="15">
        <f t="shared" si="371"/>
        <v>110.38</v>
      </c>
      <c r="X109" s="15">
        <f t="shared" si="271"/>
        <v>37.9</v>
      </c>
      <c r="Y109" s="15">
        <f t="shared" si="281"/>
        <v>15.02</v>
      </c>
      <c r="Z109" s="15">
        <f t="shared" si="291"/>
        <v>25.91</v>
      </c>
      <c r="AA109" s="15">
        <f t="shared" si="301"/>
        <v>18.600000000000001</v>
      </c>
      <c r="AB109" s="15">
        <f t="shared" si="311"/>
        <v>51.21</v>
      </c>
      <c r="AC109" s="15">
        <f t="shared" si="321"/>
        <v>44.16</v>
      </c>
      <c r="AD109" s="15">
        <v>0.53</v>
      </c>
      <c r="AE109" s="15">
        <f t="shared" si="332"/>
        <v>0.85</v>
      </c>
      <c r="AF109" s="15">
        <f t="shared" si="342"/>
        <v>0.92</v>
      </c>
      <c r="AG109" s="15">
        <f t="shared" si="352"/>
        <v>0.54</v>
      </c>
      <c r="AH109" s="15">
        <f t="shared" si="362"/>
        <v>1.63</v>
      </c>
      <c r="AI109" s="15">
        <f t="shared" si="372"/>
        <v>2.31</v>
      </c>
      <c r="AJ109" s="15">
        <f t="shared" si="272"/>
        <v>0.79</v>
      </c>
      <c r="AK109" s="15">
        <f t="shared" si="282"/>
        <v>0.31</v>
      </c>
      <c r="AL109" s="15">
        <f t="shared" si="292"/>
        <v>0.54</v>
      </c>
      <c r="AM109" s="15">
        <f t="shared" si="302"/>
        <v>0.39</v>
      </c>
      <c r="AN109" s="15">
        <f t="shared" si="312"/>
        <v>1.07</v>
      </c>
      <c r="AO109" s="15">
        <f t="shared" si="322"/>
        <v>0.92</v>
      </c>
      <c r="AP109" s="15">
        <v>0</v>
      </c>
      <c r="AQ109" s="15">
        <f t="shared" si="333"/>
        <v>0</v>
      </c>
      <c r="AR109" s="15">
        <f t="shared" si="343"/>
        <v>0</v>
      </c>
      <c r="AS109" s="15">
        <f t="shared" si="353"/>
        <v>0</v>
      </c>
      <c r="AT109" s="15">
        <f t="shared" si="363"/>
        <v>0</v>
      </c>
      <c r="AU109" s="15">
        <f t="shared" si="373"/>
        <v>0</v>
      </c>
      <c r="AV109" s="15">
        <f t="shared" si="273"/>
        <v>0</v>
      </c>
      <c r="AW109" s="15">
        <f t="shared" si="283"/>
        <v>0</v>
      </c>
      <c r="AX109" s="15">
        <f t="shared" si="293"/>
        <v>0</v>
      </c>
      <c r="AY109" s="15">
        <f t="shared" si="303"/>
        <v>0</v>
      </c>
      <c r="AZ109" s="15">
        <f t="shared" si="313"/>
        <v>0</v>
      </c>
      <c r="BA109" s="15">
        <f t="shared" si="323"/>
        <v>0</v>
      </c>
      <c r="BB109" s="15">
        <v>19</v>
      </c>
      <c r="BC109" s="15">
        <f t="shared" si="334"/>
        <v>26</v>
      </c>
      <c r="BD109" s="15">
        <f t="shared" si="344"/>
        <v>20</v>
      </c>
      <c r="BE109" s="15">
        <f t="shared" si="354"/>
        <v>7</v>
      </c>
      <c r="BF109" s="15">
        <f t="shared" si="364"/>
        <v>8</v>
      </c>
      <c r="BG109" s="15">
        <f t="shared" si="374"/>
        <v>21</v>
      </c>
      <c r="BH109" s="15">
        <f t="shared" si="274"/>
        <v>14</v>
      </c>
      <c r="BI109" s="15">
        <f t="shared" si="284"/>
        <v>3</v>
      </c>
      <c r="BJ109" s="15">
        <f t="shared" si="294"/>
        <v>21</v>
      </c>
      <c r="BK109" s="15">
        <f t="shared" si="304"/>
        <v>12</v>
      </c>
      <c r="BL109" s="15">
        <f t="shared" si="314"/>
        <v>50</v>
      </c>
      <c r="BM109" s="15">
        <f t="shared" si="324"/>
        <v>18</v>
      </c>
      <c r="BN109" s="15">
        <v>0</v>
      </c>
      <c r="BO109" s="15">
        <f t="shared" si="335"/>
        <v>0</v>
      </c>
      <c r="BP109" s="15">
        <f t="shared" si="345"/>
        <v>0</v>
      </c>
      <c r="BQ109" s="15">
        <f t="shared" si="355"/>
        <v>0</v>
      </c>
      <c r="BR109" s="15">
        <f t="shared" si="365"/>
        <v>0</v>
      </c>
      <c r="BS109" s="15">
        <f t="shared" si="375"/>
        <v>0</v>
      </c>
      <c r="BT109" s="15">
        <f t="shared" si="275"/>
        <v>0</v>
      </c>
      <c r="BU109" s="15">
        <f t="shared" si="285"/>
        <v>0</v>
      </c>
      <c r="BV109" s="15">
        <f t="shared" si="295"/>
        <v>0</v>
      </c>
      <c r="BW109" s="15">
        <f t="shared" si="305"/>
        <v>0</v>
      </c>
      <c r="BX109" s="15">
        <f t="shared" si="315"/>
        <v>2</v>
      </c>
      <c r="BY109" s="15">
        <f t="shared" si="325"/>
        <v>0</v>
      </c>
      <c r="BZ109" s="15">
        <v>1.32263</v>
      </c>
      <c r="CA109" s="15">
        <f t="shared" si="336"/>
        <v>1.5703800000000001</v>
      </c>
      <c r="CB109" s="15">
        <f t="shared" si="346"/>
        <v>2.2115</v>
      </c>
      <c r="CC109" s="15">
        <f t="shared" si="356"/>
        <v>3.71286</v>
      </c>
      <c r="CD109" s="15">
        <f t="shared" si="366"/>
        <v>9.6649999999999991</v>
      </c>
      <c r="CE109" s="15">
        <f t="shared" si="376"/>
        <v>5.2561900000000001</v>
      </c>
      <c r="CF109" s="15">
        <f t="shared" si="276"/>
        <v>2.7071399999999999</v>
      </c>
      <c r="CG109" s="15">
        <f t="shared" si="286"/>
        <v>5.0066699999999997</v>
      </c>
      <c r="CH109" s="15">
        <f t="shared" si="296"/>
        <v>1.2338100000000001</v>
      </c>
      <c r="CI109" s="15">
        <f t="shared" si="306"/>
        <v>1.55</v>
      </c>
      <c r="CJ109" s="15">
        <f t="shared" si="316"/>
        <v>1.0242</v>
      </c>
      <c r="CK109" s="15">
        <f t="shared" si="326"/>
        <v>2.4533299999999998</v>
      </c>
      <c r="CL109" s="15">
        <v>0</v>
      </c>
      <c r="CM109" s="15">
        <f t="shared" si="337"/>
        <v>0</v>
      </c>
      <c r="CN109" s="15">
        <f t="shared" si="347"/>
        <v>0</v>
      </c>
      <c r="CO109" s="15">
        <f t="shared" si="357"/>
        <v>0</v>
      </c>
      <c r="CP109" s="15">
        <f t="shared" si="367"/>
        <v>1</v>
      </c>
      <c r="CQ109" s="15">
        <f t="shared" si="377"/>
        <v>0</v>
      </c>
      <c r="CR109" s="15">
        <f t="shared" si="277"/>
        <v>0</v>
      </c>
      <c r="CS109" s="15">
        <f t="shared" si="287"/>
        <v>0</v>
      </c>
      <c r="CT109" s="15">
        <f t="shared" si="297"/>
        <v>0</v>
      </c>
      <c r="CU109" s="15">
        <f t="shared" si="307"/>
        <v>0</v>
      </c>
      <c r="CV109" s="15">
        <f t="shared" si="317"/>
        <v>0</v>
      </c>
      <c r="CW109" s="15">
        <f t="shared" si="327"/>
        <v>0</v>
      </c>
      <c r="CX109" s="15">
        <v>52.908200000000001</v>
      </c>
      <c r="CY109" s="15">
        <f t="shared" si="338"/>
        <v>57.511600000000001</v>
      </c>
      <c r="CZ109" s="15">
        <f t="shared" si="348"/>
        <v>65.668400000000005</v>
      </c>
      <c r="DA109" s="15">
        <f t="shared" si="358"/>
        <v>74.926000000000002</v>
      </c>
      <c r="DB109" s="15">
        <f t="shared" si="368"/>
        <v>84.092799999999997</v>
      </c>
      <c r="DC109" s="15">
        <f t="shared" si="378"/>
        <v>79.228099999999998</v>
      </c>
      <c r="DD109" s="15">
        <f t="shared" si="278"/>
        <v>69.726100000000002</v>
      </c>
      <c r="DE109" s="15">
        <f t="shared" si="288"/>
        <v>78.704700000000003</v>
      </c>
      <c r="DF109" s="15">
        <f t="shared" si="298"/>
        <v>50.975299999999997</v>
      </c>
      <c r="DG109" s="15">
        <f t="shared" si="308"/>
        <v>57.171500000000002</v>
      </c>
      <c r="DH109" s="15">
        <f t="shared" si="318"/>
        <v>45.685000000000002</v>
      </c>
      <c r="DI109" s="15">
        <f t="shared" si="328"/>
        <v>67.823800000000006</v>
      </c>
      <c r="DJ109" s="15" t="s">
        <v>21</v>
      </c>
      <c r="DK109" s="15" t="str">
        <f t="shared" si="339"/>
        <v>HH</v>
      </c>
      <c r="DL109" s="15" t="str">
        <f t="shared" si="349"/>
        <v>HH</v>
      </c>
      <c r="DM109" s="15" t="str">
        <f t="shared" si="359"/>
        <v>LH</v>
      </c>
      <c r="DN109" s="15" t="str">
        <f t="shared" si="369"/>
        <v>LH</v>
      </c>
      <c r="DO109" s="15" t="str">
        <f t="shared" si="379"/>
        <v>HH</v>
      </c>
      <c r="DP109" s="15" t="str">
        <f t="shared" si="279"/>
        <v>HH</v>
      </c>
      <c r="DQ109" s="15" t="str">
        <f t="shared" si="289"/>
        <v>HH</v>
      </c>
      <c r="DR109" s="15" t="str">
        <f t="shared" si="299"/>
        <v>LH</v>
      </c>
      <c r="DS109" s="15" t="str">
        <f t="shared" si="309"/>
        <v>LH</v>
      </c>
      <c r="DT109" s="15" t="str">
        <f t="shared" si="319"/>
        <v>HH</v>
      </c>
      <c r="DU109" s="15" t="str">
        <f t="shared" si="329"/>
        <v>LH</v>
      </c>
      <c r="DV109" s="15">
        <f>IFERROR((G109-$F109)/$F109*100,"")</f>
        <v>0.73657071516556472</v>
      </c>
      <c r="DW109" s="15">
        <f>IFERROR((H109-$F109)/$F109*100,"")</f>
        <v>0.62172904452146716</v>
      </c>
      <c r="DX109" s="15">
        <f>IFERROR((I109-$F109)/$F109*100,"")</f>
        <v>0.16423817870698093</v>
      </c>
      <c r="DY109" s="15">
        <f>IFERROR((J109-$F109)/$F109*100,"")</f>
        <v>0.34119022657782017</v>
      </c>
      <c r="DZ109" s="15">
        <f>IFERROR((K109-$F109)/$F109*100,"")</f>
        <v>1.9029118928866982</v>
      </c>
      <c r="EA109" s="15">
        <f>IFERROR((L109-$F109)/$F109*100,"")</f>
        <v>0.16798981223075049</v>
      </c>
      <c r="EB109" s="15">
        <f>IFERROR((M109-$F109)/$F109*100,"")</f>
        <v>6.6904131173782674E-2</v>
      </c>
      <c r="EC109" s="15">
        <f>IFERROR((N109-$F109)/$F109*100,"")</f>
        <v>1.3964413671787773E-2</v>
      </c>
      <c r="ED109" s="15">
        <f>IFERROR((O109-$F109)/$F109*100,"")</f>
        <v>0.53981837925264431</v>
      </c>
      <c r="EE109" s="15">
        <f>IFERROR((P109-$F109)/$F109*100,"")</f>
        <v>0.84349227059282594</v>
      </c>
      <c r="EF109" s="15">
        <f>IFERROR((Q109-$F109)/$F109*100,"")</f>
        <v>0.6769614269546631</v>
      </c>
      <c r="EG109" s="15" t="str">
        <f>IF(DV109="","",IF(AND(ABS(DV109)&lt;=0.25,$E109="Bottom",DK109="LL"),"EQL",IF(AND(ABS(DV109)&lt;=0.25,$E109="Peak",DK109="HH"),"EQH","")))</f>
        <v/>
      </c>
      <c r="EH109" s="15" t="str">
        <f>IF(DW109="","",IF(AND(ABS(DW109)&lt;=0.25,$E109="Bottom",DL109="LL"),"EQL",IF(AND(ABS(DW109)&lt;=0.25,$E109="Peak",DL109="HH"),"EQH","")))</f>
        <v/>
      </c>
      <c r="EI109" s="15" t="str">
        <f>IF(DX109="","",IF(AND(ABS(DX109)&lt;=0.25,$E109="Bottom",DM109="LL"),"EQL",IF(AND(ABS(DX109)&lt;=0.25,$E109="Peak",DM109="HH"),"EQH","")))</f>
        <v/>
      </c>
      <c r="EJ109" s="15" t="str">
        <f>IF(DY109="","",IF(AND(ABS(DY109)&lt;=0.25,$E109="Bottom",DN109="LL"),"EQL",IF(AND(ABS(DY109)&lt;=0.25,$E109="Peak",DN109="HH"),"EQH","")))</f>
        <v/>
      </c>
      <c r="EK109" s="15" t="str">
        <f>IF(DZ109="","",IF(AND(ABS(DZ109)&lt;=0.25,$E109="Bottom",DO109="LL"),"EQL",IF(AND(ABS(DZ109)&lt;=0.25,$E109="Peak",DO109="HH"),"EQH","")))</f>
        <v/>
      </c>
      <c r="EL109" s="15" t="str">
        <f>IF(EA109="","",IF(AND(ABS(EA109)&lt;=0.25,$E109="Bottom",DP109="LL"),"EQL",IF(AND(ABS(EA109)&lt;=0.25,$E109="Peak",DP109="HH"),"EQH","")))</f>
        <v>EQH</v>
      </c>
      <c r="EM109" s="15" t="str">
        <f>IF(EB109="","",IF(AND(ABS(EB109)&lt;=0.25,$E109="Bottom",DQ109="LL"),"EQL",IF(AND(ABS(EB109)&lt;=0.25,$E109="Peak",DQ109="HH"),"EQH","")))</f>
        <v>EQH</v>
      </c>
      <c r="EN109" s="15" t="str">
        <f>IF(EC109="","",IF(AND(ABS(EC109)&lt;=0.25,$E109="Bottom",DR109="LL"),"EQL",IF(AND(ABS(EC109)&lt;=0.25,$E109="Peak",DR109="HH"),"EQH","")))</f>
        <v/>
      </c>
      <c r="EO109" s="15" t="str">
        <f>IF(ED109="","",IF(AND(ABS(ED109)&lt;=0.25,$E109="Bottom",DS109="LL"),"EQL",IF(AND(ABS(ED109)&lt;=0.25,$E109="Peak",DS109="HH"),"EQH","")))</f>
        <v/>
      </c>
      <c r="EP109" s="15" t="str">
        <f>IF(EE109="","",IF(AND(ABS(EE109)&lt;=0.25,$E109="Bottom",DT109="LL"),"EQL",IF(AND(ABS(EE109)&lt;=0.25,$E109="Peak",DT109="HH"),"EQH","")))</f>
        <v/>
      </c>
      <c r="EQ109" s="15" t="str">
        <f>IF(EF109="","",IF(AND(ABS(EF109)&lt;=0.25,$E109="Bottom",DU109="LL"),"EQL",IF(AND(ABS(EF109)&lt;=0.25,$E109="Peak",DU109="HH"),"EQH","")))</f>
        <v/>
      </c>
      <c r="ER109" s="15" t="str">
        <f>IF(OR(EG109="EQL",EG109="EQH"),F109,"")</f>
        <v/>
      </c>
      <c r="ES109" s="15" t="str">
        <f>IF(OR(EH109="EQL",EH109="EQH"),G109,"")</f>
        <v/>
      </c>
      <c r="ET109" s="15" t="str">
        <f>IF(OR(EI109="EQL",EI109="EQH"),H109,"")</f>
        <v/>
      </c>
      <c r="EU109" s="15" t="str">
        <f>IF(OR(EJ109="EQL",EJ109="EQH"),I109,"")</f>
        <v/>
      </c>
      <c r="EV109" s="15" t="str">
        <f>IF(OR(EK109="EQL",EK109="EQH"),J109,"")</f>
        <v/>
      </c>
      <c r="EW109" s="15">
        <f>IF(OR(EL109="EQL",EL109="EQH"),K109,"")</f>
        <v>4889.21</v>
      </c>
      <c r="EX109" s="15">
        <f>IF(OR(EM109="EQL",EM109="EQH"),L109,"")</f>
        <v>4805.97</v>
      </c>
      <c r="EY109" s="15" t="str">
        <f>IF(OR(EN109="EQL",EN109="EQH"),M109,"")</f>
        <v/>
      </c>
      <c r="EZ109" s="15" t="str">
        <f>IF(OR(EO109="EQL",EO109="EQH"),N109,"")</f>
        <v/>
      </c>
      <c r="FA109" s="15" t="str">
        <f>IF(OR(EP109="EQL",EP109="EQH"),O109,"")</f>
        <v/>
      </c>
      <c r="FB109" s="15" t="str">
        <f>IF(OR(EQ109="EQL",EQ109="EQH"),P109,"")</f>
        <v/>
      </c>
      <c r="FC109" s="15" t="str">
        <f>IF(AND(EG109="EQL",OR(AQ109=4,AQ109=5)),"IEQL",IF(AND(EG109="EQH",OR(AQ109=1,AQ109=2)),"IEQH",""))</f>
        <v/>
      </c>
      <c r="FD109" s="15" t="str">
        <f>IF(AND(EH109="EQL",OR(AR109=4,AR109=5)),"IEQL",IF(AND(EH109="EQH",OR(AR109=1,AR109=2)),"IEQH",""))</f>
        <v/>
      </c>
      <c r="FE109" s="15" t="str">
        <f>IF(AND(EI109="EQL",OR(AS109=4,AS109=5)),"IEQL",IF(AND(EI109="EQH",OR(AS109=1,AS109=2)),"IEQH",""))</f>
        <v/>
      </c>
      <c r="FF109" s="15" t="str">
        <f>IF(AND(EJ109="EQL",OR(AT109=4,AT109=5)),"IEQL",IF(AND(EJ109="EQH",OR(AT109=1,AT109=2)),"IEQH",""))</f>
        <v/>
      </c>
      <c r="FG109" s="15" t="str">
        <f>IF(AND(EK109="EQL",OR(AU109=4,AU109=5)),"IEQL",IF(AND(EK109="EQH",OR(AU109=1,AU109=2)),"IEQH",""))</f>
        <v/>
      </c>
      <c r="FH109" s="15" t="str">
        <f>IF(AND(EL109="EQL",OR(AV109=4,AV109=5)),"IEQL",IF(AND(EL109="EQH",OR(AV109=1,AV109=2)),"IEQH",""))</f>
        <v/>
      </c>
      <c r="FI109" s="15" t="str">
        <f>IF(AND(EM109="EQL",OR(AW109=4,AW109=5)),"IEQL",IF(AND(EM109="EQH",OR(AW109=1,AW109=2)),"IEQH",""))</f>
        <v/>
      </c>
      <c r="FJ109" s="15" t="str">
        <f>IF(AND(EN109="EQL",OR(AX109=4,AX109=5)),"IEQL",IF(AND(EN109="EQH",OR(AX109=1,AX109=2)),"IEQH",""))</f>
        <v/>
      </c>
      <c r="FK109" s="15" t="str">
        <f>IF(AND(EO109="EQL",OR(AY109=4,AY109=5)),"IEQL",IF(AND(EO109="EQH",OR(AY109=1,AY109=2)),"IEQH",""))</f>
        <v/>
      </c>
      <c r="FL109" s="15" t="str">
        <f>IF(AND(EP109="EQL",OR(AZ109=4,AZ109=5)),"IEQL",IF(AND(EP109="EQH",OR(AZ109=1,AZ109=2)),"IEQH",""))</f>
        <v/>
      </c>
      <c r="FM109" s="15" t="str">
        <f>IF(AND(EQ109="EQL",OR(BA109=4,BA109=5)),"IEQL",IF(AND(EQ109="EQH",OR(BA109=1,BA109=2)),"IEQH",""))</f>
        <v/>
      </c>
      <c r="FN109" s="15" t="str">
        <f>IF(OR(AND(DJ109="LL",AP109=5),AND(DJ109="HH",AP109=2)),F109,"")</f>
        <v/>
      </c>
      <c r="FO109" s="15" t="str">
        <f>IF(FN109&lt;&gt;"",F108,"")</f>
        <v/>
      </c>
    </row>
    <row r="110" spans="1:171" s="15" customFormat="1" x14ac:dyDescent="0.55000000000000004">
      <c r="A110" s="15">
        <v>1776799806</v>
      </c>
      <c r="B110" s="15" t="s">
        <v>16</v>
      </c>
      <c r="C110" s="15" t="s">
        <v>17</v>
      </c>
      <c r="D110" s="15">
        <v>4671.47</v>
      </c>
      <c r="E110" s="15" t="s">
        <v>18</v>
      </c>
      <c r="F110" s="15">
        <v>4668.6099999999997</v>
      </c>
      <c r="G110" s="15">
        <f t="shared" si="330"/>
        <v>4772.78</v>
      </c>
      <c r="H110" s="15">
        <f t="shared" si="340"/>
        <v>4792.42</v>
      </c>
      <c r="I110" s="15">
        <f t="shared" si="350"/>
        <v>4783.51</v>
      </c>
      <c r="J110" s="15">
        <f t="shared" si="360"/>
        <v>4779.8</v>
      </c>
      <c r="K110" s="15">
        <f t="shared" si="370"/>
        <v>4736.96</v>
      </c>
      <c r="L110" s="15">
        <f t="shared" ref="L110:L141" si="380">F98</f>
        <v>4778.83</v>
      </c>
      <c r="M110" s="15">
        <f t="shared" si="280"/>
        <v>4768.07</v>
      </c>
      <c r="N110" s="15">
        <f t="shared" si="290"/>
        <v>4786.1000000000004</v>
      </c>
      <c r="O110" s="15">
        <f t="shared" si="300"/>
        <v>4772.67</v>
      </c>
      <c r="P110" s="15">
        <f t="shared" si="310"/>
        <v>4805.21</v>
      </c>
      <c r="Q110" s="15">
        <f t="shared" si="320"/>
        <v>4787.17</v>
      </c>
      <c r="R110" s="15">
        <v>-129.30000000000001</v>
      </c>
      <c r="S110" s="15">
        <f t="shared" si="331"/>
        <v>-60.47</v>
      </c>
      <c r="T110" s="15">
        <f t="shared" si="341"/>
        <v>-35.32</v>
      </c>
      <c r="U110" s="15">
        <f t="shared" si="351"/>
        <v>-22.28</v>
      </c>
      <c r="V110" s="15">
        <f t="shared" si="361"/>
        <v>-34.479999999999997</v>
      </c>
      <c r="W110" s="15">
        <f t="shared" si="371"/>
        <v>-152.25</v>
      </c>
      <c r="X110" s="15">
        <f t="shared" ref="X110:X141" si="381">R98</f>
        <v>-27.14</v>
      </c>
      <c r="Y110" s="15">
        <f t="shared" si="281"/>
        <v>-33.049999999999997</v>
      </c>
      <c r="Z110" s="15">
        <f t="shared" si="291"/>
        <v>-12.48</v>
      </c>
      <c r="AA110" s="15">
        <f t="shared" si="301"/>
        <v>-51.14</v>
      </c>
      <c r="AB110" s="15">
        <f t="shared" si="311"/>
        <v>-33.17</v>
      </c>
      <c r="AC110" s="15">
        <f t="shared" si="321"/>
        <v>-43.22</v>
      </c>
      <c r="AD110" s="15">
        <v>-2.69</v>
      </c>
      <c r="AE110" s="15">
        <f t="shared" si="332"/>
        <v>-1.25</v>
      </c>
      <c r="AF110" s="15">
        <f t="shared" si="342"/>
        <v>-0.73</v>
      </c>
      <c r="AG110" s="15">
        <f t="shared" si="352"/>
        <v>-0.46</v>
      </c>
      <c r="AH110" s="15">
        <f t="shared" si="362"/>
        <v>-0.72</v>
      </c>
      <c r="AI110" s="15">
        <f t="shared" si="372"/>
        <v>-3.11</v>
      </c>
      <c r="AJ110" s="15">
        <f t="shared" ref="AJ110:AJ141" si="382">AD98</f>
        <v>-0.56000000000000005</v>
      </c>
      <c r="AK110" s="15">
        <f t="shared" si="282"/>
        <v>-0.69</v>
      </c>
      <c r="AL110" s="15">
        <f t="shared" si="292"/>
        <v>-0.26</v>
      </c>
      <c r="AM110" s="15">
        <f t="shared" si="302"/>
        <v>-1.06</v>
      </c>
      <c r="AN110" s="15">
        <f t="shared" si="312"/>
        <v>-0.69</v>
      </c>
      <c r="AO110" s="15">
        <f t="shared" si="322"/>
        <v>-0.89</v>
      </c>
      <c r="AP110" s="15">
        <v>5</v>
      </c>
      <c r="AQ110" s="15">
        <f t="shared" si="333"/>
        <v>3</v>
      </c>
      <c r="AR110" s="15">
        <f t="shared" si="343"/>
        <v>3</v>
      </c>
      <c r="AS110" s="15">
        <f t="shared" si="353"/>
        <v>3</v>
      </c>
      <c r="AT110" s="15">
        <f t="shared" si="363"/>
        <v>3</v>
      </c>
      <c r="AU110" s="15">
        <f t="shared" si="373"/>
        <v>5</v>
      </c>
      <c r="AV110" s="15">
        <f t="shared" ref="AV110:AV141" si="383">AP98</f>
        <v>3</v>
      </c>
      <c r="AW110" s="15">
        <f t="shared" si="283"/>
        <v>3</v>
      </c>
      <c r="AX110" s="15">
        <f t="shared" si="293"/>
        <v>3</v>
      </c>
      <c r="AY110" s="15">
        <f t="shared" si="303"/>
        <v>3</v>
      </c>
      <c r="AZ110" s="15">
        <f t="shared" si="313"/>
        <v>3</v>
      </c>
      <c r="BA110" s="15">
        <f t="shared" si="323"/>
        <v>3</v>
      </c>
      <c r="BB110" s="15">
        <v>31</v>
      </c>
      <c r="BC110" s="15">
        <f t="shared" si="334"/>
        <v>35</v>
      </c>
      <c r="BD110" s="15">
        <f t="shared" si="344"/>
        <v>1</v>
      </c>
      <c r="BE110" s="15">
        <f t="shared" si="354"/>
        <v>9</v>
      </c>
      <c r="BF110" s="15">
        <f t="shared" si="364"/>
        <v>15</v>
      </c>
      <c r="BG110" s="15">
        <f t="shared" si="374"/>
        <v>39</v>
      </c>
      <c r="BH110" s="15">
        <f t="shared" ref="BH110:BH141" si="384">BB98</f>
        <v>11</v>
      </c>
      <c r="BI110" s="15">
        <f t="shared" si="284"/>
        <v>3</v>
      </c>
      <c r="BJ110" s="15">
        <f t="shared" si="294"/>
        <v>13</v>
      </c>
      <c r="BK110" s="15">
        <f t="shared" si="304"/>
        <v>4</v>
      </c>
      <c r="BL110" s="15">
        <f t="shared" si="314"/>
        <v>22</v>
      </c>
      <c r="BM110" s="15">
        <f t="shared" si="324"/>
        <v>5</v>
      </c>
      <c r="BN110" s="15">
        <v>3</v>
      </c>
      <c r="BO110" s="15">
        <f t="shared" si="335"/>
        <v>3</v>
      </c>
      <c r="BP110" s="15">
        <f t="shared" si="345"/>
        <v>3</v>
      </c>
      <c r="BQ110" s="15">
        <f t="shared" si="355"/>
        <v>3</v>
      </c>
      <c r="BR110" s="15">
        <f t="shared" si="365"/>
        <v>3</v>
      </c>
      <c r="BS110" s="15">
        <f t="shared" si="375"/>
        <v>4</v>
      </c>
      <c r="BT110" s="15">
        <f t="shared" ref="BT110:BT141" si="385">BN98</f>
        <v>3</v>
      </c>
      <c r="BU110" s="15">
        <f t="shared" si="285"/>
        <v>3</v>
      </c>
      <c r="BV110" s="15">
        <f t="shared" si="295"/>
        <v>3</v>
      </c>
      <c r="BW110" s="15">
        <f t="shared" si="305"/>
        <v>3</v>
      </c>
      <c r="BX110" s="15">
        <f t="shared" si="315"/>
        <v>3</v>
      </c>
      <c r="BY110" s="15">
        <f t="shared" si="325"/>
        <v>3</v>
      </c>
      <c r="BZ110" s="15">
        <v>-4.1709699999999996</v>
      </c>
      <c r="CA110" s="15">
        <f t="shared" si="336"/>
        <v>-1.7277100000000001</v>
      </c>
      <c r="CB110" s="15">
        <f t="shared" si="346"/>
        <v>-35.32</v>
      </c>
      <c r="CC110" s="15">
        <f t="shared" si="356"/>
        <v>-2.4755600000000002</v>
      </c>
      <c r="CD110" s="15">
        <f t="shared" si="366"/>
        <v>-2.29867</v>
      </c>
      <c r="CE110" s="15">
        <f t="shared" si="376"/>
        <v>-3.9038499999999998</v>
      </c>
      <c r="CF110" s="15">
        <f t="shared" ref="CF110:CF141" si="386">BZ98</f>
        <v>-2.4672700000000001</v>
      </c>
      <c r="CG110" s="15">
        <f t="shared" si="286"/>
        <v>-11.01667</v>
      </c>
      <c r="CH110" s="15">
        <f t="shared" si="296"/>
        <v>-0.96</v>
      </c>
      <c r="CI110" s="15">
        <f t="shared" si="306"/>
        <v>-12.785</v>
      </c>
      <c r="CJ110" s="15">
        <f t="shared" si="316"/>
        <v>-1.50773</v>
      </c>
      <c r="CK110" s="15">
        <f t="shared" si="326"/>
        <v>-8.6440000000000001</v>
      </c>
      <c r="CL110" s="15">
        <v>3</v>
      </c>
      <c r="CM110" s="15">
        <f t="shared" si="337"/>
        <v>3</v>
      </c>
      <c r="CN110" s="15">
        <f t="shared" si="347"/>
        <v>5</v>
      </c>
      <c r="CO110" s="15">
        <f t="shared" si="357"/>
        <v>3</v>
      </c>
      <c r="CP110" s="15">
        <f t="shared" si="367"/>
        <v>3</v>
      </c>
      <c r="CQ110" s="15">
        <f t="shared" si="377"/>
        <v>3</v>
      </c>
      <c r="CR110" s="15">
        <f t="shared" ref="CR110:CR141" si="387">CL98</f>
        <v>3</v>
      </c>
      <c r="CS110" s="15">
        <f t="shared" si="287"/>
        <v>5</v>
      </c>
      <c r="CT110" s="15">
        <f t="shared" si="297"/>
        <v>3</v>
      </c>
      <c r="CU110" s="15">
        <f t="shared" si="307"/>
        <v>5</v>
      </c>
      <c r="CV110" s="15">
        <f t="shared" si="317"/>
        <v>3</v>
      </c>
      <c r="CW110" s="15">
        <f t="shared" si="327"/>
        <v>3</v>
      </c>
      <c r="CX110" s="15">
        <v>-76.517700000000005</v>
      </c>
      <c r="CY110" s="15">
        <f t="shared" si="338"/>
        <v>-59.937800000000003</v>
      </c>
      <c r="CZ110" s="15">
        <f t="shared" si="348"/>
        <v>-88.378200000000007</v>
      </c>
      <c r="DA110" s="15">
        <f t="shared" si="358"/>
        <v>-68.003799999999998</v>
      </c>
      <c r="DB110" s="15">
        <f t="shared" si="368"/>
        <v>-66.4893</v>
      </c>
      <c r="DC110" s="15">
        <f t="shared" si="378"/>
        <v>-75.632199999999997</v>
      </c>
      <c r="DD110" s="15">
        <f t="shared" ref="DD110:DD141" si="388">CX98</f>
        <v>-67.936999999999998</v>
      </c>
      <c r="DE110" s="15">
        <f t="shared" si="288"/>
        <v>-84.813400000000001</v>
      </c>
      <c r="DF110" s="15">
        <f t="shared" si="298"/>
        <v>-43.8309</v>
      </c>
      <c r="DG110" s="15">
        <f t="shared" si="308"/>
        <v>-85.527600000000007</v>
      </c>
      <c r="DH110" s="15">
        <f t="shared" si="318"/>
        <v>-56.445700000000002</v>
      </c>
      <c r="DI110" s="15">
        <f t="shared" si="328"/>
        <v>-83.400899999999993</v>
      </c>
      <c r="DJ110" s="15" t="s">
        <v>19</v>
      </c>
      <c r="DK110" s="15" t="str">
        <f t="shared" si="339"/>
        <v>LL</v>
      </c>
      <c r="DL110" s="15" t="str">
        <f t="shared" si="349"/>
        <v>HL</v>
      </c>
      <c r="DM110" s="15" t="str">
        <f t="shared" si="359"/>
        <v>HL</v>
      </c>
      <c r="DN110" s="15" t="str">
        <f t="shared" si="369"/>
        <v>HL</v>
      </c>
      <c r="DO110" s="15" t="str">
        <f t="shared" si="379"/>
        <v>LL</v>
      </c>
      <c r="DP110" s="15" t="str">
        <f t="shared" ref="DP110:DP141" si="389">DJ98</f>
        <v>HL</v>
      </c>
      <c r="DQ110" s="15" t="str">
        <f t="shared" si="289"/>
        <v>LL</v>
      </c>
      <c r="DR110" s="15" t="str">
        <f t="shared" si="299"/>
        <v>HL</v>
      </c>
      <c r="DS110" s="15" t="str">
        <f t="shared" si="309"/>
        <v>LL</v>
      </c>
      <c r="DT110" s="15" t="str">
        <f t="shared" si="319"/>
        <v>HL</v>
      </c>
      <c r="DU110" s="15" t="str">
        <f t="shared" si="329"/>
        <v>HL</v>
      </c>
      <c r="DV110" s="15">
        <f>IFERROR((G110-$F110)/$F110*100,"")</f>
        <v>2.2312851148414645</v>
      </c>
      <c r="DW110" s="15">
        <f>IFERROR((H110-$F110)/$F110*100,"")</f>
        <v>2.651967073711456</v>
      </c>
      <c r="DX110" s="15">
        <f>IFERROR((I110-$F110)/$F110*100,"")</f>
        <v>2.4611179772994651</v>
      </c>
      <c r="DY110" s="15">
        <f>IFERROR((J110-$F110)/$F110*100,"")</f>
        <v>2.3816510695903172</v>
      </c>
      <c r="DZ110" s="15">
        <f>IFERROR((K110-$F110)/$F110*100,"")</f>
        <v>1.4640331918922413</v>
      </c>
      <c r="EA110" s="15">
        <f>IFERROR((L110-$F110)/$F110*100,"")</f>
        <v>2.3608740074668964</v>
      </c>
      <c r="EB110" s="15">
        <f>IFERROR((M110-$F110)/$F110*100,"")</f>
        <v>2.1303985554586919</v>
      </c>
      <c r="EC110" s="15">
        <f>IFERROR((N110-$F110)/$F110*100,"")</f>
        <v>2.5165948751341554</v>
      </c>
      <c r="ED110" s="15">
        <f>IFERROR((O110-$F110)/$F110*100,"")</f>
        <v>2.2289289531573728</v>
      </c>
      <c r="EE110" s="15">
        <f>IFERROR((P110-$F110)/$F110*100,"")</f>
        <v>2.9259244186171123</v>
      </c>
      <c r="EF110" s="15">
        <f>IFERROR((Q110-$F110)/$F110*100,"")</f>
        <v>2.5395139024249276</v>
      </c>
      <c r="EG110" s="15" t="str">
        <f>IF(DV110="","",IF(AND(ABS(DV110)&lt;=0.25,$E110="Bottom",DK110="LL"),"EQL",IF(AND(ABS(DV110)&lt;=0.25,$E110="Peak",DK110="HH"),"EQH","")))</f>
        <v/>
      </c>
      <c r="EH110" s="15" t="str">
        <f>IF(DW110="","",IF(AND(ABS(DW110)&lt;=0.25,$E110="Bottom",DL110="LL"),"EQL",IF(AND(ABS(DW110)&lt;=0.25,$E110="Peak",DL110="HH"),"EQH","")))</f>
        <v/>
      </c>
      <c r="EI110" s="15" t="str">
        <f>IF(DX110="","",IF(AND(ABS(DX110)&lt;=0.25,$E110="Bottom",DM110="LL"),"EQL",IF(AND(ABS(DX110)&lt;=0.25,$E110="Peak",DM110="HH"),"EQH","")))</f>
        <v/>
      </c>
      <c r="EJ110" s="15" t="str">
        <f>IF(DY110="","",IF(AND(ABS(DY110)&lt;=0.25,$E110="Bottom",DN110="LL"),"EQL",IF(AND(ABS(DY110)&lt;=0.25,$E110="Peak",DN110="HH"),"EQH","")))</f>
        <v/>
      </c>
      <c r="EK110" s="15" t="str">
        <f>IF(DZ110="","",IF(AND(ABS(DZ110)&lt;=0.25,$E110="Bottom",DO110="LL"),"EQL",IF(AND(ABS(DZ110)&lt;=0.25,$E110="Peak",DO110="HH"),"EQH","")))</f>
        <v/>
      </c>
      <c r="EL110" s="15" t="str">
        <f>IF(EA110="","",IF(AND(ABS(EA110)&lt;=0.25,$E110="Bottom",DP110="LL"),"EQL",IF(AND(ABS(EA110)&lt;=0.25,$E110="Peak",DP110="HH"),"EQH","")))</f>
        <v/>
      </c>
      <c r="EM110" s="15" t="str">
        <f>IF(EB110="","",IF(AND(ABS(EB110)&lt;=0.25,$E110="Bottom",DQ110="LL"),"EQL",IF(AND(ABS(EB110)&lt;=0.25,$E110="Peak",DQ110="HH"),"EQH","")))</f>
        <v/>
      </c>
      <c r="EN110" s="15" t="str">
        <f>IF(EC110="","",IF(AND(ABS(EC110)&lt;=0.25,$E110="Bottom",DR110="LL"),"EQL",IF(AND(ABS(EC110)&lt;=0.25,$E110="Peak",DR110="HH"),"EQH","")))</f>
        <v/>
      </c>
      <c r="EO110" s="15" t="str">
        <f>IF(ED110="","",IF(AND(ABS(ED110)&lt;=0.25,$E110="Bottom",DS110="LL"),"EQL",IF(AND(ABS(ED110)&lt;=0.25,$E110="Peak",DS110="HH"),"EQH","")))</f>
        <v/>
      </c>
      <c r="EP110" s="15" t="str">
        <f>IF(EE110="","",IF(AND(ABS(EE110)&lt;=0.25,$E110="Bottom",DT110="LL"),"EQL",IF(AND(ABS(EE110)&lt;=0.25,$E110="Peak",DT110="HH"),"EQH","")))</f>
        <v/>
      </c>
      <c r="EQ110" s="15" t="str">
        <f>IF(EF110="","",IF(AND(ABS(EF110)&lt;=0.25,$E110="Bottom",DU110="LL"),"EQL",IF(AND(ABS(EF110)&lt;=0.25,$E110="Peak",DU110="HH"),"EQH","")))</f>
        <v/>
      </c>
      <c r="ER110" s="15" t="str">
        <f>IF(OR(EG110="EQL",EG110="EQH"),F110,"")</f>
        <v/>
      </c>
      <c r="ES110" s="15" t="str">
        <f>IF(OR(EH110="EQL",EH110="EQH"),G110,"")</f>
        <v/>
      </c>
      <c r="ET110" s="15" t="str">
        <f>IF(OR(EI110="EQL",EI110="EQH"),H110,"")</f>
        <v/>
      </c>
      <c r="EU110" s="15" t="str">
        <f>IF(OR(EJ110="EQL",EJ110="EQH"),I110,"")</f>
        <v/>
      </c>
      <c r="EV110" s="15" t="str">
        <f>IF(OR(EK110="EQL",EK110="EQH"),J110,"")</f>
        <v/>
      </c>
      <c r="EW110" s="15" t="str">
        <f>IF(OR(EL110="EQL",EL110="EQH"),K110,"")</f>
        <v/>
      </c>
      <c r="EX110" s="15" t="str">
        <f>IF(OR(EM110="EQL",EM110="EQH"),L110,"")</f>
        <v/>
      </c>
      <c r="EY110" s="15" t="str">
        <f>IF(OR(EN110="EQL",EN110="EQH"),M110,"")</f>
        <v/>
      </c>
      <c r="EZ110" s="15" t="str">
        <f>IF(OR(EO110="EQL",EO110="EQH"),N110,"")</f>
        <v/>
      </c>
      <c r="FA110" s="15" t="str">
        <f>IF(OR(EP110="EQL",EP110="EQH"),O110,"")</f>
        <v/>
      </c>
      <c r="FB110" s="15" t="str">
        <f>IF(OR(EQ110="EQL",EQ110="EQH"),P110,"")</f>
        <v/>
      </c>
      <c r="FC110" s="15" t="str">
        <f>IF(AND(EG110="EQL",OR(AQ110=4,AQ110=5)),"IEQL",IF(AND(EG110="EQH",OR(AQ110=1,AQ110=2)),"IEQH",""))</f>
        <v/>
      </c>
      <c r="FD110" s="15" t="str">
        <f>IF(AND(EH110="EQL",OR(AR110=4,AR110=5)),"IEQL",IF(AND(EH110="EQH",OR(AR110=1,AR110=2)),"IEQH",""))</f>
        <v/>
      </c>
      <c r="FE110" s="15" t="str">
        <f>IF(AND(EI110="EQL",OR(AS110=4,AS110=5)),"IEQL",IF(AND(EI110="EQH",OR(AS110=1,AS110=2)),"IEQH",""))</f>
        <v/>
      </c>
      <c r="FF110" s="15" t="str">
        <f>IF(AND(EJ110="EQL",OR(AT110=4,AT110=5)),"IEQL",IF(AND(EJ110="EQH",OR(AT110=1,AT110=2)),"IEQH",""))</f>
        <v/>
      </c>
      <c r="FG110" s="15" t="str">
        <f>IF(AND(EK110="EQL",OR(AU110=4,AU110=5)),"IEQL",IF(AND(EK110="EQH",OR(AU110=1,AU110=2)),"IEQH",""))</f>
        <v/>
      </c>
      <c r="FH110" s="15" t="str">
        <f>IF(AND(EL110="EQL",OR(AV110=4,AV110=5)),"IEQL",IF(AND(EL110="EQH",OR(AV110=1,AV110=2)),"IEQH",""))</f>
        <v/>
      </c>
      <c r="FI110" s="15" t="str">
        <f>IF(AND(EM110="EQL",OR(AW110=4,AW110=5)),"IEQL",IF(AND(EM110="EQH",OR(AW110=1,AW110=2)),"IEQH",""))</f>
        <v/>
      </c>
      <c r="FJ110" s="15" t="str">
        <f>IF(AND(EN110="EQL",OR(AX110=4,AX110=5)),"IEQL",IF(AND(EN110="EQH",OR(AX110=1,AX110=2)),"IEQH",""))</f>
        <v/>
      </c>
      <c r="FK110" s="15" t="str">
        <f>IF(AND(EO110="EQL",OR(AY110=4,AY110=5)),"IEQL",IF(AND(EO110="EQH",OR(AY110=1,AY110=2)),"IEQH",""))</f>
        <v/>
      </c>
      <c r="FL110" s="15" t="str">
        <f>IF(AND(EP110="EQL",OR(AZ110=4,AZ110=5)),"IEQL",IF(AND(EP110="EQH",OR(AZ110=1,AZ110=2)),"IEQH",""))</f>
        <v/>
      </c>
      <c r="FM110" s="15" t="str">
        <f>IF(AND(EQ110="EQL",OR(BA110=4,BA110=5)),"IEQL",IF(AND(EQ110="EQH",OR(BA110=1,BA110=2)),"IEQH",""))</f>
        <v/>
      </c>
      <c r="FN110" s="15">
        <f>IF(OR(AND(DJ110="LL",AP110=5),AND(DJ110="HH",AP110=2)),F110,"")</f>
        <v>4668.6099999999997</v>
      </c>
      <c r="FO110" s="15">
        <f>IF(FN110&lt;&gt;"",F109,"")</f>
        <v>4797.91</v>
      </c>
    </row>
    <row r="111" spans="1:171" s="15" customFormat="1" x14ac:dyDescent="0.55000000000000004">
      <c r="A111" s="15">
        <v>1776841206</v>
      </c>
      <c r="B111" s="15" t="s">
        <v>16</v>
      </c>
      <c r="C111" s="15" t="s">
        <v>17</v>
      </c>
      <c r="D111" s="15">
        <v>4765.67</v>
      </c>
      <c r="E111" s="15" t="s">
        <v>20</v>
      </c>
      <c r="F111" s="15">
        <v>4772.1499999999996</v>
      </c>
      <c r="G111" s="15">
        <f t="shared" si="330"/>
        <v>4797.91</v>
      </c>
      <c r="H111" s="15">
        <f t="shared" si="340"/>
        <v>4833.25</v>
      </c>
      <c r="I111" s="15">
        <f t="shared" si="350"/>
        <v>4827.74</v>
      </c>
      <c r="J111" s="15">
        <f t="shared" si="360"/>
        <v>4805.79</v>
      </c>
      <c r="K111" s="15">
        <f t="shared" si="370"/>
        <v>4814.28</v>
      </c>
      <c r="L111" s="15">
        <f t="shared" si="380"/>
        <v>4889.21</v>
      </c>
      <c r="M111" s="15">
        <f t="shared" si="280"/>
        <v>4805.97</v>
      </c>
      <c r="N111" s="15">
        <f t="shared" si="290"/>
        <v>4801.12</v>
      </c>
      <c r="O111" s="15">
        <f t="shared" si="300"/>
        <v>4798.58</v>
      </c>
      <c r="P111" s="15">
        <f t="shared" si="310"/>
        <v>4823.8100000000004</v>
      </c>
      <c r="Q111" s="15">
        <f t="shared" si="320"/>
        <v>4838.38</v>
      </c>
      <c r="R111" s="15">
        <v>103.54</v>
      </c>
      <c r="S111" s="15">
        <f t="shared" si="331"/>
        <v>25.13</v>
      </c>
      <c r="T111" s="15">
        <f t="shared" si="341"/>
        <v>40.83</v>
      </c>
      <c r="U111" s="15">
        <f t="shared" si="351"/>
        <v>44.23</v>
      </c>
      <c r="V111" s="15">
        <f t="shared" si="361"/>
        <v>25.99</v>
      </c>
      <c r="W111" s="15">
        <f t="shared" si="371"/>
        <v>77.319999999999993</v>
      </c>
      <c r="X111" s="15">
        <f t="shared" si="381"/>
        <v>110.38</v>
      </c>
      <c r="Y111" s="15">
        <f t="shared" si="281"/>
        <v>37.9</v>
      </c>
      <c r="Z111" s="15">
        <f t="shared" si="291"/>
        <v>15.02</v>
      </c>
      <c r="AA111" s="15">
        <f t="shared" si="301"/>
        <v>25.91</v>
      </c>
      <c r="AB111" s="15">
        <f t="shared" si="311"/>
        <v>18.600000000000001</v>
      </c>
      <c r="AC111" s="15">
        <f t="shared" si="321"/>
        <v>51.21</v>
      </c>
      <c r="AD111" s="15">
        <v>2.2200000000000002</v>
      </c>
      <c r="AE111" s="15">
        <f t="shared" si="332"/>
        <v>0.53</v>
      </c>
      <c r="AF111" s="15">
        <f t="shared" si="342"/>
        <v>0.85</v>
      </c>
      <c r="AG111" s="15">
        <f t="shared" si="352"/>
        <v>0.92</v>
      </c>
      <c r="AH111" s="15">
        <f t="shared" si="362"/>
        <v>0.54</v>
      </c>
      <c r="AI111" s="15">
        <f t="shared" si="372"/>
        <v>1.63</v>
      </c>
      <c r="AJ111" s="15">
        <f t="shared" si="382"/>
        <v>2.31</v>
      </c>
      <c r="AK111" s="15">
        <f t="shared" si="282"/>
        <v>0.79</v>
      </c>
      <c r="AL111" s="15">
        <f t="shared" si="292"/>
        <v>0.31</v>
      </c>
      <c r="AM111" s="15">
        <f t="shared" si="302"/>
        <v>0.54</v>
      </c>
      <c r="AN111" s="15">
        <f t="shared" si="312"/>
        <v>0.39</v>
      </c>
      <c r="AO111" s="15">
        <f t="shared" si="322"/>
        <v>1.07</v>
      </c>
      <c r="AP111" s="15">
        <v>1</v>
      </c>
      <c r="AQ111" s="15">
        <f t="shared" si="333"/>
        <v>0</v>
      </c>
      <c r="AR111" s="15">
        <f t="shared" si="343"/>
        <v>0</v>
      </c>
      <c r="AS111" s="15">
        <f t="shared" si="353"/>
        <v>0</v>
      </c>
      <c r="AT111" s="15">
        <f t="shared" si="363"/>
        <v>0</v>
      </c>
      <c r="AU111" s="15">
        <f t="shared" si="373"/>
        <v>0</v>
      </c>
      <c r="AV111" s="15">
        <f t="shared" si="383"/>
        <v>0</v>
      </c>
      <c r="AW111" s="15">
        <f t="shared" si="283"/>
        <v>0</v>
      </c>
      <c r="AX111" s="15">
        <f t="shared" si="293"/>
        <v>0</v>
      </c>
      <c r="AY111" s="15">
        <f t="shared" si="303"/>
        <v>0</v>
      </c>
      <c r="AZ111" s="15">
        <f t="shared" si="313"/>
        <v>0</v>
      </c>
      <c r="BA111" s="15">
        <f t="shared" si="323"/>
        <v>0</v>
      </c>
      <c r="BB111" s="15">
        <v>42</v>
      </c>
      <c r="BC111" s="15">
        <f t="shared" si="334"/>
        <v>19</v>
      </c>
      <c r="BD111" s="15">
        <f t="shared" si="344"/>
        <v>26</v>
      </c>
      <c r="BE111" s="15">
        <f t="shared" si="354"/>
        <v>20</v>
      </c>
      <c r="BF111" s="15">
        <f t="shared" si="364"/>
        <v>7</v>
      </c>
      <c r="BG111" s="15">
        <f t="shared" si="374"/>
        <v>8</v>
      </c>
      <c r="BH111" s="15">
        <f t="shared" si="384"/>
        <v>21</v>
      </c>
      <c r="BI111" s="15">
        <f t="shared" si="284"/>
        <v>14</v>
      </c>
      <c r="BJ111" s="15">
        <f t="shared" si="294"/>
        <v>3</v>
      </c>
      <c r="BK111" s="15">
        <f t="shared" si="304"/>
        <v>21</v>
      </c>
      <c r="BL111" s="15">
        <f t="shared" si="314"/>
        <v>12</v>
      </c>
      <c r="BM111" s="15">
        <f t="shared" si="324"/>
        <v>50</v>
      </c>
      <c r="BN111" s="15">
        <v>1</v>
      </c>
      <c r="BO111" s="15">
        <f t="shared" si="335"/>
        <v>0</v>
      </c>
      <c r="BP111" s="15">
        <f t="shared" si="345"/>
        <v>0</v>
      </c>
      <c r="BQ111" s="15">
        <f t="shared" si="355"/>
        <v>0</v>
      </c>
      <c r="BR111" s="15">
        <f t="shared" si="365"/>
        <v>0</v>
      </c>
      <c r="BS111" s="15">
        <f t="shared" si="375"/>
        <v>0</v>
      </c>
      <c r="BT111" s="15">
        <f t="shared" si="385"/>
        <v>0</v>
      </c>
      <c r="BU111" s="15">
        <f t="shared" si="285"/>
        <v>0</v>
      </c>
      <c r="BV111" s="15">
        <f t="shared" si="295"/>
        <v>0</v>
      </c>
      <c r="BW111" s="15">
        <f t="shared" si="305"/>
        <v>0</v>
      </c>
      <c r="BX111" s="15">
        <f t="shared" si="315"/>
        <v>0</v>
      </c>
      <c r="BY111" s="15">
        <f t="shared" si="325"/>
        <v>2</v>
      </c>
      <c r="BZ111" s="15">
        <v>2.4652400000000001</v>
      </c>
      <c r="CA111" s="15">
        <f t="shared" si="336"/>
        <v>1.32263</v>
      </c>
      <c r="CB111" s="15">
        <f t="shared" si="346"/>
        <v>1.5703800000000001</v>
      </c>
      <c r="CC111" s="15">
        <f t="shared" si="356"/>
        <v>2.2115</v>
      </c>
      <c r="CD111" s="15">
        <f t="shared" si="366"/>
        <v>3.71286</v>
      </c>
      <c r="CE111" s="15">
        <f t="shared" si="376"/>
        <v>9.6649999999999991</v>
      </c>
      <c r="CF111" s="15">
        <f t="shared" si="386"/>
        <v>5.2561900000000001</v>
      </c>
      <c r="CG111" s="15">
        <f t="shared" si="286"/>
        <v>2.7071399999999999</v>
      </c>
      <c r="CH111" s="15">
        <f t="shared" si="296"/>
        <v>5.0066699999999997</v>
      </c>
      <c r="CI111" s="15">
        <f t="shared" si="306"/>
        <v>1.2338100000000001</v>
      </c>
      <c r="CJ111" s="15">
        <f t="shared" si="316"/>
        <v>1.55</v>
      </c>
      <c r="CK111" s="15">
        <f t="shared" si="326"/>
        <v>1.0242</v>
      </c>
      <c r="CL111" s="15">
        <v>0</v>
      </c>
      <c r="CM111" s="15">
        <f t="shared" si="337"/>
        <v>0</v>
      </c>
      <c r="CN111" s="15">
        <f t="shared" si="347"/>
        <v>0</v>
      </c>
      <c r="CO111" s="15">
        <f t="shared" si="357"/>
        <v>0</v>
      </c>
      <c r="CP111" s="15">
        <f t="shared" si="367"/>
        <v>0</v>
      </c>
      <c r="CQ111" s="15">
        <f t="shared" si="377"/>
        <v>1</v>
      </c>
      <c r="CR111" s="15">
        <f t="shared" si="387"/>
        <v>0</v>
      </c>
      <c r="CS111" s="15">
        <f t="shared" si="287"/>
        <v>0</v>
      </c>
      <c r="CT111" s="15">
        <f t="shared" si="297"/>
        <v>0</v>
      </c>
      <c r="CU111" s="15">
        <f t="shared" si="307"/>
        <v>0</v>
      </c>
      <c r="CV111" s="15">
        <f t="shared" si="317"/>
        <v>0</v>
      </c>
      <c r="CW111" s="15">
        <f t="shared" si="327"/>
        <v>0</v>
      </c>
      <c r="CX111" s="15">
        <v>67.920500000000004</v>
      </c>
      <c r="CY111" s="15">
        <f t="shared" si="338"/>
        <v>52.908200000000001</v>
      </c>
      <c r="CZ111" s="15">
        <f t="shared" si="348"/>
        <v>57.511600000000001</v>
      </c>
      <c r="DA111" s="15">
        <f t="shared" si="358"/>
        <v>65.668400000000005</v>
      </c>
      <c r="DB111" s="15">
        <f t="shared" si="368"/>
        <v>74.926000000000002</v>
      </c>
      <c r="DC111" s="15">
        <f t="shared" si="378"/>
        <v>84.092799999999997</v>
      </c>
      <c r="DD111" s="15">
        <f t="shared" si="388"/>
        <v>79.228099999999998</v>
      </c>
      <c r="DE111" s="15">
        <f t="shared" si="288"/>
        <v>69.726100000000002</v>
      </c>
      <c r="DF111" s="15">
        <f t="shared" si="298"/>
        <v>78.704700000000003</v>
      </c>
      <c r="DG111" s="15">
        <f t="shared" si="308"/>
        <v>50.975299999999997</v>
      </c>
      <c r="DH111" s="15">
        <f t="shared" si="318"/>
        <v>57.171500000000002</v>
      </c>
      <c r="DI111" s="15">
        <f t="shared" si="328"/>
        <v>45.685000000000002</v>
      </c>
      <c r="DJ111" s="15" t="s">
        <v>21</v>
      </c>
      <c r="DK111" s="15" t="str">
        <f t="shared" si="339"/>
        <v>LH</v>
      </c>
      <c r="DL111" s="15" t="str">
        <f t="shared" si="349"/>
        <v>HH</v>
      </c>
      <c r="DM111" s="15" t="str">
        <f t="shared" si="359"/>
        <v>HH</v>
      </c>
      <c r="DN111" s="15" t="str">
        <f t="shared" si="369"/>
        <v>LH</v>
      </c>
      <c r="DO111" s="15" t="str">
        <f t="shared" si="379"/>
        <v>LH</v>
      </c>
      <c r="DP111" s="15" t="str">
        <f t="shared" si="389"/>
        <v>HH</v>
      </c>
      <c r="DQ111" s="15" t="str">
        <f t="shared" si="289"/>
        <v>HH</v>
      </c>
      <c r="DR111" s="15" t="str">
        <f t="shared" si="299"/>
        <v>HH</v>
      </c>
      <c r="DS111" s="15" t="str">
        <f t="shared" si="309"/>
        <v>LH</v>
      </c>
      <c r="DT111" s="15" t="str">
        <f t="shared" si="319"/>
        <v>LH</v>
      </c>
      <c r="DU111" s="15" t="str">
        <f t="shared" si="329"/>
        <v>HH</v>
      </c>
      <c r="DV111" s="15">
        <f>IFERROR((G111-$F111)/$F111*100,"")</f>
        <v>0.5397986232620563</v>
      </c>
      <c r="DW111" s="15">
        <f>IFERROR((H111-$F111)/$F111*100,"")</f>
        <v>1.2803453370074362</v>
      </c>
      <c r="DX111" s="15">
        <f>IFERROR((I111-$F111)/$F111*100,"")</f>
        <v>1.1648837526062708</v>
      </c>
      <c r="DY111" s="15">
        <f>IFERROR((J111-$F111)/$F111*100,"")</f>
        <v>0.70492335739656831</v>
      </c>
      <c r="DZ111" s="15">
        <f>IFERROR((K111-$F111)/$F111*100,"")</f>
        <v>0.88283058998564823</v>
      </c>
      <c r="EA111" s="15">
        <f>IFERROR((L111-$F111)/$F111*100,"")</f>
        <v>2.4529824083484466</v>
      </c>
      <c r="EB111" s="15">
        <f>IFERROR((M111-$F111)/$F111*100,"")</f>
        <v>0.70869524218644897</v>
      </c>
      <c r="EC111" s="15">
        <f>IFERROR((N111-$F111)/$F111*100,"")</f>
        <v>0.60706390201482052</v>
      </c>
      <c r="ED111" s="15">
        <f>IFERROR((O111-$F111)/$F111*100,"")</f>
        <v>0.55383841664659095</v>
      </c>
      <c r="EE111" s="15">
        <f>IFERROR((P111-$F111)/$F111*100,"")</f>
        <v>1.082530934694022</v>
      </c>
      <c r="EF111" s="15">
        <f>IFERROR((Q111-$F111)/$F111*100,"")</f>
        <v>1.3878440535188643</v>
      </c>
      <c r="EG111" s="15" t="str">
        <f>IF(DV111="","",IF(AND(ABS(DV111)&lt;=0.25,$E111="Bottom",DK111="LL"),"EQL",IF(AND(ABS(DV111)&lt;=0.25,$E111="Peak",DK111="HH"),"EQH","")))</f>
        <v/>
      </c>
      <c r="EH111" s="15" t="str">
        <f>IF(DW111="","",IF(AND(ABS(DW111)&lt;=0.25,$E111="Bottom",DL111="LL"),"EQL",IF(AND(ABS(DW111)&lt;=0.25,$E111="Peak",DL111="HH"),"EQH","")))</f>
        <v/>
      </c>
      <c r="EI111" s="15" t="str">
        <f>IF(DX111="","",IF(AND(ABS(DX111)&lt;=0.25,$E111="Bottom",DM111="LL"),"EQL",IF(AND(ABS(DX111)&lt;=0.25,$E111="Peak",DM111="HH"),"EQH","")))</f>
        <v/>
      </c>
      <c r="EJ111" s="15" t="str">
        <f>IF(DY111="","",IF(AND(ABS(DY111)&lt;=0.25,$E111="Bottom",DN111="LL"),"EQL",IF(AND(ABS(DY111)&lt;=0.25,$E111="Peak",DN111="HH"),"EQH","")))</f>
        <v/>
      </c>
      <c r="EK111" s="15" t="str">
        <f>IF(DZ111="","",IF(AND(ABS(DZ111)&lt;=0.25,$E111="Bottom",DO111="LL"),"EQL",IF(AND(ABS(DZ111)&lt;=0.25,$E111="Peak",DO111="HH"),"EQH","")))</f>
        <v/>
      </c>
      <c r="EL111" s="15" t="str">
        <f>IF(EA111="","",IF(AND(ABS(EA111)&lt;=0.25,$E111="Bottom",DP111="LL"),"EQL",IF(AND(ABS(EA111)&lt;=0.25,$E111="Peak",DP111="HH"),"EQH","")))</f>
        <v/>
      </c>
      <c r="EM111" s="15" t="str">
        <f>IF(EB111="","",IF(AND(ABS(EB111)&lt;=0.25,$E111="Bottom",DQ111="LL"),"EQL",IF(AND(ABS(EB111)&lt;=0.25,$E111="Peak",DQ111="HH"),"EQH","")))</f>
        <v/>
      </c>
      <c r="EN111" s="15" t="str">
        <f>IF(EC111="","",IF(AND(ABS(EC111)&lt;=0.25,$E111="Bottom",DR111="LL"),"EQL",IF(AND(ABS(EC111)&lt;=0.25,$E111="Peak",DR111="HH"),"EQH","")))</f>
        <v/>
      </c>
      <c r="EO111" s="15" t="str">
        <f>IF(ED111="","",IF(AND(ABS(ED111)&lt;=0.25,$E111="Bottom",DS111="LL"),"EQL",IF(AND(ABS(ED111)&lt;=0.25,$E111="Peak",DS111="HH"),"EQH","")))</f>
        <v/>
      </c>
      <c r="EP111" s="15" t="str">
        <f>IF(EE111="","",IF(AND(ABS(EE111)&lt;=0.25,$E111="Bottom",DT111="LL"),"EQL",IF(AND(ABS(EE111)&lt;=0.25,$E111="Peak",DT111="HH"),"EQH","")))</f>
        <v/>
      </c>
      <c r="EQ111" s="15" t="str">
        <f>IF(EF111="","",IF(AND(ABS(EF111)&lt;=0.25,$E111="Bottom",DU111="LL"),"EQL",IF(AND(ABS(EF111)&lt;=0.25,$E111="Peak",DU111="HH"),"EQH","")))</f>
        <v/>
      </c>
      <c r="ER111" s="15" t="str">
        <f>IF(OR(EG111="EQL",EG111="EQH"),F111,"")</f>
        <v/>
      </c>
      <c r="ES111" s="15" t="str">
        <f>IF(OR(EH111="EQL",EH111="EQH"),G111,"")</f>
        <v/>
      </c>
      <c r="ET111" s="15" t="str">
        <f>IF(OR(EI111="EQL",EI111="EQH"),H111,"")</f>
        <v/>
      </c>
      <c r="EU111" s="15" t="str">
        <f>IF(OR(EJ111="EQL",EJ111="EQH"),I111,"")</f>
        <v/>
      </c>
      <c r="EV111" s="15" t="str">
        <f>IF(OR(EK111="EQL",EK111="EQH"),J111,"")</f>
        <v/>
      </c>
      <c r="EW111" s="15" t="str">
        <f>IF(OR(EL111="EQL",EL111="EQH"),K111,"")</f>
        <v/>
      </c>
      <c r="EX111" s="15" t="str">
        <f>IF(OR(EM111="EQL",EM111="EQH"),L111,"")</f>
        <v/>
      </c>
      <c r="EY111" s="15" t="str">
        <f>IF(OR(EN111="EQL",EN111="EQH"),M111,"")</f>
        <v/>
      </c>
      <c r="EZ111" s="15" t="str">
        <f>IF(OR(EO111="EQL",EO111="EQH"),N111,"")</f>
        <v/>
      </c>
      <c r="FA111" s="15" t="str">
        <f>IF(OR(EP111="EQL",EP111="EQH"),O111,"")</f>
        <v/>
      </c>
      <c r="FB111" s="15" t="str">
        <f>IF(OR(EQ111="EQL",EQ111="EQH"),P111,"")</f>
        <v/>
      </c>
      <c r="FC111" s="15" t="str">
        <f>IF(AND(EG111="EQL",OR(AQ111=4,AQ111=5)),"IEQL",IF(AND(EG111="EQH",OR(AQ111=1,AQ111=2)),"IEQH",""))</f>
        <v/>
      </c>
      <c r="FD111" s="15" t="str">
        <f>IF(AND(EH111="EQL",OR(AR111=4,AR111=5)),"IEQL",IF(AND(EH111="EQH",OR(AR111=1,AR111=2)),"IEQH",""))</f>
        <v/>
      </c>
      <c r="FE111" s="15" t="str">
        <f>IF(AND(EI111="EQL",OR(AS111=4,AS111=5)),"IEQL",IF(AND(EI111="EQH",OR(AS111=1,AS111=2)),"IEQH",""))</f>
        <v/>
      </c>
      <c r="FF111" s="15" t="str">
        <f>IF(AND(EJ111="EQL",OR(AT111=4,AT111=5)),"IEQL",IF(AND(EJ111="EQH",OR(AT111=1,AT111=2)),"IEQH",""))</f>
        <v/>
      </c>
      <c r="FG111" s="15" t="str">
        <f>IF(AND(EK111="EQL",OR(AU111=4,AU111=5)),"IEQL",IF(AND(EK111="EQH",OR(AU111=1,AU111=2)),"IEQH",""))</f>
        <v/>
      </c>
      <c r="FH111" s="15" t="str">
        <f>IF(AND(EL111="EQL",OR(AV111=4,AV111=5)),"IEQL",IF(AND(EL111="EQH",OR(AV111=1,AV111=2)),"IEQH",""))</f>
        <v/>
      </c>
      <c r="FI111" s="15" t="str">
        <f>IF(AND(EM111="EQL",OR(AW111=4,AW111=5)),"IEQL",IF(AND(EM111="EQH",OR(AW111=1,AW111=2)),"IEQH",""))</f>
        <v/>
      </c>
      <c r="FJ111" s="15" t="str">
        <f>IF(AND(EN111="EQL",OR(AX111=4,AX111=5)),"IEQL",IF(AND(EN111="EQH",OR(AX111=1,AX111=2)),"IEQH",""))</f>
        <v/>
      </c>
      <c r="FK111" s="15" t="str">
        <f>IF(AND(EO111="EQL",OR(AY111=4,AY111=5)),"IEQL",IF(AND(EO111="EQH",OR(AY111=1,AY111=2)),"IEQH",""))</f>
        <v/>
      </c>
      <c r="FL111" s="15" t="str">
        <f>IF(AND(EP111="EQL",OR(AZ111=4,AZ111=5)),"IEQL",IF(AND(EP111="EQH",OR(AZ111=1,AZ111=2)),"IEQH",""))</f>
        <v/>
      </c>
      <c r="FM111" s="15" t="str">
        <f>IF(AND(EQ111="EQL",OR(BA111=4,BA111=5)),"IEQL",IF(AND(EQ111="EQH",OR(BA111=1,BA111=2)),"IEQH",""))</f>
        <v/>
      </c>
      <c r="FN111" s="15" t="str">
        <f>IF(OR(AND(DJ111="LL",AP111=5),AND(DJ111="HH",AP111=2)),F111,"")</f>
        <v/>
      </c>
      <c r="FO111" s="15" t="str">
        <f>IF(FN111&lt;&gt;"",F110,"")</f>
        <v/>
      </c>
    </row>
    <row r="112" spans="1:171" s="15" customFormat="1" x14ac:dyDescent="0.55000000000000004">
      <c r="A112" s="15">
        <v>1776875406</v>
      </c>
      <c r="B112" s="15" t="s">
        <v>16</v>
      </c>
      <c r="C112" s="15" t="s">
        <v>17</v>
      </c>
      <c r="D112" s="15">
        <v>4728.3</v>
      </c>
      <c r="E112" s="15" t="s">
        <v>18</v>
      </c>
      <c r="F112" s="15">
        <v>4724.03</v>
      </c>
      <c r="G112" s="15">
        <f t="shared" si="330"/>
        <v>4668.6099999999997</v>
      </c>
      <c r="H112" s="15">
        <f t="shared" si="340"/>
        <v>4772.78</v>
      </c>
      <c r="I112" s="15">
        <f t="shared" si="350"/>
        <v>4792.42</v>
      </c>
      <c r="J112" s="15">
        <f t="shared" si="360"/>
        <v>4783.51</v>
      </c>
      <c r="K112" s="15">
        <f t="shared" si="370"/>
        <v>4779.8</v>
      </c>
      <c r="L112" s="15">
        <f t="shared" si="380"/>
        <v>4736.96</v>
      </c>
      <c r="M112" s="15">
        <f t="shared" ref="M112:M143" si="390">F98</f>
        <v>4778.83</v>
      </c>
      <c r="N112" s="15">
        <f t="shared" si="290"/>
        <v>4768.07</v>
      </c>
      <c r="O112" s="15">
        <f t="shared" si="300"/>
        <v>4786.1000000000004</v>
      </c>
      <c r="P112" s="15">
        <f t="shared" si="310"/>
        <v>4772.67</v>
      </c>
      <c r="Q112" s="15">
        <f t="shared" si="320"/>
        <v>4805.21</v>
      </c>
      <c r="R112" s="15">
        <v>-48.12</v>
      </c>
      <c r="S112" s="15">
        <f t="shared" si="331"/>
        <v>-129.30000000000001</v>
      </c>
      <c r="T112" s="15">
        <f t="shared" si="341"/>
        <v>-60.47</v>
      </c>
      <c r="U112" s="15">
        <f t="shared" si="351"/>
        <v>-35.32</v>
      </c>
      <c r="V112" s="15">
        <f t="shared" si="361"/>
        <v>-22.28</v>
      </c>
      <c r="W112" s="15">
        <f t="shared" si="371"/>
        <v>-34.479999999999997</v>
      </c>
      <c r="X112" s="15">
        <f t="shared" si="381"/>
        <v>-152.25</v>
      </c>
      <c r="Y112" s="15">
        <f t="shared" ref="Y112:Y143" si="391">R98</f>
        <v>-27.14</v>
      </c>
      <c r="Z112" s="15">
        <f t="shared" si="291"/>
        <v>-33.049999999999997</v>
      </c>
      <c r="AA112" s="15">
        <f t="shared" si="301"/>
        <v>-12.48</v>
      </c>
      <c r="AB112" s="15">
        <f t="shared" si="311"/>
        <v>-51.14</v>
      </c>
      <c r="AC112" s="15">
        <f t="shared" si="321"/>
        <v>-33.17</v>
      </c>
      <c r="AD112" s="15">
        <v>-1.01</v>
      </c>
      <c r="AE112" s="15">
        <f t="shared" si="332"/>
        <v>-2.69</v>
      </c>
      <c r="AF112" s="15">
        <f t="shared" si="342"/>
        <v>-1.25</v>
      </c>
      <c r="AG112" s="15">
        <f t="shared" si="352"/>
        <v>-0.73</v>
      </c>
      <c r="AH112" s="15">
        <f t="shared" si="362"/>
        <v>-0.46</v>
      </c>
      <c r="AI112" s="15">
        <f t="shared" si="372"/>
        <v>-0.72</v>
      </c>
      <c r="AJ112" s="15">
        <f t="shared" si="382"/>
        <v>-3.11</v>
      </c>
      <c r="AK112" s="15">
        <f t="shared" ref="AK112:AK143" si="392">AD98</f>
        <v>-0.56000000000000005</v>
      </c>
      <c r="AL112" s="15">
        <f t="shared" si="292"/>
        <v>-0.69</v>
      </c>
      <c r="AM112" s="15">
        <f t="shared" si="302"/>
        <v>-0.26</v>
      </c>
      <c r="AN112" s="15">
        <f t="shared" si="312"/>
        <v>-1.06</v>
      </c>
      <c r="AO112" s="15">
        <f t="shared" si="322"/>
        <v>-0.69</v>
      </c>
      <c r="AP112" s="15">
        <v>3</v>
      </c>
      <c r="AQ112" s="15">
        <f t="shared" si="333"/>
        <v>5</v>
      </c>
      <c r="AR112" s="15">
        <f t="shared" si="343"/>
        <v>3</v>
      </c>
      <c r="AS112" s="15">
        <f t="shared" si="353"/>
        <v>3</v>
      </c>
      <c r="AT112" s="15">
        <f t="shared" si="363"/>
        <v>3</v>
      </c>
      <c r="AU112" s="15">
        <f t="shared" si="373"/>
        <v>3</v>
      </c>
      <c r="AV112" s="15">
        <f t="shared" si="383"/>
        <v>5</v>
      </c>
      <c r="AW112" s="15">
        <f t="shared" ref="AW112:AW143" si="393">AP98</f>
        <v>3</v>
      </c>
      <c r="AX112" s="15">
        <f t="shared" si="293"/>
        <v>3</v>
      </c>
      <c r="AY112" s="15">
        <f t="shared" si="303"/>
        <v>3</v>
      </c>
      <c r="AZ112" s="15">
        <f t="shared" si="313"/>
        <v>3</v>
      </c>
      <c r="BA112" s="15">
        <f t="shared" si="323"/>
        <v>3</v>
      </c>
      <c r="BB112" s="15">
        <v>38</v>
      </c>
      <c r="BC112" s="15">
        <f t="shared" si="334"/>
        <v>31</v>
      </c>
      <c r="BD112" s="15">
        <f t="shared" si="344"/>
        <v>35</v>
      </c>
      <c r="BE112" s="15">
        <f t="shared" si="354"/>
        <v>1</v>
      </c>
      <c r="BF112" s="15">
        <f t="shared" si="364"/>
        <v>9</v>
      </c>
      <c r="BG112" s="15">
        <f t="shared" si="374"/>
        <v>15</v>
      </c>
      <c r="BH112" s="15">
        <f t="shared" si="384"/>
        <v>39</v>
      </c>
      <c r="BI112" s="15">
        <f t="shared" ref="BI112:BI143" si="394">BB98</f>
        <v>11</v>
      </c>
      <c r="BJ112" s="15">
        <f t="shared" si="294"/>
        <v>3</v>
      </c>
      <c r="BK112" s="15">
        <f t="shared" si="304"/>
        <v>13</v>
      </c>
      <c r="BL112" s="15">
        <f t="shared" si="314"/>
        <v>4</v>
      </c>
      <c r="BM112" s="15">
        <f t="shared" si="324"/>
        <v>22</v>
      </c>
      <c r="BN112" s="15">
        <v>4</v>
      </c>
      <c r="BO112" s="15">
        <f t="shared" si="335"/>
        <v>3</v>
      </c>
      <c r="BP112" s="15">
        <f t="shared" si="345"/>
        <v>3</v>
      </c>
      <c r="BQ112" s="15">
        <f t="shared" si="355"/>
        <v>3</v>
      </c>
      <c r="BR112" s="15">
        <f t="shared" si="365"/>
        <v>3</v>
      </c>
      <c r="BS112" s="15">
        <f t="shared" si="375"/>
        <v>3</v>
      </c>
      <c r="BT112" s="15">
        <f t="shared" si="385"/>
        <v>4</v>
      </c>
      <c r="BU112" s="15">
        <f t="shared" ref="BU112:BU143" si="395">BN98</f>
        <v>3</v>
      </c>
      <c r="BV112" s="15">
        <f t="shared" si="295"/>
        <v>3</v>
      </c>
      <c r="BW112" s="15">
        <f t="shared" si="305"/>
        <v>3</v>
      </c>
      <c r="BX112" s="15">
        <f t="shared" si="315"/>
        <v>3</v>
      </c>
      <c r="BY112" s="15">
        <f t="shared" si="325"/>
        <v>3</v>
      </c>
      <c r="BZ112" s="15">
        <v>-1.2663199999999999</v>
      </c>
      <c r="CA112" s="15">
        <f t="shared" si="336"/>
        <v>-4.1709699999999996</v>
      </c>
      <c r="CB112" s="15">
        <f t="shared" si="346"/>
        <v>-1.7277100000000001</v>
      </c>
      <c r="CC112" s="15">
        <f t="shared" si="356"/>
        <v>-35.32</v>
      </c>
      <c r="CD112" s="15">
        <f t="shared" si="366"/>
        <v>-2.4755600000000002</v>
      </c>
      <c r="CE112" s="15">
        <f t="shared" si="376"/>
        <v>-2.29867</v>
      </c>
      <c r="CF112" s="15">
        <f t="shared" si="386"/>
        <v>-3.9038499999999998</v>
      </c>
      <c r="CG112" s="15">
        <f t="shared" ref="CG112:CG143" si="396">BZ98</f>
        <v>-2.4672700000000001</v>
      </c>
      <c r="CH112" s="15">
        <f t="shared" si="296"/>
        <v>-11.01667</v>
      </c>
      <c r="CI112" s="15">
        <f t="shared" si="306"/>
        <v>-0.96</v>
      </c>
      <c r="CJ112" s="15">
        <f t="shared" si="316"/>
        <v>-12.785</v>
      </c>
      <c r="CK112" s="15">
        <f t="shared" si="326"/>
        <v>-1.50773</v>
      </c>
      <c r="CL112" s="15">
        <v>3</v>
      </c>
      <c r="CM112" s="15">
        <f t="shared" si="337"/>
        <v>3</v>
      </c>
      <c r="CN112" s="15">
        <f t="shared" si="347"/>
        <v>3</v>
      </c>
      <c r="CO112" s="15">
        <f t="shared" si="357"/>
        <v>5</v>
      </c>
      <c r="CP112" s="15">
        <f t="shared" si="367"/>
        <v>3</v>
      </c>
      <c r="CQ112" s="15">
        <f t="shared" si="377"/>
        <v>3</v>
      </c>
      <c r="CR112" s="15">
        <f t="shared" si="387"/>
        <v>3</v>
      </c>
      <c r="CS112" s="15">
        <f t="shared" ref="CS112:CS143" si="397">CL98</f>
        <v>3</v>
      </c>
      <c r="CT112" s="15">
        <f t="shared" si="297"/>
        <v>5</v>
      </c>
      <c r="CU112" s="15">
        <f t="shared" si="307"/>
        <v>3</v>
      </c>
      <c r="CV112" s="15">
        <f t="shared" si="317"/>
        <v>5</v>
      </c>
      <c r="CW112" s="15">
        <f t="shared" si="327"/>
        <v>3</v>
      </c>
      <c r="CX112" s="15">
        <v>-51.702100000000002</v>
      </c>
      <c r="CY112" s="15">
        <f t="shared" si="338"/>
        <v>-76.517700000000005</v>
      </c>
      <c r="CZ112" s="15">
        <f t="shared" si="348"/>
        <v>-59.937800000000003</v>
      </c>
      <c r="DA112" s="15">
        <f t="shared" si="358"/>
        <v>-88.378200000000007</v>
      </c>
      <c r="DB112" s="15">
        <f t="shared" si="368"/>
        <v>-68.003799999999998</v>
      </c>
      <c r="DC112" s="15">
        <f t="shared" si="378"/>
        <v>-66.4893</v>
      </c>
      <c r="DD112" s="15">
        <f t="shared" si="388"/>
        <v>-75.632199999999997</v>
      </c>
      <c r="DE112" s="15">
        <f t="shared" ref="DE112:DE143" si="398">CX98</f>
        <v>-67.936999999999998</v>
      </c>
      <c r="DF112" s="15">
        <f t="shared" si="298"/>
        <v>-84.813400000000001</v>
      </c>
      <c r="DG112" s="15">
        <f t="shared" si="308"/>
        <v>-43.8309</v>
      </c>
      <c r="DH112" s="15">
        <f t="shared" si="318"/>
        <v>-85.527600000000007</v>
      </c>
      <c r="DI112" s="15">
        <f t="shared" si="328"/>
        <v>-56.445700000000002</v>
      </c>
      <c r="DJ112" s="15" t="s">
        <v>22</v>
      </c>
      <c r="DK112" s="15" t="str">
        <f t="shared" si="339"/>
        <v>LL</v>
      </c>
      <c r="DL112" s="15" t="str">
        <f t="shared" si="349"/>
        <v>LL</v>
      </c>
      <c r="DM112" s="15" t="str">
        <f t="shared" si="359"/>
        <v>HL</v>
      </c>
      <c r="DN112" s="15" t="str">
        <f t="shared" si="369"/>
        <v>HL</v>
      </c>
      <c r="DO112" s="15" t="str">
        <f t="shared" si="379"/>
        <v>HL</v>
      </c>
      <c r="DP112" s="15" t="str">
        <f t="shared" si="389"/>
        <v>LL</v>
      </c>
      <c r="DQ112" s="15" t="str">
        <f t="shared" ref="DQ112:DQ143" si="399">DJ98</f>
        <v>HL</v>
      </c>
      <c r="DR112" s="15" t="str">
        <f t="shared" si="299"/>
        <v>LL</v>
      </c>
      <c r="DS112" s="15" t="str">
        <f t="shared" si="309"/>
        <v>HL</v>
      </c>
      <c r="DT112" s="15" t="str">
        <f t="shared" si="319"/>
        <v>LL</v>
      </c>
      <c r="DU112" s="15" t="str">
        <f t="shared" si="329"/>
        <v>HL</v>
      </c>
      <c r="DV112" s="15">
        <f>IFERROR((G112-$F112)/$F112*100,"")</f>
        <v>-1.1731508902356691</v>
      </c>
      <c r="DW112" s="15">
        <f>IFERROR((H112-$F112)/$F112*100,"")</f>
        <v>1.0319578834173364</v>
      </c>
      <c r="DX112" s="15">
        <f>IFERROR((I112-$F112)/$F112*100,"")</f>
        <v>1.4477046081417844</v>
      </c>
      <c r="DY112" s="15">
        <f>IFERROR((J112-$F112)/$F112*100,"")</f>
        <v>1.2590944596033573</v>
      </c>
      <c r="DZ112" s="15">
        <f>IFERROR((K112-$F112)/$F112*100,"")</f>
        <v>1.1805598186294424</v>
      </c>
      <c r="EA112" s="15">
        <f>IFERROR((L112-$F112)/$F112*100,"")</f>
        <v>0.27370698323254283</v>
      </c>
      <c r="EB112" s="15">
        <f>IFERROR((M112-$F112)/$F112*100,"")</f>
        <v>1.1600265027952867</v>
      </c>
      <c r="EC112" s="15">
        <f>IFERROR((N112-$F112)/$F112*100,"")</f>
        <v>0.93225487560409159</v>
      </c>
      <c r="ED112" s="15">
        <f>IFERROR((O112-$F112)/$F112*100,"")</f>
        <v>1.3139205297172249</v>
      </c>
      <c r="EE112" s="15">
        <f>IFERROR((P112-$F112)/$F112*100,"")</f>
        <v>1.0296293630650171</v>
      </c>
      <c r="EF112" s="15">
        <f>IFERROR((Q112-$F112)/$F112*100,"")</f>
        <v>1.7184480200168142</v>
      </c>
      <c r="EG112" s="15" t="str">
        <f>IF(DV112="","",IF(AND(ABS(DV112)&lt;=0.25,$E112="Bottom",DK112="LL"),"EQL",IF(AND(ABS(DV112)&lt;=0.25,$E112="Peak",DK112="HH"),"EQH","")))</f>
        <v/>
      </c>
      <c r="EH112" s="15" t="str">
        <f>IF(DW112="","",IF(AND(ABS(DW112)&lt;=0.25,$E112="Bottom",DL112="LL"),"EQL",IF(AND(ABS(DW112)&lt;=0.25,$E112="Peak",DL112="HH"),"EQH","")))</f>
        <v/>
      </c>
      <c r="EI112" s="15" t="str">
        <f>IF(DX112="","",IF(AND(ABS(DX112)&lt;=0.25,$E112="Bottom",DM112="LL"),"EQL",IF(AND(ABS(DX112)&lt;=0.25,$E112="Peak",DM112="HH"),"EQH","")))</f>
        <v/>
      </c>
      <c r="EJ112" s="15" t="str">
        <f>IF(DY112="","",IF(AND(ABS(DY112)&lt;=0.25,$E112="Bottom",DN112="LL"),"EQL",IF(AND(ABS(DY112)&lt;=0.25,$E112="Peak",DN112="HH"),"EQH","")))</f>
        <v/>
      </c>
      <c r="EK112" s="15" t="str">
        <f>IF(DZ112="","",IF(AND(ABS(DZ112)&lt;=0.25,$E112="Bottom",DO112="LL"),"EQL",IF(AND(ABS(DZ112)&lt;=0.25,$E112="Peak",DO112="HH"),"EQH","")))</f>
        <v/>
      </c>
      <c r="EL112" s="15" t="str">
        <f>IF(EA112="","",IF(AND(ABS(EA112)&lt;=0.25,$E112="Bottom",DP112="LL"),"EQL",IF(AND(ABS(EA112)&lt;=0.25,$E112="Peak",DP112="HH"),"EQH","")))</f>
        <v/>
      </c>
      <c r="EM112" s="15" t="str">
        <f>IF(EB112="","",IF(AND(ABS(EB112)&lt;=0.25,$E112="Bottom",DQ112="LL"),"EQL",IF(AND(ABS(EB112)&lt;=0.25,$E112="Peak",DQ112="HH"),"EQH","")))</f>
        <v/>
      </c>
      <c r="EN112" s="15" t="str">
        <f>IF(EC112="","",IF(AND(ABS(EC112)&lt;=0.25,$E112="Bottom",DR112="LL"),"EQL",IF(AND(ABS(EC112)&lt;=0.25,$E112="Peak",DR112="HH"),"EQH","")))</f>
        <v/>
      </c>
      <c r="EO112" s="15" t="str">
        <f>IF(ED112="","",IF(AND(ABS(ED112)&lt;=0.25,$E112="Bottom",DS112="LL"),"EQL",IF(AND(ABS(ED112)&lt;=0.25,$E112="Peak",DS112="HH"),"EQH","")))</f>
        <v/>
      </c>
      <c r="EP112" s="15" t="str">
        <f>IF(EE112="","",IF(AND(ABS(EE112)&lt;=0.25,$E112="Bottom",DT112="LL"),"EQL",IF(AND(ABS(EE112)&lt;=0.25,$E112="Peak",DT112="HH"),"EQH","")))</f>
        <v/>
      </c>
      <c r="EQ112" s="15" t="str">
        <f>IF(EF112="","",IF(AND(ABS(EF112)&lt;=0.25,$E112="Bottom",DU112="LL"),"EQL",IF(AND(ABS(EF112)&lt;=0.25,$E112="Peak",DU112="HH"),"EQH","")))</f>
        <v/>
      </c>
      <c r="ER112" s="15" t="str">
        <f>IF(OR(EG112="EQL",EG112="EQH"),F112,"")</f>
        <v/>
      </c>
      <c r="ES112" s="15" t="str">
        <f>IF(OR(EH112="EQL",EH112="EQH"),G112,"")</f>
        <v/>
      </c>
      <c r="ET112" s="15" t="str">
        <f>IF(OR(EI112="EQL",EI112="EQH"),H112,"")</f>
        <v/>
      </c>
      <c r="EU112" s="15" t="str">
        <f>IF(OR(EJ112="EQL",EJ112="EQH"),I112,"")</f>
        <v/>
      </c>
      <c r="EV112" s="15" t="str">
        <f>IF(OR(EK112="EQL",EK112="EQH"),J112,"")</f>
        <v/>
      </c>
      <c r="EW112" s="15" t="str">
        <f>IF(OR(EL112="EQL",EL112="EQH"),K112,"")</f>
        <v/>
      </c>
      <c r="EX112" s="15" t="str">
        <f>IF(OR(EM112="EQL",EM112="EQH"),L112,"")</f>
        <v/>
      </c>
      <c r="EY112" s="15" t="str">
        <f>IF(OR(EN112="EQL",EN112="EQH"),M112,"")</f>
        <v/>
      </c>
      <c r="EZ112" s="15" t="str">
        <f>IF(OR(EO112="EQL",EO112="EQH"),N112,"")</f>
        <v/>
      </c>
      <c r="FA112" s="15" t="str">
        <f>IF(OR(EP112="EQL",EP112="EQH"),O112,"")</f>
        <v/>
      </c>
      <c r="FB112" s="15" t="str">
        <f>IF(OR(EQ112="EQL",EQ112="EQH"),P112,"")</f>
        <v/>
      </c>
      <c r="FC112" s="15" t="str">
        <f>IF(AND(EG112="EQL",OR(AQ112=4,AQ112=5)),"IEQL",IF(AND(EG112="EQH",OR(AQ112=1,AQ112=2)),"IEQH",""))</f>
        <v/>
      </c>
      <c r="FD112" s="15" t="str">
        <f>IF(AND(EH112="EQL",OR(AR112=4,AR112=5)),"IEQL",IF(AND(EH112="EQH",OR(AR112=1,AR112=2)),"IEQH",""))</f>
        <v/>
      </c>
      <c r="FE112" s="15" t="str">
        <f>IF(AND(EI112="EQL",OR(AS112=4,AS112=5)),"IEQL",IF(AND(EI112="EQH",OR(AS112=1,AS112=2)),"IEQH",""))</f>
        <v/>
      </c>
      <c r="FF112" s="15" t="str">
        <f>IF(AND(EJ112="EQL",OR(AT112=4,AT112=5)),"IEQL",IF(AND(EJ112="EQH",OR(AT112=1,AT112=2)),"IEQH",""))</f>
        <v/>
      </c>
      <c r="FG112" s="15" t="str">
        <f>IF(AND(EK112="EQL",OR(AU112=4,AU112=5)),"IEQL",IF(AND(EK112="EQH",OR(AU112=1,AU112=2)),"IEQH",""))</f>
        <v/>
      </c>
      <c r="FH112" s="15" t="str">
        <f>IF(AND(EL112="EQL",OR(AV112=4,AV112=5)),"IEQL",IF(AND(EL112="EQH",OR(AV112=1,AV112=2)),"IEQH",""))</f>
        <v/>
      </c>
      <c r="FI112" s="15" t="str">
        <f>IF(AND(EM112="EQL",OR(AW112=4,AW112=5)),"IEQL",IF(AND(EM112="EQH",OR(AW112=1,AW112=2)),"IEQH",""))</f>
        <v/>
      </c>
      <c r="FJ112" s="15" t="str">
        <f>IF(AND(EN112="EQL",OR(AX112=4,AX112=5)),"IEQL",IF(AND(EN112="EQH",OR(AX112=1,AX112=2)),"IEQH",""))</f>
        <v/>
      </c>
      <c r="FK112" s="15" t="str">
        <f>IF(AND(EO112="EQL",OR(AY112=4,AY112=5)),"IEQL",IF(AND(EO112="EQH",OR(AY112=1,AY112=2)),"IEQH",""))</f>
        <v/>
      </c>
      <c r="FL112" s="15" t="str">
        <f>IF(AND(EP112="EQL",OR(AZ112=4,AZ112=5)),"IEQL",IF(AND(EP112="EQH",OR(AZ112=1,AZ112=2)),"IEQH",""))</f>
        <v/>
      </c>
      <c r="FM112" s="15" t="str">
        <f>IF(AND(EQ112="EQL",OR(BA112=4,BA112=5)),"IEQL",IF(AND(EQ112="EQH",OR(BA112=1,BA112=2)),"IEQH",""))</f>
        <v/>
      </c>
      <c r="FN112" s="15" t="str">
        <f>IF(OR(AND(DJ112="LL",AP112=5),AND(DJ112="HH",AP112=2)),F112,"")</f>
        <v/>
      </c>
      <c r="FO112" s="15" t="str">
        <f>IF(FN112&lt;&gt;"",F111,"")</f>
        <v/>
      </c>
    </row>
    <row r="113" spans="1:171" s="15" customFormat="1" x14ac:dyDescent="0.55000000000000004">
      <c r="A113" s="15">
        <v>1776883506</v>
      </c>
      <c r="B113" s="15" t="s">
        <v>16</v>
      </c>
      <c r="C113" s="15" t="s">
        <v>17</v>
      </c>
      <c r="D113" s="15">
        <v>4741.6899999999996</v>
      </c>
      <c r="E113" s="15" t="s">
        <v>20</v>
      </c>
      <c r="F113" s="15">
        <v>4749.34</v>
      </c>
      <c r="G113" s="15">
        <f t="shared" si="330"/>
        <v>4772.1499999999996</v>
      </c>
      <c r="H113" s="15">
        <f t="shared" si="340"/>
        <v>4797.91</v>
      </c>
      <c r="I113" s="15">
        <f t="shared" si="350"/>
        <v>4833.25</v>
      </c>
      <c r="J113" s="15">
        <f t="shared" si="360"/>
        <v>4827.74</v>
      </c>
      <c r="K113" s="15">
        <f t="shared" si="370"/>
        <v>4805.79</v>
      </c>
      <c r="L113" s="15">
        <f t="shared" si="380"/>
        <v>4814.28</v>
      </c>
      <c r="M113" s="15">
        <f t="shared" si="390"/>
        <v>4889.21</v>
      </c>
      <c r="N113" s="15">
        <f t="shared" si="290"/>
        <v>4805.97</v>
      </c>
      <c r="O113" s="15">
        <f t="shared" si="300"/>
        <v>4801.12</v>
      </c>
      <c r="P113" s="15">
        <f t="shared" si="310"/>
        <v>4798.58</v>
      </c>
      <c r="Q113" s="15">
        <f t="shared" si="320"/>
        <v>4823.8100000000004</v>
      </c>
      <c r="R113" s="15">
        <v>25.31</v>
      </c>
      <c r="S113" s="15">
        <f t="shared" si="331"/>
        <v>103.54</v>
      </c>
      <c r="T113" s="15">
        <f t="shared" si="341"/>
        <v>25.13</v>
      </c>
      <c r="U113" s="15">
        <f t="shared" si="351"/>
        <v>40.83</v>
      </c>
      <c r="V113" s="15">
        <f t="shared" si="361"/>
        <v>44.23</v>
      </c>
      <c r="W113" s="15">
        <f t="shared" si="371"/>
        <v>25.99</v>
      </c>
      <c r="X113" s="15">
        <f t="shared" si="381"/>
        <v>77.319999999999993</v>
      </c>
      <c r="Y113" s="15">
        <f t="shared" si="391"/>
        <v>110.38</v>
      </c>
      <c r="Z113" s="15">
        <f t="shared" si="291"/>
        <v>37.9</v>
      </c>
      <c r="AA113" s="15">
        <f t="shared" si="301"/>
        <v>15.02</v>
      </c>
      <c r="AB113" s="15">
        <f t="shared" si="311"/>
        <v>25.91</v>
      </c>
      <c r="AC113" s="15">
        <f t="shared" si="321"/>
        <v>18.600000000000001</v>
      </c>
      <c r="AD113" s="15">
        <v>0.54</v>
      </c>
      <c r="AE113" s="15">
        <f t="shared" si="332"/>
        <v>2.2200000000000002</v>
      </c>
      <c r="AF113" s="15">
        <f t="shared" si="342"/>
        <v>0.53</v>
      </c>
      <c r="AG113" s="15">
        <f t="shared" si="352"/>
        <v>0.85</v>
      </c>
      <c r="AH113" s="15">
        <f t="shared" si="362"/>
        <v>0.92</v>
      </c>
      <c r="AI113" s="15">
        <f t="shared" si="372"/>
        <v>0.54</v>
      </c>
      <c r="AJ113" s="15">
        <f t="shared" si="382"/>
        <v>1.63</v>
      </c>
      <c r="AK113" s="15">
        <f t="shared" si="392"/>
        <v>2.31</v>
      </c>
      <c r="AL113" s="15">
        <f t="shared" si="292"/>
        <v>0.79</v>
      </c>
      <c r="AM113" s="15">
        <f t="shared" si="302"/>
        <v>0.31</v>
      </c>
      <c r="AN113" s="15">
        <f t="shared" si="312"/>
        <v>0.54</v>
      </c>
      <c r="AO113" s="15">
        <f t="shared" si="322"/>
        <v>0.39</v>
      </c>
      <c r="AP113" s="15">
        <v>0</v>
      </c>
      <c r="AQ113" s="15">
        <f t="shared" si="333"/>
        <v>1</v>
      </c>
      <c r="AR113" s="15">
        <f t="shared" si="343"/>
        <v>0</v>
      </c>
      <c r="AS113" s="15">
        <f t="shared" si="353"/>
        <v>0</v>
      </c>
      <c r="AT113" s="15">
        <f t="shared" si="363"/>
        <v>0</v>
      </c>
      <c r="AU113" s="15">
        <f t="shared" si="373"/>
        <v>0</v>
      </c>
      <c r="AV113" s="15">
        <f t="shared" si="383"/>
        <v>0</v>
      </c>
      <c r="AW113" s="15">
        <f t="shared" si="393"/>
        <v>0</v>
      </c>
      <c r="AX113" s="15">
        <f t="shared" si="293"/>
        <v>0</v>
      </c>
      <c r="AY113" s="15">
        <f t="shared" si="303"/>
        <v>0</v>
      </c>
      <c r="AZ113" s="15">
        <f t="shared" si="313"/>
        <v>0</v>
      </c>
      <c r="BA113" s="15">
        <f t="shared" si="323"/>
        <v>0</v>
      </c>
      <c r="BB113" s="15">
        <v>9</v>
      </c>
      <c r="BC113" s="15">
        <f t="shared" si="334"/>
        <v>42</v>
      </c>
      <c r="BD113" s="15">
        <f t="shared" si="344"/>
        <v>19</v>
      </c>
      <c r="BE113" s="15">
        <f t="shared" si="354"/>
        <v>26</v>
      </c>
      <c r="BF113" s="15">
        <f t="shared" si="364"/>
        <v>20</v>
      </c>
      <c r="BG113" s="15">
        <f t="shared" si="374"/>
        <v>7</v>
      </c>
      <c r="BH113" s="15">
        <f t="shared" si="384"/>
        <v>8</v>
      </c>
      <c r="BI113" s="15">
        <f t="shared" si="394"/>
        <v>21</v>
      </c>
      <c r="BJ113" s="15">
        <f t="shared" si="294"/>
        <v>14</v>
      </c>
      <c r="BK113" s="15">
        <f t="shared" si="304"/>
        <v>3</v>
      </c>
      <c r="BL113" s="15">
        <f t="shared" si="314"/>
        <v>21</v>
      </c>
      <c r="BM113" s="15">
        <f t="shared" si="324"/>
        <v>12</v>
      </c>
      <c r="BN113" s="15">
        <v>0</v>
      </c>
      <c r="BO113" s="15">
        <f t="shared" si="335"/>
        <v>1</v>
      </c>
      <c r="BP113" s="15">
        <f t="shared" si="345"/>
        <v>0</v>
      </c>
      <c r="BQ113" s="15">
        <f t="shared" si="355"/>
        <v>0</v>
      </c>
      <c r="BR113" s="15">
        <f t="shared" si="365"/>
        <v>0</v>
      </c>
      <c r="BS113" s="15">
        <f t="shared" si="375"/>
        <v>0</v>
      </c>
      <c r="BT113" s="15">
        <f t="shared" si="385"/>
        <v>0</v>
      </c>
      <c r="BU113" s="15">
        <f t="shared" si="395"/>
        <v>0</v>
      </c>
      <c r="BV113" s="15">
        <f t="shared" si="295"/>
        <v>0</v>
      </c>
      <c r="BW113" s="15">
        <f t="shared" si="305"/>
        <v>0</v>
      </c>
      <c r="BX113" s="15">
        <f t="shared" si="315"/>
        <v>0</v>
      </c>
      <c r="BY113" s="15">
        <f t="shared" si="325"/>
        <v>0</v>
      </c>
      <c r="BZ113" s="15">
        <v>2.8122199999999999</v>
      </c>
      <c r="CA113" s="15">
        <f t="shared" si="336"/>
        <v>2.4652400000000001</v>
      </c>
      <c r="CB113" s="15">
        <f t="shared" si="346"/>
        <v>1.32263</v>
      </c>
      <c r="CC113" s="15">
        <f t="shared" si="356"/>
        <v>1.5703800000000001</v>
      </c>
      <c r="CD113" s="15">
        <f t="shared" si="366"/>
        <v>2.2115</v>
      </c>
      <c r="CE113" s="15">
        <f t="shared" si="376"/>
        <v>3.71286</v>
      </c>
      <c r="CF113" s="15">
        <f t="shared" si="386"/>
        <v>9.6649999999999991</v>
      </c>
      <c r="CG113" s="15">
        <f t="shared" si="396"/>
        <v>5.2561900000000001</v>
      </c>
      <c r="CH113" s="15">
        <f t="shared" si="296"/>
        <v>2.7071399999999999</v>
      </c>
      <c r="CI113" s="15">
        <f t="shared" si="306"/>
        <v>5.0066699999999997</v>
      </c>
      <c r="CJ113" s="15">
        <f t="shared" si="316"/>
        <v>1.2338100000000001</v>
      </c>
      <c r="CK113" s="15">
        <f t="shared" si="326"/>
        <v>1.55</v>
      </c>
      <c r="CL113" s="15">
        <v>0</v>
      </c>
      <c r="CM113" s="15">
        <f t="shared" si="337"/>
        <v>0</v>
      </c>
      <c r="CN113" s="15">
        <f t="shared" si="347"/>
        <v>0</v>
      </c>
      <c r="CO113" s="15">
        <f t="shared" si="357"/>
        <v>0</v>
      </c>
      <c r="CP113" s="15">
        <f t="shared" si="367"/>
        <v>0</v>
      </c>
      <c r="CQ113" s="15">
        <f t="shared" si="377"/>
        <v>0</v>
      </c>
      <c r="CR113" s="15">
        <f t="shared" si="387"/>
        <v>1</v>
      </c>
      <c r="CS113" s="15">
        <f t="shared" si="397"/>
        <v>0</v>
      </c>
      <c r="CT113" s="15">
        <f t="shared" si="297"/>
        <v>0</v>
      </c>
      <c r="CU113" s="15">
        <f t="shared" si="307"/>
        <v>0</v>
      </c>
      <c r="CV113" s="15">
        <f t="shared" si="317"/>
        <v>0</v>
      </c>
      <c r="CW113" s="15">
        <f t="shared" si="327"/>
        <v>0</v>
      </c>
      <c r="CX113" s="15">
        <v>70.4251</v>
      </c>
      <c r="CY113" s="15">
        <f t="shared" si="338"/>
        <v>67.920500000000004</v>
      </c>
      <c r="CZ113" s="15">
        <f t="shared" si="348"/>
        <v>52.908200000000001</v>
      </c>
      <c r="DA113" s="15">
        <f t="shared" si="358"/>
        <v>57.511600000000001</v>
      </c>
      <c r="DB113" s="15">
        <f t="shared" si="368"/>
        <v>65.668400000000005</v>
      </c>
      <c r="DC113" s="15">
        <f t="shared" si="378"/>
        <v>74.926000000000002</v>
      </c>
      <c r="DD113" s="15">
        <f t="shared" si="388"/>
        <v>84.092799999999997</v>
      </c>
      <c r="DE113" s="15">
        <f t="shared" si="398"/>
        <v>79.228099999999998</v>
      </c>
      <c r="DF113" s="15">
        <f t="shared" si="298"/>
        <v>69.726100000000002</v>
      </c>
      <c r="DG113" s="15">
        <f t="shared" si="308"/>
        <v>78.704700000000003</v>
      </c>
      <c r="DH113" s="15">
        <f t="shared" si="318"/>
        <v>50.975299999999997</v>
      </c>
      <c r="DI113" s="15">
        <f t="shared" si="328"/>
        <v>57.171500000000002</v>
      </c>
      <c r="DJ113" s="15" t="s">
        <v>21</v>
      </c>
      <c r="DK113" s="15" t="str">
        <f t="shared" si="339"/>
        <v>LH</v>
      </c>
      <c r="DL113" s="15" t="str">
        <f t="shared" si="349"/>
        <v>LH</v>
      </c>
      <c r="DM113" s="15" t="str">
        <f t="shared" si="359"/>
        <v>HH</v>
      </c>
      <c r="DN113" s="15" t="str">
        <f t="shared" si="369"/>
        <v>HH</v>
      </c>
      <c r="DO113" s="15" t="str">
        <f t="shared" si="379"/>
        <v>LH</v>
      </c>
      <c r="DP113" s="15" t="str">
        <f t="shared" si="389"/>
        <v>LH</v>
      </c>
      <c r="DQ113" s="15" t="str">
        <f t="shared" si="399"/>
        <v>HH</v>
      </c>
      <c r="DR113" s="15" t="str">
        <f t="shared" si="299"/>
        <v>HH</v>
      </c>
      <c r="DS113" s="15" t="str">
        <f t="shared" si="309"/>
        <v>HH</v>
      </c>
      <c r="DT113" s="15" t="str">
        <f t="shared" si="319"/>
        <v>LH</v>
      </c>
      <c r="DU113" s="15" t="str">
        <f t="shared" si="329"/>
        <v>LH</v>
      </c>
      <c r="DV113" s="15">
        <f>IFERROR((G113-$F113)/$F113*100,"")</f>
        <v>0.48027725957710943</v>
      </c>
      <c r="DW113" s="15">
        <f>IFERROR((H113-$F113)/$F113*100,"")</f>
        <v>1.0226684128742038</v>
      </c>
      <c r="DX113" s="15">
        <f>IFERROR((I113-$F113)/$F113*100,"")</f>
        <v>1.7667718040822482</v>
      </c>
      <c r="DY113" s="15">
        <f>IFERROR((J113-$F113)/$F113*100,"")</f>
        <v>1.6507556839476565</v>
      </c>
      <c r="DZ113" s="15">
        <f>IFERROR((K113-$F113)/$F113*100,"")</f>
        <v>1.1885862035567007</v>
      </c>
      <c r="EA113" s="15">
        <f>IFERROR((L113-$F113)/$F113*100,"")</f>
        <v>1.3673478841270492</v>
      </c>
      <c r="EB113" s="15">
        <f>IFERROR((M113-$F113)/$F113*100,"")</f>
        <v>2.9450407846142812</v>
      </c>
      <c r="EC113" s="15">
        <f>IFERROR((N113-$F113)/$F113*100,"")</f>
        <v>1.1923762038514849</v>
      </c>
      <c r="ED113" s="15">
        <f>IFERROR((O113-$F113)/$F113*100,"")</f>
        <v>1.0902567514644086</v>
      </c>
      <c r="EE113" s="15">
        <f>IFERROR((P113-$F113)/$F113*100,"")</f>
        <v>1.036775636193656</v>
      </c>
      <c r="EF113" s="15">
        <f>IFERROR((Q113-$F113)/$F113*100,"")</f>
        <v>1.5680073441783544</v>
      </c>
      <c r="EG113" s="15" t="str">
        <f>IF(DV113="","",IF(AND(ABS(DV113)&lt;=0.25,$E113="Bottom",DK113="LL"),"EQL",IF(AND(ABS(DV113)&lt;=0.25,$E113="Peak",DK113="HH"),"EQH","")))</f>
        <v/>
      </c>
      <c r="EH113" s="15" t="str">
        <f>IF(DW113="","",IF(AND(ABS(DW113)&lt;=0.25,$E113="Bottom",DL113="LL"),"EQL",IF(AND(ABS(DW113)&lt;=0.25,$E113="Peak",DL113="HH"),"EQH","")))</f>
        <v/>
      </c>
      <c r="EI113" s="15" t="str">
        <f>IF(DX113="","",IF(AND(ABS(DX113)&lt;=0.25,$E113="Bottom",DM113="LL"),"EQL",IF(AND(ABS(DX113)&lt;=0.25,$E113="Peak",DM113="HH"),"EQH","")))</f>
        <v/>
      </c>
      <c r="EJ113" s="15" t="str">
        <f>IF(DY113="","",IF(AND(ABS(DY113)&lt;=0.25,$E113="Bottom",DN113="LL"),"EQL",IF(AND(ABS(DY113)&lt;=0.25,$E113="Peak",DN113="HH"),"EQH","")))</f>
        <v/>
      </c>
      <c r="EK113" s="15" t="str">
        <f>IF(DZ113="","",IF(AND(ABS(DZ113)&lt;=0.25,$E113="Bottom",DO113="LL"),"EQL",IF(AND(ABS(DZ113)&lt;=0.25,$E113="Peak",DO113="HH"),"EQH","")))</f>
        <v/>
      </c>
      <c r="EL113" s="15" t="str">
        <f>IF(EA113="","",IF(AND(ABS(EA113)&lt;=0.25,$E113="Bottom",DP113="LL"),"EQL",IF(AND(ABS(EA113)&lt;=0.25,$E113="Peak",DP113="HH"),"EQH","")))</f>
        <v/>
      </c>
      <c r="EM113" s="15" t="str">
        <f>IF(EB113="","",IF(AND(ABS(EB113)&lt;=0.25,$E113="Bottom",DQ113="LL"),"EQL",IF(AND(ABS(EB113)&lt;=0.25,$E113="Peak",DQ113="HH"),"EQH","")))</f>
        <v/>
      </c>
      <c r="EN113" s="15" t="str">
        <f>IF(EC113="","",IF(AND(ABS(EC113)&lt;=0.25,$E113="Bottom",DR113="LL"),"EQL",IF(AND(ABS(EC113)&lt;=0.25,$E113="Peak",DR113="HH"),"EQH","")))</f>
        <v/>
      </c>
      <c r="EO113" s="15" t="str">
        <f>IF(ED113="","",IF(AND(ABS(ED113)&lt;=0.25,$E113="Bottom",DS113="LL"),"EQL",IF(AND(ABS(ED113)&lt;=0.25,$E113="Peak",DS113="HH"),"EQH","")))</f>
        <v/>
      </c>
      <c r="EP113" s="15" t="str">
        <f>IF(EE113="","",IF(AND(ABS(EE113)&lt;=0.25,$E113="Bottom",DT113="LL"),"EQL",IF(AND(ABS(EE113)&lt;=0.25,$E113="Peak",DT113="HH"),"EQH","")))</f>
        <v/>
      </c>
      <c r="EQ113" s="15" t="str">
        <f>IF(EF113="","",IF(AND(ABS(EF113)&lt;=0.25,$E113="Bottom",DU113="LL"),"EQL",IF(AND(ABS(EF113)&lt;=0.25,$E113="Peak",DU113="HH"),"EQH","")))</f>
        <v/>
      </c>
      <c r="ER113" s="15" t="str">
        <f>IF(OR(EG113="EQL",EG113="EQH"),F113,"")</f>
        <v/>
      </c>
      <c r="ES113" s="15" t="str">
        <f>IF(OR(EH113="EQL",EH113="EQH"),G113,"")</f>
        <v/>
      </c>
      <c r="ET113" s="15" t="str">
        <f>IF(OR(EI113="EQL",EI113="EQH"),H113,"")</f>
        <v/>
      </c>
      <c r="EU113" s="15" t="str">
        <f>IF(OR(EJ113="EQL",EJ113="EQH"),I113,"")</f>
        <v/>
      </c>
      <c r="EV113" s="15" t="str">
        <f>IF(OR(EK113="EQL",EK113="EQH"),J113,"")</f>
        <v/>
      </c>
      <c r="EW113" s="15" t="str">
        <f>IF(OR(EL113="EQL",EL113="EQH"),K113,"")</f>
        <v/>
      </c>
      <c r="EX113" s="15" t="str">
        <f>IF(OR(EM113="EQL",EM113="EQH"),L113,"")</f>
        <v/>
      </c>
      <c r="EY113" s="15" t="str">
        <f>IF(OR(EN113="EQL",EN113="EQH"),M113,"")</f>
        <v/>
      </c>
      <c r="EZ113" s="15" t="str">
        <f>IF(OR(EO113="EQL",EO113="EQH"),N113,"")</f>
        <v/>
      </c>
      <c r="FA113" s="15" t="str">
        <f>IF(OR(EP113="EQL",EP113="EQH"),O113,"")</f>
        <v/>
      </c>
      <c r="FB113" s="15" t="str">
        <f>IF(OR(EQ113="EQL",EQ113="EQH"),P113,"")</f>
        <v/>
      </c>
      <c r="FC113" s="15" t="str">
        <f>IF(AND(EG113="EQL",OR(AQ113=4,AQ113=5)),"IEQL",IF(AND(EG113="EQH",OR(AQ113=1,AQ113=2)),"IEQH",""))</f>
        <v/>
      </c>
      <c r="FD113" s="15" t="str">
        <f>IF(AND(EH113="EQL",OR(AR113=4,AR113=5)),"IEQL",IF(AND(EH113="EQH",OR(AR113=1,AR113=2)),"IEQH",""))</f>
        <v/>
      </c>
      <c r="FE113" s="15" t="str">
        <f>IF(AND(EI113="EQL",OR(AS113=4,AS113=5)),"IEQL",IF(AND(EI113="EQH",OR(AS113=1,AS113=2)),"IEQH",""))</f>
        <v/>
      </c>
      <c r="FF113" s="15" t="str">
        <f>IF(AND(EJ113="EQL",OR(AT113=4,AT113=5)),"IEQL",IF(AND(EJ113="EQH",OR(AT113=1,AT113=2)),"IEQH",""))</f>
        <v/>
      </c>
      <c r="FG113" s="15" t="str">
        <f>IF(AND(EK113="EQL",OR(AU113=4,AU113=5)),"IEQL",IF(AND(EK113="EQH",OR(AU113=1,AU113=2)),"IEQH",""))</f>
        <v/>
      </c>
      <c r="FH113" s="15" t="str">
        <f>IF(AND(EL113="EQL",OR(AV113=4,AV113=5)),"IEQL",IF(AND(EL113="EQH",OR(AV113=1,AV113=2)),"IEQH",""))</f>
        <v/>
      </c>
      <c r="FI113" s="15" t="str">
        <f>IF(AND(EM113="EQL",OR(AW113=4,AW113=5)),"IEQL",IF(AND(EM113="EQH",OR(AW113=1,AW113=2)),"IEQH",""))</f>
        <v/>
      </c>
      <c r="FJ113" s="15" t="str">
        <f>IF(AND(EN113="EQL",OR(AX113=4,AX113=5)),"IEQL",IF(AND(EN113="EQH",OR(AX113=1,AX113=2)),"IEQH",""))</f>
        <v/>
      </c>
      <c r="FK113" s="15" t="str">
        <f>IF(AND(EO113="EQL",OR(AY113=4,AY113=5)),"IEQL",IF(AND(EO113="EQH",OR(AY113=1,AY113=2)),"IEQH",""))</f>
        <v/>
      </c>
      <c r="FL113" s="15" t="str">
        <f>IF(AND(EP113="EQL",OR(AZ113=4,AZ113=5)),"IEQL",IF(AND(EP113="EQH",OR(AZ113=1,AZ113=2)),"IEQH",""))</f>
        <v/>
      </c>
      <c r="FM113" s="15" t="str">
        <f>IF(AND(EQ113="EQL",OR(BA113=4,BA113=5)),"IEQL",IF(AND(EQ113="EQH",OR(BA113=1,BA113=2)),"IEQH",""))</f>
        <v/>
      </c>
      <c r="FN113" s="15" t="str">
        <f>IF(OR(AND(DJ113="LL",AP113=5),AND(DJ113="HH",AP113=2)),F113,"")</f>
        <v/>
      </c>
      <c r="FO113" s="15" t="str">
        <f>IF(FN113&lt;&gt;"",F112,"")</f>
        <v/>
      </c>
    </row>
    <row r="114" spans="1:171" s="15" customFormat="1" x14ac:dyDescent="0.55000000000000004">
      <c r="A114" s="15">
        <v>1776903306</v>
      </c>
      <c r="B114" s="15" t="s">
        <v>16</v>
      </c>
      <c r="C114" s="15" t="s">
        <v>17</v>
      </c>
      <c r="D114" s="15">
        <v>4741.59</v>
      </c>
      <c r="E114" s="15" t="s">
        <v>18</v>
      </c>
      <c r="F114" s="15">
        <v>4694.34</v>
      </c>
      <c r="G114" s="15">
        <f t="shared" si="330"/>
        <v>4724.03</v>
      </c>
      <c r="H114" s="15">
        <f t="shared" si="340"/>
        <v>4668.6099999999997</v>
      </c>
      <c r="I114" s="15">
        <f t="shared" si="350"/>
        <v>4772.78</v>
      </c>
      <c r="J114" s="15">
        <f t="shared" si="360"/>
        <v>4792.42</v>
      </c>
      <c r="K114" s="15">
        <f t="shared" si="370"/>
        <v>4783.51</v>
      </c>
      <c r="L114" s="15">
        <f t="shared" si="380"/>
        <v>4779.8</v>
      </c>
      <c r="M114" s="15">
        <f t="shared" si="390"/>
        <v>4736.96</v>
      </c>
      <c r="N114" s="15">
        <f t="shared" ref="N114:N145" si="400">F98</f>
        <v>4778.83</v>
      </c>
      <c r="O114" s="15">
        <f t="shared" si="300"/>
        <v>4768.07</v>
      </c>
      <c r="P114" s="15">
        <f t="shared" si="310"/>
        <v>4786.1000000000004</v>
      </c>
      <c r="Q114" s="15">
        <f t="shared" si="320"/>
        <v>4772.67</v>
      </c>
      <c r="R114" s="15">
        <v>-55</v>
      </c>
      <c r="S114" s="15">
        <f t="shared" si="331"/>
        <v>-48.12</v>
      </c>
      <c r="T114" s="15">
        <f t="shared" si="341"/>
        <v>-129.30000000000001</v>
      </c>
      <c r="U114" s="15">
        <f t="shared" si="351"/>
        <v>-60.47</v>
      </c>
      <c r="V114" s="15">
        <f t="shared" si="361"/>
        <v>-35.32</v>
      </c>
      <c r="W114" s="15">
        <f t="shared" si="371"/>
        <v>-22.28</v>
      </c>
      <c r="X114" s="15">
        <f t="shared" si="381"/>
        <v>-34.479999999999997</v>
      </c>
      <c r="Y114" s="15">
        <f t="shared" si="391"/>
        <v>-152.25</v>
      </c>
      <c r="Z114" s="15">
        <f t="shared" ref="Z114:Z145" si="401">R98</f>
        <v>-27.14</v>
      </c>
      <c r="AA114" s="15">
        <f t="shared" si="301"/>
        <v>-33.049999999999997</v>
      </c>
      <c r="AB114" s="15">
        <f t="shared" si="311"/>
        <v>-12.48</v>
      </c>
      <c r="AC114" s="15">
        <f t="shared" si="321"/>
        <v>-51.14</v>
      </c>
      <c r="AD114" s="15">
        <v>-1.1599999999999999</v>
      </c>
      <c r="AE114" s="15">
        <f t="shared" si="332"/>
        <v>-1.01</v>
      </c>
      <c r="AF114" s="15">
        <f t="shared" si="342"/>
        <v>-2.69</v>
      </c>
      <c r="AG114" s="15">
        <f t="shared" si="352"/>
        <v>-1.25</v>
      </c>
      <c r="AH114" s="15">
        <f t="shared" si="362"/>
        <v>-0.73</v>
      </c>
      <c r="AI114" s="15">
        <f t="shared" si="372"/>
        <v>-0.46</v>
      </c>
      <c r="AJ114" s="15">
        <f t="shared" si="382"/>
        <v>-0.72</v>
      </c>
      <c r="AK114" s="15">
        <f t="shared" si="392"/>
        <v>-3.11</v>
      </c>
      <c r="AL114" s="15">
        <f t="shared" ref="AL114:AL145" si="402">AD98</f>
        <v>-0.56000000000000005</v>
      </c>
      <c r="AM114" s="15">
        <f t="shared" si="302"/>
        <v>-0.69</v>
      </c>
      <c r="AN114" s="15">
        <f t="shared" si="312"/>
        <v>-0.26</v>
      </c>
      <c r="AO114" s="15">
        <f t="shared" si="322"/>
        <v>-1.06</v>
      </c>
      <c r="AP114" s="15">
        <v>3</v>
      </c>
      <c r="AQ114" s="15">
        <f t="shared" si="333"/>
        <v>3</v>
      </c>
      <c r="AR114" s="15">
        <f t="shared" si="343"/>
        <v>5</v>
      </c>
      <c r="AS114" s="15">
        <f t="shared" si="353"/>
        <v>3</v>
      </c>
      <c r="AT114" s="15">
        <f t="shared" si="363"/>
        <v>3</v>
      </c>
      <c r="AU114" s="15">
        <f t="shared" si="373"/>
        <v>3</v>
      </c>
      <c r="AV114" s="15">
        <f t="shared" si="383"/>
        <v>3</v>
      </c>
      <c r="AW114" s="15">
        <f t="shared" si="393"/>
        <v>5</v>
      </c>
      <c r="AX114" s="15">
        <f t="shared" ref="AX114:AX145" si="403">AP98</f>
        <v>3</v>
      </c>
      <c r="AY114" s="15">
        <f t="shared" si="303"/>
        <v>3</v>
      </c>
      <c r="AZ114" s="15">
        <f t="shared" si="313"/>
        <v>3</v>
      </c>
      <c r="BA114" s="15">
        <f t="shared" si="323"/>
        <v>3</v>
      </c>
      <c r="BB114" s="15">
        <v>18</v>
      </c>
      <c r="BC114" s="15">
        <f t="shared" si="334"/>
        <v>38</v>
      </c>
      <c r="BD114" s="15">
        <f t="shared" si="344"/>
        <v>31</v>
      </c>
      <c r="BE114" s="15">
        <f t="shared" si="354"/>
        <v>35</v>
      </c>
      <c r="BF114" s="15">
        <f t="shared" si="364"/>
        <v>1</v>
      </c>
      <c r="BG114" s="15">
        <f t="shared" si="374"/>
        <v>9</v>
      </c>
      <c r="BH114" s="15">
        <f t="shared" si="384"/>
        <v>15</v>
      </c>
      <c r="BI114" s="15">
        <f t="shared" si="394"/>
        <v>39</v>
      </c>
      <c r="BJ114" s="15">
        <f t="shared" ref="BJ114:BJ145" si="404">BB98</f>
        <v>11</v>
      </c>
      <c r="BK114" s="15">
        <f t="shared" si="304"/>
        <v>3</v>
      </c>
      <c r="BL114" s="15">
        <f t="shared" si="314"/>
        <v>13</v>
      </c>
      <c r="BM114" s="15">
        <f t="shared" si="324"/>
        <v>4</v>
      </c>
      <c r="BN114" s="15">
        <v>3</v>
      </c>
      <c r="BO114" s="15">
        <f t="shared" si="335"/>
        <v>4</v>
      </c>
      <c r="BP114" s="15">
        <f t="shared" si="345"/>
        <v>3</v>
      </c>
      <c r="BQ114" s="15">
        <f t="shared" si="355"/>
        <v>3</v>
      </c>
      <c r="BR114" s="15">
        <f t="shared" si="365"/>
        <v>3</v>
      </c>
      <c r="BS114" s="15">
        <f t="shared" si="375"/>
        <v>3</v>
      </c>
      <c r="BT114" s="15">
        <f t="shared" si="385"/>
        <v>3</v>
      </c>
      <c r="BU114" s="15">
        <f t="shared" si="395"/>
        <v>4</v>
      </c>
      <c r="BV114" s="15">
        <f t="shared" ref="BV114:BV145" si="405">BN98</f>
        <v>3</v>
      </c>
      <c r="BW114" s="15">
        <f t="shared" si="305"/>
        <v>3</v>
      </c>
      <c r="BX114" s="15">
        <f t="shared" si="315"/>
        <v>3</v>
      </c>
      <c r="BY114" s="15">
        <f t="shared" si="325"/>
        <v>3</v>
      </c>
      <c r="BZ114" s="15">
        <v>-3.0555599999999998</v>
      </c>
      <c r="CA114" s="15">
        <f t="shared" si="336"/>
        <v>-1.2663199999999999</v>
      </c>
      <c r="CB114" s="15">
        <f t="shared" si="346"/>
        <v>-4.1709699999999996</v>
      </c>
      <c r="CC114" s="15">
        <f t="shared" si="356"/>
        <v>-1.7277100000000001</v>
      </c>
      <c r="CD114" s="15">
        <f t="shared" si="366"/>
        <v>-35.32</v>
      </c>
      <c r="CE114" s="15">
        <f t="shared" si="376"/>
        <v>-2.4755600000000002</v>
      </c>
      <c r="CF114" s="15">
        <f t="shared" si="386"/>
        <v>-2.29867</v>
      </c>
      <c r="CG114" s="15">
        <f t="shared" si="396"/>
        <v>-3.9038499999999998</v>
      </c>
      <c r="CH114" s="15">
        <f t="shared" ref="CH114:CH145" si="406">BZ98</f>
        <v>-2.4672700000000001</v>
      </c>
      <c r="CI114" s="15">
        <f t="shared" si="306"/>
        <v>-11.01667</v>
      </c>
      <c r="CJ114" s="15">
        <f t="shared" si="316"/>
        <v>-0.96</v>
      </c>
      <c r="CK114" s="15">
        <f t="shared" si="326"/>
        <v>-12.785</v>
      </c>
      <c r="CL114" s="15">
        <v>3</v>
      </c>
      <c r="CM114" s="15">
        <f t="shared" si="337"/>
        <v>3</v>
      </c>
      <c r="CN114" s="15">
        <f t="shared" si="347"/>
        <v>3</v>
      </c>
      <c r="CO114" s="15">
        <f t="shared" si="357"/>
        <v>3</v>
      </c>
      <c r="CP114" s="15">
        <f t="shared" si="367"/>
        <v>5</v>
      </c>
      <c r="CQ114" s="15">
        <f t="shared" si="377"/>
        <v>3</v>
      </c>
      <c r="CR114" s="15">
        <f t="shared" si="387"/>
        <v>3</v>
      </c>
      <c r="CS114" s="15">
        <f t="shared" si="397"/>
        <v>3</v>
      </c>
      <c r="CT114" s="15">
        <f t="shared" ref="CT114:CT145" si="407">CL98</f>
        <v>3</v>
      </c>
      <c r="CU114" s="15">
        <f t="shared" si="307"/>
        <v>5</v>
      </c>
      <c r="CV114" s="15">
        <f t="shared" si="317"/>
        <v>3</v>
      </c>
      <c r="CW114" s="15">
        <f t="shared" si="327"/>
        <v>5</v>
      </c>
      <c r="CX114" s="15">
        <v>-71.878100000000003</v>
      </c>
      <c r="CY114" s="15">
        <f t="shared" si="338"/>
        <v>-51.702100000000002</v>
      </c>
      <c r="CZ114" s="15">
        <f t="shared" si="348"/>
        <v>-76.517700000000005</v>
      </c>
      <c r="DA114" s="15">
        <f t="shared" si="358"/>
        <v>-59.937800000000003</v>
      </c>
      <c r="DB114" s="15">
        <f t="shared" si="368"/>
        <v>-88.378200000000007</v>
      </c>
      <c r="DC114" s="15">
        <f t="shared" si="378"/>
        <v>-68.003799999999998</v>
      </c>
      <c r="DD114" s="15">
        <f t="shared" si="388"/>
        <v>-66.4893</v>
      </c>
      <c r="DE114" s="15">
        <f t="shared" si="398"/>
        <v>-75.632199999999997</v>
      </c>
      <c r="DF114" s="15">
        <f t="shared" ref="DF114:DF145" si="408">CX98</f>
        <v>-67.936999999999998</v>
      </c>
      <c r="DG114" s="15">
        <f t="shared" si="308"/>
        <v>-84.813400000000001</v>
      </c>
      <c r="DH114" s="15">
        <f t="shared" si="318"/>
        <v>-43.8309</v>
      </c>
      <c r="DI114" s="15">
        <f t="shared" si="328"/>
        <v>-85.527600000000007</v>
      </c>
      <c r="DJ114" s="15" t="s">
        <v>19</v>
      </c>
      <c r="DK114" s="15" t="str">
        <f t="shared" si="339"/>
        <v>HL</v>
      </c>
      <c r="DL114" s="15" t="str">
        <f t="shared" si="349"/>
        <v>LL</v>
      </c>
      <c r="DM114" s="15" t="str">
        <f t="shared" si="359"/>
        <v>LL</v>
      </c>
      <c r="DN114" s="15" t="str">
        <f t="shared" si="369"/>
        <v>HL</v>
      </c>
      <c r="DO114" s="15" t="str">
        <f t="shared" si="379"/>
        <v>HL</v>
      </c>
      <c r="DP114" s="15" t="str">
        <f t="shared" si="389"/>
        <v>HL</v>
      </c>
      <c r="DQ114" s="15" t="str">
        <f t="shared" si="399"/>
        <v>LL</v>
      </c>
      <c r="DR114" s="15" t="str">
        <f t="shared" ref="DR114:DR145" si="409">DJ98</f>
        <v>HL</v>
      </c>
      <c r="DS114" s="15" t="str">
        <f t="shared" si="309"/>
        <v>LL</v>
      </c>
      <c r="DT114" s="15" t="str">
        <f t="shared" si="319"/>
        <v>HL</v>
      </c>
      <c r="DU114" s="15" t="str">
        <f t="shared" si="329"/>
        <v>LL</v>
      </c>
      <c r="DV114" s="15">
        <f>IFERROR((G114-$F114)/$F114*100,"")</f>
        <v>0.63246377552541144</v>
      </c>
      <c r="DW114" s="15">
        <f>IFERROR((H114-$F114)/$F114*100,"")</f>
        <v>-0.54810686912325213</v>
      </c>
      <c r="DX114" s="15">
        <f>IFERROR((I114-$F114)/$F114*100,"")</f>
        <v>1.6709484187340413</v>
      </c>
      <c r="DY114" s="15">
        <f>IFERROR((J114-$F114)/$F114*100,"")</f>
        <v>2.0893245908903046</v>
      </c>
      <c r="DZ114" s="15">
        <f>IFERROR((K114-$F114)/$F114*100,"")</f>
        <v>1.8995215514854071</v>
      </c>
      <c r="EA114" s="15">
        <f>IFERROR((L114-$F114)/$F114*100,"")</f>
        <v>1.8204902073560933</v>
      </c>
      <c r="EB114" s="15">
        <f>IFERROR((M114-$F114)/$F114*100,"")</f>
        <v>0.90790185627798348</v>
      </c>
      <c r="EC114" s="15">
        <f>IFERROR((N114-$F114)/$F114*100,"")</f>
        <v>1.7998270257373727</v>
      </c>
      <c r="ED114" s="15">
        <f>IFERROR((O114-$F114)/$F114*100,"")</f>
        <v>1.5706148255132681</v>
      </c>
      <c r="EE114" s="15">
        <f>IFERROR((P114-$F114)/$F114*100,"")</f>
        <v>1.9546943766322895</v>
      </c>
      <c r="EF114" s="15">
        <f>IFERROR((Q114-$F114)/$F114*100,"")</f>
        <v>1.6686051713339878</v>
      </c>
      <c r="EG114" s="15" t="str">
        <f>IF(DV114="","",IF(AND(ABS(DV114)&lt;=0.25,$E114="Bottom",DK114="LL"),"EQL",IF(AND(ABS(DV114)&lt;=0.25,$E114="Peak",DK114="HH"),"EQH","")))</f>
        <v/>
      </c>
      <c r="EH114" s="15" t="str">
        <f>IF(DW114="","",IF(AND(ABS(DW114)&lt;=0.25,$E114="Bottom",DL114="LL"),"EQL",IF(AND(ABS(DW114)&lt;=0.25,$E114="Peak",DL114="HH"),"EQH","")))</f>
        <v/>
      </c>
      <c r="EI114" s="15" t="str">
        <f>IF(DX114="","",IF(AND(ABS(DX114)&lt;=0.25,$E114="Bottom",DM114="LL"),"EQL",IF(AND(ABS(DX114)&lt;=0.25,$E114="Peak",DM114="HH"),"EQH","")))</f>
        <v/>
      </c>
      <c r="EJ114" s="15" t="str">
        <f>IF(DY114="","",IF(AND(ABS(DY114)&lt;=0.25,$E114="Bottom",DN114="LL"),"EQL",IF(AND(ABS(DY114)&lt;=0.25,$E114="Peak",DN114="HH"),"EQH","")))</f>
        <v/>
      </c>
      <c r="EK114" s="15" t="str">
        <f>IF(DZ114="","",IF(AND(ABS(DZ114)&lt;=0.25,$E114="Bottom",DO114="LL"),"EQL",IF(AND(ABS(DZ114)&lt;=0.25,$E114="Peak",DO114="HH"),"EQH","")))</f>
        <v/>
      </c>
      <c r="EL114" s="15" t="str">
        <f>IF(EA114="","",IF(AND(ABS(EA114)&lt;=0.25,$E114="Bottom",DP114="LL"),"EQL",IF(AND(ABS(EA114)&lt;=0.25,$E114="Peak",DP114="HH"),"EQH","")))</f>
        <v/>
      </c>
      <c r="EM114" s="15" t="str">
        <f>IF(EB114="","",IF(AND(ABS(EB114)&lt;=0.25,$E114="Bottom",DQ114="LL"),"EQL",IF(AND(ABS(EB114)&lt;=0.25,$E114="Peak",DQ114="HH"),"EQH","")))</f>
        <v/>
      </c>
      <c r="EN114" s="15" t="str">
        <f>IF(EC114="","",IF(AND(ABS(EC114)&lt;=0.25,$E114="Bottom",DR114="LL"),"EQL",IF(AND(ABS(EC114)&lt;=0.25,$E114="Peak",DR114="HH"),"EQH","")))</f>
        <v/>
      </c>
      <c r="EO114" s="15" t="str">
        <f>IF(ED114="","",IF(AND(ABS(ED114)&lt;=0.25,$E114="Bottom",DS114="LL"),"EQL",IF(AND(ABS(ED114)&lt;=0.25,$E114="Peak",DS114="HH"),"EQH","")))</f>
        <v/>
      </c>
      <c r="EP114" s="15" t="str">
        <f>IF(EE114="","",IF(AND(ABS(EE114)&lt;=0.25,$E114="Bottom",DT114="LL"),"EQL",IF(AND(ABS(EE114)&lt;=0.25,$E114="Peak",DT114="HH"),"EQH","")))</f>
        <v/>
      </c>
      <c r="EQ114" s="15" t="str">
        <f>IF(EF114="","",IF(AND(ABS(EF114)&lt;=0.25,$E114="Bottom",DU114="LL"),"EQL",IF(AND(ABS(EF114)&lt;=0.25,$E114="Peak",DU114="HH"),"EQH","")))</f>
        <v/>
      </c>
      <c r="ER114" s="15" t="str">
        <f>IF(OR(EG114="EQL",EG114="EQH"),F114,"")</f>
        <v/>
      </c>
      <c r="ES114" s="15" t="str">
        <f>IF(OR(EH114="EQL",EH114="EQH"),G114,"")</f>
        <v/>
      </c>
      <c r="ET114" s="15" t="str">
        <f>IF(OR(EI114="EQL",EI114="EQH"),H114,"")</f>
        <v/>
      </c>
      <c r="EU114" s="15" t="str">
        <f>IF(OR(EJ114="EQL",EJ114="EQH"),I114,"")</f>
        <v/>
      </c>
      <c r="EV114" s="15" t="str">
        <f>IF(OR(EK114="EQL",EK114="EQH"),J114,"")</f>
        <v/>
      </c>
      <c r="EW114" s="15" t="str">
        <f>IF(OR(EL114="EQL",EL114="EQH"),K114,"")</f>
        <v/>
      </c>
      <c r="EX114" s="15" t="str">
        <f>IF(OR(EM114="EQL",EM114="EQH"),L114,"")</f>
        <v/>
      </c>
      <c r="EY114" s="15" t="str">
        <f>IF(OR(EN114="EQL",EN114="EQH"),M114,"")</f>
        <v/>
      </c>
      <c r="EZ114" s="15" t="str">
        <f>IF(OR(EO114="EQL",EO114="EQH"),N114,"")</f>
        <v/>
      </c>
      <c r="FA114" s="15" t="str">
        <f>IF(OR(EP114="EQL",EP114="EQH"),O114,"")</f>
        <v/>
      </c>
      <c r="FB114" s="15" t="str">
        <f>IF(OR(EQ114="EQL",EQ114="EQH"),P114,"")</f>
        <v/>
      </c>
      <c r="FC114" s="15" t="str">
        <f>IF(AND(EG114="EQL",OR(AQ114=4,AQ114=5)),"IEQL",IF(AND(EG114="EQH",OR(AQ114=1,AQ114=2)),"IEQH",""))</f>
        <v/>
      </c>
      <c r="FD114" s="15" t="str">
        <f>IF(AND(EH114="EQL",OR(AR114=4,AR114=5)),"IEQL",IF(AND(EH114="EQH",OR(AR114=1,AR114=2)),"IEQH",""))</f>
        <v/>
      </c>
      <c r="FE114" s="15" t="str">
        <f>IF(AND(EI114="EQL",OR(AS114=4,AS114=5)),"IEQL",IF(AND(EI114="EQH",OR(AS114=1,AS114=2)),"IEQH",""))</f>
        <v/>
      </c>
      <c r="FF114" s="15" t="str">
        <f>IF(AND(EJ114="EQL",OR(AT114=4,AT114=5)),"IEQL",IF(AND(EJ114="EQH",OR(AT114=1,AT114=2)),"IEQH",""))</f>
        <v/>
      </c>
      <c r="FG114" s="15" t="str">
        <f>IF(AND(EK114="EQL",OR(AU114=4,AU114=5)),"IEQL",IF(AND(EK114="EQH",OR(AU114=1,AU114=2)),"IEQH",""))</f>
        <v/>
      </c>
      <c r="FH114" s="15" t="str">
        <f>IF(AND(EL114="EQL",OR(AV114=4,AV114=5)),"IEQL",IF(AND(EL114="EQH",OR(AV114=1,AV114=2)),"IEQH",""))</f>
        <v/>
      </c>
      <c r="FI114" s="15" t="str">
        <f>IF(AND(EM114="EQL",OR(AW114=4,AW114=5)),"IEQL",IF(AND(EM114="EQH",OR(AW114=1,AW114=2)),"IEQH",""))</f>
        <v/>
      </c>
      <c r="FJ114" s="15" t="str">
        <f>IF(AND(EN114="EQL",OR(AX114=4,AX114=5)),"IEQL",IF(AND(EN114="EQH",OR(AX114=1,AX114=2)),"IEQH",""))</f>
        <v/>
      </c>
      <c r="FK114" s="15" t="str">
        <f>IF(AND(EO114="EQL",OR(AY114=4,AY114=5)),"IEQL",IF(AND(EO114="EQH",OR(AY114=1,AY114=2)),"IEQH",""))</f>
        <v/>
      </c>
      <c r="FL114" s="15" t="str">
        <f>IF(AND(EP114="EQL",OR(AZ114=4,AZ114=5)),"IEQL",IF(AND(EP114="EQH",OR(AZ114=1,AZ114=2)),"IEQH",""))</f>
        <v/>
      </c>
      <c r="FM114" s="15" t="str">
        <f>IF(AND(EQ114="EQL",OR(BA114=4,BA114=5)),"IEQL",IF(AND(EQ114="EQH",OR(BA114=1,BA114=2)),"IEQH",""))</f>
        <v/>
      </c>
      <c r="FN114" s="15" t="str">
        <f>IF(OR(AND(DJ114="LL",AP114=5),AND(DJ114="HH",AP114=2)),F114,"")</f>
        <v/>
      </c>
      <c r="FO114" s="15" t="str">
        <f>IF(FN114&lt;&gt;"",F113,"")</f>
        <v/>
      </c>
    </row>
    <row r="115" spans="1:171" s="15" customFormat="1" x14ac:dyDescent="0.55000000000000004">
      <c r="A115" s="15">
        <v>1776905106</v>
      </c>
      <c r="B115" s="15" t="s">
        <v>16</v>
      </c>
      <c r="C115" s="15" t="s">
        <v>17</v>
      </c>
      <c r="D115" s="15">
        <v>4748.05</v>
      </c>
      <c r="E115" s="15" t="s">
        <v>20</v>
      </c>
      <c r="F115" s="15">
        <v>4753.33</v>
      </c>
      <c r="G115" s="15">
        <f t="shared" si="330"/>
        <v>4749.34</v>
      </c>
      <c r="H115" s="15">
        <f t="shared" si="340"/>
        <v>4772.1499999999996</v>
      </c>
      <c r="I115" s="15">
        <f t="shared" si="350"/>
        <v>4797.91</v>
      </c>
      <c r="J115" s="15">
        <f t="shared" si="360"/>
        <v>4833.25</v>
      </c>
      <c r="K115" s="15">
        <f t="shared" si="370"/>
        <v>4827.74</v>
      </c>
      <c r="L115" s="15">
        <f t="shared" si="380"/>
        <v>4805.79</v>
      </c>
      <c r="M115" s="15">
        <f t="shared" si="390"/>
        <v>4814.28</v>
      </c>
      <c r="N115" s="15">
        <f t="shared" si="400"/>
        <v>4889.21</v>
      </c>
      <c r="O115" s="15">
        <f t="shared" si="300"/>
        <v>4805.97</v>
      </c>
      <c r="P115" s="15">
        <f t="shared" si="310"/>
        <v>4801.12</v>
      </c>
      <c r="Q115" s="15">
        <f t="shared" si="320"/>
        <v>4798.58</v>
      </c>
      <c r="R115" s="15">
        <v>58.99</v>
      </c>
      <c r="S115" s="15">
        <f t="shared" si="331"/>
        <v>25.31</v>
      </c>
      <c r="T115" s="15">
        <f t="shared" si="341"/>
        <v>103.54</v>
      </c>
      <c r="U115" s="15">
        <f t="shared" si="351"/>
        <v>25.13</v>
      </c>
      <c r="V115" s="15">
        <f t="shared" si="361"/>
        <v>40.83</v>
      </c>
      <c r="W115" s="15">
        <f t="shared" si="371"/>
        <v>44.23</v>
      </c>
      <c r="X115" s="15">
        <f t="shared" si="381"/>
        <v>25.99</v>
      </c>
      <c r="Y115" s="15">
        <f t="shared" si="391"/>
        <v>77.319999999999993</v>
      </c>
      <c r="Z115" s="15">
        <f t="shared" si="401"/>
        <v>110.38</v>
      </c>
      <c r="AA115" s="15">
        <f t="shared" si="301"/>
        <v>37.9</v>
      </c>
      <c r="AB115" s="15">
        <f t="shared" si="311"/>
        <v>15.02</v>
      </c>
      <c r="AC115" s="15">
        <f t="shared" si="321"/>
        <v>25.91</v>
      </c>
      <c r="AD115" s="15">
        <v>1.26</v>
      </c>
      <c r="AE115" s="15">
        <f t="shared" si="332"/>
        <v>0.54</v>
      </c>
      <c r="AF115" s="15">
        <f t="shared" si="342"/>
        <v>2.2200000000000002</v>
      </c>
      <c r="AG115" s="15">
        <f t="shared" si="352"/>
        <v>0.53</v>
      </c>
      <c r="AH115" s="15">
        <f t="shared" si="362"/>
        <v>0.85</v>
      </c>
      <c r="AI115" s="15">
        <f t="shared" si="372"/>
        <v>0.92</v>
      </c>
      <c r="AJ115" s="15">
        <f t="shared" si="382"/>
        <v>0.54</v>
      </c>
      <c r="AK115" s="15">
        <f t="shared" si="392"/>
        <v>1.63</v>
      </c>
      <c r="AL115" s="15">
        <f t="shared" si="402"/>
        <v>2.31</v>
      </c>
      <c r="AM115" s="15">
        <f t="shared" si="302"/>
        <v>0.79</v>
      </c>
      <c r="AN115" s="15">
        <f t="shared" si="312"/>
        <v>0.31</v>
      </c>
      <c r="AO115" s="15">
        <f t="shared" si="322"/>
        <v>0.54</v>
      </c>
      <c r="AP115" s="15">
        <v>0</v>
      </c>
      <c r="AQ115" s="15">
        <f t="shared" si="333"/>
        <v>0</v>
      </c>
      <c r="AR115" s="15">
        <f t="shared" si="343"/>
        <v>1</v>
      </c>
      <c r="AS115" s="15">
        <f t="shared" si="353"/>
        <v>0</v>
      </c>
      <c r="AT115" s="15">
        <f t="shared" si="363"/>
        <v>0</v>
      </c>
      <c r="AU115" s="15">
        <f t="shared" si="373"/>
        <v>0</v>
      </c>
      <c r="AV115" s="15">
        <f t="shared" si="383"/>
        <v>0</v>
      </c>
      <c r="AW115" s="15">
        <f t="shared" si="393"/>
        <v>0</v>
      </c>
      <c r="AX115" s="15">
        <f t="shared" si="403"/>
        <v>0</v>
      </c>
      <c r="AY115" s="15">
        <f t="shared" si="303"/>
        <v>0</v>
      </c>
      <c r="AZ115" s="15">
        <f t="shared" si="313"/>
        <v>0</v>
      </c>
      <c r="BA115" s="15">
        <f t="shared" si="323"/>
        <v>0</v>
      </c>
      <c r="BB115" s="15">
        <v>2</v>
      </c>
      <c r="BC115" s="15">
        <f t="shared" si="334"/>
        <v>9</v>
      </c>
      <c r="BD115" s="15">
        <f t="shared" si="344"/>
        <v>42</v>
      </c>
      <c r="BE115" s="15">
        <f t="shared" si="354"/>
        <v>19</v>
      </c>
      <c r="BF115" s="15">
        <f t="shared" si="364"/>
        <v>26</v>
      </c>
      <c r="BG115" s="15">
        <f t="shared" si="374"/>
        <v>20</v>
      </c>
      <c r="BH115" s="15">
        <f t="shared" si="384"/>
        <v>7</v>
      </c>
      <c r="BI115" s="15">
        <f t="shared" si="394"/>
        <v>8</v>
      </c>
      <c r="BJ115" s="15">
        <f t="shared" si="404"/>
        <v>21</v>
      </c>
      <c r="BK115" s="15">
        <f t="shared" si="304"/>
        <v>14</v>
      </c>
      <c r="BL115" s="15">
        <f t="shared" si="314"/>
        <v>3</v>
      </c>
      <c r="BM115" s="15">
        <f t="shared" si="324"/>
        <v>21</v>
      </c>
      <c r="BN115" s="15">
        <v>0</v>
      </c>
      <c r="BO115" s="15">
        <f t="shared" si="335"/>
        <v>0</v>
      </c>
      <c r="BP115" s="15">
        <f t="shared" si="345"/>
        <v>1</v>
      </c>
      <c r="BQ115" s="15">
        <f t="shared" si="355"/>
        <v>0</v>
      </c>
      <c r="BR115" s="15">
        <f t="shared" si="365"/>
        <v>0</v>
      </c>
      <c r="BS115" s="15">
        <f t="shared" si="375"/>
        <v>0</v>
      </c>
      <c r="BT115" s="15">
        <f t="shared" si="385"/>
        <v>0</v>
      </c>
      <c r="BU115" s="15">
        <f t="shared" si="395"/>
        <v>0</v>
      </c>
      <c r="BV115" s="15">
        <f t="shared" si="405"/>
        <v>0</v>
      </c>
      <c r="BW115" s="15">
        <f t="shared" si="305"/>
        <v>0</v>
      </c>
      <c r="BX115" s="15">
        <f t="shared" si="315"/>
        <v>0</v>
      </c>
      <c r="BY115" s="15">
        <f t="shared" si="325"/>
        <v>0</v>
      </c>
      <c r="BZ115" s="15">
        <v>29.495000000000001</v>
      </c>
      <c r="CA115" s="15">
        <f t="shared" si="336"/>
        <v>2.8122199999999999</v>
      </c>
      <c r="CB115" s="15">
        <f t="shared" si="346"/>
        <v>2.4652400000000001</v>
      </c>
      <c r="CC115" s="15">
        <f t="shared" si="356"/>
        <v>1.32263</v>
      </c>
      <c r="CD115" s="15">
        <f t="shared" si="366"/>
        <v>1.5703800000000001</v>
      </c>
      <c r="CE115" s="15">
        <f t="shared" si="376"/>
        <v>2.2115</v>
      </c>
      <c r="CF115" s="15">
        <f t="shared" si="386"/>
        <v>3.71286</v>
      </c>
      <c r="CG115" s="15">
        <f t="shared" si="396"/>
        <v>9.6649999999999991</v>
      </c>
      <c r="CH115" s="15">
        <f t="shared" si="406"/>
        <v>5.2561900000000001</v>
      </c>
      <c r="CI115" s="15">
        <f t="shared" si="306"/>
        <v>2.7071399999999999</v>
      </c>
      <c r="CJ115" s="15">
        <f t="shared" si="316"/>
        <v>5.0066699999999997</v>
      </c>
      <c r="CK115" s="15">
        <f t="shared" si="326"/>
        <v>1.2338100000000001</v>
      </c>
      <c r="CL115" s="15">
        <v>2</v>
      </c>
      <c r="CM115" s="15">
        <f t="shared" si="337"/>
        <v>0</v>
      </c>
      <c r="CN115" s="15">
        <f t="shared" si="347"/>
        <v>0</v>
      </c>
      <c r="CO115" s="15">
        <f t="shared" si="357"/>
        <v>0</v>
      </c>
      <c r="CP115" s="15">
        <f t="shared" si="367"/>
        <v>0</v>
      </c>
      <c r="CQ115" s="15">
        <f t="shared" si="377"/>
        <v>0</v>
      </c>
      <c r="CR115" s="15">
        <f t="shared" si="387"/>
        <v>0</v>
      </c>
      <c r="CS115" s="15">
        <f t="shared" si="397"/>
        <v>1</v>
      </c>
      <c r="CT115" s="15">
        <f t="shared" si="407"/>
        <v>0</v>
      </c>
      <c r="CU115" s="15">
        <f t="shared" si="307"/>
        <v>0</v>
      </c>
      <c r="CV115" s="15">
        <f t="shared" si="317"/>
        <v>0</v>
      </c>
      <c r="CW115" s="15">
        <f t="shared" si="327"/>
        <v>0</v>
      </c>
      <c r="CX115" s="15">
        <v>88.058199999999999</v>
      </c>
      <c r="CY115" s="15">
        <f t="shared" si="338"/>
        <v>70.4251</v>
      </c>
      <c r="CZ115" s="15">
        <f t="shared" si="348"/>
        <v>67.920500000000004</v>
      </c>
      <c r="DA115" s="15">
        <f t="shared" si="358"/>
        <v>52.908200000000001</v>
      </c>
      <c r="DB115" s="15">
        <f t="shared" si="368"/>
        <v>57.511600000000001</v>
      </c>
      <c r="DC115" s="15">
        <f t="shared" si="378"/>
        <v>65.668400000000005</v>
      </c>
      <c r="DD115" s="15">
        <f t="shared" si="388"/>
        <v>74.926000000000002</v>
      </c>
      <c r="DE115" s="15">
        <f t="shared" si="398"/>
        <v>84.092799999999997</v>
      </c>
      <c r="DF115" s="15">
        <f t="shared" si="408"/>
        <v>79.228099999999998</v>
      </c>
      <c r="DG115" s="15">
        <f t="shared" si="308"/>
        <v>69.726100000000002</v>
      </c>
      <c r="DH115" s="15">
        <f t="shared" si="318"/>
        <v>78.704700000000003</v>
      </c>
      <c r="DI115" s="15">
        <f t="shared" si="328"/>
        <v>50.975299999999997</v>
      </c>
      <c r="DJ115" s="15" t="s">
        <v>23</v>
      </c>
      <c r="DK115" s="15" t="str">
        <f t="shared" si="339"/>
        <v>LH</v>
      </c>
      <c r="DL115" s="15" t="str">
        <f t="shared" si="349"/>
        <v>LH</v>
      </c>
      <c r="DM115" s="15" t="str">
        <f t="shared" si="359"/>
        <v>LH</v>
      </c>
      <c r="DN115" s="15" t="str">
        <f t="shared" si="369"/>
        <v>HH</v>
      </c>
      <c r="DO115" s="15" t="str">
        <f t="shared" si="379"/>
        <v>HH</v>
      </c>
      <c r="DP115" s="15" t="str">
        <f t="shared" si="389"/>
        <v>LH</v>
      </c>
      <c r="DQ115" s="15" t="str">
        <f t="shared" si="399"/>
        <v>LH</v>
      </c>
      <c r="DR115" s="15" t="str">
        <f t="shared" si="409"/>
        <v>HH</v>
      </c>
      <c r="DS115" s="15" t="str">
        <f t="shared" si="309"/>
        <v>HH</v>
      </c>
      <c r="DT115" s="15" t="str">
        <f t="shared" si="319"/>
        <v>HH</v>
      </c>
      <c r="DU115" s="15" t="str">
        <f t="shared" si="329"/>
        <v>LH</v>
      </c>
      <c r="DV115" s="15">
        <f>IFERROR((G115-$F115)/$F115*100,"")</f>
        <v>-8.3941152833903424E-2</v>
      </c>
      <c r="DW115" s="15">
        <f>IFERROR((H115-$F115)/$F115*100,"")</f>
        <v>0.39593295647471788</v>
      </c>
      <c r="DX115" s="15">
        <f>IFERROR((I115-$F115)/$F115*100,"")</f>
        <v>0.93786882038486541</v>
      </c>
      <c r="DY115" s="15">
        <f>IFERROR((J115-$F115)/$F115*100,"")</f>
        <v>1.6813476026280538</v>
      </c>
      <c r="DZ115" s="15">
        <f>IFERROR((K115-$F115)/$F115*100,"")</f>
        <v>1.5654288677621764</v>
      </c>
      <c r="EA115" s="15">
        <f>IFERROR((L115-$F115)/$F115*100,"")</f>
        <v>1.1036473377611071</v>
      </c>
      <c r="EB115" s="15">
        <f>IFERROR((M115-$F115)/$F115*100,"")</f>
        <v>1.2822589637159594</v>
      </c>
      <c r="EC115" s="15">
        <f>IFERROR((N115-$F115)/$F115*100,"")</f>
        <v>2.8586275305943434</v>
      </c>
      <c r="ED115" s="15">
        <f>IFERROR((O115-$F115)/$F115*100,"")</f>
        <v>1.1074341566859511</v>
      </c>
      <c r="EE115" s="15">
        <f>IFERROR((P115-$F115)/$F115*100,"")</f>
        <v>1.0054004245444765</v>
      </c>
      <c r="EF115" s="15">
        <f>IFERROR((Q115-$F115)/$F115*100,"")</f>
        <v>0.95196420193843045</v>
      </c>
      <c r="EG115" s="15" t="str">
        <f>IF(DV115="","",IF(AND(ABS(DV115)&lt;=0.25,$E115="Bottom",DK115="LL"),"EQL",IF(AND(ABS(DV115)&lt;=0.25,$E115="Peak",DK115="HH"),"EQH","")))</f>
        <v/>
      </c>
      <c r="EH115" s="15" t="str">
        <f>IF(DW115="","",IF(AND(ABS(DW115)&lt;=0.25,$E115="Bottom",DL115="LL"),"EQL",IF(AND(ABS(DW115)&lt;=0.25,$E115="Peak",DL115="HH"),"EQH","")))</f>
        <v/>
      </c>
      <c r="EI115" s="15" t="str">
        <f>IF(DX115="","",IF(AND(ABS(DX115)&lt;=0.25,$E115="Bottom",DM115="LL"),"EQL",IF(AND(ABS(DX115)&lt;=0.25,$E115="Peak",DM115="HH"),"EQH","")))</f>
        <v/>
      </c>
      <c r="EJ115" s="15" t="str">
        <f>IF(DY115="","",IF(AND(ABS(DY115)&lt;=0.25,$E115="Bottom",DN115="LL"),"EQL",IF(AND(ABS(DY115)&lt;=0.25,$E115="Peak",DN115="HH"),"EQH","")))</f>
        <v/>
      </c>
      <c r="EK115" s="15" t="str">
        <f>IF(DZ115="","",IF(AND(ABS(DZ115)&lt;=0.25,$E115="Bottom",DO115="LL"),"EQL",IF(AND(ABS(DZ115)&lt;=0.25,$E115="Peak",DO115="HH"),"EQH","")))</f>
        <v/>
      </c>
      <c r="EL115" s="15" t="str">
        <f>IF(EA115="","",IF(AND(ABS(EA115)&lt;=0.25,$E115="Bottom",DP115="LL"),"EQL",IF(AND(ABS(EA115)&lt;=0.25,$E115="Peak",DP115="HH"),"EQH","")))</f>
        <v/>
      </c>
      <c r="EM115" s="15" t="str">
        <f>IF(EB115="","",IF(AND(ABS(EB115)&lt;=0.25,$E115="Bottom",DQ115="LL"),"EQL",IF(AND(ABS(EB115)&lt;=0.25,$E115="Peak",DQ115="HH"),"EQH","")))</f>
        <v/>
      </c>
      <c r="EN115" s="15" t="str">
        <f>IF(EC115="","",IF(AND(ABS(EC115)&lt;=0.25,$E115="Bottom",DR115="LL"),"EQL",IF(AND(ABS(EC115)&lt;=0.25,$E115="Peak",DR115="HH"),"EQH","")))</f>
        <v/>
      </c>
      <c r="EO115" s="15" t="str">
        <f>IF(ED115="","",IF(AND(ABS(ED115)&lt;=0.25,$E115="Bottom",DS115="LL"),"EQL",IF(AND(ABS(ED115)&lt;=0.25,$E115="Peak",DS115="HH"),"EQH","")))</f>
        <v/>
      </c>
      <c r="EP115" s="15" t="str">
        <f>IF(EE115="","",IF(AND(ABS(EE115)&lt;=0.25,$E115="Bottom",DT115="LL"),"EQL",IF(AND(ABS(EE115)&lt;=0.25,$E115="Peak",DT115="HH"),"EQH","")))</f>
        <v/>
      </c>
      <c r="EQ115" s="15" t="str">
        <f>IF(EF115="","",IF(AND(ABS(EF115)&lt;=0.25,$E115="Bottom",DU115="LL"),"EQL",IF(AND(ABS(EF115)&lt;=0.25,$E115="Peak",DU115="HH"),"EQH","")))</f>
        <v/>
      </c>
      <c r="ER115" s="15" t="str">
        <f>IF(OR(EG115="EQL",EG115="EQH"),F115,"")</f>
        <v/>
      </c>
      <c r="ES115" s="15" t="str">
        <f>IF(OR(EH115="EQL",EH115="EQH"),G115,"")</f>
        <v/>
      </c>
      <c r="ET115" s="15" t="str">
        <f>IF(OR(EI115="EQL",EI115="EQH"),H115,"")</f>
        <v/>
      </c>
      <c r="EU115" s="15" t="str">
        <f>IF(OR(EJ115="EQL",EJ115="EQH"),I115,"")</f>
        <v/>
      </c>
      <c r="EV115" s="15" t="str">
        <f>IF(OR(EK115="EQL",EK115="EQH"),J115,"")</f>
        <v/>
      </c>
      <c r="EW115" s="15" t="str">
        <f>IF(OR(EL115="EQL",EL115="EQH"),K115,"")</f>
        <v/>
      </c>
      <c r="EX115" s="15" t="str">
        <f>IF(OR(EM115="EQL",EM115="EQH"),L115,"")</f>
        <v/>
      </c>
      <c r="EY115" s="15" t="str">
        <f>IF(OR(EN115="EQL",EN115="EQH"),M115,"")</f>
        <v/>
      </c>
      <c r="EZ115" s="15" t="str">
        <f>IF(OR(EO115="EQL",EO115="EQH"),N115,"")</f>
        <v/>
      </c>
      <c r="FA115" s="15" t="str">
        <f>IF(OR(EP115="EQL",EP115="EQH"),O115,"")</f>
        <v/>
      </c>
      <c r="FB115" s="15" t="str">
        <f>IF(OR(EQ115="EQL",EQ115="EQH"),P115,"")</f>
        <v/>
      </c>
      <c r="FC115" s="15" t="str">
        <f>IF(AND(EG115="EQL",OR(AQ115=4,AQ115=5)),"IEQL",IF(AND(EG115="EQH",OR(AQ115=1,AQ115=2)),"IEQH",""))</f>
        <v/>
      </c>
      <c r="FD115" s="15" t="str">
        <f>IF(AND(EH115="EQL",OR(AR115=4,AR115=5)),"IEQL",IF(AND(EH115="EQH",OR(AR115=1,AR115=2)),"IEQH",""))</f>
        <v/>
      </c>
      <c r="FE115" s="15" t="str">
        <f>IF(AND(EI115="EQL",OR(AS115=4,AS115=5)),"IEQL",IF(AND(EI115="EQH",OR(AS115=1,AS115=2)),"IEQH",""))</f>
        <v/>
      </c>
      <c r="FF115" s="15" t="str">
        <f>IF(AND(EJ115="EQL",OR(AT115=4,AT115=5)),"IEQL",IF(AND(EJ115="EQH",OR(AT115=1,AT115=2)),"IEQH",""))</f>
        <v/>
      </c>
      <c r="FG115" s="15" t="str">
        <f>IF(AND(EK115="EQL",OR(AU115=4,AU115=5)),"IEQL",IF(AND(EK115="EQH",OR(AU115=1,AU115=2)),"IEQH",""))</f>
        <v/>
      </c>
      <c r="FH115" s="15" t="str">
        <f>IF(AND(EL115="EQL",OR(AV115=4,AV115=5)),"IEQL",IF(AND(EL115="EQH",OR(AV115=1,AV115=2)),"IEQH",""))</f>
        <v/>
      </c>
      <c r="FI115" s="15" t="str">
        <f>IF(AND(EM115="EQL",OR(AW115=4,AW115=5)),"IEQL",IF(AND(EM115="EQH",OR(AW115=1,AW115=2)),"IEQH",""))</f>
        <v/>
      </c>
      <c r="FJ115" s="15" t="str">
        <f>IF(AND(EN115="EQL",OR(AX115=4,AX115=5)),"IEQL",IF(AND(EN115="EQH",OR(AX115=1,AX115=2)),"IEQH",""))</f>
        <v/>
      </c>
      <c r="FK115" s="15" t="str">
        <f>IF(AND(EO115="EQL",OR(AY115=4,AY115=5)),"IEQL",IF(AND(EO115="EQH",OR(AY115=1,AY115=2)),"IEQH",""))</f>
        <v/>
      </c>
      <c r="FL115" s="15" t="str">
        <f>IF(AND(EP115="EQL",OR(AZ115=4,AZ115=5)),"IEQL",IF(AND(EP115="EQH",OR(AZ115=1,AZ115=2)),"IEQH",""))</f>
        <v/>
      </c>
      <c r="FM115" s="15" t="str">
        <f>IF(AND(EQ115="EQL",OR(BA115=4,BA115=5)),"IEQL",IF(AND(EQ115="EQH",OR(BA115=1,BA115=2)),"IEQH",""))</f>
        <v/>
      </c>
      <c r="FN115" s="15" t="str">
        <f>IF(OR(AND(DJ115="LL",AP115=5),AND(DJ115="HH",AP115=2)),F115,"")</f>
        <v/>
      </c>
      <c r="FO115" s="15" t="str">
        <f>IF(FN115&lt;&gt;"",F114,"")</f>
        <v/>
      </c>
    </row>
    <row r="116" spans="1:171" s="15" customFormat="1" x14ac:dyDescent="0.55000000000000004">
      <c r="A116" s="15">
        <v>1776922206</v>
      </c>
      <c r="B116" s="15" t="s">
        <v>16</v>
      </c>
      <c r="C116" s="15" t="s">
        <v>17</v>
      </c>
      <c r="D116" s="15">
        <v>4701.58</v>
      </c>
      <c r="E116" s="15" t="s">
        <v>18</v>
      </c>
      <c r="F116" s="15">
        <v>4693.0600000000004</v>
      </c>
      <c r="G116" s="15">
        <f t="shared" si="330"/>
        <v>4694.34</v>
      </c>
      <c r="H116" s="15">
        <f t="shared" si="340"/>
        <v>4724.03</v>
      </c>
      <c r="I116" s="15">
        <f t="shared" si="350"/>
        <v>4668.6099999999997</v>
      </c>
      <c r="J116" s="15">
        <f t="shared" si="360"/>
        <v>4772.78</v>
      </c>
      <c r="K116" s="15">
        <f t="shared" si="370"/>
        <v>4792.42</v>
      </c>
      <c r="L116" s="15">
        <f t="shared" si="380"/>
        <v>4783.51</v>
      </c>
      <c r="M116" s="15">
        <f t="shared" si="390"/>
        <v>4779.8</v>
      </c>
      <c r="N116" s="15">
        <f t="shared" si="400"/>
        <v>4736.96</v>
      </c>
      <c r="O116" s="15">
        <f t="shared" ref="O116:O147" si="410">F98</f>
        <v>4778.83</v>
      </c>
      <c r="P116" s="15">
        <f t="shared" si="310"/>
        <v>4768.07</v>
      </c>
      <c r="Q116" s="15">
        <f t="shared" si="320"/>
        <v>4786.1000000000004</v>
      </c>
      <c r="R116" s="15">
        <v>-60.27</v>
      </c>
      <c r="S116" s="15">
        <f t="shared" si="331"/>
        <v>-55</v>
      </c>
      <c r="T116" s="15">
        <f t="shared" si="341"/>
        <v>-48.12</v>
      </c>
      <c r="U116" s="15">
        <f t="shared" si="351"/>
        <v>-129.30000000000001</v>
      </c>
      <c r="V116" s="15">
        <f t="shared" si="361"/>
        <v>-60.47</v>
      </c>
      <c r="W116" s="15">
        <f t="shared" si="371"/>
        <v>-35.32</v>
      </c>
      <c r="X116" s="15">
        <f t="shared" si="381"/>
        <v>-22.28</v>
      </c>
      <c r="Y116" s="15">
        <f t="shared" si="391"/>
        <v>-34.479999999999997</v>
      </c>
      <c r="Z116" s="15">
        <f t="shared" si="401"/>
        <v>-152.25</v>
      </c>
      <c r="AA116" s="15">
        <f t="shared" ref="AA116:AA147" si="411">R98</f>
        <v>-27.14</v>
      </c>
      <c r="AB116" s="15">
        <f t="shared" si="311"/>
        <v>-33.049999999999997</v>
      </c>
      <c r="AC116" s="15">
        <f t="shared" si="321"/>
        <v>-12.48</v>
      </c>
      <c r="AD116" s="15">
        <v>-1.27</v>
      </c>
      <c r="AE116" s="15">
        <f t="shared" si="332"/>
        <v>-1.1599999999999999</v>
      </c>
      <c r="AF116" s="15">
        <f t="shared" si="342"/>
        <v>-1.01</v>
      </c>
      <c r="AG116" s="15">
        <f t="shared" si="352"/>
        <v>-2.69</v>
      </c>
      <c r="AH116" s="15">
        <f t="shared" si="362"/>
        <v>-1.25</v>
      </c>
      <c r="AI116" s="15">
        <f t="shared" si="372"/>
        <v>-0.73</v>
      </c>
      <c r="AJ116" s="15">
        <f t="shared" si="382"/>
        <v>-0.46</v>
      </c>
      <c r="AK116" s="15">
        <f t="shared" si="392"/>
        <v>-0.72</v>
      </c>
      <c r="AL116" s="15">
        <f t="shared" si="402"/>
        <v>-3.11</v>
      </c>
      <c r="AM116" s="15">
        <f t="shared" ref="AM116:AM147" si="412">AD98</f>
        <v>-0.56000000000000005</v>
      </c>
      <c r="AN116" s="15">
        <f t="shared" si="312"/>
        <v>-0.69</v>
      </c>
      <c r="AO116" s="15">
        <f t="shared" si="322"/>
        <v>-0.26</v>
      </c>
      <c r="AP116" s="15">
        <v>3</v>
      </c>
      <c r="AQ116" s="15">
        <f t="shared" si="333"/>
        <v>3</v>
      </c>
      <c r="AR116" s="15">
        <f t="shared" si="343"/>
        <v>3</v>
      </c>
      <c r="AS116" s="15">
        <f t="shared" si="353"/>
        <v>5</v>
      </c>
      <c r="AT116" s="15">
        <f t="shared" si="363"/>
        <v>3</v>
      </c>
      <c r="AU116" s="15">
        <f t="shared" si="373"/>
        <v>3</v>
      </c>
      <c r="AV116" s="15">
        <f t="shared" si="383"/>
        <v>3</v>
      </c>
      <c r="AW116" s="15">
        <f t="shared" si="393"/>
        <v>3</v>
      </c>
      <c r="AX116" s="15">
        <f t="shared" si="403"/>
        <v>5</v>
      </c>
      <c r="AY116" s="15">
        <f t="shared" ref="AY116:AY147" si="413">AP98</f>
        <v>3</v>
      </c>
      <c r="AZ116" s="15">
        <f t="shared" si="313"/>
        <v>3</v>
      </c>
      <c r="BA116" s="15">
        <f t="shared" si="323"/>
        <v>3</v>
      </c>
      <c r="BB116" s="15">
        <v>19</v>
      </c>
      <c r="BC116" s="15">
        <f t="shared" si="334"/>
        <v>18</v>
      </c>
      <c r="BD116" s="15">
        <f t="shared" si="344"/>
        <v>38</v>
      </c>
      <c r="BE116" s="15">
        <f t="shared" si="354"/>
        <v>31</v>
      </c>
      <c r="BF116" s="15">
        <f t="shared" si="364"/>
        <v>35</v>
      </c>
      <c r="BG116" s="15">
        <f t="shared" si="374"/>
        <v>1</v>
      </c>
      <c r="BH116" s="15">
        <f t="shared" si="384"/>
        <v>9</v>
      </c>
      <c r="BI116" s="15">
        <f t="shared" si="394"/>
        <v>15</v>
      </c>
      <c r="BJ116" s="15">
        <f t="shared" si="404"/>
        <v>39</v>
      </c>
      <c r="BK116" s="15">
        <f t="shared" ref="BK116:BK147" si="414">BB98</f>
        <v>11</v>
      </c>
      <c r="BL116" s="15">
        <f t="shared" si="314"/>
        <v>3</v>
      </c>
      <c r="BM116" s="15">
        <f t="shared" si="324"/>
        <v>13</v>
      </c>
      <c r="BN116" s="15">
        <v>3</v>
      </c>
      <c r="BO116" s="15">
        <f t="shared" si="335"/>
        <v>3</v>
      </c>
      <c r="BP116" s="15">
        <f t="shared" si="345"/>
        <v>4</v>
      </c>
      <c r="BQ116" s="15">
        <f t="shared" si="355"/>
        <v>3</v>
      </c>
      <c r="BR116" s="15">
        <f t="shared" si="365"/>
        <v>3</v>
      </c>
      <c r="BS116" s="15">
        <f t="shared" si="375"/>
        <v>3</v>
      </c>
      <c r="BT116" s="15">
        <f t="shared" si="385"/>
        <v>3</v>
      </c>
      <c r="BU116" s="15">
        <f t="shared" si="395"/>
        <v>3</v>
      </c>
      <c r="BV116" s="15">
        <f t="shared" si="405"/>
        <v>4</v>
      </c>
      <c r="BW116" s="15">
        <f t="shared" ref="BW116:BW147" si="415">BN98</f>
        <v>3</v>
      </c>
      <c r="BX116" s="15">
        <f t="shared" si="315"/>
        <v>3</v>
      </c>
      <c r="BY116" s="15">
        <f t="shared" si="325"/>
        <v>3</v>
      </c>
      <c r="BZ116" s="15">
        <v>-3.17211</v>
      </c>
      <c r="CA116" s="15">
        <f t="shared" si="336"/>
        <v>-3.0555599999999998</v>
      </c>
      <c r="CB116" s="15">
        <f t="shared" si="346"/>
        <v>-1.2663199999999999</v>
      </c>
      <c r="CC116" s="15">
        <f t="shared" si="356"/>
        <v>-4.1709699999999996</v>
      </c>
      <c r="CD116" s="15">
        <f t="shared" si="366"/>
        <v>-1.7277100000000001</v>
      </c>
      <c r="CE116" s="15">
        <f t="shared" si="376"/>
        <v>-35.32</v>
      </c>
      <c r="CF116" s="15">
        <f t="shared" si="386"/>
        <v>-2.4755600000000002</v>
      </c>
      <c r="CG116" s="15">
        <f t="shared" si="396"/>
        <v>-2.29867</v>
      </c>
      <c r="CH116" s="15">
        <f t="shared" si="406"/>
        <v>-3.9038499999999998</v>
      </c>
      <c r="CI116" s="15">
        <f t="shared" ref="CI116:CI147" si="416">BZ98</f>
        <v>-2.4672700000000001</v>
      </c>
      <c r="CJ116" s="15">
        <f t="shared" si="316"/>
        <v>-11.01667</v>
      </c>
      <c r="CK116" s="15">
        <f t="shared" si="326"/>
        <v>-0.96</v>
      </c>
      <c r="CL116" s="15">
        <v>3</v>
      </c>
      <c r="CM116" s="15">
        <f t="shared" si="337"/>
        <v>3</v>
      </c>
      <c r="CN116" s="15">
        <f t="shared" si="347"/>
        <v>3</v>
      </c>
      <c r="CO116" s="15">
        <f t="shared" si="357"/>
        <v>3</v>
      </c>
      <c r="CP116" s="15">
        <f t="shared" si="367"/>
        <v>3</v>
      </c>
      <c r="CQ116" s="15">
        <f t="shared" si="377"/>
        <v>5</v>
      </c>
      <c r="CR116" s="15">
        <f t="shared" si="387"/>
        <v>3</v>
      </c>
      <c r="CS116" s="15">
        <f t="shared" si="397"/>
        <v>3</v>
      </c>
      <c r="CT116" s="15">
        <f t="shared" si="407"/>
        <v>3</v>
      </c>
      <c r="CU116" s="15">
        <f t="shared" ref="CU116:CU147" si="417">CL98</f>
        <v>3</v>
      </c>
      <c r="CV116" s="15">
        <f t="shared" si="317"/>
        <v>5</v>
      </c>
      <c r="CW116" s="15">
        <f t="shared" si="327"/>
        <v>3</v>
      </c>
      <c r="CX116" s="15">
        <v>-72.502600000000001</v>
      </c>
      <c r="CY116" s="15">
        <f t="shared" si="338"/>
        <v>-71.878100000000003</v>
      </c>
      <c r="CZ116" s="15">
        <f t="shared" si="348"/>
        <v>-51.702100000000002</v>
      </c>
      <c r="DA116" s="15">
        <f t="shared" si="358"/>
        <v>-76.517700000000005</v>
      </c>
      <c r="DB116" s="15">
        <f t="shared" si="368"/>
        <v>-59.937800000000003</v>
      </c>
      <c r="DC116" s="15">
        <f t="shared" si="378"/>
        <v>-88.378200000000007</v>
      </c>
      <c r="DD116" s="15">
        <f t="shared" si="388"/>
        <v>-68.003799999999998</v>
      </c>
      <c r="DE116" s="15">
        <f t="shared" si="398"/>
        <v>-66.4893</v>
      </c>
      <c r="DF116" s="15">
        <f t="shared" si="408"/>
        <v>-75.632199999999997</v>
      </c>
      <c r="DG116" s="15">
        <f t="shared" ref="DG116:DG147" si="418">CX98</f>
        <v>-67.936999999999998</v>
      </c>
      <c r="DH116" s="15">
        <f t="shared" si="318"/>
        <v>-84.813400000000001</v>
      </c>
      <c r="DI116" s="15">
        <f t="shared" si="328"/>
        <v>-43.8309</v>
      </c>
      <c r="DJ116" s="15" t="s">
        <v>19</v>
      </c>
      <c r="DK116" s="15" t="str">
        <f t="shared" si="339"/>
        <v>LL</v>
      </c>
      <c r="DL116" s="15" t="str">
        <f t="shared" si="349"/>
        <v>HL</v>
      </c>
      <c r="DM116" s="15" t="str">
        <f t="shared" si="359"/>
        <v>LL</v>
      </c>
      <c r="DN116" s="15" t="str">
        <f t="shared" si="369"/>
        <v>LL</v>
      </c>
      <c r="DO116" s="15" t="str">
        <f t="shared" si="379"/>
        <v>HL</v>
      </c>
      <c r="DP116" s="15" t="str">
        <f t="shared" si="389"/>
        <v>HL</v>
      </c>
      <c r="DQ116" s="15" t="str">
        <f t="shared" si="399"/>
        <v>HL</v>
      </c>
      <c r="DR116" s="15" t="str">
        <f t="shared" si="409"/>
        <v>LL</v>
      </c>
      <c r="DS116" s="15" t="str">
        <f t="shared" ref="DS116:DS147" si="419">DJ98</f>
        <v>HL</v>
      </c>
      <c r="DT116" s="15" t="str">
        <f t="shared" si="319"/>
        <v>LL</v>
      </c>
      <c r="DU116" s="15" t="str">
        <f t="shared" si="329"/>
        <v>HL</v>
      </c>
      <c r="DV116" s="15">
        <f>IFERROR((G116-$F116)/$F116*100,"")</f>
        <v>2.7274315691675481E-2</v>
      </c>
      <c r="DW116" s="15">
        <f>IFERROR((H116-$F116)/$F116*100,"")</f>
        <v>0.65991059138385921</v>
      </c>
      <c r="DX116" s="15">
        <f>IFERROR((I116-$F116)/$F116*100,"")</f>
        <v>-0.52098204582938901</v>
      </c>
      <c r="DY116" s="15">
        <f>IFERROR((J116-$F116)/$F116*100,"")</f>
        <v>1.6986784741724874</v>
      </c>
      <c r="DZ116" s="15">
        <f>IFERROR((K116-$F116)/$F116*100,"")</f>
        <v>2.1171687555667233</v>
      </c>
      <c r="EA116" s="15">
        <f>IFERROR((L116-$F116)/$F116*100,"")</f>
        <v>1.9273139486816664</v>
      </c>
      <c r="EB116" s="15">
        <f>IFERROR((M116-$F116)/$F116*100,"")</f>
        <v>1.8482610492940592</v>
      </c>
      <c r="EC116" s="15">
        <f>IFERROR((N116-$F116)/$F116*100,"")</f>
        <v>0.93542379598811087</v>
      </c>
      <c r="ED116" s="15">
        <f>IFERROR((O116-$F116)/$F116*100,"")</f>
        <v>1.8275922319339517</v>
      </c>
      <c r="EE116" s="15">
        <f>IFERROR((P116-$F116)/$F116*100,"")</f>
        <v>1.5983175156507545</v>
      </c>
      <c r="EF116" s="15">
        <f>IFERROR((Q116-$F116)/$F116*100,"")</f>
        <v>1.9825018218390549</v>
      </c>
      <c r="EG116" s="15" t="str">
        <f>IF(DV116="","",IF(AND(ABS(DV116)&lt;=0.25,$E116="Bottom",DK116="LL"),"EQL",IF(AND(ABS(DV116)&lt;=0.25,$E116="Peak",DK116="HH"),"EQH","")))</f>
        <v>EQL</v>
      </c>
      <c r="EH116" s="15" t="str">
        <f>IF(DW116="","",IF(AND(ABS(DW116)&lt;=0.25,$E116="Bottom",DL116="LL"),"EQL",IF(AND(ABS(DW116)&lt;=0.25,$E116="Peak",DL116="HH"),"EQH","")))</f>
        <v/>
      </c>
      <c r="EI116" s="15" t="str">
        <f>IF(DX116="","",IF(AND(ABS(DX116)&lt;=0.25,$E116="Bottom",DM116="LL"),"EQL",IF(AND(ABS(DX116)&lt;=0.25,$E116="Peak",DM116="HH"),"EQH","")))</f>
        <v/>
      </c>
      <c r="EJ116" s="15" t="str">
        <f>IF(DY116="","",IF(AND(ABS(DY116)&lt;=0.25,$E116="Bottom",DN116="LL"),"EQL",IF(AND(ABS(DY116)&lt;=0.25,$E116="Peak",DN116="HH"),"EQH","")))</f>
        <v/>
      </c>
      <c r="EK116" s="15" t="str">
        <f>IF(DZ116="","",IF(AND(ABS(DZ116)&lt;=0.25,$E116="Bottom",DO116="LL"),"EQL",IF(AND(ABS(DZ116)&lt;=0.25,$E116="Peak",DO116="HH"),"EQH","")))</f>
        <v/>
      </c>
      <c r="EL116" s="15" t="str">
        <f>IF(EA116="","",IF(AND(ABS(EA116)&lt;=0.25,$E116="Bottom",DP116="LL"),"EQL",IF(AND(ABS(EA116)&lt;=0.25,$E116="Peak",DP116="HH"),"EQH","")))</f>
        <v/>
      </c>
      <c r="EM116" s="15" t="str">
        <f>IF(EB116="","",IF(AND(ABS(EB116)&lt;=0.25,$E116="Bottom",DQ116="LL"),"EQL",IF(AND(ABS(EB116)&lt;=0.25,$E116="Peak",DQ116="HH"),"EQH","")))</f>
        <v/>
      </c>
      <c r="EN116" s="15" t="str">
        <f>IF(EC116="","",IF(AND(ABS(EC116)&lt;=0.25,$E116="Bottom",DR116="LL"),"EQL",IF(AND(ABS(EC116)&lt;=0.25,$E116="Peak",DR116="HH"),"EQH","")))</f>
        <v/>
      </c>
      <c r="EO116" s="15" t="str">
        <f>IF(ED116="","",IF(AND(ABS(ED116)&lt;=0.25,$E116="Bottom",DS116="LL"),"EQL",IF(AND(ABS(ED116)&lt;=0.25,$E116="Peak",DS116="HH"),"EQH","")))</f>
        <v/>
      </c>
      <c r="EP116" s="15" t="str">
        <f>IF(EE116="","",IF(AND(ABS(EE116)&lt;=0.25,$E116="Bottom",DT116="LL"),"EQL",IF(AND(ABS(EE116)&lt;=0.25,$E116="Peak",DT116="HH"),"EQH","")))</f>
        <v/>
      </c>
      <c r="EQ116" s="15" t="str">
        <f>IF(EF116="","",IF(AND(ABS(EF116)&lt;=0.25,$E116="Bottom",DU116="LL"),"EQL",IF(AND(ABS(EF116)&lt;=0.25,$E116="Peak",DU116="HH"),"EQH","")))</f>
        <v/>
      </c>
      <c r="ER116" s="15">
        <f>IF(OR(EG116="EQL",EG116="EQH"),F116,"")</f>
        <v>4693.0600000000004</v>
      </c>
      <c r="ES116" s="15" t="str">
        <f>IF(OR(EH116="EQL",EH116="EQH"),G116,"")</f>
        <v/>
      </c>
      <c r="ET116" s="15" t="str">
        <f>IF(OR(EI116="EQL",EI116="EQH"),H116,"")</f>
        <v/>
      </c>
      <c r="EU116" s="15" t="str">
        <f>IF(OR(EJ116="EQL",EJ116="EQH"),I116,"")</f>
        <v/>
      </c>
      <c r="EV116" s="15" t="str">
        <f>IF(OR(EK116="EQL",EK116="EQH"),J116,"")</f>
        <v/>
      </c>
      <c r="EW116" s="15" t="str">
        <f>IF(OR(EL116="EQL",EL116="EQH"),K116,"")</f>
        <v/>
      </c>
      <c r="EX116" s="15" t="str">
        <f>IF(OR(EM116="EQL",EM116="EQH"),L116,"")</f>
        <v/>
      </c>
      <c r="EY116" s="15" t="str">
        <f>IF(OR(EN116="EQL",EN116="EQH"),M116,"")</f>
        <v/>
      </c>
      <c r="EZ116" s="15" t="str">
        <f>IF(OR(EO116="EQL",EO116="EQH"),N116,"")</f>
        <v/>
      </c>
      <c r="FA116" s="15" t="str">
        <f>IF(OR(EP116="EQL",EP116="EQH"),O116,"")</f>
        <v/>
      </c>
      <c r="FB116" s="15" t="str">
        <f>IF(OR(EQ116="EQL",EQ116="EQH"),P116,"")</f>
        <v/>
      </c>
      <c r="FC116" s="15" t="str">
        <f>IF(AND(EG116="EQL",OR(AQ116=4,AQ116=5)),"IEQL",IF(AND(EG116="EQH",OR(AQ116=1,AQ116=2)),"IEQH",""))</f>
        <v/>
      </c>
      <c r="FD116" s="15" t="str">
        <f>IF(AND(EH116="EQL",OR(AR116=4,AR116=5)),"IEQL",IF(AND(EH116="EQH",OR(AR116=1,AR116=2)),"IEQH",""))</f>
        <v/>
      </c>
      <c r="FE116" s="15" t="str">
        <f>IF(AND(EI116="EQL",OR(AS116=4,AS116=5)),"IEQL",IF(AND(EI116="EQH",OR(AS116=1,AS116=2)),"IEQH",""))</f>
        <v/>
      </c>
      <c r="FF116" s="15" t="str">
        <f>IF(AND(EJ116="EQL",OR(AT116=4,AT116=5)),"IEQL",IF(AND(EJ116="EQH",OR(AT116=1,AT116=2)),"IEQH",""))</f>
        <v/>
      </c>
      <c r="FG116" s="15" t="str">
        <f>IF(AND(EK116="EQL",OR(AU116=4,AU116=5)),"IEQL",IF(AND(EK116="EQH",OR(AU116=1,AU116=2)),"IEQH",""))</f>
        <v/>
      </c>
      <c r="FH116" s="15" t="str">
        <f>IF(AND(EL116="EQL",OR(AV116=4,AV116=5)),"IEQL",IF(AND(EL116="EQH",OR(AV116=1,AV116=2)),"IEQH",""))</f>
        <v/>
      </c>
      <c r="FI116" s="15" t="str">
        <f>IF(AND(EM116="EQL",OR(AW116=4,AW116=5)),"IEQL",IF(AND(EM116="EQH",OR(AW116=1,AW116=2)),"IEQH",""))</f>
        <v/>
      </c>
      <c r="FJ116" s="15" t="str">
        <f>IF(AND(EN116="EQL",OR(AX116=4,AX116=5)),"IEQL",IF(AND(EN116="EQH",OR(AX116=1,AX116=2)),"IEQH",""))</f>
        <v/>
      </c>
      <c r="FK116" s="15" t="str">
        <f>IF(AND(EO116="EQL",OR(AY116=4,AY116=5)),"IEQL",IF(AND(EO116="EQH",OR(AY116=1,AY116=2)),"IEQH",""))</f>
        <v/>
      </c>
      <c r="FL116" s="15" t="str">
        <f>IF(AND(EP116="EQL",OR(AZ116=4,AZ116=5)),"IEQL",IF(AND(EP116="EQH",OR(AZ116=1,AZ116=2)),"IEQH",""))</f>
        <v/>
      </c>
      <c r="FM116" s="15" t="str">
        <f>IF(AND(EQ116="EQL",OR(BA116=4,BA116=5)),"IEQL",IF(AND(EQ116="EQH",OR(BA116=1,BA116=2)),"IEQH",""))</f>
        <v/>
      </c>
      <c r="FN116" s="15" t="str">
        <f>IF(OR(AND(DJ116="LL",AP116=5),AND(DJ116="HH",AP116=2)),F116,"")</f>
        <v/>
      </c>
      <c r="FO116" s="15" t="str">
        <f>IF(FN116&lt;&gt;"",F115,"")</f>
        <v/>
      </c>
    </row>
    <row r="117" spans="1:171" s="15" customFormat="1" x14ac:dyDescent="0.55000000000000004">
      <c r="A117" s="15">
        <v>1776931206</v>
      </c>
      <c r="B117" s="15" t="s">
        <v>16</v>
      </c>
      <c r="C117" s="15" t="s">
        <v>17</v>
      </c>
      <c r="D117" s="15">
        <v>4718.21</v>
      </c>
      <c r="E117" s="15" t="s">
        <v>20</v>
      </c>
      <c r="F117" s="15">
        <v>4724.8900000000003</v>
      </c>
      <c r="G117" s="15">
        <f t="shared" si="330"/>
        <v>4753.33</v>
      </c>
      <c r="H117" s="15">
        <f t="shared" si="340"/>
        <v>4749.34</v>
      </c>
      <c r="I117" s="15">
        <f t="shared" si="350"/>
        <v>4772.1499999999996</v>
      </c>
      <c r="J117" s="15">
        <f t="shared" si="360"/>
        <v>4797.91</v>
      </c>
      <c r="K117" s="15">
        <f t="shared" si="370"/>
        <v>4833.25</v>
      </c>
      <c r="L117" s="15">
        <f t="shared" si="380"/>
        <v>4827.74</v>
      </c>
      <c r="M117" s="15">
        <f t="shared" si="390"/>
        <v>4805.79</v>
      </c>
      <c r="N117" s="15">
        <f t="shared" si="400"/>
        <v>4814.28</v>
      </c>
      <c r="O117" s="15">
        <f t="shared" si="410"/>
        <v>4889.21</v>
      </c>
      <c r="P117" s="15">
        <f t="shared" si="310"/>
        <v>4805.97</v>
      </c>
      <c r="Q117" s="15">
        <f t="shared" si="320"/>
        <v>4801.12</v>
      </c>
      <c r="R117" s="15">
        <v>31.83</v>
      </c>
      <c r="S117" s="15">
        <f t="shared" si="331"/>
        <v>58.99</v>
      </c>
      <c r="T117" s="15">
        <f t="shared" si="341"/>
        <v>25.31</v>
      </c>
      <c r="U117" s="15">
        <f t="shared" si="351"/>
        <v>103.54</v>
      </c>
      <c r="V117" s="15">
        <f t="shared" si="361"/>
        <v>25.13</v>
      </c>
      <c r="W117" s="15">
        <f t="shared" si="371"/>
        <v>40.83</v>
      </c>
      <c r="X117" s="15">
        <f t="shared" si="381"/>
        <v>44.23</v>
      </c>
      <c r="Y117" s="15">
        <f t="shared" si="391"/>
        <v>25.99</v>
      </c>
      <c r="Z117" s="15">
        <f t="shared" si="401"/>
        <v>77.319999999999993</v>
      </c>
      <c r="AA117" s="15">
        <f t="shared" si="411"/>
        <v>110.38</v>
      </c>
      <c r="AB117" s="15">
        <f t="shared" si="311"/>
        <v>37.9</v>
      </c>
      <c r="AC117" s="15">
        <f t="shared" si="321"/>
        <v>15.02</v>
      </c>
      <c r="AD117" s="15">
        <v>0.68</v>
      </c>
      <c r="AE117" s="15">
        <f t="shared" si="332"/>
        <v>1.26</v>
      </c>
      <c r="AF117" s="15">
        <f t="shared" si="342"/>
        <v>0.54</v>
      </c>
      <c r="AG117" s="15">
        <f t="shared" si="352"/>
        <v>2.2200000000000002</v>
      </c>
      <c r="AH117" s="15">
        <f t="shared" si="362"/>
        <v>0.53</v>
      </c>
      <c r="AI117" s="15">
        <f t="shared" si="372"/>
        <v>0.85</v>
      </c>
      <c r="AJ117" s="15">
        <f t="shared" si="382"/>
        <v>0.92</v>
      </c>
      <c r="AK117" s="15">
        <f t="shared" si="392"/>
        <v>0.54</v>
      </c>
      <c r="AL117" s="15">
        <f t="shared" si="402"/>
        <v>1.63</v>
      </c>
      <c r="AM117" s="15">
        <f t="shared" si="412"/>
        <v>2.31</v>
      </c>
      <c r="AN117" s="15">
        <f t="shared" si="312"/>
        <v>0.79</v>
      </c>
      <c r="AO117" s="15">
        <f t="shared" si="322"/>
        <v>0.31</v>
      </c>
      <c r="AP117" s="15">
        <v>0</v>
      </c>
      <c r="AQ117" s="15">
        <f t="shared" si="333"/>
        <v>0</v>
      </c>
      <c r="AR117" s="15">
        <f t="shared" si="343"/>
        <v>0</v>
      </c>
      <c r="AS117" s="15">
        <f t="shared" si="353"/>
        <v>1</v>
      </c>
      <c r="AT117" s="15">
        <f t="shared" si="363"/>
        <v>0</v>
      </c>
      <c r="AU117" s="15">
        <f t="shared" si="373"/>
        <v>0</v>
      </c>
      <c r="AV117" s="15">
        <f t="shared" si="383"/>
        <v>0</v>
      </c>
      <c r="AW117" s="15">
        <f t="shared" si="393"/>
        <v>0</v>
      </c>
      <c r="AX117" s="15">
        <f t="shared" si="403"/>
        <v>0</v>
      </c>
      <c r="AY117" s="15">
        <f t="shared" si="413"/>
        <v>0</v>
      </c>
      <c r="AZ117" s="15">
        <f t="shared" si="313"/>
        <v>0</v>
      </c>
      <c r="BA117" s="15">
        <f t="shared" si="323"/>
        <v>0</v>
      </c>
      <c r="BB117" s="15">
        <v>10</v>
      </c>
      <c r="BC117" s="15">
        <f t="shared" si="334"/>
        <v>2</v>
      </c>
      <c r="BD117" s="15">
        <f t="shared" si="344"/>
        <v>9</v>
      </c>
      <c r="BE117" s="15">
        <f t="shared" si="354"/>
        <v>42</v>
      </c>
      <c r="BF117" s="15">
        <f t="shared" si="364"/>
        <v>19</v>
      </c>
      <c r="BG117" s="15">
        <f t="shared" si="374"/>
        <v>26</v>
      </c>
      <c r="BH117" s="15">
        <f t="shared" si="384"/>
        <v>20</v>
      </c>
      <c r="BI117" s="15">
        <f t="shared" si="394"/>
        <v>7</v>
      </c>
      <c r="BJ117" s="15">
        <f t="shared" si="404"/>
        <v>8</v>
      </c>
      <c r="BK117" s="15">
        <f t="shared" si="414"/>
        <v>21</v>
      </c>
      <c r="BL117" s="15">
        <f t="shared" si="314"/>
        <v>14</v>
      </c>
      <c r="BM117" s="15">
        <f t="shared" si="324"/>
        <v>3</v>
      </c>
      <c r="BN117" s="15">
        <v>0</v>
      </c>
      <c r="BO117" s="15">
        <f t="shared" si="335"/>
        <v>0</v>
      </c>
      <c r="BP117" s="15">
        <f t="shared" si="345"/>
        <v>0</v>
      </c>
      <c r="BQ117" s="15">
        <f t="shared" si="355"/>
        <v>1</v>
      </c>
      <c r="BR117" s="15">
        <f t="shared" si="365"/>
        <v>0</v>
      </c>
      <c r="BS117" s="15">
        <f t="shared" si="375"/>
        <v>0</v>
      </c>
      <c r="BT117" s="15">
        <f t="shared" si="385"/>
        <v>0</v>
      </c>
      <c r="BU117" s="15">
        <f t="shared" si="395"/>
        <v>0</v>
      </c>
      <c r="BV117" s="15">
        <f t="shared" si="405"/>
        <v>0</v>
      </c>
      <c r="BW117" s="15">
        <f t="shared" si="415"/>
        <v>0</v>
      </c>
      <c r="BX117" s="15">
        <f t="shared" si="315"/>
        <v>0</v>
      </c>
      <c r="BY117" s="15">
        <f t="shared" si="325"/>
        <v>0</v>
      </c>
      <c r="BZ117" s="15">
        <v>3.1829999999999998</v>
      </c>
      <c r="CA117" s="15">
        <f t="shared" si="336"/>
        <v>29.495000000000001</v>
      </c>
      <c r="CB117" s="15">
        <f t="shared" si="346"/>
        <v>2.8122199999999999</v>
      </c>
      <c r="CC117" s="15">
        <f t="shared" si="356"/>
        <v>2.4652400000000001</v>
      </c>
      <c r="CD117" s="15">
        <f t="shared" si="366"/>
        <v>1.32263</v>
      </c>
      <c r="CE117" s="15">
        <f t="shared" si="376"/>
        <v>1.5703800000000001</v>
      </c>
      <c r="CF117" s="15">
        <f t="shared" si="386"/>
        <v>2.2115</v>
      </c>
      <c r="CG117" s="15">
        <f t="shared" si="396"/>
        <v>3.71286</v>
      </c>
      <c r="CH117" s="15">
        <f t="shared" si="406"/>
        <v>9.6649999999999991</v>
      </c>
      <c r="CI117" s="15">
        <f t="shared" si="416"/>
        <v>5.2561900000000001</v>
      </c>
      <c r="CJ117" s="15">
        <f t="shared" si="316"/>
        <v>2.7071399999999999</v>
      </c>
      <c r="CK117" s="15">
        <f t="shared" si="326"/>
        <v>5.0066699999999997</v>
      </c>
      <c r="CL117" s="15">
        <v>0</v>
      </c>
      <c r="CM117" s="15">
        <f t="shared" si="337"/>
        <v>2</v>
      </c>
      <c r="CN117" s="15">
        <f t="shared" si="347"/>
        <v>0</v>
      </c>
      <c r="CO117" s="15">
        <f t="shared" si="357"/>
        <v>0</v>
      </c>
      <c r="CP117" s="15">
        <f t="shared" si="367"/>
        <v>0</v>
      </c>
      <c r="CQ117" s="15">
        <f t="shared" si="377"/>
        <v>0</v>
      </c>
      <c r="CR117" s="15">
        <f t="shared" si="387"/>
        <v>0</v>
      </c>
      <c r="CS117" s="15">
        <f t="shared" si="397"/>
        <v>0</v>
      </c>
      <c r="CT117" s="15">
        <f t="shared" si="407"/>
        <v>1</v>
      </c>
      <c r="CU117" s="15">
        <f t="shared" si="417"/>
        <v>0</v>
      </c>
      <c r="CV117" s="15">
        <f t="shared" si="317"/>
        <v>0</v>
      </c>
      <c r="CW117" s="15">
        <f t="shared" si="327"/>
        <v>0</v>
      </c>
      <c r="CX117" s="15">
        <v>72.558899999999994</v>
      </c>
      <c r="CY117" s="15">
        <f t="shared" si="338"/>
        <v>88.058199999999999</v>
      </c>
      <c r="CZ117" s="15">
        <f t="shared" si="348"/>
        <v>70.4251</v>
      </c>
      <c r="DA117" s="15">
        <f t="shared" si="358"/>
        <v>67.920500000000004</v>
      </c>
      <c r="DB117" s="15">
        <f t="shared" si="368"/>
        <v>52.908200000000001</v>
      </c>
      <c r="DC117" s="15">
        <f t="shared" si="378"/>
        <v>57.511600000000001</v>
      </c>
      <c r="DD117" s="15">
        <f t="shared" si="388"/>
        <v>65.668400000000005</v>
      </c>
      <c r="DE117" s="15">
        <f t="shared" si="398"/>
        <v>74.926000000000002</v>
      </c>
      <c r="DF117" s="15">
        <f t="shared" si="408"/>
        <v>84.092799999999997</v>
      </c>
      <c r="DG117" s="15">
        <f t="shared" si="418"/>
        <v>79.228099999999998</v>
      </c>
      <c r="DH117" s="15">
        <f t="shared" si="318"/>
        <v>69.726100000000002</v>
      </c>
      <c r="DI117" s="15">
        <f t="shared" si="328"/>
        <v>78.704700000000003</v>
      </c>
      <c r="DJ117" s="15" t="s">
        <v>21</v>
      </c>
      <c r="DK117" s="15" t="str">
        <f t="shared" si="339"/>
        <v>HH</v>
      </c>
      <c r="DL117" s="15" t="str">
        <f t="shared" si="349"/>
        <v>LH</v>
      </c>
      <c r="DM117" s="15" t="str">
        <f t="shared" si="359"/>
        <v>LH</v>
      </c>
      <c r="DN117" s="15" t="str">
        <f t="shared" si="369"/>
        <v>LH</v>
      </c>
      <c r="DO117" s="15" t="str">
        <f t="shared" si="379"/>
        <v>HH</v>
      </c>
      <c r="DP117" s="15" t="str">
        <f t="shared" si="389"/>
        <v>HH</v>
      </c>
      <c r="DQ117" s="15" t="str">
        <f t="shared" si="399"/>
        <v>LH</v>
      </c>
      <c r="DR117" s="15" t="str">
        <f t="shared" si="409"/>
        <v>LH</v>
      </c>
      <c r="DS117" s="15" t="str">
        <f t="shared" si="419"/>
        <v>HH</v>
      </c>
      <c r="DT117" s="15" t="str">
        <f t="shared" si="319"/>
        <v>HH</v>
      </c>
      <c r="DU117" s="15" t="str">
        <f t="shared" si="329"/>
        <v>HH</v>
      </c>
      <c r="DV117" s="15">
        <f>IFERROR((G117-$F117)/$F117*100,"")</f>
        <v>0.60191877482861189</v>
      </c>
      <c r="DW117" s="15">
        <f>IFERROR((H117-$F117)/$F117*100,"")</f>
        <v>0.51747236443599365</v>
      </c>
      <c r="DX117" s="15">
        <f>IFERROR((I117-$F117)/$F117*100,"")</f>
        <v>1.000234926104085</v>
      </c>
      <c r="DY117" s="15">
        <f>IFERROR((J117-$F117)/$F117*100,"")</f>
        <v>1.5454328037266376</v>
      </c>
      <c r="DZ117" s="15">
        <f>IFERROR((K117-$F117)/$F117*100,"")</f>
        <v>2.2933867243470147</v>
      </c>
      <c r="EA117" s="15">
        <f>IFERROR((L117-$F117)/$F117*100,"")</f>
        <v>2.1767702528524357</v>
      </c>
      <c r="EB117" s="15">
        <f>IFERROR((M117-$F117)/$F117*100,"")</f>
        <v>1.7122091731235995</v>
      </c>
      <c r="EC117" s="15">
        <f>IFERROR((N117-$F117)/$F117*100,"")</f>
        <v>1.8918958959891006</v>
      </c>
      <c r="ED117" s="15">
        <f>IFERROR((O117-$F117)/$F117*100,"")</f>
        <v>3.4777529212320224</v>
      </c>
      <c r="EE117" s="15">
        <f>IFERROR((P117-$F117)/$F117*100,"")</f>
        <v>1.7160187856225209</v>
      </c>
      <c r="EF117" s="15">
        <f>IFERROR((Q117-$F117)/$F117*100,"")</f>
        <v>1.6133708932906281</v>
      </c>
      <c r="EG117" s="15" t="str">
        <f>IF(DV117="","",IF(AND(ABS(DV117)&lt;=0.25,$E117="Bottom",DK117="LL"),"EQL",IF(AND(ABS(DV117)&lt;=0.25,$E117="Peak",DK117="HH"),"EQH","")))</f>
        <v/>
      </c>
      <c r="EH117" s="15" t="str">
        <f>IF(DW117="","",IF(AND(ABS(DW117)&lt;=0.25,$E117="Bottom",DL117="LL"),"EQL",IF(AND(ABS(DW117)&lt;=0.25,$E117="Peak",DL117="HH"),"EQH","")))</f>
        <v/>
      </c>
      <c r="EI117" s="15" t="str">
        <f>IF(DX117="","",IF(AND(ABS(DX117)&lt;=0.25,$E117="Bottom",DM117="LL"),"EQL",IF(AND(ABS(DX117)&lt;=0.25,$E117="Peak",DM117="HH"),"EQH","")))</f>
        <v/>
      </c>
      <c r="EJ117" s="15" t="str">
        <f>IF(DY117="","",IF(AND(ABS(DY117)&lt;=0.25,$E117="Bottom",DN117="LL"),"EQL",IF(AND(ABS(DY117)&lt;=0.25,$E117="Peak",DN117="HH"),"EQH","")))</f>
        <v/>
      </c>
      <c r="EK117" s="15" t="str">
        <f>IF(DZ117="","",IF(AND(ABS(DZ117)&lt;=0.25,$E117="Bottom",DO117="LL"),"EQL",IF(AND(ABS(DZ117)&lt;=0.25,$E117="Peak",DO117="HH"),"EQH","")))</f>
        <v/>
      </c>
      <c r="EL117" s="15" t="str">
        <f>IF(EA117="","",IF(AND(ABS(EA117)&lt;=0.25,$E117="Bottom",DP117="LL"),"EQL",IF(AND(ABS(EA117)&lt;=0.25,$E117="Peak",DP117="HH"),"EQH","")))</f>
        <v/>
      </c>
      <c r="EM117" s="15" t="str">
        <f>IF(EB117="","",IF(AND(ABS(EB117)&lt;=0.25,$E117="Bottom",DQ117="LL"),"EQL",IF(AND(ABS(EB117)&lt;=0.25,$E117="Peak",DQ117="HH"),"EQH","")))</f>
        <v/>
      </c>
      <c r="EN117" s="15" t="str">
        <f>IF(EC117="","",IF(AND(ABS(EC117)&lt;=0.25,$E117="Bottom",DR117="LL"),"EQL",IF(AND(ABS(EC117)&lt;=0.25,$E117="Peak",DR117="HH"),"EQH","")))</f>
        <v/>
      </c>
      <c r="EO117" s="15" t="str">
        <f>IF(ED117="","",IF(AND(ABS(ED117)&lt;=0.25,$E117="Bottom",DS117="LL"),"EQL",IF(AND(ABS(ED117)&lt;=0.25,$E117="Peak",DS117="HH"),"EQH","")))</f>
        <v/>
      </c>
      <c r="EP117" s="15" t="str">
        <f>IF(EE117="","",IF(AND(ABS(EE117)&lt;=0.25,$E117="Bottom",DT117="LL"),"EQL",IF(AND(ABS(EE117)&lt;=0.25,$E117="Peak",DT117="HH"),"EQH","")))</f>
        <v/>
      </c>
      <c r="EQ117" s="15" t="str">
        <f>IF(EF117="","",IF(AND(ABS(EF117)&lt;=0.25,$E117="Bottom",DU117="LL"),"EQL",IF(AND(ABS(EF117)&lt;=0.25,$E117="Peak",DU117="HH"),"EQH","")))</f>
        <v/>
      </c>
      <c r="ER117" s="15" t="str">
        <f>IF(OR(EG117="EQL",EG117="EQH"),F117,"")</f>
        <v/>
      </c>
      <c r="ES117" s="15" t="str">
        <f>IF(OR(EH117="EQL",EH117="EQH"),G117,"")</f>
        <v/>
      </c>
      <c r="ET117" s="15" t="str">
        <f>IF(OR(EI117="EQL",EI117="EQH"),H117,"")</f>
        <v/>
      </c>
      <c r="EU117" s="15" t="str">
        <f>IF(OR(EJ117="EQL",EJ117="EQH"),I117,"")</f>
        <v/>
      </c>
      <c r="EV117" s="15" t="str">
        <f>IF(OR(EK117="EQL",EK117="EQH"),J117,"")</f>
        <v/>
      </c>
      <c r="EW117" s="15" t="str">
        <f>IF(OR(EL117="EQL",EL117="EQH"),K117,"")</f>
        <v/>
      </c>
      <c r="EX117" s="15" t="str">
        <f>IF(OR(EM117="EQL",EM117="EQH"),L117,"")</f>
        <v/>
      </c>
      <c r="EY117" s="15" t="str">
        <f>IF(OR(EN117="EQL",EN117="EQH"),M117,"")</f>
        <v/>
      </c>
      <c r="EZ117" s="15" t="str">
        <f>IF(OR(EO117="EQL",EO117="EQH"),N117,"")</f>
        <v/>
      </c>
      <c r="FA117" s="15" t="str">
        <f>IF(OR(EP117="EQL",EP117="EQH"),O117,"")</f>
        <v/>
      </c>
      <c r="FB117" s="15" t="str">
        <f>IF(OR(EQ117="EQL",EQ117="EQH"),P117,"")</f>
        <v/>
      </c>
      <c r="FC117" s="15" t="str">
        <f>IF(AND(EG117="EQL",OR(AQ117=4,AQ117=5)),"IEQL",IF(AND(EG117="EQH",OR(AQ117=1,AQ117=2)),"IEQH",""))</f>
        <v/>
      </c>
      <c r="FD117" s="15" t="str">
        <f>IF(AND(EH117="EQL",OR(AR117=4,AR117=5)),"IEQL",IF(AND(EH117="EQH",OR(AR117=1,AR117=2)),"IEQH",""))</f>
        <v/>
      </c>
      <c r="FE117" s="15" t="str">
        <f>IF(AND(EI117="EQL",OR(AS117=4,AS117=5)),"IEQL",IF(AND(EI117="EQH",OR(AS117=1,AS117=2)),"IEQH",""))</f>
        <v/>
      </c>
      <c r="FF117" s="15" t="str">
        <f>IF(AND(EJ117="EQL",OR(AT117=4,AT117=5)),"IEQL",IF(AND(EJ117="EQH",OR(AT117=1,AT117=2)),"IEQH",""))</f>
        <v/>
      </c>
      <c r="FG117" s="15" t="str">
        <f>IF(AND(EK117="EQL",OR(AU117=4,AU117=5)),"IEQL",IF(AND(EK117="EQH",OR(AU117=1,AU117=2)),"IEQH",""))</f>
        <v/>
      </c>
      <c r="FH117" s="15" t="str">
        <f>IF(AND(EL117="EQL",OR(AV117=4,AV117=5)),"IEQL",IF(AND(EL117="EQH",OR(AV117=1,AV117=2)),"IEQH",""))</f>
        <v/>
      </c>
      <c r="FI117" s="15" t="str">
        <f>IF(AND(EM117="EQL",OR(AW117=4,AW117=5)),"IEQL",IF(AND(EM117="EQH",OR(AW117=1,AW117=2)),"IEQH",""))</f>
        <v/>
      </c>
      <c r="FJ117" s="15" t="str">
        <f>IF(AND(EN117="EQL",OR(AX117=4,AX117=5)),"IEQL",IF(AND(EN117="EQH",OR(AX117=1,AX117=2)),"IEQH",""))</f>
        <v/>
      </c>
      <c r="FK117" s="15" t="str">
        <f>IF(AND(EO117="EQL",OR(AY117=4,AY117=5)),"IEQL",IF(AND(EO117="EQH",OR(AY117=1,AY117=2)),"IEQH",""))</f>
        <v/>
      </c>
      <c r="FL117" s="15" t="str">
        <f>IF(AND(EP117="EQL",OR(AZ117=4,AZ117=5)),"IEQL",IF(AND(EP117="EQH",OR(AZ117=1,AZ117=2)),"IEQH",""))</f>
        <v/>
      </c>
      <c r="FM117" s="15" t="str">
        <f>IF(AND(EQ117="EQL",OR(BA117=4,BA117=5)),"IEQL",IF(AND(EQ117="EQH",OR(BA117=1,BA117=2)),"IEQH",""))</f>
        <v/>
      </c>
      <c r="FN117" s="15" t="str">
        <f>IF(OR(AND(DJ117="LL",AP117=5),AND(DJ117="HH",AP117=2)),F117,"")</f>
        <v/>
      </c>
      <c r="FO117" s="15" t="str">
        <f>IF(FN117&lt;&gt;"",F116,"")</f>
        <v/>
      </c>
    </row>
    <row r="118" spans="1:171" s="15" customFormat="1" x14ac:dyDescent="0.55000000000000004">
      <c r="A118" s="15">
        <v>1776940206</v>
      </c>
      <c r="B118" s="15" t="s">
        <v>16</v>
      </c>
      <c r="C118" s="15" t="s">
        <v>17</v>
      </c>
      <c r="D118" s="15">
        <v>4690.7700000000004</v>
      </c>
      <c r="E118" s="15" t="s">
        <v>18</v>
      </c>
      <c r="F118" s="15">
        <v>4684.26</v>
      </c>
      <c r="G118" s="15">
        <f t="shared" si="330"/>
        <v>4693.0600000000004</v>
      </c>
      <c r="H118" s="15">
        <f t="shared" si="340"/>
        <v>4694.34</v>
      </c>
      <c r="I118" s="15">
        <f t="shared" si="350"/>
        <v>4724.03</v>
      </c>
      <c r="J118" s="15">
        <f t="shared" si="360"/>
        <v>4668.6099999999997</v>
      </c>
      <c r="K118" s="15">
        <f t="shared" si="370"/>
        <v>4772.78</v>
      </c>
      <c r="L118" s="15">
        <f t="shared" si="380"/>
        <v>4792.42</v>
      </c>
      <c r="M118" s="15">
        <f t="shared" si="390"/>
        <v>4783.51</v>
      </c>
      <c r="N118" s="15">
        <f t="shared" si="400"/>
        <v>4779.8</v>
      </c>
      <c r="O118" s="15">
        <f t="shared" si="410"/>
        <v>4736.96</v>
      </c>
      <c r="P118" s="15">
        <f t="shared" ref="P118:P149" si="420">F98</f>
        <v>4778.83</v>
      </c>
      <c r="Q118" s="15">
        <f t="shared" si="320"/>
        <v>4768.07</v>
      </c>
      <c r="R118" s="15">
        <v>-40.630000000000003</v>
      </c>
      <c r="S118" s="15">
        <f t="shared" si="331"/>
        <v>-60.27</v>
      </c>
      <c r="T118" s="15">
        <f t="shared" si="341"/>
        <v>-55</v>
      </c>
      <c r="U118" s="15">
        <f t="shared" si="351"/>
        <v>-48.12</v>
      </c>
      <c r="V118" s="15">
        <f t="shared" si="361"/>
        <v>-129.30000000000001</v>
      </c>
      <c r="W118" s="15">
        <f t="shared" si="371"/>
        <v>-60.47</v>
      </c>
      <c r="X118" s="15">
        <f t="shared" si="381"/>
        <v>-35.32</v>
      </c>
      <c r="Y118" s="15">
        <f t="shared" si="391"/>
        <v>-22.28</v>
      </c>
      <c r="Z118" s="15">
        <f t="shared" si="401"/>
        <v>-34.479999999999997</v>
      </c>
      <c r="AA118" s="15">
        <f t="shared" si="411"/>
        <v>-152.25</v>
      </c>
      <c r="AB118" s="15">
        <f t="shared" ref="AB118:AB149" si="421">R98</f>
        <v>-27.14</v>
      </c>
      <c r="AC118" s="15">
        <f t="shared" si="321"/>
        <v>-33.049999999999997</v>
      </c>
      <c r="AD118" s="15">
        <v>-0.86</v>
      </c>
      <c r="AE118" s="15">
        <f t="shared" si="332"/>
        <v>-1.27</v>
      </c>
      <c r="AF118" s="15">
        <f t="shared" si="342"/>
        <v>-1.1599999999999999</v>
      </c>
      <c r="AG118" s="15">
        <f t="shared" si="352"/>
        <v>-1.01</v>
      </c>
      <c r="AH118" s="15">
        <f t="shared" si="362"/>
        <v>-2.69</v>
      </c>
      <c r="AI118" s="15">
        <f t="shared" si="372"/>
        <v>-1.25</v>
      </c>
      <c r="AJ118" s="15">
        <f t="shared" si="382"/>
        <v>-0.73</v>
      </c>
      <c r="AK118" s="15">
        <f t="shared" si="392"/>
        <v>-0.46</v>
      </c>
      <c r="AL118" s="15">
        <f t="shared" si="402"/>
        <v>-0.72</v>
      </c>
      <c r="AM118" s="15">
        <f t="shared" si="412"/>
        <v>-3.11</v>
      </c>
      <c r="AN118" s="15">
        <f t="shared" ref="AN118:AN149" si="422">AD98</f>
        <v>-0.56000000000000005</v>
      </c>
      <c r="AO118" s="15">
        <f t="shared" si="322"/>
        <v>-0.69</v>
      </c>
      <c r="AP118" s="15">
        <v>3</v>
      </c>
      <c r="AQ118" s="15">
        <f t="shared" si="333"/>
        <v>3</v>
      </c>
      <c r="AR118" s="15">
        <f t="shared" si="343"/>
        <v>3</v>
      </c>
      <c r="AS118" s="15">
        <f t="shared" si="353"/>
        <v>3</v>
      </c>
      <c r="AT118" s="15">
        <f t="shared" si="363"/>
        <v>5</v>
      </c>
      <c r="AU118" s="15">
        <f t="shared" si="373"/>
        <v>3</v>
      </c>
      <c r="AV118" s="15">
        <f t="shared" si="383"/>
        <v>3</v>
      </c>
      <c r="AW118" s="15">
        <f t="shared" si="393"/>
        <v>3</v>
      </c>
      <c r="AX118" s="15">
        <f t="shared" si="403"/>
        <v>3</v>
      </c>
      <c r="AY118" s="15">
        <f t="shared" si="413"/>
        <v>5</v>
      </c>
      <c r="AZ118" s="15">
        <f t="shared" ref="AZ118:AZ149" si="423">AP98</f>
        <v>3</v>
      </c>
      <c r="BA118" s="15">
        <f t="shared" si="323"/>
        <v>3</v>
      </c>
      <c r="BB118" s="15">
        <v>10</v>
      </c>
      <c r="BC118" s="15">
        <f t="shared" si="334"/>
        <v>19</v>
      </c>
      <c r="BD118" s="15">
        <f t="shared" si="344"/>
        <v>18</v>
      </c>
      <c r="BE118" s="15">
        <f t="shared" si="354"/>
        <v>38</v>
      </c>
      <c r="BF118" s="15">
        <f t="shared" si="364"/>
        <v>31</v>
      </c>
      <c r="BG118" s="15">
        <f t="shared" si="374"/>
        <v>35</v>
      </c>
      <c r="BH118" s="15">
        <f t="shared" si="384"/>
        <v>1</v>
      </c>
      <c r="BI118" s="15">
        <f t="shared" si="394"/>
        <v>9</v>
      </c>
      <c r="BJ118" s="15">
        <f t="shared" si="404"/>
        <v>15</v>
      </c>
      <c r="BK118" s="15">
        <f t="shared" si="414"/>
        <v>39</v>
      </c>
      <c r="BL118" s="15">
        <f t="shared" ref="BL118:BL149" si="424">BB98</f>
        <v>11</v>
      </c>
      <c r="BM118" s="15">
        <f t="shared" si="324"/>
        <v>3</v>
      </c>
      <c r="BN118" s="15">
        <v>3</v>
      </c>
      <c r="BO118" s="15">
        <f t="shared" si="335"/>
        <v>3</v>
      </c>
      <c r="BP118" s="15">
        <f t="shared" si="345"/>
        <v>3</v>
      </c>
      <c r="BQ118" s="15">
        <f t="shared" si="355"/>
        <v>4</v>
      </c>
      <c r="BR118" s="15">
        <f t="shared" si="365"/>
        <v>3</v>
      </c>
      <c r="BS118" s="15">
        <f t="shared" si="375"/>
        <v>3</v>
      </c>
      <c r="BT118" s="15">
        <f t="shared" si="385"/>
        <v>3</v>
      </c>
      <c r="BU118" s="15">
        <f t="shared" si="395"/>
        <v>3</v>
      </c>
      <c r="BV118" s="15">
        <f t="shared" si="405"/>
        <v>3</v>
      </c>
      <c r="BW118" s="15">
        <f t="shared" si="415"/>
        <v>4</v>
      </c>
      <c r="BX118" s="15">
        <f t="shared" ref="BX118:BX149" si="425">BN98</f>
        <v>3</v>
      </c>
      <c r="BY118" s="15">
        <f t="shared" si="325"/>
        <v>3</v>
      </c>
      <c r="BZ118" s="15">
        <v>-4.0629999999999997</v>
      </c>
      <c r="CA118" s="15">
        <f t="shared" si="336"/>
        <v>-3.17211</v>
      </c>
      <c r="CB118" s="15">
        <f t="shared" si="346"/>
        <v>-3.0555599999999998</v>
      </c>
      <c r="CC118" s="15">
        <f t="shared" si="356"/>
        <v>-1.2663199999999999</v>
      </c>
      <c r="CD118" s="15">
        <f t="shared" si="366"/>
        <v>-4.1709699999999996</v>
      </c>
      <c r="CE118" s="15">
        <f t="shared" si="376"/>
        <v>-1.7277100000000001</v>
      </c>
      <c r="CF118" s="15">
        <f t="shared" si="386"/>
        <v>-35.32</v>
      </c>
      <c r="CG118" s="15">
        <f t="shared" si="396"/>
        <v>-2.4755600000000002</v>
      </c>
      <c r="CH118" s="15">
        <f t="shared" si="406"/>
        <v>-2.29867</v>
      </c>
      <c r="CI118" s="15">
        <f t="shared" si="416"/>
        <v>-3.9038499999999998</v>
      </c>
      <c r="CJ118" s="15">
        <f t="shared" ref="CJ118:CJ149" si="426">BZ98</f>
        <v>-2.4672700000000001</v>
      </c>
      <c r="CK118" s="15">
        <f t="shared" si="326"/>
        <v>-11.01667</v>
      </c>
      <c r="CL118" s="15">
        <v>3</v>
      </c>
      <c r="CM118" s="15">
        <f t="shared" si="337"/>
        <v>3</v>
      </c>
      <c r="CN118" s="15">
        <f t="shared" si="347"/>
        <v>3</v>
      </c>
      <c r="CO118" s="15">
        <f t="shared" si="357"/>
        <v>3</v>
      </c>
      <c r="CP118" s="15">
        <f t="shared" si="367"/>
        <v>3</v>
      </c>
      <c r="CQ118" s="15">
        <f t="shared" si="377"/>
        <v>3</v>
      </c>
      <c r="CR118" s="15">
        <f t="shared" si="387"/>
        <v>5</v>
      </c>
      <c r="CS118" s="15">
        <f t="shared" si="397"/>
        <v>3</v>
      </c>
      <c r="CT118" s="15">
        <f t="shared" si="407"/>
        <v>3</v>
      </c>
      <c r="CU118" s="15">
        <f t="shared" si="417"/>
        <v>3</v>
      </c>
      <c r="CV118" s="15">
        <f t="shared" ref="CV118:CV149" si="427">CL98</f>
        <v>3</v>
      </c>
      <c r="CW118" s="15">
        <f t="shared" si="327"/>
        <v>5</v>
      </c>
      <c r="CX118" s="15">
        <v>-76.173000000000002</v>
      </c>
      <c r="CY118" s="15">
        <f t="shared" si="338"/>
        <v>-72.502600000000001</v>
      </c>
      <c r="CZ118" s="15">
        <f t="shared" si="348"/>
        <v>-71.878100000000003</v>
      </c>
      <c r="DA118" s="15">
        <f t="shared" si="358"/>
        <v>-51.702100000000002</v>
      </c>
      <c r="DB118" s="15">
        <f t="shared" si="368"/>
        <v>-76.517700000000005</v>
      </c>
      <c r="DC118" s="15">
        <f t="shared" si="378"/>
        <v>-59.937800000000003</v>
      </c>
      <c r="DD118" s="15">
        <f t="shared" si="388"/>
        <v>-88.378200000000007</v>
      </c>
      <c r="DE118" s="15">
        <f t="shared" si="398"/>
        <v>-68.003799999999998</v>
      </c>
      <c r="DF118" s="15">
        <f t="shared" si="408"/>
        <v>-66.4893</v>
      </c>
      <c r="DG118" s="15">
        <f t="shared" si="418"/>
        <v>-75.632199999999997</v>
      </c>
      <c r="DH118" s="15">
        <f t="shared" ref="DH118:DH149" si="428">CX98</f>
        <v>-67.936999999999998</v>
      </c>
      <c r="DI118" s="15">
        <f t="shared" si="328"/>
        <v>-84.813400000000001</v>
      </c>
      <c r="DJ118" s="15" t="s">
        <v>19</v>
      </c>
      <c r="DK118" s="15" t="str">
        <f t="shared" si="339"/>
        <v>LL</v>
      </c>
      <c r="DL118" s="15" t="str">
        <f t="shared" si="349"/>
        <v>LL</v>
      </c>
      <c r="DM118" s="15" t="str">
        <f t="shared" si="359"/>
        <v>HL</v>
      </c>
      <c r="DN118" s="15" t="str">
        <f t="shared" si="369"/>
        <v>LL</v>
      </c>
      <c r="DO118" s="15" t="str">
        <f t="shared" si="379"/>
        <v>LL</v>
      </c>
      <c r="DP118" s="15" t="str">
        <f t="shared" si="389"/>
        <v>HL</v>
      </c>
      <c r="DQ118" s="15" t="str">
        <f t="shared" si="399"/>
        <v>HL</v>
      </c>
      <c r="DR118" s="15" t="str">
        <f t="shared" si="409"/>
        <v>HL</v>
      </c>
      <c r="DS118" s="15" t="str">
        <f t="shared" si="419"/>
        <v>LL</v>
      </c>
      <c r="DT118" s="15" t="str">
        <f t="shared" ref="DT118:DT149" si="429">DJ98</f>
        <v>HL</v>
      </c>
      <c r="DU118" s="15" t="str">
        <f t="shared" si="329"/>
        <v>LL</v>
      </c>
      <c r="DV118" s="15">
        <f>IFERROR((G118-$F118)/$F118*100,"")</f>
        <v>0.18786318436637126</v>
      </c>
      <c r="DW118" s="15">
        <f>IFERROR((H118-$F118)/$F118*100,"")</f>
        <v>0.21518873845601921</v>
      </c>
      <c r="DX118" s="15">
        <f>IFERROR((I118-$F118)/$F118*100,"")</f>
        <v>0.84901350480117521</v>
      </c>
      <c r="DY118" s="15">
        <f>IFERROR((J118-$F118)/$F118*100,"")</f>
        <v>-0.33409759492428998</v>
      </c>
      <c r="DZ118" s="15">
        <f>IFERROR((K118-$F118)/$F118*100,"")</f>
        <v>1.8897328500125852</v>
      </c>
      <c r="EA118" s="15">
        <f>IFERROR((L118-$F118)/$F118*100,"")</f>
        <v>2.3090093205757123</v>
      </c>
      <c r="EB118" s="15">
        <f>IFERROR((M118-$F118)/$F118*100,"")</f>
        <v>2.1187978464047683</v>
      </c>
      <c r="EC118" s="15">
        <f>IFERROR((N118-$F118)/$F118*100,"")</f>
        <v>2.0395964357230376</v>
      </c>
      <c r="ED118" s="15">
        <f>IFERROR((O118-$F118)/$F118*100,"")</f>
        <v>1.1250442972849459</v>
      </c>
      <c r="EE118" s="15">
        <f>IFERROR((P118-$F118)/$F118*100,"")</f>
        <v>2.0188887892644667</v>
      </c>
      <c r="EF118" s="15">
        <f>IFERROR((Q118-$F118)/$F118*100,"")</f>
        <v>1.7891833501983128</v>
      </c>
      <c r="EG118" s="15" t="str">
        <f>IF(DV118="","",IF(AND(ABS(DV118)&lt;=0.25,$E118="Bottom",DK118="LL"),"EQL",IF(AND(ABS(DV118)&lt;=0.25,$E118="Peak",DK118="HH"),"EQH","")))</f>
        <v>EQL</v>
      </c>
      <c r="EH118" s="15" t="str">
        <f>IF(DW118="","",IF(AND(ABS(DW118)&lt;=0.25,$E118="Bottom",DL118="LL"),"EQL",IF(AND(ABS(DW118)&lt;=0.25,$E118="Peak",DL118="HH"),"EQH","")))</f>
        <v>EQL</v>
      </c>
      <c r="EI118" s="15" t="str">
        <f>IF(DX118="","",IF(AND(ABS(DX118)&lt;=0.25,$E118="Bottom",DM118="LL"),"EQL",IF(AND(ABS(DX118)&lt;=0.25,$E118="Peak",DM118="HH"),"EQH","")))</f>
        <v/>
      </c>
      <c r="EJ118" s="15" t="str">
        <f>IF(DY118="","",IF(AND(ABS(DY118)&lt;=0.25,$E118="Bottom",DN118="LL"),"EQL",IF(AND(ABS(DY118)&lt;=0.25,$E118="Peak",DN118="HH"),"EQH","")))</f>
        <v/>
      </c>
      <c r="EK118" s="15" t="str">
        <f>IF(DZ118="","",IF(AND(ABS(DZ118)&lt;=0.25,$E118="Bottom",DO118="LL"),"EQL",IF(AND(ABS(DZ118)&lt;=0.25,$E118="Peak",DO118="HH"),"EQH","")))</f>
        <v/>
      </c>
      <c r="EL118" s="15" t="str">
        <f>IF(EA118="","",IF(AND(ABS(EA118)&lt;=0.25,$E118="Bottom",DP118="LL"),"EQL",IF(AND(ABS(EA118)&lt;=0.25,$E118="Peak",DP118="HH"),"EQH","")))</f>
        <v/>
      </c>
      <c r="EM118" s="15" t="str">
        <f>IF(EB118="","",IF(AND(ABS(EB118)&lt;=0.25,$E118="Bottom",DQ118="LL"),"EQL",IF(AND(ABS(EB118)&lt;=0.25,$E118="Peak",DQ118="HH"),"EQH","")))</f>
        <v/>
      </c>
      <c r="EN118" s="15" t="str">
        <f>IF(EC118="","",IF(AND(ABS(EC118)&lt;=0.25,$E118="Bottom",DR118="LL"),"EQL",IF(AND(ABS(EC118)&lt;=0.25,$E118="Peak",DR118="HH"),"EQH","")))</f>
        <v/>
      </c>
      <c r="EO118" s="15" t="str">
        <f>IF(ED118="","",IF(AND(ABS(ED118)&lt;=0.25,$E118="Bottom",DS118="LL"),"EQL",IF(AND(ABS(ED118)&lt;=0.25,$E118="Peak",DS118="HH"),"EQH","")))</f>
        <v/>
      </c>
      <c r="EP118" s="15" t="str">
        <f>IF(EE118="","",IF(AND(ABS(EE118)&lt;=0.25,$E118="Bottom",DT118="LL"),"EQL",IF(AND(ABS(EE118)&lt;=0.25,$E118="Peak",DT118="HH"),"EQH","")))</f>
        <v/>
      </c>
      <c r="EQ118" s="15" t="str">
        <f>IF(EF118="","",IF(AND(ABS(EF118)&lt;=0.25,$E118="Bottom",DU118="LL"),"EQL",IF(AND(ABS(EF118)&lt;=0.25,$E118="Peak",DU118="HH"),"EQH","")))</f>
        <v/>
      </c>
      <c r="ER118" s="15">
        <f>IF(OR(EG118="EQL",EG118="EQH"),F118,"")</f>
        <v>4684.26</v>
      </c>
      <c r="ES118" s="15">
        <f>IF(OR(EH118="EQL",EH118="EQH"),G118,"")</f>
        <v>4693.0600000000004</v>
      </c>
      <c r="ET118" s="15" t="str">
        <f>IF(OR(EI118="EQL",EI118="EQH"),H118,"")</f>
        <v/>
      </c>
      <c r="EU118" s="15" t="str">
        <f>IF(OR(EJ118="EQL",EJ118="EQH"),I118,"")</f>
        <v/>
      </c>
      <c r="EV118" s="15" t="str">
        <f>IF(OR(EK118="EQL",EK118="EQH"),J118,"")</f>
        <v/>
      </c>
      <c r="EW118" s="15" t="str">
        <f>IF(OR(EL118="EQL",EL118="EQH"),K118,"")</f>
        <v/>
      </c>
      <c r="EX118" s="15" t="str">
        <f>IF(OR(EM118="EQL",EM118="EQH"),L118,"")</f>
        <v/>
      </c>
      <c r="EY118" s="15" t="str">
        <f>IF(OR(EN118="EQL",EN118="EQH"),M118,"")</f>
        <v/>
      </c>
      <c r="EZ118" s="15" t="str">
        <f>IF(OR(EO118="EQL",EO118="EQH"),N118,"")</f>
        <v/>
      </c>
      <c r="FA118" s="15" t="str">
        <f>IF(OR(EP118="EQL",EP118="EQH"),O118,"")</f>
        <v/>
      </c>
      <c r="FB118" s="15" t="str">
        <f>IF(OR(EQ118="EQL",EQ118="EQH"),P118,"")</f>
        <v/>
      </c>
      <c r="FC118" s="15" t="str">
        <f>IF(AND(EG118="EQL",OR(AQ118=4,AQ118=5)),"IEQL",IF(AND(EG118="EQH",OR(AQ118=1,AQ118=2)),"IEQH",""))</f>
        <v/>
      </c>
      <c r="FD118" s="15" t="str">
        <f>IF(AND(EH118="EQL",OR(AR118=4,AR118=5)),"IEQL",IF(AND(EH118="EQH",OR(AR118=1,AR118=2)),"IEQH",""))</f>
        <v/>
      </c>
      <c r="FE118" s="15" t="str">
        <f>IF(AND(EI118="EQL",OR(AS118=4,AS118=5)),"IEQL",IF(AND(EI118="EQH",OR(AS118=1,AS118=2)),"IEQH",""))</f>
        <v/>
      </c>
      <c r="FF118" s="15" t="str">
        <f>IF(AND(EJ118="EQL",OR(AT118=4,AT118=5)),"IEQL",IF(AND(EJ118="EQH",OR(AT118=1,AT118=2)),"IEQH",""))</f>
        <v/>
      </c>
      <c r="FG118" s="15" t="str">
        <f>IF(AND(EK118="EQL",OR(AU118=4,AU118=5)),"IEQL",IF(AND(EK118="EQH",OR(AU118=1,AU118=2)),"IEQH",""))</f>
        <v/>
      </c>
      <c r="FH118" s="15" t="str">
        <f>IF(AND(EL118="EQL",OR(AV118=4,AV118=5)),"IEQL",IF(AND(EL118="EQH",OR(AV118=1,AV118=2)),"IEQH",""))</f>
        <v/>
      </c>
      <c r="FI118" s="15" t="str">
        <f>IF(AND(EM118="EQL",OR(AW118=4,AW118=5)),"IEQL",IF(AND(EM118="EQH",OR(AW118=1,AW118=2)),"IEQH",""))</f>
        <v/>
      </c>
      <c r="FJ118" s="15" t="str">
        <f>IF(AND(EN118="EQL",OR(AX118=4,AX118=5)),"IEQL",IF(AND(EN118="EQH",OR(AX118=1,AX118=2)),"IEQH",""))</f>
        <v/>
      </c>
      <c r="FK118" s="15" t="str">
        <f>IF(AND(EO118="EQL",OR(AY118=4,AY118=5)),"IEQL",IF(AND(EO118="EQH",OR(AY118=1,AY118=2)),"IEQH",""))</f>
        <v/>
      </c>
      <c r="FL118" s="15" t="str">
        <f>IF(AND(EP118="EQL",OR(AZ118=4,AZ118=5)),"IEQL",IF(AND(EP118="EQH",OR(AZ118=1,AZ118=2)),"IEQH",""))</f>
        <v/>
      </c>
      <c r="FM118" s="15" t="str">
        <f>IF(AND(EQ118="EQL",OR(BA118=4,BA118=5)),"IEQL",IF(AND(EQ118="EQH",OR(BA118=1,BA118=2)),"IEQH",""))</f>
        <v/>
      </c>
      <c r="FN118" s="15" t="str">
        <f>IF(OR(AND(DJ118="LL",AP118=5),AND(DJ118="HH",AP118=2)),F118,"")</f>
        <v/>
      </c>
      <c r="FO118" s="15" t="str">
        <f>IF(FN118&lt;&gt;"",F117,"")</f>
        <v/>
      </c>
    </row>
    <row r="119" spans="1:171" s="15" customFormat="1" x14ac:dyDescent="0.55000000000000004">
      <c r="A119" s="15">
        <v>1776948306</v>
      </c>
      <c r="B119" s="15" t="s">
        <v>16</v>
      </c>
      <c r="C119" s="15" t="s">
        <v>17</v>
      </c>
      <c r="D119" s="15">
        <v>4740.04</v>
      </c>
      <c r="E119" s="15" t="s">
        <v>20</v>
      </c>
      <c r="F119" s="15">
        <v>4743.22</v>
      </c>
      <c r="G119" s="15">
        <f t="shared" si="330"/>
        <v>4724.8900000000003</v>
      </c>
      <c r="H119" s="15">
        <f t="shared" si="340"/>
        <v>4753.33</v>
      </c>
      <c r="I119" s="15">
        <f t="shared" si="350"/>
        <v>4749.34</v>
      </c>
      <c r="J119" s="15">
        <f t="shared" si="360"/>
        <v>4772.1499999999996</v>
      </c>
      <c r="K119" s="15">
        <f t="shared" si="370"/>
        <v>4797.91</v>
      </c>
      <c r="L119" s="15">
        <f t="shared" si="380"/>
        <v>4833.25</v>
      </c>
      <c r="M119" s="15">
        <f t="shared" si="390"/>
        <v>4827.74</v>
      </c>
      <c r="N119" s="15">
        <f t="shared" si="400"/>
        <v>4805.79</v>
      </c>
      <c r="O119" s="15">
        <f t="shared" si="410"/>
        <v>4814.28</v>
      </c>
      <c r="P119" s="15">
        <f t="shared" si="420"/>
        <v>4889.21</v>
      </c>
      <c r="Q119" s="15">
        <f t="shared" si="320"/>
        <v>4805.97</v>
      </c>
      <c r="R119" s="15">
        <v>58.96</v>
      </c>
      <c r="S119" s="15">
        <f t="shared" si="331"/>
        <v>31.83</v>
      </c>
      <c r="T119" s="15">
        <f t="shared" si="341"/>
        <v>58.99</v>
      </c>
      <c r="U119" s="15">
        <f t="shared" si="351"/>
        <v>25.31</v>
      </c>
      <c r="V119" s="15">
        <f t="shared" si="361"/>
        <v>103.54</v>
      </c>
      <c r="W119" s="15">
        <f t="shared" si="371"/>
        <v>25.13</v>
      </c>
      <c r="X119" s="15">
        <f t="shared" si="381"/>
        <v>40.83</v>
      </c>
      <c r="Y119" s="15">
        <f t="shared" si="391"/>
        <v>44.23</v>
      </c>
      <c r="Z119" s="15">
        <f t="shared" si="401"/>
        <v>25.99</v>
      </c>
      <c r="AA119" s="15">
        <f t="shared" si="411"/>
        <v>77.319999999999993</v>
      </c>
      <c r="AB119" s="15">
        <f t="shared" si="421"/>
        <v>110.38</v>
      </c>
      <c r="AC119" s="15">
        <f t="shared" si="321"/>
        <v>37.9</v>
      </c>
      <c r="AD119" s="15">
        <v>1.26</v>
      </c>
      <c r="AE119" s="15">
        <f t="shared" si="332"/>
        <v>0.68</v>
      </c>
      <c r="AF119" s="15">
        <f t="shared" si="342"/>
        <v>1.26</v>
      </c>
      <c r="AG119" s="15">
        <f t="shared" si="352"/>
        <v>0.54</v>
      </c>
      <c r="AH119" s="15">
        <f t="shared" si="362"/>
        <v>2.2200000000000002</v>
      </c>
      <c r="AI119" s="15">
        <f t="shared" si="372"/>
        <v>0.53</v>
      </c>
      <c r="AJ119" s="15">
        <f t="shared" si="382"/>
        <v>0.85</v>
      </c>
      <c r="AK119" s="15">
        <f t="shared" si="392"/>
        <v>0.92</v>
      </c>
      <c r="AL119" s="15">
        <f t="shared" si="402"/>
        <v>0.54</v>
      </c>
      <c r="AM119" s="15">
        <f t="shared" si="412"/>
        <v>1.63</v>
      </c>
      <c r="AN119" s="15">
        <f t="shared" si="422"/>
        <v>2.31</v>
      </c>
      <c r="AO119" s="15">
        <f t="shared" si="322"/>
        <v>0.79</v>
      </c>
      <c r="AP119" s="15">
        <v>0</v>
      </c>
      <c r="AQ119" s="15">
        <f t="shared" si="333"/>
        <v>0</v>
      </c>
      <c r="AR119" s="15">
        <f t="shared" si="343"/>
        <v>0</v>
      </c>
      <c r="AS119" s="15">
        <f t="shared" si="353"/>
        <v>0</v>
      </c>
      <c r="AT119" s="15">
        <f t="shared" si="363"/>
        <v>1</v>
      </c>
      <c r="AU119" s="15">
        <f t="shared" si="373"/>
        <v>0</v>
      </c>
      <c r="AV119" s="15">
        <f t="shared" si="383"/>
        <v>0</v>
      </c>
      <c r="AW119" s="15">
        <f t="shared" si="393"/>
        <v>0</v>
      </c>
      <c r="AX119" s="15">
        <f t="shared" si="403"/>
        <v>0</v>
      </c>
      <c r="AY119" s="15">
        <f t="shared" si="413"/>
        <v>0</v>
      </c>
      <c r="AZ119" s="15">
        <f t="shared" si="423"/>
        <v>0</v>
      </c>
      <c r="BA119" s="15">
        <f t="shared" si="323"/>
        <v>0</v>
      </c>
      <c r="BB119" s="15">
        <v>9</v>
      </c>
      <c r="BC119" s="15">
        <f t="shared" si="334"/>
        <v>10</v>
      </c>
      <c r="BD119" s="15">
        <f t="shared" si="344"/>
        <v>2</v>
      </c>
      <c r="BE119" s="15">
        <f t="shared" si="354"/>
        <v>9</v>
      </c>
      <c r="BF119" s="15">
        <f t="shared" si="364"/>
        <v>42</v>
      </c>
      <c r="BG119" s="15">
        <f t="shared" si="374"/>
        <v>19</v>
      </c>
      <c r="BH119" s="15">
        <f t="shared" si="384"/>
        <v>26</v>
      </c>
      <c r="BI119" s="15">
        <f t="shared" si="394"/>
        <v>20</v>
      </c>
      <c r="BJ119" s="15">
        <f t="shared" si="404"/>
        <v>7</v>
      </c>
      <c r="BK119" s="15">
        <f t="shared" si="414"/>
        <v>8</v>
      </c>
      <c r="BL119" s="15">
        <f t="shared" si="424"/>
        <v>21</v>
      </c>
      <c r="BM119" s="15">
        <f t="shared" si="324"/>
        <v>14</v>
      </c>
      <c r="BN119" s="15">
        <v>0</v>
      </c>
      <c r="BO119" s="15">
        <f t="shared" si="335"/>
        <v>0</v>
      </c>
      <c r="BP119" s="15">
        <f t="shared" si="345"/>
        <v>0</v>
      </c>
      <c r="BQ119" s="15">
        <f t="shared" si="355"/>
        <v>0</v>
      </c>
      <c r="BR119" s="15">
        <f t="shared" si="365"/>
        <v>1</v>
      </c>
      <c r="BS119" s="15">
        <f t="shared" si="375"/>
        <v>0</v>
      </c>
      <c r="BT119" s="15">
        <f t="shared" si="385"/>
        <v>0</v>
      </c>
      <c r="BU119" s="15">
        <f t="shared" si="395"/>
        <v>0</v>
      </c>
      <c r="BV119" s="15">
        <f t="shared" si="405"/>
        <v>0</v>
      </c>
      <c r="BW119" s="15">
        <f t="shared" si="415"/>
        <v>0</v>
      </c>
      <c r="BX119" s="15">
        <f t="shared" si="425"/>
        <v>0</v>
      </c>
      <c r="BY119" s="15">
        <f t="shared" si="325"/>
        <v>0</v>
      </c>
      <c r="BZ119" s="15">
        <v>6.5511100000000004</v>
      </c>
      <c r="CA119" s="15">
        <f t="shared" si="336"/>
        <v>3.1829999999999998</v>
      </c>
      <c r="CB119" s="15">
        <f t="shared" si="346"/>
        <v>29.495000000000001</v>
      </c>
      <c r="CC119" s="15">
        <f t="shared" si="356"/>
        <v>2.8122199999999999</v>
      </c>
      <c r="CD119" s="15">
        <f t="shared" si="366"/>
        <v>2.4652400000000001</v>
      </c>
      <c r="CE119" s="15">
        <f t="shared" si="376"/>
        <v>1.32263</v>
      </c>
      <c r="CF119" s="15">
        <f t="shared" si="386"/>
        <v>1.5703800000000001</v>
      </c>
      <c r="CG119" s="15">
        <f t="shared" si="396"/>
        <v>2.2115</v>
      </c>
      <c r="CH119" s="15">
        <f t="shared" si="406"/>
        <v>3.71286</v>
      </c>
      <c r="CI119" s="15">
        <f t="shared" si="416"/>
        <v>9.6649999999999991</v>
      </c>
      <c r="CJ119" s="15">
        <f t="shared" si="426"/>
        <v>5.2561900000000001</v>
      </c>
      <c r="CK119" s="15">
        <f t="shared" si="326"/>
        <v>2.7071399999999999</v>
      </c>
      <c r="CL119" s="15">
        <v>0</v>
      </c>
      <c r="CM119" s="15">
        <f t="shared" si="337"/>
        <v>0</v>
      </c>
      <c r="CN119" s="15">
        <f t="shared" si="347"/>
        <v>2</v>
      </c>
      <c r="CO119" s="15">
        <f t="shared" si="357"/>
        <v>0</v>
      </c>
      <c r="CP119" s="15">
        <f t="shared" si="367"/>
        <v>0</v>
      </c>
      <c r="CQ119" s="15">
        <f t="shared" si="377"/>
        <v>0</v>
      </c>
      <c r="CR119" s="15">
        <f t="shared" si="387"/>
        <v>0</v>
      </c>
      <c r="CS119" s="15">
        <f t="shared" si="397"/>
        <v>0</v>
      </c>
      <c r="CT119" s="15">
        <f t="shared" si="407"/>
        <v>0</v>
      </c>
      <c r="CU119" s="15">
        <f t="shared" si="417"/>
        <v>1</v>
      </c>
      <c r="CV119" s="15">
        <f t="shared" si="427"/>
        <v>0</v>
      </c>
      <c r="CW119" s="15">
        <f t="shared" si="327"/>
        <v>0</v>
      </c>
      <c r="CX119" s="15">
        <v>81.320999999999998</v>
      </c>
      <c r="CY119" s="15">
        <f t="shared" si="338"/>
        <v>72.558899999999994</v>
      </c>
      <c r="CZ119" s="15">
        <f t="shared" si="348"/>
        <v>88.058199999999999</v>
      </c>
      <c r="DA119" s="15">
        <f t="shared" si="358"/>
        <v>70.4251</v>
      </c>
      <c r="DB119" s="15">
        <f t="shared" si="368"/>
        <v>67.920500000000004</v>
      </c>
      <c r="DC119" s="15">
        <f t="shared" si="378"/>
        <v>52.908200000000001</v>
      </c>
      <c r="DD119" s="15">
        <f t="shared" si="388"/>
        <v>57.511600000000001</v>
      </c>
      <c r="DE119" s="15">
        <f t="shared" si="398"/>
        <v>65.668400000000005</v>
      </c>
      <c r="DF119" s="15">
        <f t="shared" si="408"/>
        <v>74.926000000000002</v>
      </c>
      <c r="DG119" s="15">
        <f t="shared" si="418"/>
        <v>84.092799999999997</v>
      </c>
      <c r="DH119" s="15">
        <f t="shared" si="428"/>
        <v>79.228099999999998</v>
      </c>
      <c r="DI119" s="15">
        <f t="shared" si="328"/>
        <v>69.726100000000002</v>
      </c>
      <c r="DJ119" s="15" t="s">
        <v>23</v>
      </c>
      <c r="DK119" s="15" t="str">
        <f t="shared" si="339"/>
        <v>LH</v>
      </c>
      <c r="DL119" s="15" t="str">
        <f t="shared" si="349"/>
        <v>HH</v>
      </c>
      <c r="DM119" s="15" t="str">
        <f t="shared" si="359"/>
        <v>LH</v>
      </c>
      <c r="DN119" s="15" t="str">
        <f t="shared" si="369"/>
        <v>LH</v>
      </c>
      <c r="DO119" s="15" t="str">
        <f t="shared" si="379"/>
        <v>LH</v>
      </c>
      <c r="DP119" s="15" t="str">
        <f t="shared" si="389"/>
        <v>HH</v>
      </c>
      <c r="DQ119" s="15" t="str">
        <f t="shared" si="399"/>
        <v>HH</v>
      </c>
      <c r="DR119" s="15" t="str">
        <f t="shared" si="409"/>
        <v>LH</v>
      </c>
      <c r="DS119" s="15" t="str">
        <f t="shared" si="419"/>
        <v>LH</v>
      </c>
      <c r="DT119" s="15" t="str">
        <f t="shared" si="429"/>
        <v>HH</v>
      </c>
      <c r="DU119" s="15" t="str">
        <f t="shared" si="329"/>
        <v>HH</v>
      </c>
      <c r="DV119" s="15">
        <f>IFERROR((G119-$F119)/$F119*100,"")</f>
        <v>-0.38644633814159846</v>
      </c>
      <c r="DW119" s="15">
        <f>IFERROR((H119-$F119)/$F119*100,"")</f>
        <v>0.21314634362310145</v>
      </c>
      <c r="DX119" s="15">
        <f>IFERROR((I119-$F119)/$F119*100,"")</f>
        <v>0.12902627329113747</v>
      </c>
      <c r="DY119" s="15">
        <f>IFERROR((J119-$F119)/$F119*100,"")</f>
        <v>0.60992321671774408</v>
      </c>
      <c r="DZ119" s="15">
        <f>IFERROR((K119-$F119)/$F119*100,"")</f>
        <v>1.1530141971065984</v>
      </c>
      <c r="EA119" s="15">
        <f>IFERROR((L119-$F119)/$F119*100,"")</f>
        <v>1.8980776771897516</v>
      </c>
      <c r="EB119" s="15">
        <f>IFERROR((M119-$F119)/$F119*100,"")</f>
        <v>1.7819118657789332</v>
      </c>
      <c r="EC119" s="15">
        <f>IFERROR((N119-$F119)/$F119*100,"")</f>
        <v>1.3191460653311402</v>
      </c>
      <c r="ED119" s="15">
        <f>IFERROR((O119-$F119)/$F119*100,"")</f>
        <v>1.498138395436001</v>
      </c>
      <c r="EE119" s="15">
        <f>IFERROR((P119-$F119)/$F119*100,"")</f>
        <v>3.07786693427671</v>
      </c>
      <c r="EF119" s="15">
        <f>IFERROR((Q119-$F119)/$F119*100,"")</f>
        <v>1.3229409557220622</v>
      </c>
      <c r="EG119" s="15" t="str">
        <f>IF(DV119="","",IF(AND(ABS(DV119)&lt;=0.25,$E119="Bottom",DK119="LL"),"EQL",IF(AND(ABS(DV119)&lt;=0.25,$E119="Peak",DK119="HH"),"EQH","")))</f>
        <v/>
      </c>
      <c r="EH119" s="15" t="str">
        <f>IF(DW119="","",IF(AND(ABS(DW119)&lt;=0.25,$E119="Bottom",DL119="LL"),"EQL",IF(AND(ABS(DW119)&lt;=0.25,$E119="Peak",DL119="HH"),"EQH","")))</f>
        <v>EQH</v>
      </c>
      <c r="EI119" s="15" t="str">
        <f>IF(DX119="","",IF(AND(ABS(DX119)&lt;=0.25,$E119="Bottom",DM119="LL"),"EQL",IF(AND(ABS(DX119)&lt;=0.25,$E119="Peak",DM119="HH"),"EQH","")))</f>
        <v/>
      </c>
      <c r="EJ119" s="15" t="str">
        <f>IF(DY119="","",IF(AND(ABS(DY119)&lt;=0.25,$E119="Bottom",DN119="LL"),"EQL",IF(AND(ABS(DY119)&lt;=0.25,$E119="Peak",DN119="HH"),"EQH","")))</f>
        <v/>
      </c>
      <c r="EK119" s="15" t="str">
        <f>IF(DZ119="","",IF(AND(ABS(DZ119)&lt;=0.25,$E119="Bottom",DO119="LL"),"EQL",IF(AND(ABS(DZ119)&lt;=0.25,$E119="Peak",DO119="HH"),"EQH","")))</f>
        <v/>
      </c>
      <c r="EL119" s="15" t="str">
        <f>IF(EA119="","",IF(AND(ABS(EA119)&lt;=0.25,$E119="Bottom",DP119="LL"),"EQL",IF(AND(ABS(EA119)&lt;=0.25,$E119="Peak",DP119="HH"),"EQH","")))</f>
        <v/>
      </c>
      <c r="EM119" s="15" t="str">
        <f>IF(EB119="","",IF(AND(ABS(EB119)&lt;=0.25,$E119="Bottom",DQ119="LL"),"EQL",IF(AND(ABS(EB119)&lt;=0.25,$E119="Peak",DQ119="HH"),"EQH","")))</f>
        <v/>
      </c>
      <c r="EN119" s="15" t="str">
        <f>IF(EC119="","",IF(AND(ABS(EC119)&lt;=0.25,$E119="Bottom",DR119="LL"),"EQL",IF(AND(ABS(EC119)&lt;=0.25,$E119="Peak",DR119="HH"),"EQH","")))</f>
        <v/>
      </c>
      <c r="EO119" s="15" t="str">
        <f>IF(ED119="","",IF(AND(ABS(ED119)&lt;=0.25,$E119="Bottom",DS119="LL"),"EQL",IF(AND(ABS(ED119)&lt;=0.25,$E119="Peak",DS119="HH"),"EQH","")))</f>
        <v/>
      </c>
      <c r="EP119" s="15" t="str">
        <f>IF(EE119="","",IF(AND(ABS(EE119)&lt;=0.25,$E119="Bottom",DT119="LL"),"EQL",IF(AND(ABS(EE119)&lt;=0.25,$E119="Peak",DT119="HH"),"EQH","")))</f>
        <v/>
      </c>
      <c r="EQ119" s="15" t="str">
        <f>IF(EF119="","",IF(AND(ABS(EF119)&lt;=0.25,$E119="Bottom",DU119="LL"),"EQL",IF(AND(ABS(EF119)&lt;=0.25,$E119="Peak",DU119="HH"),"EQH","")))</f>
        <v/>
      </c>
      <c r="ER119" s="15" t="str">
        <f>IF(OR(EG119="EQL",EG119="EQH"),F119,"")</f>
        <v/>
      </c>
      <c r="ES119" s="15">
        <f>IF(OR(EH119="EQL",EH119="EQH"),G119,"")</f>
        <v>4724.8900000000003</v>
      </c>
      <c r="ET119" s="15" t="str">
        <f>IF(OR(EI119="EQL",EI119="EQH"),H119,"")</f>
        <v/>
      </c>
      <c r="EU119" s="15" t="str">
        <f>IF(OR(EJ119="EQL",EJ119="EQH"),I119,"")</f>
        <v/>
      </c>
      <c r="EV119" s="15" t="str">
        <f>IF(OR(EK119="EQL",EK119="EQH"),J119,"")</f>
        <v/>
      </c>
      <c r="EW119" s="15" t="str">
        <f>IF(OR(EL119="EQL",EL119="EQH"),K119,"")</f>
        <v/>
      </c>
      <c r="EX119" s="15" t="str">
        <f>IF(OR(EM119="EQL",EM119="EQH"),L119,"")</f>
        <v/>
      </c>
      <c r="EY119" s="15" t="str">
        <f>IF(OR(EN119="EQL",EN119="EQH"),M119,"")</f>
        <v/>
      </c>
      <c r="EZ119" s="15" t="str">
        <f>IF(OR(EO119="EQL",EO119="EQH"),N119,"")</f>
        <v/>
      </c>
      <c r="FA119" s="15" t="str">
        <f>IF(OR(EP119="EQL",EP119="EQH"),O119,"")</f>
        <v/>
      </c>
      <c r="FB119" s="15" t="str">
        <f>IF(OR(EQ119="EQL",EQ119="EQH"),P119,"")</f>
        <v/>
      </c>
      <c r="FC119" s="15" t="str">
        <f>IF(AND(EG119="EQL",OR(AQ119=4,AQ119=5)),"IEQL",IF(AND(EG119="EQH",OR(AQ119=1,AQ119=2)),"IEQH",""))</f>
        <v/>
      </c>
      <c r="FD119" s="15" t="str">
        <f>IF(AND(EH119="EQL",OR(AR119=4,AR119=5)),"IEQL",IF(AND(EH119="EQH",OR(AR119=1,AR119=2)),"IEQH",""))</f>
        <v/>
      </c>
      <c r="FE119" s="15" t="str">
        <f>IF(AND(EI119="EQL",OR(AS119=4,AS119=5)),"IEQL",IF(AND(EI119="EQH",OR(AS119=1,AS119=2)),"IEQH",""))</f>
        <v/>
      </c>
      <c r="FF119" s="15" t="str">
        <f>IF(AND(EJ119="EQL",OR(AT119=4,AT119=5)),"IEQL",IF(AND(EJ119="EQH",OR(AT119=1,AT119=2)),"IEQH",""))</f>
        <v/>
      </c>
      <c r="FG119" s="15" t="str">
        <f>IF(AND(EK119="EQL",OR(AU119=4,AU119=5)),"IEQL",IF(AND(EK119="EQH",OR(AU119=1,AU119=2)),"IEQH",""))</f>
        <v/>
      </c>
      <c r="FH119" s="15" t="str">
        <f>IF(AND(EL119="EQL",OR(AV119=4,AV119=5)),"IEQL",IF(AND(EL119="EQH",OR(AV119=1,AV119=2)),"IEQH",""))</f>
        <v/>
      </c>
      <c r="FI119" s="15" t="str">
        <f>IF(AND(EM119="EQL",OR(AW119=4,AW119=5)),"IEQL",IF(AND(EM119="EQH",OR(AW119=1,AW119=2)),"IEQH",""))</f>
        <v/>
      </c>
      <c r="FJ119" s="15" t="str">
        <f>IF(AND(EN119="EQL",OR(AX119=4,AX119=5)),"IEQL",IF(AND(EN119="EQH",OR(AX119=1,AX119=2)),"IEQH",""))</f>
        <v/>
      </c>
      <c r="FK119" s="15" t="str">
        <f>IF(AND(EO119="EQL",OR(AY119=4,AY119=5)),"IEQL",IF(AND(EO119="EQH",OR(AY119=1,AY119=2)),"IEQH",""))</f>
        <v/>
      </c>
      <c r="FL119" s="15" t="str">
        <f>IF(AND(EP119="EQL",OR(AZ119=4,AZ119=5)),"IEQL",IF(AND(EP119="EQH",OR(AZ119=1,AZ119=2)),"IEQH",""))</f>
        <v/>
      </c>
      <c r="FM119" s="15" t="str">
        <f>IF(AND(EQ119="EQL",OR(BA119=4,BA119=5)),"IEQL",IF(AND(EQ119="EQH",OR(BA119=1,BA119=2)),"IEQH",""))</f>
        <v/>
      </c>
      <c r="FN119" s="15" t="str">
        <f>IF(OR(AND(DJ119="LL",AP119=5),AND(DJ119="HH",AP119=2)),F119,"")</f>
        <v/>
      </c>
      <c r="FO119" s="15" t="str">
        <f>IF(FN119&lt;&gt;"",F118,"")</f>
        <v/>
      </c>
    </row>
    <row r="120" spans="1:171" s="15" customFormat="1" x14ac:dyDescent="0.55000000000000004">
      <c r="A120" s="15">
        <v>1776966306</v>
      </c>
      <c r="B120" s="15" t="s">
        <v>16</v>
      </c>
      <c r="C120" s="15" t="s">
        <v>17</v>
      </c>
      <c r="D120" s="15">
        <v>4709.41</v>
      </c>
      <c r="E120" s="15" t="s">
        <v>18</v>
      </c>
      <c r="F120" s="15">
        <v>4664.3</v>
      </c>
      <c r="G120" s="15">
        <f t="shared" si="330"/>
        <v>4684.26</v>
      </c>
      <c r="H120" s="15">
        <f t="shared" si="340"/>
        <v>4693.0600000000004</v>
      </c>
      <c r="I120" s="15">
        <f t="shared" si="350"/>
        <v>4694.34</v>
      </c>
      <c r="J120" s="15">
        <f t="shared" si="360"/>
        <v>4724.03</v>
      </c>
      <c r="K120" s="15">
        <f t="shared" si="370"/>
        <v>4668.6099999999997</v>
      </c>
      <c r="L120" s="15">
        <f t="shared" si="380"/>
        <v>4772.78</v>
      </c>
      <c r="M120" s="15">
        <f t="shared" si="390"/>
        <v>4792.42</v>
      </c>
      <c r="N120" s="15">
        <f t="shared" si="400"/>
        <v>4783.51</v>
      </c>
      <c r="O120" s="15">
        <f t="shared" si="410"/>
        <v>4779.8</v>
      </c>
      <c r="P120" s="15">
        <f t="shared" si="420"/>
        <v>4736.96</v>
      </c>
      <c r="Q120" s="15">
        <f t="shared" ref="Q120:Q151" si="430">F98</f>
        <v>4778.83</v>
      </c>
      <c r="R120" s="15">
        <v>-78.92</v>
      </c>
      <c r="S120" s="15">
        <f t="shared" si="331"/>
        <v>-40.630000000000003</v>
      </c>
      <c r="T120" s="15">
        <f t="shared" si="341"/>
        <v>-60.27</v>
      </c>
      <c r="U120" s="15">
        <f t="shared" si="351"/>
        <v>-55</v>
      </c>
      <c r="V120" s="15">
        <f t="shared" si="361"/>
        <v>-48.12</v>
      </c>
      <c r="W120" s="15">
        <f t="shared" si="371"/>
        <v>-129.30000000000001</v>
      </c>
      <c r="X120" s="15">
        <f t="shared" si="381"/>
        <v>-60.47</v>
      </c>
      <c r="Y120" s="15">
        <f t="shared" si="391"/>
        <v>-35.32</v>
      </c>
      <c r="Z120" s="15">
        <f t="shared" si="401"/>
        <v>-22.28</v>
      </c>
      <c r="AA120" s="15">
        <f t="shared" si="411"/>
        <v>-34.479999999999997</v>
      </c>
      <c r="AB120" s="15">
        <f t="shared" si="421"/>
        <v>-152.25</v>
      </c>
      <c r="AC120" s="15">
        <f t="shared" ref="AC120:AC151" si="431">R98</f>
        <v>-27.14</v>
      </c>
      <c r="AD120" s="15">
        <v>-1.66</v>
      </c>
      <c r="AE120" s="15">
        <f t="shared" si="332"/>
        <v>-0.86</v>
      </c>
      <c r="AF120" s="15">
        <f t="shared" si="342"/>
        <v>-1.27</v>
      </c>
      <c r="AG120" s="15">
        <f t="shared" si="352"/>
        <v>-1.1599999999999999</v>
      </c>
      <c r="AH120" s="15">
        <f t="shared" si="362"/>
        <v>-1.01</v>
      </c>
      <c r="AI120" s="15">
        <f t="shared" si="372"/>
        <v>-2.69</v>
      </c>
      <c r="AJ120" s="15">
        <f t="shared" si="382"/>
        <v>-1.25</v>
      </c>
      <c r="AK120" s="15">
        <f t="shared" si="392"/>
        <v>-0.73</v>
      </c>
      <c r="AL120" s="15">
        <f t="shared" si="402"/>
        <v>-0.46</v>
      </c>
      <c r="AM120" s="15">
        <f t="shared" si="412"/>
        <v>-0.72</v>
      </c>
      <c r="AN120" s="15">
        <f t="shared" si="422"/>
        <v>-3.11</v>
      </c>
      <c r="AO120" s="15">
        <f t="shared" ref="AO120:AO151" si="432">AD98</f>
        <v>-0.56000000000000005</v>
      </c>
      <c r="AP120" s="15">
        <v>3</v>
      </c>
      <c r="AQ120" s="15">
        <f t="shared" si="333"/>
        <v>3</v>
      </c>
      <c r="AR120" s="15">
        <f t="shared" si="343"/>
        <v>3</v>
      </c>
      <c r="AS120" s="15">
        <f t="shared" si="353"/>
        <v>3</v>
      </c>
      <c r="AT120" s="15">
        <f t="shared" si="363"/>
        <v>3</v>
      </c>
      <c r="AU120" s="15">
        <f t="shared" si="373"/>
        <v>5</v>
      </c>
      <c r="AV120" s="15">
        <f t="shared" si="383"/>
        <v>3</v>
      </c>
      <c r="AW120" s="15">
        <f t="shared" si="393"/>
        <v>3</v>
      </c>
      <c r="AX120" s="15">
        <f t="shared" si="403"/>
        <v>3</v>
      </c>
      <c r="AY120" s="15">
        <f t="shared" si="413"/>
        <v>3</v>
      </c>
      <c r="AZ120" s="15">
        <f t="shared" si="423"/>
        <v>5</v>
      </c>
      <c r="BA120" s="15">
        <f t="shared" ref="BA120:BA151" si="433">AP98</f>
        <v>3</v>
      </c>
      <c r="BB120" s="15">
        <v>20</v>
      </c>
      <c r="BC120" s="15">
        <f t="shared" si="334"/>
        <v>10</v>
      </c>
      <c r="BD120" s="15">
        <f t="shared" si="344"/>
        <v>19</v>
      </c>
      <c r="BE120" s="15">
        <f t="shared" si="354"/>
        <v>18</v>
      </c>
      <c r="BF120" s="15">
        <f t="shared" si="364"/>
        <v>38</v>
      </c>
      <c r="BG120" s="15">
        <f t="shared" si="374"/>
        <v>31</v>
      </c>
      <c r="BH120" s="15">
        <f t="shared" si="384"/>
        <v>35</v>
      </c>
      <c r="BI120" s="15">
        <f t="shared" si="394"/>
        <v>1</v>
      </c>
      <c r="BJ120" s="15">
        <f t="shared" si="404"/>
        <v>9</v>
      </c>
      <c r="BK120" s="15">
        <f t="shared" si="414"/>
        <v>15</v>
      </c>
      <c r="BL120" s="15">
        <f t="shared" si="424"/>
        <v>39</v>
      </c>
      <c r="BM120" s="15">
        <f t="shared" ref="BM120:BM151" si="434">BB98</f>
        <v>11</v>
      </c>
      <c r="BN120" s="15">
        <v>3</v>
      </c>
      <c r="BO120" s="15">
        <f t="shared" si="335"/>
        <v>3</v>
      </c>
      <c r="BP120" s="15">
        <f t="shared" si="345"/>
        <v>3</v>
      </c>
      <c r="BQ120" s="15">
        <f t="shared" si="355"/>
        <v>3</v>
      </c>
      <c r="BR120" s="15">
        <f t="shared" si="365"/>
        <v>4</v>
      </c>
      <c r="BS120" s="15">
        <f t="shared" si="375"/>
        <v>3</v>
      </c>
      <c r="BT120" s="15">
        <f t="shared" si="385"/>
        <v>3</v>
      </c>
      <c r="BU120" s="15">
        <f t="shared" si="395"/>
        <v>3</v>
      </c>
      <c r="BV120" s="15">
        <f t="shared" si="405"/>
        <v>3</v>
      </c>
      <c r="BW120" s="15">
        <f t="shared" si="415"/>
        <v>3</v>
      </c>
      <c r="BX120" s="15">
        <f t="shared" si="425"/>
        <v>4</v>
      </c>
      <c r="BY120" s="15">
        <f t="shared" ref="BY120:BY151" si="435">BN98</f>
        <v>3</v>
      </c>
      <c r="BZ120" s="15">
        <v>-3.9460000000000002</v>
      </c>
      <c r="CA120" s="15">
        <f t="shared" si="336"/>
        <v>-4.0629999999999997</v>
      </c>
      <c r="CB120" s="15">
        <f t="shared" si="346"/>
        <v>-3.17211</v>
      </c>
      <c r="CC120" s="15">
        <f t="shared" si="356"/>
        <v>-3.0555599999999998</v>
      </c>
      <c r="CD120" s="15">
        <f t="shared" si="366"/>
        <v>-1.2663199999999999</v>
      </c>
      <c r="CE120" s="15">
        <f t="shared" si="376"/>
        <v>-4.1709699999999996</v>
      </c>
      <c r="CF120" s="15">
        <f t="shared" si="386"/>
        <v>-1.7277100000000001</v>
      </c>
      <c r="CG120" s="15">
        <f t="shared" si="396"/>
        <v>-35.32</v>
      </c>
      <c r="CH120" s="15">
        <f t="shared" si="406"/>
        <v>-2.4755600000000002</v>
      </c>
      <c r="CI120" s="15">
        <f t="shared" si="416"/>
        <v>-2.29867</v>
      </c>
      <c r="CJ120" s="15">
        <f t="shared" si="426"/>
        <v>-3.9038499999999998</v>
      </c>
      <c r="CK120" s="15">
        <f t="shared" ref="CK120:CK151" si="436">BZ98</f>
        <v>-2.4672700000000001</v>
      </c>
      <c r="CL120" s="15">
        <v>3</v>
      </c>
      <c r="CM120" s="15">
        <f t="shared" si="337"/>
        <v>3</v>
      </c>
      <c r="CN120" s="15">
        <f t="shared" si="347"/>
        <v>3</v>
      </c>
      <c r="CO120" s="15">
        <f t="shared" si="357"/>
        <v>3</v>
      </c>
      <c r="CP120" s="15">
        <f t="shared" si="367"/>
        <v>3</v>
      </c>
      <c r="CQ120" s="15">
        <f t="shared" si="377"/>
        <v>3</v>
      </c>
      <c r="CR120" s="15">
        <f t="shared" si="387"/>
        <v>3</v>
      </c>
      <c r="CS120" s="15">
        <f t="shared" si="397"/>
        <v>5</v>
      </c>
      <c r="CT120" s="15">
        <f t="shared" si="407"/>
        <v>3</v>
      </c>
      <c r="CU120" s="15">
        <f t="shared" si="417"/>
        <v>3</v>
      </c>
      <c r="CV120" s="15">
        <f t="shared" si="427"/>
        <v>3</v>
      </c>
      <c r="CW120" s="15">
        <f t="shared" ref="CW120:CW151" si="437">CL98</f>
        <v>3</v>
      </c>
      <c r="CX120" s="15">
        <v>-75.779399999999995</v>
      </c>
      <c r="CY120" s="15">
        <f t="shared" si="338"/>
        <v>-76.173000000000002</v>
      </c>
      <c r="CZ120" s="15">
        <f t="shared" si="348"/>
        <v>-72.502600000000001</v>
      </c>
      <c r="DA120" s="15">
        <f t="shared" si="358"/>
        <v>-71.878100000000003</v>
      </c>
      <c r="DB120" s="15">
        <f t="shared" si="368"/>
        <v>-51.702100000000002</v>
      </c>
      <c r="DC120" s="15">
        <f t="shared" si="378"/>
        <v>-76.517700000000005</v>
      </c>
      <c r="DD120" s="15">
        <f t="shared" si="388"/>
        <v>-59.937800000000003</v>
      </c>
      <c r="DE120" s="15">
        <f t="shared" si="398"/>
        <v>-88.378200000000007</v>
      </c>
      <c r="DF120" s="15">
        <f t="shared" si="408"/>
        <v>-68.003799999999998</v>
      </c>
      <c r="DG120" s="15">
        <f t="shared" si="418"/>
        <v>-66.4893</v>
      </c>
      <c r="DH120" s="15">
        <f t="shared" si="428"/>
        <v>-75.632199999999997</v>
      </c>
      <c r="DI120" s="15">
        <f t="shared" ref="DI120:DI151" si="438">CX98</f>
        <v>-67.936999999999998</v>
      </c>
      <c r="DJ120" s="15" t="s">
        <v>19</v>
      </c>
      <c r="DK120" s="15" t="str">
        <f t="shared" si="339"/>
        <v>LL</v>
      </c>
      <c r="DL120" s="15" t="str">
        <f t="shared" si="349"/>
        <v>LL</v>
      </c>
      <c r="DM120" s="15" t="str">
        <f t="shared" si="359"/>
        <v>LL</v>
      </c>
      <c r="DN120" s="15" t="str">
        <f t="shared" si="369"/>
        <v>HL</v>
      </c>
      <c r="DO120" s="15" t="str">
        <f t="shared" si="379"/>
        <v>LL</v>
      </c>
      <c r="DP120" s="15" t="str">
        <f t="shared" si="389"/>
        <v>LL</v>
      </c>
      <c r="DQ120" s="15" t="str">
        <f t="shared" si="399"/>
        <v>HL</v>
      </c>
      <c r="DR120" s="15" t="str">
        <f t="shared" si="409"/>
        <v>HL</v>
      </c>
      <c r="DS120" s="15" t="str">
        <f t="shared" si="419"/>
        <v>HL</v>
      </c>
      <c r="DT120" s="15" t="str">
        <f t="shared" si="429"/>
        <v>LL</v>
      </c>
      <c r="DU120" s="15" t="str">
        <f t="shared" ref="DU120:DU151" si="439">DJ98</f>
        <v>HL</v>
      </c>
      <c r="DV120" s="15">
        <f>IFERROR((G120-$F120)/$F120*100,"")</f>
        <v>0.42793130802049684</v>
      </c>
      <c r="DW120" s="15">
        <f>IFERROR((H120-$F120)/$F120*100,"")</f>
        <v>0.61659841776901603</v>
      </c>
      <c r="DX120" s="15">
        <f>IFERROR((I120-$F120)/$F120*100,"")</f>
        <v>0.6440409064597038</v>
      </c>
      <c r="DY120" s="15">
        <f>IFERROR((J120-$F120)/$F120*100,"")</f>
        <v>1.2805780074180384</v>
      </c>
      <c r="DZ120" s="15">
        <f>IFERROR((K120-$F120)/$F120*100,"")</f>
        <v>9.2404004888182373E-2</v>
      </c>
      <c r="EA120" s="15">
        <f>IFERROR((L120-$F120)/$F120*100,"")</f>
        <v>2.3257509165362342</v>
      </c>
      <c r="EB120" s="15">
        <f>IFERROR((M120-$F120)/$F120*100,"")</f>
        <v>2.7468216023840637</v>
      </c>
      <c r="EC120" s="15">
        <f>IFERROR((N120-$F120)/$F120*100,"")</f>
        <v>2.5557961537636951</v>
      </c>
      <c r="ED120" s="15">
        <f>IFERROR((O120-$F120)/$F120*100,"")</f>
        <v>2.4762558154492633</v>
      </c>
      <c r="EE120" s="15">
        <f>IFERROR((P120-$F120)/$F120*100,"")</f>
        <v>1.5577900220826244</v>
      </c>
      <c r="EF120" s="15">
        <f>IFERROR((Q120-$F120)/$F120*100,"")</f>
        <v>2.4554595544883422</v>
      </c>
      <c r="EG120" s="15" t="str">
        <f>IF(DV120="","",IF(AND(ABS(DV120)&lt;=0.25,$E120="Bottom",DK120="LL"),"EQL",IF(AND(ABS(DV120)&lt;=0.25,$E120="Peak",DK120="HH"),"EQH","")))</f>
        <v/>
      </c>
      <c r="EH120" s="15" t="str">
        <f>IF(DW120="","",IF(AND(ABS(DW120)&lt;=0.25,$E120="Bottom",DL120="LL"),"EQL",IF(AND(ABS(DW120)&lt;=0.25,$E120="Peak",DL120="HH"),"EQH","")))</f>
        <v/>
      </c>
      <c r="EI120" s="15" t="str">
        <f>IF(DX120="","",IF(AND(ABS(DX120)&lt;=0.25,$E120="Bottom",DM120="LL"),"EQL",IF(AND(ABS(DX120)&lt;=0.25,$E120="Peak",DM120="HH"),"EQH","")))</f>
        <v/>
      </c>
      <c r="EJ120" s="15" t="str">
        <f>IF(DY120="","",IF(AND(ABS(DY120)&lt;=0.25,$E120="Bottom",DN120="LL"),"EQL",IF(AND(ABS(DY120)&lt;=0.25,$E120="Peak",DN120="HH"),"EQH","")))</f>
        <v/>
      </c>
      <c r="EK120" s="15" t="str">
        <f>IF(DZ120="","",IF(AND(ABS(DZ120)&lt;=0.25,$E120="Bottom",DO120="LL"),"EQL",IF(AND(ABS(DZ120)&lt;=0.25,$E120="Peak",DO120="HH"),"EQH","")))</f>
        <v>EQL</v>
      </c>
      <c r="EL120" s="15" t="str">
        <f>IF(EA120="","",IF(AND(ABS(EA120)&lt;=0.25,$E120="Bottom",DP120="LL"),"EQL",IF(AND(ABS(EA120)&lt;=0.25,$E120="Peak",DP120="HH"),"EQH","")))</f>
        <v/>
      </c>
      <c r="EM120" s="15" t="str">
        <f>IF(EB120="","",IF(AND(ABS(EB120)&lt;=0.25,$E120="Bottom",DQ120="LL"),"EQL",IF(AND(ABS(EB120)&lt;=0.25,$E120="Peak",DQ120="HH"),"EQH","")))</f>
        <v/>
      </c>
      <c r="EN120" s="15" t="str">
        <f>IF(EC120="","",IF(AND(ABS(EC120)&lt;=0.25,$E120="Bottom",DR120="LL"),"EQL",IF(AND(ABS(EC120)&lt;=0.25,$E120="Peak",DR120="HH"),"EQH","")))</f>
        <v/>
      </c>
      <c r="EO120" s="15" t="str">
        <f>IF(ED120="","",IF(AND(ABS(ED120)&lt;=0.25,$E120="Bottom",DS120="LL"),"EQL",IF(AND(ABS(ED120)&lt;=0.25,$E120="Peak",DS120="HH"),"EQH","")))</f>
        <v/>
      </c>
      <c r="EP120" s="15" t="str">
        <f>IF(EE120="","",IF(AND(ABS(EE120)&lt;=0.25,$E120="Bottom",DT120="LL"),"EQL",IF(AND(ABS(EE120)&lt;=0.25,$E120="Peak",DT120="HH"),"EQH","")))</f>
        <v/>
      </c>
      <c r="EQ120" s="15" t="str">
        <f>IF(EF120="","",IF(AND(ABS(EF120)&lt;=0.25,$E120="Bottom",DU120="LL"),"EQL",IF(AND(ABS(EF120)&lt;=0.25,$E120="Peak",DU120="HH"),"EQH","")))</f>
        <v/>
      </c>
      <c r="ER120" s="15" t="str">
        <f>IF(OR(EG120="EQL",EG120="EQH"),F120,"")</f>
        <v/>
      </c>
      <c r="ES120" s="15" t="str">
        <f>IF(OR(EH120="EQL",EH120="EQH"),G120,"")</f>
        <v/>
      </c>
      <c r="ET120" s="15" t="str">
        <f>IF(OR(EI120="EQL",EI120="EQH"),H120,"")</f>
        <v/>
      </c>
      <c r="EU120" s="15" t="str">
        <f>IF(OR(EJ120="EQL",EJ120="EQH"),I120,"")</f>
        <v/>
      </c>
      <c r="EV120" s="15">
        <f>IF(OR(EK120="EQL",EK120="EQH"),J120,"")</f>
        <v>4724.03</v>
      </c>
      <c r="EW120" s="15" t="str">
        <f>IF(OR(EL120="EQL",EL120="EQH"),K120,"")</f>
        <v/>
      </c>
      <c r="EX120" s="15" t="str">
        <f>IF(OR(EM120="EQL",EM120="EQH"),L120,"")</f>
        <v/>
      </c>
      <c r="EY120" s="15" t="str">
        <f>IF(OR(EN120="EQL",EN120="EQH"),M120,"")</f>
        <v/>
      </c>
      <c r="EZ120" s="15" t="str">
        <f>IF(OR(EO120="EQL",EO120="EQH"),N120,"")</f>
        <v/>
      </c>
      <c r="FA120" s="15" t="str">
        <f>IF(OR(EP120="EQL",EP120="EQH"),O120,"")</f>
        <v/>
      </c>
      <c r="FB120" s="15" t="str">
        <f>IF(OR(EQ120="EQL",EQ120="EQH"),P120,"")</f>
        <v/>
      </c>
      <c r="FC120" s="15" t="str">
        <f>IF(AND(EG120="EQL",OR(AQ120=4,AQ120=5)),"IEQL",IF(AND(EG120="EQH",OR(AQ120=1,AQ120=2)),"IEQH",""))</f>
        <v/>
      </c>
      <c r="FD120" s="15" t="str">
        <f>IF(AND(EH120="EQL",OR(AR120=4,AR120=5)),"IEQL",IF(AND(EH120="EQH",OR(AR120=1,AR120=2)),"IEQH",""))</f>
        <v/>
      </c>
      <c r="FE120" s="15" t="str">
        <f>IF(AND(EI120="EQL",OR(AS120=4,AS120=5)),"IEQL",IF(AND(EI120="EQH",OR(AS120=1,AS120=2)),"IEQH",""))</f>
        <v/>
      </c>
      <c r="FF120" s="15" t="str">
        <f>IF(AND(EJ120="EQL",OR(AT120=4,AT120=5)),"IEQL",IF(AND(EJ120="EQH",OR(AT120=1,AT120=2)),"IEQH",""))</f>
        <v/>
      </c>
      <c r="FG120" s="15" t="str">
        <f>IF(AND(EK120="EQL",OR(AU120=4,AU120=5)),"IEQL",IF(AND(EK120="EQH",OR(AU120=1,AU120=2)),"IEQH",""))</f>
        <v>IEQL</v>
      </c>
      <c r="FH120" s="15" t="str">
        <f>IF(AND(EL120="EQL",OR(AV120=4,AV120=5)),"IEQL",IF(AND(EL120="EQH",OR(AV120=1,AV120=2)),"IEQH",""))</f>
        <v/>
      </c>
      <c r="FI120" s="15" t="str">
        <f>IF(AND(EM120="EQL",OR(AW120=4,AW120=5)),"IEQL",IF(AND(EM120="EQH",OR(AW120=1,AW120=2)),"IEQH",""))</f>
        <v/>
      </c>
      <c r="FJ120" s="15" t="str">
        <f>IF(AND(EN120="EQL",OR(AX120=4,AX120=5)),"IEQL",IF(AND(EN120="EQH",OR(AX120=1,AX120=2)),"IEQH",""))</f>
        <v/>
      </c>
      <c r="FK120" s="15" t="str">
        <f>IF(AND(EO120="EQL",OR(AY120=4,AY120=5)),"IEQL",IF(AND(EO120="EQH",OR(AY120=1,AY120=2)),"IEQH",""))</f>
        <v/>
      </c>
      <c r="FL120" s="15" t="str">
        <f>IF(AND(EP120="EQL",OR(AZ120=4,AZ120=5)),"IEQL",IF(AND(EP120="EQH",OR(AZ120=1,AZ120=2)),"IEQH",""))</f>
        <v/>
      </c>
      <c r="FM120" s="15" t="str">
        <f>IF(AND(EQ120="EQL",OR(BA120=4,BA120=5)),"IEQL",IF(AND(EQ120="EQH",OR(BA120=1,BA120=2)),"IEQH",""))</f>
        <v/>
      </c>
      <c r="FN120" s="15" t="str">
        <f>IF(OR(AND(DJ120="LL",AP120=5),AND(DJ120="HH",AP120=2)),F120,"")</f>
        <v/>
      </c>
      <c r="FO120" s="15" t="str">
        <f>IF(FN120&lt;&gt;"",F119,"")</f>
        <v/>
      </c>
    </row>
    <row r="121" spans="1:171" s="15" customFormat="1" x14ac:dyDescent="0.55000000000000004">
      <c r="A121" s="15">
        <v>1776993306</v>
      </c>
      <c r="B121" s="15" t="s">
        <v>16</v>
      </c>
      <c r="C121" s="15" t="s">
        <v>17</v>
      </c>
      <c r="D121" s="15">
        <v>4698.41</v>
      </c>
      <c r="E121" s="15" t="s">
        <v>20</v>
      </c>
      <c r="F121" s="15">
        <v>4711.2299999999996</v>
      </c>
      <c r="G121" s="15">
        <f t="shared" si="330"/>
        <v>4743.22</v>
      </c>
      <c r="H121" s="15">
        <f t="shared" si="340"/>
        <v>4724.8900000000003</v>
      </c>
      <c r="I121" s="15">
        <f t="shared" si="350"/>
        <v>4753.33</v>
      </c>
      <c r="J121" s="15">
        <f t="shared" si="360"/>
        <v>4749.34</v>
      </c>
      <c r="K121" s="15">
        <f t="shared" si="370"/>
        <v>4772.1499999999996</v>
      </c>
      <c r="L121" s="15">
        <f t="shared" si="380"/>
        <v>4797.91</v>
      </c>
      <c r="M121" s="15">
        <f t="shared" si="390"/>
        <v>4833.25</v>
      </c>
      <c r="N121" s="15">
        <f t="shared" si="400"/>
        <v>4827.74</v>
      </c>
      <c r="O121" s="15">
        <f t="shared" si="410"/>
        <v>4805.79</v>
      </c>
      <c r="P121" s="15">
        <f t="shared" si="420"/>
        <v>4814.28</v>
      </c>
      <c r="Q121" s="15">
        <f t="shared" si="430"/>
        <v>4889.21</v>
      </c>
      <c r="R121" s="15">
        <v>46.93</v>
      </c>
      <c r="S121" s="15">
        <f t="shared" si="331"/>
        <v>58.96</v>
      </c>
      <c r="T121" s="15">
        <f t="shared" si="341"/>
        <v>31.83</v>
      </c>
      <c r="U121" s="15">
        <f t="shared" si="351"/>
        <v>58.99</v>
      </c>
      <c r="V121" s="15">
        <f t="shared" si="361"/>
        <v>25.31</v>
      </c>
      <c r="W121" s="15">
        <f t="shared" si="371"/>
        <v>103.54</v>
      </c>
      <c r="X121" s="15">
        <f t="shared" si="381"/>
        <v>25.13</v>
      </c>
      <c r="Y121" s="15">
        <f t="shared" si="391"/>
        <v>40.83</v>
      </c>
      <c r="Z121" s="15">
        <f t="shared" si="401"/>
        <v>44.23</v>
      </c>
      <c r="AA121" s="15">
        <f t="shared" si="411"/>
        <v>25.99</v>
      </c>
      <c r="AB121" s="15">
        <f t="shared" si="421"/>
        <v>77.319999999999993</v>
      </c>
      <c r="AC121" s="15">
        <f t="shared" si="431"/>
        <v>110.38</v>
      </c>
      <c r="AD121" s="15">
        <v>1.01</v>
      </c>
      <c r="AE121" s="15">
        <f t="shared" si="332"/>
        <v>1.26</v>
      </c>
      <c r="AF121" s="15">
        <f t="shared" si="342"/>
        <v>0.68</v>
      </c>
      <c r="AG121" s="15">
        <f t="shared" si="352"/>
        <v>1.26</v>
      </c>
      <c r="AH121" s="15">
        <f t="shared" si="362"/>
        <v>0.54</v>
      </c>
      <c r="AI121" s="15">
        <f t="shared" si="372"/>
        <v>2.2200000000000002</v>
      </c>
      <c r="AJ121" s="15">
        <f t="shared" si="382"/>
        <v>0.53</v>
      </c>
      <c r="AK121" s="15">
        <f t="shared" si="392"/>
        <v>0.85</v>
      </c>
      <c r="AL121" s="15">
        <f t="shared" si="402"/>
        <v>0.92</v>
      </c>
      <c r="AM121" s="15">
        <f t="shared" si="412"/>
        <v>0.54</v>
      </c>
      <c r="AN121" s="15">
        <f t="shared" si="422"/>
        <v>1.63</v>
      </c>
      <c r="AO121" s="15">
        <f t="shared" si="432"/>
        <v>2.31</v>
      </c>
      <c r="AP121" s="15">
        <v>0</v>
      </c>
      <c r="AQ121" s="15">
        <f t="shared" si="333"/>
        <v>0</v>
      </c>
      <c r="AR121" s="15">
        <f t="shared" si="343"/>
        <v>0</v>
      </c>
      <c r="AS121" s="15">
        <f t="shared" si="353"/>
        <v>0</v>
      </c>
      <c r="AT121" s="15">
        <f t="shared" si="363"/>
        <v>0</v>
      </c>
      <c r="AU121" s="15">
        <f t="shared" si="373"/>
        <v>1</v>
      </c>
      <c r="AV121" s="15">
        <f t="shared" si="383"/>
        <v>0</v>
      </c>
      <c r="AW121" s="15">
        <f t="shared" si="393"/>
        <v>0</v>
      </c>
      <c r="AX121" s="15">
        <f t="shared" si="403"/>
        <v>0</v>
      </c>
      <c r="AY121" s="15">
        <f t="shared" si="413"/>
        <v>0</v>
      </c>
      <c r="AZ121" s="15">
        <f t="shared" si="423"/>
        <v>0</v>
      </c>
      <c r="BA121" s="15">
        <f t="shared" si="433"/>
        <v>0</v>
      </c>
      <c r="BB121" s="15">
        <v>26</v>
      </c>
      <c r="BC121" s="15">
        <f t="shared" si="334"/>
        <v>9</v>
      </c>
      <c r="BD121" s="15">
        <f t="shared" si="344"/>
        <v>10</v>
      </c>
      <c r="BE121" s="15">
        <f t="shared" si="354"/>
        <v>2</v>
      </c>
      <c r="BF121" s="15">
        <f t="shared" si="364"/>
        <v>9</v>
      </c>
      <c r="BG121" s="15">
        <f t="shared" si="374"/>
        <v>42</v>
      </c>
      <c r="BH121" s="15">
        <f t="shared" si="384"/>
        <v>19</v>
      </c>
      <c r="BI121" s="15">
        <f t="shared" si="394"/>
        <v>26</v>
      </c>
      <c r="BJ121" s="15">
        <f t="shared" si="404"/>
        <v>20</v>
      </c>
      <c r="BK121" s="15">
        <f t="shared" si="414"/>
        <v>7</v>
      </c>
      <c r="BL121" s="15">
        <f t="shared" si="424"/>
        <v>8</v>
      </c>
      <c r="BM121" s="15">
        <f t="shared" si="434"/>
        <v>21</v>
      </c>
      <c r="BN121" s="15">
        <v>0</v>
      </c>
      <c r="BO121" s="15">
        <f t="shared" si="335"/>
        <v>0</v>
      </c>
      <c r="BP121" s="15">
        <f t="shared" si="345"/>
        <v>0</v>
      </c>
      <c r="BQ121" s="15">
        <f t="shared" si="355"/>
        <v>0</v>
      </c>
      <c r="BR121" s="15">
        <f t="shared" si="365"/>
        <v>0</v>
      </c>
      <c r="BS121" s="15">
        <f t="shared" si="375"/>
        <v>1</v>
      </c>
      <c r="BT121" s="15">
        <f t="shared" si="385"/>
        <v>0</v>
      </c>
      <c r="BU121" s="15">
        <f t="shared" si="395"/>
        <v>0</v>
      </c>
      <c r="BV121" s="15">
        <f t="shared" si="405"/>
        <v>0</v>
      </c>
      <c r="BW121" s="15">
        <f t="shared" si="415"/>
        <v>0</v>
      </c>
      <c r="BX121" s="15">
        <f t="shared" si="425"/>
        <v>0</v>
      </c>
      <c r="BY121" s="15">
        <f t="shared" si="435"/>
        <v>0</v>
      </c>
      <c r="BZ121" s="15">
        <v>1.8049999999999999</v>
      </c>
      <c r="CA121" s="15">
        <f t="shared" si="336"/>
        <v>6.5511100000000004</v>
      </c>
      <c r="CB121" s="15">
        <f t="shared" si="346"/>
        <v>3.1829999999999998</v>
      </c>
      <c r="CC121" s="15">
        <f t="shared" si="356"/>
        <v>29.495000000000001</v>
      </c>
      <c r="CD121" s="15">
        <f t="shared" si="366"/>
        <v>2.8122199999999999</v>
      </c>
      <c r="CE121" s="15">
        <f t="shared" si="376"/>
        <v>2.4652400000000001</v>
      </c>
      <c r="CF121" s="15">
        <f t="shared" si="386"/>
        <v>1.32263</v>
      </c>
      <c r="CG121" s="15">
        <f t="shared" si="396"/>
        <v>1.5703800000000001</v>
      </c>
      <c r="CH121" s="15">
        <f t="shared" si="406"/>
        <v>2.2115</v>
      </c>
      <c r="CI121" s="15">
        <f t="shared" si="416"/>
        <v>3.71286</v>
      </c>
      <c r="CJ121" s="15">
        <f t="shared" si="426"/>
        <v>9.6649999999999991</v>
      </c>
      <c r="CK121" s="15">
        <f t="shared" si="436"/>
        <v>5.2561900000000001</v>
      </c>
      <c r="CL121" s="15">
        <v>0</v>
      </c>
      <c r="CM121" s="15">
        <f t="shared" si="337"/>
        <v>0</v>
      </c>
      <c r="CN121" s="15">
        <f t="shared" si="347"/>
        <v>0</v>
      </c>
      <c r="CO121" s="15">
        <f t="shared" si="357"/>
        <v>2</v>
      </c>
      <c r="CP121" s="15">
        <f t="shared" si="367"/>
        <v>0</v>
      </c>
      <c r="CQ121" s="15">
        <f t="shared" si="377"/>
        <v>0</v>
      </c>
      <c r="CR121" s="15">
        <f t="shared" si="387"/>
        <v>0</v>
      </c>
      <c r="CS121" s="15">
        <f t="shared" si="397"/>
        <v>0</v>
      </c>
      <c r="CT121" s="15">
        <f t="shared" si="407"/>
        <v>0</v>
      </c>
      <c r="CU121" s="15">
        <f t="shared" si="417"/>
        <v>0</v>
      </c>
      <c r="CV121" s="15">
        <f t="shared" si="427"/>
        <v>1</v>
      </c>
      <c r="CW121" s="15">
        <f t="shared" si="437"/>
        <v>0</v>
      </c>
      <c r="CX121" s="15">
        <v>61.012799999999999</v>
      </c>
      <c r="CY121" s="15">
        <f t="shared" si="338"/>
        <v>81.320999999999998</v>
      </c>
      <c r="CZ121" s="15">
        <f t="shared" si="348"/>
        <v>72.558899999999994</v>
      </c>
      <c r="DA121" s="15">
        <f t="shared" si="358"/>
        <v>88.058199999999999</v>
      </c>
      <c r="DB121" s="15">
        <f t="shared" si="368"/>
        <v>70.4251</v>
      </c>
      <c r="DC121" s="15">
        <f t="shared" si="378"/>
        <v>67.920500000000004</v>
      </c>
      <c r="DD121" s="15">
        <f t="shared" si="388"/>
        <v>52.908200000000001</v>
      </c>
      <c r="DE121" s="15">
        <f t="shared" si="398"/>
        <v>57.511600000000001</v>
      </c>
      <c r="DF121" s="15">
        <f t="shared" si="408"/>
        <v>65.668400000000005</v>
      </c>
      <c r="DG121" s="15">
        <f t="shared" si="418"/>
        <v>74.926000000000002</v>
      </c>
      <c r="DH121" s="15">
        <f t="shared" si="428"/>
        <v>84.092799999999997</v>
      </c>
      <c r="DI121" s="15">
        <f t="shared" si="438"/>
        <v>79.228099999999998</v>
      </c>
      <c r="DJ121" s="15" t="s">
        <v>21</v>
      </c>
      <c r="DK121" s="15" t="str">
        <f t="shared" si="339"/>
        <v>HH</v>
      </c>
      <c r="DL121" s="15" t="str">
        <f t="shared" si="349"/>
        <v>LH</v>
      </c>
      <c r="DM121" s="15" t="str">
        <f t="shared" si="359"/>
        <v>HH</v>
      </c>
      <c r="DN121" s="15" t="str">
        <f t="shared" si="369"/>
        <v>LH</v>
      </c>
      <c r="DO121" s="15" t="str">
        <f t="shared" si="379"/>
        <v>LH</v>
      </c>
      <c r="DP121" s="15" t="str">
        <f t="shared" si="389"/>
        <v>LH</v>
      </c>
      <c r="DQ121" s="15" t="str">
        <f t="shared" si="399"/>
        <v>HH</v>
      </c>
      <c r="DR121" s="15" t="str">
        <f t="shared" si="409"/>
        <v>HH</v>
      </c>
      <c r="DS121" s="15" t="str">
        <f t="shared" si="419"/>
        <v>LH</v>
      </c>
      <c r="DT121" s="15" t="str">
        <f t="shared" si="429"/>
        <v>LH</v>
      </c>
      <c r="DU121" s="15" t="str">
        <f t="shared" si="439"/>
        <v>HH</v>
      </c>
      <c r="DV121" s="15">
        <f>IFERROR((G121-$F121)/$F121*100,"")</f>
        <v>0.67901588332560059</v>
      </c>
      <c r="DW121" s="15">
        <f>IFERROR((H121-$F121)/$F121*100,"")</f>
        <v>0.28994551316749051</v>
      </c>
      <c r="DX121" s="15">
        <f>IFERROR((I121-$F121)/$F121*100,"")</f>
        <v>0.89360952447663056</v>
      </c>
      <c r="DY121" s="15">
        <f>IFERROR((J121-$F121)/$F121*100,"")</f>
        <v>0.80891826550604806</v>
      </c>
      <c r="DZ121" s="15">
        <f>IFERROR((K121-$F121)/$F121*100,"")</f>
        <v>1.2930805755609487</v>
      </c>
      <c r="EA121" s="15">
        <f>IFERROR((L121-$F121)/$F121*100,"")</f>
        <v>1.8398592299675518</v>
      </c>
      <c r="EB121" s="15">
        <f>IFERROR((M121-$F121)/$F121*100,"")</f>
        <v>2.5899818094213285</v>
      </c>
      <c r="EC121" s="15">
        <f>IFERROR((N121-$F121)/$F121*100,"")</f>
        <v>2.4730272137000364</v>
      </c>
      <c r="ED121" s="15">
        <f>IFERROR((O121-$F121)/$F121*100,"")</f>
        <v>2.0071191599646041</v>
      </c>
      <c r="EE121" s="15">
        <f>IFERROR((P121-$F121)/$F121*100,"")</f>
        <v>2.1873268764208116</v>
      </c>
      <c r="EF121" s="15">
        <f>IFERROR((Q121-$F121)/$F121*100,"")</f>
        <v>3.777782022953676</v>
      </c>
      <c r="EG121" s="15" t="str">
        <f>IF(DV121="","",IF(AND(ABS(DV121)&lt;=0.25,$E121="Bottom",DK121="LL"),"EQL",IF(AND(ABS(DV121)&lt;=0.25,$E121="Peak",DK121="HH"),"EQH","")))</f>
        <v/>
      </c>
      <c r="EH121" s="15" t="str">
        <f>IF(DW121="","",IF(AND(ABS(DW121)&lt;=0.25,$E121="Bottom",DL121="LL"),"EQL",IF(AND(ABS(DW121)&lt;=0.25,$E121="Peak",DL121="HH"),"EQH","")))</f>
        <v/>
      </c>
      <c r="EI121" s="15" t="str">
        <f>IF(DX121="","",IF(AND(ABS(DX121)&lt;=0.25,$E121="Bottom",DM121="LL"),"EQL",IF(AND(ABS(DX121)&lt;=0.25,$E121="Peak",DM121="HH"),"EQH","")))</f>
        <v/>
      </c>
      <c r="EJ121" s="15" t="str">
        <f>IF(DY121="","",IF(AND(ABS(DY121)&lt;=0.25,$E121="Bottom",DN121="LL"),"EQL",IF(AND(ABS(DY121)&lt;=0.25,$E121="Peak",DN121="HH"),"EQH","")))</f>
        <v/>
      </c>
      <c r="EK121" s="15" t="str">
        <f>IF(DZ121="","",IF(AND(ABS(DZ121)&lt;=0.25,$E121="Bottom",DO121="LL"),"EQL",IF(AND(ABS(DZ121)&lt;=0.25,$E121="Peak",DO121="HH"),"EQH","")))</f>
        <v/>
      </c>
      <c r="EL121" s="15" t="str">
        <f>IF(EA121="","",IF(AND(ABS(EA121)&lt;=0.25,$E121="Bottom",DP121="LL"),"EQL",IF(AND(ABS(EA121)&lt;=0.25,$E121="Peak",DP121="HH"),"EQH","")))</f>
        <v/>
      </c>
      <c r="EM121" s="15" t="str">
        <f>IF(EB121="","",IF(AND(ABS(EB121)&lt;=0.25,$E121="Bottom",DQ121="LL"),"EQL",IF(AND(ABS(EB121)&lt;=0.25,$E121="Peak",DQ121="HH"),"EQH","")))</f>
        <v/>
      </c>
      <c r="EN121" s="15" t="str">
        <f>IF(EC121="","",IF(AND(ABS(EC121)&lt;=0.25,$E121="Bottom",DR121="LL"),"EQL",IF(AND(ABS(EC121)&lt;=0.25,$E121="Peak",DR121="HH"),"EQH","")))</f>
        <v/>
      </c>
      <c r="EO121" s="15" t="str">
        <f>IF(ED121="","",IF(AND(ABS(ED121)&lt;=0.25,$E121="Bottom",DS121="LL"),"EQL",IF(AND(ABS(ED121)&lt;=0.25,$E121="Peak",DS121="HH"),"EQH","")))</f>
        <v/>
      </c>
      <c r="EP121" s="15" t="str">
        <f>IF(EE121="","",IF(AND(ABS(EE121)&lt;=0.25,$E121="Bottom",DT121="LL"),"EQL",IF(AND(ABS(EE121)&lt;=0.25,$E121="Peak",DT121="HH"),"EQH","")))</f>
        <v/>
      </c>
      <c r="EQ121" s="15" t="str">
        <f>IF(EF121="","",IF(AND(ABS(EF121)&lt;=0.25,$E121="Bottom",DU121="LL"),"EQL",IF(AND(ABS(EF121)&lt;=0.25,$E121="Peak",DU121="HH"),"EQH","")))</f>
        <v/>
      </c>
      <c r="ER121" s="15" t="str">
        <f>IF(OR(EG121="EQL",EG121="EQH"),F121,"")</f>
        <v/>
      </c>
      <c r="ES121" s="15" t="str">
        <f>IF(OR(EH121="EQL",EH121="EQH"),G121,"")</f>
        <v/>
      </c>
      <c r="ET121" s="15" t="str">
        <f>IF(OR(EI121="EQL",EI121="EQH"),H121,"")</f>
        <v/>
      </c>
      <c r="EU121" s="15" t="str">
        <f>IF(OR(EJ121="EQL",EJ121="EQH"),I121,"")</f>
        <v/>
      </c>
      <c r="EV121" s="15" t="str">
        <f>IF(OR(EK121="EQL",EK121="EQH"),J121,"")</f>
        <v/>
      </c>
      <c r="EW121" s="15" t="str">
        <f>IF(OR(EL121="EQL",EL121="EQH"),K121,"")</f>
        <v/>
      </c>
      <c r="EX121" s="15" t="str">
        <f>IF(OR(EM121="EQL",EM121="EQH"),L121,"")</f>
        <v/>
      </c>
      <c r="EY121" s="15" t="str">
        <f>IF(OR(EN121="EQL",EN121="EQH"),M121,"")</f>
        <v/>
      </c>
      <c r="EZ121" s="15" t="str">
        <f>IF(OR(EO121="EQL",EO121="EQH"),N121,"")</f>
        <v/>
      </c>
      <c r="FA121" s="15" t="str">
        <f>IF(OR(EP121="EQL",EP121="EQH"),O121,"")</f>
        <v/>
      </c>
      <c r="FB121" s="15" t="str">
        <f>IF(OR(EQ121="EQL",EQ121="EQH"),P121,"")</f>
        <v/>
      </c>
      <c r="FC121" s="15" t="str">
        <f>IF(AND(EG121="EQL",OR(AQ121=4,AQ121=5)),"IEQL",IF(AND(EG121="EQH",OR(AQ121=1,AQ121=2)),"IEQH",""))</f>
        <v/>
      </c>
      <c r="FD121" s="15" t="str">
        <f>IF(AND(EH121="EQL",OR(AR121=4,AR121=5)),"IEQL",IF(AND(EH121="EQH",OR(AR121=1,AR121=2)),"IEQH",""))</f>
        <v/>
      </c>
      <c r="FE121" s="15" t="str">
        <f>IF(AND(EI121="EQL",OR(AS121=4,AS121=5)),"IEQL",IF(AND(EI121="EQH",OR(AS121=1,AS121=2)),"IEQH",""))</f>
        <v/>
      </c>
      <c r="FF121" s="15" t="str">
        <f>IF(AND(EJ121="EQL",OR(AT121=4,AT121=5)),"IEQL",IF(AND(EJ121="EQH",OR(AT121=1,AT121=2)),"IEQH",""))</f>
        <v/>
      </c>
      <c r="FG121" s="15" t="str">
        <f>IF(AND(EK121="EQL",OR(AU121=4,AU121=5)),"IEQL",IF(AND(EK121="EQH",OR(AU121=1,AU121=2)),"IEQH",""))</f>
        <v/>
      </c>
      <c r="FH121" s="15" t="str">
        <f>IF(AND(EL121="EQL",OR(AV121=4,AV121=5)),"IEQL",IF(AND(EL121="EQH",OR(AV121=1,AV121=2)),"IEQH",""))</f>
        <v/>
      </c>
      <c r="FI121" s="15" t="str">
        <f>IF(AND(EM121="EQL",OR(AW121=4,AW121=5)),"IEQL",IF(AND(EM121="EQH",OR(AW121=1,AW121=2)),"IEQH",""))</f>
        <v/>
      </c>
      <c r="FJ121" s="15" t="str">
        <f>IF(AND(EN121="EQL",OR(AX121=4,AX121=5)),"IEQL",IF(AND(EN121="EQH",OR(AX121=1,AX121=2)),"IEQH",""))</f>
        <v/>
      </c>
      <c r="FK121" s="15" t="str">
        <f>IF(AND(EO121="EQL",OR(AY121=4,AY121=5)),"IEQL",IF(AND(EO121="EQH",OR(AY121=1,AY121=2)),"IEQH",""))</f>
        <v/>
      </c>
      <c r="FL121" s="15" t="str">
        <f>IF(AND(EP121="EQL",OR(AZ121=4,AZ121=5)),"IEQL",IF(AND(EP121="EQH",OR(AZ121=1,AZ121=2)),"IEQH",""))</f>
        <v/>
      </c>
      <c r="FM121" s="15" t="str">
        <f>IF(AND(EQ121="EQL",OR(BA121=4,BA121=5)),"IEQL",IF(AND(EQ121="EQH",OR(BA121=1,BA121=2)),"IEQH",""))</f>
        <v/>
      </c>
      <c r="FN121" s="15" t="str">
        <f>IF(OR(AND(DJ121="LL",AP121=5),AND(DJ121="HH",AP121=2)),F121,"")</f>
        <v/>
      </c>
      <c r="FO121" s="15" t="str">
        <f>IF(FN121&lt;&gt;"",F120,"")</f>
        <v/>
      </c>
    </row>
    <row r="122" spans="1:171" s="15" customFormat="1" x14ac:dyDescent="0.55000000000000004">
      <c r="A122" s="15">
        <v>1777005006</v>
      </c>
      <c r="B122" s="15" t="s">
        <v>16</v>
      </c>
      <c r="C122" s="15" t="s">
        <v>17</v>
      </c>
      <c r="D122" s="15">
        <v>4668.58</v>
      </c>
      <c r="E122" s="15" t="s">
        <v>18</v>
      </c>
      <c r="F122" s="15">
        <v>4658.17</v>
      </c>
      <c r="G122" s="15">
        <f t="shared" si="330"/>
        <v>4664.3</v>
      </c>
      <c r="H122" s="15">
        <f t="shared" si="340"/>
        <v>4684.26</v>
      </c>
      <c r="I122" s="15">
        <f t="shared" si="350"/>
        <v>4693.0600000000004</v>
      </c>
      <c r="J122" s="15">
        <f t="shared" si="360"/>
        <v>4694.34</v>
      </c>
      <c r="K122" s="15">
        <f t="shared" si="370"/>
        <v>4724.03</v>
      </c>
      <c r="L122" s="15">
        <f t="shared" si="380"/>
        <v>4668.6099999999997</v>
      </c>
      <c r="M122" s="15">
        <f t="shared" si="390"/>
        <v>4772.78</v>
      </c>
      <c r="N122" s="15">
        <f t="shared" si="400"/>
        <v>4792.42</v>
      </c>
      <c r="O122" s="15">
        <f t="shared" si="410"/>
        <v>4783.51</v>
      </c>
      <c r="P122" s="15">
        <f t="shared" si="420"/>
        <v>4779.8</v>
      </c>
      <c r="Q122" s="15">
        <f t="shared" si="430"/>
        <v>4736.96</v>
      </c>
      <c r="R122" s="15">
        <v>-53.06</v>
      </c>
      <c r="S122" s="15">
        <f t="shared" si="331"/>
        <v>-78.92</v>
      </c>
      <c r="T122" s="15">
        <f t="shared" si="341"/>
        <v>-40.630000000000003</v>
      </c>
      <c r="U122" s="15">
        <f t="shared" si="351"/>
        <v>-60.27</v>
      </c>
      <c r="V122" s="15">
        <f t="shared" si="361"/>
        <v>-55</v>
      </c>
      <c r="W122" s="15">
        <f t="shared" si="371"/>
        <v>-48.12</v>
      </c>
      <c r="X122" s="15">
        <f t="shared" si="381"/>
        <v>-129.30000000000001</v>
      </c>
      <c r="Y122" s="15">
        <f t="shared" si="391"/>
        <v>-60.47</v>
      </c>
      <c r="Z122" s="15">
        <f t="shared" si="401"/>
        <v>-35.32</v>
      </c>
      <c r="AA122" s="15">
        <f t="shared" si="411"/>
        <v>-22.28</v>
      </c>
      <c r="AB122" s="15">
        <f t="shared" si="421"/>
        <v>-34.479999999999997</v>
      </c>
      <c r="AC122" s="15">
        <f t="shared" si="431"/>
        <v>-152.25</v>
      </c>
      <c r="AD122" s="15">
        <v>-1.1299999999999999</v>
      </c>
      <c r="AE122" s="15">
        <f t="shared" si="332"/>
        <v>-1.66</v>
      </c>
      <c r="AF122" s="15">
        <f t="shared" si="342"/>
        <v>-0.86</v>
      </c>
      <c r="AG122" s="15">
        <f t="shared" si="352"/>
        <v>-1.27</v>
      </c>
      <c r="AH122" s="15">
        <f t="shared" si="362"/>
        <v>-1.1599999999999999</v>
      </c>
      <c r="AI122" s="15">
        <f t="shared" si="372"/>
        <v>-1.01</v>
      </c>
      <c r="AJ122" s="15">
        <f t="shared" si="382"/>
        <v>-2.69</v>
      </c>
      <c r="AK122" s="15">
        <f t="shared" si="392"/>
        <v>-1.25</v>
      </c>
      <c r="AL122" s="15">
        <f t="shared" si="402"/>
        <v>-0.73</v>
      </c>
      <c r="AM122" s="15">
        <f t="shared" si="412"/>
        <v>-0.46</v>
      </c>
      <c r="AN122" s="15">
        <f t="shared" si="422"/>
        <v>-0.72</v>
      </c>
      <c r="AO122" s="15">
        <f t="shared" si="432"/>
        <v>-3.11</v>
      </c>
      <c r="AP122" s="15">
        <v>3</v>
      </c>
      <c r="AQ122" s="15">
        <f t="shared" si="333"/>
        <v>3</v>
      </c>
      <c r="AR122" s="15">
        <f t="shared" si="343"/>
        <v>3</v>
      </c>
      <c r="AS122" s="15">
        <f t="shared" si="353"/>
        <v>3</v>
      </c>
      <c r="AT122" s="15">
        <f t="shared" si="363"/>
        <v>3</v>
      </c>
      <c r="AU122" s="15">
        <f t="shared" si="373"/>
        <v>3</v>
      </c>
      <c r="AV122" s="15">
        <f t="shared" si="383"/>
        <v>5</v>
      </c>
      <c r="AW122" s="15">
        <f t="shared" si="393"/>
        <v>3</v>
      </c>
      <c r="AX122" s="15">
        <f t="shared" si="403"/>
        <v>3</v>
      </c>
      <c r="AY122" s="15">
        <f t="shared" si="413"/>
        <v>3</v>
      </c>
      <c r="AZ122" s="15">
        <f t="shared" si="423"/>
        <v>3</v>
      </c>
      <c r="BA122" s="15">
        <f t="shared" si="433"/>
        <v>5</v>
      </c>
      <c r="BB122" s="15">
        <v>13</v>
      </c>
      <c r="BC122" s="15">
        <f t="shared" si="334"/>
        <v>20</v>
      </c>
      <c r="BD122" s="15">
        <f t="shared" si="344"/>
        <v>10</v>
      </c>
      <c r="BE122" s="15">
        <f t="shared" si="354"/>
        <v>19</v>
      </c>
      <c r="BF122" s="15">
        <f t="shared" si="364"/>
        <v>18</v>
      </c>
      <c r="BG122" s="15">
        <f t="shared" si="374"/>
        <v>38</v>
      </c>
      <c r="BH122" s="15">
        <f t="shared" si="384"/>
        <v>31</v>
      </c>
      <c r="BI122" s="15">
        <f t="shared" si="394"/>
        <v>35</v>
      </c>
      <c r="BJ122" s="15">
        <f t="shared" si="404"/>
        <v>1</v>
      </c>
      <c r="BK122" s="15">
        <f t="shared" si="414"/>
        <v>9</v>
      </c>
      <c r="BL122" s="15">
        <f t="shared" si="424"/>
        <v>15</v>
      </c>
      <c r="BM122" s="15">
        <f t="shared" si="434"/>
        <v>39</v>
      </c>
      <c r="BN122" s="15">
        <v>3</v>
      </c>
      <c r="BO122" s="15">
        <f t="shared" si="335"/>
        <v>3</v>
      </c>
      <c r="BP122" s="15">
        <f t="shared" si="345"/>
        <v>3</v>
      </c>
      <c r="BQ122" s="15">
        <f t="shared" si="355"/>
        <v>3</v>
      </c>
      <c r="BR122" s="15">
        <f t="shared" si="365"/>
        <v>3</v>
      </c>
      <c r="BS122" s="15">
        <f t="shared" si="375"/>
        <v>4</v>
      </c>
      <c r="BT122" s="15">
        <f t="shared" si="385"/>
        <v>3</v>
      </c>
      <c r="BU122" s="15">
        <f t="shared" si="395"/>
        <v>3</v>
      </c>
      <c r="BV122" s="15">
        <f t="shared" si="405"/>
        <v>3</v>
      </c>
      <c r="BW122" s="15">
        <f t="shared" si="415"/>
        <v>3</v>
      </c>
      <c r="BX122" s="15">
        <f t="shared" si="425"/>
        <v>3</v>
      </c>
      <c r="BY122" s="15">
        <f t="shared" si="435"/>
        <v>4</v>
      </c>
      <c r="BZ122" s="15">
        <v>-4.0815400000000004</v>
      </c>
      <c r="CA122" s="15">
        <f t="shared" si="336"/>
        <v>-3.9460000000000002</v>
      </c>
      <c r="CB122" s="15">
        <f t="shared" si="346"/>
        <v>-4.0629999999999997</v>
      </c>
      <c r="CC122" s="15">
        <f t="shared" si="356"/>
        <v>-3.17211</v>
      </c>
      <c r="CD122" s="15">
        <f t="shared" si="366"/>
        <v>-3.0555599999999998</v>
      </c>
      <c r="CE122" s="15">
        <f t="shared" si="376"/>
        <v>-1.2663199999999999</v>
      </c>
      <c r="CF122" s="15">
        <f t="shared" si="386"/>
        <v>-4.1709699999999996</v>
      </c>
      <c r="CG122" s="15">
        <f t="shared" si="396"/>
        <v>-1.7277100000000001</v>
      </c>
      <c r="CH122" s="15">
        <f t="shared" si="406"/>
        <v>-35.32</v>
      </c>
      <c r="CI122" s="15">
        <f t="shared" si="416"/>
        <v>-2.4755600000000002</v>
      </c>
      <c r="CJ122" s="15">
        <f t="shared" si="426"/>
        <v>-2.29867</v>
      </c>
      <c r="CK122" s="15">
        <f t="shared" si="436"/>
        <v>-3.9038499999999998</v>
      </c>
      <c r="CL122" s="15">
        <v>3</v>
      </c>
      <c r="CM122" s="15">
        <f t="shared" si="337"/>
        <v>3</v>
      </c>
      <c r="CN122" s="15">
        <f t="shared" si="347"/>
        <v>3</v>
      </c>
      <c r="CO122" s="15">
        <f t="shared" si="357"/>
        <v>3</v>
      </c>
      <c r="CP122" s="15">
        <f t="shared" si="367"/>
        <v>3</v>
      </c>
      <c r="CQ122" s="15">
        <f t="shared" si="377"/>
        <v>3</v>
      </c>
      <c r="CR122" s="15">
        <f t="shared" si="387"/>
        <v>3</v>
      </c>
      <c r="CS122" s="15">
        <f t="shared" si="397"/>
        <v>3</v>
      </c>
      <c r="CT122" s="15">
        <f t="shared" si="407"/>
        <v>5</v>
      </c>
      <c r="CU122" s="15">
        <f t="shared" si="417"/>
        <v>3</v>
      </c>
      <c r="CV122" s="15">
        <f t="shared" si="427"/>
        <v>3</v>
      </c>
      <c r="CW122" s="15">
        <f t="shared" si="437"/>
        <v>3</v>
      </c>
      <c r="CX122" s="15">
        <v>-76.233400000000003</v>
      </c>
      <c r="CY122" s="15">
        <f t="shared" si="338"/>
        <v>-75.779399999999995</v>
      </c>
      <c r="CZ122" s="15">
        <f t="shared" si="348"/>
        <v>-76.173000000000002</v>
      </c>
      <c r="DA122" s="15">
        <f t="shared" si="358"/>
        <v>-72.502600000000001</v>
      </c>
      <c r="DB122" s="15">
        <f t="shared" si="368"/>
        <v>-71.878100000000003</v>
      </c>
      <c r="DC122" s="15">
        <f t="shared" si="378"/>
        <v>-51.702100000000002</v>
      </c>
      <c r="DD122" s="15">
        <f t="shared" si="388"/>
        <v>-76.517700000000005</v>
      </c>
      <c r="DE122" s="15">
        <f t="shared" si="398"/>
        <v>-59.937800000000003</v>
      </c>
      <c r="DF122" s="15">
        <f t="shared" si="408"/>
        <v>-88.378200000000007</v>
      </c>
      <c r="DG122" s="15">
        <f t="shared" si="418"/>
        <v>-68.003799999999998</v>
      </c>
      <c r="DH122" s="15">
        <f t="shared" si="428"/>
        <v>-66.4893</v>
      </c>
      <c r="DI122" s="15">
        <f t="shared" si="438"/>
        <v>-75.632199999999997</v>
      </c>
      <c r="DJ122" s="15" t="s">
        <v>19</v>
      </c>
      <c r="DK122" s="15" t="str">
        <f t="shared" si="339"/>
        <v>LL</v>
      </c>
      <c r="DL122" s="15" t="str">
        <f t="shared" si="349"/>
        <v>LL</v>
      </c>
      <c r="DM122" s="15" t="str">
        <f t="shared" si="359"/>
        <v>LL</v>
      </c>
      <c r="DN122" s="15" t="str">
        <f t="shared" si="369"/>
        <v>LL</v>
      </c>
      <c r="DO122" s="15" t="str">
        <f t="shared" si="379"/>
        <v>HL</v>
      </c>
      <c r="DP122" s="15" t="str">
        <f t="shared" si="389"/>
        <v>LL</v>
      </c>
      <c r="DQ122" s="15" t="str">
        <f t="shared" si="399"/>
        <v>LL</v>
      </c>
      <c r="DR122" s="15" t="str">
        <f t="shared" si="409"/>
        <v>HL</v>
      </c>
      <c r="DS122" s="15" t="str">
        <f t="shared" si="419"/>
        <v>HL</v>
      </c>
      <c r="DT122" s="15" t="str">
        <f t="shared" si="429"/>
        <v>HL</v>
      </c>
      <c r="DU122" s="15" t="str">
        <f t="shared" si="439"/>
        <v>LL</v>
      </c>
      <c r="DV122" s="15">
        <f>IFERROR((G122-$F122)/$F122*100,"")</f>
        <v>0.13159674292694576</v>
      </c>
      <c r="DW122" s="15">
        <f>IFERROR((H122-$F122)/$F122*100,"")</f>
        <v>0.56009119461076229</v>
      </c>
      <c r="DX122" s="15">
        <f>IFERROR((I122-$F122)/$F122*100,"")</f>
        <v>0.74900658413068499</v>
      </c>
      <c r="DY122" s="15">
        <f>IFERROR((J122-$F122)/$F122*100,"")</f>
        <v>0.77648518624266771</v>
      </c>
      <c r="DZ122" s="15">
        <f>IFERROR((K122-$F122)/$F122*100,"")</f>
        <v>1.413859949293385</v>
      </c>
      <c r="EA122" s="15">
        <f>IFERROR((L122-$F122)/$F122*100,"")</f>
        <v>0.22412234847589504</v>
      </c>
      <c r="EB122" s="15">
        <f>IFERROR((M122-$F122)/$F122*100,"")</f>
        <v>2.460408271917935</v>
      </c>
      <c r="EC122" s="15">
        <f>IFERROR((N122-$F122)/$F122*100,"")</f>
        <v>2.8820330730737607</v>
      </c>
      <c r="ED122" s="15">
        <f>IFERROR((O122-$F122)/$F122*100,"")</f>
        <v>2.6907562411848462</v>
      </c>
      <c r="EE122" s="15">
        <f>IFERROR((P122-$F122)/$F122*100,"")</f>
        <v>2.6111112303758794</v>
      </c>
      <c r="EF122" s="15">
        <f>IFERROR((Q122-$F122)/$F122*100,"")</f>
        <v>1.691436765940272</v>
      </c>
      <c r="EG122" s="15" t="str">
        <f>IF(DV122="","",IF(AND(ABS(DV122)&lt;=0.25,$E122="Bottom",DK122="LL"),"EQL",IF(AND(ABS(DV122)&lt;=0.25,$E122="Peak",DK122="HH"),"EQH","")))</f>
        <v>EQL</v>
      </c>
      <c r="EH122" s="15" t="str">
        <f>IF(DW122="","",IF(AND(ABS(DW122)&lt;=0.25,$E122="Bottom",DL122="LL"),"EQL",IF(AND(ABS(DW122)&lt;=0.25,$E122="Peak",DL122="HH"),"EQH","")))</f>
        <v/>
      </c>
      <c r="EI122" s="15" t="str">
        <f>IF(DX122="","",IF(AND(ABS(DX122)&lt;=0.25,$E122="Bottom",DM122="LL"),"EQL",IF(AND(ABS(DX122)&lt;=0.25,$E122="Peak",DM122="HH"),"EQH","")))</f>
        <v/>
      </c>
      <c r="EJ122" s="15" t="str">
        <f>IF(DY122="","",IF(AND(ABS(DY122)&lt;=0.25,$E122="Bottom",DN122="LL"),"EQL",IF(AND(ABS(DY122)&lt;=0.25,$E122="Peak",DN122="HH"),"EQH","")))</f>
        <v/>
      </c>
      <c r="EK122" s="15" t="str">
        <f>IF(DZ122="","",IF(AND(ABS(DZ122)&lt;=0.25,$E122="Bottom",DO122="LL"),"EQL",IF(AND(ABS(DZ122)&lt;=0.25,$E122="Peak",DO122="HH"),"EQH","")))</f>
        <v/>
      </c>
      <c r="EL122" s="15" t="str">
        <f>IF(EA122="","",IF(AND(ABS(EA122)&lt;=0.25,$E122="Bottom",DP122="LL"),"EQL",IF(AND(ABS(EA122)&lt;=0.25,$E122="Peak",DP122="HH"),"EQH","")))</f>
        <v>EQL</v>
      </c>
      <c r="EM122" s="15" t="str">
        <f>IF(EB122="","",IF(AND(ABS(EB122)&lt;=0.25,$E122="Bottom",DQ122="LL"),"EQL",IF(AND(ABS(EB122)&lt;=0.25,$E122="Peak",DQ122="HH"),"EQH","")))</f>
        <v/>
      </c>
      <c r="EN122" s="15" t="str">
        <f>IF(EC122="","",IF(AND(ABS(EC122)&lt;=0.25,$E122="Bottom",DR122="LL"),"EQL",IF(AND(ABS(EC122)&lt;=0.25,$E122="Peak",DR122="HH"),"EQH","")))</f>
        <v/>
      </c>
      <c r="EO122" s="15" t="str">
        <f>IF(ED122="","",IF(AND(ABS(ED122)&lt;=0.25,$E122="Bottom",DS122="LL"),"EQL",IF(AND(ABS(ED122)&lt;=0.25,$E122="Peak",DS122="HH"),"EQH","")))</f>
        <v/>
      </c>
      <c r="EP122" s="15" t="str">
        <f>IF(EE122="","",IF(AND(ABS(EE122)&lt;=0.25,$E122="Bottom",DT122="LL"),"EQL",IF(AND(ABS(EE122)&lt;=0.25,$E122="Peak",DT122="HH"),"EQH","")))</f>
        <v/>
      </c>
      <c r="EQ122" s="15" t="str">
        <f>IF(EF122="","",IF(AND(ABS(EF122)&lt;=0.25,$E122="Bottom",DU122="LL"),"EQL",IF(AND(ABS(EF122)&lt;=0.25,$E122="Peak",DU122="HH"),"EQH","")))</f>
        <v/>
      </c>
      <c r="ER122" s="15">
        <f>IF(OR(EG122="EQL",EG122="EQH"),F122,"")</f>
        <v>4658.17</v>
      </c>
      <c r="ES122" s="15" t="str">
        <f>IF(OR(EH122="EQL",EH122="EQH"),G122,"")</f>
        <v/>
      </c>
      <c r="ET122" s="15" t="str">
        <f>IF(OR(EI122="EQL",EI122="EQH"),H122,"")</f>
        <v/>
      </c>
      <c r="EU122" s="15" t="str">
        <f>IF(OR(EJ122="EQL",EJ122="EQH"),I122,"")</f>
        <v/>
      </c>
      <c r="EV122" s="15" t="str">
        <f>IF(OR(EK122="EQL",EK122="EQH"),J122,"")</f>
        <v/>
      </c>
      <c r="EW122" s="15">
        <f>IF(OR(EL122="EQL",EL122="EQH"),K122,"")</f>
        <v>4724.03</v>
      </c>
      <c r="EX122" s="15" t="str">
        <f>IF(OR(EM122="EQL",EM122="EQH"),L122,"")</f>
        <v/>
      </c>
      <c r="EY122" s="15" t="str">
        <f>IF(OR(EN122="EQL",EN122="EQH"),M122,"")</f>
        <v/>
      </c>
      <c r="EZ122" s="15" t="str">
        <f>IF(OR(EO122="EQL",EO122="EQH"),N122,"")</f>
        <v/>
      </c>
      <c r="FA122" s="15" t="str">
        <f>IF(OR(EP122="EQL",EP122="EQH"),O122,"")</f>
        <v/>
      </c>
      <c r="FB122" s="15" t="str">
        <f>IF(OR(EQ122="EQL",EQ122="EQH"),P122,"")</f>
        <v/>
      </c>
      <c r="FC122" s="15" t="str">
        <f>IF(AND(EG122="EQL",OR(AQ122=4,AQ122=5)),"IEQL",IF(AND(EG122="EQH",OR(AQ122=1,AQ122=2)),"IEQH",""))</f>
        <v/>
      </c>
      <c r="FD122" s="15" t="str">
        <f>IF(AND(EH122="EQL",OR(AR122=4,AR122=5)),"IEQL",IF(AND(EH122="EQH",OR(AR122=1,AR122=2)),"IEQH",""))</f>
        <v/>
      </c>
      <c r="FE122" s="15" t="str">
        <f>IF(AND(EI122="EQL",OR(AS122=4,AS122=5)),"IEQL",IF(AND(EI122="EQH",OR(AS122=1,AS122=2)),"IEQH",""))</f>
        <v/>
      </c>
      <c r="FF122" s="15" t="str">
        <f>IF(AND(EJ122="EQL",OR(AT122=4,AT122=5)),"IEQL",IF(AND(EJ122="EQH",OR(AT122=1,AT122=2)),"IEQH",""))</f>
        <v/>
      </c>
      <c r="FG122" s="15" t="str">
        <f>IF(AND(EK122="EQL",OR(AU122=4,AU122=5)),"IEQL",IF(AND(EK122="EQH",OR(AU122=1,AU122=2)),"IEQH",""))</f>
        <v/>
      </c>
      <c r="FH122" s="15" t="str">
        <f>IF(AND(EL122="EQL",OR(AV122=4,AV122=5)),"IEQL",IF(AND(EL122="EQH",OR(AV122=1,AV122=2)),"IEQH",""))</f>
        <v>IEQL</v>
      </c>
      <c r="FI122" s="15" t="str">
        <f>IF(AND(EM122="EQL",OR(AW122=4,AW122=5)),"IEQL",IF(AND(EM122="EQH",OR(AW122=1,AW122=2)),"IEQH",""))</f>
        <v/>
      </c>
      <c r="FJ122" s="15" t="str">
        <f>IF(AND(EN122="EQL",OR(AX122=4,AX122=5)),"IEQL",IF(AND(EN122="EQH",OR(AX122=1,AX122=2)),"IEQH",""))</f>
        <v/>
      </c>
      <c r="FK122" s="15" t="str">
        <f>IF(AND(EO122="EQL",OR(AY122=4,AY122=5)),"IEQL",IF(AND(EO122="EQH",OR(AY122=1,AY122=2)),"IEQH",""))</f>
        <v/>
      </c>
      <c r="FL122" s="15" t="str">
        <f>IF(AND(EP122="EQL",OR(AZ122=4,AZ122=5)),"IEQL",IF(AND(EP122="EQH",OR(AZ122=1,AZ122=2)),"IEQH",""))</f>
        <v/>
      </c>
      <c r="FM122" s="15" t="str">
        <f>IF(AND(EQ122="EQL",OR(BA122=4,BA122=5)),"IEQL",IF(AND(EQ122="EQH",OR(BA122=1,BA122=2)),"IEQH",""))</f>
        <v/>
      </c>
      <c r="FN122" s="15" t="str">
        <f>IF(OR(AND(DJ122="LL",AP122=5),AND(DJ122="HH",AP122=2)),F122,"")</f>
        <v/>
      </c>
      <c r="FO122" s="15" t="str">
        <f>IF(FN122&lt;&gt;"",F121,"")</f>
        <v/>
      </c>
    </row>
    <row r="123" spans="1:171" s="15" customFormat="1" x14ac:dyDescent="0.55000000000000004">
      <c r="A123" s="15">
        <v>1777018506</v>
      </c>
      <c r="B123" s="15" t="s">
        <v>16</v>
      </c>
      <c r="C123" s="15" t="s">
        <v>17</v>
      </c>
      <c r="D123" s="15">
        <v>4687.83</v>
      </c>
      <c r="E123" s="15" t="s">
        <v>20</v>
      </c>
      <c r="F123" s="15">
        <v>4697.42</v>
      </c>
      <c r="G123" s="15">
        <f t="shared" si="330"/>
        <v>4711.2299999999996</v>
      </c>
      <c r="H123" s="15">
        <f t="shared" si="340"/>
        <v>4743.22</v>
      </c>
      <c r="I123" s="15">
        <f t="shared" si="350"/>
        <v>4724.8900000000003</v>
      </c>
      <c r="J123" s="15">
        <f t="shared" si="360"/>
        <v>4753.33</v>
      </c>
      <c r="K123" s="15">
        <f t="shared" si="370"/>
        <v>4749.34</v>
      </c>
      <c r="L123" s="15">
        <f t="shared" si="380"/>
        <v>4772.1499999999996</v>
      </c>
      <c r="M123" s="15">
        <f t="shared" si="390"/>
        <v>4797.91</v>
      </c>
      <c r="N123" s="15">
        <f t="shared" si="400"/>
        <v>4833.25</v>
      </c>
      <c r="O123" s="15">
        <f t="shared" si="410"/>
        <v>4827.74</v>
      </c>
      <c r="P123" s="15">
        <f t="shared" si="420"/>
        <v>4805.79</v>
      </c>
      <c r="Q123" s="15">
        <f t="shared" si="430"/>
        <v>4814.28</v>
      </c>
      <c r="R123" s="15">
        <v>39.25</v>
      </c>
      <c r="S123" s="15">
        <f t="shared" si="331"/>
        <v>46.93</v>
      </c>
      <c r="T123" s="15">
        <f t="shared" si="341"/>
        <v>58.96</v>
      </c>
      <c r="U123" s="15">
        <f t="shared" si="351"/>
        <v>31.83</v>
      </c>
      <c r="V123" s="15">
        <f t="shared" si="361"/>
        <v>58.99</v>
      </c>
      <c r="W123" s="15">
        <f t="shared" si="371"/>
        <v>25.31</v>
      </c>
      <c r="X123" s="15">
        <f t="shared" si="381"/>
        <v>103.54</v>
      </c>
      <c r="Y123" s="15">
        <f t="shared" si="391"/>
        <v>25.13</v>
      </c>
      <c r="Z123" s="15">
        <f t="shared" si="401"/>
        <v>40.83</v>
      </c>
      <c r="AA123" s="15">
        <f t="shared" si="411"/>
        <v>44.23</v>
      </c>
      <c r="AB123" s="15">
        <f t="shared" si="421"/>
        <v>25.99</v>
      </c>
      <c r="AC123" s="15">
        <f t="shared" si="431"/>
        <v>77.319999999999993</v>
      </c>
      <c r="AD123" s="15">
        <v>0.84</v>
      </c>
      <c r="AE123" s="15">
        <f t="shared" si="332"/>
        <v>1.01</v>
      </c>
      <c r="AF123" s="15">
        <f t="shared" si="342"/>
        <v>1.26</v>
      </c>
      <c r="AG123" s="15">
        <f t="shared" si="352"/>
        <v>0.68</v>
      </c>
      <c r="AH123" s="15">
        <f t="shared" si="362"/>
        <v>1.26</v>
      </c>
      <c r="AI123" s="15">
        <f t="shared" si="372"/>
        <v>0.54</v>
      </c>
      <c r="AJ123" s="15">
        <f t="shared" si="382"/>
        <v>2.2200000000000002</v>
      </c>
      <c r="AK123" s="15">
        <f t="shared" si="392"/>
        <v>0.53</v>
      </c>
      <c r="AL123" s="15">
        <f t="shared" si="402"/>
        <v>0.85</v>
      </c>
      <c r="AM123" s="15">
        <f t="shared" si="412"/>
        <v>0.92</v>
      </c>
      <c r="AN123" s="15">
        <f t="shared" si="422"/>
        <v>0.54</v>
      </c>
      <c r="AO123" s="15">
        <f t="shared" si="432"/>
        <v>1.63</v>
      </c>
      <c r="AP123" s="15">
        <v>0</v>
      </c>
      <c r="AQ123" s="15">
        <f t="shared" si="333"/>
        <v>0</v>
      </c>
      <c r="AR123" s="15">
        <f t="shared" si="343"/>
        <v>0</v>
      </c>
      <c r="AS123" s="15">
        <f t="shared" si="353"/>
        <v>0</v>
      </c>
      <c r="AT123" s="15">
        <f t="shared" si="363"/>
        <v>0</v>
      </c>
      <c r="AU123" s="15">
        <f t="shared" si="373"/>
        <v>0</v>
      </c>
      <c r="AV123" s="15">
        <f t="shared" si="383"/>
        <v>1</v>
      </c>
      <c r="AW123" s="15">
        <f t="shared" si="393"/>
        <v>0</v>
      </c>
      <c r="AX123" s="15">
        <f t="shared" si="403"/>
        <v>0</v>
      </c>
      <c r="AY123" s="15">
        <f t="shared" si="413"/>
        <v>0</v>
      </c>
      <c r="AZ123" s="15">
        <f t="shared" si="423"/>
        <v>0</v>
      </c>
      <c r="BA123" s="15">
        <f t="shared" si="433"/>
        <v>0</v>
      </c>
      <c r="BB123" s="15">
        <v>15</v>
      </c>
      <c r="BC123" s="15">
        <f t="shared" si="334"/>
        <v>26</v>
      </c>
      <c r="BD123" s="15">
        <f t="shared" si="344"/>
        <v>9</v>
      </c>
      <c r="BE123" s="15">
        <f t="shared" si="354"/>
        <v>10</v>
      </c>
      <c r="BF123" s="15">
        <f t="shared" si="364"/>
        <v>2</v>
      </c>
      <c r="BG123" s="15">
        <f t="shared" si="374"/>
        <v>9</v>
      </c>
      <c r="BH123" s="15">
        <f t="shared" si="384"/>
        <v>42</v>
      </c>
      <c r="BI123" s="15">
        <f t="shared" si="394"/>
        <v>19</v>
      </c>
      <c r="BJ123" s="15">
        <f t="shared" si="404"/>
        <v>26</v>
      </c>
      <c r="BK123" s="15">
        <f t="shared" si="414"/>
        <v>20</v>
      </c>
      <c r="BL123" s="15">
        <f t="shared" si="424"/>
        <v>7</v>
      </c>
      <c r="BM123" s="15">
        <f t="shared" si="434"/>
        <v>8</v>
      </c>
      <c r="BN123" s="15">
        <v>0</v>
      </c>
      <c r="BO123" s="15">
        <f t="shared" si="335"/>
        <v>0</v>
      </c>
      <c r="BP123" s="15">
        <f t="shared" si="345"/>
        <v>0</v>
      </c>
      <c r="BQ123" s="15">
        <f t="shared" si="355"/>
        <v>0</v>
      </c>
      <c r="BR123" s="15">
        <f t="shared" si="365"/>
        <v>0</v>
      </c>
      <c r="BS123" s="15">
        <f t="shared" si="375"/>
        <v>0</v>
      </c>
      <c r="BT123" s="15">
        <f t="shared" si="385"/>
        <v>1</v>
      </c>
      <c r="BU123" s="15">
        <f t="shared" si="395"/>
        <v>0</v>
      </c>
      <c r="BV123" s="15">
        <f t="shared" si="405"/>
        <v>0</v>
      </c>
      <c r="BW123" s="15">
        <f t="shared" si="415"/>
        <v>0</v>
      </c>
      <c r="BX123" s="15">
        <f t="shared" si="425"/>
        <v>0</v>
      </c>
      <c r="BY123" s="15">
        <f t="shared" si="435"/>
        <v>0</v>
      </c>
      <c r="BZ123" s="15">
        <v>2.6166700000000001</v>
      </c>
      <c r="CA123" s="15">
        <f t="shared" si="336"/>
        <v>1.8049999999999999</v>
      </c>
      <c r="CB123" s="15">
        <f t="shared" si="346"/>
        <v>6.5511100000000004</v>
      </c>
      <c r="CC123" s="15">
        <f t="shared" si="356"/>
        <v>3.1829999999999998</v>
      </c>
      <c r="CD123" s="15">
        <f t="shared" si="366"/>
        <v>29.495000000000001</v>
      </c>
      <c r="CE123" s="15">
        <f t="shared" si="376"/>
        <v>2.8122199999999999</v>
      </c>
      <c r="CF123" s="15">
        <f t="shared" si="386"/>
        <v>2.4652400000000001</v>
      </c>
      <c r="CG123" s="15">
        <f t="shared" si="396"/>
        <v>1.32263</v>
      </c>
      <c r="CH123" s="15">
        <f t="shared" si="406"/>
        <v>1.5703800000000001</v>
      </c>
      <c r="CI123" s="15">
        <f t="shared" si="416"/>
        <v>2.2115</v>
      </c>
      <c r="CJ123" s="15">
        <f t="shared" si="426"/>
        <v>3.71286</v>
      </c>
      <c r="CK123" s="15">
        <f t="shared" si="436"/>
        <v>9.6649999999999991</v>
      </c>
      <c r="CL123" s="15">
        <v>0</v>
      </c>
      <c r="CM123" s="15">
        <f t="shared" si="337"/>
        <v>0</v>
      </c>
      <c r="CN123" s="15">
        <f t="shared" si="347"/>
        <v>0</v>
      </c>
      <c r="CO123" s="15">
        <f t="shared" si="357"/>
        <v>0</v>
      </c>
      <c r="CP123" s="15">
        <f t="shared" si="367"/>
        <v>2</v>
      </c>
      <c r="CQ123" s="15">
        <f t="shared" si="377"/>
        <v>0</v>
      </c>
      <c r="CR123" s="15">
        <f t="shared" si="387"/>
        <v>0</v>
      </c>
      <c r="CS123" s="15">
        <f t="shared" si="397"/>
        <v>0</v>
      </c>
      <c r="CT123" s="15">
        <f t="shared" si="407"/>
        <v>0</v>
      </c>
      <c r="CU123" s="15">
        <f t="shared" si="417"/>
        <v>0</v>
      </c>
      <c r="CV123" s="15">
        <f t="shared" si="427"/>
        <v>0</v>
      </c>
      <c r="CW123" s="15">
        <f t="shared" si="437"/>
        <v>1</v>
      </c>
      <c r="CX123" s="15">
        <v>69.084900000000005</v>
      </c>
      <c r="CY123" s="15">
        <f t="shared" si="338"/>
        <v>61.012799999999999</v>
      </c>
      <c r="CZ123" s="15">
        <f t="shared" si="348"/>
        <v>81.320999999999998</v>
      </c>
      <c r="DA123" s="15">
        <f t="shared" si="358"/>
        <v>72.558899999999994</v>
      </c>
      <c r="DB123" s="15">
        <f t="shared" si="368"/>
        <v>88.058199999999999</v>
      </c>
      <c r="DC123" s="15">
        <f t="shared" si="378"/>
        <v>70.4251</v>
      </c>
      <c r="DD123" s="15">
        <f t="shared" si="388"/>
        <v>67.920500000000004</v>
      </c>
      <c r="DE123" s="15">
        <f t="shared" si="398"/>
        <v>52.908200000000001</v>
      </c>
      <c r="DF123" s="15">
        <f t="shared" si="408"/>
        <v>57.511600000000001</v>
      </c>
      <c r="DG123" s="15">
        <f t="shared" si="418"/>
        <v>65.668400000000005</v>
      </c>
      <c r="DH123" s="15">
        <f t="shared" si="428"/>
        <v>74.926000000000002</v>
      </c>
      <c r="DI123" s="15">
        <f t="shared" si="438"/>
        <v>84.092799999999997</v>
      </c>
      <c r="DJ123" s="15" t="s">
        <v>21</v>
      </c>
      <c r="DK123" s="15" t="str">
        <f t="shared" si="339"/>
        <v>LH</v>
      </c>
      <c r="DL123" s="15" t="str">
        <f t="shared" si="349"/>
        <v>HH</v>
      </c>
      <c r="DM123" s="15" t="str">
        <f t="shared" si="359"/>
        <v>LH</v>
      </c>
      <c r="DN123" s="15" t="str">
        <f t="shared" si="369"/>
        <v>HH</v>
      </c>
      <c r="DO123" s="15" t="str">
        <f t="shared" si="379"/>
        <v>LH</v>
      </c>
      <c r="DP123" s="15" t="str">
        <f t="shared" si="389"/>
        <v>LH</v>
      </c>
      <c r="DQ123" s="15" t="str">
        <f t="shared" si="399"/>
        <v>LH</v>
      </c>
      <c r="DR123" s="15" t="str">
        <f t="shared" si="409"/>
        <v>HH</v>
      </c>
      <c r="DS123" s="15" t="str">
        <f t="shared" si="419"/>
        <v>HH</v>
      </c>
      <c r="DT123" s="15" t="str">
        <f t="shared" si="429"/>
        <v>LH</v>
      </c>
      <c r="DU123" s="15" t="str">
        <f t="shared" si="439"/>
        <v>LH</v>
      </c>
      <c r="DV123" s="15">
        <f>IFERROR((G123-$F123)/$F123*100,"")</f>
        <v>0.29399116962075972</v>
      </c>
      <c r="DW123" s="15">
        <f>IFERROR((H123-$F123)/$F123*100,"")</f>
        <v>0.97500329968365995</v>
      </c>
      <c r="DX123" s="15">
        <f>IFERROR((I123-$F123)/$F123*100,"")</f>
        <v>0.58478909699367421</v>
      </c>
      <c r="DY123" s="15">
        <f>IFERROR((J123-$F123)/$F123*100,"")</f>
        <v>1.1902278271902418</v>
      </c>
      <c r="DZ123" s="15">
        <f>IFERROR((K123-$F123)/$F123*100,"")</f>
        <v>1.1052875833968447</v>
      </c>
      <c r="EA123" s="15">
        <f>IFERROR((L123-$F123)/$F123*100,"")</f>
        <v>1.590873287889939</v>
      </c>
      <c r="EB123" s="15">
        <f>IFERROR((M123-$F123)/$F123*100,"")</f>
        <v>2.1392594232578688</v>
      </c>
      <c r="EC123" s="15">
        <f>IFERROR((N123-$F123)/$F123*100,"")</f>
        <v>2.8915872968565708</v>
      </c>
      <c r="ED123" s="15">
        <f>IFERROR((O123-$F123)/$F123*100,"")</f>
        <v>2.7742888649513926</v>
      </c>
      <c r="EE123" s="15">
        <f>IFERROR((P123-$F123)/$F123*100,"")</f>
        <v>2.3070110826794261</v>
      </c>
      <c r="EF123" s="15">
        <f>IFERROR((Q123-$F123)/$F123*100,"")</f>
        <v>2.4877485939089898</v>
      </c>
      <c r="EG123" s="15" t="str">
        <f>IF(DV123="","",IF(AND(ABS(DV123)&lt;=0.25,$E123="Bottom",DK123="LL"),"EQL",IF(AND(ABS(DV123)&lt;=0.25,$E123="Peak",DK123="HH"),"EQH","")))</f>
        <v/>
      </c>
      <c r="EH123" s="15" t="str">
        <f>IF(DW123="","",IF(AND(ABS(DW123)&lt;=0.25,$E123="Bottom",DL123="LL"),"EQL",IF(AND(ABS(DW123)&lt;=0.25,$E123="Peak",DL123="HH"),"EQH","")))</f>
        <v/>
      </c>
      <c r="EI123" s="15" t="str">
        <f>IF(DX123="","",IF(AND(ABS(DX123)&lt;=0.25,$E123="Bottom",DM123="LL"),"EQL",IF(AND(ABS(DX123)&lt;=0.25,$E123="Peak",DM123="HH"),"EQH","")))</f>
        <v/>
      </c>
      <c r="EJ123" s="15" t="str">
        <f>IF(DY123="","",IF(AND(ABS(DY123)&lt;=0.25,$E123="Bottom",DN123="LL"),"EQL",IF(AND(ABS(DY123)&lt;=0.25,$E123="Peak",DN123="HH"),"EQH","")))</f>
        <v/>
      </c>
      <c r="EK123" s="15" t="str">
        <f>IF(DZ123="","",IF(AND(ABS(DZ123)&lt;=0.25,$E123="Bottom",DO123="LL"),"EQL",IF(AND(ABS(DZ123)&lt;=0.25,$E123="Peak",DO123="HH"),"EQH","")))</f>
        <v/>
      </c>
      <c r="EL123" s="15" t="str">
        <f>IF(EA123="","",IF(AND(ABS(EA123)&lt;=0.25,$E123="Bottom",DP123="LL"),"EQL",IF(AND(ABS(EA123)&lt;=0.25,$E123="Peak",DP123="HH"),"EQH","")))</f>
        <v/>
      </c>
      <c r="EM123" s="15" t="str">
        <f>IF(EB123="","",IF(AND(ABS(EB123)&lt;=0.25,$E123="Bottom",DQ123="LL"),"EQL",IF(AND(ABS(EB123)&lt;=0.25,$E123="Peak",DQ123="HH"),"EQH","")))</f>
        <v/>
      </c>
      <c r="EN123" s="15" t="str">
        <f>IF(EC123="","",IF(AND(ABS(EC123)&lt;=0.25,$E123="Bottom",DR123="LL"),"EQL",IF(AND(ABS(EC123)&lt;=0.25,$E123="Peak",DR123="HH"),"EQH","")))</f>
        <v/>
      </c>
      <c r="EO123" s="15" t="str">
        <f>IF(ED123="","",IF(AND(ABS(ED123)&lt;=0.25,$E123="Bottom",DS123="LL"),"EQL",IF(AND(ABS(ED123)&lt;=0.25,$E123="Peak",DS123="HH"),"EQH","")))</f>
        <v/>
      </c>
      <c r="EP123" s="15" t="str">
        <f>IF(EE123="","",IF(AND(ABS(EE123)&lt;=0.25,$E123="Bottom",DT123="LL"),"EQL",IF(AND(ABS(EE123)&lt;=0.25,$E123="Peak",DT123="HH"),"EQH","")))</f>
        <v/>
      </c>
      <c r="EQ123" s="15" t="str">
        <f>IF(EF123="","",IF(AND(ABS(EF123)&lt;=0.25,$E123="Bottom",DU123="LL"),"EQL",IF(AND(ABS(EF123)&lt;=0.25,$E123="Peak",DU123="HH"),"EQH","")))</f>
        <v/>
      </c>
      <c r="ER123" s="15" t="str">
        <f>IF(OR(EG123="EQL",EG123="EQH"),F123,"")</f>
        <v/>
      </c>
      <c r="ES123" s="15" t="str">
        <f>IF(OR(EH123="EQL",EH123="EQH"),G123,"")</f>
        <v/>
      </c>
      <c r="ET123" s="15" t="str">
        <f>IF(OR(EI123="EQL",EI123="EQH"),H123,"")</f>
        <v/>
      </c>
      <c r="EU123" s="15" t="str">
        <f>IF(OR(EJ123="EQL",EJ123="EQH"),I123,"")</f>
        <v/>
      </c>
      <c r="EV123" s="15" t="str">
        <f>IF(OR(EK123="EQL",EK123="EQH"),J123,"")</f>
        <v/>
      </c>
      <c r="EW123" s="15" t="str">
        <f>IF(OR(EL123="EQL",EL123="EQH"),K123,"")</f>
        <v/>
      </c>
      <c r="EX123" s="15" t="str">
        <f>IF(OR(EM123="EQL",EM123="EQH"),L123,"")</f>
        <v/>
      </c>
      <c r="EY123" s="15" t="str">
        <f>IF(OR(EN123="EQL",EN123="EQH"),M123,"")</f>
        <v/>
      </c>
      <c r="EZ123" s="15" t="str">
        <f>IF(OR(EO123="EQL",EO123="EQH"),N123,"")</f>
        <v/>
      </c>
      <c r="FA123" s="15" t="str">
        <f>IF(OR(EP123="EQL",EP123="EQH"),O123,"")</f>
        <v/>
      </c>
      <c r="FB123" s="15" t="str">
        <f>IF(OR(EQ123="EQL",EQ123="EQH"),P123,"")</f>
        <v/>
      </c>
      <c r="FC123" s="15" t="str">
        <f>IF(AND(EG123="EQL",OR(AQ123=4,AQ123=5)),"IEQL",IF(AND(EG123="EQH",OR(AQ123=1,AQ123=2)),"IEQH",""))</f>
        <v/>
      </c>
      <c r="FD123" s="15" t="str">
        <f>IF(AND(EH123="EQL",OR(AR123=4,AR123=5)),"IEQL",IF(AND(EH123="EQH",OR(AR123=1,AR123=2)),"IEQH",""))</f>
        <v/>
      </c>
      <c r="FE123" s="15" t="str">
        <f>IF(AND(EI123="EQL",OR(AS123=4,AS123=5)),"IEQL",IF(AND(EI123="EQH",OR(AS123=1,AS123=2)),"IEQH",""))</f>
        <v/>
      </c>
      <c r="FF123" s="15" t="str">
        <f>IF(AND(EJ123="EQL",OR(AT123=4,AT123=5)),"IEQL",IF(AND(EJ123="EQH",OR(AT123=1,AT123=2)),"IEQH",""))</f>
        <v/>
      </c>
      <c r="FG123" s="15" t="str">
        <f>IF(AND(EK123="EQL",OR(AU123=4,AU123=5)),"IEQL",IF(AND(EK123="EQH",OR(AU123=1,AU123=2)),"IEQH",""))</f>
        <v/>
      </c>
      <c r="FH123" s="15" t="str">
        <f>IF(AND(EL123="EQL",OR(AV123=4,AV123=5)),"IEQL",IF(AND(EL123="EQH",OR(AV123=1,AV123=2)),"IEQH",""))</f>
        <v/>
      </c>
      <c r="FI123" s="15" t="str">
        <f>IF(AND(EM123="EQL",OR(AW123=4,AW123=5)),"IEQL",IF(AND(EM123="EQH",OR(AW123=1,AW123=2)),"IEQH",""))</f>
        <v/>
      </c>
      <c r="FJ123" s="15" t="str">
        <f>IF(AND(EN123="EQL",OR(AX123=4,AX123=5)),"IEQL",IF(AND(EN123="EQH",OR(AX123=1,AX123=2)),"IEQH",""))</f>
        <v/>
      </c>
      <c r="FK123" s="15" t="str">
        <f>IF(AND(EO123="EQL",OR(AY123=4,AY123=5)),"IEQL",IF(AND(EO123="EQH",OR(AY123=1,AY123=2)),"IEQH",""))</f>
        <v/>
      </c>
      <c r="FL123" s="15" t="str">
        <f>IF(AND(EP123="EQL",OR(AZ123=4,AZ123=5)),"IEQL",IF(AND(EP123="EQH",OR(AZ123=1,AZ123=2)),"IEQH",""))</f>
        <v/>
      </c>
      <c r="FM123" s="15" t="str">
        <f>IF(AND(EQ123="EQL",OR(BA123=4,BA123=5)),"IEQL",IF(AND(EQ123="EQH",OR(BA123=1,BA123=2)),"IEQH",""))</f>
        <v/>
      </c>
      <c r="FN123" s="15" t="str">
        <f>IF(OR(AND(DJ123="LL",AP123=5),AND(DJ123="HH",AP123=2)),F123,"")</f>
        <v/>
      </c>
      <c r="FO123" s="15" t="str">
        <f>IF(FN123&lt;&gt;"",F122,"")</f>
        <v/>
      </c>
    </row>
    <row r="124" spans="1:171" s="15" customFormat="1" x14ac:dyDescent="0.55000000000000004">
      <c r="A124" s="15">
        <v>1777026606</v>
      </c>
      <c r="B124" s="15" t="s">
        <v>16</v>
      </c>
      <c r="C124" s="15" t="s">
        <v>17</v>
      </c>
      <c r="D124" s="15">
        <v>4679.01</v>
      </c>
      <c r="E124" s="15" t="s">
        <v>18</v>
      </c>
      <c r="F124" s="15">
        <v>4674.72</v>
      </c>
      <c r="G124" s="15">
        <f t="shared" si="330"/>
        <v>4658.17</v>
      </c>
      <c r="H124" s="15">
        <f t="shared" si="340"/>
        <v>4664.3</v>
      </c>
      <c r="I124" s="15">
        <f t="shared" si="350"/>
        <v>4684.26</v>
      </c>
      <c r="J124" s="15">
        <f t="shared" si="360"/>
        <v>4693.0600000000004</v>
      </c>
      <c r="K124" s="15">
        <f t="shared" si="370"/>
        <v>4694.34</v>
      </c>
      <c r="L124" s="15">
        <f t="shared" si="380"/>
        <v>4724.03</v>
      </c>
      <c r="M124" s="15">
        <f t="shared" si="390"/>
        <v>4668.6099999999997</v>
      </c>
      <c r="N124" s="15">
        <f t="shared" si="400"/>
        <v>4772.78</v>
      </c>
      <c r="O124" s="15">
        <f t="shared" si="410"/>
        <v>4792.42</v>
      </c>
      <c r="P124" s="15">
        <f t="shared" si="420"/>
        <v>4783.51</v>
      </c>
      <c r="Q124" s="15">
        <f t="shared" si="430"/>
        <v>4779.8</v>
      </c>
      <c r="R124" s="15">
        <v>-22.7</v>
      </c>
      <c r="S124" s="15">
        <f t="shared" si="331"/>
        <v>-53.06</v>
      </c>
      <c r="T124" s="15">
        <f t="shared" si="341"/>
        <v>-78.92</v>
      </c>
      <c r="U124" s="15">
        <f t="shared" si="351"/>
        <v>-40.630000000000003</v>
      </c>
      <c r="V124" s="15">
        <f t="shared" si="361"/>
        <v>-60.27</v>
      </c>
      <c r="W124" s="15">
        <f t="shared" si="371"/>
        <v>-55</v>
      </c>
      <c r="X124" s="15">
        <f t="shared" si="381"/>
        <v>-48.12</v>
      </c>
      <c r="Y124" s="15">
        <f t="shared" si="391"/>
        <v>-129.30000000000001</v>
      </c>
      <c r="Z124" s="15">
        <f t="shared" si="401"/>
        <v>-60.47</v>
      </c>
      <c r="AA124" s="15">
        <f t="shared" si="411"/>
        <v>-35.32</v>
      </c>
      <c r="AB124" s="15">
        <f t="shared" si="421"/>
        <v>-22.28</v>
      </c>
      <c r="AC124" s="15">
        <f t="shared" si="431"/>
        <v>-34.479999999999997</v>
      </c>
      <c r="AD124" s="15">
        <v>-0.48</v>
      </c>
      <c r="AE124" s="15">
        <f t="shared" si="332"/>
        <v>-1.1299999999999999</v>
      </c>
      <c r="AF124" s="15">
        <f t="shared" si="342"/>
        <v>-1.66</v>
      </c>
      <c r="AG124" s="15">
        <f t="shared" si="352"/>
        <v>-0.86</v>
      </c>
      <c r="AH124" s="15">
        <f t="shared" si="362"/>
        <v>-1.27</v>
      </c>
      <c r="AI124" s="15">
        <f t="shared" si="372"/>
        <v>-1.1599999999999999</v>
      </c>
      <c r="AJ124" s="15">
        <f t="shared" si="382"/>
        <v>-1.01</v>
      </c>
      <c r="AK124" s="15">
        <f t="shared" si="392"/>
        <v>-2.69</v>
      </c>
      <c r="AL124" s="15">
        <f t="shared" si="402"/>
        <v>-1.25</v>
      </c>
      <c r="AM124" s="15">
        <f t="shared" si="412"/>
        <v>-0.73</v>
      </c>
      <c r="AN124" s="15">
        <f t="shared" si="422"/>
        <v>-0.46</v>
      </c>
      <c r="AO124" s="15">
        <f t="shared" si="432"/>
        <v>-0.72</v>
      </c>
      <c r="AP124" s="15">
        <v>3</v>
      </c>
      <c r="AQ124" s="15">
        <f t="shared" si="333"/>
        <v>3</v>
      </c>
      <c r="AR124" s="15">
        <f t="shared" si="343"/>
        <v>3</v>
      </c>
      <c r="AS124" s="15">
        <f t="shared" si="353"/>
        <v>3</v>
      </c>
      <c r="AT124" s="15">
        <f t="shared" si="363"/>
        <v>3</v>
      </c>
      <c r="AU124" s="15">
        <f t="shared" si="373"/>
        <v>3</v>
      </c>
      <c r="AV124" s="15">
        <f t="shared" si="383"/>
        <v>3</v>
      </c>
      <c r="AW124" s="15">
        <f t="shared" si="393"/>
        <v>5</v>
      </c>
      <c r="AX124" s="15">
        <f t="shared" si="403"/>
        <v>3</v>
      </c>
      <c r="AY124" s="15">
        <f t="shared" si="413"/>
        <v>3</v>
      </c>
      <c r="AZ124" s="15">
        <f t="shared" si="423"/>
        <v>3</v>
      </c>
      <c r="BA124" s="15">
        <f t="shared" si="433"/>
        <v>3</v>
      </c>
      <c r="BB124" s="15">
        <v>9</v>
      </c>
      <c r="BC124" s="15">
        <f t="shared" si="334"/>
        <v>13</v>
      </c>
      <c r="BD124" s="15">
        <f t="shared" si="344"/>
        <v>20</v>
      </c>
      <c r="BE124" s="15">
        <f t="shared" si="354"/>
        <v>10</v>
      </c>
      <c r="BF124" s="15">
        <f t="shared" si="364"/>
        <v>19</v>
      </c>
      <c r="BG124" s="15">
        <f t="shared" si="374"/>
        <v>18</v>
      </c>
      <c r="BH124" s="15">
        <f t="shared" si="384"/>
        <v>38</v>
      </c>
      <c r="BI124" s="15">
        <f t="shared" si="394"/>
        <v>31</v>
      </c>
      <c r="BJ124" s="15">
        <f t="shared" si="404"/>
        <v>35</v>
      </c>
      <c r="BK124" s="15">
        <f t="shared" si="414"/>
        <v>1</v>
      </c>
      <c r="BL124" s="15">
        <f t="shared" si="424"/>
        <v>9</v>
      </c>
      <c r="BM124" s="15">
        <f t="shared" si="434"/>
        <v>15</v>
      </c>
      <c r="BN124" s="15">
        <v>3</v>
      </c>
      <c r="BO124" s="15">
        <f t="shared" si="335"/>
        <v>3</v>
      </c>
      <c r="BP124" s="15">
        <f t="shared" si="345"/>
        <v>3</v>
      </c>
      <c r="BQ124" s="15">
        <f t="shared" si="355"/>
        <v>3</v>
      </c>
      <c r="BR124" s="15">
        <f t="shared" si="365"/>
        <v>3</v>
      </c>
      <c r="BS124" s="15">
        <f t="shared" si="375"/>
        <v>3</v>
      </c>
      <c r="BT124" s="15">
        <f t="shared" si="385"/>
        <v>4</v>
      </c>
      <c r="BU124" s="15">
        <f t="shared" si="395"/>
        <v>3</v>
      </c>
      <c r="BV124" s="15">
        <f t="shared" si="405"/>
        <v>3</v>
      </c>
      <c r="BW124" s="15">
        <f t="shared" si="415"/>
        <v>3</v>
      </c>
      <c r="BX124" s="15">
        <f t="shared" si="425"/>
        <v>3</v>
      </c>
      <c r="BY124" s="15">
        <f t="shared" si="435"/>
        <v>3</v>
      </c>
      <c r="BZ124" s="15">
        <v>-2.5222199999999999</v>
      </c>
      <c r="CA124" s="15">
        <f t="shared" si="336"/>
        <v>-4.0815400000000004</v>
      </c>
      <c r="CB124" s="15">
        <f t="shared" si="346"/>
        <v>-3.9460000000000002</v>
      </c>
      <c r="CC124" s="15">
        <f t="shared" si="356"/>
        <v>-4.0629999999999997</v>
      </c>
      <c r="CD124" s="15">
        <f t="shared" si="366"/>
        <v>-3.17211</v>
      </c>
      <c r="CE124" s="15">
        <f t="shared" si="376"/>
        <v>-3.0555599999999998</v>
      </c>
      <c r="CF124" s="15">
        <f t="shared" si="386"/>
        <v>-1.2663199999999999</v>
      </c>
      <c r="CG124" s="15">
        <f t="shared" si="396"/>
        <v>-4.1709699999999996</v>
      </c>
      <c r="CH124" s="15">
        <f t="shared" si="406"/>
        <v>-1.7277100000000001</v>
      </c>
      <c r="CI124" s="15">
        <f t="shared" si="416"/>
        <v>-35.32</v>
      </c>
      <c r="CJ124" s="15">
        <f t="shared" si="426"/>
        <v>-2.4755600000000002</v>
      </c>
      <c r="CK124" s="15">
        <f t="shared" si="436"/>
        <v>-2.29867</v>
      </c>
      <c r="CL124" s="15">
        <v>3</v>
      </c>
      <c r="CM124" s="15">
        <f t="shared" si="337"/>
        <v>3</v>
      </c>
      <c r="CN124" s="15">
        <f t="shared" si="347"/>
        <v>3</v>
      </c>
      <c r="CO124" s="15">
        <f t="shared" si="357"/>
        <v>3</v>
      </c>
      <c r="CP124" s="15">
        <f t="shared" si="367"/>
        <v>3</v>
      </c>
      <c r="CQ124" s="15">
        <f t="shared" si="377"/>
        <v>3</v>
      </c>
      <c r="CR124" s="15">
        <f t="shared" si="387"/>
        <v>3</v>
      </c>
      <c r="CS124" s="15">
        <f t="shared" si="397"/>
        <v>3</v>
      </c>
      <c r="CT124" s="15">
        <f t="shared" si="407"/>
        <v>3</v>
      </c>
      <c r="CU124" s="15">
        <f t="shared" si="417"/>
        <v>5</v>
      </c>
      <c r="CV124" s="15">
        <f t="shared" si="427"/>
        <v>3</v>
      </c>
      <c r="CW124" s="15">
        <f t="shared" si="437"/>
        <v>3</v>
      </c>
      <c r="CX124" s="15">
        <v>-68.372900000000001</v>
      </c>
      <c r="CY124" s="15">
        <f t="shared" si="338"/>
        <v>-76.233400000000003</v>
      </c>
      <c r="CZ124" s="15">
        <f t="shared" si="348"/>
        <v>-75.779399999999995</v>
      </c>
      <c r="DA124" s="15">
        <f t="shared" si="358"/>
        <v>-76.173000000000002</v>
      </c>
      <c r="DB124" s="15">
        <f t="shared" si="368"/>
        <v>-72.502600000000001</v>
      </c>
      <c r="DC124" s="15">
        <f t="shared" si="378"/>
        <v>-71.878100000000003</v>
      </c>
      <c r="DD124" s="15">
        <f t="shared" si="388"/>
        <v>-51.702100000000002</v>
      </c>
      <c r="DE124" s="15">
        <f t="shared" si="398"/>
        <v>-76.517700000000005</v>
      </c>
      <c r="DF124" s="15">
        <f t="shared" si="408"/>
        <v>-59.937800000000003</v>
      </c>
      <c r="DG124" s="15">
        <f t="shared" si="418"/>
        <v>-88.378200000000007</v>
      </c>
      <c r="DH124" s="15">
        <f t="shared" si="428"/>
        <v>-68.003799999999998</v>
      </c>
      <c r="DI124" s="15">
        <f t="shared" si="438"/>
        <v>-66.4893</v>
      </c>
      <c r="DJ124" s="15" t="s">
        <v>22</v>
      </c>
      <c r="DK124" s="15" t="str">
        <f t="shared" si="339"/>
        <v>LL</v>
      </c>
      <c r="DL124" s="15" t="str">
        <f t="shared" si="349"/>
        <v>LL</v>
      </c>
      <c r="DM124" s="15" t="str">
        <f t="shared" si="359"/>
        <v>LL</v>
      </c>
      <c r="DN124" s="15" t="str">
        <f t="shared" si="369"/>
        <v>LL</v>
      </c>
      <c r="DO124" s="15" t="str">
        <f t="shared" si="379"/>
        <v>LL</v>
      </c>
      <c r="DP124" s="15" t="str">
        <f t="shared" si="389"/>
        <v>HL</v>
      </c>
      <c r="DQ124" s="15" t="str">
        <f t="shared" si="399"/>
        <v>LL</v>
      </c>
      <c r="DR124" s="15" t="str">
        <f t="shared" si="409"/>
        <v>LL</v>
      </c>
      <c r="DS124" s="15" t="str">
        <f t="shared" si="419"/>
        <v>HL</v>
      </c>
      <c r="DT124" s="15" t="str">
        <f t="shared" si="429"/>
        <v>HL</v>
      </c>
      <c r="DU124" s="15" t="str">
        <f t="shared" si="439"/>
        <v>HL</v>
      </c>
      <c r="DV124" s="15">
        <f>IFERROR((G124-$F124)/$F124*100,"")</f>
        <v>-0.3540318992367496</v>
      </c>
      <c r="DW124" s="15">
        <f>IFERROR((H124-$F124)/$F124*100,"")</f>
        <v>-0.2229010507581218</v>
      </c>
      <c r="DX124" s="15">
        <f>IFERROR((I124-$F124)/$F124*100,"")</f>
        <v>0.2040763938802744</v>
      </c>
      <c r="DY124" s="15">
        <f>IFERROR((J124-$F124)/$F124*100,"")</f>
        <v>0.39232296265872918</v>
      </c>
      <c r="DZ124" s="15">
        <f>IFERROR((K124-$F124)/$F124*100,"")</f>
        <v>0.41970428175377111</v>
      </c>
      <c r="EA124" s="15">
        <f>IFERROR((L124-$F124)/$F124*100,"")</f>
        <v>1.0548225348256044</v>
      </c>
      <c r="EB124" s="15">
        <f>IFERROR((M124-$F124)/$F124*100,"")</f>
        <v>-0.13070301536777779</v>
      </c>
      <c r="EC124" s="15">
        <f>IFERROR((N124-$F124)/$F124*100,"")</f>
        <v>2.0976657425471363</v>
      </c>
      <c r="ED124" s="15">
        <f>IFERROR((O124-$F124)/$F124*100,"")</f>
        <v>2.5177978574117765</v>
      </c>
      <c r="EE124" s="15">
        <f>IFERROR((P124-$F124)/$F124*100,"")</f>
        <v>2.3271982065235983</v>
      </c>
      <c r="EF124" s="15">
        <f>IFERROR((Q124-$F124)/$F124*100,"")</f>
        <v>2.2478351644590462</v>
      </c>
      <c r="EG124" s="15" t="str">
        <f>IF(DV124="","",IF(AND(ABS(DV124)&lt;=0.25,$E124="Bottom",DK124="LL"),"EQL",IF(AND(ABS(DV124)&lt;=0.25,$E124="Peak",DK124="HH"),"EQH","")))</f>
        <v/>
      </c>
      <c r="EH124" s="15" t="str">
        <f>IF(DW124="","",IF(AND(ABS(DW124)&lt;=0.25,$E124="Bottom",DL124="LL"),"EQL",IF(AND(ABS(DW124)&lt;=0.25,$E124="Peak",DL124="HH"),"EQH","")))</f>
        <v>EQL</v>
      </c>
      <c r="EI124" s="15" t="str">
        <f>IF(DX124="","",IF(AND(ABS(DX124)&lt;=0.25,$E124="Bottom",DM124="LL"),"EQL",IF(AND(ABS(DX124)&lt;=0.25,$E124="Peak",DM124="HH"),"EQH","")))</f>
        <v>EQL</v>
      </c>
      <c r="EJ124" s="15" t="str">
        <f>IF(DY124="","",IF(AND(ABS(DY124)&lt;=0.25,$E124="Bottom",DN124="LL"),"EQL",IF(AND(ABS(DY124)&lt;=0.25,$E124="Peak",DN124="HH"),"EQH","")))</f>
        <v/>
      </c>
      <c r="EK124" s="15" t="str">
        <f>IF(DZ124="","",IF(AND(ABS(DZ124)&lt;=0.25,$E124="Bottom",DO124="LL"),"EQL",IF(AND(ABS(DZ124)&lt;=0.25,$E124="Peak",DO124="HH"),"EQH","")))</f>
        <v/>
      </c>
      <c r="EL124" s="15" t="str">
        <f>IF(EA124="","",IF(AND(ABS(EA124)&lt;=0.25,$E124="Bottom",DP124="LL"),"EQL",IF(AND(ABS(EA124)&lt;=0.25,$E124="Peak",DP124="HH"),"EQH","")))</f>
        <v/>
      </c>
      <c r="EM124" s="15" t="str">
        <f>IF(EB124="","",IF(AND(ABS(EB124)&lt;=0.25,$E124="Bottom",DQ124="LL"),"EQL",IF(AND(ABS(EB124)&lt;=0.25,$E124="Peak",DQ124="HH"),"EQH","")))</f>
        <v>EQL</v>
      </c>
      <c r="EN124" s="15" t="str">
        <f>IF(EC124="","",IF(AND(ABS(EC124)&lt;=0.25,$E124="Bottom",DR124="LL"),"EQL",IF(AND(ABS(EC124)&lt;=0.25,$E124="Peak",DR124="HH"),"EQH","")))</f>
        <v/>
      </c>
      <c r="EO124" s="15" t="str">
        <f>IF(ED124="","",IF(AND(ABS(ED124)&lt;=0.25,$E124="Bottom",DS124="LL"),"EQL",IF(AND(ABS(ED124)&lt;=0.25,$E124="Peak",DS124="HH"),"EQH","")))</f>
        <v/>
      </c>
      <c r="EP124" s="15" t="str">
        <f>IF(EE124="","",IF(AND(ABS(EE124)&lt;=0.25,$E124="Bottom",DT124="LL"),"EQL",IF(AND(ABS(EE124)&lt;=0.25,$E124="Peak",DT124="HH"),"EQH","")))</f>
        <v/>
      </c>
      <c r="EQ124" s="15" t="str">
        <f>IF(EF124="","",IF(AND(ABS(EF124)&lt;=0.25,$E124="Bottom",DU124="LL"),"EQL",IF(AND(ABS(EF124)&lt;=0.25,$E124="Peak",DU124="HH"),"EQH","")))</f>
        <v/>
      </c>
      <c r="ER124" s="15" t="str">
        <f>IF(OR(EG124="EQL",EG124="EQH"),F124,"")</f>
        <v/>
      </c>
      <c r="ES124" s="15">
        <f>IF(OR(EH124="EQL",EH124="EQH"),G124,"")</f>
        <v>4658.17</v>
      </c>
      <c r="ET124" s="15">
        <f>IF(OR(EI124="EQL",EI124="EQH"),H124,"")</f>
        <v>4664.3</v>
      </c>
      <c r="EU124" s="15" t="str">
        <f>IF(OR(EJ124="EQL",EJ124="EQH"),I124,"")</f>
        <v/>
      </c>
      <c r="EV124" s="15" t="str">
        <f>IF(OR(EK124="EQL",EK124="EQH"),J124,"")</f>
        <v/>
      </c>
      <c r="EW124" s="15" t="str">
        <f>IF(OR(EL124="EQL",EL124="EQH"),K124,"")</f>
        <v/>
      </c>
      <c r="EX124" s="15">
        <f>IF(OR(EM124="EQL",EM124="EQH"),L124,"")</f>
        <v>4724.03</v>
      </c>
      <c r="EY124" s="15" t="str">
        <f>IF(OR(EN124="EQL",EN124="EQH"),M124,"")</f>
        <v/>
      </c>
      <c r="EZ124" s="15" t="str">
        <f>IF(OR(EO124="EQL",EO124="EQH"),N124,"")</f>
        <v/>
      </c>
      <c r="FA124" s="15" t="str">
        <f>IF(OR(EP124="EQL",EP124="EQH"),O124,"")</f>
        <v/>
      </c>
      <c r="FB124" s="15" t="str">
        <f>IF(OR(EQ124="EQL",EQ124="EQH"),P124,"")</f>
        <v/>
      </c>
      <c r="FC124" s="15" t="str">
        <f>IF(AND(EG124="EQL",OR(AQ124=4,AQ124=5)),"IEQL",IF(AND(EG124="EQH",OR(AQ124=1,AQ124=2)),"IEQH",""))</f>
        <v/>
      </c>
      <c r="FD124" s="15" t="str">
        <f>IF(AND(EH124="EQL",OR(AR124=4,AR124=5)),"IEQL",IF(AND(EH124="EQH",OR(AR124=1,AR124=2)),"IEQH",""))</f>
        <v/>
      </c>
      <c r="FE124" s="15" t="str">
        <f>IF(AND(EI124="EQL",OR(AS124=4,AS124=5)),"IEQL",IF(AND(EI124="EQH",OR(AS124=1,AS124=2)),"IEQH",""))</f>
        <v/>
      </c>
      <c r="FF124" s="15" t="str">
        <f>IF(AND(EJ124="EQL",OR(AT124=4,AT124=5)),"IEQL",IF(AND(EJ124="EQH",OR(AT124=1,AT124=2)),"IEQH",""))</f>
        <v/>
      </c>
      <c r="FG124" s="15" t="str">
        <f>IF(AND(EK124="EQL",OR(AU124=4,AU124=5)),"IEQL",IF(AND(EK124="EQH",OR(AU124=1,AU124=2)),"IEQH",""))</f>
        <v/>
      </c>
      <c r="FH124" s="15" t="str">
        <f>IF(AND(EL124="EQL",OR(AV124=4,AV124=5)),"IEQL",IF(AND(EL124="EQH",OR(AV124=1,AV124=2)),"IEQH",""))</f>
        <v/>
      </c>
      <c r="FI124" s="15" t="str">
        <f>IF(AND(EM124="EQL",OR(AW124=4,AW124=5)),"IEQL",IF(AND(EM124="EQH",OR(AW124=1,AW124=2)),"IEQH",""))</f>
        <v>IEQL</v>
      </c>
      <c r="FJ124" s="15" t="str">
        <f>IF(AND(EN124="EQL",OR(AX124=4,AX124=5)),"IEQL",IF(AND(EN124="EQH",OR(AX124=1,AX124=2)),"IEQH",""))</f>
        <v/>
      </c>
      <c r="FK124" s="15" t="str">
        <f>IF(AND(EO124="EQL",OR(AY124=4,AY124=5)),"IEQL",IF(AND(EO124="EQH",OR(AY124=1,AY124=2)),"IEQH",""))</f>
        <v/>
      </c>
      <c r="FL124" s="15" t="str">
        <f>IF(AND(EP124="EQL",OR(AZ124=4,AZ124=5)),"IEQL",IF(AND(EP124="EQH",OR(AZ124=1,AZ124=2)),"IEQH",""))</f>
        <v/>
      </c>
      <c r="FM124" s="15" t="str">
        <f>IF(AND(EQ124="EQL",OR(BA124=4,BA124=5)),"IEQL",IF(AND(EQ124="EQH",OR(BA124=1,BA124=2)),"IEQH",""))</f>
        <v/>
      </c>
      <c r="FN124" s="15" t="str">
        <f>IF(OR(AND(DJ124="LL",AP124=5),AND(DJ124="HH",AP124=2)),F124,"")</f>
        <v/>
      </c>
      <c r="FO124" s="15" t="str">
        <f>IF(FN124&lt;&gt;"",F123,"")</f>
        <v/>
      </c>
    </row>
    <row r="125" spans="1:171" s="15" customFormat="1" x14ac:dyDescent="0.55000000000000004">
      <c r="A125" s="15">
        <v>1777039206</v>
      </c>
      <c r="B125" s="15" t="s">
        <v>16</v>
      </c>
      <c r="C125" s="15" t="s">
        <v>17</v>
      </c>
      <c r="D125" s="15">
        <v>4731.95</v>
      </c>
      <c r="E125" s="15" t="s">
        <v>20</v>
      </c>
      <c r="F125" s="15">
        <v>4740.49</v>
      </c>
      <c r="G125" s="15">
        <f t="shared" si="330"/>
        <v>4697.42</v>
      </c>
      <c r="H125" s="15">
        <f t="shared" si="340"/>
        <v>4711.2299999999996</v>
      </c>
      <c r="I125" s="15">
        <f t="shared" si="350"/>
        <v>4743.22</v>
      </c>
      <c r="J125" s="15">
        <f t="shared" si="360"/>
        <v>4724.8900000000003</v>
      </c>
      <c r="K125" s="15">
        <f t="shared" si="370"/>
        <v>4753.33</v>
      </c>
      <c r="L125" s="15">
        <f t="shared" si="380"/>
        <v>4749.34</v>
      </c>
      <c r="M125" s="15">
        <f t="shared" si="390"/>
        <v>4772.1499999999996</v>
      </c>
      <c r="N125" s="15">
        <f t="shared" si="400"/>
        <v>4797.91</v>
      </c>
      <c r="O125" s="15">
        <f t="shared" si="410"/>
        <v>4833.25</v>
      </c>
      <c r="P125" s="15">
        <f t="shared" si="420"/>
        <v>4827.74</v>
      </c>
      <c r="Q125" s="15">
        <f t="shared" si="430"/>
        <v>4805.79</v>
      </c>
      <c r="R125" s="15">
        <v>65.77</v>
      </c>
      <c r="S125" s="15">
        <f t="shared" si="331"/>
        <v>39.25</v>
      </c>
      <c r="T125" s="15">
        <f t="shared" si="341"/>
        <v>46.93</v>
      </c>
      <c r="U125" s="15">
        <f t="shared" si="351"/>
        <v>58.96</v>
      </c>
      <c r="V125" s="15">
        <f t="shared" si="361"/>
        <v>31.83</v>
      </c>
      <c r="W125" s="15">
        <f t="shared" si="371"/>
        <v>58.99</v>
      </c>
      <c r="X125" s="15">
        <f t="shared" si="381"/>
        <v>25.31</v>
      </c>
      <c r="Y125" s="15">
        <f t="shared" si="391"/>
        <v>103.54</v>
      </c>
      <c r="Z125" s="15">
        <f t="shared" si="401"/>
        <v>25.13</v>
      </c>
      <c r="AA125" s="15">
        <f t="shared" si="411"/>
        <v>40.83</v>
      </c>
      <c r="AB125" s="15">
        <f t="shared" si="421"/>
        <v>44.23</v>
      </c>
      <c r="AC125" s="15">
        <f t="shared" si="431"/>
        <v>25.99</v>
      </c>
      <c r="AD125" s="15">
        <v>1.41</v>
      </c>
      <c r="AE125" s="15">
        <f t="shared" si="332"/>
        <v>0.84</v>
      </c>
      <c r="AF125" s="15">
        <f t="shared" si="342"/>
        <v>1.01</v>
      </c>
      <c r="AG125" s="15">
        <f t="shared" si="352"/>
        <v>1.26</v>
      </c>
      <c r="AH125" s="15">
        <f t="shared" si="362"/>
        <v>0.68</v>
      </c>
      <c r="AI125" s="15">
        <f t="shared" si="372"/>
        <v>1.26</v>
      </c>
      <c r="AJ125" s="15">
        <f t="shared" si="382"/>
        <v>0.54</v>
      </c>
      <c r="AK125" s="15">
        <f t="shared" si="392"/>
        <v>2.2200000000000002</v>
      </c>
      <c r="AL125" s="15">
        <f t="shared" si="402"/>
        <v>0.53</v>
      </c>
      <c r="AM125" s="15">
        <f t="shared" si="412"/>
        <v>0.85</v>
      </c>
      <c r="AN125" s="15">
        <f t="shared" si="422"/>
        <v>0.92</v>
      </c>
      <c r="AO125" s="15">
        <f t="shared" si="432"/>
        <v>0.54</v>
      </c>
      <c r="AP125" s="15">
        <v>0</v>
      </c>
      <c r="AQ125" s="15">
        <f t="shared" si="333"/>
        <v>0</v>
      </c>
      <c r="AR125" s="15">
        <f t="shared" si="343"/>
        <v>0</v>
      </c>
      <c r="AS125" s="15">
        <f t="shared" si="353"/>
        <v>0</v>
      </c>
      <c r="AT125" s="15">
        <f t="shared" si="363"/>
        <v>0</v>
      </c>
      <c r="AU125" s="15">
        <f t="shared" si="373"/>
        <v>0</v>
      </c>
      <c r="AV125" s="15">
        <f t="shared" si="383"/>
        <v>0</v>
      </c>
      <c r="AW125" s="15">
        <f t="shared" si="393"/>
        <v>1</v>
      </c>
      <c r="AX125" s="15">
        <f t="shared" si="403"/>
        <v>0</v>
      </c>
      <c r="AY125" s="15">
        <f t="shared" si="413"/>
        <v>0</v>
      </c>
      <c r="AZ125" s="15">
        <f t="shared" si="423"/>
        <v>0</v>
      </c>
      <c r="BA125" s="15">
        <f t="shared" si="433"/>
        <v>0</v>
      </c>
      <c r="BB125" s="15">
        <v>14</v>
      </c>
      <c r="BC125" s="15">
        <f t="shared" si="334"/>
        <v>15</v>
      </c>
      <c r="BD125" s="15">
        <f t="shared" si="344"/>
        <v>26</v>
      </c>
      <c r="BE125" s="15">
        <f t="shared" si="354"/>
        <v>9</v>
      </c>
      <c r="BF125" s="15">
        <f t="shared" si="364"/>
        <v>10</v>
      </c>
      <c r="BG125" s="15">
        <f t="shared" si="374"/>
        <v>2</v>
      </c>
      <c r="BH125" s="15">
        <f t="shared" si="384"/>
        <v>9</v>
      </c>
      <c r="BI125" s="15">
        <f t="shared" si="394"/>
        <v>42</v>
      </c>
      <c r="BJ125" s="15">
        <f t="shared" si="404"/>
        <v>19</v>
      </c>
      <c r="BK125" s="15">
        <f t="shared" si="414"/>
        <v>26</v>
      </c>
      <c r="BL125" s="15">
        <f t="shared" si="424"/>
        <v>20</v>
      </c>
      <c r="BM125" s="15">
        <f t="shared" si="434"/>
        <v>7</v>
      </c>
      <c r="BN125" s="15">
        <v>0</v>
      </c>
      <c r="BO125" s="15">
        <f t="shared" si="335"/>
        <v>0</v>
      </c>
      <c r="BP125" s="15">
        <f t="shared" si="345"/>
        <v>0</v>
      </c>
      <c r="BQ125" s="15">
        <f t="shared" si="355"/>
        <v>0</v>
      </c>
      <c r="BR125" s="15">
        <f t="shared" si="365"/>
        <v>0</v>
      </c>
      <c r="BS125" s="15">
        <f t="shared" si="375"/>
        <v>0</v>
      </c>
      <c r="BT125" s="15">
        <f t="shared" si="385"/>
        <v>0</v>
      </c>
      <c r="BU125" s="15">
        <f t="shared" si="395"/>
        <v>1</v>
      </c>
      <c r="BV125" s="15">
        <f t="shared" si="405"/>
        <v>0</v>
      </c>
      <c r="BW125" s="15">
        <f t="shared" si="415"/>
        <v>0</v>
      </c>
      <c r="BX125" s="15">
        <f t="shared" si="425"/>
        <v>0</v>
      </c>
      <c r="BY125" s="15">
        <f t="shared" si="435"/>
        <v>0</v>
      </c>
      <c r="BZ125" s="15">
        <v>4.6978600000000004</v>
      </c>
      <c r="CA125" s="15">
        <f t="shared" si="336"/>
        <v>2.6166700000000001</v>
      </c>
      <c r="CB125" s="15">
        <f t="shared" si="346"/>
        <v>1.8049999999999999</v>
      </c>
      <c r="CC125" s="15">
        <f t="shared" si="356"/>
        <v>6.5511100000000004</v>
      </c>
      <c r="CD125" s="15">
        <f t="shared" si="366"/>
        <v>3.1829999999999998</v>
      </c>
      <c r="CE125" s="15">
        <f t="shared" si="376"/>
        <v>29.495000000000001</v>
      </c>
      <c r="CF125" s="15">
        <f t="shared" si="386"/>
        <v>2.8122199999999999</v>
      </c>
      <c r="CG125" s="15">
        <f t="shared" si="396"/>
        <v>2.4652400000000001</v>
      </c>
      <c r="CH125" s="15">
        <f t="shared" si="406"/>
        <v>1.32263</v>
      </c>
      <c r="CI125" s="15">
        <f t="shared" si="416"/>
        <v>1.5703800000000001</v>
      </c>
      <c r="CJ125" s="15">
        <f t="shared" si="426"/>
        <v>2.2115</v>
      </c>
      <c r="CK125" s="15">
        <f t="shared" si="436"/>
        <v>3.71286</v>
      </c>
      <c r="CL125" s="15">
        <v>0</v>
      </c>
      <c r="CM125" s="15">
        <f t="shared" si="337"/>
        <v>0</v>
      </c>
      <c r="CN125" s="15">
        <f t="shared" si="347"/>
        <v>0</v>
      </c>
      <c r="CO125" s="15">
        <f t="shared" si="357"/>
        <v>0</v>
      </c>
      <c r="CP125" s="15">
        <f t="shared" si="367"/>
        <v>0</v>
      </c>
      <c r="CQ125" s="15">
        <f t="shared" si="377"/>
        <v>2</v>
      </c>
      <c r="CR125" s="15">
        <f t="shared" si="387"/>
        <v>0</v>
      </c>
      <c r="CS125" s="15">
        <f t="shared" si="397"/>
        <v>0</v>
      </c>
      <c r="CT125" s="15">
        <f t="shared" si="407"/>
        <v>0</v>
      </c>
      <c r="CU125" s="15">
        <f t="shared" si="417"/>
        <v>0</v>
      </c>
      <c r="CV125" s="15">
        <f t="shared" si="427"/>
        <v>0</v>
      </c>
      <c r="CW125" s="15">
        <f t="shared" si="437"/>
        <v>0</v>
      </c>
      <c r="CX125" s="15">
        <v>77.983199999999997</v>
      </c>
      <c r="CY125" s="15">
        <f t="shared" si="338"/>
        <v>69.084900000000005</v>
      </c>
      <c r="CZ125" s="15">
        <f t="shared" si="348"/>
        <v>61.012799999999999</v>
      </c>
      <c r="DA125" s="15">
        <f t="shared" si="358"/>
        <v>81.320999999999998</v>
      </c>
      <c r="DB125" s="15">
        <f t="shared" si="368"/>
        <v>72.558899999999994</v>
      </c>
      <c r="DC125" s="15">
        <f t="shared" si="378"/>
        <v>88.058199999999999</v>
      </c>
      <c r="DD125" s="15">
        <f t="shared" si="388"/>
        <v>70.4251</v>
      </c>
      <c r="DE125" s="15">
        <f t="shared" si="398"/>
        <v>67.920500000000004</v>
      </c>
      <c r="DF125" s="15">
        <f t="shared" si="408"/>
        <v>52.908200000000001</v>
      </c>
      <c r="DG125" s="15">
        <f t="shared" si="418"/>
        <v>57.511600000000001</v>
      </c>
      <c r="DH125" s="15">
        <f t="shared" si="428"/>
        <v>65.668400000000005</v>
      </c>
      <c r="DI125" s="15">
        <f t="shared" si="438"/>
        <v>74.926000000000002</v>
      </c>
      <c r="DJ125" s="15" t="s">
        <v>23</v>
      </c>
      <c r="DK125" s="15" t="str">
        <f t="shared" si="339"/>
        <v>LH</v>
      </c>
      <c r="DL125" s="15" t="str">
        <f t="shared" si="349"/>
        <v>LH</v>
      </c>
      <c r="DM125" s="15" t="str">
        <f t="shared" si="359"/>
        <v>HH</v>
      </c>
      <c r="DN125" s="15" t="str">
        <f t="shared" si="369"/>
        <v>LH</v>
      </c>
      <c r="DO125" s="15" t="str">
        <f t="shared" si="379"/>
        <v>HH</v>
      </c>
      <c r="DP125" s="15" t="str">
        <f t="shared" si="389"/>
        <v>LH</v>
      </c>
      <c r="DQ125" s="15" t="str">
        <f t="shared" si="399"/>
        <v>LH</v>
      </c>
      <c r="DR125" s="15" t="str">
        <f t="shared" si="409"/>
        <v>LH</v>
      </c>
      <c r="DS125" s="15" t="str">
        <f t="shared" si="419"/>
        <v>HH</v>
      </c>
      <c r="DT125" s="15" t="str">
        <f t="shared" si="429"/>
        <v>HH</v>
      </c>
      <c r="DU125" s="15" t="str">
        <f t="shared" si="439"/>
        <v>LH</v>
      </c>
      <c r="DV125" s="15">
        <f>IFERROR((G125-$F125)/$F125*100,"")</f>
        <v>-0.90855586658762522</v>
      </c>
      <c r="DW125" s="15">
        <f>IFERROR((H125-$F125)/$F125*100,"")</f>
        <v>-0.61723577098570448</v>
      </c>
      <c r="DX125" s="15">
        <f>IFERROR((I125-$F125)/$F125*100,"")</f>
        <v>5.7588983417336037E-2</v>
      </c>
      <c r="DY125" s="15">
        <f>IFERROR((J125-$F125)/$F125*100,"")</f>
        <v>-0.32907990524185171</v>
      </c>
      <c r="DZ125" s="15">
        <f>IFERROR((K125-$F125)/$F125*100,"")</f>
        <v>0.27085807585292127</v>
      </c>
      <c r="EA125" s="15">
        <f>IFERROR((L125-$F125)/$F125*100,"")</f>
        <v>0.18668956162760314</v>
      </c>
      <c r="EB125" s="15">
        <f>IFERROR((M125-$F125)/$F125*100,"")</f>
        <v>0.66786344871521419</v>
      </c>
      <c r="EC125" s="15">
        <f>IFERROR((N125-$F125)/$F125*100,"")</f>
        <v>1.2112671896787057</v>
      </c>
      <c r="ED125" s="15">
        <f>IFERROR((O125-$F125)/$F125*100,"")</f>
        <v>1.9567597442458526</v>
      </c>
      <c r="EE125" s="15">
        <f>IFERROR((P125-$F125)/$F125*100,"")</f>
        <v>1.8405270341251643</v>
      </c>
      <c r="EF125" s="15">
        <f>IFERROR((Q125-$F125)/$F125*100,"")</f>
        <v>1.3774947315572903</v>
      </c>
      <c r="EG125" s="15" t="str">
        <f>IF(DV125="","",IF(AND(ABS(DV125)&lt;=0.25,$E125="Bottom",DK125="LL"),"EQL",IF(AND(ABS(DV125)&lt;=0.25,$E125="Peak",DK125="HH"),"EQH","")))</f>
        <v/>
      </c>
      <c r="EH125" s="15" t="str">
        <f>IF(DW125="","",IF(AND(ABS(DW125)&lt;=0.25,$E125="Bottom",DL125="LL"),"EQL",IF(AND(ABS(DW125)&lt;=0.25,$E125="Peak",DL125="HH"),"EQH","")))</f>
        <v/>
      </c>
      <c r="EI125" s="15" t="str">
        <f>IF(DX125="","",IF(AND(ABS(DX125)&lt;=0.25,$E125="Bottom",DM125="LL"),"EQL",IF(AND(ABS(DX125)&lt;=0.25,$E125="Peak",DM125="HH"),"EQH","")))</f>
        <v>EQH</v>
      </c>
      <c r="EJ125" s="15" t="str">
        <f>IF(DY125="","",IF(AND(ABS(DY125)&lt;=0.25,$E125="Bottom",DN125="LL"),"EQL",IF(AND(ABS(DY125)&lt;=0.25,$E125="Peak",DN125="HH"),"EQH","")))</f>
        <v/>
      </c>
      <c r="EK125" s="15" t="str">
        <f>IF(DZ125="","",IF(AND(ABS(DZ125)&lt;=0.25,$E125="Bottom",DO125="LL"),"EQL",IF(AND(ABS(DZ125)&lt;=0.25,$E125="Peak",DO125="HH"),"EQH","")))</f>
        <v/>
      </c>
      <c r="EL125" s="15" t="str">
        <f>IF(EA125="","",IF(AND(ABS(EA125)&lt;=0.25,$E125="Bottom",DP125="LL"),"EQL",IF(AND(ABS(EA125)&lt;=0.25,$E125="Peak",DP125="HH"),"EQH","")))</f>
        <v/>
      </c>
      <c r="EM125" s="15" t="str">
        <f>IF(EB125="","",IF(AND(ABS(EB125)&lt;=0.25,$E125="Bottom",DQ125="LL"),"EQL",IF(AND(ABS(EB125)&lt;=0.25,$E125="Peak",DQ125="HH"),"EQH","")))</f>
        <v/>
      </c>
      <c r="EN125" s="15" t="str">
        <f>IF(EC125="","",IF(AND(ABS(EC125)&lt;=0.25,$E125="Bottom",DR125="LL"),"EQL",IF(AND(ABS(EC125)&lt;=0.25,$E125="Peak",DR125="HH"),"EQH","")))</f>
        <v/>
      </c>
      <c r="EO125" s="15" t="str">
        <f>IF(ED125="","",IF(AND(ABS(ED125)&lt;=0.25,$E125="Bottom",DS125="LL"),"EQL",IF(AND(ABS(ED125)&lt;=0.25,$E125="Peak",DS125="HH"),"EQH","")))</f>
        <v/>
      </c>
      <c r="EP125" s="15" t="str">
        <f>IF(EE125="","",IF(AND(ABS(EE125)&lt;=0.25,$E125="Bottom",DT125="LL"),"EQL",IF(AND(ABS(EE125)&lt;=0.25,$E125="Peak",DT125="HH"),"EQH","")))</f>
        <v/>
      </c>
      <c r="EQ125" s="15" t="str">
        <f>IF(EF125="","",IF(AND(ABS(EF125)&lt;=0.25,$E125="Bottom",DU125="LL"),"EQL",IF(AND(ABS(EF125)&lt;=0.25,$E125="Peak",DU125="HH"),"EQH","")))</f>
        <v/>
      </c>
      <c r="ER125" s="15" t="str">
        <f>IF(OR(EG125="EQL",EG125="EQH"),F125,"")</f>
        <v/>
      </c>
      <c r="ES125" s="15" t="str">
        <f>IF(OR(EH125="EQL",EH125="EQH"),G125,"")</f>
        <v/>
      </c>
      <c r="ET125" s="15">
        <f>IF(OR(EI125="EQL",EI125="EQH"),H125,"")</f>
        <v>4711.2299999999996</v>
      </c>
      <c r="EU125" s="15" t="str">
        <f>IF(OR(EJ125="EQL",EJ125="EQH"),I125,"")</f>
        <v/>
      </c>
      <c r="EV125" s="15" t="str">
        <f>IF(OR(EK125="EQL",EK125="EQH"),J125,"")</f>
        <v/>
      </c>
      <c r="EW125" s="15" t="str">
        <f>IF(OR(EL125="EQL",EL125="EQH"),K125,"")</f>
        <v/>
      </c>
      <c r="EX125" s="15" t="str">
        <f>IF(OR(EM125="EQL",EM125="EQH"),L125,"")</f>
        <v/>
      </c>
      <c r="EY125" s="15" t="str">
        <f>IF(OR(EN125="EQL",EN125="EQH"),M125,"")</f>
        <v/>
      </c>
      <c r="EZ125" s="15" t="str">
        <f>IF(OR(EO125="EQL",EO125="EQH"),N125,"")</f>
        <v/>
      </c>
      <c r="FA125" s="15" t="str">
        <f>IF(OR(EP125="EQL",EP125="EQH"),O125,"")</f>
        <v/>
      </c>
      <c r="FB125" s="15" t="str">
        <f>IF(OR(EQ125="EQL",EQ125="EQH"),P125,"")</f>
        <v/>
      </c>
      <c r="FC125" s="15" t="str">
        <f>IF(AND(EG125="EQL",OR(AQ125=4,AQ125=5)),"IEQL",IF(AND(EG125="EQH",OR(AQ125=1,AQ125=2)),"IEQH",""))</f>
        <v/>
      </c>
      <c r="FD125" s="15" t="str">
        <f>IF(AND(EH125="EQL",OR(AR125=4,AR125=5)),"IEQL",IF(AND(EH125="EQH",OR(AR125=1,AR125=2)),"IEQH",""))</f>
        <v/>
      </c>
      <c r="FE125" s="15" t="str">
        <f>IF(AND(EI125="EQL",OR(AS125=4,AS125=5)),"IEQL",IF(AND(EI125="EQH",OR(AS125=1,AS125=2)),"IEQH",""))</f>
        <v/>
      </c>
      <c r="FF125" s="15" t="str">
        <f>IF(AND(EJ125="EQL",OR(AT125=4,AT125=5)),"IEQL",IF(AND(EJ125="EQH",OR(AT125=1,AT125=2)),"IEQH",""))</f>
        <v/>
      </c>
      <c r="FG125" s="15" t="str">
        <f>IF(AND(EK125="EQL",OR(AU125=4,AU125=5)),"IEQL",IF(AND(EK125="EQH",OR(AU125=1,AU125=2)),"IEQH",""))</f>
        <v/>
      </c>
      <c r="FH125" s="15" t="str">
        <f>IF(AND(EL125="EQL",OR(AV125=4,AV125=5)),"IEQL",IF(AND(EL125="EQH",OR(AV125=1,AV125=2)),"IEQH",""))</f>
        <v/>
      </c>
      <c r="FI125" s="15" t="str">
        <f>IF(AND(EM125="EQL",OR(AW125=4,AW125=5)),"IEQL",IF(AND(EM125="EQH",OR(AW125=1,AW125=2)),"IEQH",""))</f>
        <v/>
      </c>
      <c r="FJ125" s="15" t="str">
        <f>IF(AND(EN125="EQL",OR(AX125=4,AX125=5)),"IEQL",IF(AND(EN125="EQH",OR(AX125=1,AX125=2)),"IEQH",""))</f>
        <v/>
      </c>
      <c r="FK125" s="15" t="str">
        <f>IF(AND(EO125="EQL",OR(AY125=4,AY125=5)),"IEQL",IF(AND(EO125="EQH",OR(AY125=1,AY125=2)),"IEQH",""))</f>
        <v/>
      </c>
      <c r="FL125" s="15" t="str">
        <f>IF(AND(EP125="EQL",OR(AZ125=4,AZ125=5)),"IEQL",IF(AND(EP125="EQH",OR(AZ125=1,AZ125=2)),"IEQH",""))</f>
        <v/>
      </c>
      <c r="FM125" s="15" t="str">
        <f>IF(AND(EQ125="EQL",OR(BA125=4,BA125=5)),"IEQL",IF(AND(EQ125="EQH",OR(BA125=1,BA125=2)),"IEQH",""))</f>
        <v/>
      </c>
      <c r="FN125" s="15" t="str">
        <f>IF(OR(AND(DJ125="LL",AP125=5),AND(DJ125="HH",AP125=2)),F125,"")</f>
        <v/>
      </c>
      <c r="FO125" s="15" t="str">
        <f>IF(FN125&lt;&gt;"",F124,"")</f>
        <v/>
      </c>
    </row>
    <row r="126" spans="1:171" s="15" customFormat="1" x14ac:dyDescent="0.55000000000000004">
      <c r="A126" s="15">
        <v>1777248006</v>
      </c>
      <c r="B126" s="15" t="s">
        <v>16</v>
      </c>
      <c r="C126" s="15" t="s">
        <v>17</v>
      </c>
      <c r="D126" s="15">
        <v>4679.8599999999997</v>
      </c>
      <c r="E126" s="15" t="s">
        <v>18</v>
      </c>
      <c r="F126" s="15">
        <v>4672.3500000000004</v>
      </c>
      <c r="G126" s="15">
        <f t="shared" si="330"/>
        <v>4674.72</v>
      </c>
      <c r="H126" s="15">
        <f t="shared" si="340"/>
        <v>4658.17</v>
      </c>
      <c r="I126" s="15">
        <f t="shared" si="350"/>
        <v>4664.3</v>
      </c>
      <c r="J126" s="15">
        <f t="shared" si="360"/>
        <v>4684.26</v>
      </c>
      <c r="K126" s="15">
        <f t="shared" si="370"/>
        <v>4693.0600000000004</v>
      </c>
      <c r="L126" s="15">
        <f t="shared" si="380"/>
        <v>4694.34</v>
      </c>
      <c r="M126" s="15">
        <f t="shared" si="390"/>
        <v>4724.03</v>
      </c>
      <c r="N126" s="15">
        <f t="shared" si="400"/>
        <v>4668.6099999999997</v>
      </c>
      <c r="O126" s="15">
        <f t="shared" si="410"/>
        <v>4772.78</v>
      </c>
      <c r="P126" s="15">
        <f t="shared" si="420"/>
        <v>4792.42</v>
      </c>
      <c r="Q126" s="15">
        <f t="shared" si="430"/>
        <v>4783.51</v>
      </c>
      <c r="R126" s="15">
        <v>-68.14</v>
      </c>
      <c r="S126" s="15">
        <f t="shared" si="331"/>
        <v>-22.7</v>
      </c>
      <c r="T126" s="15">
        <f t="shared" si="341"/>
        <v>-53.06</v>
      </c>
      <c r="U126" s="15">
        <f t="shared" si="351"/>
        <v>-78.92</v>
      </c>
      <c r="V126" s="15">
        <f t="shared" si="361"/>
        <v>-40.630000000000003</v>
      </c>
      <c r="W126" s="15">
        <f t="shared" si="371"/>
        <v>-60.27</v>
      </c>
      <c r="X126" s="15">
        <f t="shared" si="381"/>
        <v>-55</v>
      </c>
      <c r="Y126" s="15">
        <f t="shared" si="391"/>
        <v>-48.12</v>
      </c>
      <c r="Z126" s="15">
        <f t="shared" si="401"/>
        <v>-129.30000000000001</v>
      </c>
      <c r="AA126" s="15">
        <f t="shared" si="411"/>
        <v>-60.47</v>
      </c>
      <c r="AB126" s="15">
        <f t="shared" si="421"/>
        <v>-35.32</v>
      </c>
      <c r="AC126" s="15">
        <f t="shared" si="431"/>
        <v>-22.28</v>
      </c>
      <c r="AD126" s="15">
        <v>-1.44</v>
      </c>
      <c r="AE126" s="15">
        <f t="shared" si="332"/>
        <v>-0.48</v>
      </c>
      <c r="AF126" s="15">
        <f t="shared" si="342"/>
        <v>-1.1299999999999999</v>
      </c>
      <c r="AG126" s="15">
        <f t="shared" si="352"/>
        <v>-1.66</v>
      </c>
      <c r="AH126" s="15">
        <f t="shared" si="362"/>
        <v>-0.86</v>
      </c>
      <c r="AI126" s="15">
        <f t="shared" si="372"/>
        <v>-1.27</v>
      </c>
      <c r="AJ126" s="15">
        <f t="shared" si="382"/>
        <v>-1.1599999999999999</v>
      </c>
      <c r="AK126" s="15">
        <f t="shared" si="392"/>
        <v>-1.01</v>
      </c>
      <c r="AL126" s="15">
        <f t="shared" si="402"/>
        <v>-2.69</v>
      </c>
      <c r="AM126" s="15">
        <f t="shared" si="412"/>
        <v>-1.25</v>
      </c>
      <c r="AN126" s="15">
        <f t="shared" si="422"/>
        <v>-0.73</v>
      </c>
      <c r="AO126" s="15">
        <f t="shared" si="432"/>
        <v>-0.46</v>
      </c>
      <c r="AP126" s="15">
        <v>3</v>
      </c>
      <c r="AQ126" s="15">
        <f t="shared" si="333"/>
        <v>3</v>
      </c>
      <c r="AR126" s="15">
        <f t="shared" si="343"/>
        <v>3</v>
      </c>
      <c r="AS126" s="15">
        <f t="shared" si="353"/>
        <v>3</v>
      </c>
      <c r="AT126" s="15">
        <f t="shared" si="363"/>
        <v>3</v>
      </c>
      <c r="AU126" s="15">
        <f t="shared" si="373"/>
        <v>3</v>
      </c>
      <c r="AV126" s="15">
        <f t="shared" si="383"/>
        <v>3</v>
      </c>
      <c r="AW126" s="15">
        <f t="shared" si="393"/>
        <v>3</v>
      </c>
      <c r="AX126" s="15">
        <f t="shared" si="403"/>
        <v>5</v>
      </c>
      <c r="AY126" s="15">
        <f t="shared" si="413"/>
        <v>3</v>
      </c>
      <c r="AZ126" s="15">
        <f t="shared" si="423"/>
        <v>3</v>
      </c>
      <c r="BA126" s="15">
        <f t="shared" si="433"/>
        <v>3</v>
      </c>
      <c r="BB126" s="15">
        <v>36</v>
      </c>
      <c r="BC126" s="15">
        <f t="shared" si="334"/>
        <v>9</v>
      </c>
      <c r="BD126" s="15">
        <f t="shared" si="344"/>
        <v>13</v>
      </c>
      <c r="BE126" s="15">
        <f t="shared" si="354"/>
        <v>20</v>
      </c>
      <c r="BF126" s="15">
        <f t="shared" si="364"/>
        <v>10</v>
      </c>
      <c r="BG126" s="15">
        <f t="shared" si="374"/>
        <v>19</v>
      </c>
      <c r="BH126" s="15">
        <f t="shared" si="384"/>
        <v>18</v>
      </c>
      <c r="BI126" s="15">
        <f t="shared" si="394"/>
        <v>38</v>
      </c>
      <c r="BJ126" s="15">
        <f t="shared" si="404"/>
        <v>31</v>
      </c>
      <c r="BK126" s="15">
        <f t="shared" si="414"/>
        <v>35</v>
      </c>
      <c r="BL126" s="15">
        <f t="shared" si="424"/>
        <v>1</v>
      </c>
      <c r="BM126" s="15">
        <f t="shared" si="434"/>
        <v>9</v>
      </c>
      <c r="BN126" s="15">
        <v>4</v>
      </c>
      <c r="BO126" s="15">
        <f t="shared" si="335"/>
        <v>3</v>
      </c>
      <c r="BP126" s="15">
        <f t="shared" si="345"/>
        <v>3</v>
      </c>
      <c r="BQ126" s="15">
        <f t="shared" si="355"/>
        <v>3</v>
      </c>
      <c r="BR126" s="15">
        <f t="shared" si="365"/>
        <v>3</v>
      </c>
      <c r="BS126" s="15">
        <f t="shared" si="375"/>
        <v>3</v>
      </c>
      <c r="BT126" s="15">
        <f t="shared" si="385"/>
        <v>3</v>
      </c>
      <c r="BU126" s="15">
        <f t="shared" si="395"/>
        <v>4</v>
      </c>
      <c r="BV126" s="15">
        <f t="shared" si="405"/>
        <v>3</v>
      </c>
      <c r="BW126" s="15">
        <f t="shared" si="415"/>
        <v>3</v>
      </c>
      <c r="BX126" s="15">
        <f t="shared" si="425"/>
        <v>3</v>
      </c>
      <c r="BY126" s="15">
        <f t="shared" si="435"/>
        <v>3</v>
      </c>
      <c r="BZ126" s="15">
        <v>-1.8927799999999999</v>
      </c>
      <c r="CA126" s="15">
        <f t="shared" si="336"/>
        <v>-2.5222199999999999</v>
      </c>
      <c r="CB126" s="15">
        <f t="shared" si="346"/>
        <v>-4.0815400000000004</v>
      </c>
      <c r="CC126" s="15">
        <f t="shared" si="356"/>
        <v>-3.9460000000000002</v>
      </c>
      <c r="CD126" s="15">
        <f t="shared" si="366"/>
        <v>-4.0629999999999997</v>
      </c>
      <c r="CE126" s="15">
        <f t="shared" si="376"/>
        <v>-3.17211</v>
      </c>
      <c r="CF126" s="15">
        <f t="shared" si="386"/>
        <v>-3.0555599999999998</v>
      </c>
      <c r="CG126" s="15">
        <f t="shared" si="396"/>
        <v>-1.2663199999999999</v>
      </c>
      <c r="CH126" s="15">
        <f t="shared" si="406"/>
        <v>-4.1709699999999996</v>
      </c>
      <c r="CI126" s="15">
        <f t="shared" si="416"/>
        <v>-1.7277100000000001</v>
      </c>
      <c r="CJ126" s="15">
        <f t="shared" si="426"/>
        <v>-35.32</v>
      </c>
      <c r="CK126" s="15">
        <f t="shared" si="436"/>
        <v>-2.4755600000000002</v>
      </c>
      <c r="CL126" s="15">
        <v>3</v>
      </c>
      <c r="CM126" s="15">
        <f t="shared" si="337"/>
        <v>3</v>
      </c>
      <c r="CN126" s="15">
        <f t="shared" si="347"/>
        <v>3</v>
      </c>
      <c r="CO126" s="15">
        <f t="shared" si="357"/>
        <v>3</v>
      </c>
      <c r="CP126" s="15">
        <f t="shared" si="367"/>
        <v>3</v>
      </c>
      <c r="CQ126" s="15">
        <f t="shared" si="377"/>
        <v>3</v>
      </c>
      <c r="CR126" s="15">
        <f t="shared" si="387"/>
        <v>3</v>
      </c>
      <c r="CS126" s="15">
        <f t="shared" si="397"/>
        <v>3</v>
      </c>
      <c r="CT126" s="15">
        <f t="shared" si="407"/>
        <v>3</v>
      </c>
      <c r="CU126" s="15">
        <f t="shared" si="417"/>
        <v>3</v>
      </c>
      <c r="CV126" s="15">
        <f t="shared" si="427"/>
        <v>5</v>
      </c>
      <c r="CW126" s="15">
        <f t="shared" si="437"/>
        <v>3</v>
      </c>
      <c r="CX126" s="15">
        <v>-62.151400000000002</v>
      </c>
      <c r="CY126" s="15">
        <f t="shared" si="338"/>
        <v>-68.372900000000001</v>
      </c>
      <c r="CZ126" s="15">
        <f t="shared" si="348"/>
        <v>-76.233400000000003</v>
      </c>
      <c r="DA126" s="15">
        <f t="shared" si="358"/>
        <v>-75.779399999999995</v>
      </c>
      <c r="DB126" s="15">
        <f t="shared" si="368"/>
        <v>-76.173000000000002</v>
      </c>
      <c r="DC126" s="15">
        <f t="shared" si="378"/>
        <v>-72.502600000000001</v>
      </c>
      <c r="DD126" s="15">
        <f t="shared" si="388"/>
        <v>-71.878100000000003</v>
      </c>
      <c r="DE126" s="15">
        <f t="shared" si="398"/>
        <v>-51.702100000000002</v>
      </c>
      <c r="DF126" s="15">
        <f t="shared" si="408"/>
        <v>-76.517700000000005</v>
      </c>
      <c r="DG126" s="15">
        <f t="shared" si="418"/>
        <v>-59.937800000000003</v>
      </c>
      <c r="DH126" s="15">
        <f t="shared" si="428"/>
        <v>-88.378200000000007</v>
      </c>
      <c r="DI126" s="15">
        <f t="shared" si="438"/>
        <v>-68.003799999999998</v>
      </c>
      <c r="DJ126" s="15" t="s">
        <v>19</v>
      </c>
      <c r="DK126" s="15" t="str">
        <f t="shared" si="339"/>
        <v>HL</v>
      </c>
      <c r="DL126" s="15" t="str">
        <f t="shared" si="349"/>
        <v>LL</v>
      </c>
      <c r="DM126" s="15" t="str">
        <f t="shared" si="359"/>
        <v>LL</v>
      </c>
      <c r="DN126" s="15" t="str">
        <f t="shared" si="369"/>
        <v>LL</v>
      </c>
      <c r="DO126" s="15" t="str">
        <f t="shared" si="379"/>
        <v>LL</v>
      </c>
      <c r="DP126" s="15" t="str">
        <f t="shared" si="389"/>
        <v>LL</v>
      </c>
      <c r="DQ126" s="15" t="str">
        <f t="shared" si="399"/>
        <v>HL</v>
      </c>
      <c r="DR126" s="15" t="str">
        <f t="shared" si="409"/>
        <v>LL</v>
      </c>
      <c r="DS126" s="15" t="str">
        <f t="shared" si="419"/>
        <v>LL</v>
      </c>
      <c r="DT126" s="15" t="str">
        <f t="shared" si="429"/>
        <v>HL</v>
      </c>
      <c r="DU126" s="15" t="str">
        <f t="shared" si="439"/>
        <v>HL</v>
      </c>
      <c r="DV126" s="15">
        <f>IFERROR((G126-$F126)/$F126*100,"")</f>
        <v>5.0723939773345113E-2</v>
      </c>
      <c r="DW126" s="15">
        <f>IFERROR((H126-$F126)/$F126*100,"")</f>
        <v>-0.30348753839075177</v>
      </c>
      <c r="DX126" s="15">
        <f>IFERROR((I126-$F126)/$F126*100,"")</f>
        <v>-0.17229017517951742</v>
      </c>
      <c r="DY126" s="15">
        <f>IFERROR((J126-$F126)/$F126*100,"")</f>
        <v>0.25490384924074294</v>
      </c>
      <c r="DZ126" s="15">
        <f>IFERROR((K126-$F126)/$F126*100,"")</f>
        <v>0.44324590409537029</v>
      </c>
      <c r="EA126" s="15">
        <f>IFERROR((L126-$F126)/$F126*100,"")</f>
        <v>0.47064111207421921</v>
      </c>
      <c r="EB126" s="15">
        <f>IFERROR((M126-$F126)/$F126*100,"")</f>
        <v>1.1060815221462299</v>
      </c>
      <c r="EC126" s="15">
        <f>IFERROR((N126-$F126)/$F126*100,"")</f>
        <v>-8.0045373313229765E-2</v>
      </c>
      <c r="ED126" s="15">
        <f>IFERROR((O126-$F126)/$F126*100,"")</f>
        <v>2.149453701028377</v>
      </c>
      <c r="EE126" s="15">
        <f>IFERROR((P126-$F126)/$F126*100,"")</f>
        <v>2.5697989234539298</v>
      </c>
      <c r="EF126" s="15">
        <f>IFERROR((Q126-$F126)/$F126*100,"")</f>
        <v>2.3791025929136267</v>
      </c>
      <c r="EG126" s="15" t="str">
        <f>IF(DV126="","",IF(AND(ABS(DV126)&lt;=0.25,$E126="Bottom",DK126="LL"),"EQL",IF(AND(ABS(DV126)&lt;=0.25,$E126="Peak",DK126="HH"),"EQH","")))</f>
        <v/>
      </c>
      <c r="EH126" s="15" t="str">
        <f>IF(DW126="","",IF(AND(ABS(DW126)&lt;=0.25,$E126="Bottom",DL126="LL"),"EQL",IF(AND(ABS(DW126)&lt;=0.25,$E126="Peak",DL126="HH"),"EQH","")))</f>
        <v/>
      </c>
      <c r="EI126" s="15" t="str">
        <f>IF(DX126="","",IF(AND(ABS(DX126)&lt;=0.25,$E126="Bottom",DM126="LL"),"EQL",IF(AND(ABS(DX126)&lt;=0.25,$E126="Peak",DM126="HH"),"EQH","")))</f>
        <v>EQL</v>
      </c>
      <c r="EJ126" s="15" t="str">
        <f>IF(DY126="","",IF(AND(ABS(DY126)&lt;=0.25,$E126="Bottom",DN126="LL"),"EQL",IF(AND(ABS(DY126)&lt;=0.25,$E126="Peak",DN126="HH"),"EQH","")))</f>
        <v/>
      </c>
      <c r="EK126" s="15" t="str">
        <f>IF(DZ126="","",IF(AND(ABS(DZ126)&lt;=0.25,$E126="Bottom",DO126="LL"),"EQL",IF(AND(ABS(DZ126)&lt;=0.25,$E126="Peak",DO126="HH"),"EQH","")))</f>
        <v/>
      </c>
      <c r="EL126" s="15" t="str">
        <f>IF(EA126="","",IF(AND(ABS(EA126)&lt;=0.25,$E126="Bottom",DP126="LL"),"EQL",IF(AND(ABS(EA126)&lt;=0.25,$E126="Peak",DP126="HH"),"EQH","")))</f>
        <v/>
      </c>
      <c r="EM126" s="15" t="str">
        <f>IF(EB126="","",IF(AND(ABS(EB126)&lt;=0.25,$E126="Bottom",DQ126="LL"),"EQL",IF(AND(ABS(EB126)&lt;=0.25,$E126="Peak",DQ126="HH"),"EQH","")))</f>
        <v/>
      </c>
      <c r="EN126" s="15" t="str">
        <f>IF(EC126="","",IF(AND(ABS(EC126)&lt;=0.25,$E126="Bottom",DR126="LL"),"EQL",IF(AND(ABS(EC126)&lt;=0.25,$E126="Peak",DR126="HH"),"EQH","")))</f>
        <v>EQL</v>
      </c>
      <c r="EO126" s="15" t="str">
        <f>IF(ED126="","",IF(AND(ABS(ED126)&lt;=0.25,$E126="Bottom",DS126="LL"),"EQL",IF(AND(ABS(ED126)&lt;=0.25,$E126="Peak",DS126="HH"),"EQH","")))</f>
        <v/>
      </c>
      <c r="EP126" s="15" t="str">
        <f>IF(EE126="","",IF(AND(ABS(EE126)&lt;=0.25,$E126="Bottom",DT126="LL"),"EQL",IF(AND(ABS(EE126)&lt;=0.25,$E126="Peak",DT126="HH"),"EQH","")))</f>
        <v/>
      </c>
      <c r="EQ126" s="15" t="str">
        <f>IF(EF126="","",IF(AND(ABS(EF126)&lt;=0.25,$E126="Bottom",DU126="LL"),"EQL",IF(AND(ABS(EF126)&lt;=0.25,$E126="Peak",DU126="HH"),"EQH","")))</f>
        <v/>
      </c>
      <c r="ER126" s="15" t="str">
        <f>IF(OR(EG126="EQL",EG126="EQH"),F126,"")</f>
        <v/>
      </c>
      <c r="ES126" s="15" t="str">
        <f>IF(OR(EH126="EQL",EH126="EQH"),G126,"")</f>
        <v/>
      </c>
      <c r="ET126" s="15">
        <f>IF(OR(EI126="EQL",EI126="EQH"),H126,"")</f>
        <v>4658.17</v>
      </c>
      <c r="EU126" s="15" t="str">
        <f>IF(OR(EJ126="EQL",EJ126="EQH"),I126,"")</f>
        <v/>
      </c>
      <c r="EV126" s="15" t="str">
        <f>IF(OR(EK126="EQL",EK126="EQH"),J126,"")</f>
        <v/>
      </c>
      <c r="EW126" s="15" t="str">
        <f>IF(OR(EL126="EQL",EL126="EQH"),K126,"")</f>
        <v/>
      </c>
      <c r="EX126" s="15" t="str">
        <f>IF(OR(EM126="EQL",EM126="EQH"),L126,"")</f>
        <v/>
      </c>
      <c r="EY126" s="15">
        <f>IF(OR(EN126="EQL",EN126="EQH"),M126,"")</f>
        <v>4724.03</v>
      </c>
      <c r="EZ126" s="15" t="str">
        <f>IF(OR(EO126="EQL",EO126="EQH"),N126,"")</f>
        <v/>
      </c>
      <c r="FA126" s="15" t="str">
        <f>IF(OR(EP126="EQL",EP126="EQH"),O126,"")</f>
        <v/>
      </c>
      <c r="FB126" s="15" t="str">
        <f>IF(OR(EQ126="EQL",EQ126="EQH"),P126,"")</f>
        <v/>
      </c>
      <c r="FC126" s="15" t="str">
        <f>IF(AND(EG126="EQL",OR(AQ126=4,AQ126=5)),"IEQL",IF(AND(EG126="EQH",OR(AQ126=1,AQ126=2)),"IEQH",""))</f>
        <v/>
      </c>
      <c r="FD126" s="15" t="str">
        <f>IF(AND(EH126="EQL",OR(AR126=4,AR126=5)),"IEQL",IF(AND(EH126="EQH",OR(AR126=1,AR126=2)),"IEQH",""))</f>
        <v/>
      </c>
      <c r="FE126" s="15" t="str">
        <f>IF(AND(EI126="EQL",OR(AS126=4,AS126=5)),"IEQL",IF(AND(EI126="EQH",OR(AS126=1,AS126=2)),"IEQH",""))</f>
        <v/>
      </c>
      <c r="FF126" s="15" t="str">
        <f>IF(AND(EJ126="EQL",OR(AT126=4,AT126=5)),"IEQL",IF(AND(EJ126="EQH",OR(AT126=1,AT126=2)),"IEQH",""))</f>
        <v/>
      </c>
      <c r="FG126" s="15" t="str">
        <f>IF(AND(EK126="EQL",OR(AU126=4,AU126=5)),"IEQL",IF(AND(EK126="EQH",OR(AU126=1,AU126=2)),"IEQH",""))</f>
        <v/>
      </c>
      <c r="FH126" s="15" t="str">
        <f>IF(AND(EL126="EQL",OR(AV126=4,AV126=5)),"IEQL",IF(AND(EL126="EQH",OR(AV126=1,AV126=2)),"IEQH",""))</f>
        <v/>
      </c>
      <c r="FI126" s="15" t="str">
        <f>IF(AND(EM126="EQL",OR(AW126=4,AW126=5)),"IEQL",IF(AND(EM126="EQH",OR(AW126=1,AW126=2)),"IEQH",""))</f>
        <v/>
      </c>
      <c r="FJ126" s="15" t="str">
        <f>IF(AND(EN126="EQL",OR(AX126=4,AX126=5)),"IEQL",IF(AND(EN126="EQH",OR(AX126=1,AX126=2)),"IEQH",""))</f>
        <v>IEQL</v>
      </c>
      <c r="FK126" s="15" t="str">
        <f>IF(AND(EO126="EQL",OR(AY126=4,AY126=5)),"IEQL",IF(AND(EO126="EQH",OR(AY126=1,AY126=2)),"IEQH",""))</f>
        <v/>
      </c>
      <c r="FL126" s="15" t="str">
        <f>IF(AND(EP126="EQL",OR(AZ126=4,AZ126=5)),"IEQL",IF(AND(EP126="EQH",OR(AZ126=1,AZ126=2)),"IEQH",""))</f>
        <v/>
      </c>
      <c r="FM126" s="15" t="str">
        <f>IF(AND(EQ126="EQL",OR(BA126=4,BA126=5)),"IEQL",IF(AND(EQ126="EQH",OR(BA126=1,BA126=2)),"IEQH",""))</f>
        <v/>
      </c>
      <c r="FN126" s="15" t="str">
        <f>IF(OR(AND(DJ126="LL",AP126=5),AND(DJ126="HH",AP126=2)),F126,"")</f>
        <v/>
      </c>
      <c r="FO126" s="15" t="str">
        <f>IF(FN126&lt;&gt;"",F125,"")</f>
        <v/>
      </c>
    </row>
    <row r="127" spans="1:171" s="15" customFormat="1" x14ac:dyDescent="0.55000000000000004">
      <c r="A127" s="15">
        <v>1777264206</v>
      </c>
      <c r="B127" s="15" t="s">
        <v>16</v>
      </c>
      <c r="C127" s="15" t="s">
        <v>17</v>
      </c>
      <c r="D127" s="15">
        <v>4726.18</v>
      </c>
      <c r="E127" s="15" t="s">
        <v>20</v>
      </c>
      <c r="F127" s="15">
        <v>4729.92</v>
      </c>
      <c r="G127" s="15">
        <f t="shared" si="330"/>
        <v>4740.49</v>
      </c>
      <c r="H127" s="15">
        <f t="shared" si="340"/>
        <v>4697.42</v>
      </c>
      <c r="I127" s="15">
        <f t="shared" si="350"/>
        <v>4711.2299999999996</v>
      </c>
      <c r="J127" s="15">
        <f t="shared" si="360"/>
        <v>4743.22</v>
      </c>
      <c r="K127" s="15">
        <f t="shared" si="370"/>
        <v>4724.8900000000003</v>
      </c>
      <c r="L127" s="15">
        <f t="shared" si="380"/>
        <v>4753.33</v>
      </c>
      <c r="M127" s="15">
        <f t="shared" si="390"/>
        <v>4749.34</v>
      </c>
      <c r="N127" s="15">
        <f t="shared" si="400"/>
        <v>4772.1499999999996</v>
      </c>
      <c r="O127" s="15">
        <f t="shared" si="410"/>
        <v>4797.91</v>
      </c>
      <c r="P127" s="15">
        <f t="shared" si="420"/>
        <v>4833.25</v>
      </c>
      <c r="Q127" s="15">
        <f t="shared" si="430"/>
        <v>4827.74</v>
      </c>
      <c r="R127" s="15">
        <v>57.57</v>
      </c>
      <c r="S127" s="15">
        <f t="shared" si="331"/>
        <v>65.77</v>
      </c>
      <c r="T127" s="15">
        <f t="shared" si="341"/>
        <v>39.25</v>
      </c>
      <c r="U127" s="15">
        <f t="shared" si="351"/>
        <v>46.93</v>
      </c>
      <c r="V127" s="15">
        <f t="shared" si="361"/>
        <v>58.96</v>
      </c>
      <c r="W127" s="15">
        <f t="shared" si="371"/>
        <v>31.83</v>
      </c>
      <c r="X127" s="15">
        <f t="shared" si="381"/>
        <v>58.99</v>
      </c>
      <c r="Y127" s="15">
        <f t="shared" si="391"/>
        <v>25.31</v>
      </c>
      <c r="Z127" s="15">
        <f t="shared" si="401"/>
        <v>103.54</v>
      </c>
      <c r="AA127" s="15">
        <f t="shared" si="411"/>
        <v>25.13</v>
      </c>
      <c r="AB127" s="15">
        <f t="shared" si="421"/>
        <v>40.83</v>
      </c>
      <c r="AC127" s="15">
        <f t="shared" si="431"/>
        <v>44.23</v>
      </c>
      <c r="AD127" s="15">
        <v>1.23</v>
      </c>
      <c r="AE127" s="15">
        <f t="shared" si="332"/>
        <v>1.41</v>
      </c>
      <c r="AF127" s="15">
        <f t="shared" si="342"/>
        <v>0.84</v>
      </c>
      <c r="AG127" s="15">
        <f t="shared" si="352"/>
        <v>1.01</v>
      </c>
      <c r="AH127" s="15">
        <f t="shared" si="362"/>
        <v>1.26</v>
      </c>
      <c r="AI127" s="15">
        <f t="shared" si="372"/>
        <v>0.68</v>
      </c>
      <c r="AJ127" s="15">
        <f t="shared" si="382"/>
        <v>1.26</v>
      </c>
      <c r="AK127" s="15">
        <f t="shared" si="392"/>
        <v>0.54</v>
      </c>
      <c r="AL127" s="15">
        <f t="shared" si="402"/>
        <v>2.2200000000000002</v>
      </c>
      <c r="AM127" s="15">
        <f t="shared" si="412"/>
        <v>0.53</v>
      </c>
      <c r="AN127" s="15">
        <f t="shared" si="422"/>
        <v>0.85</v>
      </c>
      <c r="AO127" s="15">
        <f t="shared" si="432"/>
        <v>0.92</v>
      </c>
      <c r="AP127" s="15">
        <v>0</v>
      </c>
      <c r="AQ127" s="15">
        <f t="shared" si="333"/>
        <v>0</v>
      </c>
      <c r="AR127" s="15">
        <f t="shared" si="343"/>
        <v>0</v>
      </c>
      <c r="AS127" s="15">
        <f t="shared" si="353"/>
        <v>0</v>
      </c>
      <c r="AT127" s="15">
        <f t="shared" si="363"/>
        <v>0</v>
      </c>
      <c r="AU127" s="15">
        <f t="shared" si="373"/>
        <v>0</v>
      </c>
      <c r="AV127" s="15">
        <f t="shared" si="383"/>
        <v>0</v>
      </c>
      <c r="AW127" s="15">
        <f t="shared" si="393"/>
        <v>0</v>
      </c>
      <c r="AX127" s="15">
        <f t="shared" si="403"/>
        <v>1</v>
      </c>
      <c r="AY127" s="15">
        <f t="shared" si="413"/>
        <v>0</v>
      </c>
      <c r="AZ127" s="15">
        <f t="shared" si="423"/>
        <v>0</v>
      </c>
      <c r="BA127" s="15">
        <f t="shared" si="433"/>
        <v>0</v>
      </c>
      <c r="BB127" s="15">
        <v>18</v>
      </c>
      <c r="BC127" s="15">
        <f t="shared" si="334"/>
        <v>14</v>
      </c>
      <c r="BD127" s="15">
        <f t="shared" si="344"/>
        <v>15</v>
      </c>
      <c r="BE127" s="15">
        <f t="shared" si="354"/>
        <v>26</v>
      </c>
      <c r="BF127" s="15">
        <f t="shared" si="364"/>
        <v>9</v>
      </c>
      <c r="BG127" s="15">
        <f t="shared" si="374"/>
        <v>10</v>
      </c>
      <c r="BH127" s="15">
        <f t="shared" si="384"/>
        <v>2</v>
      </c>
      <c r="BI127" s="15">
        <f t="shared" si="394"/>
        <v>9</v>
      </c>
      <c r="BJ127" s="15">
        <f t="shared" si="404"/>
        <v>42</v>
      </c>
      <c r="BK127" s="15">
        <f t="shared" si="414"/>
        <v>19</v>
      </c>
      <c r="BL127" s="15">
        <f t="shared" si="424"/>
        <v>26</v>
      </c>
      <c r="BM127" s="15">
        <f t="shared" si="434"/>
        <v>20</v>
      </c>
      <c r="BN127" s="15">
        <v>0</v>
      </c>
      <c r="BO127" s="15">
        <f t="shared" si="335"/>
        <v>0</v>
      </c>
      <c r="BP127" s="15">
        <f t="shared" si="345"/>
        <v>0</v>
      </c>
      <c r="BQ127" s="15">
        <f t="shared" si="355"/>
        <v>0</v>
      </c>
      <c r="BR127" s="15">
        <f t="shared" si="365"/>
        <v>0</v>
      </c>
      <c r="BS127" s="15">
        <f t="shared" si="375"/>
        <v>0</v>
      </c>
      <c r="BT127" s="15">
        <f t="shared" si="385"/>
        <v>0</v>
      </c>
      <c r="BU127" s="15">
        <f t="shared" si="395"/>
        <v>0</v>
      </c>
      <c r="BV127" s="15">
        <f t="shared" si="405"/>
        <v>1</v>
      </c>
      <c r="BW127" s="15">
        <f t="shared" si="415"/>
        <v>0</v>
      </c>
      <c r="BX127" s="15">
        <f t="shared" si="425"/>
        <v>0</v>
      </c>
      <c r="BY127" s="15">
        <f t="shared" si="435"/>
        <v>0</v>
      </c>
      <c r="BZ127" s="15">
        <v>3.1983299999999999</v>
      </c>
      <c r="CA127" s="15">
        <f t="shared" si="336"/>
        <v>4.6978600000000004</v>
      </c>
      <c r="CB127" s="15">
        <f t="shared" si="346"/>
        <v>2.6166700000000001</v>
      </c>
      <c r="CC127" s="15">
        <f t="shared" si="356"/>
        <v>1.8049999999999999</v>
      </c>
      <c r="CD127" s="15">
        <f t="shared" si="366"/>
        <v>6.5511100000000004</v>
      </c>
      <c r="CE127" s="15">
        <f t="shared" si="376"/>
        <v>3.1829999999999998</v>
      </c>
      <c r="CF127" s="15">
        <f t="shared" si="386"/>
        <v>29.495000000000001</v>
      </c>
      <c r="CG127" s="15">
        <f t="shared" si="396"/>
        <v>2.8122199999999999</v>
      </c>
      <c r="CH127" s="15">
        <f t="shared" si="406"/>
        <v>2.4652400000000001</v>
      </c>
      <c r="CI127" s="15">
        <f t="shared" si="416"/>
        <v>1.32263</v>
      </c>
      <c r="CJ127" s="15">
        <f t="shared" si="426"/>
        <v>1.5703800000000001</v>
      </c>
      <c r="CK127" s="15">
        <f t="shared" si="436"/>
        <v>2.2115</v>
      </c>
      <c r="CL127" s="15">
        <v>0</v>
      </c>
      <c r="CM127" s="15">
        <f t="shared" si="337"/>
        <v>0</v>
      </c>
      <c r="CN127" s="15">
        <f t="shared" si="347"/>
        <v>0</v>
      </c>
      <c r="CO127" s="15">
        <f t="shared" si="357"/>
        <v>0</v>
      </c>
      <c r="CP127" s="15">
        <f t="shared" si="367"/>
        <v>0</v>
      </c>
      <c r="CQ127" s="15">
        <f t="shared" si="377"/>
        <v>0</v>
      </c>
      <c r="CR127" s="15">
        <f t="shared" si="387"/>
        <v>2</v>
      </c>
      <c r="CS127" s="15">
        <f t="shared" si="397"/>
        <v>0</v>
      </c>
      <c r="CT127" s="15">
        <f t="shared" si="407"/>
        <v>0</v>
      </c>
      <c r="CU127" s="15">
        <f t="shared" si="417"/>
        <v>0</v>
      </c>
      <c r="CV127" s="15">
        <f t="shared" si="427"/>
        <v>0</v>
      </c>
      <c r="CW127" s="15">
        <f t="shared" si="437"/>
        <v>0</v>
      </c>
      <c r="CX127" s="15">
        <v>72.637500000000003</v>
      </c>
      <c r="CY127" s="15">
        <f t="shared" si="338"/>
        <v>77.983199999999997</v>
      </c>
      <c r="CZ127" s="15">
        <f t="shared" si="348"/>
        <v>69.084900000000005</v>
      </c>
      <c r="DA127" s="15">
        <f t="shared" si="358"/>
        <v>61.012799999999999</v>
      </c>
      <c r="DB127" s="15">
        <f t="shared" si="368"/>
        <v>81.320999999999998</v>
      </c>
      <c r="DC127" s="15">
        <f t="shared" si="378"/>
        <v>72.558899999999994</v>
      </c>
      <c r="DD127" s="15">
        <f t="shared" si="388"/>
        <v>88.058199999999999</v>
      </c>
      <c r="DE127" s="15">
        <f t="shared" si="398"/>
        <v>70.4251</v>
      </c>
      <c r="DF127" s="15">
        <f t="shared" si="408"/>
        <v>67.920500000000004</v>
      </c>
      <c r="DG127" s="15">
        <f t="shared" si="418"/>
        <v>52.908200000000001</v>
      </c>
      <c r="DH127" s="15">
        <f t="shared" si="428"/>
        <v>57.511600000000001</v>
      </c>
      <c r="DI127" s="15">
        <f t="shared" si="438"/>
        <v>65.668400000000005</v>
      </c>
      <c r="DJ127" s="15" t="s">
        <v>21</v>
      </c>
      <c r="DK127" s="15" t="str">
        <f t="shared" si="339"/>
        <v>HH</v>
      </c>
      <c r="DL127" s="15" t="str">
        <f t="shared" si="349"/>
        <v>LH</v>
      </c>
      <c r="DM127" s="15" t="str">
        <f t="shared" si="359"/>
        <v>LH</v>
      </c>
      <c r="DN127" s="15" t="str">
        <f t="shared" si="369"/>
        <v>HH</v>
      </c>
      <c r="DO127" s="15" t="str">
        <f t="shared" si="379"/>
        <v>LH</v>
      </c>
      <c r="DP127" s="15" t="str">
        <f t="shared" si="389"/>
        <v>HH</v>
      </c>
      <c r="DQ127" s="15" t="str">
        <f t="shared" si="399"/>
        <v>LH</v>
      </c>
      <c r="DR127" s="15" t="str">
        <f t="shared" si="409"/>
        <v>LH</v>
      </c>
      <c r="DS127" s="15" t="str">
        <f t="shared" si="419"/>
        <v>LH</v>
      </c>
      <c r="DT127" s="15" t="str">
        <f t="shared" si="429"/>
        <v>HH</v>
      </c>
      <c r="DU127" s="15" t="str">
        <f t="shared" si="439"/>
        <v>HH</v>
      </c>
      <c r="DV127" s="15">
        <f>IFERROR((G127-$F127)/$F127*100,"")</f>
        <v>0.22347101008050263</v>
      </c>
      <c r="DW127" s="15">
        <f>IFERROR((H127-$F127)/$F127*100,"")</f>
        <v>-0.68711521547933152</v>
      </c>
      <c r="DX127" s="15">
        <f>IFERROR((I127-$F127)/$F127*100,"")</f>
        <v>-0.39514410391720173</v>
      </c>
      <c r="DY127" s="15">
        <f>IFERROR((J127-$F127)/$F127*100,"")</f>
        <v>0.28118868818077641</v>
      </c>
      <c r="DZ127" s="15">
        <f>IFERROR((K127-$F127)/$F127*100,"")</f>
        <v>-0.10634429334956501</v>
      </c>
      <c r="EA127" s="15">
        <f>IFERROR((L127-$F127)/$F127*100,"")</f>
        <v>0.49493437521141698</v>
      </c>
      <c r="EB127" s="15">
        <f>IFERROR((M127-$F127)/$F127*100,"")</f>
        <v>0.41057776875718982</v>
      </c>
      <c r="EC127" s="15">
        <f>IFERROR((N127-$F127)/$F127*100,"")</f>
        <v>0.8928269399905191</v>
      </c>
      <c r="ED127" s="15">
        <f>IFERROR((O127-$F127)/$F127*100,"")</f>
        <v>1.4374450307827569</v>
      </c>
      <c r="EE127" s="15">
        <f>IFERROR((P127-$F127)/$F127*100,"")</f>
        <v>2.1846035450916701</v>
      </c>
      <c r="EF127" s="15">
        <f>IFERROR((Q127-$F127)/$F127*100,"")</f>
        <v>2.0681110885596312</v>
      </c>
      <c r="EG127" s="15" t="str">
        <f>IF(DV127="","",IF(AND(ABS(DV127)&lt;=0.25,$E127="Bottom",DK127="LL"),"EQL",IF(AND(ABS(DV127)&lt;=0.25,$E127="Peak",DK127="HH"),"EQH","")))</f>
        <v>EQH</v>
      </c>
      <c r="EH127" s="15" t="str">
        <f>IF(DW127="","",IF(AND(ABS(DW127)&lt;=0.25,$E127="Bottom",DL127="LL"),"EQL",IF(AND(ABS(DW127)&lt;=0.25,$E127="Peak",DL127="HH"),"EQH","")))</f>
        <v/>
      </c>
      <c r="EI127" s="15" t="str">
        <f>IF(DX127="","",IF(AND(ABS(DX127)&lt;=0.25,$E127="Bottom",DM127="LL"),"EQL",IF(AND(ABS(DX127)&lt;=0.25,$E127="Peak",DM127="HH"),"EQH","")))</f>
        <v/>
      </c>
      <c r="EJ127" s="15" t="str">
        <f>IF(DY127="","",IF(AND(ABS(DY127)&lt;=0.25,$E127="Bottom",DN127="LL"),"EQL",IF(AND(ABS(DY127)&lt;=0.25,$E127="Peak",DN127="HH"),"EQH","")))</f>
        <v/>
      </c>
      <c r="EK127" s="15" t="str">
        <f>IF(DZ127="","",IF(AND(ABS(DZ127)&lt;=0.25,$E127="Bottom",DO127="LL"),"EQL",IF(AND(ABS(DZ127)&lt;=0.25,$E127="Peak",DO127="HH"),"EQH","")))</f>
        <v/>
      </c>
      <c r="EL127" s="15" t="str">
        <f>IF(EA127="","",IF(AND(ABS(EA127)&lt;=0.25,$E127="Bottom",DP127="LL"),"EQL",IF(AND(ABS(EA127)&lt;=0.25,$E127="Peak",DP127="HH"),"EQH","")))</f>
        <v/>
      </c>
      <c r="EM127" s="15" t="str">
        <f>IF(EB127="","",IF(AND(ABS(EB127)&lt;=0.25,$E127="Bottom",DQ127="LL"),"EQL",IF(AND(ABS(EB127)&lt;=0.25,$E127="Peak",DQ127="HH"),"EQH","")))</f>
        <v/>
      </c>
      <c r="EN127" s="15" t="str">
        <f>IF(EC127="","",IF(AND(ABS(EC127)&lt;=0.25,$E127="Bottom",DR127="LL"),"EQL",IF(AND(ABS(EC127)&lt;=0.25,$E127="Peak",DR127="HH"),"EQH","")))</f>
        <v/>
      </c>
      <c r="EO127" s="15" t="str">
        <f>IF(ED127="","",IF(AND(ABS(ED127)&lt;=0.25,$E127="Bottom",DS127="LL"),"EQL",IF(AND(ABS(ED127)&lt;=0.25,$E127="Peak",DS127="HH"),"EQH","")))</f>
        <v/>
      </c>
      <c r="EP127" s="15" t="str">
        <f>IF(EE127="","",IF(AND(ABS(EE127)&lt;=0.25,$E127="Bottom",DT127="LL"),"EQL",IF(AND(ABS(EE127)&lt;=0.25,$E127="Peak",DT127="HH"),"EQH","")))</f>
        <v/>
      </c>
      <c r="EQ127" s="15" t="str">
        <f>IF(EF127="","",IF(AND(ABS(EF127)&lt;=0.25,$E127="Bottom",DU127="LL"),"EQL",IF(AND(ABS(EF127)&lt;=0.25,$E127="Peak",DU127="HH"),"EQH","")))</f>
        <v/>
      </c>
      <c r="ER127" s="15">
        <f>IF(OR(EG127="EQL",EG127="EQH"),F127,"")</f>
        <v>4729.92</v>
      </c>
      <c r="ES127" s="15" t="str">
        <f>IF(OR(EH127="EQL",EH127="EQH"),G127,"")</f>
        <v/>
      </c>
      <c r="ET127" s="15" t="str">
        <f>IF(OR(EI127="EQL",EI127="EQH"),H127,"")</f>
        <v/>
      </c>
      <c r="EU127" s="15" t="str">
        <f>IF(OR(EJ127="EQL",EJ127="EQH"),I127,"")</f>
        <v/>
      </c>
      <c r="EV127" s="15" t="str">
        <f>IF(OR(EK127="EQL",EK127="EQH"),J127,"")</f>
        <v/>
      </c>
      <c r="EW127" s="15" t="str">
        <f>IF(OR(EL127="EQL",EL127="EQH"),K127,"")</f>
        <v/>
      </c>
      <c r="EX127" s="15" t="str">
        <f>IF(OR(EM127="EQL",EM127="EQH"),L127,"")</f>
        <v/>
      </c>
      <c r="EY127" s="15" t="str">
        <f>IF(OR(EN127="EQL",EN127="EQH"),M127,"")</f>
        <v/>
      </c>
      <c r="EZ127" s="15" t="str">
        <f>IF(OR(EO127="EQL",EO127="EQH"),N127,"")</f>
        <v/>
      </c>
      <c r="FA127" s="15" t="str">
        <f>IF(OR(EP127="EQL",EP127="EQH"),O127,"")</f>
        <v/>
      </c>
      <c r="FB127" s="15" t="str">
        <f>IF(OR(EQ127="EQL",EQ127="EQH"),P127,"")</f>
        <v/>
      </c>
      <c r="FC127" s="15" t="str">
        <f>IF(AND(EG127="EQL",OR(AQ127=4,AQ127=5)),"IEQL",IF(AND(EG127="EQH",OR(AQ127=1,AQ127=2)),"IEQH",""))</f>
        <v/>
      </c>
      <c r="FD127" s="15" t="str">
        <f>IF(AND(EH127="EQL",OR(AR127=4,AR127=5)),"IEQL",IF(AND(EH127="EQH",OR(AR127=1,AR127=2)),"IEQH",""))</f>
        <v/>
      </c>
      <c r="FE127" s="15" t="str">
        <f>IF(AND(EI127="EQL",OR(AS127=4,AS127=5)),"IEQL",IF(AND(EI127="EQH",OR(AS127=1,AS127=2)),"IEQH",""))</f>
        <v/>
      </c>
      <c r="FF127" s="15" t="str">
        <f>IF(AND(EJ127="EQL",OR(AT127=4,AT127=5)),"IEQL",IF(AND(EJ127="EQH",OR(AT127=1,AT127=2)),"IEQH",""))</f>
        <v/>
      </c>
      <c r="FG127" s="15" t="str">
        <f>IF(AND(EK127="EQL",OR(AU127=4,AU127=5)),"IEQL",IF(AND(EK127="EQH",OR(AU127=1,AU127=2)),"IEQH",""))</f>
        <v/>
      </c>
      <c r="FH127" s="15" t="str">
        <f>IF(AND(EL127="EQL",OR(AV127=4,AV127=5)),"IEQL",IF(AND(EL127="EQH",OR(AV127=1,AV127=2)),"IEQH",""))</f>
        <v/>
      </c>
      <c r="FI127" s="15" t="str">
        <f>IF(AND(EM127="EQL",OR(AW127=4,AW127=5)),"IEQL",IF(AND(EM127="EQH",OR(AW127=1,AW127=2)),"IEQH",""))</f>
        <v/>
      </c>
      <c r="FJ127" s="15" t="str">
        <f>IF(AND(EN127="EQL",OR(AX127=4,AX127=5)),"IEQL",IF(AND(EN127="EQH",OR(AX127=1,AX127=2)),"IEQH",""))</f>
        <v/>
      </c>
      <c r="FK127" s="15" t="str">
        <f>IF(AND(EO127="EQL",OR(AY127=4,AY127=5)),"IEQL",IF(AND(EO127="EQH",OR(AY127=1,AY127=2)),"IEQH",""))</f>
        <v/>
      </c>
      <c r="FL127" s="15" t="str">
        <f>IF(AND(EP127="EQL",OR(AZ127=4,AZ127=5)),"IEQL",IF(AND(EP127="EQH",OR(AZ127=1,AZ127=2)),"IEQH",""))</f>
        <v/>
      </c>
      <c r="FM127" s="15" t="str">
        <f>IF(AND(EQ127="EQL",OR(BA127=4,BA127=5)),"IEQL",IF(AND(EQ127="EQH",OR(BA127=1,BA127=2)),"IEQH",""))</f>
        <v/>
      </c>
      <c r="FN127" s="15" t="str">
        <f>IF(OR(AND(DJ127="LL",AP127=5),AND(DJ127="HH",AP127=2)),F127,"")</f>
        <v/>
      </c>
      <c r="FO127" s="15" t="str">
        <f>IF(FN127&lt;&gt;"",F126,"")</f>
        <v/>
      </c>
    </row>
    <row r="128" spans="1:171" s="15" customFormat="1" x14ac:dyDescent="0.55000000000000004">
      <c r="A128" s="15">
        <v>1777282206</v>
      </c>
      <c r="B128" s="15" t="s">
        <v>16</v>
      </c>
      <c r="C128" s="15" t="s">
        <v>17</v>
      </c>
      <c r="D128" s="15">
        <v>4704.6400000000003</v>
      </c>
      <c r="E128" s="15" t="s">
        <v>18</v>
      </c>
      <c r="F128" s="15">
        <v>4699.29</v>
      </c>
      <c r="G128" s="15">
        <f t="shared" si="330"/>
        <v>4672.3500000000004</v>
      </c>
      <c r="H128" s="15">
        <f t="shared" si="340"/>
        <v>4674.72</v>
      </c>
      <c r="I128" s="15">
        <f t="shared" si="350"/>
        <v>4658.17</v>
      </c>
      <c r="J128" s="15">
        <f t="shared" si="360"/>
        <v>4664.3</v>
      </c>
      <c r="K128" s="15">
        <f t="shared" si="370"/>
        <v>4684.26</v>
      </c>
      <c r="L128" s="15">
        <f t="shared" si="380"/>
        <v>4693.0600000000004</v>
      </c>
      <c r="M128" s="15">
        <f t="shared" si="390"/>
        <v>4694.34</v>
      </c>
      <c r="N128" s="15">
        <f t="shared" si="400"/>
        <v>4724.03</v>
      </c>
      <c r="O128" s="15">
        <f t="shared" si="410"/>
        <v>4668.6099999999997</v>
      </c>
      <c r="P128" s="15">
        <f t="shared" si="420"/>
        <v>4772.78</v>
      </c>
      <c r="Q128" s="15">
        <f t="shared" si="430"/>
        <v>4792.42</v>
      </c>
      <c r="R128" s="15">
        <v>-30.63</v>
      </c>
      <c r="S128" s="15">
        <f t="shared" si="331"/>
        <v>-68.14</v>
      </c>
      <c r="T128" s="15">
        <f t="shared" si="341"/>
        <v>-22.7</v>
      </c>
      <c r="U128" s="15">
        <f t="shared" si="351"/>
        <v>-53.06</v>
      </c>
      <c r="V128" s="15">
        <f t="shared" si="361"/>
        <v>-78.92</v>
      </c>
      <c r="W128" s="15">
        <f t="shared" si="371"/>
        <v>-40.630000000000003</v>
      </c>
      <c r="X128" s="15">
        <f t="shared" si="381"/>
        <v>-60.27</v>
      </c>
      <c r="Y128" s="15">
        <f t="shared" si="391"/>
        <v>-55</v>
      </c>
      <c r="Z128" s="15">
        <f t="shared" si="401"/>
        <v>-48.12</v>
      </c>
      <c r="AA128" s="15">
        <f t="shared" si="411"/>
        <v>-129.30000000000001</v>
      </c>
      <c r="AB128" s="15">
        <f t="shared" si="421"/>
        <v>-60.47</v>
      </c>
      <c r="AC128" s="15">
        <f t="shared" si="431"/>
        <v>-35.32</v>
      </c>
      <c r="AD128" s="15">
        <v>-0.65</v>
      </c>
      <c r="AE128" s="15">
        <f t="shared" si="332"/>
        <v>-1.44</v>
      </c>
      <c r="AF128" s="15">
        <f t="shared" si="342"/>
        <v>-0.48</v>
      </c>
      <c r="AG128" s="15">
        <f t="shared" si="352"/>
        <v>-1.1299999999999999</v>
      </c>
      <c r="AH128" s="15">
        <f t="shared" si="362"/>
        <v>-1.66</v>
      </c>
      <c r="AI128" s="15">
        <f t="shared" si="372"/>
        <v>-0.86</v>
      </c>
      <c r="AJ128" s="15">
        <f t="shared" si="382"/>
        <v>-1.27</v>
      </c>
      <c r="AK128" s="15">
        <f t="shared" si="392"/>
        <v>-1.1599999999999999</v>
      </c>
      <c r="AL128" s="15">
        <f t="shared" si="402"/>
        <v>-1.01</v>
      </c>
      <c r="AM128" s="15">
        <f t="shared" si="412"/>
        <v>-2.69</v>
      </c>
      <c r="AN128" s="15">
        <f t="shared" si="422"/>
        <v>-1.25</v>
      </c>
      <c r="AO128" s="15">
        <f t="shared" si="432"/>
        <v>-0.73</v>
      </c>
      <c r="AP128" s="15">
        <v>3</v>
      </c>
      <c r="AQ128" s="15">
        <f t="shared" si="333"/>
        <v>3</v>
      </c>
      <c r="AR128" s="15">
        <f t="shared" si="343"/>
        <v>3</v>
      </c>
      <c r="AS128" s="15">
        <f t="shared" si="353"/>
        <v>3</v>
      </c>
      <c r="AT128" s="15">
        <f t="shared" si="363"/>
        <v>3</v>
      </c>
      <c r="AU128" s="15">
        <f t="shared" si="373"/>
        <v>3</v>
      </c>
      <c r="AV128" s="15">
        <f t="shared" si="383"/>
        <v>3</v>
      </c>
      <c r="AW128" s="15">
        <f t="shared" si="393"/>
        <v>3</v>
      </c>
      <c r="AX128" s="15">
        <f t="shared" si="403"/>
        <v>3</v>
      </c>
      <c r="AY128" s="15">
        <f t="shared" si="413"/>
        <v>5</v>
      </c>
      <c r="AZ128" s="15">
        <f t="shared" si="423"/>
        <v>3</v>
      </c>
      <c r="BA128" s="15">
        <f t="shared" si="433"/>
        <v>3</v>
      </c>
      <c r="BB128" s="15">
        <v>20</v>
      </c>
      <c r="BC128" s="15">
        <f t="shared" si="334"/>
        <v>36</v>
      </c>
      <c r="BD128" s="15">
        <f t="shared" si="344"/>
        <v>9</v>
      </c>
      <c r="BE128" s="15">
        <f t="shared" si="354"/>
        <v>13</v>
      </c>
      <c r="BF128" s="15">
        <f t="shared" si="364"/>
        <v>20</v>
      </c>
      <c r="BG128" s="15">
        <f t="shared" si="374"/>
        <v>10</v>
      </c>
      <c r="BH128" s="15">
        <f t="shared" si="384"/>
        <v>19</v>
      </c>
      <c r="BI128" s="15">
        <f t="shared" si="394"/>
        <v>18</v>
      </c>
      <c r="BJ128" s="15">
        <f t="shared" si="404"/>
        <v>38</v>
      </c>
      <c r="BK128" s="15">
        <f t="shared" si="414"/>
        <v>31</v>
      </c>
      <c r="BL128" s="15">
        <f t="shared" si="424"/>
        <v>35</v>
      </c>
      <c r="BM128" s="15">
        <f t="shared" si="434"/>
        <v>1</v>
      </c>
      <c r="BN128" s="15">
        <v>3</v>
      </c>
      <c r="BO128" s="15">
        <f t="shared" si="335"/>
        <v>4</v>
      </c>
      <c r="BP128" s="15">
        <f t="shared" si="345"/>
        <v>3</v>
      </c>
      <c r="BQ128" s="15">
        <f t="shared" si="355"/>
        <v>3</v>
      </c>
      <c r="BR128" s="15">
        <f t="shared" si="365"/>
        <v>3</v>
      </c>
      <c r="BS128" s="15">
        <f t="shared" si="375"/>
        <v>3</v>
      </c>
      <c r="BT128" s="15">
        <f t="shared" si="385"/>
        <v>3</v>
      </c>
      <c r="BU128" s="15">
        <f t="shared" si="395"/>
        <v>3</v>
      </c>
      <c r="BV128" s="15">
        <f t="shared" si="405"/>
        <v>4</v>
      </c>
      <c r="BW128" s="15">
        <f t="shared" si="415"/>
        <v>3</v>
      </c>
      <c r="BX128" s="15">
        <f t="shared" si="425"/>
        <v>3</v>
      </c>
      <c r="BY128" s="15">
        <f t="shared" si="435"/>
        <v>3</v>
      </c>
      <c r="BZ128" s="15">
        <v>-1.5315000000000001</v>
      </c>
      <c r="CA128" s="15">
        <f t="shared" si="336"/>
        <v>-1.8927799999999999</v>
      </c>
      <c r="CB128" s="15">
        <f t="shared" si="346"/>
        <v>-2.5222199999999999</v>
      </c>
      <c r="CC128" s="15">
        <f t="shared" si="356"/>
        <v>-4.0815400000000004</v>
      </c>
      <c r="CD128" s="15">
        <f t="shared" si="366"/>
        <v>-3.9460000000000002</v>
      </c>
      <c r="CE128" s="15">
        <f t="shared" si="376"/>
        <v>-4.0629999999999997</v>
      </c>
      <c r="CF128" s="15">
        <f t="shared" si="386"/>
        <v>-3.17211</v>
      </c>
      <c r="CG128" s="15">
        <f t="shared" si="396"/>
        <v>-3.0555599999999998</v>
      </c>
      <c r="CH128" s="15">
        <f t="shared" si="406"/>
        <v>-1.2663199999999999</v>
      </c>
      <c r="CI128" s="15">
        <f t="shared" si="416"/>
        <v>-4.1709699999999996</v>
      </c>
      <c r="CJ128" s="15">
        <f t="shared" si="426"/>
        <v>-1.7277100000000001</v>
      </c>
      <c r="CK128" s="15">
        <f t="shared" si="436"/>
        <v>-35.32</v>
      </c>
      <c r="CL128" s="15">
        <v>3</v>
      </c>
      <c r="CM128" s="15">
        <f t="shared" si="337"/>
        <v>3</v>
      </c>
      <c r="CN128" s="15">
        <f t="shared" si="347"/>
        <v>3</v>
      </c>
      <c r="CO128" s="15">
        <f t="shared" si="357"/>
        <v>3</v>
      </c>
      <c r="CP128" s="15">
        <f t="shared" si="367"/>
        <v>3</v>
      </c>
      <c r="CQ128" s="15">
        <f t="shared" si="377"/>
        <v>3</v>
      </c>
      <c r="CR128" s="15">
        <f t="shared" si="387"/>
        <v>3</v>
      </c>
      <c r="CS128" s="15">
        <f t="shared" si="397"/>
        <v>3</v>
      </c>
      <c r="CT128" s="15">
        <f t="shared" si="407"/>
        <v>3</v>
      </c>
      <c r="CU128" s="15">
        <f t="shared" si="417"/>
        <v>3</v>
      </c>
      <c r="CV128" s="15">
        <f t="shared" si="427"/>
        <v>3</v>
      </c>
      <c r="CW128" s="15">
        <f t="shared" si="437"/>
        <v>5</v>
      </c>
      <c r="CX128" s="15">
        <v>-56.857300000000002</v>
      </c>
      <c r="CY128" s="15">
        <f t="shared" si="338"/>
        <v>-62.151400000000002</v>
      </c>
      <c r="CZ128" s="15">
        <f t="shared" si="348"/>
        <v>-68.372900000000001</v>
      </c>
      <c r="DA128" s="15">
        <f t="shared" si="358"/>
        <v>-76.233400000000003</v>
      </c>
      <c r="DB128" s="15">
        <f t="shared" si="368"/>
        <v>-75.779399999999995</v>
      </c>
      <c r="DC128" s="15">
        <f t="shared" si="378"/>
        <v>-76.173000000000002</v>
      </c>
      <c r="DD128" s="15">
        <f t="shared" si="388"/>
        <v>-72.502600000000001</v>
      </c>
      <c r="DE128" s="15">
        <f t="shared" si="398"/>
        <v>-71.878100000000003</v>
      </c>
      <c r="DF128" s="15">
        <f t="shared" si="408"/>
        <v>-51.702100000000002</v>
      </c>
      <c r="DG128" s="15">
        <f t="shared" si="418"/>
        <v>-76.517700000000005</v>
      </c>
      <c r="DH128" s="15">
        <f t="shared" si="428"/>
        <v>-59.937800000000003</v>
      </c>
      <c r="DI128" s="15">
        <f t="shared" si="438"/>
        <v>-88.378200000000007</v>
      </c>
      <c r="DJ128" s="15" t="s">
        <v>22</v>
      </c>
      <c r="DK128" s="15" t="str">
        <f t="shared" si="339"/>
        <v>LL</v>
      </c>
      <c r="DL128" s="15" t="str">
        <f t="shared" si="349"/>
        <v>HL</v>
      </c>
      <c r="DM128" s="15" t="str">
        <f t="shared" si="359"/>
        <v>LL</v>
      </c>
      <c r="DN128" s="15" t="str">
        <f t="shared" si="369"/>
        <v>LL</v>
      </c>
      <c r="DO128" s="15" t="str">
        <f t="shared" si="379"/>
        <v>LL</v>
      </c>
      <c r="DP128" s="15" t="str">
        <f t="shared" si="389"/>
        <v>LL</v>
      </c>
      <c r="DQ128" s="15" t="str">
        <f t="shared" si="399"/>
        <v>LL</v>
      </c>
      <c r="DR128" s="15" t="str">
        <f t="shared" si="409"/>
        <v>HL</v>
      </c>
      <c r="DS128" s="15" t="str">
        <f t="shared" si="419"/>
        <v>LL</v>
      </c>
      <c r="DT128" s="15" t="str">
        <f t="shared" si="429"/>
        <v>LL</v>
      </c>
      <c r="DU128" s="15" t="str">
        <f t="shared" si="439"/>
        <v>HL</v>
      </c>
      <c r="DV128" s="15">
        <f>IFERROR((G128-$F128)/$F128*100,"")</f>
        <v>-0.57327809094564497</v>
      </c>
      <c r="DW128" s="15">
        <f>IFERROR((H128-$F128)/$F128*100,"")</f>
        <v>-0.52284494040588492</v>
      </c>
      <c r="DX128" s="15">
        <f>IFERROR((I128-$F128)/$F128*100,"")</f>
        <v>-0.8750258017700524</v>
      </c>
      <c r="DY128" s="15">
        <f>IFERROR((J128-$F128)/$F128*100,"")</f>
        <v>-0.74458056429800634</v>
      </c>
      <c r="DZ128" s="15">
        <f>IFERROR((K128-$F128)/$F128*100,"")</f>
        <v>-0.31983554962557631</v>
      </c>
      <c r="EA128" s="15">
        <f>IFERROR((L128-$F128)/$F128*100,"")</f>
        <v>-0.13257321850746737</v>
      </c>
      <c r="EB128" s="15">
        <f>IFERROR((M128-$F128)/$F128*100,"")</f>
        <v>-0.10533506125393023</v>
      </c>
      <c r="EC128" s="15">
        <f>IFERROR((N128-$F128)/$F128*100,"")</f>
        <v>0.52646250816612261</v>
      </c>
      <c r="ED128" s="15">
        <f>IFERROR((O128-$F128)/$F128*100,"")</f>
        <v>-0.65286458167085437</v>
      </c>
      <c r="EE128" s="15">
        <f>IFERROR((P128-$F128)/$F128*100,"")</f>
        <v>1.5638532629397159</v>
      </c>
      <c r="EF128" s="15">
        <f>IFERROR((Q128-$F128)/$F128*100,"")</f>
        <v>1.9817887382987665</v>
      </c>
      <c r="EG128" s="15" t="str">
        <f>IF(DV128="","",IF(AND(ABS(DV128)&lt;=0.25,$E128="Bottom",DK128="LL"),"EQL",IF(AND(ABS(DV128)&lt;=0.25,$E128="Peak",DK128="HH"),"EQH","")))</f>
        <v/>
      </c>
      <c r="EH128" s="15" t="str">
        <f>IF(DW128="","",IF(AND(ABS(DW128)&lt;=0.25,$E128="Bottom",DL128="LL"),"EQL",IF(AND(ABS(DW128)&lt;=0.25,$E128="Peak",DL128="HH"),"EQH","")))</f>
        <v/>
      </c>
      <c r="EI128" s="15" t="str">
        <f>IF(DX128="","",IF(AND(ABS(DX128)&lt;=0.25,$E128="Bottom",DM128="LL"),"EQL",IF(AND(ABS(DX128)&lt;=0.25,$E128="Peak",DM128="HH"),"EQH","")))</f>
        <v/>
      </c>
      <c r="EJ128" s="15" t="str">
        <f>IF(DY128="","",IF(AND(ABS(DY128)&lt;=0.25,$E128="Bottom",DN128="LL"),"EQL",IF(AND(ABS(DY128)&lt;=0.25,$E128="Peak",DN128="HH"),"EQH","")))</f>
        <v/>
      </c>
      <c r="EK128" s="15" t="str">
        <f>IF(DZ128="","",IF(AND(ABS(DZ128)&lt;=0.25,$E128="Bottom",DO128="LL"),"EQL",IF(AND(ABS(DZ128)&lt;=0.25,$E128="Peak",DO128="HH"),"EQH","")))</f>
        <v/>
      </c>
      <c r="EL128" s="15" t="str">
        <f>IF(EA128="","",IF(AND(ABS(EA128)&lt;=0.25,$E128="Bottom",DP128="LL"),"EQL",IF(AND(ABS(EA128)&lt;=0.25,$E128="Peak",DP128="HH"),"EQH","")))</f>
        <v>EQL</v>
      </c>
      <c r="EM128" s="15" t="str">
        <f>IF(EB128="","",IF(AND(ABS(EB128)&lt;=0.25,$E128="Bottom",DQ128="LL"),"EQL",IF(AND(ABS(EB128)&lt;=0.25,$E128="Peak",DQ128="HH"),"EQH","")))</f>
        <v>EQL</v>
      </c>
      <c r="EN128" s="15" t="str">
        <f>IF(EC128="","",IF(AND(ABS(EC128)&lt;=0.25,$E128="Bottom",DR128="LL"),"EQL",IF(AND(ABS(EC128)&lt;=0.25,$E128="Peak",DR128="HH"),"EQH","")))</f>
        <v/>
      </c>
      <c r="EO128" s="15" t="str">
        <f>IF(ED128="","",IF(AND(ABS(ED128)&lt;=0.25,$E128="Bottom",DS128="LL"),"EQL",IF(AND(ABS(ED128)&lt;=0.25,$E128="Peak",DS128="HH"),"EQH","")))</f>
        <v/>
      </c>
      <c r="EP128" s="15" t="str">
        <f>IF(EE128="","",IF(AND(ABS(EE128)&lt;=0.25,$E128="Bottom",DT128="LL"),"EQL",IF(AND(ABS(EE128)&lt;=0.25,$E128="Peak",DT128="HH"),"EQH","")))</f>
        <v/>
      </c>
      <c r="EQ128" s="15" t="str">
        <f>IF(EF128="","",IF(AND(ABS(EF128)&lt;=0.25,$E128="Bottom",DU128="LL"),"EQL",IF(AND(ABS(EF128)&lt;=0.25,$E128="Peak",DU128="HH"),"EQH","")))</f>
        <v/>
      </c>
      <c r="ER128" s="15" t="str">
        <f>IF(OR(EG128="EQL",EG128="EQH"),F128,"")</f>
        <v/>
      </c>
      <c r="ES128" s="15" t="str">
        <f>IF(OR(EH128="EQL",EH128="EQH"),G128,"")</f>
        <v/>
      </c>
      <c r="ET128" s="15" t="str">
        <f>IF(OR(EI128="EQL",EI128="EQH"),H128,"")</f>
        <v/>
      </c>
      <c r="EU128" s="15" t="str">
        <f>IF(OR(EJ128="EQL",EJ128="EQH"),I128,"")</f>
        <v/>
      </c>
      <c r="EV128" s="15" t="str">
        <f>IF(OR(EK128="EQL",EK128="EQH"),J128,"")</f>
        <v/>
      </c>
      <c r="EW128" s="15">
        <f>IF(OR(EL128="EQL",EL128="EQH"),K128,"")</f>
        <v>4684.26</v>
      </c>
      <c r="EX128" s="15">
        <f>IF(OR(EM128="EQL",EM128="EQH"),L128,"")</f>
        <v>4693.0600000000004</v>
      </c>
      <c r="EY128" s="15" t="str">
        <f>IF(OR(EN128="EQL",EN128="EQH"),M128,"")</f>
        <v/>
      </c>
      <c r="EZ128" s="15" t="str">
        <f>IF(OR(EO128="EQL",EO128="EQH"),N128,"")</f>
        <v/>
      </c>
      <c r="FA128" s="15" t="str">
        <f>IF(OR(EP128="EQL",EP128="EQH"),O128,"")</f>
        <v/>
      </c>
      <c r="FB128" s="15" t="str">
        <f>IF(OR(EQ128="EQL",EQ128="EQH"),P128,"")</f>
        <v/>
      </c>
      <c r="FC128" s="15" t="str">
        <f>IF(AND(EG128="EQL",OR(AQ128=4,AQ128=5)),"IEQL",IF(AND(EG128="EQH",OR(AQ128=1,AQ128=2)),"IEQH",""))</f>
        <v/>
      </c>
      <c r="FD128" s="15" t="str">
        <f>IF(AND(EH128="EQL",OR(AR128=4,AR128=5)),"IEQL",IF(AND(EH128="EQH",OR(AR128=1,AR128=2)),"IEQH",""))</f>
        <v/>
      </c>
      <c r="FE128" s="15" t="str">
        <f>IF(AND(EI128="EQL",OR(AS128=4,AS128=5)),"IEQL",IF(AND(EI128="EQH",OR(AS128=1,AS128=2)),"IEQH",""))</f>
        <v/>
      </c>
      <c r="FF128" s="15" t="str">
        <f>IF(AND(EJ128="EQL",OR(AT128=4,AT128=5)),"IEQL",IF(AND(EJ128="EQH",OR(AT128=1,AT128=2)),"IEQH",""))</f>
        <v/>
      </c>
      <c r="FG128" s="15" t="str">
        <f>IF(AND(EK128="EQL",OR(AU128=4,AU128=5)),"IEQL",IF(AND(EK128="EQH",OR(AU128=1,AU128=2)),"IEQH",""))</f>
        <v/>
      </c>
      <c r="FH128" s="15" t="str">
        <f>IF(AND(EL128="EQL",OR(AV128=4,AV128=5)),"IEQL",IF(AND(EL128="EQH",OR(AV128=1,AV128=2)),"IEQH",""))</f>
        <v/>
      </c>
      <c r="FI128" s="15" t="str">
        <f>IF(AND(EM128="EQL",OR(AW128=4,AW128=5)),"IEQL",IF(AND(EM128="EQH",OR(AW128=1,AW128=2)),"IEQH",""))</f>
        <v/>
      </c>
      <c r="FJ128" s="15" t="str">
        <f>IF(AND(EN128="EQL",OR(AX128=4,AX128=5)),"IEQL",IF(AND(EN128="EQH",OR(AX128=1,AX128=2)),"IEQH",""))</f>
        <v/>
      </c>
      <c r="FK128" s="15" t="str">
        <f>IF(AND(EO128="EQL",OR(AY128=4,AY128=5)),"IEQL",IF(AND(EO128="EQH",OR(AY128=1,AY128=2)),"IEQH",""))</f>
        <v/>
      </c>
      <c r="FL128" s="15" t="str">
        <f>IF(AND(EP128="EQL",OR(AZ128=4,AZ128=5)),"IEQL",IF(AND(EP128="EQH",OR(AZ128=1,AZ128=2)),"IEQH",""))</f>
        <v/>
      </c>
      <c r="FM128" s="15" t="str">
        <f>IF(AND(EQ128="EQL",OR(BA128=4,BA128=5)),"IEQL",IF(AND(EQ128="EQH",OR(BA128=1,BA128=2)),"IEQH",""))</f>
        <v/>
      </c>
      <c r="FN128" s="15" t="str">
        <f>IF(OR(AND(DJ128="LL",AP128=5),AND(DJ128="HH",AP128=2)),F128,"")</f>
        <v/>
      </c>
      <c r="FO128" s="15" t="str">
        <f>IF(FN128&lt;&gt;"",F127,"")</f>
        <v/>
      </c>
    </row>
    <row r="129" spans="1:171" s="15" customFormat="1" x14ac:dyDescent="0.55000000000000004">
      <c r="A129" s="15">
        <v>1777292106</v>
      </c>
      <c r="B129" s="15" t="s">
        <v>16</v>
      </c>
      <c r="C129" s="15" t="s">
        <v>17</v>
      </c>
      <c r="D129" s="15">
        <v>4707.09</v>
      </c>
      <c r="E129" s="15" t="s">
        <v>20</v>
      </c>
      <c r="F129" s="15">
        <v>4712.59</v>
      </c>
      <c r="G129" s="15">
        <f t="shared" si="330"/>
        <v>4729.92</v>
      </c>
      <c r="H129" s="15">
        <f t="shared" si="340"/>
        <v>4740.49</v>
      </c>
      <c r="I129" s="15">
        <f t="shared" si="350"/>
        <v>4697.42</v>
      </c>
      <c r="J129" s="15">
        <f t="shared" si="360"/>
        <v>4711.2299999999996</v>
      </c>
      <c r="K129" s="15">
        <f t="shared" si="370"/>
        <v>4743.22</v>
      </c>
      <c r="L129" s="15">
        <f t="shared" si="380"/>
        <v>4724.8900000000003</v>
      </c>
      <c r="M129" s="15">
        <f t="shared" si="390"/>
        <v>4753.33</v>
      </c>
      <c r="N129" s="15">
        <f t="shared" si="400"/>
        <v>4749.34</v>
      </c>
      <c r="O129" s="15">
        <f t="shared" si="410"/>
        <v>4772.1499999999996</v>
      </c>
      <c r="P129" s="15">
        <f t="shared" si="420"/>
        <v>4797.91</v>
      </c>
      <c r="Q129" s="15">
        <f t="shared" si="430"/>
        <v>4833.25</v>
      </c>
      <c r="R129" s="15">
        <v>13.3</v>
      </c>
      <c r="S129" s="15">
        <f t="shared" si="331"/>
        <v>57.57</v>
      </c>
      <c r="T129" s="15">
        <f t="shared" si="341"/>
        <v>65.77</v>
      </c>
      <c r="U129" s="15">
        <f t="shared" si="351"/>
        <v>39.25</v>
      </c>
      <c r="V129" s="15">
        <f t="shared" si="361"/>
        <v>46.93</v>
      </c>
      <c r="W129" s="15">
        <f t="shared" si="371"/>
        <v>58.96</v>
      </c>
      <c r="X129" s="15">
        <f t="shared" si="381"/>
        <v>31.83</v>
      </c>
      <c r="Y129" s="15">
        <f t="shared" si="391"/>
        <v>58.99</v>
      </c>
      <c r="Z129" s="15">
        <f t="shared" si="401"/>
        <v>25.31</v>
      </c>
      <c r="AA129" s="15">
        <f t="shared" si="411"/>
        <v>103.54</v>
      </c>
      <c r="AB129" s="15">
        <f t="shared" si="421"/>
        <v>25.13</v>
      </c>
      <c r="AC129" s="15">
        <f t="shared" si="431"/>
        <v>40.83</v>
      </c>
      <c r="AD129" s="15">
        <v>0.28000000000000003</v>
      </c>
      <c r="AE129" s="15">
        <f t="shared" si="332"/>
        <v>1.23</v>
      </c>
      <c r="AF129" s="15">
        <f t="shared" si="342"/>
        <v>1.41</v>
      </c>
      <c r="AG129" s="15">
        <f t="shared" si="352"/>
        <v>0.84</v>
      </c>
      <c r="AH129" s="15">
        <f t="shared" si="362"/>
        <v>1.01</v>
      </c>
      <c r="AI129" s="15">
        <f t="shared" si="372"/>
        <v>1.26</v>
      </c>
      <c r="AJ129" s="15">
        <f t="shared" si="382"/>
        <v>0.68</v>
      </c>
      <c r="AK129" s="15">
        <f t="shared" si="392"/>
        <v>1.26</v>
      </c>
      <c r="AL129" s="15">
        <f t="shared" si="402"/>
        <v>0.54</v>
      </c>
      <c r="AM129" s="15">
        <f t="shared" si="412"/>
        <v>2.2200000000000002</v>
      </c>
      <c r="AN129" s="15">
        <f t="shared" si="422"/>
        <v>0.53</v>
      </c>
      <c r="AO129" s="15">
        <f t="shared" si="432"/>
        <v>0.85</v>
      </c>
      <c r="AP129" s="15">
        <v>0</v>
      </c>
      <c r="AQ129" s="15">
        <f t="shared" si="333"/>
        <v>0</v>
      </c>
      <c r="AR129" s="15">
        <f t="shared" si="343"/>
        <v>0</v>
      </c>
      <c r="AS129" s="15">
        <f t="shared" si="353"/>
        <v>0</v>
      </c>
      <c r="AT129" s="15">
        <f t="shared" si="363"/>
        <v>0</v>
      </c>
      <c r="AU129" s="15">
        <f t="shared" si="373"/>
        <v>0</v>
      </c>
      <c r="AV129" s="15">
        <f t="shared" si="383"/>
        <v>0</v>
      </c>
      <c r="AW129" s="15">
        <f t="shared" si="393"/>
        <v>0</v>
      </c>
      <c r="AX129" s="15">
        <f t="shared" si="403"/>
        <v>0</v>
      </c>
      <c r="AY129" s="15">
        <f t="shared" si="413"/>
        <v>1</v>
      </c>
      <c r="AZ129" s="15">
        <f t="shared" si="423"/>
        <v>0</v>
      </c>
      <c r="BA129" s="15">
        <f t="shared" si="433"/>
        <v>0</v>
      </c>
      <c r="BB129" s="15">
        <v>11</v>
      </c>
      <c r="BC129" s="15">
        <f t="shared" si="334"/>
        <v>18</v>
      </c>
      <c r="BD129" s="15">
        <f t="shared" si="344"/>
        <v>14</v>
      </c>
      <c r="BE129" s="15">
        <f t="shared" si="354"/>
        <v>15</v>
      </c>
      <c r="BF129" s="15">
        <f t="shared" si="364"/>
        <v>26</v>
      </c>
      <c r="BG129" s="15">
        <f t="shared" si="374"/>
        <v>9</v>
      </c>
      <c r="BH129" s="15">
        <f t="shared" si="384"/>
        <v>10</v>
      </c>
      <c r="BI129" s="15">
        <f t="shared" si="394"/>
        <v>2</v>
      </c>
      <c r="BJ129" s="15">
        <f t="shared" si="404"/>
        <v>9</v>
      </c>
      <c r="BK129" s="15">
        <f t="shared" si="414"/>
        <v>42</v>
      </c>
      <c r="BL129" s="15">
        <f t="shared" si="424"/>
        <v>19</v>
      </c>
      <c r="BM129" s="15">
        <f t="shared" si="434"/>
        <v>26</v>
      </c>
      <c r="BN129" s="15">
        <v>0</v>
      </c>
      <c r="BO129" s="15">
        <f t="shared" si="335"/>
        <v>0</v>
      </c>
      <c r="BP129" s="15">
        <f t="shared" si="345"/>
        <v>0</v>
      </c>
      <c r="BQ129" s="15">
        <f t="shared" si="355"/>
        <v>0</v>
      </c>
      <c r="BR129" s="15">
        <f t="shared" si="365"/>
        <v>0</v>
      </c>
      <c r="BS129" s="15">
        <f t="shared" si="375"/>
        <v>0</v>
      </c>
      <c r="BT129" s="15">
        <f t="shared" si="385"/>
        <v>0</v>
      </c>
      <c r="BU129" s="15">
        <f t="shared" si="395"/>
        <v>0</v>
      </c>
      <c r="BV129" s="15">
        <f t="shared" si="405"/>
        <v>0</v>
      </c>
      <c r="BW129" s="15">
        <f t="shared" si="415"/>
        <v>1</v>
      </c>
      <c r="BX129" s="15">
        <f t="shared" si="425"/>
        <v>0</v>
      </c>
      <c r="BY129" s="15">
        <f t="shared" si="435"/>
        <v>0</v>
      </c>
      <c r="BZ129" s="15">
        <v>1.20909</v>
      </c>
      <c r="CA129" s="15">
        <f t="shared" si="336"/>
        <v>3.1983299999999999</v>
      </c>
      <c r="CB129" s="15">
        <f t="shared" si="346"/>
        <v>4.6978600000000004</v>
      </c>
      <c r="CC129" s="15">
        <f t="shared" si="356"/>
        <v>2.6166700000000001</v>
      </c>
      <c r="CD129" s="15">
        <f t="shared" si="366"/>
        <v>1.8049999999999999</v>
      </c>
      <c r="CE129" s="15">
        <f t="shared" si="376"/>
        <v>6.5511100000000004</v>
      </c>
      <c r="CF129" s="15">
        <f t="shared" si="386"/>
        <v>3.1829999999999998</v>
      </c>
      <c r="CG129" s="15">
        <f t="shared" si="396"/>
        <v>29.495000000000001</v>
      </c>
      <c r="CH129" s="15">
        <f t="shared" si="406"/>
        <v>2.8122199999999999</v>
      </c>
      <c r="CI129" s="15">
        <f t="shared" si="416"/>
        <v>2.4652400000000001</v>
      </c>
      <c r="CJ129" s="15">
        <f t="shared" si="426"/>
        <v>1.32263</v>
      </c>
      <c r="CK129" s="15">
        <f t="shared" si="436"/>
        <v>1.5703800000000001</v>
      </c>
      <c r="CL129" s="15">
        <v>0</v>
      </c>
      <c r="CM129" s="15">
        <f t="shared" si="337"/>
        <v>0</v>
      </c>
      <c r="CN129" s="15">
        <f t="shared" si="347"/>
        <v>0</v>
      </c>
      <c r="CO129" s="15">
        <f t="shared" si="357"/>
        <v>0</v>
      </c>
      <c r="CP129" s="15">
        <f t="shared" si="367"/>
        <v>0</v>
      </c>
      <c r="CQ129" s="15">
        <f t="shared" si="377"/>
        <v>0</v>
      </c>
      <c r="CR129" s="15">
        <f t="shared" si="387"/>
        <v>0</v>
      </c>
      <c r="CS129" s="15">
        <f t="shared" si="397"/>
        <v>2</v>
      </c>
      <c r="CT129" s="15">
        <f t="shared" si="407"/>
        <v>0</v>
      </c>
      <c r="CU129" s="15">
        <f t="shared" si="417"/>
        <v>0</v>
      </c>
      <c r="CV129" s="15">
        <f t="shared" si="427"/>
        <v>0</v>
      </c>
      <c r="CW129" s="15">
        <f t="shared" si="437"/>
        <v>0</v>
      </c>
      <c r="CX129" s="15">
        <v>50.4069</v>
      </c>
      <c r="CY129" s="15">
        <f t="shared" si="338"/>
        <v>72.637500000000003</v>
      </c>
      <c r="CZ129" s="15">
        <f t="shared" si="348"/>
        <v>77.983199999999997</v>
      </c>
      <c r="DA129" s="15">
        <f t="shared" si="358"/>
        <v>69.084900000000005</v>
      </c>
      <c r="DB129" s="15">
        <f t="shared" si="368"/>
        <v>61.012799999999999</v>
      </c>
      <c r="DC129" s="15">
        <f t="shared" si="378"/>
        <v>81.320999999999998</v>
      </c>
      <c r="DD129" s="15">
        <f t="shared" si="388"/>
        <v>72.558899999999994</v>
      </c>
      <c r="DE129" s="15">
        <f t="shared" si="398"/>
        <v>88.058199999999999</v>
      </c>
      <c r="DF129" s="15">
        <f t="shared" si="408"/>
        <v>70.4251</v>
      </c>
      <c r="DG129" s="15">
        <f t="shared" si="418"/>
        <v>67.920500000000004</v>
      </c>
      <c r="DH129" s="15">
        <f t="shared" si="428"/>
        <v>52.908200000000001</v>
      </c>
      <c r="DI129" s="15">
        <f t="shared" si="438"/>
        <v>57.511600000000001</v>
      </c>
      <c r="DJ129" s="15" t="s">
        <v>21</v>
      </c>
      <c r="DK129" s="15" t="str">
        <f t="shared" si="339"/>
        <v>LH</v>
      </c>
      <c r="DL129" s="15" t="str">
        <f t="shared" si="349"/>
        <v>HH</v>
      </c>
      <c r="DM129" s="15" t="str">
        <f t="shared" si="359"/>
        <v>LH</v>
      </c>
      <c r="DN129" s="15" t="str">
        <f t="shared" si="369"/>
        <v>LH</v>
      </c>
      <c r="DO129" s="15" t="str">
        <f t="shared" si="379"/>
        <v>HH</v>
      </c>
      <c r="DP129" s="15" t="str">
        <f t="shared" si="389"/>
        <v>LH</v>
      </c>
      <c r="DQ129" s="15" t="str">
        <f t="shared" si="399"/>
        <v>HH</v>
      </c>
      <c r="DR129" s="15" t="str">
        <f t="shared" si="409"/>
        <v>LH</v>
      </c>
      <c r="DS129" s="15" t="str">
        <f t="shared" si="419"/>
        <v>LH</v>
      </c>
      <c r="DT129" s="15" t="str">
        <f t="shared" si="429"/>
        <v>LH</v>
      </c>
      <c r="DU129" s="15" t="str">
        <f t="shared" si="439"/>
        <v>HH</v>
      </c>
      <c r="DV129" s="15">
        <f>IFERROR((G129-$F129)/$F129*100,"")</f>
        <v>0.36773833497078945</v>
      </c>
      <c r="DW129" s="15">
        <f>IFERROR((H129-$F129)/$F129*100,"")</f>
        <v>0.59203113362290449</v>
      </c>
      <c r="DX129" s="15">
        <f>IFERROR((I129-$F129)/$F129*100,"")</f>
        <v>-0.32190366656127672</v>
      </c>
      <c r="DY129" s="15">
        <f>IFERROR((J129-$F129)/$F129*100,"")</f>
        <v>-2.885886529489266E-2</v>
      </c>
      <c r="DZ129" s="15">
        <f>IFERROR((K129-$F129)/$F129*100,"")</f>
        <v>0.64996106175160806</v>
      </c>
      <c r="EA129" s="15">
        <f>IFERROR((L129-$F129)/$F129*100,"")</f>
        <v>0.26100297288752428</v>
      </c>
      <c r="EB129" s="15">
        <f>IFERROR((M129-$F129)/$F129*100,"")</f>
        <v>0.86449277361280696</v>
      </c>
      <c r="EC129" s="15">
        <f>IFERROR((N129-$F129)/$F129*100,"")</f>
        <v>0.77982595557856715</v>
      </c>
      <c r="ED129" s="15">
        <f>IFERROR((O129-$F129)/$F129*100,"")</f>
        <v>1.2638485418846004</v>
      </c>
      <c r="EE129" s="15">
        <f>IFERROR((P129-$F129)/$F129*100,"")</f>
        <v>1.8104694021758672</v>
      </c>
      <c r="EF129" s="15">
        <f>IFERROR((Q129-$F129)/$F129*100,"")</f>
        <v>2.5603755047648926</v>
      </c>
      <c r="EG129" s="15" t="str">
        <f>IF(DV129="","",IF(AND(ABS(DV129)&lt;=0.25,$E129="Bottom",DK129="LL"),"EQL",IF(AND(ABS(DV129)&lt;=0.25,$E129="Peak",DK129="HH"),"EQH","")))</f>
        <v/>
      </c>
      <c r="EH129" s="15" t="str">
        <f>IF(DW129="","",IF(AND(ABS(DW129)&lt;=0.25,$E129="Bottom",DL129="LL"),"EQL",IF(AND(ABS(DW129)&lt;=0.25,$E129="Peak",DL129="HH"),"EQH","")))</f>
        <v/>
      </c>
      <c r="EI129" s="15" t="str">
        <f>IF(DX129="","",IF(AND(ABS(DX129)&lt;=0.25,$E129="Bottom",DM129="LL"),"EQL",IF(AND(ABS(DX129)&lt;=0.25,$E129="Peak",DM129="HH"),"EQH","")))</f>
        <v/>
      </c>
      <c r="EJ129" s="15" t="str">
        <f>IF(DY129="","",IF(AND(ABS(DY129)&lt;=0.25,$E129="Bottom",DN129="LL"),"EQL",IF(AND(ABS(DY129)&lt;=0.25,$E129="Peak",DN129="HH"),"EQH","")))</f>
        <v/>
      </c>
      <c r="EK129" s="15" t="str">
        <f>IF(DZ129="","",IF(AND(ABS(DZ129)&lt;=0.25,$E129="Bottom",DO129="LL"),"EQL",IF(AND(ABS(DZ129)&lt;=0.25,$E129="Peak",DO129="HH"),"EQH","")))</f>
        <v/>
      </c>
      <c r="EL129" s="15" t="str">
        <f>IF(EA129="","",IF(AND(ABS(EA129)&lt;=0.25,$E129="Bottom",DP129="LL"),"EQL",IF(AND(ABS(EA129)&lt;=0.25,$E129="Peak",DP129="HH"),"EQH","")))</f>
        <v/>
      </c>
      <c r="EM129" s="15" t="str">
        <f>IF(EB129="","",IF(AND(ABS(EB129)&lt;=0.25,$E129="Bottom",DQ129="LL"),"EQL",IF(AND(ABS(EB129)&lt;=0.25,$E129="Peak",DQ129="HH"),"EQH","")))</f>
        <v/>
      </c>
      <c r="EN129" s="15" t="str">
        <f>IF(EC129="","",IF(AND(ABS(EC129)&lt;=0.25,$E129="Bottom",DR129="LL"),"EQL",IF(AND(ABS(EC129)&lt;=0.25,$E129="Peak",DR129="HH"),"EQH","")))</f>
        <v/>
      </c>
      <c r="EO129" s="15" t="str">
        <f>IF(ED129="","",IF(AND(ABS(ED129)&lt;=0.25,$E129="Bottom",DS129="LL"),"EQL",IF(AND(ABS(ED129)&lt;=0.25,$E129="Peak",DS129="HH"),"EQH","")))</f>
        <v/>
      </c>
      <c r="EP129" s="15" t="str">
        <f>IF(EE129="","",IF(AND(ABS(EE129)&lt;=0.25,$E129="Bottom",DT129="LL"),"EQL",IF(AND(ABS(EE129)&lt;=0.25,$E129="Peak",DT129="HH"),"EQH","")))</f>
        <v/>
      </c>
      <c r="EQ129" s="15" t="str">
        <f>IF(EF129="","",IF(AND(ABS(EF129)&lt;=0.25,$E129="Bottom",DU129="LL"),"EQL",IF(AND(ABS(EF129)&lt;=0.25,$E129="Peak",DU129="HH"),"EQH","")))</f>
        <v/>
      </c>
      <c r="ER129" s="15" t="str">
        <f>IF(OR(EG129="EQL",EG129="EQH"),F129,"")</f>
        <v/>
      </c>
      <c r="ES129" s="15" t="str">
        <f>IF(OR(EH129="EQL",EH129="EQH"),G129,"")</f>
        <v/>
      </c>
      <c r="ET129" s="15" t="str">
        <f>IF(OR(EI129="EQL",EI129="EQH"),H129,"")</f>
        <v/>
      </c>
      <c r="EU129" s="15" t="str">
        <f>IF(OR(EJ129="EQL",EJ129="EQH"),I129,"")</f>
        <v/>
      </c>
      <c r="EV129" s="15" t="str">
        <f>IF(OR(EK129="EQL",EK129="EQH"),J129,"")</f>
        <v/>
      </c>
      <c r="EW129" s="15" t="str">
        <f>IF(OR(EL129="EQL",EL129="EQH"),K129,"")</f>
        <v/>
      </c>
      <c r="EX129" s="15" t="str">
        <f>IF(OR(EM129="EQL",EM129="EQH"),L129,"")</f>
        <v/>
      </c>
      <c r="EY129" s="15" t="str">
        <f>IF(OR(EN129="EQL",EN129="EQH"),M129,"")</f>
        <v/>
      </c>
      <c r="EZ129" s="15" t="str">
        <f>IF(OR(EO129="EQL",EO129="EQH"),N129,"")</f>
        <v/>
      </c>
      <c r="FA129" s="15" t="str">
        <f>IF(OR(EP129="EQL",EP129="EQH"),O129,"")</f>
        <v/>
      </c>
      <c r="FB129" s="15" t="str">
        <f>IF(OR(EQ129="EQL",EQ129="EQH"),P129,"")</f>
        <v/>
      </c>
      <c r="FC129" s="15" t="str">
        <f>IF(AND(EG129="EQL",OR(AQ129=4,AQ129=5)),"IEQL",IF(AND(EG129="EQH",OR(AQ129=1,AQ129=2)),"IEQH",""))</f>
        <v/>
      </c>
      <c r="FD129" s="15" t="str">
        <f>IF(AND(EH129="EQL",OR(AR129=4,AR129=5)),"IEQL",IF(AND(EH129="EQH",OR(AR129=1,AR129=2)),"IEQH",""))</f>
        <v/>
      </c>
      <c r="FE129" s="15" t="str">
        <f>IF(AND(EI129="EQL",OR(AS129=4,AS129=5)),"IEQL",IF(AND(EI129="EQH",OR(AS129=1,AS129=2)),"IEQH",""))</f>
        <v/>
      </c>
      <c r="FF129" s="15" t="str">
        <f>IF(AND(EJ129="EQL",OR(AT129=4,AT129=5)),"IEQL",IF(AND(EJ129="EQH",OR(AT129=1,AT129=2)),"IEQH",""))</f>
        <v/>
      </c>
      <c r="FG129" s="15" t="str">
        <f>IF(AND(EK129="EQL",OR(AU129=4,AU129=5)),"IEQL",IF(AND(EK129="EQH",OR(AU129=1,AU129=2)),"IEQH",""))</f>
        <v/>
      </c>
      <c r="FH129" s="15" t="str">
        <f>IF(AND(EL129="EQL",OR(AV129=4,AV129=5)),"IEQL",IF(AND(EL129="EQH",OR(AV129=1,AV129=2)),"IEQH",""))</f>
        <v/>
      </c>
      <c r="FI129" s="15" t="str">
        <f>IF(AND(EM129="EQL",OR(AW129=4,AW129=5)),"IEQL",IF(AND(EM129="EQH",OR(AW129=1,AW129=2)),"IEQH",""))</f>
        <v/>
      </c>
      <c r="FJ129" s="15" t="str">
        <f>IF(AND(EN129="EQL",OR(AX129=4,AX129=5)),"IEQL",IF(AND(EN129="EQH",OR(AX129=1,AX129=2)),"IEQH",""))</f>
        <v/>
      </c>
      <c r="FK129" s="15" t="str">
        <f>IF(AND(EO129="EQL",OR(AY129=4,AY129=5)),"IEQL",IF(AND(EO129="EQH",OR(AY129=1,AY129=2)),"IEQH",""))</f>
        <v/>
      </c>
      <c r="FL129" s="15" t="str">
        <f>IF(AND(EP129="EQL",OR(AZ129=4,AZ129=5)),"IEQL",IF(AND(EP129="EQH",OR(AZ129=1,AZ129=2)),"IEQH",""))</f>
        <v/>
      </c>
      <c r="FM129" s="15" t="str">
        <f>IF(AND(EQ129="EQL",OR(BA129=4,BA129=5)),"IEQL",IF(AND(EQ129="EQH",OR(BA129=1,BA129=2)),"IEQH",""))</f>
        <v/>
      </c>
      <c r="FN129" s="15" t="str">
        <f>IF(OR(AND(DJ129="LL",AP129=5),AND(DJ129="HH",AP129=2)),F129,"")</f>
        <v/>
      </c>
      <c r="FO129" s="15" t="str">
        <f>IF(FN129&lt;&gt;"",F128,"")</f>
        <v/>
      </c>
    </row>
    <row r="130" spans="1:171" s="15" customFormat="1" x14ac:dyDescent="0.55000000000000004">
      <c r="A130" s="15">
        <v>1777302006</v>
      </c>
      <c r="B130" s="15" t="s">
        <v>16</v>
      </c>
      <c r="C130" s="15" t="s">
        <v>17</v>
      </c>
      <c r="D130" s="15">
        <v>4674.6499999999996</v>
      </c>
      <c r="E130" s="15" t="s">
        <v>18</v>
      </c>
      <c r="F130" s="15">
        <v>4667.32</v>
      </c>
      <c r="G130" s="15">
        <f t="shared" si="330"/>
        <v>4699.29</v>
      </c>
      <c r="H130" s="15">
        <f t="shared" si="340"/>
        <v>4672.3500000000004</v>
      </c>
      <c r="I130" s="15">
        <f t="shared" si="350"/>
        <v>4674.72</v>
      </c>
      <c r="J130" s="15">
        <f t="shared" si="360"/>
        <v>4658.17</v>
      </c>
      <c r="K130" s="15">
        <f t="shared" si="370"/>
        <v>4664.3</v>
      </c>
      <c r="L130" s="15">
        <f t="shared" si="380"/>
        <v>4684.26</v>
      </c>
      <c r="M130" s="15">
        <f t="shared" si="390"/>
        <v>4693.0600000000004</v>
      </c>
      <c r="N130" s="15">
        <f t="shared" si="400"/>
        <v>4694.34</v>
      </c>
      <c r="O130" s="15">
        <f t="shared" si="410"/>
        <v>4724.03</v>
      </c>
      <c r="P130" s="15">
        <f t="shared" si="420"/>
        <v>4668.6099999999997</v>
      </c>
      <c r="Q130" s="15">
        <f t="shared" si="430"/>
        <v>4772.78</v>
      </c>
      <c r="R130" s="15">
        <v>-45.27</v>
      </c>
      <c r="S130" s="15">
        <f t="shared" si="331"/>
        <v>-30.63</v>
      </c>
      <c r="T130" s="15">
        <f t="shared" si="341"/>
        <v>-68.14</v>
      </c>
      <c r="U130" s="15">
        <f t="shared" si="351"/>
        <v>-22.7</v>
      </c>
      <c r="V130" s="15">
        <f t="shared" si="361"/>
        <v>-53.06</v>
      </c>
      <c r="W130" s="15">
        <f t="shared" si="371"/>
        <v>-78.92</v>
      </c>
      <c r="X130" s="15">
        <f t="shared" si="381"/>
        <v>-40.630000000000003</v>
      </c>
      <c r="Y130" s="15">
        <f t="shared" si="391"/>
        <v>-60.27</v>
      </c>
      <c r="Z130" s="15">
        <f t="shared" si="401"/>
        <v>-55</v>
      </c>
      <c r="AA130" s="15">
        <f t="shared" si="411"/>
        <v>-48.12</v>
      </c>
      <c r="AB130" s="15">
        <f t="shared" si="421"/>
        <v>-129.30000000000001</v>
      </c>
      <c r="AC130" s="15">
        <f t="shared" si="431"/>
        <v>-60.47</v>
      </c>
      <c r="AD130" s="15">
        <v>-0.96</v>
      </c>
      <c r="AE130" s="15">
        <f t="shared" si="332"/>
        <v>-0.65</v>
      </c>
      <c r="AF130" s="15">
        <f t="shared" si="342"/>
        <v>-1.44</v>
      </c>
      <c r="AG130" s="15">
        <f t="shared" si="352"/>
        <v>-0.48</v>
      </c>
      <c r="AH130" s="15">
        <f t="shared" si="362"/>
        <v>-1.1299999999999999</v>
      </c>
      <c r="AI130" s="15">
        <f t="shared" si="372"/>
        <v>-1.66</v>
      </c>
      <c r="AJ130" s="15">
        <f t="shared" si="382"/>
        <v>-0.86</v>
      </c>
      <c r="AK130" s="15">
        <f t="shared" si="392"/>
        <v>-1.27</v>
      </c>
      <c r="AL130" s="15">
        <f t="shared" si="402"/>
        <v>-1.1599999999999999</v>
      </c>
      <c r="AM130" s="15">
        <f t="shared" si="412"/>
        <v>-1.01</v>
      </c>
      <c r="AN130" s="15">
        <f t="shared" si="422"/>
        <v>-2.69</v>
      </c>
      <c r="AO130" s="15">
        <f t="shared" si="432"/>
        <v>-1.25</v>
      </c>
      <c r="AP130" s="15">
        <v>3</v>
      </c>
      <c r="AQ130" s="15">
        <f t="shared" si="333"/>
        <v>3</v>
      </c>
      <c r="AR130" s="15">
        <f t="shared" si="343"/>
        <v>3</v>
      </c>
      <c r="AS130" s="15">
        <f t="shared" si="353"/>
        <v>3</v>
      </c>
      <c r="AT130" s="15">
        <f t="shared" si="363"/>
        <v>3</v>
      </c>
      <c r="AU130" s="15">
        <f t="shared" si="373"/>
        <v>3</v>
      </c>
      <c r="AV130" s="15">
        <f t="shared" si="383"/>
        <v>3</v>
      </c>
      <c r="AW130" s="15">
        <f t="shared" si="393"/>
        <v>3</v>
      </c>
      <c r="AX130" s="15">
        <f t="shared" si="403"/>
        <v>3</v>
      </c>
      <c r="AY130" s="15">
        <f t="shared" si="413"/>
        <v>3</v>
      </c>
      <c r="AZ130" s="15">
        <f t="shared" si="423"/>
        <v>5</v>
      </c>
      <c r="BA130" s="15">
        <f t="shared" si="433"/>
        <v>3</v>
      </c>
      <c r="BB130" s="15">
        <v>11</v>
      </c>
      <c r="BC130" s="15">
        <f t="shared" si="334"/>
        <v>20</v>
      </c>
      <c r="BD130" s="15">
        <f t="shared" si="344"/>
        <v>36</v>
      </c>
      <c r="BE130" s="15">
        <f t="shared" si="354"/>
        <v>9</v>
      </c>
      <c r="BF130" s="15">
        <f t="shared" si="364"/>
        <v>13</v>
      </c>
      <c r="BG130" s="15">
        <f t="shared" si="374"/>
        <v>20</v>
      </c>
      <c r="BH130" s="15">
        <f t="shared" si="384"/>
        <v>10</v>
      </c>
      <c r="BI130" s="15">
        <f t="shared" si="394"/>
        <v>19</v>
      </c>
      <c r="BJ130" s="15">
        <f t="shared" si="404"/>
        <v>18</v>
      </c>
      <c r="BK130" s="15">
        <f t="shared" si="414"/>
        <v>38</v>
      </c>
      <c r="BL130" s="15">
        <f t="shared" si="424"/>
        <v>31</v>
      </c>
      <c r="BM130" s="15">
        <f t="shared" si="434"/>
        <v>35</v>
      </c>
      <c r="BN130" s="15">
        <v>3</v>
      </c>
      <c r="BO130" s="15">
        <f t="shared" si="335"/>
        <v>3</v>
      </c>
      <c r="BP130" s="15">
        <f t="shared" si="345"/>
        <v>4</v>
      </c>
      <c r="BQ130" s="15">
        <f t="shared" si="355"/>
        <v>3</v>
      </c>
      <c r="BR130" s="15">
        <f t="shared" si="365"/>
        <v>3</v>
      </c>
      <c r="BS130" s="15">
        <f t="shared" si="375"/>
        <v>3</v>
      </c>
      <c r="BT130" s="15">
        <f t="shared" si="385"/>
        <v>3</v>
      </c>
      <c r="BU130" s="15">
        <f t="shared" si="395"/>
        <v>3</v>
      </c>
      <c r="BV130" s="15">
        <f t="shared" si="405"/>
        <v>3</v>
      </c>
      <c r="BW130" s="15">
        <f t="shared" si="415"/>
        <v>4</v>
      </c>
      <c r="BX130" s="15">
        <f t="shared" si="425"/>
        <v>3</v>
      </c>
      <c r="BY130" s="15">
        <f t="shared" si="435"/>
        <v>3</v>
      </c>
      <c r="BZ130" s="15">
        <v>-4.1154500000000001</v>
      </c>
      <c r="CA130" s="15">
        <f t="shared" si="336"/>
        <v>-1.5315000000000001</v>
      </c>
      <c r="CB130" s="15">
        <f t="shared" si="346"/>
        <v>-1.8927799999999999</v>
      </c>
      <c r="CC130" s="15">
        <f t="shared" si="356"/>
        <v>-2.5222199999999999</v>
      </c>
      <c r="CD130" s="15">
        <f t="shared" si="366"/>
        <v>-4.0815400000000004</v>
      </c>
      <c r="CE130" s="15">
        <f t="shared" si="376"/>
        <v>-3.9460000000000002</v>
      </c>
      <c r="CF130" s="15">
        <f t="shared" si="386"/>
        <v>-4.0629999999999997</v>
      </c>
      <c r="CG130" s="15">
        <f t="shared" si="396"/>
        <v>-3.17211</v>
      </c>
      <c r="CH130" s="15">
        <f t="shared" si="406"/>
        <v>-3.0555599999999998</v>
      </c>
      <c r="CI130" s="15">
        <f t="shared" si="416"/>
        <v>-1.2663199999999999</v>
      </c>
      <c r="CJ130" s="15">
        <f t="shared" si="426"/>
        <v>-4.1709699999999996</v>
      </c>
      <c r="CK130" s="15">
        <f t="shared" si="436"/>
        <v>-1.7277100000000001</v>
      </c>
      <c r="CL130" s="15">
        <v>3</v>
      </c>
      <c r="CM130" s="15">
        <f t="shared" si="337"/>
        <v>3</v>
      </c>
      <c r="CN130" s="15">
        <f t="shared" si="347"/>
        <v>3</v>
      </c>
      <c r="CO130" s="15">
        <f t="shared" si="357"/>
        <v>3</v>
      </c>
      <c r="CP130" s="15">
        <f t="shared" si="367"/>
        <v>3</v>
      </c>
      <c r="CQ130" s="15">
        <f t="shared" si="377"/>
        <v>3</v>
      </c>
      <c r="CR130" s="15">
        <f t="shared" si="387"/>
        <v>3</v>
      </c>
      <c r="CS130" s="15">
        <f t="shared" si="397"/>
        <v>3</v>
      </c>
      <c r="CT130" s="15">
        <f t="shared" si="407"/>
        <v>3</v>
      </c>
      <c r="CU130" s="15">
        <f t="shared" si="417"/>
        <v>3</v>
      </c>
      <c r="CV130" s="15">
        <f t="shared" si="427"/>
        <v>3</v>
      </c>
      <c r="CW130" s="15">
        <f t="shared" si="437"/>
        <v>3</v>
      </c>
      <c r="CX130" s="15">
        <v>-76.342600000000004</v>
      </c>
      <c r="CY130" s="15">
        <f t="shared" si="338"/>
        <v>-56.857300000000002</v>
      </c>
      <c r="CZ130" s="15">
        <f t="shared" si="348"/>
        <v>-62.151400000000002</v>
      </c>
      <c r="DA130" s="15">
        <f t="shared" si="358"/>
        <v>-68.372900000000001</v>
      </c>
      <c r="DB130" s="15">
        <f t="shared" si="368"/>
        <v>-76.233400000000003</v>
      </c>
      <c r="DC130" s="15">
        <f t="shared" si="378"/>
        <v>-75.779399999999995</v>
      </c>
      <c r="DD130" s="15">
        <f t="shared" si="388"/>
        <v>-76.173000000000002</v>
      </c>
      <c r="DE130" s="15">
        <f t="shared" si="398"/>
        <v>-72.502600000000001</v>
      </c>
      <c r="DF130" s="15">
        <f t="shared" si="408"/>
        <v>-71.878100000000003</v>
      </c>
      <c r="DG130" s="15">
        <f t="shared" si="418"/>
        <v>-51.702100000000002</v>
      </c>
      <c r="DH130" s="15">
        <f t="shared" si="428"/>
        <v>-76.517700000000005</v>
      </c>
      <c r="DI130" s="15">
        <f t="shared" si="438"/>
        <v>-59.937800000000003</v>
      </c>
      <c r="DJ130" s="15" t="s">
        <v>19</v>
      </c>
      <c r="DK130" s="15" t="str">
        <f t="shared" si="339"/>
        <v>HL</v>
      </c>
      <c r="DL130" s="15" t="str">
        <f t="shared" si="349"/>
        <v>LL</v>
      </c>
      <c r="DM130" s="15" t="str">
        <f t="shared" si="359"/>
        <v>HL</v>
      </c>
      <c r="DN130" s="15" t="str">
        <f t="shared" si="369"/>
        <v>LL</v>
      </c>
      <c r="DO130" s="15" t="str">
        <f t="shared" si="379"/>
        <v>LL</v>
      </c>
      <c r="DP130" s="15" t="str">
        <f t="shared" si="389"/>
        <v>LL</v>
      </c>
      <c r="DQ130" s="15" t="str">
        <f t="shared" si="399"/>
        <v>LL</v>
      </c>
      <c r="DR130" s="15" t="str">
        <f t="shared" si="409"/>
        <v>LL</v>
      </c>
      <c r="DS130" s="15" t="str">
        <f t="shared" si="419"/>
        <v>HL</v>
      </c>
      <c r="DT130" s="15" t="str">
        <f t="shared" si="429"/>
        <v>LL</v>
      </c>
      <c r="DU130" s="15" t="str">
        <f t="shared" si="439"/>
        <v>LL</v>
      </c>
      <c r="DV130" s="15">
        <f>IFERROR((G130-$F130)/$F130*100,"")</f>
        <v>0.68497553199695449</v>
      </c>
      <c r="DW130" s="15">
        <f>IFERROR((H130-$F130)/$F130*100,"")</f>
        <v>0.1077706263980326</v>
      </c>
      <c r="DX130" s="15">
        <f>IFERROR((I130-$F130)/$F130*100,"")</f>
        <v>0.1585492316790052</v>
      </c>
      <c r="DY130" s="15">
        <f>IFERROR((J130-$F130)/$F130*100,"")</f>
        <v>-0.19604398241388285</v>
      </c>
      <c r="DZ130" s="15">
        <f>IFERROR((K130-$F130)/$F130*100,"")</f>
        <v>-6.4705226982498032E-2</v>
      </c>
      <c r="EA130" s="15">
        <f>IFERROR((L130-$F130)/$F130*100,"")</f>
        <v>0.36294918711381502</v>
      </c>
      <c r="EB130" s="15">
        <f>IFERROR((M130-$F130)/$F130*100,"")</f>
        <v>0.55149421938073007</v>
      </c>
      <c r="EC130" s="15">
        <f>IFERROR((N130-$F130)/$F130*100,"")</f>
        <v>0.57891895134682081</v>
      </c>
      <c r="ED130" s="15">
        <f>IFERROR((O130-$F130)/$F130*100,"")</f>
        <v>1.2150441795291524</v>
      </c>
      <c r="EE130" s="15">
        <f>IFERROR((P130-$F130)/$F130*100,"")</f>
        <v>2.7638987684580524E-2</v>
      </c>
      <c r="EF130" s="15">
        <f>IFERROR((Q130-$F130)/$F130*100,"")</f>
        <v>2.2595408071441438</v>
      </c>
      <c r="EG130" s="15" t="str">
        <f>IF(DV130="","",IF(AND(ABS(DV130)&lt;=0.25,$E130="Bottom",DK130="LL"),"EQL",IF(AND(ABS(DV130)&lt;=0.25,$E130="Peak",DK130="HH"),"EQH","")))</f>
        <v/>
      </c>
      <c r="EH130" s="15" t="str">
        <f>IF(DW130="","",IF(AND(ABS(DW130)&lt;=0.25,$E130="Bottom",DL130="LL"),"EQL",IF(AND(ABS(DW130)&lt;=0.25,$E130="Peak",DL130="HH"),"EQH","")))</f>
        <v>EQL</v>
      </c>
      <c r="EI130" s="15" t="str">
        <f>IF(DX130="","",IF(AND(ABS(DX130)&lt;=0.25,$E130="Bottom",DM130="LL"),"EQL",IF(AND(ABS(DX130)&lt;=0.25,$E130="Peak",DM130="HH"),"EQH","")))</f>
        <v/>
      </c>
      <c r="EJ130" s="15" t="str">
        <f>IF(DY130="","",IF(AND(ABS(DY130)&lt;=0.25,$E130="Bottom",DN130="LL"),"EQL",IF(AND(ABS(DY130)&lt;=0.25,$E130="Peak",DN130="HH"),"EQH","")))</f>
        <v>EQL</v>
      </c>
      <c r="EK130" s="15" t="str">
        <f>IF(DZ130="","",IF(AND(ABS(DZ130)&lt;=0.25,$E130="Bottom",DO130="LL"),"EQL",IF(AND(ABS(DZ130)&lt;=0.25,$E130="Peak",DO130="HH"),"EQH","")))</f>
        <v>EQL</v>
      </c>
      <c r="EL130" s="15" t="str">
        <f>IF(EA130="","",IF(AND(ABS(EA130)&lt;=0.25,$E130="Bottom",DP130="LL"),"EQL",IF(AND(ABS(EA130)&lt;=0.25,$E130="Peak",DP130="HH"),"EQH","")))</f>
        <v/>
      </c>
      <c r="EM130" s="15" t="str">
        <f>IF(EB130="","",IF(AND(ABS(EB130)&lt;=0.25,$E130="Bottom",DQ130="LL"),"EQL",IF(AND(ABS(EB130)&lt;=0.25,$E130="Peak",DQ130="HH"),"EQH","")))</f>
        <v/>
      </c>
      <c r="EN130" s="15" t="str">
        <f>IF(EC130="","",IF(AND(ABS(EC130)&lt;=0.25,$E130="Bottom",DR130="LL"),"EQL",IF(AND(ABS(EC130)&lt;=0.25,$E130="Peak",DR130="HH"),"EQH","")))</f>
        <v/>
      </c>
      <c r="EO130" s="15" t="str">
        <f>IF(ED130="","",IF(AND(ABS(ED130)&lt;=0.25,$E130="Bottom",DS130="LL"),"EQL",IF(AND(ABS(ED130)&lt;=0.25,$E130="Peak",DS130="HH"),"EQH","")))</f>
        <v/>
      </c>
      <c r="EP130" s="15" t="str">
        <f>IF(EE130="","",IF(AND(ABS(EE130)&lt;=0.25,$E130="Bottom",DT130="LL"),"EQL",IF(AND(ABS(EE130)&lt;=0.25,$E130="Peak",DT130="HH"),"EQH","")))</f>
        <v>EQL</v>
      </c>
      <c r="EQ130" s="15" t="str">
        <f>IF(EF130="","",IF(AND(ABS(EF130)&lt;=0.25,$E130="Bottom",DU130="LL"),"EQL",IF(AND(ABS(EF130)&lt;=0.25,$E130="Peak",DU130="HH"),"EQH","")))</f>
        <v/>
      </c>
      <c r="ER130" s="15" t="str">
        <f>IF(OR(EG130="EQL",EG130="EQH"),F130,"")</f>
        <v/>
      </c>
      <c r="ES130" s="15">
        <f>IF(OR(EH130="EQL",EH130="EQH"),G130,"")</f>
        <v>4699.29</v>
      </c>
      <c r="ET130" s="15" t="str">
        <f>IF(OR(EI130="EQL",EI130="EQH"),H130,"")</f>
        <v/>
      </c>
      <c r="EU130" s="15">
        <f>IF(OR(EJ130="EQL",EJ130="EQH"),I130,"")</f>
        <v>4674.72</v>
      </c>
      <c r="EV130" s="15">
        <f>IF(OR(EK130="EQL",EK130="EQH"),J130,"")</f>
        <v>4658.17</v>
      </c>
      <c r="EW130" s="15" t="str">
        <f>IF(OR(EL130="EQL",EL130="EQH"),K130,"")</f>
        <v/>
      </c>
      <c r="EX130" s="15" t="str">
        <f>IF(OR(EM130="EQL",EM130="EQH"),L130,"")</f>
        <v/>
      </c>
      <c r="EY130" s="15" t="str">
        <f>IF(OR(EN130="EQL",EN130="EQH"),M130,"")</f>
        <v/>
      </c>
      <c r="EZ130" s="15" t="str">
        <f>IF(OR(EO130="EQL",EO130="EQH"),N130,"")</f>
        <v/>
      </c>
      <c r="FA130" s="15">
        <f>IF(OR(EP130="EQL",EP130="EQH"),O130,"")</f>
        <v>4724.03</v>
      </c>
      <c r="FB130" s="15" t="str">
        <f>IF(OR(EQ130="EQL",EQ130="EQH"),P130,"")</f>
        <v/>
      </c>
      <c r="FC130" s="15" t="str">
        <f>IF(AND(EG130="EQL",OR(AQ130=4,AQ130=5)),"IEQL",IF(AND(EG130="EQH",OR(AQ130=1,AQ130=2)),"IEQH",""))</f>
        <v/>
      </c>
      <c r="FD130" s="15" t="str">
        <f>IF(AND(EH130="EQL",OR(AR130=4,AR130=5)),"IEQL",IF(AND(EH130="EQH",OR(AR130=1,AR130=2)),"IEQH",""))</f>
        <v/>
      </c>
      <c r="FE130" s="15" t="str">
        <f>IF(AND(EI130="EQL",OR(AS130=4,AS130=5)),"IEQL",IF(AND(EI130="EQH",OR(AS130=1,AS130=2)),"IEQH",""))</f>
        <v/>
      </c>
      <c r="FF130" s="15" t="str">
        <f>IF(AND(EJ130="EQL",OR(AT130=4,AT130=5)),"IEQL",IF(AND(EJ130="EQH",OR(AT130=1,AT130=2)),"IEQH",""))</f>
        <v/>
      </c>
      <c r="FG130" s="15" t="str">
        <f>IF(AND(EK130="EQL",OR(AU130=4,AU130=5)),"IEQL",IF(AND(EK130="EQH",OR(AU130=1,AU130=2)),"IEQH",""))</f>
        <v/>
      </c>
      <c r="FH130" s="15" t="str">
        <f>IF(AND(EL130="EQL",OR(AV130=4,AV130=5)),"IEQL",IF(AND(EL130="EQH",OR(AV130=1,AV130=2)),"IEQH",""))</f>
        <v/>
      </c>
      <c r="FI130" s="15" t="str">
        <f>IF(AND(EM130="EQL",OR(AW130=4,AW130=5)),"IEQL",IF(AND(EM130="EQH",OR(AW130=1,AW130=2)),"IEQH",""))</f>
        <v/>
      </c>
      <c r="FJ130" s="15" t="str">
        <f>IF(AND(EN130="EQL",OR(AX130=4,AX130=5)),"IEQL",IF(AND(EN130="EQH",OR(AX130=1,AX130=2)),"IEQH",""))</f>
        <v/>
      </c>
      <c r="FK130" s="15" t="str">
        <f>IF(AND(EO130="EQL",OR(AY130=4,AY130=5)),"IEQL",IF(AND(EO130="EQH",OR(AY130=1,AY130=2)),"IEQH",""))</f>
        <v/>
      </c>
      <c r="FL130" s="15" t="str">
        <f>IF(AND(EP130="EQL",OR(AZ130=4,AZ130=5)),"IEQL",IF(AND(EP130="EQH",OR(AZ130=1,AZ130=2)),"IEQH",""))</f>
        <v>IEQL</v>
      </c>
      <c r="FM130" s="15" t="str">
        <f>IF(AND(EQ130="EQL",OR(BA130=4,BA130=5)),"IEQL",IF(AND(EQ130="EQH",OR(BA130=1,BA130=2)),"IEQH",""))</f>
        <v/>
      </c>
      <c r="FN130" s="15" t="str">
        <f>IF(OR(AND(DJ130="LL",AP130=5),AND(DJ130="HH",AP130=2)),F130,"")</f>
        <v/>
      </c>
      <c r="FO130" s="15" t="str">
        <f>IF(FN130&lt;&gt;"",F129,"")</f>
        <v/>
      </c>
    </row>
    <row r="131" spans="1:171" s="15" customFormat="1" x14ac:dyDescent="0.55000000000000004">
      <c r="A131" s="15">
        <v>1777334406</v>
      </c>
      <c r="B131" s="15" t="s">
        <v>16</v>
      </c>
      <c r="C131" s="15" t="s">
        <v>17</v>
      </c>
      <c r="D131" s="15">
        <v>4697.91</v>
      </c>
      <c r="E131" s="15" t="s">
        <v>20</v>
      </c>
      <c r="F131" s="15">
        <v>4701.1400000000003</v>
      </c>
      <c r="G131" s="15">
        <f t="shared" si="330"/>
        <v>4712.59</v>
      </c>
      <c r="H131" s="15">
        <f t="shared" si="340"/>
        <v>4729.92</v>
      </c>
      <c r="I131" s="15">
        <f t="shared" si="350"/>
        <v>4740.49</v>
      </c>
      <c r="J131" s="15">
        <f t="shared" si="360"/>
        <v>4697.42</v>
      </c>
      <c r="K131" s="15">
        <f t="shared" si="370"/>
        <v>4711.2299999999996</v>
      </c>
      <c r="L131" s="15">
        <f t="shared" si="380"/>
        <v>4743.22</v>
      </c>
      <c r="M131" s="15">
        <f t="shared" si="390"/>
        <v>4724.8900000000003</v>
      </c>
      <c r="N131" s="15">
        <f t="shared" si="400"/>
        <v>4753.33</v>
      </c>
      <c r="O131" s="15">
        <f t="shared" si="410"/>
        <v>4749.34</v>
      </c>
      <c r="P131" s="15">
        <f t="shared" si="420"/>
        <v>4772.1499999999996</v>
      </c>
      <c r="Q131" s="15">
        <f t="shared" si="430"/>
        <v>4797.91</v>
      </c>
      <c r="R131" s="15">
        <v>33.82</v>
      </c>
      <c r="S131" s="15">
        <f t="shared" si="331"/>
        <v>13.3</v>
      </c>
      <c r="T131" s="15">
        <f t="shared" si="341"/>
        <v>57.57</v>
      </c>
      <c r="U131" s="15">
        <f t="shared" si="351"/>
        <v>65.77</v>
      </c>
      <c r="V131" s="15">
        <f t="shared" si="361"/>
        <v>39.25</v>
      </c>
      <c r="W131" s="15">
        <f t="shared" si="371"/>
        <v>46.93</v>
      </c>
      <c r="X131" s="15">
        <f t="shared" si="381"/>
        <v>58.96</v>
      </c>
      <c r="Y131" s="15">
        <f t="shared" si="391"/>
        <v>31.83</v>
      </c>
      <c r="Z131" s="15">
        <f t="shared" si="401"/>
        <v>58.99</v>
      </c>
      <c r="AA131" s="15">
        <f t="shared" si="411"/>
        <v>25.31</v>
      </c>
      <c r="AB131" s="15">
        <f t="shared" si="421"/>
        <v>103.54</v>
      </c>
      <c r="AC131" s="15">
        <f t="shared" si="431"/>
        <v>25.13</v>
      </c>
      <c r="AD131" s="15">
        <v>0.72</v>
      </c>
      <c r="AE131" s="15">
        <f t="shared" si="332"/>
        <v>0.28000000000000003</v>
      </c>
      <c r="AF131" s="15">
        <f t="shared" si="342"/>
        <v>1.23</v>
      </c>
      <c r="AG131" s="15">
        <f t="shared" si="352"/>
        <v>1.41</v>
      </c>
      <c r="AH131" s="15">
        <f t="shared" si="362"/>
        <v>0.84</v>
      </c>
      <c r="AI131" s="15">
        <f t="shared" si="372"/>
        <v>1.01</v>
      </c>
      <c r="AJ131" s="15">
        <f t="shared" si="382"/>
        <v>1.26</v>
      </c>
      <c r="AK131" s="15">
        <f t="shared" si="392"/>
        <v>0.68</v>
      </c>
      <c r="AL131" s="15">
        <f t="shared" si="402"/>
        <v>1.26</v>
      </c>
      <c r="AM131" s="15">
        <f t="shared" si="412"/>
        <v>0.54</v>
      </c>
      <c r="AN131" s="15">
        <f t="shared" si="422"/>
        <v>2.2200000000000002</v>
      </c>
      <c r="AO131" s="15">
        <f t="shared" si="432"/>
        <v>0.53</v>
      </c>
      <c r="AP131" s="15">
        <v>0</v>
      </c>
      <c r="AQ131" s="15">
        <f t="shared" si="333"/>
        <v>0</v>
      </c>
      <c r="AR131" s="15">
        <f t="shared" si="343"/>
        <v>0</v>
      </c>
      <c r="AS131" s="15">
        <f t="shared" si="353"/>
        <v>0</v>
      </c>
      <c r="AT131" s="15">
        <f t="shared" si="363"/>
        <v>0</v>
      </c>
      <c r="AU131" s="15">
        <f t="shared" si="373"/>
        <v>0</v>
      </c>
      <c r="AV131" s="15">
        <f t="shared" si="383"/>
        <v>0</v>
      </c>
      <c r="AW131" s="15">
        <f t="shared" si="393"/>
        <v>0</v>
      </c>
      <c r="AX131" s="15">
        <f t="shared" si="403"/>
        <v>0</v>
      </c>
      <c r="AY131" s="15">
        <f t="shared" si="413"/>
        <v>0</v>
      </c>
      <c r="AZ131" s="15">
        <f t="shared" si="423"/>
        <v>1</v>
      </c>
      <c r="BA131" s="15">
        <f t="shared" si="433"/>
        <v>0</v>
      </c>
      <c r="BB131" s="15">
        <v>32</v>
      </c>
      <c r="BC131" s="15">
        <f t="shared" si="334"/>
        <v>11</v>
      </c>
      <c r="BD131" s="15">
        <f t="shared" si="344"/>
        <v>18</v>
      </c>
      <c r="BE131" s="15">
        <f t="shared" si="354"/>
        <v>14</v>
      </c>
      <c r="BF131" s="15">
        <f t="shared" si="364"/>
        <v>15</v>
      </c>
      <c r="BG131" s="15">
        <f t="shared" si="374"/>
        <v>26</v>
      </c>
      <c r="BH131" s="15">
        <f t="shared" si="384"/>
        <v>9</v>
      </c>
      <c r="BI131" s="15">
        <f t="shared" si="394"/>
        <v>10</v>
      </c>
      <c r="BJ131" s="15">
        <f t="shared" si="404"/>
        <v>2</v>
      </c>
      <c r="BK131" s="15">
        <f t="shared" si="414"/>
        <v>9</v>
      </c>
      <c r="BL131" s="15">
        <f t="shared" si="424"/>
        <v>42</v>
      </c>
      <c r="BM131" s="15">
        <f t="shared" si="434"/>
        <v>19</v>
      </c>
      <c r="BN131" s="15">
        <v>0</v>
      </c>
      <c r="BO131" s="15">
        <f t="shared" si="335"/>
        <v>0</v>
      </c>
      <c r="BP131" s="15">
        <f t="shared" si="345"/>
        <v>0</v>
      </c>
      <c r="BQ131" s="15">
        <f t="shared" si="355"/>
        <v>0</v>
      </c>
      <c r="BR131" s="15">
        <f t="shared" si="365"/>
        <v>0</v>
      </c>
      <c r="BS131" s="15">
        <f t="shared" si="375"/>
        <v>0</v>
      </c>
      <c r="BT131" s="15">
        <f t="shared" si="385"/>
        <v>0</v>
      </c>
      <c r="BU131" s="15">
        <f t="shared" si="395"/>
        <v>0</v>
      </c>
      <c r="BV131" s="15">
        <f t="shared" si="405"/>
        <v>0</v>
      </c>
      <c r="BW131" s="15">
        <f t="shared" si="415"/>
        <v>0</v>
      </c>
      <c r="BX131" s="15">
        <f t="shared" si="425"/>
        <v>1</v>
      </c>
      <c r="BY131" s="15">
        <f t="shared" si="435"/>
        <v>0</v>
      </c>
      <c r="BZ131" s="15">
        <v>1.05688</v>
      </c>
      <c r="CA131" s="15">
        <f t="shared" si="336"/>
        <v>1.20909</v>
      </c>
      <c r="CB131" s="15">
        <f t="shared" si="346"/>
        <v>3.1983299999999999</v>
      </c>
      <c r="CC131" s="15">
        <f t="shared" si="356"/>
        <v>4.6978600000000004</v>
      </c>
      <c r="CD131" s="15">
        <f t="shared" si="366"/>
        <v>2.6166700000000001</v>
      </c>
      <c r="CE131" s="15">
        <f t="shared" si="376"/>
        <v>1.8049999999999999</v>
      </c>
      <c r="CF131" s="15">
        <f t="shared" si="386"/>
        <v>6.5511100000000004</v>
      </c>
      <c r="CG131" s="15">
        <f t="shared" si="396"/>
        <v>3.1829999999999998</v>
      </c>
      <c r="CH131" s="15">
        <f t="shared" si="406"/>
        <v>29.495000000000001</v>
      </c>
      <c r="CI131" s="15">
        <f t="shared" si="416"/>
        <v>2.8122199999999999</v>
      </c>
      <c r="CJ131" s="15">
        <f t="shared" si="426"/>
        <v>2.4652400000000001</v>
      </c>
      <c r="CK131" s="15">
        <f t="shared" si="436"/>
        <v>1.32263</v>
      </c>
      <c r="CL131" s="15">
        <v>0</v>
      </c>
      <c r="CM131" s="15">
        <f t="shared" si="337"/>
        <v>0</v>
      </c>
      <c r="CN131" s="15">
        <f t="shared" si="347"/>
        <v>0</v>
      </c>
      <c r="CO131" s="15">
        <f t="shared" si="357"/>
        <v>0</v>
      </c>
      <c r="CP131" s="15">
        <f t="shared" si="367"/>
        <v>0</v>
      </c>
      <c r="CQ131" s="15">
        <f t="shared" si="377"/>
        <v>0</v>
      </c>
      <c r="CR131" s="15">
        <f t="shared" si="387"/>
        <v>0</v>
      </c>
      <c r="CS131" s="15">
        <f t="shared" si="397"/>
        <v>0</v>
      </c>
      <c r="CT131" s="15">
        <f t="shared" si="407"/>
        <v>2</v>
      </c>
      <c r="CU131" s="15">
        <f t="shared" si="417"/>
        <v>0</v>
      </c>
      <c r="CV131" s="15">
        <f t="shared" si="427"/>
        <v>0</v>
      </c>
      <c r="CW131" s="15">
        <f t="shared" si="437"/>
        <v>0</v>
      </c>
      <c r="CX131" s="15">
        <v>46.5839</v>
      </c>
      <c r="CY131" s="15">
        <f t="shared" si="338"/>
        <v>50.4069</v>
      </c>
      <c r="CZ131" s="15">
        <f t="shared" si="348"/>
        <v>72.637500000000003</v>
      </c>
      <c r="DA131" s="15">
        <f t="shared" si="358"/>
        <v>77.983199999999997</v>
      </c>
      <c r="DB131" s="15">
        <f t="shared" si="368"/>
        <v>69.084900000000005</v>
      </c>
      <c r="DC131" s="15">
        <f t="shared" si="378"/>
        <v>61.012799999999999</v>
      </c>
      <c r="DD131" s="15">
        <f t="shared" si="388"/>
        <v>81.320999999999998</v>
      </c>
      <c r="DE131" s="15">
        <f t="shared" si="398"/>
        <v>72.558899999999994</v>
      </c>
      <c r="DF131" s="15">
        <f t="shared" si="408"/>
        <v>88.058199999999999</v>
      </c>
      <c r="DG131" s="15">
        <f t="shared" si="418"/>
        <v>70.4251</v>
      </c>
      <c r="DH131" s="15">
        <f t="shared" si="428"/>
        <v>67.920500000000004</v>
      </c>
      <c r="DI131" s="15">
        <f t="shared" si="438"/>
        <v>52.908200000000001</v>
      </c>
      <c r="DJ131" s="15" t="s">
        <v>21</v>
      </c>
      <c r="DK131" s="15" t="str">
        <f t="shared" si="339"/>
        <v>LH</v>
      </c>
      <c r="DL131" s="15" t="str">
        <f t="shared" si="349"/>
        <v>LH</v>
      </c>
      <c r="DM131" s="15" t="str">
        <f t="shared" si="359"/>
        <v>HH</v>
      </c>
      <c r="DN131" s="15" t="str">
        <f t="shared" si="369"/>
        <v>LH</v>
      </c>
      <c r="DO131" s="15" t="str">
        <f t="shared" si="379"/>
        <v>LH</v>
      </c>
      <c r="DP131" s="15" t="str">
        <f t="shared" si="389"/>
        <v>HH</v>
      </c>
      <c r="DQ131" s="15" t="str">
        <f t="shared" si="399"/>
        <v>LH</v>
      </c>
      <c r="DR131" s="15" t="str">
        <f t="shared" si="409"/>
        <v>HH</v>
      </c>
      <c r="DS131" s="15" t="str">
        <f t="shared" si="419"/>
        <v>LH</v>
      </c>
      <c r="DT131" s="15" t="str">
        <f t="shared" si="429"/>
        <v>LH</v>
      </c>
      <c r="DU131" s="15" t="str">
        <f t="shared" si="439"/>
        <v>LH</v>
      </c>
      <c r="DV131" s="15">
        <f>IFERROR((G131-$F131)/$F131*100,"")</f>
        <v>0.24355794551959351</v>
      </c>
      <c r="DW131" s="15">
        <f>IFERROR((H131-$F131)/$F131*100,"")</f>
        <v>0.61219193642392578</v>
      </c>
      <c r="DX131" s="15">
        <f>IFERROR((I131-$F131)/$F131*100,"")</f>
        <v>0.83703101800838631</v>
      </c>
      <c r="DY131" s="15">
        <f>IFERROR((J131-$F131)/$F131*100,"")</f>
        <v>-7.9129742998512151E-2</v>
      </c>
      <c r="DZ131" s="15">
        <f>IFERROR((K131-$F131)/$F131*100,"")</f>
        <v>0.21462879216528832</v>
      </c>
      <c r="EA131" s="15">
        <f>IFERROR((L131-$F131)/$F131*100,"")</f>
        <v>0.89510203907988117</v>
      </c>
      <c r="EB131" s="15">
        <f>IFERROR((M131-$F131)/$F131*100,"")</f>
        <v>0.5051966118856277</v>
      </c>
      <c r="EC131" s="15">
        <f>IFERROR((N131-$F131)/$F131*100,"")</f>
        <v>1.1101562599709771</v>
      </c>
      <c r="ED131" s="15">
        <f>IFERROR((O131-$F131)/$F131*100,"")</f>
        <v>1.0252832291741965</v>
      </c>
      <c r="EE131" s="15">
        <f>IFERROR((P131-$F131)/$F131*100,"")</f>
        <v>1.5104846909472873</v>
      </c>
      <c r="EF131" s="15">
        <f>IFERROR((Q131-$F131)/$F131*100,"")</f>
        <v>2.0584368897756611</v>
      </c>
      <c r="EG131" s="15" t="str">
        <f>IF(DV131="","",IF(AND(ABS(DV131)&lt;=0.25,$E131="Bottom",DK131="LL"),"EQL",IF(AND(ABS(DV131)&lt;=0.25,$E131="Peak",DK131="HH"),"EQH","")))</f>
        <v/>
      </c>
      <c r="EH131" s="15" t="str">
        <f>IF(DW131="","",IF(AND(ABS(DW131)&lt;=0.25,$E131="Bottom",DL131="LL"),"EQL",IF(AND(ABS(DW131)&lt;=0.25,$E131="Peak",DL131="HH"),"EQH","")))</f>
        <v/>
      </c>
      <c r="EI131" s="15" t="str">
        <f>IF(DX131="","",IF(AND(ABS(DX131)&lt;=0.25,$E131="Bottom",DM131="LL"),"EQL",IF(AND(ABS(DX131)&lt;=0.25,$E131="Peak",DM131="HH"),"EQH","")))</f>
        <v/>
      </c>
      <c r="EJ131" s="15" t="str">
        <f>IF(DY131="","",IF(AND(ABS(DY131)&lt;=0.25,$E131="Bottom",DN131="LL"),"EQL",IF(AND(ABS(DY131)&lt;=0.25,$E131="Peak",DN131="HH"),"EQH","")))</f>
        <v/>
      </c>
      <c r="EK131" s="15" t="str">
        <f>IF(DZ131="","",IF(AND(ABS(DZ131)&lt;=0.25,$E131="Bottom",DO131="LL"),"EQL",IF(AND(ABS(DZ131)&lt;=0.25,$E131="Peak",DO131="HH"),"EQH","")))</f>
        <v/>
      </c>
      <c r="EL131" s="15" t="str">
        <f>IF(EA131="","",IF(AND(ABS(EA131)&lt;=0.25,$E131="Bottom",DP131="LL"),"EQL",IF(AND(ABS(EA131)&lt;=0.25,$E131="Peak",DP131="HH"),"EQH","")))</f>
        <v/>
      </c>
      <c r="EM131" s="15" t="str">
        <f>IF(EB131="","",IF(AND(ABS(EB131)&lt;=0.25,$E131="Bottom",DQ131="LL"),"EQL",IF(AND(ABS(EB131)&lt;=0.25,$E131="Peak",DQ131="HH"),"EQH","")))</f>
        <v/>
      </c>
      <c r="EN131" s="15" t="str">
        <f>IF(EC131="","",IF(AND(ABS(EC131)&lt;=0.25,$E131="Bottom",DR131="LL"),"EQL",IF(AND(ABS(EC131)&lt;=0.25,$E131="Peak",DR131="HH"),"EQH","")))</f>
        <v/>
      </c>
      <c r="EO131" s="15" t="str">
        <f>IF(ED131="","",IF(AND(ABS(ED131)&lt;=0.25,$E131="Bottom",DS131="LL"),"EQL",IF(AND(ABS(ED131)&lt;=0.25,$E131="Peak",DS131="HH"),"EQH","")))</f>
        <v/>
      </c>
      <c r="EP131" s="15" t="str">
        <f>IF(EE131="","",IF(AND(ABS(EE131)&lt;=0.25,$E131="Bottom",DT131="LL"),"EQL",IF(AND(ABS(EE131)&lt;=0.25,$E131="Peak",DT131="HH"),"EQH","")))</f>
        <v/>
      </c>
      <c r="EQ131" s="15" t="str">
        <f>IF(EF131="","",IF(AND(ABS(EF131)&lt;=0.25,$E131="Bottom",DU131="LL"),"EQL",IF(AND(ABS(EF131)&lt;=0.25,$E131="Peak",DU131="HH"),"EQH","")))</f>
        <v/>
      </c>
      <c r="ER131" s="15" t="str">
        <f>IF(OR(EG131="EQL",EG131="EQH"),F131,"")</f>
        <v/>
      </c>
      <c r="ES131" s="15" t="str">
        <f>IF(OR(EH131="EQL",EH131="EQH"),G131,"")</f>
        <v/>
      </c>
      <c r="ET131" s="15" t="str">
        <f>IF(OR(EI131="EQL",EI131="EQH"),H131,"")</f>
        <v/>
      </c>
      <c r="EU131" s="15" t="str">
        <f>IF(OR(EJ131="EQL",EJ131="EQH"),I131,"")</f>
        <v/>
      </c>
      <c r="EV131" s="15" t="str">
        <f>IF(OR(EK131="EQL",EK131="EQH"),J131,"")</f>
        <v/>
      </c>
      <c r="EW131" s="15" t="str">
        <f>IF(OR(EL131="EQL",EL131="EQH"),K131,"")</f>
        <v/>
      </c>
      <c r="EX131" s="15" t="str">
        <f>IF(OR(EM131="EQL",EM131="EQH"),L131,"")</f>
        <v/>
      </c>
      <c r="EY131" s="15" t="str">
        <f>IF(OR(EN131="EQL",EN131="EQH"),M131,"")</f>
        <v/>
      </c>
      <c r="EZ131" s="15" t="str">
        <f>IF(OR(EO131="EQL",EO131="EQH"),N131,"")</f>
        <v/>
      </c>
      <c r="FA131" s="15" t="str">
        <f>IF(OR(EP131="EQL",EP131="EQH"),O131,"")</f>
        <v/>
      </c>
      <c r="FB131" s="15" t="str">
        <f>IF(OR(EQ131="EQL",EQ131="EQH"),P131,"")</f>
        <v/>
      </c>
      <c r="FC131" s="15" t="str">
        <f>IF(AND(EG131="EQL",OR(AQ131=4,AQ131=5)),"IEQL",IF(AND(EG131="EQH",OR(AQ131=1,AQ131=2)),"IEQH",""))</f>
        <v/>
      </c>
      <c r="FD131" s="15" t="str">
        <f>IF(AND(EH131="EQL",OR(AR131=4,AR131=5)),"IEQL",IF(AND(EH131="EQH",OR(AR131=1,AR131=2)),"IEQH",""))</f>
        <v/>
      </c>
      <c r="FE131" s="15" t="str">
        <f>IF(AND(EI131="EQL",OR(AS131=4,AS131=5)),"IEQL",IF(AND(EI131="EQH",OR(AS131=1,AS131=2)),"IEQH",""))</f>
        <v/>
      </c>
      <c r="FF131" s="15" t="str">
        <f>IF(AND(EJ131="EQL",OR(AT131=4,AT131=5)),"IEQL",IF(AND(EJ131="EQH",OR(AT131=1,AT131=2)),"IEQH",""))</f>
        <v/>
      </c>
      <c r="FG131" s="15" t="str">
        <f>IF(AND(EK131="EQL",OR(AU131=4,AU131=5)),"IEQL",IF(AND(EK131="EQH",OR(AU131=1,AU131=2)),"IEQH",""))</f>
        <v/>
      </c>
      <c r="FH131" s="15" t="str">
        <f>IF(AND(EL131="EQL",OR(AV131=4,AV131=5)),"IEQL",IF(AND(EL131="EQH",OR(AV131=1,AV131=2)),"IEQH",""))</f>
        <v/>
      </c>
      <c r="FI131" s="15" t="str">
        <f>IF(AND(EM131="EQL",OR(AW131=4,AW131=5)),"IEQL",IF(AND(EM131="EQH",OR(AW131=1,AW131=2)),"IEQH",""))</f>
        <v/>
      </c>
      <c r="FJ131" s="15" t="str">
        <f>IF(AND(EN131="EQL",OR(AX131=4,AX131=5)),"IEQL",IF(AND(EN131="EQH",OR(AX131=1,AX131=2)),"IEQH",""))</f>
        <v/>
      </c>
      <c r="FK131" s="15" t="str">
        <f>IF(AND(EO131="EQL",OR(AY131=4,AY131=5)),"IEQL",IF(AND(EO131="EQH",OR(AY131=1,AY131=2)),"IEQH",""))</f>
        <v/>
      </c>
      <c r="FL131" s="15" t="str">
        <f>IF(AND(EP131="EQL",OR(AZ131=4,AZ131=5)),"IEQL",IF(AND(EP131="EQH",OR(AZ131=1,AZ131=2)),"IEQH",""))</f>
        <v/>
      </c>
      <c r="FM131" s="15" t="str">
        <f>IF(AND(EQ131="EQL",OR(BA131=4,BA131=5)),"IEQL",IF(AND(EQ131="EQH",OR(BA131=1,BA131=2)),"IEQH",""))</f>
        <v/>
      </c>
      <c r="FN131" s="15" t="str">
        <f>IF(OR(AND(DJ131="LL",AP131=5),AND(DJ131="HH",AP131=2)),F131,"")</f>
        <v/>
      </c>
      <c r="FO131" s="15" t="str">
        <f>IF(FN131&lt;&gt;"",F130,"")</f>
        <v/>
      </c>
    </row>
    <row r="132" spans="1:171" s="15" customFormat="1" x14ac:dyDescent="0.55000000000000004">
      <c r="A132" s="15">
        <v>1777377606</v>
      </c>
      <c r="B132" s="15" t="s">
        <v>16</v>
      </c>
      <c r="C132" s="15" t="s">
        <v>17</v>
      </c>
      <c r="D132" s="15">
        <v>4581.7299999999996</v>
      </c>
      <c r="E132" s="15" t="s">
        <v>18</v>
      </c>
      <c r="F132" s="15">
        <v>4555.12</v>
      </c>
      <c r="G132" s="15">
        <f t="shared" ref="G132:G163" si="440">F130</f>
        <v>4667.32</v>
      </c>
      <c r="H132" s="15">
        <f t="shared" si="340"/>
        <v>4699.29</v>
      </c>
      <c r="I132" s="15">
        <f t="shared" si="350"/>
        <v>4672.3500000000004</v>
      </c>
      <c r="J132" s="15">
        <f t="shared" si="360"/>
        <v>4674.72</v>
      </c>
      <c r="K132" s="15">
        <f t="shared" si="370"/>
        <v>4658.17</v>
      </c>
      <c r="L132" s="15">
        <f t="shared" si="380"/>
        <v>4664.3</v>
      </c>
      <c r="M132" s="15">
        <f t="shared" si="390"/>
        <v>4684.26</v>
      </c>
      <c r="N132" s="15">
        <f t="shared" si="400"/>
        <v>4693.0600000000004</v>
      </c>
      <c r="O132" s="15">
        <f t="shared" si="410"/>
        <v>4694.34</v>
      </c>
      <c r="P132" s="15">
        <f t="shared" si="420"/>
        <v>4724.03</v>
      </c>
      <c r="Q132" s="15">
        <f t="shared" si="430"/>
        <v>4668.6099999999997</v>
      </c>
      <c r="R132" s="15">
        <v>-146.02000000000001</v>
      </c>
      <c r="S132" s="15">
        <f t="shared" ref="S132:S163" si="441">R130</f>
        <v>-45.27</v>
      </c>
      <c r="T132" s="15">
        <f t="shared" si="341"/>
        <v>-30.63</v>
      </c>
      <c r="U132" s="15">
        <f t="shared" si="351"/>
        <v>-68.14</v>
      </c>
      <c r="V132" s="15">
        <f t="shared" si="361"/>
        <v>-22.7</v>
      </c>
      <c r="W132" s="15">
        <f t="shared" si="371"/>
        <v>-53.06</v>
      </c>
      <c r="X132" s="15">
        <f t="shared" si="381"/>
        <v>-78.92</v>
      </c>
      <c r="Y132" s="15">
        <f t="shared" si="391"/>
        <v>-40.630000000000003</v>
      </c>
      <c r="Z132" s="15">
        <f t="shared" si="401"/>
        <v>-60.27</v>
      </c>
      <c r="AA132" s="15">
        <f t="shared" si="411"/>
        <v>-55</v>
      </c>
      <c r="AB132" s="15">
        <f t="shared" si="421"/>
        <v>-48.12</v>
      </c>
      <c r="AC132" s="15">
        <f t="shared" si="431"/>
        <v>-129.30000000000001</v>
      </c>
      <c r="AD132" s="15">
        <v>-3.11</v>
      </c>
      <c r="AE132" s="15">
        <f t="shared" ref="AE132:AE163" si="442">AD130</f>
        <v>-0.96</v>
      </c>
      <c r="AF132" s="15">
        <f t="shared" si="342"/>
        <v>-0.65</v>
      </c>
      <c r="AG132" s="15">
        <f t="shared" si="352"/>
        <v>-1.44</v>
      </c>
      <c r="AH132" s="15">
        <f t="shared" si="362"/>
        <v>-0.48</v>
      </c>
      <c r="AI132" s="15">
        <f t="shared" si="372"/>
        <v>-1.1299999999999999</v>
      </c>
      <c r="AJ132" s="15">
        <f t="shared" si="382"/>
        <v>-1.66</v>
      </c>
      <c r="AK132" s="15">
        <f t="shared" si="392"/>
        <v>-0.86</v>
      </c>
      <c r="AL132" s="15">
        <f t="shared" si="402"/>
        <v>-1.27</v>
      </c>
      <c r="AM132" s="15">
        <f t="shared" si="412"/>
        <v>-1.1599999999999999</v>
      </c>
      <c r="AN132" s="15">
        <f t="shared" si="422"/>
        <v>-1.01</v>
      </c>
      <c r="AO132" s="15">
        <f t="shared" si="432"/>
        <v>-2.69</v>
      </c>
      <c r="AP132" s="15">
        <v>5</v>
      </c>
      <c r="AQ132" s="15">
        <f t="shared" ref="AQ132:AQ163" si="443">AP130</f>
        <v>3</v>
      </c>
      <c r="AR132" s="15">
        <f t="shared" si="343"/>
        <v>3</v>
      </c>
      <c r="AS132" s="15">
        <f t="shared" si="353"/>
        <v>3</v>
      </c>
      <c r="AT132" s="15">
        <f t="shared" si="363"/>
        <v>3</v>
      </c>
      <c r="AU132" s="15">
        <f t="shared" si="373"/>
        <v>3</v>
      </c>
      <c r="AV132" s="15">
        <f t="shared" si="383"/>
        <v>3</v>
      </c>
      <c r="AW132" s="15">
        <f t="shared" si="393"/>
        <v>3</v>
      </c>
      <c r="AX132" s="15">
        <f t="shared" si="403"/>
        <v>3</v>
      </c>
      <c r="AY132" s="15">
        <f t="shared" si="413"/>
        <v>3</v>
      </c>
      <c r="AZ132" s="15">
        <f t="shared" si="423"/>
        <v>3</v>
      </c>
      <c r="BA132" s="15">
        <f t="shared" si="433"/>
        <v>5</v>
      </c>
      <c r="BB132" s="15">
        <v>48</v>
      </c>
      <c r="BC132" s="15">
        <f t="shared" ref="BC132:BC163" si="444">BB130</f>
        <v>11</v>
      </c>
      <c r="BD132" s="15">
        <f t="shared" si="344"/>
        <v>20</v>
      </c>
      <c r="BE132" s="15">
        <f t="shared" si="354"/>
        <v>36</v>
      </c>
      <c r="BF132" s="15">
        <f t="shared" si="364"/>
        <v>9</v>
      </c>
      <c r="BG132" s="15">
        <f t="shared" si="374"/>
        <v>13</v>
      </c>
      <c r="BH132" s="15">
        <f t="shared" si="384"/>
        <v>20</v>
      </c>
      <c r="BI132" s="15">
        <f t="shared" si="394"/>
        <v>10</v>
      </c>
      <c r="BJ132" s="15">
        <f t="shared" si="404"/>
        <v>19</v>
      </c>
      <c r="BK132" s="15">
        <f t="shared" si="414"/>
        <v>18</v>
      </c>
      <c r="BL132" s="15">
        <f t="shared" si="424"/>
        <v>38</v>
      </c>
      <c r="BM132" s="15">
        <f t="shared" si="434"/>
        <v>31</v>
      </c>
      <c r="BN132" s="15">
        <v>5</v>
      </c>
      <c r="BO132" s="15">
        <f t="shared" ref="BO132:BO163" si="445">BN130</f>
        <v>3</v>
      </c>
      <c r="BP132" s="15">
        <f t="shared" si="345"/>
        <v>3</v>
      </c>
      <c r="BQ132" s="15">
        <f t="shared" si="355"/>
        <v>4</v>
      </c>
      <c r="BR132" s="15">
        <f t="shared" si="365"/>
        <v>3</v>
      </c>
      <c r="BS132" s="15">
        <f t="shared" si="375"/>
        <v>3</v>
      </c>
      <c r="BT132" s="15">
        <f t="shared" si="385"/>
        <v>3</v>
      </c>
      <c r="BU132" s="15">
        <f t="shared" si="395"/>
        <v>3</v>
      </c>
      <c r="BV132" s="15">
        <f t="shared" si="405"/>
        <v>3</v>
      </c>
      <c r="BW132" s="15">
        <f t="shared" si="415"/>
        <v>3</v>
      </c>
      <c r="BX132" s="15">
        <f t="shared" si="425"/>
        <v>4</v>
      </c>
      <c r="BY132" s="15">
        <f t="shared" si="435"/>
        <v>3</v>
      </c>
      <c r="BZ132" s="15">
        <v>-3.0420799999999999</v>
      </c>
      <c r="CA132" s="15">
        <f t="shared" ref="CA132:CA163" si="446">BZ130</f>
        <v>-4.1154500000000001</v>
      </c>
      <c r="CB132" s="15">
        <f t="shared" si="346"/>
        <v>-1.5315000000000001</v>
      </c>
      <c r="CC132" s="15">
        <f t="shared" si="356"/>
        <v>-1.8927799999999999</v>
      </c>
      <c r="CD132" s="15">
        <f t="shared" si="366"/>
        <v>-2.5222199999999999</v>
      </c>
      <c r="CE132" s="15">
        <f t="shared" si="376"/>
        <v>-4.0815400000000004</v>
      </c>
      <c r="CF132" s="15">
        <f t="shared" si="386"/>
        <v>-3.9460000000000002</v>
      </c>
      <c r="CG132" s="15">
        <f t="shared" si="396"/>
        <v>-4.0629999999999997</v>
      </c>
      <c r="CH132" s="15">
        <f t="shared" si="406"/>
        <v>-3.17211</v>
      </c>
      <c r="CI132" s="15">
        <f t="shared" si="416"/>
        <v>-3.0555599999999998</v>
      </c>
      <c r="CJ132" s="15">
        <f t="shared" si="426"/>
        <v>-1.2663199999999999</v>
      </c>
      <c r="CK132" s="15">
        <f t="shared" si="436"/>
        <v>-4.1709699999999996</v>
      </c>
      <c r="CL132" s="15">
        <v>3</v>
      </c>
      <c r="CM132" s="15">
        <f t="shared" ref="CM132:CM163" si="447">CL130</f>
        <v>3</v>
      </c>
      <c r="CN132" s="15">
        <f t="shared" si="347"/>
        <v>3</v>
      </c>
      <c r="CO132" s="15">
        <f t="shared" si="357"/>
        <v>3</v>
      </c>
      <c r="CP132" s="15">
        <f t="shared" si="367"/>
        <v>3</v>
      </c>
      <c r="CQ132" s="15">
        <f t="shared" si="377"/>
        <v>3</v>
      </c>
      <c r="CR132" s="15">
        <f t="shared" si="387"/>
        <v>3</v>
      </c>
      <c r="CS132" s="15">
        <f t="shared" si="397"/>
        <v>3</v>
      </c>
      <c r="CT132" s="15">
        <f t="shared" si="407"/>
        <v>3</v>
      </c>
      <c r="CU132" s="15">
        <f t="shared" si="417"/>
        <v>3</v>
      </c>
      <c r="CV132" s="15">
        <f t="shared" si="427"/>
        <v>3</v>
      </c>
      <c r="CW132" s="15">
        <f t="shared" si="437"/>
        <v>3</v>
      </c>
      <c r="CX132" s="15">
        <v>-71.803200000000004</v>
      </c>
      <c r="CY132" s="15">
        <f t="shared" ref="CY132:CY163" si="448">CX130</f>
        <v>-76.342600000000004</v>
      </c>
      <c r="CZ132" s="15">
        <f t="shared" si="348"/>
        <v>-56.857300000000002</v>
      </c>
      <c r="DA132" s="15">
        <f t="shared" si="358"/>
        <v>-62.151400000000002</v>
      </c>
      <c r="DB132" s="15">
        <f t="shared" si="368"/>
        <v>-68.372900000000001</v>
      </c>
      <c r="DC132" s="15">
        <f t="shared" si="378"/>
        <v>-76.233400000000003</v>
      </c>
      <c r="DD132" s="15">
        <f t="shared" si="388"/>
        <v>-75.779399999999995</v>
      </c>
      <c r="DE132" s="15">
        <f t="shared" si="398"/>
        <v>-76.173000000000002</v>
      </c>
      <c r="DF132" s="15">
        <f t="shared" si="408"/>
        <v>-72.502600000000001</v>
      </c>
      <c r="DG132" s="15">
        <f t="shared" si="418"/>
        <v>-71.878100000000003</v>
      </c>
      <c r="DH132" s="15">
        <f t="shared" si="428"/>
        <v>-51.702100000000002</v>
      </c>
      <c r="DI132" s="15">
        <f t="shared" si="438"/>
        <v>-76.517700000000005</v>
      </c>
      <c r="DJ132" s="15" t="s">
        <v>19</v>
      </c>
      <c r="DK132" s="15" t="str">
        <f t="shared" ref="DK132:DK163" si="449">DJ130</f>
        <v>LL</v>
      </c>
      <c r="DL132" s="15" t="str">
        <f t="shared" si="349"/>
        <v>HL</v>
      </c>
      <c r="DM132" s="15" t="str">
        <f t="shared" si="359"/>
        <v>LL</v>
      </c>
      <c r="DN132" s="15" t="str">
        <f t="shared" si="369"/>
        <v>HL</v>
      </c>
      <c r="DO132" s="15" t="str">
        <f t="shared" si="379"/>
        <v>LL</v>
      </c>
      <c r="DP132" s="15" t="str">
        <f t="shared" si="389"/>
        <v>LL</v>
      </c>
      <c r="DQ132" s="15" t="str">
        <f t="shared" si="399"/>
        <v>LL</v>
      </c>
      <c r="DR132" s="15" t="str">
        <f t="shared" si="409"/>
        <v>LL</v>
      </c>
      <c r="DS132" s="15" t="str">
        <f t="shared" si="419"/>
        <v>LL</v>
      </c>
      <c r="DT132" s="15" t="str">
        <f t="shared" si="429"/>
        <v>HL</v>
      </c>
      <c r="DU132" s="15" t="str">
        <f t="shared" si="439"/>
        <v>LL</v>
      </c>
      <c r="DV132" s="15">
        <f>IFERROR((G132-$F132)/$F132*100,"")</f>
        <v>2.4631623316180433</v>
      </c>
      <c r="DW132" s="15">
        <f>IFERROR((H132-$F132)/$F132*100,"")</f>
        <v>3.1650099228999471</v>
      </c>
      <c r="DX132" s="15">
        <f>IFERROR((I132-$F132)/$F132*100,"")</f>
        <v>2.5735875234900609</v>
      </c>
      <c r="DY132" s="15">
        <f>IFERROR((J132-$F132)/$F132*100,"")</f>
        <v>2.6256168882488358</v>
      </c>
      <c r="DZ132" s="15">
        <f>IFERROR((K132-$F132)/$F132*100,"")</f>
        <v>2.262289467675938</v>
      </c>
      <c r="EA132" s="15">
        <f>IFERROR((L132-$F132)/$F132*100,"")</f>
        <v>2.3968633098579244</v>
      </c>
      <c r="EB132" s="15">
        <f>IFERROR((M132-$F132)/$F132*100,"")</f>
        <v>2.8350515463917598</v>
      </c>
      <c r="EC132" s="15">
        <f>IFERROR((N132-$F132)/$F132*100,"")</f>
        <v>3.0282407488716108</v>
      </c>
      <c r="ED132" s="15">
        <f>IFERROR((O132-$F132)/$F132*100,"")</f>
        <v>3.0563409965050372</v>
      </c>
      <c r="EE132" s="15">
        <f>IFERROR((P132-$F132)/$F132*100,"")</f>
        <v>3.7081350216898756</v>
      </c>
      <c r="EF132" s="15">
        <f>IFERROR((Q132-$F132)/$F132*100,"")</f>
        <v>2.4914821124361111</v>
      </c>
      <c r="EG132" s="15" t="str">
        <f>IF(DV132="","",IF(AND(ABS(DV132)&lt;=0.25,$E132="Bottom",DK132="LL"),"EQL",IF(AND(ABS(DV132)&lt;=0.25,$E132="Peak",DK132="HH"),"EQH","")))</f>
        <v/>
      </c>
      <c r="EH132" s="15" t="str">
        <f>IF(DW132="","",IF(AND(ABS(DW132)&lt;=0.25,$E132="Bottom",DL132="LL"),"EQL",IF(AND(ABS(DW132)&lt;=0.25,$E132="Peak",DL132="HH"),"EQH","")))</f>
        <v/>
      </c>
      <c r="EI132" s="15" t="str">
        <f>IF(DX132="","",IF(AND(ABS(DX132)&lt;=0.25,$E132="Bottom",DM132="LL"),"EQL",IF(AND(ABS(DX132)&lt;=0.25,$E132="Peak",DM132="HH"),"EQH","")))</f>
        <v/>
      </c>
      <c r="EJ132" s="15" t="str">
        <f>IF(DY132="","",IF(AND(ABS(DY132)&lt;=0.25,$E132="Bottom",DN132="LL"),"EQL",IF(AND(ABS(DY132)&lt;=0.25,$E132="Peak",DN132="HH"),"EQH","")))</f>
        <v/>
      </c>
      <c r="EK132" s="15" t="str">
        <f>IF(DZ132="","",IF(AND(ABS(DZ132)&lt;=0.25,$E132="Bottom",DO132="LL"),"EQL",IF(AND(ABS(DZ132)&lt;=0.25,$E132="Peak",DO132="HH"),"EQH","")))</f>
        <v/>
      </c>
      <c r="EL132" s="15" t="str">
        <f>IF(EA132="","",IF(AND(ABS(EA132)&lt;=0.25,$E132="Bottom",DP132="LL"),"EQL",IF(AND(ABS(EA132)&lt;=0.25,$E132="Peak",DP132="HH"),"EQH","")))</f>
        <v/>
      </c>
      <c r="EM132" s="15" t="str">
        <f>IF(EB132="","",IF(AND(ABS(EB132)&lt;=0.25,$E132="Bottom",DQ132="LL"),"EQL",IF(AND(ABS(EB132)&lt;=0.25,$E132="Peak",DQ132="HH"),"EQH","")))</f>
        <v/>
      </c>
      <c r="EN132" s="15" t="str">
        <f>IF(EC132="","",IF(AND(ABS(EC132)&lt;=0.25,$E132="Bottom",DR132="LL"),"EQL",IF(AND(ABS(EC132)&lt;=0.25,$E132="Peak",DR132="HH"),"EQH","")))</f>
        <v/>
      </c>
      <c r="EO132" s="15" t="str">
        <f>IF(ED132="","",IF(AND(ABS(ED132)&lt;=0.25,$E132="Bottom",DS132="LL"),"EQL",IF(AND(ABS(ED132)&lt;=0.25,$E132="Peak",DS132="HH"),"EQH","")))</f>
        <v/>
      </c>
      <c r="EP132" s="15" t="str">
        <f>IF(EE132="","",IF(AND(ABS(EE132)&lt;=0.25,$E132="Bottom",DT132="LL"),"EQL",IF(AND(ABS(EE132)&lt;=0.25,$E132="Peak",DT132="HH"),"EQH","")))</f>
        <v/>
      </c>
      <c r="EQ132" s="15" t="str">
        <f>IF(EF132="","",IF(AND(ABS(EF132)&lt;=0.25,$E132="Bottom",DU132="LL"),"EQL",IF(AND(ABS(EF132)&lt;=0.25,$E132="Peak",DU132="HH"),"EQH","")))</f>
        <v/>
      </c>
      <c r="ER132" s="15" t="str">
        <f>IF(OR(EG132="EQL",EG132="EQH"),F132,"")</f>
        <v/>
      </c>
      <c r="ES132" s="15" t="str">
        <f>IF(OR(EH132="EQL",EH132="EQH"),G132,"")</f>
        <v/>
      </c>
      <c r="ET132" s="15" t="str">
        <f>IF(OR(EI132="EQL",EI132="EQH"),H132,"")</f>
        <v/>
      </c>
      <c r="EU132" s="15" t="str">
        <f>IF(OR(EJ132="EQL",EJ132="EQH"),I132,"")</f>
        <v/>
      </c>
      <c r="EV132" s="15" t="str">
        <f>IF(OR(EK132="EQL",EK132="EQH"),J132,"")</f>
        <v/>
      </c>
      <c r="EW132" s="15" t="str">
        <f>IF(OR(EL132="EQL",EL132="EQH"),K132,"")</f>
        <v/>
      </c>
      <c r="EX132" s="15" t="str">
        <f>IF(OR(EM132="EQL",EM132="EQH"),L132,"")</f>
        <v/>
      </c>
      <c r="EY132" s="15" t="str">
        <f>IF(OR(EN132="EQL",EN132="EQH"),M132,"")</f>
        <v/>
      </c>
      <c r="EZ132" s="15" t="str">
        <f>IF(OR(EO132="EQL",EO132="EQH"),N132,"")</f>
        <v/>
      </c>
      <c r="FA132" s="15" t="str">
        <f>IF(OR(EP132="EQL",EP132="EQH"),O132,"")</f>
        <v/>
      </c>
      <c r="FB132" s="15" t="str">
        <f>IF(OR(EQ132="EQL",EQ132="EQH"),P132,"")</f>
        <v/>
      </c>
      <c r="FC132" s="15" t="str">
        <f>IF(AND(EG132="EQL",OR(AQ132=4,AQ132=5)),"IEQL",IF(AND(EG132="EQH",OR(AQ132=1,AQ132=2)),"IEQH",""))</f>
        <v/>
      </c>
      <c r="FD132" s="15" t="str">
        <f>IF(AND(EH132="EQL",OR(AR132=4,AR132=5)),"IEQL",IF(AND(EH132="EQH",OR(AR132=1,AR132=2)),"IEQH",""))</f>
        <v/>
      </c>
      <c r="FE132" s="15" t="str">
        <f>IF(AND(EI132="EQL",OR(AS132=4,AS132=5)),"IEQL",IF(AND(EI132="EQH",OR(AS132=1,AS132=2)),"IEQH",""))</f>
        <v/>
      </c>
      <c r="FF132" s="15" t="str">
        <f>IF(AND(EJ132="EQL",OR(AT132=4,AT132=5)),"IEQL",IF(AND(EJ132="EQH",OR(AT132=1,AT132=2)),"IEQH",""))</f>
        <v/>
      </c>
      <c r="FG132" s="15" t="str">
        <f>IF(AND(EK132="EQL",OR(AU132=4,AU132=5)),"IEQL",IF(AND(EK132="EQH",OR(AU132=1,AU132=2)),"IEQH",""))</f>
        <v/>
      </c>
      <c r="FH132" s="15" t="str">
        <f>IF(AND(EL132="EQL",OR(AV132=4,AV132=5)),"IEQL",IF(AND(EL132="EQH",OR(AV132=1,AV132=2)),"IEQH",""))</f>
        <v/>
      </c>
      <c r="FI132" s="15" t="str">
        <f>IF(AND(EM132="EQL",OR(AW132=4,AW132=5)),"IEQL",IF(AND(EM132="EQH",OR(AW132=1,AW132=2)),"IEQH",""))</f>
        <v/>
      </c>
      <c r="FJ132" s="15" t="str">
        <f>IF(AND(EN132="EQL",OR(AX132=4,AX132=5)),"IEQL",IF(AND(EN132="EQH",OR(AX132=1,AX132=2)),"IEQH",""))</f>
        <v/>
      </c>
      <c r="FK132" s="15" t="str">
        <f>IF(AND(EO132="EQL",OR(AY132=4,AY132=5)),"IEQL",IF(AND(EO132="EQH",OR(AY132=1,AY132=2)),"IEQH",""))</f>
        <v/>
      </c>
      <c r="FL132" s="15" t="str">
        <f>IF(AND(EP132="EQL",OR(AZ132=4,AZ132=5)),"IEQL",IF(AND(EP132="EQH",OR(AZ132=1,AZ132=2)),"IEQH",""))</f>
        <v/>
      </c>
      <c r="FM132" s="15" t="str">
        <f>IF(AND(EQ132="EQL",OR(BA132=4,BA132=5)),"IEQL",IF(AND(EQ132="EQH",OR(BA132=1,BA132=2)),"IEQH",""))</f>
        <v/>
      </c>
      <c r="FN132" s="15">
        <f>IF(OR(AND(DJ132="LL",AP132=5),AND(DJ132="HH",AP132=2)),F132,"")</f>
        <v>4555.12</v>
      </c>
      <c r="FO132" s="15">
        <f>IF(FN132&lt;&gt;"",F131,"")</f>
        <v>4701.1400000000003</v>
      </c>
    </row>
    <row r="133" spans="1:171" s="15" customFormat="1" x14ac:dyDescent="0.55000000000000004">
      <c r="A133" s="15">
        <v>1777397406</v>
      </c>
      <c r="B133" s="15" t="s">
        <v>16</v>
      </c>
      <c r="C133" s="15" t="s">
        <v>17</v>
      </c>
      <c r="D133" s="15">
        <v>4599.0200000000004</v>
      </c>
      <c r="E133" s="15" t="s">
        <v>20</v>
      </c>
      <c r="F133" s="15">
        <v>4601.49</v>
      </c>
      <c r="G133" s="15">
        <f t="shared" si="440"/>
        <v>4701.1400000000003</v>
      </c>
      <c r="H133" s="15">
        <f t="shared" si="340"/>
        <v>4712.59</v>
      </c>
      <c r="I133" s="15">
        <f t="shared" si="350"/>
        <v>4729.92</v>
      </c>
      <c r="J133" s="15">
        <f t="shared" si="360"/>
        <v>4740.49</v>
      </c>
      <c r="K133" s="15">
        <f t="shared" si="370"/>
        <v>4697.42</v>
      </c>
      <c r="L133" s="15">
        <f t="shared" si="380"/>
        <v>4711.2299999999996</v>
      </c>
      <c r="M133" s="15">
        <f t="shared" si="390"/>
        <v>4743.22</v>
      </c>
      <c r="N133" s="15">
        <f t="shared" si="400"/>
        <v>4724.8900000000003</v>
      </c>
      <c r="O133" s="15">
        <f t="shared" si="410"/>
        <v>4753.33</v>
      </c>
      <c r="P133" s="15">
        <f t="shared" si="420"/>
        <v>4749.34</v>
      </c>
      <c r="Q133" s="15">
        <f t="shared" si="430"/>
        <v>4772.1499999999996</v>
      </c>
      <c r="R133" s="15">
        <v>46.37</v>
      </c>
      <c r="S133" s="15">
        <f t="shared" si="441"/>
        <v>33.82</v>
      </c>
      <c r="T133" s="15">
        <f t="shared" si="341"/>
        <v>13.3</v>
      </c>
      <c r="U133" s="15">
        <f t="shared" si="351"/>
        <v>57.57</v>
      </c>
      <c r="V133" s="15">
        <f t="shared" si="361"/>
        <v>65.77</v>
      </c>
      <c r="W133" s="15">
        <f t="shared" si="371"/>
        <v>39.25</v>
      </c>
      <c r="X133" s="15">
        <f t="shared" si="381"/>
        <v>46.93</v>
      </c>
      <c r="Y133" s="15">
        <f t="shared" si="391"/>
        <v>58.96</v>
      </c>
      <c r="Z133" s="15">
        <f t="shared" si="401"/>
        <v>31.83</v>
      </c>
      <c r="AA133" s="15">
        <f t="shared" si="411"/>
        <v>58.99</v>
      </c>
      <c r="AB133" s="15">
        <f t="shared" si="421"/>
        <v>25.31</v>
      </c>
      <c r="AC133" s="15">
        <f t="shared" si="431"/>
        <v>103.54</v>
      </c>
      <c r="AD133" s="15">
        <v>1.02</v>
      </c>
      <c r="AE133" s="15">
        <f t="shared" si="442"/>
        <v>0.72</v>
      </c>
      <c r="AF133" s="15">
        <f t="shared" si="342"/>
        <v>0.28000000000000003</v>
      </c>
      <c r="AG133" s="15">
        <f t="shared" si="352"/>
        <v>1.23</v>
      </c>
      <c r="AH133" s="15">
        <f t="shared" si="362"/>
        <v>1.41</v>
      </c>
      <c r="AI133" s="15">
        <f t="shared" si="372"/>
        <v>0.84</v>
      </c>
      <c r="AJ133" s="15">
        <f t="shared" si="382"/>
        <v>1.01</v>
      </c>
      <c r="AK133" s="15">
        <f t="shared" si="392"/>
        <v>1.26</v>
      </c>
      <c r="AL133" s="15">
        <f t="shared" si="402"/>
        <v>0.68</v>
      </c>
      <c r="AM133" s="15">
        <f t="shared" si="412"/>
        <v>1.26</v>
      </c>
      <c r="AN133" s="15">
        <f t="shared" si="422"/>
        <v>0.54</v>
      </c>
      <c r="AO133" s="15">
        <f t="shared" si="432"/>
        <v>2.2200000000000002</v>
      </c>
      <c r="AP133" s="15">
        <v>0</v>
      </c>
      <c r="AQ133" s="15">
        <f t="shared" si="443"/>
        <v>0</v>
      </c>
      <c r="AR133" s="15">
        <f t="shared" si="343"/>
        <v>0</v>
      </c>
      <c r="AS133" s="15">
        <f t="shared" si="353"/>
        <v>0</v>
      </c>
      <c r="AT133" s="15">
        <f t="shared" si="363"/>
        <v>0</v>
      </c>
      <c r="AU133" s="15">
        <f t="shared" si="373"/>
        <v>0</v>
      </c>
      <c r="AV133" s="15">
        <f t="shared" si="383"/>
        <v>0</v>
      </c>
      <c r="AW133" s="15">
        <f t="shared" si="393"/>
        <v>0</v>
      </c>
      <c r="AX133" s="15">
        <f t="shared" si="403"/>
        <v>0</v>
      </c>
      <c r="AY133" s="15">
        <f t="shared" si="413"/>
        <v>0</v>
      </c>
      <c r="AZ133" s="15">
        <f t="shared" si="423"/>
        <v>0</v>
      </c>
      <c r="BA133" s="15">
        <f t="shared" si="433"/>
        <v>1</v>
      </c>
      <c r="BB133" s="15">
        <v>22</v>
      </c>
      <c r="BC133" s="15">
        <f t="shared" si="444"/>
        <v>32</v>
      </c>
      <c r="BD133" s="15">
        <f t="shared" si="344"/>
        <v>11</v>
      </c>
      <c r="BE133" s="15">
        <f t="shared" si="354"/>
        <v>18</v>
      </c>
      <c r="BF133" s="15">
        <f t="shared" si="364"/>
        <v>14</v>
      </c>
      <c r="BG133" s="15">
        <f t="shared" si="374"/>
        <v>15</v>
      </c>
      <c r="BH133" s="15">
        <f t="shared" si="384"/>
        <v>26</v>
      </c>
      <c r="BI133" s="15">
        <f t="shared" si="394"/>
        <v>9</v>
      </c>
      <c r="BJ133" s="15">
        <f t="shared" si="404"/>
        <v>10</v>
      </c>
      <c r="BK133" s="15">
        <f t="shared" si="414"/>
        <v>2</v>
      </c>
      <c r="BL133" s="15">
        <f t="shared" si="424"/>
        <v>9</v>
      </c>
      <c r="BM133" s="15">
        <f t="shared" si="434"/>
        <v>42</v>
      </c>
      <c r="BN133" s="15">
        <v>0</v>
      </c>
      <c r="BO133" s="15">
        <f t="shared" si="445"/>
        <v>0</v>
      </c>
      <c r="BP133" s="15">
        <f t="shared" si="345"/>
        <v>0</v>
      </c>
      <c r="BQ133" s="15">
        <f t="shared" si="355"/>
        <v>0</v>
      </c>
      <c r="BR133" s="15">
        <f t="shared" si="365"/>
        <v>0</v>
      </c>
      <c r="BS133" s="15">
        <f t="shared" si="375"/>
        <v>0</v>
      </c>
      <c r="BT133" s="15">
        <f t="shared" si="385"/>
        <v>0</v>
      </c>
      <c r="BU133" s="15">
        <f t="shared" si="395"/>
        <v>0</v>
      </c>
      <c r="BV133" s="15">
        <f t="shared" si="405"/>
        <v>0</v>
      </c>
      <c r="BW133" s="15">
        <f t="shared" si="415"/>
        <v>0</v>
      </c>
      <c r="BX133" s="15">
        <f t="shared" si="425"/>
        <v>0</v>
      </c>
      <c r="BY133" s="15">
        <f t="shared" si="435"/>
        <v>1</v>
      </c>
      <c r="BZ133" s="15">
        <v>2.1077300000000001</v>
      </c>
      <c r="CA133" s="15">
        <f t="shared" si="446"/>
        <v>1.05688</v>
      </c>
      <c r="CB133" s="15">
        <f t="shared" si="346"/>
        <v>1.20909</v>
      </c>
      <c r="CC133" s="15">
        <f t="shared" si="356"/>
        <v>3.1983299999999999</v>
      </c>
      <c r="CD133" s="15">
        <f t="shared" si="366"/>
        <v>4.6978600000000004</v>
      </c>
      <c r="CE133" s="15">
        <f t="shared" si="376"/>
        <v>2.6166700000000001</v>
      </c>
      <c r="CF133" s="15">
        <f t="shared" si="386"/>
        <v>1.8049999999999999</v>
      </c>
      <c r="CG133" s="15">
        <f t="shared" si="396"/>
        <v>6.5511100000000004</v>
      </c>
      <c r="CH133" s="15">
        <f t="shared" si="406"/>
        <v>3.1829999999999998</v>
      </c>
      <c r="CI133" s="15">
        <f t="shared" si="416"/>
        <v>29.495000000000001</v>
      </c>
      <c r="CJ133" s="15">
        <f t="shared" si="426"/>
        <v>2.8122199999999999</v>
      </c>
      <c r="CK133" s="15">
        <f t="shared" si="436"/>
        <v>2.4652400000000001</v>
      </c>
      <c r="CL133" s="15">
        <v>0</v>
      </c>
      <c r="CM133" s="15">
        <f t="shared" si="447"/>
        <v>0</v>
      </c>
      <c r="CN133" s="15">
        <f t="shared" si="347"/>
        <v>0</v>
      </c>
      <c r="CO133" s="15">
        <f t="shared" si="357"/>
        <v>0</v>
      </c>
      <c r="CP133" s="15">
        <f t="shared" si="367"/>
        <v>0</v>
      </c>
      <c r="CQ133" s="15">
        <f t="shared" si="377"/>
        <v>0</v>
      </c>
      <c r="CR133" s="15">
        <f t="shared" si="387"/>
        <v>0</v>
      </c>
      <c r="CS133" s="15">
        <f t="shared" si="397"/>
        <v>0</v>
      </c>
      <c r="CT133" s="15">
        <f t="shared" si="407"/>
        <v>0</v>
      </c>
      <c r="CU133" s="15">
        <f t="shared" si="417"/>
        <v>2</v>
      </c>
      <c r="CV133" s="15">
        <f t="shared" si="427"/>
        <v>0</v>
      </c>
      <c r="CW133" s="15">
        <f t="shared" si="437"/>
        <v>0</v>
      </c>
      <c r="CX133" s="15">
        <v>64.618200000000002</v>
      </c>
      <c r="CY133" s="15">
        <f t="shared" si="448"/>
        <v>46.5839</v>
      </c>
      <c r="CZ133" s="15">
        <f t="shared" si="348"/>
        <v>50.4069</v>
      </c>
      <c r="DA133" s="15">
        <f t="shared" si="358"/>
        <v>72.637500000000003</v>
      </c>
      <c r="DB133" s="15">
        <f t="shared" si="368"/>
        <v>77.983199999999997</v>
      </c>
      <c r="DC133" s="15">
        <f t="shared" si="378"/>
        <v>69.084900000000005</v>
      </c>
      <c r="DD133" s="15">
        <f t="shared" si="388"/>
        <v>61.012799999999999</v>
      </c>
      <c r="DE133" s="15">
        <f t="shared" si="398"/>
        <v>81.320999999999998</v>
      </c>
      <c r="DF133" s="15">
        <f t="shared" si="408"/>
        <v>72.558899999999994</v>
      </c>
      <c r="DG133" s="15">
        <f t="shared" si="418"/>
        <v>88.058199999999999</v>
      </c>
      <c r="DH133" s="15">
        <f t="shared" si="428"/>
        <v>70.4251</v>
      </c>
      <c r="DI133" s="15">
        <f t="shared" si="438"/>
        <v>67.920500000000004</v>
      </c>
      <c r="DJ133" s="15" t="s">
        <v>21</v>
      </c>
      <c r="DK133" s="15" t="str">
        <f t="shared" si="449"/>
        <v>LH</v>
      </c>
      <c r="DL133" s="15" t="str">
        <f t="shared" si="349"/>
        <v>LH</v>
      </c>
      <c r="DM133" s="15" t="str">
        <f t="shared" si="359"/>
        <v>LH</v>
      </c>
      <c r="DN133" s="15" t="str">
        <f t="shared" si="369"/>
        <v>HH</v>
      </c>
      <c r="DO133" s="15" t="str">
        <f t="shared" si="379"/>
        <v>LH</v>
      </c>
      <c r="DP133" s="15" t="str">
        <f t="shared" si="389"/>
        <v>LH</v>
      </c>
      <c r="DQ133" s="15" t="str">
        <f t="shared" si="399"/>
        <v>HH</v>
      </c>
      <c r="DR133" s="15" t="str">
        <f t="shared" si="409"/>
        <v>LH</v>
      </c>
      <c r="DS133" s="15" t="str">
        <f t="shared" si="419"/>
        <v>HH</v>
      </c>
      <c r="DT133" s="15" t="str">
        <f t="shared" si="429"/>
        <v>LH</v>
      </c>
      <c r="DU133" s="15" t="str">
        <f t="shared" si="439"/>
        <v>LH</v>
      </c>
      <c r="DV133" s="15">
        <f>IFERROR((G133-$F133)/$F133*100,"")</f>
        <v>2.1656028808060115</v>
      </c>
      <c r="DW133" s="15">
        <f>IFERROR((H133-$F133)/$F133*100,"")</f>
        <v>2.4144353242102095</v>
      </c>
      <c r="DX133" s="15">
        <f>IFERROR((I133-$F133)/$F133*100,"")</f>
        <v>2.7910524634411962</v>
      </c>
      <c r="DY133" s="15">
        <f>IFERROR((J133-$F133)/$F133*100,"")</f>
        <v>3.0207606666536275</v>
      </c>
      <c r="DZ133" s="15">
        <f>IFERROR((K133-$F133)/$F133*100,"")</f>
        <v>2.0847595018135494</v>
      </c>
      <c r="EA133" s="15">
        <f>IFERROR((L133-$F133)/$F133*100,"")</f>
        <v>2.3848796802774705</v>
      </c>
      <c r="EB133" s="15">
        <f>IFERROR((M133-$F133)/$F133*100,"")</f>
        <v>3.0800892754303604</v>
      </c>
      <c r="EC133" s="15">
        <f>IFERROR((N133-$F133)/$F133*100,"")</f>
        <v>2.681740045072369</v>
      </c>
      <c r="ED133" s="15">
        <f>IFERROR((O133-$F133)/$F133*100,"")</f>
        <v>3.2998007167243686</v>
      </c>
      <c r="EE133" s="15">
        <f>IFERROR((P133-$F133)/$F133*100,"")</f>
        <v>3.2130896731276253</v>
      </c>
      <c r="EF133" s="15">
        <f>IFERROR((Q133-$F133)/$F133*100,"")</f>
        <v>3.7087986717345873</v>
      </c>
      <c r="EG133" s="15" t="str">
        <f>IF(DV133="","",IF(AND(ABS(DV133)&lt;=0.25,$E133="Bottom",DK133="LL"),"EQL",IF(AND(ABS(DV133)&lt;=0.25,$E133="Peak",DK133="HH"),"EQH","")))</f>
        <v/>
      </c>
      <c r="EH133" s="15" t="str">
        <f>IF(DW133="","",IF(AND(ABS(DW133)&lt;=0.25,$E133="Bottom",DL133="LL"),"EQL",IF(AND(ABS(DW133)&lt;=0.25,$E133="Peak",DL133="HH"),"EQH","")))</f>
        <v/>
      </c>
      <c r="EI133" s="15" t="str">
        <f>IF(DX133="","",IF(AND(ABS(DX133)&lt;=0.25,$E133="Bottom",DM133="LL"),"EQL",IF(AND(ABS(DX133)&lt;=0.25,$E133="Peak",DM133="HH"),"EQH","")))</f>
        <v/>
      </c>
      <c r="EJ133" s="15" t="str">
        <f>IF(DY133="","",IF(AND(ABS(DY133)&lt;=0.25,$E133="Bottom",DN133="LL"),"EQL",IF(AND(ABS(DY133)&lt;=0.25,$E133="Peak",DN133="HH"),"EQH","")))</f>
        <v/>
      </c>
      <c r="EK133" s="15" t="str">
        <f>IF(DZ133="","",IF(AND(ABS(DZ133)&lt;=0.25,$E133="Bottom",DO133="LL"),"EQL",IF(AND(ABS(DZ133)&lt;=0.25,$E133="Peak",DO133="HH"),"EQH","")))</f>
        <v/>
      </c>
      <c r="EL133" s="15" t="str">
        <f>IF(EA133="","",IF(AND(ABS(EA133)&lt;=0.25,$E133="Bottom",DP133="LL"),"EQL",IF(AND(ABS(EA133)&lt;=0.25,$E133="Peak",DP133="HH"),"EQH","")))</f>
        <v/>
      </c>
      <c r="EM133" s="15" t="str">
        <f>IF(EB133="","",IF(AND(ABS(EB133)&lt;=0.25,$E133="Bottom",DQ133="LL"),"EQL",IF(AND(ABS(EB133)&lt;=0.25,$E133="Peak",DQ133="HH"),"EQH","")))</f>
        <v/>
      </c>
      <c r="EN133" s="15" t="str">
        <f>IF(EC133="","",IF(AND(ABS(EC133)&lt;=0.25,$E133="Bottom",DR133="LL"),"EQL",IF(AND(ABS(EC133)&lt;=0.25,$E133="Peak",DR133="HH"),"EQH","")))</f>
        <v/>
      </c>
      <c r="EO133" s="15" t="str">
        <f>IF(ED133="","",IF(AND(ABS(ED133)&lt;=0.25,$E133="Bottom",DS133="LL"),"EQL",IF(AND(ABS(ED133)&lt;=0.25,$E133="Peak",DS133="HH"),"EQH","")))</f>
        <v/>
      </c>
      <c r="EP133" s="15" t="str">
        <f>IF(EE133="","",IF(AND(ABS(EE133)&lt;=0.25,$E133="Bottom",DT133="LL"),"EQL",IF(AND(ABS(EE133)&lt;=0.25,$E133="Peak",DT133="HH"),"EQH","")))</f>
        <v/>
      </c>
      <c r="EQ133" s="15" t="str">
        <f>IF(EF133="","",IF(AND(ABS(EF133)&lt;=0.25,$E133="Bottom",DU133="LL"),"EQL",IF(AND(ABS(EF133)&lt;=0.25,$E133="Peak",DU133="HH"),"EQH","")))</f>
        <v/>
      </c>
      <c r="ER133" s="15" t="str">
        <f>IF(OR(EG133="EQL",EG133="EQH"),F133,"")</f>
        <v/>
      </c>
      <c r="ES133" s="15" t="str">
        <f>IF(OR(EH133="EQL",EH133="EQH"),G133,"")</f>
        <v/>
      </c>
      <c r="ET133" s="15" t="str">
        <f>IF(OR(EI133="EQL",EI133="EQH"),H133,"")</f>
        <v/>
      </c>
      <c r="EU133" s="15" t="str">
        <f>IF(OR(EJ133="EQL",EJ133="EQH"),I133,"")</f>
        <v/>
      </c>
      <c r="EV133" s="15" t="str">
        <f>IF(OR(EK133="EQL",EK133="EQH"),J133,"")</f>
        <v/>
      </c>
      <c r="EW133" s="15" t="str">
        <f>IF(OR(EL133="EQL",EL133="EQH"),K133,"")</f>
        <v/>
      </c>
      <c r="EX133" s="15" t="str">
        <f>IF(OR(EM133="EQL",EM133="EQH"),L133,"")</f>
        <v/>
      </c>
      <c r="EY133" s="15" t="str">
        <f>IF(OR(EN133="EQL",EN133="EQH"),M133,"")</f>
        <v/>
      </c>
      <c r="EZ133" s="15" t="str">
        <f>IF(OR(EO133="EQL",EO133="EQH"),N133,"")</f>
        <v/>
      </c>
      <c r="FA133" s="15" t="str">
        <f>IF(OR(EP133="EQL",EP133="EQH"),O133,"")</f>
        <v/>
      </c>
      <c r="FB133" s="15" t="str">
        <f>IF(OR(EQ133="EQL",EQ133="EQH"),P133,"")</f>
        <v/>
      </c>
      <c r="FC133" s="15" t="str">
        <f>IF(AND(EG133="EQL",OR(AQ133=4,AQ133=5)),"IEQL",IF(AND(EG133="EQH",OR(AQ133=1,AQ133=2)),"IEQH",""))</f>
        <v/>
      </c>
      <c r="FD133" s="15" t="str">
        <f>IF(AND(EH133="EQL",OR(AR133=4,AR133=5)),"IEQL",IF(AND(EH133="EQH",OR(AR133=1,AR133=2)),"IEQH",""))</f>
        <v/>
      </c>
      <c r="FE133" s="15" t="str">
        <f>IF(AND(EI133="EQL",OR(AS133=4,AS133=5)),"IEQL",IF(AND(EI133="EQH",OR(AS133=1,AS133=2)),"IEQH",""))</f>
        <v/>
      </c>
      <c r="FF133" s="15" t="str">
        <f>IF(AND(EJ133="EQL",OR(AT133=4,AT133=5)),"IEQL",IF(AND(EJ133="EQH",OR(AT133=1,AT133=2)),"IEQH",""))</f>
        <v/>
      </c>
      <c r="FG133" s="15" t="str">
        <f>IF(AND(EK133="EQL",OR(AU133=4,AU133=5)),"IEQL",IF(AND(EK133="EQH",OR(AU133=1,AU133=2)),"IEQH",""))</f>
        <v/>
      </c>
      <c r="FH133" s="15" t="str">
        <f>IF(AND(EL133="EQL",OR(AV133=4,AV133=5)),"IEQL",IF(AND(EL133="EQH",OR(AV133=1,AV133=2)),"IEQH",""))</f>
        <v/>
      </c>
      <c r="FI133" s="15" t="str">
        <f>IF(AND(EM133="EQL",OR(AW133=4,AW133=5)),"IEQL",IF(AND(EM133="EQH",OR(AW133=1,AW133=2)),"IEQH",""))</f>
        <v/>
      </c>
      <c r="FJ133" s="15" t="str">
        <f>IF(AND(EN133="EQL",OR(AX133=4,AX133=5)),"IEQL",IF(AND(EN133="EQH",OR(AX133=1,AX133=2)),"IEQH",""))</f>
        <v/>
      </c>
      <c r="FK133" s="15" t="str">
        <f>IF(AND(EO133="EQL",OR(AY133=4,AY133=5)),"IEQL",IF(AND(EO133="EQH",OR(AY133=1,AY133=2)),"IEQH",""))</f>
        <v/>
      </c>
      <c r="FL133" s="15" t="str">
        <f>IF(AND(EP133="EQL",OR(AZ133=4,AZ133=5)),"IEQL",IF(AND(EP133="EQH",OR(AZ133=1,AZ133=2)),"IEQH",""))</f>
        <v/>
      </c>
      <c r="FM133" s="15" t="str">
        <f>IF(AND(EQ133="EQL",OR(BA133=4,BA133=5)),"IEQL",IF(AND(EQ133="EQH",OR(BA133=1,BA133=2)),"IEQH",""))</f>
        <v/>
      </c>
      <c r="FN133" s="15" t="str">
        <f>IF(OR(AND(DJ133="LL",AP133=5),AND(DJ133="HH",AP133=2)),F133,"")</f>
        <v/>
      </c>
      <c r="FO133" s="15" t="str">
        <f>IF(FN133&lt;&gt;"",F132,"")</f>
        <v/>
      </c>
    </row>
    <row r="134" spans="1:171" s="15" customFormat="1" x14ac:dyDescent="0.55000000000000004">
      <c r="A134" s="15">
        <v>1777419006</v>
      </c>
      <c r="B134" s="15" t="s">
        <v>16</v>
      </c>
      <c r="C134" s="15" t="s">
        <v>17</v>
      </c>
      <c r="D134" s="15">
        <v>4589.91</v>
      </c>
      <c r="E134" s="15" t="s">
        <v>18</v>
      </c>
      <c r="F134" s="15">
        <v>4587.93</v>
      </c>
      <c r="G134" s="15">
        <f t="shared" si="440"/>
        <v>4555.12</v>
      </c>
      <c r="H134" s="15">
        <f t="shared" ref="H134:H165" si="450">F130</f>
        <v>4667.32</v>
      </c>
      <c r="I134" s="15">
        <f t="shared" si="350"/>
        <v>4699.29</v>
      </c>
      <c r="J134" s="15">
        <f t="shared" si="360"/>
        <v>4672.3500000000004</v>
      </c>
      <c r="K134" s="15">
        <f t="shared" si="370"/>
        <v>4674.72</v>
      </c>
      <c r="L134" s="15">
        <f t="shared" si="380"/>
        <v>4658.17</v>
      </c>
      <c r="M134" s="15">
        <f t="shared" si="390"/>
        <v>4664.3</v>
      </c>
      <c r="N134" s="15">
        <f t="shared" si="400"/>
        <v>4684.26</v>
      </c>
      <c r="O134" s="15">
        <f t="shared" si="410"/>
        <v>4693.0600000000004</v>
      </c>
      <c r="P134" s="15">
        <f t="shared" si="420"/>
        <v>4694.34</v>
      </c>
      <c r="Q134" s="15">
        <f t="shared" si="430"/>
        <v>4724.03</v>
      </c>
      <c r="R134" s="15">
        <v>-13.56</v>
      </c>
      <c r="S134" s="15">
        <f t="shared" si="441"/>
        <v>-146.02000000000001</v>
      </c>
      <c r="T134" s="15">
        <f t="shared" ref="T134:T165" si="451">R130</f>
        <v>-45.27</v>
      </c>
      <c r="U134" s="15">
        <f t="shared" si="351"/>
        <v>-30.63</v>
      </c>
      <c r="V134" s="15">
        <f t="shared" si="361"/>
        <v>-68.14</v>
      </c>
      <c r="W134" s="15">
        <f t="shared" si="371"/>
        <v>-22.7</v>
      </c>
      <c r="X134" s="15">
        <f t="shared" si="381"/>
        <v>-53.06</v>
      </c>
      <c r="Y134" s="15">
        <f t="shared" si="391"/>
        <v>-78.92</v>
      </c>
      <c r="Z134" s="15">
        <f t="shared" si="401"/>
        <v>-40.630000000000003</v>
      </c>
      <c r="AA134" s="15">
        <f t="shared" si="411"/>
        <v>-60.27</v>
      </c>
      <c r="AB134" s="15">
        <f t="shared" si="421"/>
        <v>-55</v>
      </c>
      <c r="AC134" s="15">
        <f t="shared" si="431"/>
        <v>-48.12</v>
      </c>
      <c r="AD134" s="15">
        <v>-0.28999999999999998</v>
      </c>
      <c r="AE134" s="15">
        <f t="shared" si="442"/>
        <v>-3.11</v>
      </c>
      <c r="AF134" s="15">
        <f t="shared" ref="AF134:AF165" si="452">AD130</f>
        <v>-0.96</v>
      </c>
      <c r="AG134" s="15">
        <f t="shared" si="352"/>
        <v>-0.65</v>
      </c>
      <c r="AH134" s="15">
        <f t="shared" si="362"/>
        <v>-1.44</v>
      </c>
      <c r="AI134" s="15">
        <f t="shared" si="372"/>
        <v>-0.48</v>
      </c>
      <c r="AJ134" s="15">
        <f t="shared" si="382"/>
        <v>-1.1299999999999999</v>
      </c>
      <c r="AK134" s="15">
        <f t="shared" si="392"/>
        <v>-1.66</v>
      </c>
      <c r="AL134" s="15">
        <f t="shared" si="402"/>
        <v>-0.86</v>
      </c>
      <c r="AM134" s="15">
        <f t="shared" si="412"/>
        <v>-1.27</v>
      </c>
      <c r="AN134" s="15">
        <f t="shared" si="422"/>
        <v>-1.1599999999999999</v>
      </c>
      <c r="AO134" s="15">
        <f t="shared" si="432"/>
        <v>-1.01</v>
      </c>
      <c r="AP134" s="15">
        <v>3</v>
      </c>
      <c r="AQ134" s="15">
        <f t="shared" si="443"/>
        <v>5</v>
      </c>
      <c r="AR134" s="15">
        <f t="shared" ref="AR134:AR165" si="453">AP130</f>
        <v>3</v>
      </c>
      <c r="AS134" s="15">
        <f t="shared" si="353"/>
        <v>3</v>
      </c>
      <c r="AT134" s="15">
        <f t="shared" si="363"/>
        <v>3</v>
      </c>
      <c r="AU134" s="15">
        <f t="shared" si="373"/>
        <v>3</v>
      </c>
      <c r="AV134" s="15">
        <f t="shared" si="383"/>
        <v>3</v>
      </c>
      <c r="AW134" s="15">
        <f t="shared" si="393"/>
        <v>3</v>
      </c>
      <c r="AX134" s="15">
        <f t="shared" si="403"/>
        <v>3</v>
      </c>
      <c r="AY134" s="15">
        <f t="shared" si="413"/>
        <v>3</v>
      </c>
      <c r="AZ134" s="15">
        <f t="shared" si="423"/>
        <v>3</v>
      </c>
      <c r="BA134" s="15">
        <f t="shared" si="433"/>
        <v>3</v>
      </c>
      <c r="BB134" s="15">
        <v>20</v>
      </c>
      <c r="BC134" s="15">
        <f t="shared" si="444"/>
        <v>48</v>
      </c>
      <c r="BD134" s="15">
        <f t="shared" ref="BD134:BD165" si="454">BB130</f>
        <v>11</v>
      </c>
      <c r="BE134" s="15">
        <f t="shared" si="354"/>
        <v>20</v>
      </c>
      <c r="BF134" s="15">
        <f t="shared" si="364"/>
        <v>36</v>
      </c>
      <c r="BG134" s="15">
        <f t="shared" si="374"/>
        <v>9</v>
      </c>
      <c r="BH134" s="15">
        <f t="shared" si="384"/>
        <v>13</v>
      </c>
      <c r="BI134" s="15">
        <f t="shared" si="394"/>
        <v>20</v>
      </c>
      <c r="BJ134" s="15">
        <f t="shared" si="404"/>
        <v>10</v>
      </c>
      <c r="BK134" s="15">
        <f t="shared" si="414"/>
        <v>19</v>
      </c>
      <c r="BL134" s="15">
        <f t="shared" si="424"/>
        <v>18</v>
      </c>
      <c r="BM134" s="15">
        <f t="shared" si="434"/>
        <v>38</v>
      </c>
      <c r="BN134" s="15">
        <v>3</v>
      </c>
      <c r="BO134" s="15">
        <f t="shared" si="445"/>
        <v>5</v>
      </c>
      <c r="BP134" s="15">
        <f t="shared" ref="BP134:BP165" si="455">BN130</f>
        <v>3</v>
      </c>
      <c r="BQ134" s="15">
        <f t="shared" si="355"/>
        <v>3</v>
      </c>
      <c r="BR134" s="15">
        <f t="shared" si="365"/>
        <v>4</v>
      </c>
      <c r="BS134" s="15">
        <f t="shared" si="375"/>
        <v>3</v>
      </c>
      <c r="BT134" s="15">
        <f t="shared" si="385"/>
        <v>3</v>
      </c>
      <c r="BU134" s="15">
        <f t="shared" si="395"/>
        <v>3</v>
      </c>
      <c r="BV134" s="15">
        <f t="shared" si="405"/>
        <v>3</v>
      </c>
      <c r="BW134" s="15">
        <f t="shared" si="415"/>
        <v>3</v>
      </c>
      <c r="BX134" s="15">
        <f t="shared" si="425"/>
        <v>3</v>
      </c>
      <c r="BY134" s="15">
        <f t="shared" si="435"/>
        <v>4</v>
      </c>
      <c r="BZ134" s="15">
        <v>-0.67800000000000005</v>
      </c>
      <c r="CA134" s="15">
        <f t="shared" si="446"/>
        <v>-3.0420799999999999</v>
      </c>
      <c r="CB134" s="15">
        <f t="shared" ref="CB134:CB165" si="456">BZ130</f>
        <v>-4.1154500000000001</v>
      </c>
      <c r="CC134" s="15">
        <f t="shared" si="356"/>
        <v>-1.5315000000000001</v>
      </c>
      <c r="CD134" s="15">
        <f t="shared" si="366"/>
        <v>-1.8927799999999999</v>
      </c>
      <c r="CE134" s="15">
        <f t="shared" si="376"/>
        <v>-2.5222199999999999</v>
      </c>
      <c r="CF134" s="15">
        <f t="shared" si="386"/>
        <v>-4.0815400000000004</v>
      </c>
      <c r="CG134" s="15">
        <f t="shared" si="396"/>
        <v>-3.9460000000000002</v>
      </c>
      <c r="CH134" s="15">
        <f t="shared" si="406"/>
        <v>-4.0629999999999997</v>
      </c>
      <c r="CI134" s="15">
        <f t="shared" si="416"/>
        <v>-3.17211</v>
      </c>
      <c r="CJ134" s="15">
        <f t="shared" si="426"/>
        <v>-3.0555599999999998</v>
      </c>
      <c r="CK134" s="15">
        <f t="shared" si="436"/>
        <v>-1.2663199999999999</v>
      </c>
      <c r="CL134" s="15">
        <v>3</v>
      </c>
      <c r="CM134" s="15">
        <f t="shared" si="447"/>
        <v>3</v>
      </c>
      <c r="CN134" s="15">
        <f t="shared" ref="CN134:CN165" si="457">CL130</f>
        <v>3</v>
      </c>
      <c r="CO134" s="15">
        <f t="shared" si="357"/>
        <v>3</v>
      </c>
      <c r="CP134" s="15">
        <f t="shared" si="367"/>
        <v>3</v>
      </c>
      <c r="CQ134" s="15">
        <f t="shared" si="377"/>
        <v>3</v>
      </c>
      <c r="CR134" s="15">
        <f t="shared" si="387"/>
        <v>3</v>
      </c>
      <c r="CS134" s="15">
        <f t="shared" si="397"/>
        <v>3</v>
      </c>
      <c r="CT134" s="15">
        <f t="shared" si="407"/>
        <v>3</v>
      </c>
      <c r="CU134" s="15">
        <f t="shared" si="417"/>
        <v>3</v>
      </c>
      <c r="CV134" s="15">
        <f t="shared" si="427"/>
        <v>3</v>
      </c>
      <c r="CW134" s="15">
        <f t="shared" si="437"/>
        <v>3</v>
      </c>
      <c r="CX134" s="15">
        <v>-34.137300000000003</v>
      </c>
      <c r="CY134" s="15">
        <f t="shared" si="448"/>
        <v>-71.803200000000004</v>
      </c>
      <c r="CZ134" s="15">
        <f t="shared" ref="CZ134:CZ165" si="458">CX130</f>
        <v>-76.342600000000004</v>
      </c>
      <c r="DA134" s="15">
        <f t="shared" si="358"/>
        <v>-56.857300000000002</v>
      </c>
      <c r="DB134" s="15">
        <f t="shared" si="368"/>
        <v>-62.151400000000002</v>
      </c>
      <c r="DC134" s="15">
        <f t="shared" si="378"/>
        <v>-68.372900000000001</v>
      </c>
      <c r="DD134" s="15">
        <f t="shared" si="388"/>
        <v>-76.233400000000003</v>
      </c>
      <c r="DE134" s="15">
        <f t="shared" si="398"/>
        <v>-75.779399999999995</v>
      </c>
      <c r="DF134" s="15">
        <f t="shared" si="408"/>
        <v>-76.173000000000002</v>
      </c>
      <c r="DG134" s="15">
        <f t="shared" si="418"/>
        <v>-72.502600000000001</v>
      </c>
      <c r="DH134" s="15">
        <f t="shared" si="428"/>
        <v>-71.878100000000003</v>
      </c>
      <c r="DI134" s="15">
        <f t="shared" si="438"/>
        <v>-51.702100000000002</v>
      </c>
      <c r="DJ134" s="15" t="s">
        <v>22</v>
      </c>
      <c r="DK134" s="15" t="str">
        <f t="shared" si="449"/>
        <v>LL</v>
      </c>
      <c r="DL134" s="15" t="str">
        <f t="shared" ref="DL134:DL165" si="459">DJ130</f>
        <v>LL</v>
      </c>
      <c r="DM134" s="15" t="str">
        <f t="shared" si="359"/>
        <v>HL</v>
      </c>
      <c r="DN134" s="15" t="str">
        <f t="shared" si="369"/>
        <v>LL</v>
      </c>
      <c r="DO134" s="15" t="str">
        <f t="shared" si="379"/>
        <v>HL</v>
      </c>
      <c r="DP134" s="15" t="str">
        <f t="shared" si="389"/>
        <v>LL</v>
      </c>
      <c r="DQ134" s="15" t="str">
        <f t="shared" si="399"/>
        <v>LL</v>
      </c>
      <c r="DR134" s="15" t="str">
        <f t="shared" si="409"/>
        <v>LL</v>
      </c>
      <c r="DS134" s="15" t="str">
        <f t="shared" si="419"/>
        <v>LL</v>
      </c>
      <c r="DT134" s="15" t="str">
        <f t="shared" si="429"/>
        <v>LL</v>
      </c>
      <c r="DU134" s="15" t="str">
        <f t="shared" si="439"/>
        <v>HL</v>
      </c>
      <c r="DV134" s="15">
        <f>IFERROR((G134-$F134)/$F134*100,"")</f>
        <v>-0.71513732772732796</v>
      </c>
      <c r="DW134" s="15">
        <f>IFERROR((H134-$F134)/$F134*100,"")</f>
        <v>1.7304100106147962</v>
      </c>
      <c r="DX134" s="15">
        <f>IFERROR((I134-$F134)/$F134*100,"")</f>
        <v>2.4272384277876879</v>
      </c>
      <c r="DY134" s="15">
        <f>IFERROR((J134-$F134)/$F134*100,"")</f>
        <v>1.8400455107205222</v>
      </c>
      <c r="DZ134" s="15">
        <f>IFERROR((K134-$F134)/$F134*100,"")</f>
        <v>1.8917027940705278</v>
      </c>
      <c r="EA134" s="15">
        <f>IFERROR((L134-$F134)/$F134*100,"")</f>
        <v>1.5309736635040154</v>
      </c>
      <c r="EB134" s="15">
        <f>IFERROR((M134-$F134)/$F134*100,"")</f>
        <v>1.6645851179072018</v>
      </c>
      <c r="EC134" s="15">
        <f>IFERROR((N134-$F134)/$F134*100,"")</f>
        <v>2.0996397067958736</v>
      </c>
      <c r="ED134" s="15">
        <f>IFERROR((O134-$F134)/$F134*100,"")</f>
        <v>2.2914473411756524</v>
      </c>
      <c r="EE134" s="15">
        <f>IFERROR((P134-$F134)/$F134*100,"")</f>
        <v>2.3193466334490687</v>
      </c>
      <c r="EF134" s="15">
        <f>IFERROR((Q134-$F134)/$F134*100,"")</f>
        <v>2.9664794362599132</v>
      </c>
      <c r="EG134" s="15" t="str">
        <f>IF(DV134="","",IF(AND(ABS(DV134)&lt;=0.25,$E134="Bottom",DK134="LL"),"EQL",IF(AND(ABS(DV134)&lt;=0.25,$E134="Peak",DK134="HH"),"EQH","")))</f>
        <v/>
      </c>
      <c r="EH134" s="15" t="str">
        <f>IF(DW134="","",IF(AND(ABS(DW134)&lt;=0.25,$E134="Bottom",DL134="LL"),"EQL",IF(AND(ABS(DW134)&lt;=0.25,$E134="Peak",DL134="HH"),"EQH","")))</f>
        <v/>
      </c>
      <c r="EI134" s="15" t="str">
        <f>IF(DX134="","",IF(AND(ABS(DX134)&lt;=0.25,$E134="Bottom",DM134="LL"),"EQL",IF(AND(ABS(DX134)&lt;=0.25,$E134="Peak",DM134="HH"),"EQH","")))</f>
        <v/>
      </c>
      <c r="EJ134" s="15" t="str">
        <f>IF(DY134="","",IF(AND(ABS(DY134)&lt;=0.25,$E134="Bottom",DN134="LL"),"EQL",IF(AND(ABS(DY134)&lt;=0.25,$E134="Peak",DN134="HH"),"EQH","")))</f>
        <v/>
      </c>
      <c r="EK134" s="15" t="str">
        <f>IF(DZ134="","",IF(AND(ABS(DZ134)&lt;=0.25,$E134="Bottom",DO134="LL"),"EQL",IF(AND(ABS(DZ134)&lt;=0.25,$E134="Peak",DO134="HH"),"EQH","")))</f>
        <v/>
      </c>
      <c r="EL134" s="15" t="str">
        <f>IF(EA134="","",IF(AND(ABS(EA134)&lt;=0.25,$E134="Bottom",DP134="LL"),"EQL",IF(AND(ABS(EA134)&lt;=0.25,$E134="Peak",DP134="HH"),"EQH","")))</f>
        <v/>
      </c>
      <c r="EM134" s="15" t="str">
        <f>IF(EB134="","",IF(AND(ABS(EB134)&lt;=0.25,$E134="Bottom",DQ134="LL"),"EQL",IF(AND(ABS(EB134)&lt;=0.25,$E134="Peak",DQ134="HH"),"EQH","")))</f>
        <v/>
      </c>
      <c r="EN134" s="15" t="str">
        <f>IF(EC134="","",IF(AND(ABS(EC134)&lt;=0.25,$E134="Bottom",DR134="LL"),"EQL",IF(AND(ABS(EC134)&lt;=0.25,$E134="Peak",DR134="HH"),"EQH","")))</f>
        <v/>
      </c>
      <c r="EO134" s="15" t="str">
        <f>IF(ED134="","",IF(AND(ABS(ED134)&lt;=0.25,$E134="Bottom",DS134="LL"),"EQL",IF(AND(ABS(ED134)&lt;=0.25,$E134="Peak",DS134="HH"),"EQH","")))</f>
        <v/>
      </c>
      <c r="EP134" s="15" t="str">
        <f>IF(EE134="","",IF(AND(ABS(EE134)&lt;=0.25,$E134="Bottom",DT134="LL"),"EQL",IF(AND(ABS(EE134)&lt;=0.25,$E134="Peak",DT134="HH"),"EQH","")))</f>
        <v/>
      </c>
      <c r="EQ134" s="15" t="str">
        <f>IF(EF134="","",IF(AND(ABS(EF134)&lt;=0.25,$E134="Bottom",DU134="LL"),"EQL",IF(AND(ABS(EF134)&lt;=0.25,$E134="Peak",DU134="HH"),"EQH","")))</f>
        <v/>
      </c>
      <c r="ER134" s="15" t="str">
        <f>IF(OR(EG134="EQL",EG134="EQH"),F134,"")</f>
        <v/>
      </c>
      <c r="ES134" s="15" t="str">
        <f>IF(OR(EH134="EQL",EH134="EQH"),G134,"")</f>
        <v/>
      </c>
      <c r="ET134" s="15" t="str">
        <f>IF(OR(EI134="EQL",EI134="EQH"),H134,"")</f>
        <v/>
      </c>
      <c r="EU134" s="15" t="str">
        <f>IF(OR(EJ134="EQL",EJ134="EQH"),I134,"")</f>
        <v/>
      </c>
      <c r="EV134" s="15" t="str">
        <f>IF(OR(EK134="EQL",EK134="EQH"),J134,"")</f>
        <v/>
      </c>
      <c r="EW134" s="15" t="str">
        <f>IF(OR(EL134="EQL",EL134="EQH"),K134,"")</f>
        <v/>
      </c>
      <c r="EX134" s="15" t="str">
        <f>IF(OR(EM134="EQL",EM134="EQH"),L134,"")</f>
        <v/>
      </c>
      <c r="EY134" s="15" t="str">
        <f>IF(OR(EN134="EQL",EN134="EQH"),M134,"")</f>
        <v/>
      </c>
      <c r="EZ134" s="15" t="str">
        <f>IF(OR(EO134="EQL",EO134="EQH"),N134,"")</f>
        <v/>
      </c>
      <c r="FA134" s="15" t="str">
        <f>IF(OR(EP134="EQL",EP134="EQH"),O134,"")</f>
        <v/>
      </c>
      <c r="FB134" s="15" t="str">
        <f>IF(OR(EQ134="EQL",EQ134="EQH"),P134,"")</f>
        <v/>
      </c>
      <c r="FC134" s="15" t="str">
        <f>IF(AND(EG134="EQL",OR(AQ134=4,AQ134=5)),"IEQL",IF(AND(EG134="EQH",OR(AQ134=1,AQ134=2)),"IEQH",""))</f>
        <v/>
      </c>
      <c r="FD134" s="15" t="str">
        <f>IF(AND(EH134="EQL",OR(AR134=4,AR134=5)),"IEQL",IF(AND(EH134="EQH",OR(AR134=1,AR134=2)),"IEQH",""))</f>
        <v/>
      </c>
      <c r="FE134" s="15" t="str">
        <f>IF(AND(EI134="EQL",OR(AS134=4,AS134=5)),"IEQL",IF(AND(EI134="EQH",OR(AS134=1,AS134=2)),"IEQH",""))</f>
        <v/>
      </c>
      <c r="FF134" s="15" t="str">
        <f>IF(AND(EJ134="EQL",OR(AT134=4,AT134=5)),"IEQL",IF(AND(EJ134="EQH",OR(AT134=1,AT134=2)),"IEQH",""))</f>
        <v/>
      </c>
      <c r="FG134" s="15" t="str">
        <f>IF(AND(EK134="EQL",OR(AU134=4,AU134=5)),"IEQL",IF(AND(EK134="EQH",OR(AU134=1,AU134=2)),"IEQH",""))</f>
        <v/>
      </c>
      <c r="FH134" s="15" t="str">
        <f>IF(AND(EL134="EQL",OR(AV134=4,AV134=5)),"IEQL",IF(AND(EL134="EQH",OR(AV134=1,AV134=2)),"IEQH",""))</f>
        <v/>
      </c>
      <c r="FI134" s="15" t="str">
        <f>IF(AND(EM134="EQL",OR(AW134=4,AW134=5)),"IEQL",IF(AND(EM134="EQH",OR(AW134=1,AW134=2)),"IEQH",""))</f>
        <v/>
      </c>
      <c r="FJ134" s="15" t="str">
        <f>IF(AND(EN134="EQL",OR(AX134=4,AX134=5)),"IEQL",IF(AND(EN134="EQH",OR(AX134=1,AX134=2)),"IEQH",""))</f>
        <v/>
      </c>
      <c r="FK134" s="15" t="str">
        <f>IF(AND(EO134="EQL",OR(AY134=4,AY134=5)),"IEQL",IF(AND(EO134="EQH",OR(AY134=1,AY134=2)),"IEQH",""))</f>
        <v/>
      </c>
      <c r="FL134" s="15" t="str">
        <f>IF(AND(EP134="EQL",OR(AZ134=4,AZ134=5)),"IEQL",IF(AND(EP134="EQH",OR(AZ134=1,AZ134=2)),"IEQH",""))</f>
        <v/>
      </c>
      <c r="FM134" s="15" t="str">
        <f>IF(AND(EQ134="EQL",OR(BA134=4,BA134=5)),"IEQL",IF(AND(EQ134="EQH",OR(BA134=1,BA134=2)),"IEQH",""))</f>
        <v/>
      </c>
      <c r="FN134" s="15" t="str">
        <f>IF(OR(AND(DJ134="LL",AP134=5),AND(DJ134="HH",AP134=2)),F134,"")</f>
        <v/>
      </c>
      <c r="FO134" s="15" t="str">
        <f>IF(FN134&lt;&gt;"",F133,"")</f>
        <v/>
      </c>
    </row>
    <row r="135" spans="1:171" s="15" customFormat="1" x14ac:dyDescent="0.55000000000000004">
      <c r="A135" s="15">
        <v>1777420806</v>
      </c>
      <c r="B135" s="15" t="s">
        <v>16</v>
      </c>
      <c r="C135" s="15" t="s">
        <v>17</v>
      </c>
      <c r="D135" s="15">
        <v>4607.37</v>
      </c>
      <c r="E135" s="15" t="s">
        <v>20</v>
      </c>
      <c r="F135" s="15">
        <v>4610.1499999999996</v>
      </c>
      <c r="G135" s="15">
        <f t="shared" si="440"/>
        <v>4601.49</v>
      </c>
      <c r="H135" s="15">
        <f t="shared" si="450"/>
        <v>4701.1400000000003</v>
      </c>
      <c r="I135" s="15">
        <f t="shared" si="350"/>
        <v>4712.59</v>
      </c>
      <c r="J135" s="15">
        <f t="shared" si="360"/>
        <v>4729.92</v>
      </c>
      <c r="K135" s="15">
        <f t="shared" si="370"/>
        <v>4740.49</v>
      </c>
      <c r="L135" s="15">
        <f t="shared" si="380"/>
        <v>4697.42</v>
      </c>
      <c r="M135" s="15">
        <f t="shared" si="390"/>
        <v>4711.2299999999996</v>
      </c>
      <c r="N135" s="15">
        <f t="shared" si="400"/>
        <v>4743.22</v>
      </c>
      <c r="O135" s="15">
        <f t="shared" si="410"/>
        <v>4724.8900000000003</v>
      </c>
      <c r="P135" s="15">
        <f t="shared" si="420"/>
        <v>4753.33</v>
      </c>
      <c r="Q135" s="15">
        <f t="shared" si="430"/>
        <v>4749.34</v>
      </c>
      <c r="R135" s="15">
        <v>22.22</v>
      </c>
      <c r="S135" s="15">
        <f t="shared" si="441"/>
        <v>46.37</v>
      </c>
      <c r="T135" s="15">
        <f t="shared" si="451"/>
        <v>33.82</v>
      </c>
      <c r="U135" s="15">
        <f t="shared" si="351"/>
        <v>13.3</v>
      </c>
      <c r="V135" s="15">
        <f t="shared" si="361"/>
        <v>57.57</v>
      </c>
      <c r="W135" s="15">
        <f t="shared" si="371"/>
        <v>65.77</v>
      </c>
      <c r="X135" s="15">
        <f t="shared" si="381"/>
        <v>39.25</v>
      </c>
      <c r="Y135" s="15">
        <f t="shared" si="391"/>
        <v>46.93</v>
      </c>
      <c r="Z135" s="15">
        <f t="shared" si="401"/>
        <v>58.96</v>
      </c>
      <c r="AA135" s="15">
        <f t="shared" si="411"/>
        <v>31.83</v>
      </c>
      <c r="AB135" s="15">
        <f t="shared" si="421"/>
        <v>58.99</v>
      </c>
      <c r="AC135" s="15">
        <f t="shared" si="431"/>
        <v>25.31</v>
      </c>
      <c r="AD135" s="15">
        <v>0.48</v>
      </c>
      <c r="AE135" s="15">
        <f t="shared" si="442"/>
        <v>1.02</v>
      </c>
      <c r="AF135" s="15">
        <f t="shared" si="452"/>
        <v>0.72</v>
      </c>
      <c r="AG135" s="15">
        <f t="shared" si="352"/>
        <v>0.28000000000000003</v>
      </c>
      <c r="AH135" s="15">
        <f t="shared" si="362"/>
        <v>1.23</v>
      </c>
      <c r="AI135" s="15">
        <f t="shared" si="372"/>
        <v>1.41</v>
      </c>
      <c r="AJ135" s="15">
        <f t="shared" si="382"/>
        <v>0.84</v>
      </c>
      <c r="AK135" s="15">
        <f t="shared" si="392"/>
        <v>1.01</v>
      </c>
      <c r="AL135" s="15">
        <f t="shared" si="402"/>
        <v>1.26</v>
      </c>
      <c r="AM135" s="15">
        <f t="shared" si="412"/>
        <v>0.68</v>
      </c>
      <c r="AN135" s="15">
        <f t="shared" si="422"/>
        <v>1.26</v>
      </c>
      <c r="AO135" s="15">
        <f t="shared" si="432"/>
        <v>0.54</v>
      </c>
      <c r="AP135" s="15">
        <v>0</v>
      </c>
      <c r="AQ135" s="15">
        <f t="shared" si="443"/>
        <v>0</v>
      </c>
      <c r="AR135" s="15">
        <f t="shared" si="453"/>
        <v>0</v>
      </c>
      <c r="AS135" s="15">
        <f t="shared" si="353"/>
        <v>0</v>
      </c>
      <c r="AT135" s="15">
        <f t="shared" si="363"/>
        <v>0</v>
      </c>
      <c r="AU135" s="15">
        <f t="shared" si="373"/>
        <v>0</v>
      </c>
      <c r="AV135" s="15">
        <f t="shared" si="383"/>
        <v>0</v>
      </c>
      <c r="AW135" s="15">
        <f t="shared" si="393"/>
        <v>0</v>
      </c>
      <c r="AX135" s="15">
        <f t="shared" si="403"/>
        <v>0</v>
      </c>
      <c r="AY135" s="15">
        <f t="shared" si="413"/>
        <v>0</v>
      </c>
      <c r="AZ135" s="15">
        <f t="shared" si="423"/>
        <v>0</v>
      </c>
      <c r="BA135" s="15">
        <f t="shared" si="433"/>
        <v>0</v>
      </c>
      <c r="BB135" s="15">
        <v>2</v>
      </c>
      <c r="BC135" s="15">
        <f t="shared" si="444"/>
        <v>22</v>
      </c>
      <c r="BD135" s="15">
        <f t="shared" si="454"/>
        <v>32</v>
      </c>
      <c r="BE135" s="15">
        <f t="shared" si="354"/>
        <v>11</v>
      </c>
      <c r="BF135" s="15">
        <f t="shared" si="364"/>
        <v>18</v>
      </c>
      <c r="BG135" s="15">
        <f t="shared" si="374"/>
        <v>14</v>
      </c>
      <c r="BH135" s="15">
        <f t="shared" si="384"/>
        <v>15</v>
      </c>
      <c r="BI135" s="15">
        <f t="shared" si="394"/>
        <v>26</v>
      </c>
      <c r="BJ135" s="15">
        <f t="shared" si="404"/>
        <v>9</v>
      </c>
      <c r="BK135" s="15">
        <f t="shared" si="414"/>
        <v>10</v>
      </c>
      <c r="BL135" s="15">
        <f t="shared" si="424"/>
        <v>2</v>
      </c>
      <c r="BM135" s="15">
        <f t="shared" si="434"/>
        <v>9</v>
      </c>
      <c r="BN135" s="15">
        <v>0</v>
      </c>
      <c r="BO135" s="15">
        <f t="shared" si="445"/>
        <v>0</v>
      </c>
      <c r="BP135" s="15">
        <f t="shared" si="455"/>
        <v>0</v>
      </c>
      <c r="BQ135" s="15">
        <f t="shared" si="355"/>
        <v>0</v>
      </c>
      <c r="BR135" s="15">
        <f t="shared" si="365"/>
        <v>0</v>
      </c>
      <c r="BS135" s="15">
        <f t="shared" si="375"/>
        <v>0</v>
      </c>
      <c r="BT135" s="15">
        <f t="shared" si="385"/>
        <v>0</v>
      </c>
      <c r="BU135" s="15">
        <f t="shared" si="395"/>
        <v>0</v>
      </c>
      <c r="BV135" s="15">
        <f t="shared" si="405"/>
        <v>0</v>
      </c>
      <c r="BW135" s="15">
        <f t="shared" si="415"/>
        <v>0</v>
      </c>
      <c r="BX135" s="15">
        <f t="shared" si="425"/>
        <v>0</v>
      </c>
      <c r="BY135" s="15">
        <f t="shared" si="435"/>
        <v>0</v>
      </c>
      <c r="BZ135" s="15">
        <v>11.11</v>
      </c>
      <c r="CA135" s="15">
        <f t="shared" si="446"/>
        <v>2.1077300000000001</v>
      </c>
      <c r="CB135" s="15">
        <f t="shared" si="456"/>
        <v>1.05688</v>
      </c>
      <c r="CC135" s="15">
        <f t="shared" si="356"/>
        <v>1.20909</v>
      </c>
      <c r="CD135" s="15">
        <f t="shared" si="366"/>
        <v>3.1983299999999999</v>
      </c>
      <c r="CE135" s="15">
        <f t="shared" si="376"/>
        <v>4.6978600000000004</v>
      </c>
      <c r="CF135" s="15">
        <f t="shared" si="386"/>
        <v>2.6166700000000001</v>
      </c>
      <c r="CG135" s="15">
        <f t="shared" si="396"/>
        <v>1.8049999999999999</v>
      </c>
      <c r="CH135" s="15">
        <f t="shared" si="406"/>
        <v>6.5511100000000004</v>
      </c>
      <c r="CI135" s="15">
        <f t="shared" si="416"/>
        <v>3.1829999999999998</v>
      </c>
      <c r="CJ135" s="15">
        <f t="shared" si="426"/>
        <v>29.495000000000001</v>
      </c>
      <c r="CK135" s="15">
        <f t="shared" si="436"/>
        <v>2.8122199999999999</v>
      </c>
      <c r="CL135" s="15">
        <v>0</v>
      </c>
      <c r="CM135" s="15">
        <f t="shared" si="447"/>
        <v>0</v>
      </c>
      <c r="CN135" s="15">
        <f t="shared" si="457"/>
        <v>0</v>
      </c>
      <c r="CO135" s="15">
        <f t="shared" si="357"/>
        <v>0</v>
      </c>
      <c r="CP135" s="15">
        <f t="shared" si="367"/>
        <v>0</v>
      </c>
      <c r="CQ135" s="15">
        <f t="shared" si="377"/>
        <v>0</v>
      </c>
      <c r="CR135" s="15">
        <f t="shared" si="387"/>
        <v>0</v>
      </c>
      <c r="CS135" s="15">
        <f t="shared" si="397"/>
        <v>0</v>
      </c>
      <c r="CT135" s="15">
        <f t="shared" si="407"/>
        <v>0</v>
      </c>
      <c r="CU135" s="15">
        <f t="shared" si="417"/>
        <v>0</v>
      </c>
      <c r="CV135" s="15">
        <f t="shared" si="427"/>
        <v>2</v>
      </c>
      <c r="CW135" s="15">
        <f t="shared" si="437"/>
        <v>0</v>
      </c>
      <c r="CX135" s="15">
        <v>84.856700000000004</v>
      </c>
      <c r="CY135" s="15">
        <f t="shared" si="448"/>
        <v>64.618200000000002</v>
      </c>
      <c r="CZ135" s="15">
        <f t="shared" si="458"/>
        <v>46.5839</v>
      </c>
      <c r="DA135" s="15">
        <f t="shared" si="358"/>
        <v>50.4069</v>
      </c>
      <c r="DB135" s="15">
        <f t="shared" si="368"/>
        <v>72.637500000000003</v>
      </c>
      <c r="DC135" s="15">
        <f t="shared" si="378"/>
        <v>77.983199999999997</v>
      </c>
      <c r="DD135" s="15">
        <f t="shared" si="388"/>
        <v>69.084900000000005</v>
      </c>
      <c r="DE135" s="15">
        <f t="shared" si="398"/>
        <v>61.012799999999999</v>
      </c>
      <c r="DF135" s="15">
        <f t="shared" si="408"/>
        <v>81.320999999999998</v>
      </c>
      <c r="DG135" s="15">
        <f t="shared" si="418"/>
        <v>72.558899999999994</v>
      </c>
      <c r="DH135" s="15">
        <f t="shared" si="428"/>
        <v>88.058199999999999</v>
      </c>
      <c r="DI135" s="15">
        <f t="shared" si="438"/>
        <v>70.4251</v>
      </c>
      <c r="DJ135" s="15" t="s">
        <v>23</v>
      </c>
      <c r="DK135" s="15" t="str">
        <f t="shared" si="449"/>
        <v>LH</v>
      </c>
      <c r="DL135" s="15" t="str">
        <f t="shared" si="459"/>
        <v>LH</v>
      </c>
      <c r="DM135" s="15" t="str">
        <f t="shared" si="359"/>
        <v>LH</v>
      </c>
      <c r="DN135" s="15" t="str">
        <f t="shared" si="369"/>
        <v>LH</v>
      </c>
      <c r="DO135" s="15" t="str">
        <f t="shared" si="379"/>
        <v>HH</v>
      </c>
      <c r="DP135" s="15" t="str">
        <f t="shared" si="389"/>
        <v>LH</v>
      </c>
      <c r="DQ135" s="15" t="str">
        <f t="shared" si="399"/>
        <v>LH</v>
      </c>
      <c r="DR135" s="15" t="str">
        <f t="shared" si="409"/>
        <v>HH</v>
      </c>
      <c r="DS135" s="15" t="str">
        <f t="shared" si="419"/>
        <v>LH</v>
      </c>
      <c r="DT135" s="15" t="str">
        <f t="shared" si="429"/>
        <v>HH</v>
      </c>
      <c r="DU135" s="15" t="str">
        <f t="shared" si="439"/>
        <v>LH</v>
      </c>
      <c r="DV135" s="15">
        <f>IFERROR((G135-$F135)/$F135*100,"")</f>
        <v>-0.18784638243874613</v>
      </c>
      <c r="DW135" s="15">
        <f>IFERROR((H135-$F135)/$F135*100,"")</f>
        <v>1.9736884916976825</v>
      </c>
      <c r="DX135" s="15">
        <f>IFERROR((I135-$F135)/$F135*100,"")</f>
        <v>2.2220535123586114</v>
      </c>
      <c r="DY135" s="15">
        <f>IFERROR((J135-$F135)/$F135*100,"")</f>
        <v>2.5979631899179081</v>
      </c>
      <c r="DZ135" s="15">
        <f>IFERROR((K135-$F135)/$F135*100,"")</f>
        <v>2.82723989458044</v>
      </c>
      <c r="EA135" s="15">
        <f>IFERROR((L135-$F135)/$F135*100,"")</f>
        <v>1.8929969740680987</v>
      </c>
      <c r="EB135" s="15">
        <f>IFERROR((M135-$F135)/$F135*100,"")</f>
        <v>2.1925533876338066</v>
      </c>
      <c r="EC135" s="15">
        <f>IFERROR((N135-$F135)/$F135*100,"")</f>
        <v>2.8864570567118344</v>
      </c>
      <c r="ED135" s="15">
        <f>IFERROR((O135-$F135)/$F135*100,"")</f>
        <v>2.4888561109725433</v>
      </c>
      <c r="EE135" s="15">
        <f>IFERROR((P135-$F135)/$F135*100,"")</f>
        <v>3.1057557780115679</v>
      </c>
      <c r="EF135" s="15">
        <f>IFERROR((Q135-$F135)/$F135*100,"")</f>
        <v>3.0192076179733962</v>
      </c>
      <c r="EG135" s="15" t="str">
        <f>IF(DV135="","",IF(AND(ABS(DV135)&lt;=0.25,$E135="Bottom",DK135="LL"),"EQL",IF(AND(ABS(DV135)&lt;=0.25,$E135="Peak",DK135="HH"),"EQH","")))</f>
        <v/>
      </c>
      <c r="EH135" s="15" t="str">
        <f>IF(DW135="","",IF(AND(ABS(DW135)&lt;=0.25,$E135="Bottom",DL135="LL"),"EQL",IF(AND(ABS(DW135)&lt;=0.25,$E135="Peak",DL135="HH"),"EQH","")))</f>
        <v/>
      </c>
      <c r="EI135" s="15" t="str">
        <f>IF(DX135="","",IF(AND(ABS(DX135)&lt;=0.25,$E135="Bottom",DM135="LL"),"EQL",IF(AND(ABS(DX135)&lt;=0.25,$E135="Peak",DM135="HH"),"EQH","")))</f>
        <v/>
      </c>
      <c r="EJ135" s="15" t="str">
        <f>IF(DY135="","",IF(AND(ABS(DY135)&lt;=0.25,$E135="Bottom",DN135="LL"),"EQL",IF(AND(ABS(DY135)&lt;=0.25,$E135="Peak",DN135="HH"),"EQH","")))</f>
        <v/>
      </c>
      <c r="EK135" s="15" t="str">
        <f>IF(DZ135="","",IF(AND(ABS(DZ135)&lt;=0.25,$E135="Bottom",DO135="LL"),"EQL",IF(AND(ABS(DZ135)&lt;=0.25,$E135="Peak",DO135="HH"),"EQH","")))</f>
        <v/>
      </c>
      <c r="EL135" s="15" t="str">
        <f>IF(EA135="","",IF(AND(ABS(EA135)&lt;=0.25,$E135="Bottom",DP135="LL"),"EQL",IF(AND(ABS(EA135)&lt;=0.25,$E135="Peak",DP135="HH"),"EQH","")))</f>
        <v/>
      </c>
      <c r="EM135" s="15" t="str">
        <f>IF(EB135="","",IF(AND(ABS(EB135)&lt;=0.25,$E135="Bottom",DQ135="LL"),"EQL",IF(AND(ABS(EB135)&lt;=0.25,$E135="Peak",DQ135="HH"),"EQH","")))</f>
        <v/>
      </c>
      <c r="EN135" s="15" t="str">
        <f>IF(EC135="","",IF(AND(ABS(EC135)&lt;=0.25,$E135="Bottom",DR135="LL"),"EQL",IF(AND(ABS(EC135)&lt;=0.25,$E135="Peak",DR135="HH"),"EQH","")))</f>
        <v/>
      </c>
      <c r="EO135" s="15" t="str">
        <f>IF(ED135="","",IF(AND(ABS(ED135)&lt;=0.25,$E135="Bottom",DS135="LL"),"EQL",IF(AND(ABS(ED135)&lt;=0.25,$E135="Peak",DS135="HH"),"EQH","")))</f>
        <v/>
      </c>
      <c r="EP135" s="15" t="str">
        <f>IF(EE135="","",IF(AND(ABS(EE135)&lt;=0.25,$E135="Bottom",DT135="LL"),"EQL",IF(AND(ABS(EE135)&lt;=0.25,$E135="Peak",DT135="HH"),"EQH","")))</f>
        <v/>
      </c>
      <c r="EQ135" s="15" t="str">
        <f>IF(EF135="","",IF(AND(ABS(EF135)&lt;=0.25,$E135="Bottom",DU135="LL"),"EQL",IF(AND(ABS(EF135)&lt;=0.25,$E135="Peak",DU135="HH"),"EQH","")))</f>
        <v/>
      </c>
      <c r="ER135" s="15" t="str">
        <f>IF(OR(EG135="EQL",EG135="EQH"),F135,"")</f>
        <v/>
      </c>
      <c r="ES135" s="15" t="str">
        <f>IF(OR(EH135="EQL",EH135="EQH"),G135,"")</f>
        <v/>
      </c>
      <c r="ET135" s="15" t="str">
        <f>IF(OR(EI135="EQL",EI135="EQH"),H135,"")</f>
        <v/>
      </c>
      <c r="EU135" s="15" t="str">
        <f>IF(OR(EJ135="EQL",EJ135="EQH"),I135,"")</f>
        <v/>
      </c>
      <c r="EV135" s="15" t="str">
        <f>IF(OR(EK135="EQL",EK135="EQH"),J135,"")</f>
        <v/>
      </c>
      <c r="EW135" s="15" t="str">
        <f>IF(OR(EL135="EQL",EL135="EQH"),K135,"")</f>
        <v/>
      </c>
      <c r="EX135" s="15" t="str">
        <f>IF(OR(EM135="EQL",EM135="EQH"),L135,"")</f>
        <v/>
      </c>
      <c r="EY135" s="15" t="str">
        <f>IF(OR(EN135="EQL",EN135="EQH"),M135,"")</f>
        <v/>
      </c>
      <c r="EZ135" s="15" t="str">
        <f>IF(OR(EO135="EQL",EO135="EQH"),N135,"")</f>
        <v/>
      </c>
      <c r="FA135" s="15" t="str">
        <f>IF(OR(EP135="EQL",EP135="EQH"),O135,"")</f>
        <v/>
      </c>
      <c r="FB135" s="15" t="str">
        <f>IF(OR(EQ135="EQL",EQ135="EQH"),P135,"")</f>
        <v/>
      </c>
      <c r="FC135" s="15" t="str">
        <f>IF(AND(EG135="EQL",OR(AQ135=4,AQ135=5)),"IEQL",IF(AND(EG135="EQH",OR(AQ135=1,AQ135=2)),"IEQH",""))</f>
        <v/>
      </c>
      <c r="FD135" s="15" t="str">
        <f>IF(AND(EH135="EQL",OR(AR135=4,AR135=5)),"IEQL",IF(AND(EH135="EQH",OR(AR135=1,AR135=2)),"IEQH",""))</f>
        <v/>
      </c>
      <c r="FE135" s="15" t="str">
        <f>IF(AND(EI135="EQL",OR(AS135=4,AS135=5)),"IEQL",IF(AND(EI135="EQH",OR(AS135=1,AS135=2)),"IEQH",""))</f>
        <v/>
      </c>
      <c r="FF135" s="15" t="str">
        <f>IF(AND(EJ135="EQL",OR(AT135=4,AT135=5)),"IEQL",IF(AND(EJ135="EQH",OR(AT135=1,AT135=2)),"IEQH",""))</f>
        <v/>
      </c>
      <c r="FG135" s="15" t="str">
        <f>IF(AND(EK135="EQL",OR(AU135=4,AU135=5)),"IEQL",IF(AND(EK135="EQH",OR(AU135=1,AU135=2)),"IEQH",""))</f>
        <v/>
      </c>
      <c r="FH135" s="15" t="str">
        <f>IF(AND(EL135="EQL",OR(AV135=4,AV135=5)),"IEQL",IF(AND(EL135="EQH",OR(AV135=1,AV135=2)),"IEQH",""))</f>
        <v/>
      </c>
      <c r="FI135" s="15" t="str">
        <f>IF(AND(EM135="EQL",OR(AW135=4,AW135=5)),"IEQL",IF(AND(EM135="EQH",OR(AW135=1,AW135=2)),"IEQH",""))</f>
        <v/>
      </c>
      <c r="FJ135" s="15" t="str">
        <f>IF(AND(EN135="EQL",OR(AX135=4,AX135=5)),"IEQL",IF(AND(EN135="EQH",OR(AX135=1,AX135=2)),"IEQH",""))</f>
        <v/>
      </c>
      <c r="FK135" s="15" t="str">
        <f>IF(AND(EO135="EQL",OR(AY135=4,AY135=5)),"IEQL",IF(AND(EO135="EQH",OR(AY135=1,AY135=2)),"IEQH",""))</f>
        <v/>
      </c>
      <c r="FL135" s="15" t="str">
        <f>IF(AND(EP135="EQL",OR(AZ135=4,AZ135=5)),"IEQL",IF(AND(EP135="EQH",OR(AZ135=1,AZ135=2)),"IEQH",""))</f>
        <v/>
      </c>
      <c r="FM135" s="15" t="str">
        <f>IF(AND(EQ135="EQL",OR(BA135=4,BA135=5)),"IEQL",IF(AND(EQ135="EQH",OR(BA135=1,BA135=2)),"IEQH",""))</f>
        <v/>
      </c>
      <c r="FN135" s="15" t="str">
        <f>IF(OR(AND(DJ135="LL",AP135=5),AND(DJ135="HH",AP135=2)),F135,"")</f>
        <v/>
      </c>
      <c r="FO135" s="15" t="str">
        <f>IF(FN135&lt;&gt;"",F134,"")</f>
        <v/>
      </c>
    </row>
    <row r="136" spans="1:171" s="15" customFormat="1" x14ac:dyDescent="0.55000000000000004">
      <c r="A136" s="15">
        <v>1777424406</v>
      </c>
      <c r="B136" s="15" t="s">
        <v>16</v>
      </c>
      <c r="C136" s="15" t="s">
        <v>17</v>
      </c>
      <c r="D136" s="15">
        <v>4582.6499999999996</v>
      </c>
      <c r="E136" s="15" t="s">
        <v>18</v>
      </c>
      <c r="F136" s="15">
        <v>4575.84</v>
      </c>
      <c r="G136" s="15">
        <f t="shared" si="440"/>
        <v>4587.93</v>
      </c>
      <c r="H136" s="15">
        <f t="shared" si="450"/>
        <v>4555.12</v>
      </c>
      <c r="I136" s="15">
        <f t="shared" ref="I136:I167" si="460">F130</f>
        <v>4667.32</v>
      </c>
      <c r="J136" s="15">
        <f t="shared" si="360"/>
        <v>4699.29</v>
      </c>
      <c r="K136" s="15">
        <f t="shared" si="370"/>
        <v>4672.3500000000004</v>
      </c>
      <c r="L136" s="15">
        <f t="shared" si="380"/>
        <v>4674.72</v>
      </c>
      <c r="M136" s="15">
        <f t="shared" si="390"/>
        <v>4658.17</v>
      </c>
      <c r="N136" s="15">
        <f t="shared" si="400"/>
        <v>4664.3</v>
      </c>
      <c r="O136" s="15">
        <f t="shared" si="410"/>
        <v>4684.26</v>
      </c>
      <c r="P136" s="15">
        <f t="shared" si="420"/>
        <v>4693.0600000000004</v>
      </c>
      <c r="Q136" s="15">
        <f t="shared" si="430"/>
        <v>4694.34</v>
      </c>
      <c r="R136" s="15">
        <v>-34.31</v>
      </c>
      <c r="S136" s="15">
        <f t="shared" si="441"/>
        <v>-13.56</v>
      </c>
      <c r="T136" s="15">
        <f t="shared" si="451"/>
        <v>-146.02000000000001</v>
      </c>
      <c r="U136" s="15">
        <f t="shared" ref="U136:U167" si="461">R130</f>
        <v>-45.27</v>
      </c>
      <c r="V136" s="15">
        <f t="shared" si="361"/>
        <v>-30.63</v>
      </c>
      <c r="W136" s="15">
        <f t="shared" si="371"/>
        <v>-68.14</v>
      </c>
      <c r="X136" s="15">
        <f t="shared" si="381"/>
        <v>-22.7</v>
      </c>
      <c r="Y136" s="15">
        <f t="shared" si="391"/>
        <v>-53.06</v>
      </c>
      <c r="Z136" s="15">
        <f t="shared" si="401"/>
        <v>-78.92</v>
      </c>
      <c r="AA136" s="15">
        <f t="shared" si="411"/>
        <v>-40.630000000000003</v>
      </c>
      <c r="AB136" s="15">
        <f t="shared" si="421"/>
        <v>-60.27</v>
      </c>
      <c r="AC136" s="15">
        <f t="shared" si="431"/>
        <v>-55</v>
      </c>
      <c r="AD136" s="15">
        <v>-0.74</v>
      </c>
      <c r="AE136" s="15">
        <f t="shared" si="442"/>
        <v>-0.28999999999999998</v>
      </c>
      <c r="AF136" s="15">
        <f t="shared" si="452"/>
        <v>-3.11</v>
      </c>
      <c r="AG136" s="15">
        <f t="shared" ref="AG136:AG167" si="462">AD130</f>
        <v>-0.96</v>
      </c>
      <c r="AH136" s="15">
        <f t="shared" si="362"/>
        <v>-0.65</v>
      </c>
      <c r="AI136" s="15">
        <f t="shared" si="372"/>
        <v>-1.44</v>
      </c>
      <c r="AJ136" s="15">
        <f t="shared" si="382"/>
        <v>-0.48</v>
      </c>
      <c r="AK136" s="15">
        <f t="shared" si="392"/>
        <v>-1.1299999999999999</v>
      </c>
      <c r="AL136" s="15">
        <f t="shared" si="402"/>
        <v>-1.66</v>
      </c>
      <c r="AM136" s="15">
        <f t="shared" si="412"/>
        <v>-0.86</v>
      </c>
      <c r="AN136" s="15">
        <f t="shared" si="422"/>
        <v>-1.27</v>
      </c>
      <c r="AO136" s="15">
        <f t="shared" si="432"/>
        <v>-1.1599999999999999</v>
      </c>
      <c r="AP136" s="15">
        <v>3</v>
      </c>
      <c r="AQ136" s="15">
        <f t="shared" si="443"/>
        <v>3</v>
      </c>
      <c r="AR136" s="15">
        <f t="shared" si="453"/>
        <v>5</v>
      </c>
      <c r="AS136" s="15">
        <f t="shared" ref="AS136:AS167" si="463">AP130</f>
        <v>3</v>
      </c>
      <c r="AT136" s="15">
        <f t="shared" si="363"/>
        <v>3</v>
      </c>
      <c r="AU136" s="15">
        <f t="shared" si="373"/>
        <v>3</v>
      </c>
      <c r="AV136" s="15">
        <f t="shared" si="383"/>
        <v>3</v>
      </c>
      <c r="AW136" s="15">
        <f t="shared" si="393"/>
        <v>3</v>
      </c>
      <c r="AX136" s="15">
        <f t="shared" si="403"/>
        <v>3</v>
      </c>
      <c r="AY136" s="15">
        <f t="shared" si="413"/>
        <v>3</v>
      </c>
      <c r="AZ136" s="15">
        <f t="shared" si="423"/>
        <v>3</v>
      </c>
      <c r="BA136" s="15">
        <f t="shared" si="433"/>
        <v>3</v>
      </c>
      <c r="BB136" s="15">
        <v>4</v>
      </c>
      <c r="BC136" s="15">
        <f t="shared" si="444"/>
        <v>20</v>
      </c>
      <c r="BD136" s="15">
        <f t="shared" si="454"/>
        <v>48</v>
      </c>
      <c r="BE136" s="15">
        <f t="shared" ref="BE136:BE167" si="464">BB130</f>
        <v>11</v>
      </c>
      <c r="BF136" s="15">
        <f t="shared" si="364"/>
        <v>20</v>
      </c>
      <c r="BG136" s="15">
        <f t="shared" si="374"/>
        <v>36</v>
      </c>
      <c r="BH136" s="15">
        <f t="shared" si="384"/>
        <v>9</v>
      </c>
      <c r="BI136" s="15">
        <f t="shared" si="394"/>
        <v>13</v>
      </c>
      <c r="BJ136" s="15">
        <f t="shared" si="404"/>
        <v>20</v>
      </c>
      <c r="BK136" s="15">
        <f t="shared" si="414"/>
        <v>10</v>
      </c>
      <c r="BL136" s="15">
        <f t="shared" si="424"/>
        <v>19</v>
      </c>
      <c r="BM136" s="15">
        <f t="shared" si="434"/>
        <v>18</v>
      </c>
      <c r="BN136" s="15">
        <v>3</v>
      </c>
      <c r="BO136" s="15">
        <f t="shared" si="445"/>
        <v>3</v>
      </c>
      <c r="BP136" s="15">
        <f t="shared" si="455"/>
        <v>5</v>
      </c>
      <c r="BQ136" s="15">
        <f t="shared" ref="BQ136:BQ167" si="465">BN130</f>
        <v>3</v>
      </c>
      <c r="BR136" s="15">
        <f t="shared" si="365"/>
        <v>3</v>
      </c>
      <c r="BS136" s="15">
        <f t="shared" si="375"/>
        <v>4</v>
      </c>
      <c r="BT136" s="15">
        <f t="shared" si="385"/>
        <v>3</v>
      </c>
      <c r="BU136" s="15">
        <f t="shared" si="395"/>
        <v>3</v>
      </c>
      <c r="BV136" s="15">
        <f t="shared" si="405"/>
        <v>3</v>
      </c>
      <c r="BW136" s="15">
        <f t="shared" si="415"/>
        <v>3</v>
      </c>
      <c r="BX136" s="15">
        <f t="shared" si="425"/>
        <v>3</v>
      </c>
      <c r="BY136" s="15">
        <f t="shared" si="435"/>
        <v>3</v>
      </c>
      <c r="BZ136" s="15">
        <v>-8.5775000000000006</v>
      </c>
      <c r="CA136" s="15">
        <f t="shared" si="446"/>
        <v>-0.67800000000000005</v>
      </c>
      <c r="CB136" s="15">
        <f t="shared" si="456"/>
        <v>-3.0420799999999999</v>
      </c>
      <c r="CC136" s="15">
        <f t="shared" ref="CC136:CC167" si="466">BZ130</f>
        <v>-4.1154500000000001</v>
      </c>
      <c r="CD136" s="15">
        <f t="shared" si="366"/>
        <v>-1.5315000000000001</v>
      </c>
      <c r="CE136" s="15">
        <f t="shared" si="376"/>
        <v>-1.8927799999999999</v>
      </c>
      <c r="CF136" s="15">
        <f t="shared" si="386"/>
        <v>-2.5222199999999999</v>
      </c>
      <c r="CG136" s="15">
        <f t="shared" si="396"/>
        <v>-4.0815400000000004</v>
      </c>
      <c r="CH136" s="15">
        <f t="shared" si="406"/>
        <v>-3.9460000000000002</v>
      </c>
      <c r="CI136" s="15">
        <f t="shared" si="416"/>
        <v>-4.0629999999999997</v>
      </c>
      <c r="CJ136" s="15">
        <f t="shared" si="426"/>
        <v>-3.17211</v>
      </c>
      <c r="CK136" s="15">
        <f t="shared" si="436"/>
        <v>-3.0555599999999998</v>
      </c>
      <c r="CL136" s="15">
        <v>3</v>
      </c>
      <c r="CM136" s="15">
        <f t="shared" si="447"/>
        <v>3</v>
      </c>
      <c r="CN136" s="15">
        <f t="shared" si="457"/>
        <v>3</v>
      </c>
      <c r="CO136" s="15">
        <f t="shared" ref="CO136:CO167" si="467">CL130</f>
        <v>3</v>
      </c>
      <c r="CP136" s="15">
        <f t="shared" si="367"/>
        <v>3</v>
      </c>
      <c r="CQ136" s="15">
        <f t="shared" si="377"/>
        <v>3</v>
      </c>
      <c r="CR136" s="15">
        <f t="shared" si="387"/>
        <v>3</v>
      </c>
      <c r="CS136" s="15">
        <f t="shared" si="397"/>
        <v>3</v>
      </c>
      <c r="CT136" s="15">
        <f t="shared" si="407"/>
        <v>3</v>
      </c>
      <c r="CU136" s="15">
        <f t="shared" si="417"/>
        <v>3</v>
      </c>
      <c r="CV136" s="15">
        <f t="shared" si="427"/>
        <v>3</v>
      </c>
      <c r="CW136" s="15">
        <f t="shared" si="437"/>
        <v>3</v>
      </c>
      <c r="CX136" s="15">
        <v>-83.350200000000001</v>
      </c>
      <c r="CY136" s="15">
        <f t="shared" si="448"/>
        <v>-34.137300000000003</v>
      </c>
      <c r="CZ136" s="15">
        <f t="shared" si="458"/>
        <v>-71.803200000000004</v>
      </c>
      <c r="DA136" s="15">
        <f t="shared" ref="DA136:DA167" si="468">CX130</f>
        <v>-76.342600000000004</v>
      </c>
      <c r="DB136" s="15">
        <f t="shared" si="368"/>
        <v>-56.857300000000002</v>
      </c>
      <c r="DC136" s="15">
        <f t="shared" si="378"/>
        <v>-62.151400000000002</v>
      </c>
      <c r="DD136" s="15">
        <f t="shared" si="388"/>
        <v>-68.372900000000001</v>
      </c>
      <c r="DE136" s="15">
        <f t="shared" si="398"/>
        <v>-76.233400000000003</v>
      </c>
      <c r="DF136" s="15">
        <f t="shared" si="408"/>
        <v>-75.779399999999995</v>
      </c>
      <c r="DG136" s="15">
        <f t="shared" si="418"/>
        <v>-76.173000000000002</v>
      </c>
      <c r="DH136" s="15">
        <f t="shared" si="428"/>
        <v>-72.502600000000001</v>
      </c>
      <c r="DI136" s="15">
        <f t="shared" si="438"/>
        <v>-71.878100000000003</v>
      </c>
      <c r="DJ136" s="15" t="s">
        <v>19</v>
      </c>
      <c r="DK136" s="15" t="str">
        <f t="shared" si="449"/>
        <v>HL</v>
      </c>
      <c r="DL136" s="15" t="str">
        <f t="shared" si="459"/>
        <v>LL</v>
      </c>
      <c r="DM136" s="15" t="str">
        <f t="shared" ref="DM136:DM167" si="469">DJ130</f>
        <v>LL</v>
      </c>
      <c r="DN136" s="15" t="str">
        <f t="shared" si="369"/>
        <v>HL</v>
      </c>
      <c r="DO136" s="15" t="str">
        <f t="shared" si="379"/>
        <v>LL</v>
      </c>
      <c r="DP136" s="15" t="str">
        <f t="shared" si="389"/>
        <v>HL</v>
      </c>
      <c r="DQ136" s="15" t="str">
        <f t="shared" si="399"/>
        <v>LL</v>
      </c>
      <c r="DR136" s="15" t="str">
        <f t="shared" si="409"/>
        <v>LL</v>
      </c>
      <c r="DS136" s="15" t="str">
        <f t="shared" si="419"/>
        <v>LL</v>
      </c>
      <c r="DT136" s="15" t="str">
        <f t="shared" si="429"/>
        <v>LL</v>
      </c>
      <c r="DU136" s="15" t="str">
        <f t="shared" si="439"/>
        <v>LL</v>
      </c>
      <c r="DV136" s="15">
        <f>IFERROR((G136-$F136)/$F136*100,"")</f>
        <v>0.26421378369873388</v>
      </c>
      <c r="DW136" s="15">
        <f>IFERROR((H136-$F136)/$F136*100,"")</f>
        <v>-0.45281303542082441</v>
      </c>
      <c r="DX136" s="15">
        <f>IFERROR((I136-$F136)/$F136*100,"")</f>
        <v>1.9991957760760768</v>
      </c>
      <c r="DY136" s="15">
        <f>IFERROR((J136-$F136)/$F136*100,"")</f>
        <v>2.6978653099758692</v>
      </c>
      <c r="DZ136" s="15">
        <f>IFERROR((K136-$F136)/$F136*100,"")</f>
        <v>2.1091209482849096</v>
      </c>
      <c r="EA136" s="15">
        <f>IFERROR((L136-$F136)/$F136*100,"")</f>
        <v>2.16091471729781</v>
      </c>
      <c r="EB136" s="15">
        <f>IFERROR((M136-$F136)/$F136*100,"")</f>
        <v>1.7992324906465245</v>
      </c>
      <c r="EC136" s="15">
        <f>IFERROR((N136-$F136)/$F136*100,"")</f>
        <v>1.9331969649288443</v>
      </c>
      <c r="ED136" s="15">
        <f>IFERROR((O136-$F136)/$F136*100,"")</f>
        <v>2.369401028007974</v>
      </c>
      <c r="EE136" s="15">
        <f>IFERROR((P136-$F136)/$F136*100,"")</f>
        <v>2.5617154445959702</v>
      </c>
      <c r="EF136" s="15">
        <f>IFERROR((Q136-$F136)/$F136*100,"")</f>
        <v>2.5896884506451276</v>
      </c>
      <c r="EG136" s="15" t="str">
        <f>IF(DV136="","",IF(AND(ABS(DV136)&lt;=0.25,$E136="Bottom",DK136="LL"),"EQL",IF(AND(ABS(DV136)&lt;=0.25,$E136="Peak",DK136="HH"),"EQH","")))</f>
        <v/>
      </c>
      <c r="EH136" s="15" t="str">
        <f>IF(DW136="","",IF(AND(ABS(DW136)&lt;=0.25,$E136="Bottom",DL136="LL"),"EQL",IF(AND(ABS(DW136)&lt;=0.25,$E136="Peak",DL136="HH"),"EQH","")))</f>
        <v/>
      </c>
      <c r="EI136" s="15" t="str">
        <f>IF(DX136="","",IF(AND(ABS(DX136)&lt;=0.25,$E136="Bottom",DM136="LL"),"EQL",IF(AND(ABS(DX136)&lt;=0.25,$E136="Peak",DM136="HH"),"EQH","")))</f>
        <v/>
      </c>
      <c r="EJ136" s="15" t="str">
        <f>IF(DY136="","",IF(AND(ABS(DY136)&lt;=0.25,$E136="Bottom",DN136="LL"),"EQL",IF(AND(ABS(DY136)&lt;=0.25,$E136="Peak",DN136="HH"),"EQH","")))</f>
        <v/>
      </c>
      <c r="EK136" s="15" t="str">
        <f>IF(DZ136="","",IF(AND(ABS(DZ136)&lt;=0.25,$E136="Bottom",DO136="LL"),"EQL",IF(AND(ABS(DZ136)&lt;=0.25,$E136="Peak",DO136="HH"),"EQH","")))</f>
        <v/>
      </c>
      <c r="EL136" s="15" t="str">
        <f>IF(EA136="","",IF(AND(ABS(EA136)&lt;=0.25,$E136="Bottom",DP136="LL"),"EQL",IF(AND(ABS(EA136)&lt;=0.25,$E136="Peak",DP136="HH"),"EQH","")))</f>
        <v/>
      </c>
      <c r="EM136" s="15" t="str">
        <f>IF(EB136="","",IF(AND(ABS(EB136)&lt;=0.25,$E136="Bottom",DQ136="LL"),"EQL",IF(AND(ABS(EB136)&lt;=0.25,$E136="Peak",DQ136="HH"),"EQH","")))</f>
        <v/>
      </c>
      <c r="EN136" s="15" t="str">
        <f>IF(EC136="","",IF(AND(ABS(EC136)&lt;=0.25,$E136="Bottom",DR136="LL"),"EQL",IF(AND(ABS(EC136)&lt;=0.25,$E136="Peak",DR136="HH"),"EQH","")))</f>
        <v/>
      </c>
      <c r="EO136" s="15" t="str">
        <f>IF(ED136="","",IF(AND(ABS(ED136)&lt;=0.25,$E136="Bottom",DS136="LL"),"EQL",IF(AND(ABS(ED136)&lt;=0.25,$E136="Peak",DS136="HH"),"EQH","")))</f>
        <v/>
      </c>
      <c r="EP136" s="15" t="str">
        <f>IF(EE136="","",IF(AND(ABS(EE136)&lt;=0.25,$E136="Bottom",DT136="LL"),"EQL",IF(AND(ABS(EE136)&lt;=0.25,$E136="Peak",DT136="HH"),"EQH","")))</f>
        <v/>
      </c>
      <c r="EQ136" s="15" t="str">
        <f>IF(EF136="","",IF(AND(ABS(EF136)&lt;=0.25,$E136="Bottom",DU136="LL"),"EQL",IF(AND(ABS(EF136)&lt;=0.25,$E136="Peak",DU136="HH"),"EQH","")))</f>
        <v/>
      </c>
      <c r="ER136" s="15" t="str">
        <f>IF(OR(EG136="EQL",EG136="EQH"),F136,"")</f>
        <v/>
      </c>
      <c r="ES136" s="15" t="str">
        <f>IF(OR(EH136="EQL",EH136="EQH"),G136,"")</f>
        <v/>
      </c>
      <c r="ET136" s="15" t="str">
        <f>IF(OR(EI136="EQL",EI136="EQH"),H136,"")</f>
        <v/>
      </c>
      <c r="EU136" s="15" t="str">
        <f>IF(OR(EJ136="EQL",EJ136="EQH"),I136,"")</f>
        <v/>
      </c>
      <c r="EV136" s="15" t="str">
        <f>IF(OR(EK136="EQL",EK136="EQH"),J136,"")</f>
        <v/>
      </c>
      <c r="EW136" s="15" t="str">
        <f>IF(OR(EL136="EQL",EL136="EQH"),K136,"")</f>
        <v/>
      </c>
      <c r="EX136" s="15" t="str">
        <f>IF(OR(EM136="EQL",EM136="EQH"),L136,"")</f>
        <v/>
      </c>
      <c r="EY136" s="15" t="str">
        <f>IF(OR(EN136="EQL",EN136="EQH"),M136,"")</f>
        <v/>
      </c>
      <c r="EZ136" s="15" t="str">
        <f>IF(OR(EO136="EQL",EO136="EQH"),N136,"")</f>
        <v/>
      </c>
      <c r="FA136" s="15" t="str">
        <f>IF(OR(EP136="EQL",EP136="EQH"),O136,"")</f>
        <v/>
      </c>
      <c r="FB136" s="15" t="str">
        <f>IF(OR(EQ136="EQL",EQ136="EQH"),P136,"")</f>
        <v/>
      </c>
      <c r="FC136" s="15" t="str">
        <f>IF(AND(EG136="EQL",OR(AQ136=4,AQ136=5)),"IEQL",IF(AND(EG136="EQH",OR(AQ136=1,AQ136=2)),"IEQH",""))</f>
        <v/>
      </c>
      <c r="FD136" s="15" t="str">
        <f>IF(AND(EH136="EQL",OR(AR136=4,AR136=5)),"IEQL",IF(AND(EH136="EQH",OR(AR136=1,AR136=2)),"IEQH",""))</f>
        <v/>
      </c>
      <c r="FE136" s="15" t="str">
        <f>IF(AND(EI136="EQL",OR(AS136=4,AS136=5)),"IEQL",IF(AND(EI136="EQH",OR(AS136=1,AS136=2)),"IEQH",""))</f>
        <v/>
      </c>
      <c r="FF136" s="15" t="str">
        <f>IF(AND(EJ136="EQL",OR(AT136=4,AT136=5)),"IEQL",IF(AND(EJ136="EQH",OR(AT136=1,AT136=2)),"IEQH",""))</f>
        <v/>
      </c>
      <c r="FG136" s="15" t="str">
        <f>IF(AND(EK136="EQL",OR(AU136=4,AU136=5)),"IEQL",IF(AND(EK136="EQH",OR(AU136=1,AU136=2)),"IEQH",""))</f>
        <v/>
      </c>
      <c r="FH136" s="15" t="str">
        <f>IF(AND(EL136="EQL",OR(AV136=4,AV136=5)),"IEQL",IF(AND(EL136="EQH",OR(AV136=1,AV136=2)),"IEQH",""))</f>
        <v/>
      </c>
      <c r="FI136" s="15" t="str">
        <f>IF(AND(EM136="EQL",OR(AW136=4,AW136=5)),"IEQL",IF(AND(EM136="EQH",OR(AW136=1,AW136=2)),"IEQH",""))</f>
        <v/>
      </c>
      <c r="FJ136" s="15" t="str">
        <f>IF(AND(EN136="EQL",OR(AX136=4,AX136=5)),"IEQL",IF(AND(EN136="EQH",OR(AX136=1,AX136=2)),"IEQH",""))</f>
        <v/>
      </c>
      <c r="FK136" s="15" t="str">
        <f>IF(AND(EO136="EQL",OR(AY136=4,AY136=5)),"IEQL",IF(AND(EO136="EQH",OR(AY136=1,AY136=2)),"IEQH",""))</f>
        <v/>
      </c>
      <c r="FL136" s="15" t="str">
        <f>IF(AND(EP136="EQL",OR(AZ136=4,AZ136=5)),"IEQL",IF(AND(EP136="EQH",OR(AZ136=1,AZ136=2)),"IEQH",""))</f>
        <v/>
      </c>
      <c r="FM136" s="15" t="str">
        <f>IF(AND(EQ136="EQL",OR(BA136=4,BA136=5)),"IEQL",IF(AND(EQ136="EQH",OR(BA136=1,BA136=2)),"IEQH",""))</f>
        <v/>
      </c>
      <c r="FN136" s="15" t="str">
        <f>IF(OR(AND(DJ136="LL",AP136=5),AND(DJ136="HH",AP136=2)),F136,"")</f>
        <v/>
      </c>
      <c r="FO136" s="15" t="str">
        <f>IF(FN136&lt;&gt;"",F135,"")</f>
        <v/>
      </c>
    </row>
    <row r="137" spans="1:171" s="15" customFormat="1" x14ac:dyDescent="0.55000000000000004">
      <c r="A137" s="15">
        <v>1777438806</v>
      </c>
      <c r="B137" s="15" t="s">
        <v>16</v>
      </c>
      <c r="C137" s="15" t="s">
        <v>17</v>
      </c>
      <c r="D137" s="15">
        <v>4601.1499999999996</v>
      </c>
      <c r="E137" s="15" t="s">
        <v>20</v>
      </c>
      <c r="F137" s="15">
        <v>4607.7700000000004</v>
      </c>
      <c r="G137" s="15">
        <f t="shared" si="440"/>
        <v>4610.1499999999996</v>
      </c>
      <c r="H137" s="15">
        <f t="shared" si="450"/>
        <v>4601.49</v>
      </c>
      <c r="I137" s="15">
        <f t="shared" si="460"/>
        <v>4701.1400000000003</v>
      </c>
      <c r="J137" s="15">
        <f t="shared" si="360"/>
        <v>4712.59</v>
      </c>
      <c r="K137" s="15">
        <f t="shared" si="370"/>
        <v>4729.92</v>
      </c>
      <c r="L137" s="15">
        <f t="shared" si="380"/>
        <v>4740.49</v>
      </c>
      <c r="M137" s="15">
        <f t="shared" si="390"/>
        <v>4697.42</v>
      </c>
      <c r="N137" s="15">
        <f t="shared" si="400"/>
        <v>4711.2299999999996</v>
      </c>
      <c r="O137" s="15">
        <f t="shared" si="410"/>
        <v>4743.22</v>
      </c>
      <c r="P137" s="15">
        <f t="shared" si="420"/>
        <v>4724.8900000000003</v>
      </c>
      <c r="Q137" s="15">
        <f t="shared" si="430"/>
        <v>4753.33</v>
      </c>
      <c r="R137" s="15">
        <v>31.93</v>
      </c>
      <c r="S137" s="15">
        <f t="shared" si="441"/>
        <v>22.22</v>
      </c>
      <c r="T137" s="15">
        <f t="shared" si="451"/>
        <v>46.37</v>
      </c>
      <c r="U137" s="15">
        <f t="shared" si="461"/>
        <v>33.82</v>
      </c>
      <c r="V137" s="15">
        <f t="shared" si="361"/>
        <v>13.3</v>
      </c>
      <c r="W137" s="15">
        <f t="shared" si="371"/>
        <v>57.57</v>
      </c>
      <c r="X137" s="15">
        <f t="shared" si="381"/>
        <v>65.77</v>
      </c>
      <c r="Y137" s="15">
        <f t="shared" si="391"/>
        <v>39.25</v>
      </c>
      <c r="Z137" s="15">
        <f t="shared" si="401"/>
        <v>46.93</v>
      </c>
      <c r="AA137" s="15">
        <f t="shared" si="411"/>
        <v>58.96</v>
      </c>
      <c r="AB137" s="15">
        <f t="shared" si="421"/>
        <v>31.83</v>
      </c>
      <c r="AC137" s="15">
        <f t="shared" si="431"/>
        <v>58.99</v>
      </c>
      <c r="AD137" s="15">
        <v>0.7</v>
      </c>
      <c r="AE137" s="15">
        <f t="shared" si="442"/>
        <v>0.48</v>
      </c>
      <c r="AF137" s="15">
        <f t="shared" si="452"/>
        <v>1.02</v>
      </c>
      <c r="AG137" s="15">
        <f t="shared" si="462"/>
        <v>0.72</v>
      </c>
      <c r="AH137" s="15">
        <f t="shared" si="362"/>
        <v>0.28000000000000003</v>
      </c>
      <c r="AI137" s="15">
        <f t="shared" si="372"/>
        <v>1.23</v>
      </c>
      <c r="AJ137" s="15">
        <f t="shared" si="382"/>
        <v>1.41</v>
      </c>
      <c r="AK137" s="15">
        <f t="shared" si="392"/>
        <v>0.84</v>
      </c>
      <c r="AL137" s="15">
        <f t="shared" si="402"/>
        <v>1.01</v>
      </c>
      <c r="AM137" s="15">
        <f t="shared" si="412"/>
        <v>1.26</v>
      </c>
      <c r="AN137" s="15">
        <f t="shared" si="422"/>
        <v>0.68</v>
      </c>
      <c r="AO137" s="15">
        <f t="shared" si="432"/>
        <v>1.26</v>
      </c>
      <c r="AP137" s="15">
        <v>0</v>
      </c>
      <c r="AQ137" s="15">
        <f t="shared" si="443"/>
        <v>0</v>
      </c>
      <c r="AR137" s="15">
        <f t="shared" si="453"/>
        <v>0</v>
      </c>
      <c r="AS137" s="15">
        <f t="shared" si="463"/>
        <v>0</v>
      </c>
      <c r="AT137" s="15">
        <f t="shared" si="363"/>
        <v>0</v>
      </c>
      <c r="AU137" s="15">
        <f t="shared" si="373"/>
        <v>0</v>
      </c>
      <c r="AV137" s="15">
        <f t="shared" si="383"/>
        <v>0</v>
      </c>
      <c r="AW137" s="15">
        <f t="shared" si="393"/>
        <v>0</v>
      </c>
      <c r="AX137" s="15">
        <f t="shared" si="403"/>
        <v>0</v>
      </c>
      <c r="AY137" s="15">
        <f t="shared" si="413"/>
        <v>0</v>
      </c>
      <c r="AZ137" s="15">
        <f t="shared" si="423"/>
        <v>0</v>
      </c>
      <c r="BA137" s="15">
        <f t="shared" si="433"/>
        <v>0</v>
      </c>
      <c r="BB137" s="15">
        <v>16</v>
      </c>
      <c r="BC137" s="15">
        <f t="shared" si="444"/>
        <v>2</v>
      </c>
      <c r="BD137" s="15">
        <f t="shared" si="454"/>
        <v>22</v>
      </c>
      <c r="BE137" s="15">
        <f t="shared" si="464"/>
        <v>32</v>
      </c>
      <c r="BF137" s="15">
        <f t="shared" si="364"/>
        <v>11</v>
      </c>
      <c r="BG137" s="15">
        <f t="shared" si="374"/>
        <v>18</v>
      </c>
      <c r="BH137" s="15">
        <f t="shared" si="384"/>
        <v>14</v>
      </c>
      <c r="BI137" s="15">
        <f t="shared" si="394"/>
        <v>15</v>
      </c>
      <c r="BJ137" s="15">
        <f t="shared" si="404"/>
        <v>26</v>
      </c>
      <c r="BK137" s="15">
        <f t="shared" si="414"/>
        <v>9</v>
      </c>
      <c r="BL137" s="15">
        <f t="shared" si="424"/>
        <v>10</v>
      </c>
      <c r="BM137" s="15">
        <f t="shared" si="434"/>
        <v>2</v>
      </c>
      <c r="BN137" s="15">
        <v>0</v>
      </c>
      <c r="BO137" s="15">
        <f t="shared" si="445"/>
        <v>0</v>
      </c>
      <c r="BP137" s="15">
        <f t="shared" si="455"/>
        <v>0</v>
      </c>
      <c r="BQ137" s="15">
        <f t="shared" si="465"/>
        <v>0</v>
      </c>
      <c r="BR137" s="15">
        <f t="shared" si="365"/>
        <v>0</v>
      </c>
      <c r="BS137" s="15">
        <f t="shared" si="375"/>
        <v>0</v>
      </c>
      <c r="BT137" s="15">
        <f t="shared" si="385"/>
        <v>0</v>
      </c>
      <c r="BU137" s="15">
        <f t="shared" si="395"/>
        <v>0</v>
      </c>
      <c r="BV137" s="15">
        <f t="shared" si="405"/>
        <v>0</v>
      </c>
      <c r="BW137" s="15">
        <f t="shared" si="415"/>
        <v>0</v>
      </c>
      <c r="BX137" s="15">
        <f t="shared" si="425"/>
        <v>0</v>
      </c>
      <c r="BY137" s="15">
        <f t="shared" si="435"/>
        <v>0</v>
      </c>
      <c r="BZ137" s="15">
        <v>1.99563</v>
      </c>
      <c r="CA137" s="15">
        <f t="shared" si="446"/>
        <v>11.11</v>
      </c>
      <c r="CB137" s="15">
        <f t="shared" si="456"/>
        <v>2.1077300000000001</v>
      </c>
      <c r="CC137" s="15">
        <f t="shared" si="466"/>
        <v>1.05688</v>
      </c>
      <c r="CD137" s="15">
        <f t="shared" si="366"/>
        <v>1.20909</v>
      </c>
      <c r="CE137" s="15">
        <f t="shared" si="376"/>
        <v>3.1983299999999999</v>
      </c>
      <c r="CF137" s="15">
        <f t="shared" si="386"/>
        <v>4.6978600000000004</v>
      </c>
      <c r="CG137" s="15">
        <f t="shared" si="396"/>
        <v>2.6166700000000001</v>
      </c>
      <c r="CH137" s="15">
        <f t="shared" si="406"/>
        <v>1.8049999999999999</v>
      </c>
      <c r="CI137" s="15">
        <f t="shared" si="416"/>
        <v>6.5511100000000004</v>
      </c>
      <c r="CJ137" s="15">
        <f t="shared" si="426"/>
        <v>3.1829999999999998</v>
      </c>
      <c r="CK137" s="15">
        <f t="shared" si="436"/>
        <v>29.495000000000001</v>
      </c>
      <c r="CL137" s="15">
        <v>0</v>
      </c>
      <c r="CM137" s="15">
        <f t="shared" si="447"/>
        <v>0</v>
      </c>
      <c r="CN137" s="15">
        <f t="shared" si="457"/>
        <v>0</v>
      </c>
      <c r="CO137" s="15">
        <f t="shared" si="467"/>
        <v>0</v>
      </c>
      <c r="CP137" s="15">
        <f t="shared" si="367"/>
        <v>0</v>
      </c>
      <c r="CQ137" s="15">
        <f t="shared" si="377"/>
        <v>0</v>
      </c>
      <c r="CR137" s="15">
        <f t="shared" si="387"/>
        <v>0</v>
      </c>
      <c r="CS137" s="15">
        <f t="shared" si="397"/>
        <v>0</v>
      </c>
      <c r="CT137" s="15">
        <f t="shared" si="407"/>
        <v>0</v>
      </c>
      <c r="CU137" s="15">
        <f t="shared" si="417"/>
        <v>0</v>
      </c>
      <c r="CV137" s="15">
        <f t="shared" si="427"/>
        <v>0</v>
      </c>
      <c r="CW137" s="15">
        <f t="shared" si="437"/>
        <v>2</v>
      </c>
      <c r="CX137" s="15">
        <v>63.384700000000002</v>
      </c>
      <c r="CY137" s="15">
        <f t="shared" si="448"/>
        <v>84.856700000000004</v>
      </c>
      <c r="CZ137" s="15">
        <f t="shared" si="458"/>
        <v>64.618200000000002</v>
      </c>
      <c r="DA137" s="15">
        <f t="shared" si="468"/>
        <v>46.5839</v>
      </c>
      <c r="DB137" s="15">
        <f t="shared" si="368"/>
        <v>50.4069</v>
      </c>
      <c r="DC137" s="15">
        <f t="shared" si="378"/>
        <v>72.637500000000003</v>
      </c>
      <c r="DD137" s="15">
        <f t="shared" si="388"/>
        <v>77.983199999999997</v>
      </c>
      <c r="DE137" s="15">
        <f t="shared" si="398"/>
        <v>69.084900000000005</v>
      </c>
      <c r="DF137" s="15">
        <f t="shared" si="408"/>
        <v>61.012799999999999</v>
      </c>
      <c r="DG137" s="15">
        <f t="shared" si="418"/>
        <v>81.320999999999998</v>
      </c>
      <c r="DH137" s="15">
        <f t="shared" si="428"/>
        <v>72.558899999999994</v>
      </c>
      <c r="DI137" s="15">
        <f t="shared" si="438"/>
        <v>88.058199999999999</v>
      </c>
      <c r="DJ137" s="15" t="s">
        <v>21</v>
      </c>
      <c r="DK137" s="15" t="str">
        <f t="shared" si="449"/>
        <v>HH</v>
      </c>
      <c r="DL137" s="15" t="str">
        <f t="shared" si="459"/>
        <v>LH</v>
      </c>
      <c r="DM137" s="15" t="str">
        <f t="shared" si="469"/>
        <v>LH</v>
      </c>
      <c r="DN137" s="15" t="str">
        <f t="shared" si="369"/>
        <v>LH</v>
      </c>
      <c r="DO137" s="15" t="str">
        <f t="shared" si="379"/>
        <v>LH</v>
      </c>
      <c r="DP137" s="15" t="str">
        <f t="shared" si="389"/>
        <v>HH</v>
      </c>
      <c r="DQ137" s="15" t="str">
        <f t="shared" si="399"/>
        <v>LH</v>
      </c>
      <c r="DR137" s="15" t="str">
        <f t="shared" si="409"/>
        <v>LH</v>
      </c>
      <c r="DS137" s="15" t="str">
        <f t="shared" si="419"/>
        <v>HH</v>
      </c>
      <c r="DT137" s="15" t="str">
        <f t="shared" si="429"/>
        <v>LH</v>
      </c>
      <c r="DU137" s="15" t="str">
        <f t="shared" si="439"/>
        <v>HH</v>
      </c>
      <c r="DV137" s="15">
        <f>IFERROR((G137-$F137)/$F137*100,"")</f>
        <v>5.1651883666051029E-2</v>
      </c>
      <c r="DW137" s="15">
        <f>IFERROR((H137-$F137)/$F137*100,"")</f>
        <v>-0.13629152496762326</v>
      </c>
      <c r="DX137" s="15">
        <f>IFERROR((I137-$F137)/$F137*100,"")</f>
        <v>2.0263598226473953</v>
      </c>
      <c r="DY137" s="15">
        <f>IFERROR((J137-$F137)/$F137*100,"")</f>
        <v>2.274853128519863</v>
      </c>
      <c r="DZ137" s="15">
        <f>IFERROR((K137-$F137)/$F137*100,"")</f>
        <v>2.6509569705085023</v>
      </c>
      <c r="EA137" s="15">
        <f>IFERROR((L137-$F137)/$F137*100,"")</f>
        <v>2.8803521009078001</v>
      </c>
      <c r="EB137" s="15">
        <f>IFERROR((M137-$F137)/$F137*100,"")</f>
        <v>1.945626626328997</v>
      </c>
      <c r="EC137" s="15">
        <f>IFERROR((N137-$F137)/$F137*100,"")</f>
        <v>2.2453377664249543</v>
      </c>
      <c r="ED137" s="15">
        <f>IFERROR((O137-$F137)/$F137*100,"")</f>
        <v>2.9395998498188884</v>
      </c>
      <c r="EE137" s="15">
        <f>IFERROR((P137-$F137)/$F137*100,"")</f>
        <v>2.541793535701649</v>
      </c>
      <c r="EF137" s="15">
        <f>IFERROR((Q137-$F137)/$F137*100,"")</f>
        <v>3.1590118430390293</v>
      </c>
      <c r="EG137" s="15" t="str">
        <f>IF(DV137="","",IF(AND(ABS(DV137)&lt;=0.25,$E137="Bottom",DK137="LL"),"EQL",IF(AND(ABS(DV137)&lt;=0.25,$E137="Peak",DK137="HH"),"EQH","")))</f>
        <v>EQH</v>
      </c>
      <c r="EH137" s="15" t="str">
        <f>IF(DW137="","",IF(AND(ABS(DW137)&lt;=0.25,$E137="Bottom",DL137="LL"),"EQL",IF(AND(ABS(DW137)&lt;=0.25,$E137="Peak",DL137="HH"),"EQH","")))</f>
        <v/>
      </c>
      <c r="EI137" s="15" t="str">
        <f>IF(DX137="","",IF(AND(ABS(DX137)&lt;=0.25,$E137="Bottom",DM137="LL"),"EQL",IF(AND(ABS(DX137)&lt;=0.25,$E137="Peak",DM137="HH"),"EQH","")))</f>
        <v/>
      </c>
      <c r="EJ137" s="15" t="str">
        <f>IF(DY137="","",IF(AND(ABS(DY137)&lt;=0.25,$E137="Bottom",DN137="LL"),"EQL",IF(AND(ABS(DY137)&lt;=0.25,$E137="Peak",DN137="HH"),"EQH","")))</f>
        <v/>
      </c>
      <c r="EK137" s="15" t="str">
        <f>IF(DZ137="","",IF(AND(ABS(DZ137)&lt;=0.25,$E137="Bottom",DO137="LL"),"EQL",IF(AND(ABS(DZ137)&lt;=0.25,$E137="Peak",DO137="HH"),"EQH","")))</f>
        <v/>
      </c>
      <c r="EL137" s="15" t="str">
        <f>IF(EA137="","",IF(AND(ABS(EA137)&lt;=0.25,$E137="Bottom",DP137="LL"),"EQL",IF(AND(ABS(EA137)&lt;=0.25,$E137="Peak",DP137="HH"),"EQH","")))</f>
        <v/>
      </c>
      <c r="EM137" s="15" t="str">
        <f>IF(EB137="","",IF(AND(ABS(EB137)&lt;=0.25,$E137="Bottom",DQ137="LL"),"EQL",IF(AND(ABS(EB137)&lt;=0.25,$E137="Peak",DQ137="HH"),"EQH","")))</f>
        <v/>
      </c>
      <c r="EN137" s="15" t="str">
        <f>IF(EC137="","",IF(AND(ABS(EC137)&lt;=0.25,$E137="Bottom",DR137="LL"),"EQL",IF(AND(ABS(EC137)&lt;=0.25,$E137="Peak",DR137="HH"),"EQH","")))</f>
        <v/>
      </c>
      <c r="EO137" s="15" t="str">
        <f>IF(ED137="","",IF(AND(ABS(ED137)&lt;=0.25,$E137="Bottom",DS137="LL"),"EQL",IF(AND(ABS(ED137)&lt;=0.25,$E137="Peak",DS137="HH"),"EQH","")))</f>
        <v/>
      </c>
      <c r="EP137" s="15" t="str">
        <f>IF(EE137="","",IF(AND(ABS(EE137)&lt;=0.25,$E137="Bottom",DT137="LL"),"EQL",IF(AND(ABS(EE137)&lt;=0.25,$E137="Peak",DT137="HH"),"EQH","")))</f>
        <v/>
      </c>
      <c r="EQ137" s="15" t="str">
        <f>IF(EF137="","",IF(AND(ABS(EF137)&lt;=0.25,$E137="Bottom",DU137="LL"),"EQL",IF(AND(ABS(EF137)&lt;=0.25,$E137="Peak",DU137="HH"),"EQH","")))</f>
        <v/>
      </c>
      <c r="ER137" s="15">
        <f>IF(OR(EG137="EQL",EG137="EQH"),F137,"")</f>
        <v>4607.7700000000004</v>
      </c>
      <c r="ES137" s="15" t="str">
        <f>IF(OR(EH137="EQL",EH137="EQH"),G137,"")</f>
        <v/>
      </c>
      <c r="ET137" s="15" t="str">
        <f>IF(OR(EI137="EQL",EI137="EQH"),H137,"")</f>
        <v/>
      </c>
      <c r="EU137" s="15" t="str">
        <f>IF(OR(EJ137="EQL",EJ137="EQH"),I137,"")</f>
        <v/>
      </c>
      <c r="EV137" s="15" t="str">
        <f>IF(OR(EK137="EQL",EK137="EQH"),J137,"")</f>
        <v/>
      </c>
      <c r="EW137" s="15" t="str">
        <f>IF(OR(EL137="EQL",EL137="EQH"),K137,"")</f>
        <v/>
      </c>
      <c r="EX137" s="15" t="str">
        <f>IF(OR(EM137="EQL",EM137="EQH"),L137,"")</f>
        <v/>
      </c>
      <c r="EY137" s="15" t="str">
        <f>IF(OR(EN137="EQL",EN137="EQH"),M137,"")</f>
        <v/>
      </c>
      <c r="EZ137" s="15" t="str">
        <f>IF(OR(EO137="EQL",EO137="EQH"),N137,"")</f>
        <v/>
      </c>
      <c r="FA137" s="15" t="str">
        <f>IF(OR(EP137="EQL",EP137="EQH"),O137,"")</f>
        <v/>
      </c>
      <c r="FB137" s="15" t="str">
        <f>IF(OR(EQ137="EQL",EQ137="EQH"),P137,"")</f>
        <v/>
      </c>
      <c r="FC137" s="15" t="str">
        <f>IF(AND(EG137="EQL",OR(AQ137=4,AQ137=5)),"IEQL",IF(AND(EG137="EQH",OR(AQ137=1,AQ137=2)),"IEQH",""))</f>
        <v/>
      </c>
      <c r="FD137" s="15" t="str">
        <f>IF(AND(EH137="EQL",OR(AR137=4,AR137=5)),"IEQL",IF(AND(EH137="EQH",OR(AR137=1,AR137=2)),"IEQH",""))</f>
        <v/>
      </c>
      <c r="FE137" s="15" t="str">
        <f>IF(AND(EI137="EQL",OR(AS137=4,AS137=5)),"IEQL",IF(AND(EI137="EQH",OR(AS137=1,AS137=2)),"IEQH",""))</f>
        <v/>
      </c>
      <c r="FF137" s="15" t="str">
        <f>IF(AND(EJ137="EQL",OR(AT137=4,AT137=5)),"IEQL",IF(AND(EJ137="EQH",OR(AT137=1,AT137=2)),"IEQH",""))</f>
        <v/>
      </c>
      <c r="FG137" s="15" t="str">
        <f>IF(AND(EK137="EQL",OR(AU137=4,AU137=5)),"IEQL",IF(AND(EK137="EQH",OR(AU137=1,AU137=2)),"IEQH",""))</f>
        <v/>
      </c>
      <c r="FH137" s="15" t="str">
        <f>IF(AND(EL137="EQL",OR(AV137=4,AV137=5)),"IEQL",IF(AND(EL137="EQH",OR(AV137=1,AV137=2)),"IEQH",""))</f>
        <v/>
      </c>
      <c r="FI137" s="15" t="str">
        <f>IF(AND(EM137="EQL",OR(AW137=4,AW137=5)),"IEQL",IF(AND(EM137="EQH",OR(AW137=1,AW137=2)),"IEQH",""))</f>
        <v/>
      </c>
      <c r="FJ137" s="15" t="str">
        <f>IF(AND(EN137="EQL",OR(AX137=4,AX137=5)),"IEQL",IF(AND(EN137="EQH",OR(AX137=1,AX137=2)),"IEQH",""))</f>
        <v/>
      </c>
      <c r="FK137" s="15" t="str">
        <f>IF(AND(EO137="EQL",OR(AY137=4,AY137=5)),"IEQL",IF(AND(EO137="EQH",OR(AY137=1,AY137=2)),"IEQH",""))</f>
        <v/>
      </c>
      <c r="FL137" s="15" t="str">
        <f>IF(AND(EP137="EQL",OR(AZ137=4,AZ137=5)),"IEQL",IF(AND(EP137="EQH",OR(AZ137=1,AZ137=2)),"IEQH",""))</f>
        <v/>
      </c>
      <c r="FM137" s="15" t="str">
        <f>IF(AND(EQ137="EQL",OR(BA137=4,BA137=5)),"IEQL",IF(AND(EQ137="EQH",OR(BA137=1,BA137=2)),"IEQH",""))</f>
        <v/>
      </c>
      <c r="FN137" s="15" t="str">
        <f>IF(OR(AND(DJ137="LL",AP137=5),AND(DJ137="HH",AP137=2)),F137,"")</f>
        <v/>
      </c>
      <c r="FO137" s="15" t="str">
        <f>IF(FN137&lt;&gt;"",F136,"")</f>
        <v/>
      </c>
    </row>
    <row r="138" spans="1:171" s="15" customFormat="1" x14ac:dyDescent="0.55000000000000004">
      <c r="A138" s="15">
        <v>1777470306</v>
      </c>
      <c r="B138" s="15" t="s">
        <v>16</v>
      </c>
      <c r="C138" s="15" t="s">
        <v>17</v>
      </c>
      <c r="D138" s="15">
        <v>4521.71</v>
      </c>
      <c r="E138" s="15" t="s">
        <v>18</v>
      </c>
      <c r="F138" s="15">
        <v>4510.28</v>
      </c>
      <c r="G138" s="15">
        <f t="shared" si="440"/>
        <v>4575.84</v>
      </c>
      <c r="H138" s="15">
        <f t="shared" si="450"/>
        <v>4587.93</v>
      </c>
      <c r="I138" s="15">
        <f t="shared" si="460"/>
        <v>4555.12</v>
      </c>
      <c r="J138" s="15">
        <f t="shared" ref="J138:J169" si="470">F130</f>
        <v>4667.32</v>
      </c>
      <c r="K138" s="15">
        <f t="shared" si="370"/>
        <v>4699.29</v>
      </c>
      <c r="L138" s="15">
        <f t="shared" si="380"/>
        <v>4672.3500000000004</v>
      </c>
      <c r="M138" s="15">
        <f t="shared" si="390"/>
        <v>4674.72</v>
      </c>
      <c r="N138" s="15">
        <f t="shared" si="400"/>
        <v>4658.17</v>
      </c>
      <c r="O138" s="15">
        <f t="shared" si="410"/>
        <v>4664.3</v>
      </c>
      <c r="P138" s="15">
        <f t="shared" si="420"/>
        <v>4684.26</v>
      </c>
      <c r="Q138" s="15">
        <f t="shared" si="430"/>
        <v>4693.0600000000004</v>
      </c>
      <c r="R138" s="15">
        <v>-97.49</v>
      </c>
      <c r="S138" s="15">
        <f t="shared" si="441"/>
        <v>-34.31</v>
      </c>
      <c r="T138" s="15">
        <f t="shared" si="451"/>
        <v>-13.56</v>
      </c>
      <c r="U138" s="15">
        <f t="shared" si="461"/>
        <v>-146.02000000000001</v>
      </c>
      <c r="V138" s="15">
        <f t="shared" ref="V138:V169" si="471">R130</f>
        <v>-45.27</v>
      </c>
      <c r="W138" s="15">
        <f t="shared" si="371"/>
        <v>-30.63</v>
      </c>
      <c r="X138" s="15">
        <f t="shared" si="381"/>
        <v>-68.14</v>
      </c>
      <c r="Y138" s="15">
        <f t="shared" si="391"/>
        <v>-22.7</v>
      </c>
      <c r="Z138" s="15">
        <f t="shared" si="401"/>
        <v>-53.06</v>
      </c>
      <c r="AA138" s="15">
        <f t="shared" si="411"/>
        <v>-78.92</v>
      </c>
      <c r="AB138" s="15">
        <f t="shared" si="421"/>
        <v>-40.630000000000003</v>
      </c>
      <c r="AC138" s="15">
        <f t="shared" si="431"/>
        <v>-60.27</v>
      </c>
      <c r="AD138" s="15">
        <v>-2.12</v>
      </c>
      <c r="AE138" s="15">
        <f t="shared" si="442"/>
        <v>-0.74</v>
      </c>
      <c r="AF138" s="15">
        <f t="shared" si="452"/>
        <v>-0.28999999999999998</v>
      </c>
      <c r="AG138" s="15">
        <f t="shared" si="462"/>
        <v>-3.11</v>
      </c>
      <c r="AH138" s="15">
        <f t="shared" ref="AH138:AH169" si="472">AD130</f>
        <v>-0.96</v>
      </c>
      <c r="AI138" s="15">
        <f t="shared" si="372"/>
        <v>-0.65</v>
      </c>
      <c r="AJ138" s="15">
        <f t="shared" si="382"/>
        <v>-1.44</v>
      </c>
      <c r="AK138" s="15">
        <f t="shared" si="392"/>
        <v>-0.48</v>
      </c>
      <c r="AL138" s="15">
        <f t="shared" si="402"/>
        <v>-1.1299999999999999</v>
      </c>
      <c r="AM138" s="15">
        <f t="shared" si="412"/>
        <v>-1.66</v>
      </c>
      <c r="AN138" s="15">
        <f t="shared" si="422"/>
        <v>-0.86</v>
      </c>
      <c r="AO138" s="15">
        <f t="shared" si="432"/>
        <v>-1.27</v>
      </c>
      <c r="AP138" s="15">
        <v>4</v>
      </c>
      <c r="AQ138" s="15">
        <f t="shared" si="443"/>
        <v>3</v>
      </c>
      <c r="AR138" s="15">
        <f t="shared" si="453"/>
        <v>3</v>
      </c>
      <c r="AS138" s="15">
        <f t="shared" si="463"/>
        <v>5</v>
      </c>
      <c r="AT138" s="15">
        <f t="shared" ref="AT138:AT169" si="473">AP130</f>
        <v>3</v>
      </c>
      <c r="AU138" s="15">
        <f t="shared" si="373"/>
        <v>3</v>
      </c>
      <c r="AV138" s="15">
        <f t="shared" si="383"/>
        <v>3</v>
      </c>
      <c r="AW138" s="15">
        <f t="shared" si="393"/>
        <v>3</v>
      </c>
      <c r="AX138" s="15">
        <f t="shared" si="403"/>
        <v>3</v>
      </c>
      <c r="AY138" s="15">
        <f t="shared" si="413"/>
        <v>3</v>
      </c>
      <c r="AZ138" s="15">
        <f t="shared" si="423"/>
        <v>3</v>
      </c>
      <c r="BA138" s="15">
        <f t="shared" si="433"/>
        <v>3</v>
      </c>
      <c r="BB138" s="15">
        <v>35</v>
      </c>
      <c r="BC138" s="15">
        <f t="shared" si="444"/>
        <v>4</v>
      </c>
      <c r="BD138" s="15">
        <f t="shared" si="454"/>
        <v>20</v>
      </c>
      <c r="BE138" s="15">
        <f t="shared" si="464"/>
        <v>48</v>
      </c>
      <c r="BF138" s="15">
        <f t="shared" ref="BF138:BF169" si="474">BB130</f>
        <v>11</v>
      </c>
      <c r="BG138" s="15">
        <f t="shared" si="374"/>
        <v>20</v>
      </c>
      <c r="BH138" s="15">
        <f t="shared" si="384"/>
        <v>36</v>
      </c>
      <c r="BI138" s="15">
        <f t="shared" si="394"/>
        <v>9</v>
      </c>
      <c r="BJ138" s="15">
        <f t="shared" si="404"/>
        <v>13</v>
      </c>
      <c r="BK138" s="15">
        <f t="shared" si="414"/>
        <v>20</v>
      </c>
      <c r="BL138" s="15">
        <f t="shared" si="424"/>
        <v>10</v>
      </c>
      <c r="BM138" s="15">
        <f t="shared" si="434"/>
        <v>19</v>
      </c>
      <c r="BN138" s="15">
        <v>3</v>
      </c>
      <c r="BO138" s="15">
        <f t="shared" si="445"/>
        <v>3</v>
      </c>
      <c r="BP138" s="15">
        <f t="shared" si="455"/>
        <v>3</v>
      </c>
      <c r="BQ138" s="15">
        <f t="shared" si="465"/>
        <v>5</v>
      </c>
      <c r="BR138" s="15">
        <f t="shared" ref="BR138:BR169" si="475">BN130</f>
        <v>3</v>
      </c>
      <c r="BS138" s="15">
        <f t="shared" si="375"/>
        <v>3</v>
      </c>
      <c r="BT138" s="15">
        <f t="shared" si="385"/>
        <v>4</v>
      </c>
      <c r="BU138" s="15">
        <f t="shared" si="395"/>
        <v>3</v>
      </c>
      <c r="BV138" s="15">
        <f t="shared" si="405"/>
        <v>3</v>
      </c>
      <c r="BW138" s="15">
        <f t="shared" si="415"/>
        <v>3</v>
      </c>
      <c r="BX138" s="15">
        <f t="shared" si="425"/>
        <v>3</v>
      </c>
      <c r="BY138" s="15">
        <f t="shared" si="435"/>
        <v>3</v>
      </c>
      <c r="BZ138" s="15">
        <v>-2.7854299999999999</v>
      </c>
      <c r="CA138" s="15">
        <f t="shared" si="446"/>
        <v>-8.5775000000000006</v>
      </c>
      <c r="CB138" s="15">
        <f t="shared" si="456"/>
        <v>-0.67800000000000005</v>
      </c>
      <c r="CC138" s="15">
        <f t="shared" si="466"/>
        <v>-3.0420799999999999</v>
      </c>
      <c r="CD138" s="15">
        <f t="shared" ref="CD138:CD169" si="476">BZ130</f>
        <v>-4.1154500000000001</v>
      </c>
      <c r="CE138" s="15">
        <f t="shared" si="376"/>
        <v>-1.5315000000000001</v>
      </c>
      <c r="CF138" s="15">
        <f t="shared" si="386"/>
        <v>-1.8927799999999999</v>
      </c>
      <c r="CG138" s="15">
        <f t="shared" si="396"/>
        <v>-2.5222199999999999</v>
      </c>
      <c r="CH138" s="15">
        <f t="shared" si="406"/>
        <v>-4.0815400000000004</v>
      </c>
      <c r="CI138" s="15">
        <f t="shared" si="416"/>
        <v>-3.9460000000000002</v>
      </c>
      <c r="CJ138" s="15">
        <f t="shared" si="426"/>
        <v>-4.0629999999999997</v>
      </c>
      <c r="CK138" s="15">
        <f t="shared" si="436"/>
        <v>-3.17211</v>
      </c>
      <c r="CL138" s="15">
        <v>3</v>
      </c>
      <c r="CM138" s="15">
        <f t="shared" si="447"/>
        <v>3</v>
      </c>
      <c r="CN138" s="15">
        <f t="shared" si="457"/>
        <v>3</v>
      </c>
      <c r="CO138" s="15">
        <f t="shared" si="467"/>
        <v>3</v>
      </c>
      <c r="CP138" s="15">
        <f t="shared" ref="CP138:CP169" si="477">CL130</f>
        <v>3</v>
      </c>
      <c r="CQ138" s="15">
        <f t="shared" si="377"/>
        <v>3</v>
      </c>
      <c r="CR138" s="15">
        <f t="shared" si="387"/>
        <v>3</v>
      </c>
      <c r="CS138" s="15">
        <f t="shared" si="397"/>
        <v>3</v>
      </c>
      <c r="CT138" s="15">
        <f t="shared" si="407"/>
        <v>3</v>
      </c>
      <c r="CU138" s="15">
        <f t="shared" si="417"/>
        <v>3</v>
      </c>
      <c r="CV138" s="15">
        <f t="shared" si="427"/>
        <v>3</v>
      </c>
      <c r="CW138" s="15">
        <f t="shared" si="437"/>
        <v>3</v>
      </c>
      <c r="CX138" s="15">
        <v>-70.251300000000001</v>
      </c>
      <c r="CY138" s="15">
        <f t="shared" si="448"/>
        <v>-83.350200000000001</v>
      </c>
      <c r="CZ138" s="15">
        <f t="shared" si="458"/>
        <v>-34.137300000000003</v>
      </c>
      <c r="DA138" s="15">
        <f t="shared" si="468"/>
        <v>-71.803200000000004</v>
      </c>
      <c r="DB138" s="15">
        <f t="shared" ref="DB138:DB169" si="478">CX130</f>
        <v>-76.342600000000004</v>
      </c>
      <c r="DC138" s="15">
        <f t="shared" si="378"/>
        <v>-56.857300000000002</v>
      </c>
      <c r="DD138" s="15">
        <f t="shared" si="388"/>
        <v>-62.151400000000002</v>
      </c>
      <c r="DE138" s="15">
        <f t="shared" si="398"/>
        <v>-68.372900000000001</v>
      </c>
      <c r="DF138" s="15">
        <f t="shared" si="408"/>
        <v>-76.233400000000003</v>
      </c>
      <c r="DG138" s="15">
        <f t="shared" si="418"/>
        <v>-75.779399999999995</v>
      </c>
      <c r="DH138" s="15">
        <f t="shared" si="428"/>
        <v>-76.173000000000002</v>
      </c>
      <c r="DI138" s="15">
        <f t="shared" si="438"/>
        <v>-72.502600000000001</v>
      </c>
      <c r="DJ138" s="15" t="s">
        <v>19</v>
      </c>
      <c r="DK138" s="15" t="str">
        <f t="shared" si="449"/>
        <v>LL</v>
      </c>
      <c r="DL138" s="15" t="str">
        <f t="shared" si="459"/>
        <v>HL</v>
      </c>
      <c r="DM138" s="15" t="str">
        <f t="shared" si="469"/>
        <v>LL</v>
      </c>
      <c r="DN138" s="15" t="str">
        <f t="shared" ref="DN138:DN169" si="479">DJ130</f>
        <v>LL</v>
      </c>
      <c r="DO138" s="15" t="str">
        <f t="shared" si="379"/>
        <v>HL</v>
      </c>
      <c r="DP138" s="15" t="str">
        <f t="shared" si="389"/>
        <v>LL</v>
      </c>
      <c r="DQ138" s="15" t="str">
        <f t="shared" si="399"/>
        <v>HL</v>
      </c>
      <c r="DR138" s="15" t="str">
        <f t="shared" si="409"/>
        <v>LL</v>
      </c>
      <c r="DS138" s="15" t="str">
        <f t="shared" si="419"/>
        <v>LL</v>
      </c>
      <c r="DT138" s="15" t="str">
        <f t="shared" si="429"/>
        <v>LL</v>
      </c>
      <c r="DU138" s="15" t="str">
        <f t="shared" si="439"/>
        <v>LL</v>
      </c>
      <c r="DV138" s="15">
        <f>IFERROR((G138-$F138)/$F138*100,"")</f>
        <v>1.453568292877613</v>
      </c>
      <c r="DW138" s="15">
        <f>IFERROR((H138-$F138)/$F138*100,"")</f>
        <v>1.7216226043616039</v>
      </c>
      <c r="DX138" s="15">
        <f>IFERROR((I138-$F138)/$F138*100,"")</f>
        <v>0.99417331074789472</v>
      </c>
      <c r="DY138" s="15">
        <f>IFERROR((J138-$F138)/$F138*100,"")</f>
        <v>3.4818237448672802</v>
      </c>
      <c r="DZ138" s="15">
        <f>IFERROR((K138-$F138)/$F138*100,"")</f>
        <v>4.190648917583836</v>
      </c>
      <c r="EA138" s="15">
        <f>IFERROR((L138-$F138)/$F138*100,"")</f>
        <v>3.593346754525232</v>
      </c>
      <c r="EB138" s="15">
        <f>IFERROR((M138-$F138)/$F138*100,"")</f>
        <v>3.6458933813421899</v>
      </c>
      <c r="EC138" s="15">
        <f>IFERROR((N138-$F138)/$F138*100,"")</f>
        <v>3.2789538565233278</v>
      </c>
      <c r="ED138" s="15">
        <f>IFERROR((O138-$F138)/$F138*100,"")</f>
        <v>3.4148655959275356</v>
      </c>
      <c r="EE138" s="15">
        <f>IFERROR((P138-$F138)/$F138*100,"")</f>
        <v>3.8574101829598271</v>
      </c>
      <c r="EF138" s="15">
        <f>IFERROR((Q138-$F138)/$F138*100,"")</f>
        <v>4.052520020929979</v>
      </c>
      <c r="EG138" s="15" t="str">
        <f>IF(DV138="","",IF(AND(ABS(DV138)&lt;=0.25,$E138="Bottom",DK138="LL"),"EQL",IF(AND(ABS(DV138)&lt;=0.25,$E138="Peak",DK138="HH"),"EQH","")))</f>
        <v/>
      </c>
      <c r="EH138" s="15" t="str">
        <f>IF(DW138="","",IF(AND(ABS(DW138)&lt;=0.25,$E138="Bottom",DL138="LL"),"EQL",IF(AND(ABS(DW138)&lt;=0.25,$E138="Peak",DL138="HH"),"EQH","")))</f>
        <v/>
      </c>
      <c r="EI138" s="15" t="str">
        <f>IF(DX138="","",IF(AND(ABS(DX138)&lt;=0.25,$E138="Bottom",DM138="LL"),"EQL",IF(AND(ABS(DX138)&lt;=0.25,$E138="Peak",DM138="HH"),"EQH","")))</f>
        <v/>
      </c>
      <c r="EJ138" s="15" t="str">
        <f>IF(DY138="","",IF(AND(ABS(DY138)&lt;=0.25,$E138="Bottom",DN138="LL"),"EQL",IF(AND(ABS(DY138)&lt;=0.25,$E138="Peak",DN138="HH"),"EQH","")))</f>
        <v/>
      </c>
      <c r="EK138" s="15" t="str">
        <f>IF(DZ138="","",IF(AND(ABS(DZ138)&lt;=0.25,$E138="Bottom",DO138="LL"),"EQL",IF(AND(ABS(DZ138)&lt;=0.25,$E138="Peak",DO138="HH"),"EQH","")))</f>
        <v/>
      </c>
      <c r="EL138" s="15" t="str">
        <f>IF(EA138="","",IF(AND(ABS(EA138)&lt;=0.25,$E138="Bottom",DP138="LL"),"EQL",IF(AND(ABS(EA138)&lt;=0.25,$E138="Peak",DP138="HH"),"EQH","")))</f>
        <v/>
      </c>
      <c r="EM138" s="15" t="str">
        <f>IF(EB138="","",IF(AND(ABS(EB138)&lt;=0.25,$E138="Bottom",DQ138="LL"),"EQL",IF(AND(ABS(EB138)&lt;=0.25,$E138="Peak",DQ138="HH"),"EQH","")))</f>
        <v/>
      </c>
      <c r="EN138" s="15" t="str">
        <f>IF(EC138="","",IF(AND(ABS(EC138)&lt;=0.25,$E138="Bottom",DR138="LL"),"EQL",IF(AND(ABS(EC138)&lt;=0.25,$E138="Peak",DR138="HH"),"EQH","")))</f>
        <v/>
      </c>
      <c r="EO138" s="15" t="str">
        <f>IF(ED138="","",IF(AND(ABS(ED138)&lt;=0.25,$E138="Bottom",DS138="LL"),"EQL",IF(AND(ABS(ED138)&lt;=0.25,$E138="Peak",DS138="HH"),"EQH","")))</f>
        <v/>
      </c>
      <c r="EP138" s="15" t="str">
        <f>IF(EE138="","",IF(AND(ABS(EE138)&lt;=0.25,$E138="Bottom",DT138="LL"),"EQL",IF(AND(ABS(EE138)&lt;=0.25,$E138="Peak",DT138="HH"),"EQH","")))</f>
        <v/>
      </c>
      <c r="EQ138" s="15" t="str">
        <f>IF(EF138="","",IF(AND(ABS(EF138)&lt;=0.25,$E138="Bottom",DU138="LL"),"EQL",IF(AND(ABS(EF138)&lt;=0.25,$E138="Peak",DU138="HH"),"EQH","")))</f>
        <v/>
      </c>
      <c r="ER138" s="15" t="str">
        <f>IF(OR(EG138="EQL",EG138="EQH"),F138,"")</f>
        <v/>
      </c>
      <c r="ES138" s="15" t="str">
        <f>IF(OR(EH138="EQL",EH138="EQH"),G138,"")</f>
        <v/>
      </c>
      <c r="ET138" s="15" t="str">
        <f>IF(OR(EI138="EQL",EI138="EQH"),H138,"")</f>
        <v/>
      </c>
      <c r="EU138" s="15" t="str">
        <f>IF(OR(EJ138="EQL",EJ138="EQH"),I138,"")</f>
        <v/>
      </c>
      <c r="EV138" s="15" t="str">
        <f>IF(OR(EK138="EQL",EK138="EQH"),J138,"")</f>
        <v/>
      </c>
      <c r="EW138" s="15" t="str">
        <f>IF(OR(EL138="EQL",EL138="EQH"),K138,"")</f>
        <v/>
      </c>
      <c r="EX138" s="15" t="str">
        <f>IF(OR(EM138="EQL",EM138="EQH"),L138,"")</f>
        <v/>
      </c>
      <c r="EY138" s="15" t="str">
        <f>IF(OR(EN138="EQL",EN138="EQH"),M138,"")</f>
        <v/>
      </c>
      <c r="EZ138" s="15" t="str">
        <f>IF(OR(EO138="EQL",EO138="EQH"),N138,"")</f>
        <v/>
      </c>
      <c r="FA138" s="15" t="str">
        <f>IF(OR(EP138="EQL",EP138="EQH"),O138,"")</f>
        <v/>
      </c>
      <c r="FB138" s="15" t="str">
        <f>IF(OR(EQ138="EQL",EQ138="EQH"),P138,"")</f>
        <v/>
      </c>
      <c r="FC138" s="15" t="str">
        <f>IF(AND(EG138="EQL",OR(AQ138=4,AQ138=5)),"IEQL",IF(AND(EG138="EQH",OR(AQ138=1,AQ138=2)),"IEQH",""))</f>
        <v/>
      </c>
      <c r="FD138" s="15" t="str">
        <f>IF(AND(EH138="EQL",OR(AR138=4,AR138=5)),"IEQL",IF(AND(EH138="EQH",OR(AR138=1,AR138=2)),"IEQH",""))</f>
        <v/>
      </c>
      <c r="FE138" s="15" t="str">
        <f>IF(AND(EI138="EQL",OR(AS138=4,AS138=5)),"IEQL",IF(AND(EI138="EQH",OR(AS138=1,AS138=2)),"IEQH",""))</f>
        <v/>
      </c>
      <c r="FF138" s="15" t="str">
        <f>IF(AND(EJ138="EQL",OR(AT138=4,AT138=5)),"IEQL",IF(AND(EJ138="EQH",OR(AT138=1,AT138=2)),"IEQH",""))</f>
        <v/>
      </c>
      <c r="FG138" s="15" t="str">
        <f>IF(AND(EK138="EQL",OR(AU138=4,AU138=5)),"IEQL",IF(AND(EK138="EQH",OR(AU138=1,AU138=2)),"IEQH",""))</f>
        <v/>
      </c>
      <c r="FH138" s="15" t="str">
        <f>IF(AND(EL138="EQL",OR(AV138=4,AV138=5)),"IEQL",IF(AND(EL138="EQH",OR(AV138=1,AV138=2)),"IEQH",""))</f>
        <v/>
      </c>
      <c r="FI138" s="15" t="str">
        <f>IF(AND(EM138="EQL",OR(AW138=4,AW138=5)),"IEQL",IF(AND(EM138="EQH",OR(AW138=1,AW138=2)),"IEQH",""))</f>
        <v/>
      </c>
      <c r="FJ138" s="15" t="str">
        <f>IF(AND(EN138="EQL",OR(AX138=4,AX138=5)),"IEQL",IF(AND(EN138="EQH",OR(AX138=1,AX138=2)),"IEQH",""))</f>
        <v/>
      </c>
      <c r="FK138" s="15" t="str">
        <f>IF(AND(EO138="EQL",OR(AY138=4,AY138=5)),"IEQL",IF(AND(EO138="EQH",OR(AY138=1,AY138=2)),"IEQH",""))</f>
        <v/>
      </c>
      <c r="FL138" s="15" t="str">
        <f>IF(AND(EP138="EQL",OR(AZ138=4,AZ138=5)),"IEQL",IF(AND(EP138="EQH",OR(AZ138=1,AZ138=2)),"IEQH",""))</f>
        <v/>
      </c>
      <c r="FM138" s="15" t="str">
        <f>IF(AND(EQ138="EQL",OR(BA138=4,BA138=5)),"IEQL",IF(AND(EQ138="EQH",OR(BA138=1,BA138=2)),"IEQH",""))</f>
        <v/>
      </c>
      <c r="FN138" s="15" t="str">
        <f>IF(OR(AND(DJ138="LL",AP138=5),AND(DJ138="HH",AP138=2)),F138,"")</f>
        <v/>
      </c>
      <c r="FO138" s="15" t="str">
        <f>IF(FN138&lt;&gt;"",F137,"")</f>
        <v/>
      </c>
    </row>
    <row r="139" spans="1:171" s="15" customFormat="1" x14ac:dyDescent="0.55000000000000004">
      <c r="A139" s="15">
        <v>1777478406</v>
      </c>
      <c r="B139" s="15" t="s">
        <v>16</v>
      </c>
      <c r="C139" s="15" t="s">
        <v>17</v>
      </c>
      <c r="D139" s="15">
        <v>4559.1000000000004</v>
      </c>
      <c r="E139" s="15" t="s">
        <v>20</v>
      </c>
      <c r="F139" s="15">
        <v>4564.75</v>
      </c>
      <c r="G139" s="15">
        <f t="shared" si="440"/>
        <v>4607.7700000000004</v>
      </c>
      <c r="H139" s="15">
        <f t="shared" si="450"/>
        <v>4610.1499999999996</v>
      </c>
      <c r="I139" s="15">
        <f t="shared" si="460"/>
        <v>4601.49</v>
      </c>
      <c r="J139" s="15">
        <f t="shared" si="470"/>
        <v>4701.1400000000003</v>
      </c>
      <c r="K139" s="15">
        <f t="shared" si="370"/>
        <v>4712.59</v>
      </c>
      <c r="L139" s="15">
        <f t="shared" si="380"/>
        <v>4729.92</v>
      </c>
      <c r="M139" s="15">
        <f t="shared" si="390"/>
        <v>4740.49</v>
      </c>
      <c r="N139" s="15">
        <f t="shared" si="400"/>
        <v>4697.42</v>
      </c>
      <c r="O139" s="15">
        <f t="shared" si="410"/>
        <v>4711.2299999999996</v>
      </c>
      <c r="P139" s="15">
        <f t="shared" si="420"/>
        <v>4743.22</v>
      </c>
      <c r="Q139" s="15">
        <f t="shared" si="430"/>
        <v>4724.8900000000003</v>
      </c>
      <c r="R139" s="15">
        <v>54.47</v>
      </c>
      <c r="S139" s="15">
        <f t="shared" si="441"/>
        <v>31.93</v>
      </c>
      <c r="T139" s="15">
        <f t="shared" si="451"/>
        <v>22.22</v>
      </c>
      <c r="U139" s="15">
        <f t="shared" si="461"/>
        <v>46.37</v>
      </c>
      <c r="V139" s="15">
        <f t="shared" si="471"/>
        <v>33.82</v>
      </c>
      <c r="W139" s="15">
        <f t="shared" si="371"/>
        <v>13.3</v>
      </c>
      <c r="X139" s="15">
        <f t="shared" si="381"/>
        <v>57.57</v>
      </c>
      <c r="Y139" s="15">
        <f t="shared" si="391"/>
        <v>65.77</v>
      </c>
      <c r="Z139" s="15">
        <f t="shared" si="401"/>
        <v>39.25</v>
      </c>
      <c r="AA139" s="15">
        <f t="shared" si="411"/>
        <v>46.93</v>
      </c>
      <c r="AB139" s="15">
        <f t="shared" si="421"/>
        <v>58.96</v>
      </c>
      <c r="AC139" s="15">
        <f t="shared" si="431"/>
        <v>31.83</v>
      </c>
      <c r="AD139" s="15">
        <v>1.21</v>
      </c>
      <c r="AE139" s="15">
        <f t="shared" si="442"/>
        <v>0.7</v>
      </c>
      <c r="AF139" s="15">
        <f t="shared" si="452"/>
        <v>0.48</v>
      </c>
      <c r="AG139" s="15">
        <f t="shared" si="462"/>
        <v>1.02</v>
      </c>
      <c r="AH139" s="15">
        <f t="shared" si="472"/>
        <v>0.72</v>
      </c>
      <c r="AI139" s="15">
        <f t="shared" si="372"/>
        <v>0.28000000000000003</v>
      </c>
      <c r="AJ139" s="15">
        <f t="shared" si="382"/>
        <v>1.23</v>
      </c>
      <c r="AK139" s="15">
        <f t="shared" si="392"/>
        <v>1.41</v>
      </c>
      <c r="AL139" s="15">
        <f t="shared" si="402"/>
        <v>0.84</v>
      </c>
      <c r="AM139" s="15">
        <f t="shared" si="412"/>
        <v>1.01</v>
      </c>
      <c r="AN139" s="15">
        <f t="shared" si="422"/>
        <v>1.26</v>
      </c>
      <c r="AO139" s="15">
        <f t="shared" si="432"/>
        <v>0.68</v>
      </c>
      <c r="AP139" s="15">
        <v>0</v>
      </c>
      <c r="AQ139" s="15">
        <f t="shared" si="443"/>
        <v>0</v>
      </c>
      <c r="AR139" s="15">
        <f t="shared" si="453"/>
        <v>0</v>
      </c>
      <c r="AS139" s="15">
        <f t="shared" si="463"/>
        <v>0</v>
      </c>
      <c r="AT139" s="15">
        <f t="shared" si="473"/>
        <v>0</v>
      </c>
      <c r="AU139" s="15">
        <f t="shared" si="373"/>
        <v>0</v>
      </c>
      <c r="AV139" s="15">
        <f t="shared" si="383"/>
        <v>0</v>
      </c>
      <c r="AW139" s="15">
        <f t="shared" si="393"/>
        <v>0</v>
      </c>
      <c r="AX139" s="15">
        <f t="shared" si="403"/>
        <v>0</v>
      </c>
      <c r="AY139" s="15">
        <f t="shared" si="413"/>
        <v>0</v>
      </c>
      <c r="AZ139" s="15">
        <f t="shared" si="423"/>
        <v>0</v>
      </c>
      <c r="BA139" s="15">
        <f t="shared" si="433"/>
        <v>0</v>
      </c>
      <c r="BB139" s="15">
        <v>9</v>
      </c>
      <c r="BC139" s="15">
        <f t="shared" si="444"/>
        <v>16</v>
      </c>
      <c r="BD139" s="15">
        <f t="shared" si="454"/>
        <v>2</v>
      </c>
      <c r="BE139" s="15">
        <f t="shared" si="464"/>
        <v>22</v>
      </c>
      <c r="BF139" s="15">
        <f t="shared" si="474"/>
        <v>32</v>
      </c>
      <c r="BG139" s="15">
        <f t="shared" si="374"/>
        <v>11</v>
      </c>
      <c r="BH139" s="15">
        <f t="shared" si="384"/>
        <v>18</v>
      </c>
      <c r="BI139" s="15">
        <f t="shared" si="394"/>
        <v>14</v>
      </c>
      <c r="BJ139" s="15">
        <f t="shared" si="404"/>
        <v>15</v>
      </c>
      <c r="BK139" s="15">
        <f t="shared" si="414"/>
        <v>26</v>
      </c>
      <c r="BL139" s="15">
        <f t="shared" si="424"/>
        <v>9</v>
      </c>
      <c r="BM139" s="15">
        <f t="shared" si="434"/>
        <v>10</v>
      </c>
      <c r="BN139" s="15">
        <v>0</v>
      </c>
      <c r="BO139" s="15">
        <f t="shared" si="445"/>
        <v>0</v>
      </c>
      <c r="BP139" s="15">
        <f t="shared" si="455"/>
        <v>0</v>
      </c>
      <c r="BQ139" s="15">
        <f t="shared" si="465"/>
        <v>0</v>
      </c>
      <c r="BR139" s="15">
        <f t="shared" si="475"/>
        <v>0</v>
      </c>
      <c r="BS139" s="15">
        <f t="shared" si="375"/>
        <v>0</v>
      </c>
      <c r="BT139" s="15">
        <f t="shared" si="385"/>
        <v>0</v>
      </c>
      <c r="BU139" s="15">
        <f t="shared" si="395"/>
        <v>0</v>
      </c>
      <c r="BV139" s="15">
        <f t="shared" si="405"/>
        <v>0</v>
      </c>
      <c r="BW139" s="15">
        <f t="shared" si="415"/>
        <v>0</v>
      </c>
      <c r="BX139" s="15">
        <f t="shared" si="425"/>
        <v>0</v>
      </c>
      <c r="BY139" s="15">
        <f t="shared" si="435"/>
        <v>0</v>
      </c>
      <c r="BZ139" s="15">
        <v>6.0522200000000002</v>
      </c>
      <c r="CA139" s="15">
        <f t="shared" si="446"/>
        <v>1.99563</v>
      </c>
      <c r="CB139" s="15">
        <f t="shared" si="456"/>
        <v>11.11</v>
      </c>
      <c r="CC139" s="15">
        <f t="shared" si="466"/>
        <v>2.1077300000000001</v>
      </c>
      <c r="CD139" s="15">
        <f t="shared" si="476"/>
        <v>1.05688</v>
      </c>
      <c r="CE139" s="15">
        <f t="shared" si="376"/>
        <v>1.20909</v>
      </c>
      <c r="CF139" s="15">
        <f t="shared" si="386"/>
        <v>3.1983299999999999</v>
      </c>
      <c r="CG139" s="15">
        <f t="shared" si="396"/>
        <v>4.6978600000000004</v>
      </c>
      <c r="CH139" s="15">
        <f t="shared" si="406"/>
        <v>2.6166700000000001</v>
      </c>
      <c r="CI139" s="15">
        <f t="shared" si="416"/>
        <v>1.8049999999999999</v>
      </c>
      <c r="CJ139" s="15">
        <f t="shared" si="426"/>
        <v>6.5511100000000004</v>
      </c>
      <c r="CK139" s="15">
        <f t="shared" si="436"/>
        <v>3.1829999999999998</v>
      </c>
      <c r="CL139" s="15">
        <v>0</v>
      </c>
      <c r="CM139" s="15">
        <f t="shared" si="447"/>
        <v>0</v>
      </c>
      <c r="CN139" s="15">
        <f t="shared" si="457"/>
        <v>0</v>
      </c>
      <c r="CO139" s="15">
        <f t="shared" si="467"/>
        <v>0</v>
      </c>
      <c r="CP139" s="15">
        <f t="shared" si="477"/>
        <v>0</v>
      </c>
      <c r="CQ139" s="15">
        <f t="shared" si="377"/>
        <v>0</v>
      </c>
      <c r="CR139" s="15">
        <f t="shared" si="387"/>
        <v>0</v>
      </c>
      <c r="CS139" s="15">
        <f t="shared" si="397"/>
        <v>0</v>
      </c>
      <c r="CT139" s="15">
        <f t="shared" si="407"/>
        <v>0</v>
      </c>
      <c r="CU139" s="15">
        <f t="shared" si="417"/>
        <v>0</v>
      </c>
      <c r="CV139" s="15">
        <f t="shared" si="427"/>
        <v>0</v>
      </c>
      <c r="CW139" s="15">
        <f t="shared" si="437"/>
        <v>0</v>
      </c>
      <c r="CX139" s="15">
        <v>80.617900000000006</v>
      </c>
      <c r="CY139" s="15">
        <f t="shared" si="448"/>
        <v>63.384700000000002</v>
      </c>
      <c r="CZ139" s="15">
        <f t="shared" si="458"/>
        <v>84.856700000000004</v>
      </c>
      <c r="DA139" s="15">
        <f t="shared" si="468"/>
        <v>64.618200000000002</v>
      </c>
      <c r="DB139" s="15">
        <f t="shared" si="478"/>
        <v>46.5839</v>
      </c>
      <c r="DC139" s="15">
        <f t="shared" si="378"/>
        <v>50.4069</v>
      </c>
      <c r="DD139" s="15">
        <f t="shared" si="388"/>
        <v>72.637500000000003</v>
      </c>
      <c r="DE139" s="15">
        <f t="shared" si="398"/>
        <v>77.983199999999997</v>
      </c>
      <c r="DF139" s="15">
        <f t="shared" si="408"/>
        <v>69.084900000000005</v>
      </c>
      <c r="DG139" s="15">
        <f t="shared" si="418"/>
        <v>61.012799999999999</v>
      </c>
      <c r="DH139" s="15">
        <f t="shared" si="428"/>
        <v>81.320999999999998</v>
      </c>
      <c r="DI139" s="15">
        <f t="shared" si="438"/>
        <v>72.558899999999994</v>
      </c>
      <c r="DJ139" s="15" t="s">
        <v>21</v>
      </c>
      <c r="DK139" s="15" t="str">
        <f t="shared" si="449"/>
        <v>LH</v>
      </c>
      <c r="DL139" s="15" t="str">
        <f t="shared" si="459"/>
        <v>HH</v>
      </c>
      <c r="DM139" s="15" t="str">
        <f t="shared" si="469"/>
        <v>LH</v>
      </c>
      <c r="DN139" s="15" t="str">
        <f t="shared" si="479"/>
        <v>LH</v>
      </c>
      <c r="DO139" s="15" t="str">
        <f t="shared" si="379"/>
        <v>LH</v>
      </c>
      <c r="DP139" s="15" t="str">
        <f t="shared" si="389"/>
        <v>LH</v>
      </c>
      <c r="DQ139" s="15" t="str">
        <f t="shared" si="399"/>
        <v>HH</v>
      </c>
      <c r="DR139" s="15" t="str">
        <f t="shared" si="409"/>
        <v>LH</v>
      </c>
      <c r="DS139" s="15" t="str">
        <f t="shared" si="419"/>
        <v>LH</v>
      </c>
      <c r="DT139" s="15" t="str">
        <f t="shared" si="429"/>
        <v>HH</v>
      </c>
      <c r="DU139" s="15" t="str">
        <f t="shared" si="439"/>
        <v>LH</v>
      </c>
      <c r="DV139" s="15">
        <f>IFERROR((G139-$F139)/$F139*100,"")</f>
        <v>0.94243934498056714</v>
      </c>
      <c r="DW139" s="15">
        <f>IFERROR((H139-$F139)/$F139*100,"")</f>
        <v>0.99457801632071052</v>
      </c>
      <c r="DX139" s="15">
        <f>IFERROR((I139-$F139)/$F139*100,"")</f>
        <v>0.80486335505777495</v>
      </c>
      <c r="DY139" s="15">
        <f>IFERROR((J139-$F139)/$F139*100,"")</f>
        <v>2.9878963798674696</v>
      </c>
      <c r="DZ139" s="15">
        <f>IFERROR((K139-$F139)/$F139*100,"")</f>
        <v>3.2387315844241225</v>
      </c>
      <c r="EA139" s="15">
        <f>IFERROR((L139-$F139)/$F139*100,"")</f>
        <v>3.6183799769976468</v>
      </c>
      <c r="EB139" s="15">
        <f>IFERROR((M139-$F139)/$F139*100,"")</f>
        <v>3.8499370173612961</v>
      </c>
      <c r="EC139" s="15">
        <f>IFERROR((N139-$F139)/$F139*100,"")</f>
        <v>2.9064023221425068</v>
      </c>
      <c r="ED139" s="15">
        <f>IFERROR((O139-$F139)/$F139*100,"")</f>
        <v>3.2089380579440179</v>
      </c>
      <c r="EE139" s="15">
        <f>IFERROR((P139-$F139)/$F139*100,"")</f>
        <v>3.9097431403691387</v>
      </c>
      <c r="EF139" s="15">
        <f>IFERROR((Q139-$F139)/$F139*100,"")</f>
        <v>3.5081877430308412</v>
      </c>
      <c r="EG139" s="15" t="str">
        <f>IF(DV139="","",IF(AND(ABS(DV139)&lt;=0.25,$E139="Bottom",DK139="LL"),"EQL",IF(AND(ABS(DV139)&lt;=0.25,$E139="Peak",DK139="HH"),"EQH","")))</f>
        <v/>
      </c>
      <c r="EH139" s="15" t="str">
        <f>IF(DW139="","",IF(AND(ABS(DW139)&lt;=0.25,$E139="Bottom",DL139="LL"),"EQL",IF(AND(ABS(DW139)&lt;=0.25,$E139="Peak",DL139="HH"),"EQH","")))</f>
        <v/>
      </c>
      <c r="EI139" s="15" t="str">
        <f>IF(DX139="","",IF(AND(ABS(DX139)&lt;=0.25,$E139="Bottom",DM139="LL"),"EQL",IF(AND(ABS(DX139)&lt;=0.25,$E139="Peak",DM139="HH"),"EQH","")))</f>
        <v/>
      </c>
      <c r="EJ139" s="15" t="str">
        <f>IF(DY139="","",IF(AND(ABS(DY139)&lt;=0.25,$E139="Bottom",DN139="LL"),"EQL",IF(AND(ABS(DY139)&lt;=0.25,$E139="Peak",DN139="HH"),"EQH","")))</f>
        <v/>
      </c>
      <c r="EK139" s="15" t="str">
        <f>IF(DZ139="","",IF(AND(ABS(DZ139)&lt;=0.25,$E139="Bottom",DO139="LL"),"EQL",IF(AND(ABS(DZ139)&lt;=0.25,$E139="Peak",DO139="HH"),"EQH","")))</f>
        <v/>
      </c>
      <c r="EL139" s="15" t="str">
        <f>IF(EA139="","",IF(AND(ABS(EA139)&lt;=0.25,$E139="Bottom",DP139="LL"),"EQL",IF(AND(ABS(EA139)&lt;=0.25,$E139="Peak",DP139="HH"),"EQH","")))</f>
        <v/>
      </c>
      <c r="EM139" s="15" t="str">
        <f>IF(EB139="","",IF(AND(ABS(EB139)&lt;=0.25,$E139="Bottom",DQ139="LL"),"EQL",IF(AND(ABS(EB139)&lt;=0.25,$E139="Peak",DQ139="HH"),"EQH","")))</f>
        <v/>
      </c>
      <c r="EN139" s="15" t="str">
        <f>IF(EC139="","",IF(AND(ABS(EC139)&lt;=0.25,$E139="Bottom",DR139="LL"),"EQL",IF(AND(ABS(EC139)&lt;=0.25,$E139="Peak",DR139="HH"),"EQH","")))</f>
        <v/>
      </c>
      <c r="EO139" s="15" t="str">
        <f>IF(ED139="","",IF(AND(ABS(ED139)&lt;=0.25,$E139="Bottom",DS139="LL"),"EQL",IF(AND(ABS(ED139)&lt;=0.25,$E139="Peak",DS139="HH"),"EQH","")))</f>
        <v/>
      </c>
      <c r="EP139" s="15" t="str">
        <f>IF(EE139="","",IF(AND(ABS(EE139)&lt;=0.25,$E139="Bottom",DT139="LL"),"EQL",IF(AND(ABS(EE139)&lt;=0.25,$E139="Peak",DT139="HH"),"EQH","")))</f>
        <v/>
      </c>
      <c r="EQ139" s="15" t="str">
        <f>IF(EF139="","",IF(AND(ABS(EF139)&lt;=0.25,$E139="Bottom",DU139="LL"),"EQL",IF(AND(ABS(EF139)&lt;=0.25,$E139="Peak",DU139="HH"),"EQH","")))</f>
        <v/>
      </c>
      <c r="ER139" s="15" t="str">
        <f>IF(OR(EG139="EQL",EG139="EQH"),F139,"")</f>
        <v/>
      </c>
      <c r="ES139" s="15" t="str">
        <f>IF(OR(EH139="EQL",EH139="EQH"),G139,"")</f>
        <v/>
      </c>
      <c r="ET139" s="15" t="str">
        <f>IF(OR(EI139="EQL",EI139="EQH"),H139,"")</f>
        <v/>
      </c>
      <c r="EU139" s="15" t="str">
        <f>IF(OR(EJ139="EQL",EJ139="EQH"),I139,"")</f>
        <v/>
      </c>
      <c r="EV139" s="15" t="str">
        <f>IF(OR(EK139="EQL",EK139="EQH"),J139,"")</f>
        <v/>
      </c>
      <c r="EW139" s="15" t="str">
        <f>IF(OR(EL139="EQL",EL139="EQH"),K139,"")</f>
        <v/>
      </c>
      <c r="EX139" s="15" t="str">
        <f>IF(OR(EM139="EQL",EM139="EQH"),L139,"")</f>
        <v/>
      </c>
      <c r="EY139" s="15" t="str">
        <f>IF(OR(EN139="EQL",EN139="EQH"),M139,"")</f>
        <v/>
      </c>
      <c r="EZ139" s="15" t="str">
        <f>IF(OR(EO139="EQL",EO139="EQH"),N139,"")</f>
        <v/>
      </c>
      <c r="FA139" s="15" t="str">
        <f>IF(OR(EP139="EQL",EP139="EQH"),O139,"")</f>
        <v/>
      </c>
      <c r="FB139" s="15" t="str">
        <f>IF(OR(EQ139="EQL",EQ139="EQH"),P139,"")</f>
        <v/>
      </c>
      <c r="FC139" s="15" t="str">
        <f>IF(AND(EG139="EQL",OR(AQ139=4,AQ139=5)),"IEQL",IF(AND(EG139="EQH",OR(AQ139=1,AQ139=2)),"IEQH",""))</f>
        <v/>
      </c>
      <c r="FD139" s="15" t="str">
        <f>IF(AND(EH139="EQL",OR(AR139=4,AR139=5)),"IEQL",IF(AND(EH139="EQH",OR(AR139=1,AR139=2)),"IEQH",""))</f>
        <v/>
      </c>
      <c r="FE139" s="15" t="str">
        <f>IF(AND(EI139="EQL",OR(AS139=4,AS139=5)),"IEQL",IF(AND(EI139="EQH",OR(AS139=1,AS139=2)),"IEQH",""))</f>
        <v/>
      </c>
      <c r="FF139" s="15" t="str">
        <f>IF(AND(EJ139="EQL",OR(AT139=4,AT139=5)),"IEQL",IF(AND(EJ139="EQH",OR(AT139=1,AT139=2)),"IEQH",""))</f>
        <v/>
      </c>
      <c r="FG139" s="15" t="str">
        <f>IF(AND(EK139="EQL",OR(AU139=4,AU139=5)),"IEQL",IF(AND(EK139="EQH",OR(AU139=1,AU139=2)),"IEQH",""))</f>
        <v/>
      </c>
      <c r="FH139" s="15" t="str">
        <f>IF(AND(EL139="EQL",OR(AV139=4,AV139=5)),"IEQL",IF(AND(EL139="EQH",OR(AV139=1,AV139=2)),"IEQH",""))</f>
        <v/>
      </c>
      <c r="FI139" s="15" t="str">
        <f>IF(AND(EM139="EQL",OR(AW139=4,AW139=5)),"IEQL",IF(AND(EM139="EQH",OR(AW139=1,AW139=2)),"IEQH",""))</f>
        <v/>
      </c>
      <c r="FJ139" s="15" t="str">
        <f>IF(AND(EN139="EQL",OR(AX139=4,AX139=5)),"IEQL",IF(AND(EN139="EQH",OR(AX139=1,AX139=2)),"IEQH",""))</f>
        <v/>
      </c>
      <c r="FK139" s="15" t="str">
        <f>IF(AND(EO139="EQL",OR(AY139=4,AY139=5)),"IEQL",IF(AND(EO139="EQH",OR(AY139=1,AY139=2)),"IEQH",""))</f>
        <v/>
      </c>
      <c r="FL139" s="15" t="str">
        <f>IF(AND(EP139="EQL",OR(AZ139=4,AZ139=5)),"IEQL",IF(AND(EP139="EQH",OR(AZ139=1,AZ139=2)),"IEQH",""))</f>
        <v/>
      </c>
      <c r="FM139" s="15" t="str">
        <f>IF(AND(EQ139="EQL",OR(BA139=4,BA139=5)),"IEQL",IF(AND(EQ139="EQH",OR(BA139=1,BA139=2)),"IEQH",""))</f>
        <v/>
      </c>
      <c r="FN139" s="15" t="str">
        <f>IF(OR(AND(DJ139="LL",AP139=5),AND(DJ139="HH",AP139=2)),F139,"")</f>
        <v/>
      </c>
      <c r="FO139" s="15" t="str">
        <f>IF(FN139&lt;&gt;"",F138,"")</f>
        <v/>
      </c>
    </row>
    <row r="140" spans="1:171" s="15" customFormat="1" x14ac:dyDescent="0.55000000000000004">
      <c r="A140" s="15">
        <v>1777488306</v>
      </c>
      <c r="B140" s="15" t="s">
        <v>16</v>
      </c>
      <c r="C140" s="15" t="s">
        <v>17</v>
      </c>
      <c r="D140" s="15">
        <v>4538.1899999999996</v>
      </c>
      <c r="E140" s="15" t="s">
        <v>18</v>
      </c>
      <c r="F140" s="15">
        <v>4518.41</v>
      </c>
      <c r="G140" s="15">
        <f t="shared" si="440"/>
        <v>4510.28</v>
      </c>
      <c r="H140" s="15">
        <f t="shared" si="450"/>
        <v>4575.84</v>
      </c>
      <c r="I140" s="15">
        <f t="shared" si="460"/>
        <v>4587.93</v>
      </c>
      <c r="J140" s="15">
        <f t="shared" si="470"/>
        <v>4555.12</v>
      </c>
      <c r="K140" s="15">
        <f t="shared" ref="K140:K171" si="480">F130</f>
        <v>4667.32</v>
      </c>
      <c r="L140" s="15">
        <f t="shared" si="380"/>
        <v>4699.29</v>
      </c>
      <c r="M140" s="15">
        <f t="shared" si="390"/>
        <v>4672.3500000000004</v>
      </c>
      <c r="N140" s="15">
        <f t="shared" si="400"/>
        <v>4674.72</v>
      </c>
      <c r="O140" s="15">
        <f t="shared" si="410"/>
        <v>4658.17</v>
      </c>
      <c r="P140" s="15">
        <f t="shared" si="420"/>
        <v>4664.3</v>
      </c>
      <c r="Q140" s="15">
        <f t="shared" si="430"/>
        <v>4684.26</v>
      </c>
      <c r="R140" s="15">
        <v>-46.34</v>
      </c>
      <c r="S140" s="15">
        <f t="shared" si="441"/>
        <v>-97.49</v>
      </c>
      <c r="T140" s="15">
        <f t="shared" si="451"/>
        <v>-34.31</v>
      </c>
      <c r="U140" s="15">
        <f t="shared" si="461"/>
        <v>-13.56</v>
      </c>
      <c r="V140" s="15">
        <f t="shared" si="471"/>
        <v>-146.02000000000001</v>
      </c>
      <c r="W140" s="15">
        <f t="shared" ref="W140:W171" si="481">R130</f>
        <v>-45.27</v>
      </c>
      <c r="X140" s="15">
        <f t="shared" si="381"/>
        <v>-30.63</v>
      </c>
      <c r="Y140" s="15">
        <f t="shared" si="391"/>
        <v>-68.14</v>
      </c>
      <c r="Z140" s="15">
        <f t="shared" si="401"/>
        <v>-22.7</v>
      </c>
      <c r="AA140" s="15">
        <f t="shared" si="411"/>
        <v>-53.06</v>
      </c>
      <c r="AB140" s="15">
        <f t="shared" si="421"/>
        <v>-78.92</v>
      </c>
      <c r="AC140" s="15">
        <f t="shared" si="431"/>
        <v>-40.630000000000003</v>
      </c>
      <c r="AD140" s="15">
        <v>-1.02</v>
      </c>
      <c r="AE140" s="15">
        <f t="shared" si="442"/>
        <v>-2.12</v>
      </c>
      <c r="AF140" s="15">
        <f t="shared" si="452"/>
        <v>-0.74</v>
      </c>
      <c r="AG140" s="15">
        <f t="shared" si="462"/>
        <v>-0.28999999999999998</v>
      </c>
      <c r="AH140" s="15">
        <f t="shared" si="472"/>
        <v>-3.11</v>
      </c>
      <c r="AI140" s="15">
        <f t="shared" ref="AI140:AI171" si="482">AD130</f>
        <v>-0.96</v>
      </c>
      <c r="AJ140" s="15">
        <f t="shared" si="382"/>
        <v>-0.65</v>
      </c>
      <c r="AK140" s="15">
        <f t="shared" si="392"/>
        <v>-1.44</v>
      </c>
      <c r="AL140" s="15">
        <f t="shared" si="402"/>
        <v>-0.48</v>
      </c>
      <c r="AM140" s="15">
        <f t="shared" si="412"/>
        <v>-1.1299999999999999</v>
      </c>
      <c r="AN140" s="15">
        <f t="shared" si="422"/>
        <v>-1.66</v>
      </c>
      <c r="AO140" s="15">
        <f t="shared" si="432"/>
        <v>-0.86</v>
      </c>
      <c r="AP140" s="15">
        <v>3</v>
      </c>
      <c r="AQ140" s="15">
        <f t="shared" si="443"/>
        <v>4</v>
      </c>
      <c r="AR140" s="15">
        <f t="shared" si="453"/>
        <v>3</v>
      </c>
      <c r="AS140" s="15">
        <f t="shared" si="463"/>
        <v>3</v>
      </c>
      <c r="AT140" s="15">
        <f t="shared" si="473"/>
        <v>5</v>
      </c>
      <c r="AU140" s="15">
        <f t="shared" ref="AU140:AU171" si="483">AP130</f>
        <v>3</v>
      </c>
      <c r="AV140" s="15">
        <f t="shared" si="383"/>
        <v>3</v>
      </c>
      <c r="AW140" s="15">
        <f t="shared" si="393"/>
        <v>3</v>
      </c>
      <c r="AX140" s="15">
        <f t="shared" si="403"/>
        <v>3</v>
      </c>
      <c r="AY140" s="15">
        <f t="shared" si="413"/>
        <v>3</v>
      </c>
      <c r="AZ140" s="15">
        <f t="shared" si="423"/>
        <v>3</v>
      </c>
      <c r="BA140" s="15">
        <f t="shared" si="433"/>
        <v>3</v>
      </c>
      <c r="BB140" s="15">
        <v>11</v>
      </c>
      <c r="BC140" s="15">
        <f t="shared" si="444"/>
        <v>35</v>
      </c>
      <c r="BD140" s="15">
        <f t="shared" si="454"/>
        <v>4</v>
      </c>
      <c r="BE140" s="15">
        <f t="shared" si="464"/>
        <v>20</v>
      </c>
      <c r="BF140" s="15">
        <f t="shared" si="474"/>
        <v>48</v>
      </c>
      <c r="BG140" s="15">
        <f t="shared" ref="BG140:BG171" si="484">BB130</f>
        <v>11</v>
      </c>
      <c r="BH140" s="15">
        <f t="shared" si="384"/>
        <v>20</v>
      </c>
      <c r="BI140" s="15">
        <f t="shared" si="394"/>
        <v>36</v>
      </c>
      <c r="BJ140" s="15">
        <f t="shared" si="404"/>
        <v>9</v>
      </c>
      <c r="BK140" s="15">
        <f t="shared" si="414"/>
        <v>13</v>
      </c>
      <c r="BL140" s="15">
        <f t="shared" si="424"/>
        <v>20</v>
      </c>
      <c r="BM140" s="15">
        <f t="shared" si="434"/>
        <v>10</v>
      </c>
      <c r="BN140" s="15">
        <v>3</v>
      </c>
      <c r="BO140" s="15">
        <f t="shared" si="445"/>
        <v>3</v>
      </c>
      <c r="BP140" s="15">
        <f t="shared" si="455"/>
        <v>3</v>
      </c>
      <c r="BQ140" s="15">
        <f t="shared" si="465"/>
        <v>3</v>
      </c>
      <c r="BR140" s="15">
        <f t="shared" si="475"/>
        <v>5</v>
      </c>
      <c r="BS140" s="15">
        <f t="shared" ref="BS140:BS171" si="485">BN130</f>
        <v>3</v>
      </c>
      <c r="BT140" s="15">
        <f t="shared" si="385"/>
        <v>3</v>
      </c>
      <c r="BU140" s="15">
        <f t="shared" si="395"/>
        <v>4</v>
      </c>
      <c r="BV140" s="15">
        <f t="shared" si="405"/>
        <v>3</v>
      </c>
      <c r="BW140" s="15">
        <f t="shared" si="415"/>
        <v>3</v>
      </c>
      <c r="BX140" s="15">
        <f t="shared" si="425"/>
        <v>3</v>
      </c>
      <c r="BY140" s="15">
        <f t="shared" si="435"/>
        <v>3</v>
      </c>
      <c r="BZ140" s="15">
        <v>-4.2127299999999996</v>
      </c>
      <c r="CA140" s="15">
        <f t="shared" si="446"/>
        <v>-2.7854299999999999</v>
      </c>
      <c r="CB140" s="15">
        <f t="shared" si="456"/>
        <v>-8.5775000000000006</v>
      </c>
      <c r="CC140" s="15">
        <f t="shared" si="466"/>
        <v>-0.67800000000000005</v>
      </c>
      <c r="CD140" s="15">
        <f t="shared" si="476"/>
        <v>-3.0420799999999999</v>
      </c>
      <c r="CE140" s="15">
        <f t="shared" ref="CE140:CE171" si="486">BZ130</f>
        <v>-4.1154500000000001</v>
      </c>
      <c r="CF140" s="15">
        <f t="shared" si="386"/>
        <v>-1.5315000000000001</v>
      </c>
      <c r="CG140" s="15">
        <f t="shared" si="396"/>
        <v>-1.8927799999999999</v>
      </c>
      <c r="CH140" s="15">
        <f t="shared" si="406"/>
        <v>-2.5222199999999999</v>
      </c>
      <c r="CI140" s="15">
        <f t="shared" si="416"/>
        <v>-4.0815400000000004</v>
      </c>
      <c r="CJ140" s="15">
        <f t="shared" si="426"/>
        <v>-3.9460000000000002</v>
      </c>
      <c r="CK140" s="15">
        <f t="shared" si="436"/>
        <v>-4.0629999999999997</v>
      </c>
      <c r="CL140" s="15">
        <v>3</v>
      </c>
      <c r="CM140" s="15">
        <f t="shared" si="447"/>
        <v>3</v>
      </c>
      <c r="CN140" s="15">
        <f t="shared" si="457"/>
        <v>3</v>
      </c>
      <c r="CO140" s="15">
        <f t="shared" si="467"/>
        <v>3</v>
      </c>
      <c r="CP140" s="15">
        <f t="shared" si="477"/>
        <v>3</v>
      </c>
      <c r="CQ140" s="15">
        <f t="shared" ref="CQ140:CQ171" si="487">CL130</f>
        <v>3</v>
      </c>
      <c r="CR140" s="15">
        <f t="shared" si="387"/>
        <v>3</v>
      </c>
      <c r="CS140" s="15">
        <f t="shared" si="397"/>
        <v>3</v>
      </c>
      <c r="CT140" s="15">
        <f t="shared" si="407"/>
        <v>3</v>
      </c>
      <c r="CU140" s="15">
        <f t="shared" si="417"/>
        <v>3</v>
      </c>
      <c r="CV140" s="15">
        <f t="shared" si="427"/>
        <v>3</v>
      </c>
      <c r="CW140" s="15">
        <f t="shared" si="437"/>
        <v>3</v>
      </c>
      <c r="CX140" s="15">
        <v>-76.646500000000003</v>
      </c>
      <c r="CY140" s="15">
        <f t="shared" si="448"/>
        <v>-70.251300000000001</v>
      </c>
      <c r="CZ140" s="15">
        <f t="shared" si="458"/>
        <v>-83.350200000000001</v>
      </c>
      <c r="DA140" s="15">
        <f t="shared" si="468"/>
        <v>-34.137300000000003</v>
      </c>
      <c r="DB140" s="15">
        <f t="shared" si="478"/>
        <v>-71.803200000000004</v>
      </c>
      <c r="DC140" s="15">
        <f t="shared" ref="DC140:DC171" si="488">CX130</f>
        <v>-76.342600000000004</v>
      </c>
      <c r="DD140" s="15">
        <f t="shared" si="388"/>
        <v>-56.857300000000002</v>
      </c>
      <c r="DE140" s="15">
        <f t="shared" si="398"/>
        <v>-62.151400000000002</v>
      </c>
      <c r="DF140" s="15">
        <f t="shared" si="408"/>
        <v>-68.372900000000001</v>
      </c>
      <c r="DG140" s="15">
        <f t="shared" si="418"/>
        <v>-76.233400000000003</v>
      </c>
      <c r="DH140" s="15">
        <f t="shared" si="428"/>
        <v>-75.779399999999995</v>
      </c>
      <c r="DI140" s="15">
        <f t="shared" si="438"/>
        <v>-76.173000000000002</v>
      </c>
      <c r="DJ140" s="15" t="s">
        <v>22</v>
      </c>
      <c r="DK140" s="15" t="str">
        <f t="shared" si="449"/>
        <v>LL</v>
      </c>
      <c r="DL140" s="15" t="str">
        <f t="shared" si="459"/>
        <v>LL</v>
      </c>
      <c r="DM140" s="15" t="str">
        <f t="shared" si="469"/>
        <v>HL</v>
      </c>
      <c r="DN140" s="15" t="str">
        <f t="shared" si="479"/>
        <v>LL</v>
      </c>
      <c r="DO140" s="15" t="str">
        <f t="shared" ref="DO140:DO171" si="489">DJ130</f>
        <v>LL</v>
      </c>
      <c r="DP140" s="15" t="str">
        <f t="shared" si="389"/>
        <v>HL</v>
      </c>
      <c r="DQ140" s="15" t="str">
        <f t="shared" si="399"/>
        <v>LL</v>
      </c>
      <c r="DR140" s="15" t="str">
        <f t="shared" si="409"/>
        <v>HL</v>
      </c>
      <c r="DS140" s="15" t="str">
        <f t="shared" si="419"/>
        <v>LL</v>
      </c>
      <c r="DT140" s="15" t="str">
        <f t="shared" si="429"/>
        <v>LL</v>
      </c>
      <c r="DU140" s="15" t="str">
        <f t="shared" si="439"/>
        <v>LL</v>
      </c>
      <c r="DV140" s="15">
        <f>IFERROR((G140-$F140)/$F140*100,"")</f>
        <v>-0.17993055079109929</v>
      </c>
      <c r="DW140" s="15">
        <f>IFERROR((H140-$F140)/$F140*100,"")</f>
        <v>1.2710223286510143</v>
      </c>
      <c r="DX140" s="15">
        <f>IFERROR((I140-$F140)/$F140*100,"")</f>
        <v>1.5385943285359327</v>
      </c>
      <c r="DY140" s="15">
        <f>IFERROR((J140-$F140)/$F140*100,"")</f>
        <v>0.81245393844294866</v>
      </c>
      <c r="DZ140" s="15">
        <f>IFERROR((K140-$F140)/$F140*100,"")</f>
        <v>3.2956283294344662</v>
      </c>
      <c r="EA140" s="15">
        <f>IFERROR((L140-$F140)/$F140*100,"")</f>
        <v>4.0031781091136063</v>
      </c>
      <c r="EB140" s="15">
        <f>IFERROR((M140-$F140)/$F140*100,"")</f>
        <v>3.4069506751268812</v>
      </c>
      <c r="EC140" s="15">
        <f>IFERROR((N140-$F140)/$F140*100,"")</f>
        <v>3.4594027545087855</v>
      </c>
      <c r="ED140" s="15">
        <f>IFERROR((O140-$F140)/$F140*100,"")</f>
        <v>3.093123465998</v>
      </c>
      <c r="EE140" s="15">
        <f>IFERROR((P140-$F140)/$F140*100,"")</f>
        <v>3.2287906586609081</v>
      </c>
      <c r="EF140" s="15">
        <f>IFERROR((Q140-$F140)/$F140*100,"")</f>
        <v>3.670538972780256</v>
      </c>
      <c r="EG140" s="15" t="str">
        <f>IF(DV140="","",IF(AND(ABS(DV140)&lt;=0.25,$E140="Bottom",DK140="LL"),"EQL",IF(AND(ABS(DV140)&lt;=0.25,$E140="Peak",DK140="HH"),"EQH","")))</f>
        <v>EQL</v>
      </c>
      <c r="EH140" s="15" t="str">
        <f>IF(DW140="","",IF(AND(ABS(DW140)&lt;=0.25,$E140="Bottom",DL140="LL"),"EQL",IF(AND(ABS(DW140)&lt;=0.25,$E140="Peak",DL140="HH"),"EQH","")))</f>
        <v/>
      </c>
      <c r="EI140" s="15" t="str">
        <f>IF(DX140="","",IF(AND(ABS(DX140)&lt;=0.25,$E140="Bottom",DM140="LL"),"EQL",IF(AND(ABS(DX140)&lt;=0.25,$E140="Peak",DM140="HH"),"EQH","")))</f>
        <v/>
      </c>
      <c r="EJ140" s="15" t="str">
        <f>IF(DY140="","",IF(AND(ABS(DY140)&lt;=0.25,$E140="Bottom",DN140="LL"),"EQL",IF(AND(ABS(DY140)&lt;=0.25,$E140="Peak",DN140="HH"),"EQH","")))</f>
        <v/>
      </c>
      <c r="EK140" s="15" t="str">
        <f>IF(DZ140="","",IF(AND(ABS(DZ140)&lt;=0.25,$E140="Bottom",DO140="LL"),"EQL",IF(AND(ABS(DZ140)&lt;=0.25,$E140="Peak",DO140="HH"),"EQH","")))</f>
        <v/>
      </c>
      <c r="EL140" s="15" t="str">
        <f>IF(EA140="","",IF(AND(ABS(EA140)&lt;=0.25,$E140="Bottom",DP140="LL"),"EQL",IF(AND(ABS(EA140)&lt;=0.25,$E140="Peak",DP140="HH"),"EQH","")))</f>
        <v/>
      </c>
      <c r="EM140" s="15" t="str">
        <f>IF(EB140="","",IF(AND(ABS(EB140)&lt;=0.25,$E140="Bottom",DQ140="LL"),"EQL",IF(AND(ABS(EB140)&lt;=0.25,$E140="Peak",DQ140="HH"),"EQH","")))</f>
        <v/>
      </c>
      <c r="EN140" s="15" t="str">
        <f>IF(EC140="","",IF(AND(ABS(EC140)&lt;=0.25,$E140="Bottom",DR140="LL"),"EQL",IF(AND(ABS(EC140)&lt;=0.25,$E140="Peak",DR140="HH"),"EQH","")))</f>
        <v/>
      </c>
      <c r="EO140" s="15" t="str">
        <f>IF(ED140="","",IF(AND(ABS(ED140)&lt;=0.25,$E140="Bottom",DS140="LL"),"EQL",IF(AND(ABS(ED140)&lt;=0.25,$E140="Peak",DS140="HH"),"EQH","")))</f>
        <v/>
      </c>
      <c r="EP140" s="15" t="str">
        <f>IF(EE140="","",IF(AND(ABS(EE140)&lt;=0.25,$E140="Bottom",DT140="LL"),"EQL",IF(AND(ABS(EE140)&lt;=0.25,$E140="Peak",DT140="HH"),"EQH","")))</f>
        <v/>
      </c>
      <c r="EQ140" s="15" t="str">
        <f>IF(EF140="","",IF(AND(ABS(EF140)&lt;=0.25,$E140="Bottom",DU140="LL"),"EQL",IF(AND(ABS(EF140)&lt;=0.25,$E140="Peak",DU140="HH"),"EQH","")))</f>
        <v/>
      </c>
      <c r="ER140" s="15">
        <f>IF(OR(EG140="EQL",EG140="EQH"),F140,"")</f>
        <v>4518.41</v>
      </c>
      <c r="ES140" s="15" t="str">
        <f>IF(OR(EH140="EQL",EH140="EQH"),G140,"")</f>
        <v/>
      </c>
      <c r="ET140" s="15" t="str">
        <f>IF(OR(EI140="EQL",EI140="EQH"),H140,"")</f>
        <v/>
      </c>
      <c r="EU140" s="15" t="str">
        <f>IF(OR(EJ140="EQL",EJ140="EQH"),I140,"")</f>
        <v/>
      </c>
      <c r="EV140" s="15" t="str">
        <f>IF(OR(EK140="EQL",EK140="EQH"),J140,"")</f>
        <v/>
      </c>
      <c r="EW140" s="15" t="str">
        <f>IF(OR(EL140="EQL",EL140="EQH"),K140,"")</f>
        <v/>
      </c>
      <c r="EX140" s="15" t="str">
        <f>IF(OR(EM140="EQL",EM140="EQH"),L140,"")</f>
        <v/>
      </c>
      <c r="EY140" s="15" t="str">
        <f>IF(OR(EN140="EQL",EN140="EQH"),M140,"")</f>
        <v/>
      </c>
      <c r="EZ140" s="15" t="str">
        <f>IF(OR(EO140="EQL",EO140="EQH"),N140,"")</f>
        <v/>
      </c>
      <c r="FA140" s="15" t="str">
        <f>IF(OR(EP140="EQL",EP140="EQH"),O140,"")</f>
        <v/>
      </c>
      <c r="FB140" s="15" t="str">
        <f>IF(OR(EQ140="EQL",EQ140="EQH"),P140,"")</f>
        <v/>
      </c>
      <c r="FC140" s="15" t="str">
        <f>IF(AND(EG140="EQL",OR(AQ140=4,AQ140=5)),"IEQL",IF(AND(EG140="EQH",OR(AQ140=1,AQ140=2)),"IEQH",""))</f>
        <v>IEQL</v>
      </c>
      <c r="FD140" s="15" t="str">
        <f>IF(AND(EH140="EQL",OR(AR140=4,AR140=5)),"IEQL",IF(AND(EH140="EQH",OR(AR140=1,AR140=2)),"IEQH",""))</f>
        <v/>
      </c>
      <c r="FE140" s="15" t="str">
        <f>IF(AND(EI140="EQL",OR(AS140=4,AS140=5)),"IEQL",IF(AND(EI140="EQH",OR(AS140=1,AS140=2)),"IEQH",""))</f>
        <v/>
      </c>
      <c r="FF140" s="15" t="str">
        <f>IF(AND(EJ140="EQL",OR(AT140=4,AT140=5)),"IEQL",IF(AND(EJ140="EQH",OR(AT140=1,AT140=2)),"IEQH",""))</f>
        <v/>
      </c>
      <c r="FG140" s="15" t="str">
        <f>IF(AND(EK140="EQL",OR(AU140=4,AU140=5)),"IEQL",IF(AND(EK140="EQH",OR(AU140=1,AU140=2)),"IEQH",""))</f>
        <v/>
      </c>
      <c r="FH140" s="15" t="str">
        <f>IF(AND(EL140="EQL",OR(AV140=4,AV140=5)),"IEQL",IF(AND(EL140="EQH",OR(AV140=1,AV140=2)),"IEQH",""))</f>
        <v/>
      </c>
      <c r="FI140" s="15" t="str">
        <f>IF(AND(EM140="EQL",OR(AW140=4,AW140=5)),"IEQL",IF(AND(EM140="EQH",OR(AW140=1,AW140=2)),"IEQH",""))</f>
        <v/>
      </c>
      <c r="FJ140" s="15" t="str">
        <f>IF(AND(EN140="EQL",OR(AX140=4,AX140=5)),"IEQL",IF(AND(EN140="EQH",OR(AX140=1,AX140=2)),"IEQH",""))</f>
        <v/>
      </c>
      <c r="FK140" s="15" t="str">
        <f>IF(AND(EO140="EQL",OR(AY140=4,AY140=5)),"IEQL",IF(AND(EO140="EQH",OR(AY140=1,AY140=2)),"IEQH",""))</f>
        <v/>
      </c>
      <c r="FL140" s="15" t="str">
        <f>IF(AND(EP140="EQL",OR(AZ140=4,AZ140=5)),"IEQL",IF(AND(EP140="EQH",OR(AZ140=1,AZ140=2)),"IEQH",""))</f>
        <v/>
      </c>
      <c r="FM140" s="15" t="str">
        <f>IF(AND(EQ140="EQL",OR(BA140=4,BA140=5)),"IEQL",IF(AND(EQ140="EQH",OR(BA140=1,BA140=2)),"IEQH",""))</f>
        <v/>
      </c>
      <c r="FN140" s="15" t="str">
        <f>IF(OR(AND(DJ140="LL",AP140=5),AND(DJ140="HH",AP140=2)),F140,"")</f>
        <v/>
      </c>
      <c r="FO140" s="15" t="str">
        <f>IF(FN140&lt;&gt;"",F139,"")</f>
        <v/>
      </c>
    </row>
    <row r="141" spans="1:171" s="15" customFormat="1" x14ac:dyDescent="0.55000000000000004">
      <c r="A141" s="15">
        <v>1777513506</v>
      </c>
      <c r="B141" s="15" t="s">
        <v>16</v>
      </c>
      <c r="C141" s="15" t="s">
        <v>17</v>
      </c>
      <c r="D141" s="15">
        <v>4579.13</v>
      </c>
      <c r="E141" s="15" t="s">
        <v>20</v>
      </c>
      <c r="F141" s="15">
        <v>4582.32</v>
      </c>
      <c r="G141" s="15">
        <f t="shared" si="440"/>
        <v>4564.75</v>
      </c>
      <c r="H141" s="15">
        <f t="shared" si="450"/>
        <v>4607.7700000000004</v>
      </c>
      <c r="I141" s="15">
        <f t="shared" si="460"/>
        <v>4610.1499999999996</v>
      </c>
      <c r="J141" s="15">
        <f t="shared" si="470"/>
        <v>4601.49</v>
      </c>
      <c r="K141" s="15">
        <f t="shared" si="480"/>
        <v>4701.1400000000003</v>
      </c>
      <c r="L141" s="15">
        <f t="shared" si="380"/>
        <v>4712.59</v>
      </c>
      <c r="M141" s="15">
        <f t="shared" si="390"/>
        <v>4729.92</v>
      </c>
      <c r="N141" s="15">
        <f t="shared" si="400"/>
        <v>4740.49</v>
      </c>
      <c r="O141" s="15">
        <f t="shared" si="410"/>
        <v>4697.42</v>
      </c>
      <c r="P141" s="15">
        <f t="shared" si="420"/>
        <v>4711.2299999999996</v>
      </c>
      <c r="Q141" s="15">
        <f t="shared" si="430"/>
        <v>4743.22</v>
      </c>
      <c r="R141" s="15">
        <v>63.91</v>
      </c>
      <c r="S141" s="15">
        <f t="shared" si="441"/>
        <v>54.47</v>
      </c>
      <c r="T141" s="15">
        <f t="shared" si="451"/>
        <v>31.93</v>
      </c>
      <c r="U141" s="15">
        <f t="shared" si="461"/>
        <v>22.22</v>
      </c>
      <c r="V141" s="15">
        <f t="shared" si="471"/>
        <v>46.37</v>
      </c>
      <c r="W141" s="15">
        <f t="shared" si="481"/>
        <v>33.82</v>
      </c>
      <c r="X141" s="15">
        <f t="shared" si="381"/>
        <v>13.3</v>
      </c>
      <c r="Y141" s="15">
        <f t="shared" si="391"/>
        <v>57.57</v>
      </c>
      <c r="Z141" s="15">
        <f t="shared" si="401"/>
        <v>65.77</v>
      </c>
      <c r="AA141" s="15">
        <f t="shared" si="411"/>
        <v>39.25</v>
      </c>
      <c r="AB141" s="15">
        <f t="shared" si="421"/>
        <v>46.93</v>
      </c>
      <c r="AC141" s="15">
        <f t="shared" si="431"/>
        <v>58.96</v>
      </c>
      <c r="AD141" s="15">
        <v>1.41</v>
      </c>
      <c r="AE141" s="15">
        <f t="shared" si="442"/>
        <v>1.21</v>
      </c>
      <c r="AF141" s="15">
        <f t="shared" si="452"/>
        <v>0.7</v>
      </c>
      <c r="AG141" s="15">
        <f t="shared" si="462"/>
        <v>0.48</v>
      </c>
      <c r="AH141" s="15">
        <f t="shared" si="472"/>
        <v>1.02</v>
      </c>
      <c r="AI141" s="15">
        <f t="shared" si="482"/>
        <v>0.72</v>
      </c>
      <c r="AJ141" s="15">
        <f t="shared" si="382"/>
        <v>0.28000000000000003</v>
      </c>
      <c r="AK141" s="15">
        <f t="shared" si="392"/>
        <v>1.23</v>
      </c>
      <c r="AL141" s="15">
        <f t="shared" si="402"/>
        <v>1.41</v>
      </c>
      <c r="AM141" s="15">
        <f t="shared" si="412"/>
        <v>0.84</v>
      </c>
      <c r="AN141" s="15">
        <f t="shared" si="422"/>
        <v>1.01</v>
      </c>
      <c r="AO141" s="15">
        <f t="shared" si="432"/>
        <v>1.26</v>
      </c>
      <c r="AP141" s="15">
        <v>0</v>
      </c>
      <c r="AQ141" s="15">
        <f t="shared" si="443"/>
        <v>0</v>
      </c>
      <c r="AR141" s="15">
        <f t="shared" si="453"/>
        <v>0</v>
      </c>
      <c r="AS141" s="15">
        <f t="shared" si="463"/>
        <v>0</v>
      </c>
      <c r="AT141" s="15">
        <f t="shared" si="473"/>
        <v>0</v>
      </c>
      <c r="AU141" s="15">
        <f t="shared" si="483"/>
        <v>0</v>
      </c>
      <c r="AV141" s="15">
        <f t="shared" si="383"/>
        <v>0</v>
      </c>
      <c r="AW141" s="15">
        <f t="shared" si="393"/>
        <v>0</v>
      </c>
      <c r="AX141" s="15">
        <f t="shared" si="403"/>
        <v>0</v>
      </c>
      <c r="AY141" s="15">
        <f t="shared" si="413"/>
        <v>0</v>
      </c>
      <c r="AZ141" s="15">
        <f t="shared" si="423"/>
        <v>0</v>
      </c>
      <c r="BA141" s="15">
        <f t="shared" si="433"/>
        <v>0</v>
      </c>
      <c r="BB141" s="15">
        <v>24</v>
      </c>
      <c r="BC141" s="15">
        <f t="shared" si="444"/>
        <v>9</v>
      </c>
      <c r="BD141" s="15">
        <f t="shared" si="454"/>
        <v>16</v>
      </c>
      <c r="BE141" s="15">
        <f t="shared" si="464"/>
        <v>2</v>
      </c>
      <c r="BF141" s="15">
        <f t="shared" si="474"/>
        <v>22</v>
      </c>
      <c r="BG141" s="15">
        <f t="shared" si="484"/>
        <v>32</v>
      </c>
      <c r="BH141" s="15">
        <f t="shared" si="384"/>
        <v>11</v>
      </c>
      <c r="BI141" s="15">
        <f t="shared" si="394"/>
        <v>18</v>
      </c>
      <c r="BJ141" s="15">
        <f t="shared" si="404"/>
        <v>14</v>
      </c>
      <c r="BK141" s="15">
        <f t="shared" si="414"/>
        <v>15</v>
      </c>
      <c r="BL141" s="15">
        <f t="shared" si="424"/>
        <v>26</v>
      </c>
      <c r="BM141" s="15">
        <f t="shared" si="434"/>
        <v>9</v>
      </c>
      <c r="BN141" s="15">
        <v>0</v>
      </c>
      <c r="BO141" s="15">
        <f t="shared" si="445"/>
        <v>0</v>
      </c>
      <c r="BP141" s="15">
        <f t="shared" si="455"/>
        <v>0</v>
      </c>
      <c r="BQ141" s="15">
        <f t="shared" si="465"/>
        <v>0</v>
      </c>
      <c r="BR141" s="15">
        <f t="shared" si="475"/>
        <v>0</v>
      </c>
      <c r="BS141" s="15">
        <f t="shared" si="485"/>
        <v>0</v>
      </c>
      <c r="BT141" s="15">
        <f t="shared" si="385"/>
        <v>0</v>
      </c>
      <c r="BU141" s="15">
        <f t="shared" si="395"/>
        <v>0</v>
      </c>
      <c r="BV141" s="15">
        <f t="shared" si="405"/>
        <v>0</v>
      </c>
      <c r="BW141" s="15">
        <f t="shared" si="415"/>
        <v>0</v>
      </c>
      <c r="BX141" s="15">
        <f t="shared" si="425"/>
        <v>0</v>
      </c>
      <c r="BY141" s="15">
        <f t="shared" si="435"/>
        <v>0</v>
      </c>
      <c r="BZ141" s="15">
        <v>2.6629200000000002</v>
      </c>
      <c r="CA141" s="15">
        <f t="shared" si="446"/>
        <v>6.0522200000000002</v>
      </c>
      <c r="CB141" s="15">
        <f t="shared" si="456"/>
        <v>1.99563</v>
      </c>
      <c r="CC141" s="15">
        <f t="shared" si="466"/>
        <v>11.11</v>
      </c>
      <c r="CD141" s="15">
        <f t="shared" si="476"/>
        <v>2.1077300000000001</v>
      </c>
      <c r="CE141" s="15">
        <f t="shared" si="486"/>
        <v>1.05688</v>
      </c>
      <c r="CF141" s="15">
        <f t="shared" si="386"/>
        <v>1.20909</v>
      </c>
      <c r="CG141" s="15">
        <f t="shared" si="396"/>
        <v>3.1983299999999999</v>
      </c>
      <c r="CH141" s="15">
        <f t="shared" si="406"/>
        <v>4.6978600000000004</v>
      </c>
      <c r="CI141" s="15">
        <f t="shared" si="416"/>
        <v>2.6166700000000001</v>
      </c>
      <c r="CJ141" s="15">
        <f t="shared" si="426"/>
        <v>1.8049999999999999</v>
      </c>
      <c r="CK141" s="15">
        <f t="shared" si="436"/>
        <v>6.5511100000000004</v>
      </c>
      <c r="CL141" s="15">
        <v>0</v>
      </c>
      <c r="CM141" s="15">
        <f t="shared" si="447"/>
        <v>0</v>
      </c>
      <c r="CN141" s="15">
        <f t="shared" si="457"/>
        <v>0</v>
      </c>
      <c r="CO141" s="15">
        <f t="shared" si="467"/>
        <v>0</v>
      </c>
      <c r="CP141" s="15">
        <f t="shared" si="477"/>
        <v>0</v>
      </c>
      <c r="CQ141" s="15">
        <f t="shared" si="487"/>
        <v>0</v>
      </c>
      <c r="CR141" s="15">
        <f t="shared" si="387"/>
        <v>0</v>
      </c>
      <c r="CS141" s="15">
        <f t="shared" si="397"/>
        <v>0</v>
      </c>
      <c r="CT141" s="15">
        <f t="shared" si="407"/>
        <v>0</v>
      </c>
      <c r="CU141" s="15">
        <f t="shared" si="417"/>
        <v>0</v>
      </c>
      <c r="CV141" s="15">
        <f t="shared" si="427"/>
        <v>0</v>
      </c>
      <c r="CW141" s="15">
        <f t="shared" si="437"/>
        <v>0</v>
      </c>
      <c r="CX141" s="15">
        <v>69.417400000000001</v>
      </c>
      <c r="CY141" s="15">
        <f t="shared" si="448"/>
        <v>80.617900000000006</v>
      </c>
      <c r="CZ141" s="15">
        <f t="shared" si="458"/>
        <v>63.384700000000002</v>
      </c>
      <c r="DA141" s="15">
        <f t="shared" si="468"/>
        <v>84.856700000000004</v>
      </c>
      <c r="DB141" s="15">
        <f t="shared" si="478"/>
        <v>64.618200000000002</v>
      </c>
      <c r="DC141" s="15">
        <f t="shared" si="488"/>
        <v>46.5839</v>
      </c>
      <c r="DD141" s="15">
        <f t="shared" si="388"/>
        <v>50.4069</v>
      </c>
      <c r="DE141" s="15">
        <f t="shared" si="398"/>
        <v>72.637500000000003</v>
      </c>
      <c r="DF141" s="15">
        <f t="shared" si="408"/>
        <v>77.983199999999997</v>
      </c>
      <c r="DG141" s="15">
        <f t="shared" si="418"/>
        <v>69.084900000000005</v>
      </c>
      <c r="DH141" s="15">
        <f t="shared" si="428"/>
        <v>61.012799999999999</v>
      </c>
      <c r="DI141" s="15">
        <f t="shared" si="438"/>
        <v>81.320999999999998</v>
      </c>
      <c r="DJ141" s="15" t="s">
        <v>23</v>
      </c>
      <c r="DK141" s="15" t="str">
        <f t="shared" si="449"/>
        <v>LH</v>
      </c>
      <c r="DL141" s="15" t="str">
        <f t="shared" si="459"/>
        <v>LH</v>
      </c>
      <c r="DM141" s="15" t="str">
        <f t="shared" si="469"/>
        <v>HH</v>
      </c>
      <c r="DN141" s="15" t="str">
        <f t="shared" si="479"/>
        <v>LH</v>
      </c>
      <c r="DO141" s="15" t="str">
        <f t="shared" si="489"/>
        <v>LH</v>
      </c>
      <c r="DP141" s="15" t="str">
        <f t="shared" si="389"/>
        <v>LH</v>
      </c>
      <c r="DQ141" s="15" t="str">
        <f t="shared" si="399"/>
        <v>LH</v>
      </c>
      <c r="DR141" s="15" t="str">
        <f t="shared" si="409"/>
        <v>HH</v>
      </c>
      <c r="DS141" s="15" t="str">
        <f t="shared" si="419"/>
        <v>LH</v>
      </c>
      <c r="DT141" s="15" t="str">
        <f t="shared" si="429"/>
        <v>LH</v>
      </c>
      <c r="DU141" s="15" t="str">
        <f t="shared" si="439"/>
        <v>HH</v>
      </c>
      <c r="DV141" s="15">
        <f>IFERROR((G141-$F141)/$F141*100,"")</f>
        <v>-0.38343022748301536</v>
      </c>
      <c r="DW141" s="15">
        <f>IFERROR((H141-$F141)/$F141*100,"")</f>
        <v>0.55539552017320326</v>
      </c>
      <c r="DX141" s="15">
        <f>IFERROR((I141-$F141)/$F141*100,"")</f>
        <v>0.60733427608722057</v>
      </c>
      <c r="DY141" s="15">
        <f>IFERROR((J141-$F141)/$F141*100,"")</f>
        <v>0.41834703818153413</v>
      </c>
      <c r="DZ141" s="15">
        <f>IFERROR((K141-$F141)/$F141*100,"")</f>
        <v>2.593009654498172</v>
      </c>
      <c r="EA141" s="15">
        <f>IFERROR((L141-$F141)/$F141*100,"")</f>
        <v>2.8428830810593859</v>
      </c>
      <c r="EB141" s="15">
        <f>IFERROR((M141-$F141)/$F141*100,"")</f>
        <v>3.2210757869376292</v>
      </c>
      <c r="EC141" s="15">
        <f>IFERROR((N141-$F141)/$F141*100,"")</f>
        <v>3.4517449676146597</v>
      </c>
      <c r="ED141" s="15">
        <f>IFERROR((O141-$F141)/$F141*100,"")</f>
        <v>2.5118280696241286</v>
      </c>
      <c r="EE141" s="15">
        <f>IFERROR((P141-$F141)/$F141*100,"")</f>
        <v>2.813203791965639</v>
      </c>
      <c r="EF141" s="15">
        <f>IFERROR((Q141-$F141)/$F141*100,"")</f>
        <v>3.5113217758690043</v>
      </c>
      <c r="EG141" s="15" t="str">
        <f>IF(DV141="","",IF(AND(ABS(DV141)&lt;=0.25,$E141="Bottom",DK141="LL"),"EQL",IF(AND(ABS(DV141)&lt;=0.25,$E141="Peak",DK141="HH"),"EQH","")))</f>
        <v/>
      </c>
      <c r="EH141" s="15" t="str">
        <f>IF(DW141="","",IF(AND(ABS(DW141)&lt;=0.25,$E141="Bottom",DL141="LL"),"EQL",IF(AND(ABS(DW141)&lt;=0.25,$E141="Peak",DL141="HH"),"EQH","")))</f>
        <v/>
      </c>
      <c r="EI141" s="15" t="str">
        <f>IF(DX141="","",IF(AND(ABS(DX141)&lt;=0.25,$E141="Bottom",DM141="LL"),"EQL",IF(AND(ABS(DX141)&lt;=0.25,$E141="Peak",DM141="HH"),"EQH","")))</f>
        <v/>
      </c>
      <c r="EJ141" s="15" t="str">
        <f>IF(DY141="","",IF(AND(ABS(DY141)&lt;=0.25,$E141="Bottom",DN141="LL"),"EQL",IF(AND(ABS(DY141)&lt;=0.25,$E141="Peak",DN141="HH"),"EQH","")))</f>
        <v/>
      </c>
      <c r="EK141" s="15" t="str">
        <f>IF(DZ141="","",IF(AND(ABS(DZ141)&lt;=0.25,$E141="Bottom",DO141="LL"),"EQL",IF(AND(ABS(DZ141)&lt;=0.25,$E141="Peak",DO141="HH"),"EQH","")))</f>
        <v/>
      </c>
      <c r="EL141" s="15" t="str">
        <f>IF(EA141="","",IF(AND(ABS(EA141)&lt;=0.25,$E141="Bottom",DP141="LL"),"EQL",IF(AND(ABS(EA141)&lt;=0.25,$E141="Peak",DP141="HH"),"EQH","")))</f>
        <v/>
      </c>
      <c r="EM141" s="15" t="str">
        <f>IF(EB141="","",IF(AND(ABS(EB141)&lt;=0.25,$E141="Bottom",DQ141="LL"),"EQL",IF(AND(ABS(EB141)&lt;=0.25,$E141="Peak",DQ141="HH"),"EQH","")))</f>
        <v/>
      </c>
      <c r="EN141" s="15" t="str">
        <f>IF(EC141="","",IF(AND(ABS(EC141)&lt;=0.25,$E141="Bottom",DR141="LL"),"EQL",IF(AND(ABS(EC141)&lt;=0.25,$E141="Peak",DR141="HH"),"EQH","")))</f>
        <v/>
      </c>
      <c r="EO141" s="15" t="str">
        <f>IF(ED141="","",IF(AND(ABS(ED141)&lt;=0.25,$E141="Bottom",DS141="LL"),"EQL",IF(AND(ABS(ED141)&lt;=0.25,$E141="Peak",DS141="HH"),"EQH","")))</f>
        <v/>
      </c>
      <c r="EP141" s="15" t="str">
        <f>IF(EE141="","",IF(AND(ABS(EE141)&lt;=0.25,$E141="Bottom",DT141="LL"),"EQL",IF(AND(ABS(EE141)&lt;=0.25,$E141="Peak",DT141="HH"),"EQH","")))</f>
        <v/>
      </c>
      <c r="EQ141" s="15" t="str">
        <f>IF(EF141="","",IF(AND(ABS(EF141)&lt;=0.25,$E141="Bottom",DU141="LL"),"EQL",IF(AND(ABS(EF141)&lt;=0.25,$E141="Peak",DU141="HH"),"EQH","")))</f>
        <v/>
      </c>
      <c r="ER141" s="15" t="str">
        <f>IF(OR(EG141="EQL",EG141="EQH"),F141,"")</f>
        <v/>
      </c>
      <c r="ES141" s="15" t="str">
        <f>IF(OR(EH141="EQL",EH141="EQH"),G141,"")</f>
        <v/>
      </c>
      <c r="ET141" s="15" t="str">
        <f>IF(OR(EI141="EQL",EI141="EQH"),H141,"")</f>
        <v/>
      </c>
      <c r="EU141" s="15" t="str">
        <f>IF(OR(EJ141="EQL",EJ141="EQH"),I141,"")</f>
        <v/>
      </c>
      <c r="EV141" s="15" t="str">
        <f>IF(OR(EK141="EQL",EK141="EQH"),J141,"")</f>
        <v/>
      </c>
      <c r="EW141" s="15" t="str">
        <f>IF(OR(EL141="EQL",EL141="EQH"),K141,"")</f>
        <v/>
      </c>
      <c r="EX141" s="15" t="str">
        <f>IF(OR(EM141="EQL",EM141="EQH"),L141,"")</f>
        <v/>
      </c>
      <c r="EY141" s="15" t="str">
        <f>IF(OR(EN141="EQL",EN141="EQH"),M141,"")</f>
        <v/>
      </c>
      <c r="EZ141" s="15" t="str">
        <f>IF(OR(EO141="EQL",EO141="EQH"),N141,"")</f>
        <v/>
      </c>
      <c r="FA141" s="15" t="str">
        <f>IF(OR(EP141="EQL",EP141="EQH"),O141,"")</f>
        <v/>
      </c>
      <c r="FB141" s="15" t="str">
        <f>IF(OR(EQ141="EQL",EQ141="EQH"),P141,"")</f>
        <v/>
      </c>
      <c r="FC141" s="15" t="str">
        <f>IF(AND(EG141="EQL",OR(AQ141=4,AQ141=5)),"IEQL",IF(AND(EG141="EQH",OR(AQ141=1,AQ141=2)),"IEQH",""))</f>
        <v/>
      </c>
      <c r="FD141" s="15" t="str">
        <f>IF(AND(EH141="EQL",OR(AR141=4,AR141=5)),"IEQL",IF(AND(EH141="EQH",OR(AR141=1,AR141=2)),"IEQH",""))</f>
        <v/>
      </c>
      <c r="FE141" s="15" t="str">
        <f>IF(AND(EI141="EQL",OR(AS141=4,AS141=5)),"IEQL",IF(AND(EI141="EQH",OR(AS141=1,AS141=2)),"IEQH",""))</f>
        <v/>
      </c>
      <c r="FF141" s="15" t="str">
        <f>IF(AND(EJ141="EQL",OR(AT141=4,AT141=5)),"IEQL",IF(AND(EJ141="EQH",OR(AT141=1,AT141=2)),"IEQH",""))</f>
        <v/>
      </c>
      <c r="FG141" s="15" t="str">
        <f>IF(AND(EK141="EQL",OR(AU141=4,AU141=5)),"IEQL",IF(AND(EK141="EQH",OR(AU141=1,AU141=2)),"IEQH",""))</f>
        <v/>
      </c>
      <c r="FH141" s="15" t="str">
        <f>IF(AND(EL141="EQL",OR(AV141=4,AV141=5)),"IEQL",IF(AND(EL141="EQH",OR(AV141=1,AV141=2)),"IEQH",""))</f>
        <v/>
      </c>
      <c r="FI141" s="15" t="str">
        <f>IF(AND(EM141="EQL",OR(AW141=4,AW141=5)),"IEQL",IF(AND(EM141="EQH",OR(AW141=1,AW141=2)),"IEQH",""))</f>
        <v/>
      </c>
      <c r="FJ141" s="15" t="str">
        <f>IF(AND(EN141="EQL",OR(AX141=4,AX141=5)),"IEQL",IF(AND(EN141="EQH",OR(AX141=1,AX141=2)),"IEQH",""))</f>
        <v/>
      </c>
      <c r="FK141" s="15" t="str">
        <f>IF(AND(EO141="EQL",OR(AY141=4,AY141=5)),"IEQL",IF(AND(EO141="EQH",OR(AY141=1,AY141=2)),"IEQH",""))</f>
        <v/>
      </c>
      <c r="FL141" s="15" t="str">
        <f>IF(AND(EP141="EQL",OR(AZ141=4,AZ141=5)),"IEQL",IF(AND(EP141="EQH",OR(AZ141=1,AZ141=2)),"IEQH",""))</f>
        <v/>
      </c>
      <c r="FM141" s="15" t="str">
        <f>IF(AND(EQ141="EQL",OR(BA141=4,BA141=5)),"IEQL",IF(AND(EQ141="EQH",OR(BA141=1,BA141=2)),"IEQH",""))</f>
        <v/>
      </c>
      <c r="FN141" s="15" t="str">
        <f>IF(OR(AND(DJ141="LL",AP141=5),AND(DJ141="HH",AP141=2)),F141,"")</f>
        <v/>
      </c>
      <c r="FO141" s="15" t="str">
        <f>IF(FN141&lt;&gt;"",F140,"")</f>
        <v/>
      </c>
    </row>
    <row r="142" spans="1:171" s="15" customFormat="1" x14ac:dyDescent="0.55000000000000004">
      <c r="A142" s="15">
        <v>1777523406</v>
      </c>
      <c r="B142" s="15" t="s">
        <v>16</v>
      </c>
      <c r="C142" s="15" t="s">
        <v>17</v>
      </c>
      <c r="D142" s="15">
        <v>4544.74</v>
      </c>
      <c r="E142" s="15" t="s">
        <v>18</v>
      </c>
      <c r="F142" s="15">
        <v>4540.82</v>
      </c>
      <c r="G142" s="15">
        <f t="shared" si="440"/>
        <v>4518.41</v>
      </c>
      <c r="H142" s="15">
        <f t="shared" si="450"/>
        <v>4510.28</v>
      </c>
      <c r="I142" s="15">
        <f t="shared" si="460"/>
        <v>4575.84</v>
      </c>
      <c r="J142" s="15">
        <f t="shared" si="470"/>
        <v>4587.93</v>
      </c>
      <c r="K142" s="15">
        <f t="shared" si="480"/>
        <v>4555.12</v>
      </c>
      <c r="L142" s="15">
        <f t="shared" ref="L142:L172" si="490">F130</f>
        <v>4667.32</v>
      </c>
      <c r="M142" s="15">
        <f t="shared" si="390"/>
        <v>4699.29</v>
      </c>
      <c r="N142" s="15">
        <f t="shared" si="400"/>
        <v>4672.3500000000004</v>
      </c>
      <c r="O142" s="15">
        <f t="shared" si="410"/>
        <v>4674.72</v>
      </c>
      <c r="P142" s="15">
        <f t="shared" si="420"/>
        <v>4658.17</v>
      </c>
      <c r="Q142" s="15">
        <f t="shared" si="430"/>
        <v>4664.3</v>
      </c>
      <c r="R142" s="15">
        <v>-41.5</v>
      </c>
      <c r="S142" s="15">
        <f t="shared" si="441"/>
        <v>-46.34</v>
      </c>
      <c r="T142" s="15">
        <f t="shared" si="451"/>
        <v>-97.49</v>
      </c>
      <c r="U142" s="15">
        <f t="shared" si="461"/>
        <v>-34.31</v>
      </c>
      <c r="V142" s="15">
        <f t="shared" si="471"/>
        <v>-13.56</v>
      </c>
      <c r="W142" s="15">
        <f t="shared" si="481"/>
        <v>-146.02000000000001</v>
      </c>
      <c r="X142" s="15">
        <f t="shared" ref="X142:X172" si="491">R130</f>
        <v>-45.27</v>
      </c>
      <c r="Y142" s="15">
        <f t="shared" si="391"/>
        <v>-30.63</v>
      </c>
      <c r="Z142" s="15">
        <f t="shared" si="401"/>
        <v>-68.14</v>
      </c>
      <c r="AA142" s="15">
        <f t="shared" si="411"/>
        <v>-22.7</v>
      </c>
      <c r="AB142" s="15">
        <f t="shared" si="421"/>
        <v>-53.06</v>
      </c>
      <c r="AC142" s="15">
        <f t="shared" si="431"/>
        <v>-78.92</v>
      </c>
      <c r="AD142" s="15">
        <v>-0.91</v>
      </c>
      <c r="AE142" s="15">
        <f t="shared" si="442"/>
        <v>-1.02</v>
      </c>
      <c r="AF142" s="15">
        <f t="shared" si="452"/>
        <v>-2.12</v>
      </c>
      <c r="AG142" s="15">
        <f t="shared" si="462"/>
        <v>-0.74</v>
      </c>
      <c r="AH142" s="15">
        <f t="shared" si="472"/>
        <v>-0.28999999999999998</v>
      </c>
      <c r="AI142" s="15">
        <f t="shared" si="482"/>
        <v>-3.11</v>
      </c>
      <c r="AJ142" s="15">
        <f t="shared" ref="AJ142:AJ172" si="492">AD130</f>
        <v>-0.96</v>
      </c>
      <c r="AK142" s="15">
        <f t="shared" si="392"/>
        <v>-0.65</v>
      </c>
      <c r="AL142" s="15">
        <f t="shared" si="402"/>
        <v>-1.44</v>
      </c>
      <c r="AM142" s="15">
        <f t="shared" si="412"/>
        <v>-0.48</v>
      </c>
      <c r="AN142" s="15">
        <f t="shared" si="422"/>
        <v>-1.1299999999999999</v>
      </c>
      <c r="AO142" s="15">
        <f t="shared" si="432"/>
        <v>-1.66</v>
      </c>
      <c r="AP142" s="15">
        <v>3</v>
      </c>
      <c r="AQ142" s="15">
        <f t="shared" si="443"/>
        <v>3</v>
      </c>
      <c r="AR142" s="15">
        <f t="shared" si="453"/>
        <v>4</v>
      </c>
      <c r="AS142" s="15">
        <f t="shared" si="463"/>
        <v>3</v>
      </c>
      <c r="AT142" s="15">
        <f t="shared" si="473"/>
        <v>3</v>
      </c>
      <c r="AU142" s="15">
        <f t="shared" si="483"/>
        <v>5</v>
      </c>
      <c r="AV142" s="15">
        <f t="shared" ref="AV142:AV172" si="493">AP130</f>
        <v>3</v>
      </c>
      <c r="AW142" s="15">
        <f t="shared" si="393"/>
        <v>3</v>
      </c>
      <c r="AX142" s="15">
        <f t="shared" si="403"/>
        <v>3</v>
      </c>
      <c r="AY142" s="15">
        <f t="shared" si="413"/>
        <v>3</v>
      </c>
      <c r="AZ142" s="15">
        <f t="shared" si="423"/>
        <v>3</v>
      </c>
      <c r="BA142" s="15">
        <f t="shared" si="433"/>
        <v>3</v>
      </c>
      <c r="BB142" s="15">
        <v>11</v>
      </c>
      <c r="BC142" s="15">
        <f t="shared" si="444"/>
        <v>11</v>
      </c>
      <c r="BD142" s="15">
        <f t="shared" si="454"/>
        <v>35</v>
      </c>
      <c r="BE142" s="15">
        <f t="shared" si="464"/>
        <v>4</v>
      </c>
      <c r="BF142" s="15">
        <f t="shared" si="474"/>
        <v>20</v>
      </c>
      <c r="BG142" s="15">
        <f t="shared" si="484"/>
        <v>48</v>
      </c>
      <c r="BH142" s="15">
        <f t="shared" ref="BH142:BH172" si="494">BB130</f>
        <v>11</v>
      </c>
      <c r="BI142" s="15">
        <f t="shared" si="394"/>
        <v>20</v>
      </c>
      <c r="BJ142" s="15">
        <f t="shared" si="404"/>
        <v>36</v>
      </c>
      <c r="BK142" s="15">
        <f t="shared" si="414"/>
        <v>9</v>
      </c>
      <c r="BL142" s="15">
        <f t="shared" si="424"/>
        <v>13</v>
      </c>
      <c r="BM142" s="15">
        <f t="shared" si="434"/>
        <v>20</v>
      </c>
      <c r="BN142" s="15">
        <v>3</v>
      </c>
      <c r="BO142" s="15">
        <f t="shared" si="445"/>
        <v>3</v>
      </c>
      <c r="BP142" s="15">
        <f t="shared" si="455"/>
        <v>3</v>
      </c>
      <c r="BQ142" s="15">
        <f t="shared" si="465"/>
        <v>3</v>
      </c>
      <c r="BR142" s="15">
        <f t="shared" si="475"/>
        <v>3</v>
      </c>
      <c r="BS142" s="15">
        <f t="shared" si="485"/>
        <v>5</v>
      </c>
      <c r="BT142" s="15">
        <f t="shared" ref="BT142:BT172" si="495">BN130</f>
        <v>3</v>
      </c>
      <c r="BU142" s="15">
        <f t="shared" si="395"/>
        <v>3</v>
      </c>
      <c r="BV142" s="15">
        <f t="shared" si="405"/>
        <v>4</v>
      </c>
      <c r="BW142" s="15">
        <f t="shared" si="415"/>
        <v>3</v>
      </c>
      <c r="BX142" s="15">
        <f t="shared" si="425"/>
        <v>3</v>
      </c>
      <c r="BY142" s="15">
        <f t="shared" si="435"/>
        <v>3</v>
      </c>
      <c r="BZ142" s="15">
        <v>-3.7727300000000001</v>
      </c>
      <c r="CA142" s="15">
        <f t="shared" si="446"/>
        <v>-4.2127299999999996</v>
      </c>
      <c r="CB142" s="15">
        <f t="shared" si="456"/>
        <v>-2.7854299999999999</v>
      </c>
      <c r="CC142" s="15">
        <f t="shared" si="466"/>
        <v>-8.5775000000000006</v>
      </c>
      <c r="CD142" s="15">
        <f t="shared" si="476"/>
        <v>-0.67800000000000005</v>
      </c>
      <c r="CE142" s="15">
        <f t="shared" si="486"/>
        <v>-3.0420799999999999</v>
      </c>
      <c r="CF142" s="15">
        <f t="shared" ref="CF142:CF172" si="496">BZ130</f>
        <v>-4.1154500000000001</v>
      </c>
      <c r="CG142" s="15">
        <f t="shared" si="396"/>
        <v>-1.5315000000000001</v>
      </c>
      <c r="CH142" s="15">
        <f t="shared" si="406"/>
        <v>-1.8927799999999999</v>
      </c>
      <c r="CI142" s="15">
        <f t="shared" si="416"/>
        <v>-2.5222199999999999</v>
      </c>
      <c r="CJ142" s="15">
        <f t="shared" si="426"/>
        <v>-4.0815400000000004</v>
      </c>
      <c r="CK142" s="15">
        <f t="shared" si="436"/>
        <v>-3.9460000000000002</v>
      </c>
      <c r="CL142" s="15">
        <v>3</v>
      </c>
      <c r="CM142" s="15">
        <f t="shared" si="447"/>
        <v>3</v>
      </c>
      <c r="CN142" s="15">
        <f t="shared" si="457"/>
        <v>3</v>
      </c>
      <c r="CO142" s="15">
        <f t="shared" si="467"/>
        <v>3</v>
      </c>
      <c r="CP142" s="15">
        <f t="shared" si="477"/>
        <v>3</v>
      </c>
      <c r="CQ142" s="15">
        <f t="shared" si="487"/>
        <v>3</v>
      </c>
      <c r="CR142" s="15">
        <f t="shared" ref="CR142:CR172" si="497">CL130</f>
        <v>3</v>
      </c>
      <c r="CS142" s="15">
        <f t="shared" si="397"/>
        <v>3</v>
      </c>
      <c r="CT142" s="15">
        <f t="shared" si="407"/>
        <v>3</v>
      </c>
      <c r="CU142" s="15">
        <f t="shared" si="417"/>
        <v>3</v>
      </c>
      <c r="CV142" s="15">
        <f t="shared" si="427"/>
        <v>3</v>
      </c>
      <c r="CW142" s="15">
        <f t="shared" si="437"/>
        <v>3</v>
      </c>
      <c r="CX142" s="15">
        <v>-75.154499999999999</v>
      </c>
      <c r="CY142" s="15">
        <f t="shared" si="448"/>
        <v>-76.646500000000003</v>
      </c>
      <c r="CZ142" s="15">
        <f t="shared" si="458"/>
        <v>-70.251300000000001</v>
      </c>
      <c r="DA142" s="15">
        <f t="shared" si="468"/>
        <v>-83.350200000000001</v>
      </c>
      <c r="DB142" s="15">
        <f t="shared" si="478"/>
        <v>-34.137300000000003</v>
      </c>
      <c r="DC142" s="15">
        <f t="shared" si="488"/>
        <v>-71.803200000000004</v>
      </c>
      <c r="DD142" s="15">
        <f t="shared" ref="DD142:DD172" si="498">CX130</f>
        <v>-76.342600000000004</v>
      </c>
      <c r="DE142" s="15">
        <f t="shared" si="398"/>
        <v>-56.857300000000002</v>
      </c>
      <c r="DF142" s="15">
        <f t="shared" si="408"/>
        <v>-62.151400000000002</v>
      </c>
      <c r="DG142" s="15">
        <f t="shared" si="418"/>
        <v>-68.372900000000001</v>
      </c>
      <c r="DH142" s="15">
        <f t="shared" si="428"/>
        <v>-76.233400000000003</v>
      </c>
      <c r="DI142" s="15">
        <f t="shared" si="438"/>
        <v>-75.779399999999995</v>
      </c>
      <c r="DJ142" s="15" t="s">
        <v>22</v>
      </c>
      <c r="DK142" s="15" t="str">
        <f t="shared" si="449"/>
        <v>HL</v>
      </c>
      <c r="DL142" s="15" t="str">
        <f t="shared" si="459"/>
        <v>LL</v>
      </c>
      <c r="DM142" s="15" t="str">
        <f t="shared" si="469"/>
        <v>LL</v>
      </c>
      <c r="DN142" s="15" t="str">
        <f t="shared" si="479"/>
        <v>HL</v>
      </c>
      <c r="DO142" s="15" t="str">
        <f t="shared" si="489"/>
        <v>LL</v>
      </c>
      <c r="DP142" s="15" t="str">
        <f t="shared" ref="DP142:DP172" si="499">DJ130</f>
        <v>LL</v>
      </c>
      <c r="DQ142" s="15" t="str">
        <f t="shared" si="399"/>
        <v>HL</v>
      </c>
      <c r="DR142" s="15" t="str">
        <f t="shared" si="409"/>
        <v>LL</v>
      </c>
      <c r="DS142" s="15" t="str">
        <f t="shared" si="419"/>
        <v>HL</v>
      </c>
      <c r="DT142" s="15" t="str">
        <f t="shared" si="429"/>
        <v>LL</v>
      </c>
      <c r="DU142" s="15" t="str">
        <f t="shared" si="439"/>
        <v>LL</v>
      </c>
      <c r="DV142" s="15">
        <f>IFERROR((G142-$F142)/$F142*100,"")</f>
        <v>-0.49352319625089425</v>
      </c>
      <c r="DW142" s="15">
        <f>IFERROR((H142-$F142)/$F142*100,"")</f>
        <v>-0.67256574803669744</v>
      </c>
      <c r="DX142" s="15">
        <f>IFERROR((I142-$F142)/$F142*100,"")</f>
        <v>0.77122634237869891</v>
      </c>
      <c r="DY142" s="15">
        <f>IFERROR((J142-$F142)/$F142*100,"")</f>
        <v>1.037477812377513</v>
      </c>
      <c r="DZ142" s="15">
        <f>IFERROR((K142-$F142)/$F142*100,"")</f>
        <v>0.3149210935469845</v>
      </c>
      <c r="EA142" s="15">
        <f>IFERROR((L142-$F142)/$F142*100,"")</f>
        <v>2.785840442915597</v>
      </c>
      <c r="EB142" s="15">
        <f>IFERROR((M142-$F142)/$F142*100,"")</f>
        <v>3.489898300306999</v>
      </c>
      <c r="EC142" s="15">
        <f>IFERROR((N142-$F142)/$F142*100,"")</f>
        <v>2.8966133870094097</v>
      </c>
      <c r="ED142" s="15">
        <f>IFERROR((O142-$F142)/$F142*100,"")</f>
        <v>2.9488066032126481</v>
      </c>
      <c r="EE142" s="15">
        <f>IFERROR((P142-$F142)/$F142*100,"")</f>
        <v>2.5843349879537256</v>
      </c>
      <c r="EF142" s="15">
        <f>IFERROR((Q142-$F142)/$F142*100,"")</f>
        <v>2.7193326315511404</v>
      </c>
      <c r="EG142" s="15" t="str">
        <f>IF(DV142="","",IF(AND(ABS(DV142)&lt;=0.25,$E142="Bottom",DK142="LL"),"EQL",IF(AND(ABS(DV142)&lt;=0.25,$E142="Peak",DK142="HH"),"EQH","")))</f>
        <v/>
      </c>
      <c r="EH142" s="15" t="str">
        <f>IF(DW142="","",IF(AND(ABS(DW142)&lt;=0.25,$E142="Bottom",DL142="LL"),"EQL",IF(AND(ABS(DW142)&lt;=0.25,$E142="Peak",DL142="HH"),"EQH","")))</f>
        <v/>
      </c>
      <c r="EI142" s="15" t="str">
        <f>IF(DX142="","",IF(AND(ABS(DX142)&lt;=0.25,$E142="Bottom",DM142="LL"),"EQL",IF(AND(ABS(DX142)&lt;=0.25,$E142="Peak",DM142="HH"),"EQH","")))</f>
        <v/>
      </c>
      <c r="EJ142" s="15" t="str">
        <f>IF(DY142="","",IF(AND(ABS(DY142)&lt;=0.25,$E142="Bottom",DN142="LL"),"EQL",IF(AND(ABS(DY142)&lt;=0.25,$E142="Peak",DN142="HH"),"EQH","")))</f>
        <v/>
      </c>
      <c r="EK142" s="15" t="str">
        <f>IF(DZ142="","",IF(AND(ABS(DZ142)&lt;=0.25,$E142="Bottom",DO142="LL"),"EQL",IF(AND(ABS(DZ142)&lt;=0.25,$E142="Peak",DO142="HH"),"EQH","")))</f>
        <v/>
      </c>
      <c r="EL142" s="15" t="str">
        <f>IF(EA142="","",IF(AND(ABS(EA142)&lt;=0.25,$E142="Bottom",DP142="LL"),"EQL",IF(AND(ABS(EA142)&lt;=0.25,$E142="Peak",DP142="HH"),"EQH","")))</f>
        <v/>
      </c>
      <c r="EM142" s="15" t="str">
        <f>IF(EB142="","",IF(AND(ABS(EB142)&lt;=0.25,$E142="Bottom",DQ142="LL"),"EQL",IF(AND(ABS(EB142)&lt;=0.25,$E142="Peak",DQ142="HH"),"EQH","")))</f>
        <v/>
      </c>
      <c r="EN142" s="15" t="str">
        <f>IF(EC142="","",IF(AND(ABS(EC142)&lt;=0.25,$E142="Bottom",DR142="LL"),"EQL",IF(AND(ABS(EC142)&lt;=0.25,$E142="Peak",DR142="HH"),"EQH","")))</f>
        <v/>
      </c>
      <c r="EO142" s="15" t="str">
        <f>IF(ED142="","",IF(AND(ABS(ED142)&lt;=0.25,$E142="Bottom",DS142="LL"),"EQL",IF(AND(ABS(ED142)&lt;=0.25,$E142="Peak",DS142="HH"),"EQH","")))</f>
        <v/>
      </c>
      <c r="EP142" s="15" t="str">
        <f>IF(EE142="","",IF(AND(ABS(EE142)&lt;=0.25,$E142="Bottom",DT142="LL"),"EQL",IF(AND(ABS(EE142)&lt;=0.25,$E142="Peak",DT142="HH"),"EQH","")))</f>
        <v/>
      </c>
      <c r="EQ142" s="15" t="str">
        <f>IF(EF142="","",IF(AND(ABS(EF142)&lt;=0.25,$E142="Bottom",DU142="LL"),"EQL",IF(AND(ABS(EF142)&lt;=0.25,$E142="Peak",DU142="HH"),"EQH","")))</f>
        <v/>
      </c>
      <c r="ER142" s="15" t="str">
        <f>IF(OR(EG142="EQL",EG142="EQH"),F142,"")</f>
        <v/>
      </c>
      <c r="ES142" s="15" t="str">
        <f>IF(OR(EH142="EQL",EH142="EQH"),G142,"")</f>
        <v/>
      </c>
      <c r="ET142" s="15" t="str">
        <f>IF(OR(EI142="EQL",EI142="EQH"),H142,"")</f>
        <v/>
      </c>
      <c r="EU142" s="15" t="str">
        <f>IF(OR(EJ142="EQL",EJ142="EQH"),I142,"")</f>
        <v/>
      </c>
      <c r="EV142" s="15" t="str">
        <f>IF(OR(EK142="EQL",EK142="EQH"),J142,"")</f>
        <v/>
      </c>
      <c r="EW142" s="15" t="str">
        <f>IF(OR(EL142="EQL",EL142="EQH"),K142,"")</f>
        <v/>
      </c>
      <c r="EX142" s="15" t="str">
        <f>IF(OR(EM142="EQL",EM142="EQH"),L142,"")</f>
        <v/>
      </c>
      <c r="EY142" s="15" t="str">
        <f>IF(OR(EN142="EQL",EN142="EQH"),M142,"")</f>
        <v/>
      </c>
      <c r="EZ142" s="15" t="str">
        <f>IF(OR(EO142="EQL",EO142="EQH"),N142,"")</f>
        <v/>
      </c>
      <c r="FA142" s="15" t="str">
        <f>IF(OR(EP142="EQL",EP142="EQH"),O142,"")</f>
        <v/>
      </c>
      <c r="FB142" s="15" t="str">
        <f>IF(OR(EQ142="EQL",EQ142="EQH"),P142,"")</f>
        <v/>
      </c>
      <c r="FC142" s="15" t="str">
        <f>IF(AND(EG142="EQL",OR(AQ142=4,AQ142=5)),"IEQL",IF(AND(EG142="EQH",OR(AQ142=1,AQ142=2)),"IEQH",""))</f>
        <v/>
      </c>
      <c r="FD142" s="15" t="str">
        <f>IF(AND(EH142="EQL",OR(AR142=4,AR142=5)),"IEQL",IF(AND(EH142="EQH",OR(AR142=1,AR142=2)),"IEQH",""))</f>
        <v/>
      </c>
      <c r="FE142" s="15" t="str">
        <f>IF(AND(EI142="EQL",OR(AS142=4,AS142=5)),"IEQL",IF(AND(EI142="EQH",OR(AS142=1,AS142=2)),"IEQH",""))</f>
        <v/>
      </c>
      <c r="FF142" s="15" t="str">
        <f>IF(AND(EJ142="EQL",OR(AT142=4,AT142=5)),"IEQL",IF(AND(EJ142="EQH",OR(AT142=1,AT142=2)),"IEQH",""))</f>
        <v/>
      </c>
      <c r="FG142" s="15" t="str">
        <f>IF(AND(EK142="EQL",OR(AU142=4,AU142=5)),"IEQL",IF(AND(EK142="EQH",OR(AU142=1,AU142=2)),"IEQH",""))</f>
        <v/>
      </c>
      <c r="FH142" s="15" t="str">
        <f>IF(AND(EL142="EQL",OR(AV142=4,AV142=5)),"IEQL",IF(AND(EL142="EQH",OR(AV142=1,AV142=2)),"IEQH",""))</f>
        <v/>
      </c>
      <c r="FI142" s="15" t="str">
        <f>IF(AND(EM142="EQL",OR(AW142=4,AW142=5)),"IEQL",IF(AND(EM142="EQH",OR(AW142=1,AW142=2)),"IEQH",""))</f>
        <v/>
      </c>
      <c r="FJ142" s="15" t="str">
        <f>IF(AND(EN142="EQL",OR(AX142=4,AX142=5)),"IEQL",IF(AND(EN142="EQH",OR(AX142=1,AX142=2)),"IEQH",""))</f>
        <v/>
      </c>
      <c r="FK142" s="15" t="str">
        <f>IF(AND(EO142="EQL",OR(AY142=4,AY142=5)),"IEQL",IF(AND(EO142="EQH",OR(AY142=1,AY142=2)),"IEQH",""))</f>
        <v/>
      </c>
      <c r="FL142" s="15" t="str">
        <f>IF(AND(EP142="EQL",OR(AZ142=4,AZ142=5)),"IEQL",IF(AND(EP142="EQH",OR(AZ142=1,AZ142=2)),"IEQH",""))</f>
        <v/>
      </c>
      <c r="FM142" s="15" t="str">
        <f>IF(AND(EQ142="EQL",OR(BA142=4,BA142=5)),"IEQL",IF(AND(EQ142="EQH",OR(BA142=1,BA142=2)),"IEQH",""))</f>
        <v/>
      </c>
      <c r="FN142" s="15" t="str">
        <f>IF(OR(AND(DJ142="LL",AP142=5),AND(DJ142="HH",AP142=2)),F142,"")</f>
        <v/>
      </c>
      <c r="FO142" s="15" t="str">
        <f>IF(FN142&lt;&gt;"",F141,"")</f>
        <v/>
      </c>
    </row>
    <row r="143" spans="1:171" s="15" customFormat="1" x14ac:dyDescent="0.55000000000000004">
      <c r="A143" s="15">
        <v>1777545006</v>
      </c>
      <c r="B143" s="15" t="s">
        <v>16</v>
      </c>
      <c r="C143" s="15" t="s">
        <v>17</v>
      </c>
      <c r="D143" s="15">
        <v>4636.62</v>
      </c>
      <c r="E143" s="15" t="s">
        <v>20</v>
      </c>
      <c r="F143" s="15">
        <v>4647.1000000000004</v>
      </c>
      <c r="G143" s="15">
        <f t="shared" si="440"/>
        <v>4582.32</v>
      </c>
      <c r="H143" s="15">
        <f t="shared" si="450"/>
        <v>4564.75</v>
      </c>
      <c r="I143" s="15">
        <f t="shared" si="460"/>
        <v>4607.7700000000004</v>
      </c>
      <c r="J143" s="15">
        <f t="shared" si="470"/>
        <v>4610.1499999999996</v>
      </c>
      <c r="K143" s="15">
        <f t="shared" si="480"/>
        <v>4601.49</v>
      </c>
      <c r="L143" s="15">
        <f t="shared" si="490"/>
        <v>4701.1400000000003</v>
      </c>
      <c r="M143" s="15">
        <f t="shared" si="390"/>
        <v>4712.59</v>
      </c>
      <c r="N143" s="15">
        <f t="shared" si="400"/>
        <v>4729.92</v>
      </c>
      <c r="O143" s="15">
        <f t="shared" si="410"/>
        <v>4740.49</v>
      </c>
      <c r="P143" s="15">
        <f t="shared" si="420"/>
        <v>4697.42</v>
      </c>
      <c r="Q143" s="15">
        <f t="shared" si="430"/>
        <v>4711.2299999999996</v>
      </c>
      <c r="R143" s="15">
        <v>106.28</v>
      </c>
      <c r="S143" s="15">
        <f t="shared" si="441"/>
        <v>63.91</v>
      </c>
      <c r="T143" s="15">
        <f t="shared" si="451"/>
        <v>54.47</v>
      </c>
      <c r="U143" s="15">
        <f t="shared" si="461"/>
        <v>31.93</v>
      </c>
      <c r="V143" s="15">
        <f t="shared" si="471"/>
        <v>22.22</v>
      </c>
      <c r="W143" s="15">
        <f t="shared" si="481"/>
        <v>46.37</v>
      </c>
      <c r="X143" s="15">
        <f t="shared" si="491"/>
        <v>33.82</v>
      </c>
      <c r="Y143" s="15">
        <f t="shared" si="391"/>
        <v>13.3</v>
      </c>
      <c r="Z143" s="15">
        <f t="shared" si="401"/>
        <v>57.57</v>
      </c>
      <c r="AA143" s="15">
        <f t="shared" si="411"/>
        <v>65.77</v>
      </c>
      <c r="AB143" s="15">
        <f t="shared" si="421"/>
        <v>39.25</v>
      </c>
      <c r="AC143" s="15">
        <f t="shared" si="431"/>
        <v>46.93</v>
      </c>
      <c r="AD143" s="15">
        <v>2.34</v>
      </c>
      <c r="AE143" s="15">
        <f t="shared" si="442"/>
        <v>1.41</v>
      </c>
      <c r="AF143" s="15">
        <f t="shared" si="452"/>
        <v>1.21</v>
      </c>
      <c r="AG143" s="15">
        <f t="shared" si="462"/>
        <v>0.7</v>
      </c>
      <c r="AH143" s="15">
        <f t="shared" si="472"/>
        <v>0.48</v>
      </c>
      <c r="AI143" s="15">
        <f t="shared" si="482"/>
        <v>1.02</v>
      </c>
      <c r="AJ143" s="15">
        <f t="shared" si="492"/>
        <v>0.72</v>
      </c>
      <c r="AK143" s="15">
        <f t="shared" si="392"/>
        <v>0.28000000000000003</v>
      </c>
      <c r="AL143" s="15">
        <f t="shared" si="402"/>
        <v>1.23</v>
      </c>
      <c r="AM143" s="15">
        <f t="shared" si="412"/>
        <v>1.41</v>
      </c>
      <c r="AN143" s="15">
        <f t="shared" si="422"/>
        <v>0.84</v>
      </c>
      <c r="AO143" s="15">
        <f t="shared" si="432"/>
        <v>1.01</v>
      </c>
      <c r="AP143" s="15">
        <v>1</v>
      </c>
      <c r="AQ143" s="15">
        <f t="shared" si="443"/>
        <v>0</v>
      </c>
      <c r="AR143" s="15">
        <f t="shared" si="453"/>
        <v>0</v>
      </c>
      <c r="AS143" s="15">
        <f t="shared" si="463"/>
        <v>0</v>
      </c>
      <c r="AT143" s="15">
        <f t="shared" si="473"/>
        <v>0</v>
      </c>
      <c r="AU143" s="15">
        <f t="shared" si="483"/>
        <v>0</v>
      </c>
      <c r="AV143" s="15">
        <f t="shared" si="493"/>
        <v>0</v>
      </c>
      <c r="AW143" s="15">
        <f t="shared" si="393"/>
        <v>0</v>
      </c>
      <c r="AX143" s="15">
        <f t="shared" si="403"/>
        <v>0</v>
      </c>
      <c r="AY143" s="15">
        <f t="shared" si="413"/>
        <v>0</v>
      </c>
      <c r="AZ143" s="15">
        <f t="shared" si="423"/>
        <v>0</v>
      </c>
      <c r="BA143" s="15">
        <f t="shared" si="433"/>
        <v>0</v>
      </c>
      <c r="BB143" s="15">
        <v>24</v>
      </c>
      <c r="BC143" s="15">
        <f t="shared" si="444"/>
        <v>24</v>
      </c>
      <c r="BD143" s="15">
        <f t="shared" si="454"/>
        <v>9</v>
      </c>
      <c r="BE143" s="15">
        <f t="shared" si="464"/>
        <v>16</v>
      </c>
      <c r="BF143" s="15">
        <f t="shared" si="474"/>
        <v>2</v>
      </c>
      <c r="BG143" s="15">
        <f t="shared" si="484"/>
        <v>22</v>
      </c>
      <c r="BH143" s="15">
        <f t="shared" si="494"/>
        <v>32</v>
      </c>
      <c r="BI143" s="15">
        <f t="shared" si="394"/>
        <v>11</v>
      </c>
      <c r="BJ143" s="15">
        <f t="shared" si="404"/>
        <v>18</v>
      </c>
      <c r="BK143" s="15">
        <f t="shared" si="414"/>
        <v>14</v>
      </c>
      <c r="BL143" s="15">
        <f t="shared" si="424"/>
        <v>15</v>
      </c>
      <c r="BM143" s="15">
        <f t="shared" si="434"/>
        <v>26</v>
      </c>
      <c r="BN143" s="15">
        <v>0</v>
      </c>
      <c r="BO143" s="15">
        <f t="shared" si="445"/>
        <v>0</v>
      </c>
      <c r="BP143" s="15">
        <f t="shared" si="455"/>
        <v>0</v>
      </c>
      <c r="BQ143" s="15">
        <f t="shared" si="465"/>
        <v>0</v>
      </c>
      <c r="BR143" s="15">
        <f t="shared" si="475"/>
        <v>0</v>
      </c>
      <c r="BS143" s="15">
        <f t="shared" si="485"/>
        <v>0</v>
      </c>
      <c r="BT143" s="15">
        <f t="shared" si="495"/>
        <v>0</v>
      </c>
      <c r="BU143" s="15">
        <f t="shared" si="395"/>
        <v>0</v>
      </c>
      <c r="BV143" s="15">
        <f t="shared" si="405"/>
        <v>0</v>
      </c>
      <c r="BW143" s="15">
        <f t="shared" si="415"/>
        <v>0</v>
      </c>
      <c r="BX143" s="15">
        <f t="shared" si="425"/>
        <v>0</v>
      </c>
      <c r="BY143" s="15">
        <f t="shared" si="435"/>
        <v>0</v>
      </c>
      <c r="BZ143" s="15">
        <v>4.4283299999999999</v>
      </c>
      <c r="CA143" s="15">
        <f t="shared" si="446"/>
        <v>2.6629200000000002</v>
      </c>
      <c r="CB143" s="15">
        <f t="shared" si="456"/>
        <v>6.0522200000000002</v>
      </c>
      <c r="CC143" s="15">
        <f t="shared" si="466"/>
        <v>1.99563</v>
      </c>
      <c r="CD143" s="15">
        <f t="shared" si="476"/>
        <v>11.11</v>
      </c>
      <c r="CE143" s="15">
        <f t="shared" si="486"/>
        <v>2.1077300000000001</v>
      </c>
      <c r="CF143" s="15">
        <f t="shared" si="496"/>
        <v>1.05688</v>
      </c>
      <c r="CG143" s="15">
        <f t="shared" si="396"/>
        <v>1.20909</v>
      </c>
      <c r="CH143" s="15">
        <f t="shared" si="406"/>
        <v>3.1983299999999999</v>
      </c>
      <c r="CI143" s="15">
        <f t="shared" si="416"/>
        <v>4.6978600000000004</v>
      </c>
      <c r="CJ143" s="15">
        <f t="shared" si="426"/>
        <v>2.6166700000000001</v>
      </c>
      <c r="CK143" s="15">
        <f t="shared" si="436"/>
        <v>1.8049999999999999</v>
      </c>
      <c r="CL143" s="15">
        <v>0</v>
      </c>
      <c r="CM143" s="15">
        <f t="shared" si="447"/>
        <v>0</v>
      </c>
      <c r="CN143" s="15">
        <f t="shared" si="457"/>
        <v>0</v>
      </c>
      <c r="CO143" s="15">
        <f t="shared" si="467"/>
        <v>0</v>
      </c>
      <c r="CP143" s="15">
        <f t="shared" si="477"/>
        <v>0</v>
      </c>
      <c r="CQ143" s="15">
        <f t="shared" si="487"/>
        <v>0</v>
      </c>
      <c r="CR143" s="15">
        <f t="shared" si="497"/>
        <v>0</v>
      </c>
      <c r="CS143" s="15">
        <f t="shared" si="397"/>
        <v>0</v>
      </c>
      <c r="CT143" s="15">
        <f t="shared" si="407"/>
        <v>0</v>
      </c>
      <c r="CU143" s="15">
        <f t="shared" si="417"/>
        <v>0</v>
      </c>
      <c r="CV143" s="15">
        <f t="shared" si="427"/>
        <v>0</v>
      </c>
      <c r="CW143" s="15">
        <f t="shared" si="437"/>
        <v>0</v>
      </c>
      <c r="CX143" s="15">
        <v>77.275000000000006</v>
      </c>
      <c r="CY143" s="15">
        <f t="shared" si="448"/>
        <v>69.417400000000001</v>
      </c>
      <c r="CZ143" s="15">
        <f t="shared" si="458"/>
        <v>80.617900000000006</v>
      </c>
      <c r="DA143" s="15">
        <f t="shared" si="468"/>
        <v>63.384700000000002</v>
      </c>
      <c r="DB143" s="15">
        <f t="shared" si="478"/>
        <v>84.856700000000004</v>
      </c>
      <c r="DC143" s="15">
        <f t="shared" si="488"/>
        <v>64.618200000000002</v>
      </c>
      <c r="DD143" s="15">
        <f t="shared" si="498"/>
        <v>46.5839</v>
      </c>
      <c r="DE143" s="15">
        <f t="shared" si="398"/>
        <v>50.4069</v>
      </c>
      <c r="DF143" s="15">
        <f t="shared" si="408"/>
        <v>72.637500000000003</v>
      </c>
      <c r="DG143" s="15">
        <f t="shared" si="418"/>
        <v>77.983199999999997</v>
      </c>
      <c r="DH143" s="15">
        <f t="shared" si="428"/>
        <v>69.084900000000005</v>
      </c>
      <c r="DI143" s="15">
        <f t="shared" si="438"/>
        <v>61.012799999999999</v>
      </c>
      <c r="DJ143" s="15" t="s">
        <v>23</v>
      </c>
      <c r="DK143" s="15" t="str">
        <f t="shared" si="449"/>
        <v>HH</v>
      </c>
      <c r="DL143" s="15" t="str">
        <f t="shared" si="459"/>
        <v>LH</v>
      </c>
      <c r="DM143" s="15" t="str">
        <f t="shared" si="469"/>
        <v>LH</v>
      </c>
      <c r="DN143" s="15" t="str">
        <f t="shared" si="479"/>
        <v>HH</v>
      </c>
      <c r="DO143" s="15" t="str">
        <f t="shared" si="489"/>
        <v>LH</v>
      </c>
      <c r="DP143" s="15" t="str">
        <f t="shared" si="499"/>
        <v>LH</v>
      </c>
      <c r="DQ143" s="15" t="str">
        <f t="shared" si="399"/>
        <v>LH</v>
      </c>
      <c r="DR143" s="15" t="str">
        <f t="shared" si="409"/>
        <v>LH</v>
      </c>
      <c r="DS143" s="15" t="str">
        <f t="shared" si="419"/>
        <v>HH</v>
      </c>
      <c r="DT143" s="15" t="str">
        <f t="shared" si="429"/>
        <v>LH</v>
      </c>
      <c r="DU143" s="15" t="str">
        <f t="shared" si="439"/>
        <v>LH</v>
      </c>
      <c r="DV143" s="15">
        <f>IFERROR((G143-$F143)/$F143*100,"")</f>
        <v>-1.3939876482107261</v>
      </c>
      <c r="DW143" s="15">
        <f>IFERROR((H143-$F143)/$F143*100,"")</f>
        <v>-1.7720729056831217</v>
      </c>
      <c r="DX143" s="15">
        <f>IFERROR((I143-$F143)/$F143*100,"")</f>
        <v>-0.8463342729874529</v>
      </c>
      <c r="DY143" s="15">
        <f>IFERROR((J143-$F143)/$F143*100,"")</f>
        <v>-0.79511953691551118</v>
      </c>
      <c r="DZ143" s="15">
        <f>IFERROR((K143-$F143)/$F143*100,"")</f>
        <v>-0.98147231606809804</v>
      </c>
      <c r="EA143" s="15">
        <f>IFERROR((L143-$F143)/$F143*100,"")</f>
        <v>1.1628757719868297</v>
      </c>
      <c r="EB143" s="15">
        <f>IFERROR((M143-$F143)/$F143*100,"")</f>
        <v>1.4092659938456193</v>
      </c>
      <c r="EC143" s="15">
        <f>IFERROR((N143-$F143)/$F143*100,"")</f>
        <v>1.7821867401174862</v>
      </c>
      <c r="ED143" s="15">
        <f>IFERROR((O143-$F143)/$F143*100,"")</f>
        <v>2.0096404209076502</v>
      </c>
      <c r="EE143" s="15">
        <f>IFERROR((P143-$F143)/$F143*100,"")</f>
        <v>1.0828258483785522</v>
      </c>
      <c r="EF143" s="15">
        <f>IFERROR((Q143-$F143)/$F143*100,"")</f>
        <v>1.3800004303759161</v>
      </c>
      <c r="EG143" s="15" t="str">
        <f>IF(DV143="","",IF(AND(ABS(DV143)&lt;=0.25,$E143="Bottom",DK143="LL"),"EQL",IF(AND(ABS(DV143)&lt;=0.25,$E143="Peak",DK143="HH"),"EQH","")))</f>
        <v/>
      </c>
      <c r="EH143" s="15" t="str">
        <f>IF(DW143="","",IF(AND(ABS(DW143)&lt;=0.25,$E143="Bottom",DL143="LL"),"EQL",IF(AND(ABS(DW143)&lt;=0.25,$E143="Peak",DL143="HH"),"EQH","")))</f>
        <v/>
      </c>
      <c r="EI143" s="15" t="str">
        <f>IF(DX143="","",IF(AND(ABS(DX143)&lt;=0.25,$E143="Bottom",DM143="LL"),"EQL",IF(AND(ABS(DX143)&lt;=0.25,$E143="Peak",DM143="HH"),"EQH","")))</f>
        <v/>
      </c>
      <c r="EJ143" s="15" t="str">
        <f>IF(DY143="","",IF(AND(ABS(DY143)&lt;=0.25,$E143="Bottom",DN143="LL"),"EQL",IF(AND(ABS(DY143)&lt;=0.25,$E143="Peak",DN143="HH"),"EQH","")))</f>
        <v/>
      </c>
      <c r="EK143" s="15" t="str">
        <f>IF(DZ143="","",IF(AND(ABS(DZ143)&lt;=0.25,$E143="Bottom",DO143="LL"),"EQL",IF(AND(ABS(DZ143)&lt;=0.25,$E143="Peak",DO143="HH"),"EQH","")))</f>
        <v/>
      </c>
      <c r="EL143" s="15" t="str">
        <f>IF(EA143="","",IF(AND(ABS(EA143)&lt;=0.25,$E143="Bottom",DP143="LL"),"EQL",IF(AND(ABS(EA143)&lt;=0.25,$E143="Peak",DP143="HH"),"EQH","")))</f>
        <v/>
      </c>
      <c r="EM143" s="15" t="str">
        <f>IF(EB143="","",IF(AND(ABS(EB143)&lt;=0.25,$E143="Bottom",DQ143="LL"),"EQL",IF(AND(ABS(EB143)&lt;=0.25,$E143="Peak",DQ143="HH"),"EQH","")))</f>
        <v/>
      </c>
      <c r="EN143" s="15" t="str">
        <f>IF(EC143="","",IF(AND(ABS(EC143)&lt;=0.25,$E143="Bottom",DR143="LL"),"EQL",IF(AND(ABS(EC143)&lt;=0.25,$E143="Peak",DR143="HH"),"EQH","")))</f>
        <v/>
      </c>
      <c r="EO143" s="15" t="str">
        <f>IF(ED143="","",IF(AND(ABS(ED143)&lt;=0.25,$E143="Bottom",DS143="LL"),"EQL",IF(AND(ABS(ED143)&lt;=0.25,$E143="Peak",DS143="HH"),"EQH","")))</f>
        <v/>
      </c>
      <c r="EP143" s="15" t="str">
        <f>IF(EE143="","",IF(AND(ABS(EE143)&lt;=0.25,$E143="Bottom",DT143="LL"),"EQL",IF(AND(ABS(EE143)&lt;=0.25,$E143="Peak",DT143="HH"),"EQH","")))</f>
        <v/>
      </c>
      <c r="EQ143" s="15" t="str">
        <f>IF(EF143="","",IF(AND(ABS(EF143)&lt;=0.25,$E143="Bottom",DU143="LL"),"EQL",IF(AND(ABS(EF143)&lt;=0.25,$E143="Peak",DU143="HH"),"EQH","")))</f>
        <v/>
      </c>
      <c r="ER143" s="15" t="str">
        <f>IF(OR(EG143="EQL",EG143="EQH"),F143,"")</f>
        <v/>
      </c>
      <c r="ES143" s="15" t="str">
        <f>IF(OR(EH143="EQL",EH143="EQH"),G143,"")</f>
        <v/>
      </c>
      <c r="ET143" s="15" t="str">
        <f>IF(OR(EI143="EQL",EI143="EQH"),H143,"")</f>
        <v/>
      </c>
      <c r="EU143" s="15" t="str">
        <f>IF(OR(EJ143="EQL",EJ143="EQH"),I143,"")</f>
        <v/>
      </c>
      <c r="EV143" s="15" t="str">
        <f>IF(OR(EK143="EQL",EK143="EQH"),J143,"")</f>
        <v/>
      </c>
      <c r="EW143" s="15" t="str">
        <f>IF(OR(EL143="EQL",EL143="EQH"),K143,"")</f>
        <v/>
      </c>
      <c r="EX143" s="15" t="str">
        <f>IF(OR(EM143="EQL",EM143="EQH"),L143,"")</f>
        <v/>
      </c>
      <c r="EY143" s="15" t="str">
        <f>IF(OR(EN143="EQL",EN143="EQH"),M143,"")</f>
        <v/>
      </c>
      <c r="EZ143" s="15" t="str">
        <f>IF(OR(EO143="EQL",EO143="EQH"),N143,"")</f>
        <v/>
      </c>
      <c r="FA143" s="15" t="str">
        <f>IF(OR(EP143="EQL",EP143="EQH"),O143,"")</f>
        <v/>
      </c>
      <c r="FB143" s="15" t="str">
        <f>IF(OR(EQ143="EQL",EQ143="EQH"),P143,"")</f>
        <v/>
      </c>
      <c r="FC143" s="15" t="str">
        <f>IF(AND(EG143="EQL",OR(AQ143=4,AQ143=5)),"IEQL",IF(AND(EG143="EQH",OR(AQ143=1,AQ143=2)),"IEQH",""))</f>
        <v/>
      </c>
      <c r="FD143" s="15" t="str">
        <f>IF(AND(EH143="EQL",OR(AR143=4,AR143=5)),"IEQL",IF(AND(EH143="EQH",OR(AR143=1,AR143=2)),"IEQH",""))</f>
        <v/>
      </c>
      <c r="FE143" s="15" t="str">
        <f>IF(AND(EI143="EQL",OR(AS143=4,AS143=5)),"IEQL",IF(AND(EI143="EQH",OR(AS143=1,AS143=2)),"IEQH",""))</f>
        <v/>
      </c>
      <c r="FF143" s="15" t="str">
        <f>IF(AND(EJ143="EQL",OR(AT143=4,AT143=5)),"IEQL",IF(AND(EJ143="EQH",OR(AT143=1,AT143=2)),"IEQH",""))</f>
        <v/>
      </c>
      <c r="FG143" s="15" t="str">
        <f>IF(AND(EK143="EQL",OR(AU143=4,AU143=5)),"IEQL",IF(AND(EK143="EQH",OR(AU143=1,AU143=2)),"IEQH",""))</f>
        <v/>
      </c>
      <c r="FH143" s="15" t="str">
        <f>IF(AND(EL143="EQL",OR(AV143=4,AV143=5)),"IEQL",IF(AND(EL143="EQH",OR(AV143=1,AV143=2)),"IEQH",""))</f>
        <v/>
      </c>
      <c r="FI143" s="15" t="str">
        <f>IF(AND(EM143="EQL",OR(AW143=4,AW143=5)),"IEQL",IF(AND(EM143="EQH",OR(AW143=1,AW143=2)),"IEQH",""))</f>
        <v/>
      </c>
      <c r="FJ143" s="15" t="str">
        <f>IF(AND(EN143="EQL",OR(AX143=4,AX143=5)),"IEQL",IF(AND(EN143="EQH",OR(AX143=1,AX143=2)),"IEQH",""))</f>
        <v/>
      </c>
      <c r="FK143" s="15" t="str">
        <f>IF(AND(EO143="EQL",OR(AY143=4,AY143=5)),"IEQL",IF(AND(EO143="EQH",OR(AY143=1,AY143=2)),"IEQH",""))</f>
        <v/>
      </c>
      <c r="FL143" s="15" t="str">
        <f>IF(AND(EP143="EQL",OR(AZ143=4,AZ143=5)),"IEQL",IF(AND(EP143="EQH",OR(AZ143=1,AZ143=2)),"IEQH",""))</f>
        <v/>
      </c>
      <c r="FM143" s="15" t="str">
        <f>IF(AND(EQ143="EQL",OR(BA143=4,BA143=5)),"IEQL",IF(AND(EQ143="EQH",OR(BA143=1,BA143=2)),"IEQH",""))</f>
        <v/>
      </c>
      <c r="FN143" s="15" t="str">
        <f>IF(OR(AND(DJ143="LL",AP143=5),AND(DJ143="HH",AP143=2)),F143,"")</f>
        <v/>
      </c>
      <c r="FO143" s="15" t="str">
        <f>IF(FN143&lt;&gt;"",F142,"")</f>
        <v/>
      </c>
    </row>
    <row r="144" spans="1:171" s="15" customFormat="1" x14ac:dyDescent="0.55000000000000004">
      <c r="A144" s="15">
        <v>1777567506</v>
      </c>
      <c r="B144" s="15" t="s">
        <v>16</v>
      </c>
      <c r="C144" s="15" t="s">
        <v>17</v>
      </c>
      <c r="D144" s="15">
        <v>4607.62</v>
      </c>
      <c r="E144" s="15" t="s">
        <v>18</v>
      </c>
      <c r="F144" s="15">
        <v>4605.5600000000004</v>
      </c>
      <c r="G144" s="15">
        <f t="shared" si="440"/>
        <v>4540.82</v>
      </c>
      <c r="H144" s="15">
        <f t="shared" si="450"/>
        <v>4518.41</v>
      </c>
      <c r="I144" s="15">
        <f t="shared" si="460"/>
        <v>4510.28</v>
      </c>
      <c r="J144" s="15">
        <f t="shared" si="470"/>
        <v>4575.84</v>
      </c>
      <c r="K144" s="15">
        <f t="shared" si="480"/>
        <v>4587.93</v>
      </c>
      <c r="L144" s="15">
        <f t="shared" si="490"/>
        <v>4555.12</v>
      </c>
      <c r="M144" s="15">
        <f t="shared" ref="M144:M172" si="500">F130</f>
        <v>4667.32</v>
      </c>
      <c r="N144" s="15">
        <f t="shared" si="400"/>
        <v>4699.29</v>
      </c>
      <c r="O144" s="15">
        <f t="shared" si="410"/>
        <v>4672.3500000000004</v>
      </c>
      <c r="P144" s="15">
        <f t="shared" si="420"/>
        <v>4674.72</v>
      </c>
      <c r="Q144" s="15">
        <f t="shared" si="430"/>
        <v>4658.17</v>
      </c>
      <c r="R144" s="15">
        <v>-41.54</v>
      </c>
      <c r="S144" s="15">
        <f t="shared" si="441"/>
        <v>-41.5</v>
      </c>
      <c r="T144" s="15">
        <f t="shared" si="451"/>
        <v>-46.34</v>
      </c>
      <c r="U144" s="15">
        <f t="shared" si="461"/>
        <v>-97.49</v>
      </c>
      <c r="V144" s="15">
        <f t="shared" si="471"/>
        <v>-34.31</v>
      </c>
      <c r="W144" s="15">
        <f t="shared" si="481"/>
        <v>-13.56</v>
      </c>
      <c r="X144" s="15">
        <f t="shared" si="491"/>
        <v>-146.02000000000001</v>
      </c>
      <c r="Y144" s="15">
        <f t="shared" ref="Y144:Y172" si="501">R130</f>
        <v>-45.27</v>
      </c>
      <c r="Z144" s="15">
        <f t="shared" si="401"/>
        <v>-30.63</v>
      </c>
      <c r="AA144" s="15">
        <f t="shared" si="411"/>
        <v>-68.14</v>
      </c>
      <c r="AB144" s="15">
        <f t="shared" si="421"/>
        <v>-22.7</v>
      </c>
      <c r="AC144" s="15">
        <f t="shared" si="431"/>
        <v>-53.06</v>
      </c>
      <c r="AD144" s="15">
        <v>-0.89</v>
      </c>
      <c r="AE144" s="15">
        <f t="shared" si="442"/>
        <v>-0.91</v>
      </c>
      <c r="AF144" s="15">
        <f t="shared" si="452"/>
        <v>-1.02</v>
      </c>
      <c r="AG144" s="15">
        <f t="shared" si="462"/>
        <v>-2.12</v>
      </c>
      <c r="AH144" s="15">
        <f t="shared" si="472"/>
        <v>-0.74</v>
      </c>
      <c r="AI144" s="15">
        <f t="shared" si="482"/>
        <v>-0.28999999999999998</v>
      </c>
      <c r="AJ144" s="15">
        <f t="shared" si="492"/>
        <v>-3.11</v>
      </c>
      <c r="AK144" s="15">
        <f t="shared" ref="AK144:AK172" si="502">AD130</f>
        <v>-0.96</v>
      </c>
      <c r="AL144" s="15">
        <f t="shared" si="402"/>
        <v>-0.65</v>
      </c>
      <c r="AM144" s="15">
        <f t="shared" si="412"/>
        <v>-1.44</v>
      </c>
      <c r="AN144" s="15">
        <f t="shared" si="422"/>
        <v>-0.48</v>
      </c>
      <c r="AO144" s="15">
        <f t="shared" si="432"/>
        <v>-1.1299999999999999</v>
      </c>
      <c r="AP144" s="15">
        <v>3</v>
      </c>
      <c r="AQ144" s="15">
        <f t="shared" si="443"/>
        <v>3</v>
      </c>
      <c r="AR144" s="15">
        <f t="shared" si="453"/>
        <v>3</v>
      </c>
      <c r="AS144" s="15">
        <f t="shared" si="463"/>
        <v>4</v>
      </c>
      <c r="AT144" s="15">
        <f t="shared" si="473"/>
        <v>3</v>
      </c>
      <c r="AU144" s="15">
        <f t="shared" si="483"/>
        <v>3</v>
      </c>
      <c r="AV144" s="15">
        <f t="shared" si="493"/>
        <v>5</v>
      </c>
      <c r="AW144" s="15">
        <f t="shared" ref="AW144:AW172" si="503">AP130</f>
        <v>3</v>
      </c>
      <c r="AX144" s="15">
        <f t="shared" si="403"/>
        <v>3</v>
      </c>
      <c r="AY144" s="15">
        <f t="shared" si="413"/>
        <v>3</v>
      </c>
      <c r="AZ144" s="15">
        <f t="shared" si="423"/>
        <v>3</v>
      </c>
      <c r="BA144" s="15">
        <f t="shared" si="433"/>
        <v>3</v>
      </c>
      <c r="BB144" s="15">
        <v>25</v>
      </c>
      <c r="BC144" s="15">
        <f t="shared" si="444"/>
        <v>11</v>
      </c>
      <c r="BD144" s="15">
        <f t="shared" si="454"/>
        <v>11</v>
      </c>
      <c r="BE144" s="15">
        <f t="shared" si="464"/>
        <v>35</v>
      </c>
      <c r="BF144" s="15">
        <f t="shared" si="474"/>
        <v>4</v>
      </c>
      <c r="BG144" s="15">
        <f t="shared" si="484"/>
        <v>20</v>
      </c>
      <c r="BH144" s="15">
        <f t="shared" si="494"/>
        <v>48</v>
      </c>
      <c r="BI144" s="15">
        <f t="shared" ref="BI144:BI172" si="504">BB130</f>
        <v>11</v>
      </c>
      <c r="BJ144" s="15">
        <f t="shared" si="404"/>
        <v>20</v>
      </c>
      <c r="BK144" s="15">
        <f t="shared" si="414"/>
        <v>36</v>
      </c>
      <c r="BL144" s="15">
        <f t="shared" si="424"/>
        <v>9</v>
      </c>
      <c r="BM144" s="15">
        <f t="shared" si="434"/>
        <v>13</v>
      </c>
      <c r="BN144" s="15">
        <v>3</v>
      </c>
      <c r="BO144" s="15">
        <f t="shared" si="445"/>
        <v>3</v>
      </c>
      <c r="BP144" s="15">
        <f t="shared" si="455"/>
        <v>3</v>
      </c>
      <c r="BQ144" s="15">
        <f t="shared" si="465"/>
        <v>3</v>
      </c>
      <c r="BR144" s="15">
        <f t="shared" si="475"/>
        <v>3</v>
      </c>
      <c r="BS144" s="15">
        <f t="shared" si="485"/>
        <v>3</v>
      </c>
      <c r="BT144" s="15">
        <f t="shared" si="495"/>
        <v>5</v>
      </c>
      <c r="BU144" s="15">
        <f t="shared" ref="BU144:BU172" si="505">BN130</f>
        <v>3</v>
      </c>
      <c r="BV144" s="15">
        <f t="shared" si="405"/>
        <v>3</v>
      </c>
      <c r="BW144" s="15">
        <f t="shared" si="415"/>
        <v>4</v>
      </c>
      <c r="BX144" s="15">
        <f t="shared" si="425"/>
        <v>3</v>
      </c>
      <c r="BY144" s="15">
        <f t="shared" si="435"/>
        <v>3</v>
      </c>
      <c r="BZ144" s="15">
        <v>-1.6616</v>
      </c>
      <c r="CA144" s="15">
        <f t="shared" si="446"/>
        <v>-3.7727300000000001</v>
      </c>
      <c r="CB144" s="15">
        <f t="shared" si="456"/>
        <v>-4.2127299999999996</v>
      </c>
      <c r="CC144" s="15">
        <f t="shared" si="466"/>
        <v>-2.7854299999999999</v>
      </c>
      <c r="CD144" s="15">
        <f t="shared" si="476"/>
        <v>-8.5775000000000006</v>
      </c>
      <c r="CE144" s="15">
        <f t="shared" si="486"/>
        <v>-0.67800000000000005</v>
      </c>
      <c r="CF144" s="15">
        <f t="shared" si="496"/>
        <v>-3.0420799999999999</v>
      </c>
      <c r="CG144" s="15">
        <f t="shared" ref="CG144:CG172" si="506">BZ130</f>
        <v>-4.1154500000000001</v>
      </c>
      <c r="CH144" s="15">
        <f t="shared" si="406"/>
        <v>-1.5315000000000001</v>
      </c>
      <c r="CI144" s="15">
        <f t="shared" si="416"/>
        <v>-1.8927799999999999</v>
      </c>
      <c r="CJ144" s="15">
        <f t="shared" si="426"/>
        <v>-2.5222199999999999</v>
      </c>
      <c r="CK144" s="15">
        <f t="shared" si="436"/>
        <v>-4.0815400000000004</v>
      </c>
      <c r="CL144" s="15">
        <v>3</v>
      </c>
      <c r="CM144" s="15">
        <f t="shared" si="447"/>
        <v>3</v>
      </c>
      <c r="CN144" s="15">
        <f t="shared" si="457"/>
        <v>3</v>
      </c>
      <c r="CO144" s="15">
        <f t="shared" si="467"/>
        <v>3</v>
      </c>
      <c r="CP144" s="15">
        <f t="shared" si="477"/>
        <v>3</v>
      </c>
      <c r="CQ144" s="15">
        <f t="shared" si="487"/>
        <v>3</v>
      </c>
      <c r="CR144" s="15">
        <f t="shared" si="497"/>
        <v>3</v>
      </c>
      <c r="CS144" s="15">
        <f t="shared" ref="CS144:CS172" si="507">CL130</f>
        <v>3</v>
      </c>
      <c r="CT144" s="15">
        <f t="shared" si="407"/>
        <v>3</v>
      </c>
      <c r="CU144" s="15">
        <f t="shared" si="417"/>
        <v>3</v>
      </c>
      <c r="CV144" s="15">
        <f t="shared" si="427"/>
        <v>3</v>
      </c>
      <c r="CW144" s="15">
        <f t="shared" si="437"/>
        <v>3</v>
      </c>
      <c r="CX144" s="15">
        <v>-58.959200000000003</v>
      </c>
      <c r="CY144" s="15">
        <f t="shared" si="448"/>
        <v>-75.154499999999999</v>
      </c>
      <c r="CZ144" s="15">
        <f t="shared" si="458"/>
        <v>-76.646500000000003</v>
      </c>
      <c r="DA144" s="15">
        <f t="shared" si="468"/>
        <v>-70.251300000000001</v>
      </c>
      <c r="DB144" s="15">
        <f t="shared" si="478"/>
        <v>-83.350200000000001</v>
      </c>
      <c r="DC144" s="15">
        <f t="shared" si="488"/>
        <v>-34.137300000000003</v>
      </c>
      <c r="DD144" s="15">
        <f t="shared" si="498"/>
        <v>-71.803200000000004</v>
      </c>
      <c r="DE144" s="15">
        <f t="shared" ref="DE144:DE172" si="508">CX130</f>
        <v>-76.342600000000004</v>
      </c>
      <c r="DF144" s="15">
        <f t="shared" si="408"/>
        <v>-56.857300000000002</v>
      </c>
      <c r="DG144" s="15">
        <f t="shared" si="418"/>
        <v>-62.151400000000002</v>
      </c>
      <c r="DH144" s="15">
        <f t="shared" si="428"/>
        <v>-68.372900000000001</v>
      </c>
      <c r="DI144" s="15">
        <f t="shared" si="438"/>
        <v>-76.233400000000003</v>
      </c>
      <c r="DJ144" s="15" t="s">
        <v>22</v>
      </c>
      <c r="DK144" s="15" t="str">
        <f t="shared" si="449"/>
        <v>HL</v>
      </c>
      <c r="DL144" s="15" t="str">
        <f t="shared" si="459"/>
        <v>HL</v>
      </c>
      <c r="DM144" s="15" t="str">
        <f t="shared" si="469"/>
        <v>LL</v>
      </c>
      <c r="DN144" s="15" t="str">
        <f t="shared" si="479"/>
        <v>LL</v>
      </c>
      <c r="DO144" s="15" t="str">
        <f t="shared" si="489"/>
        <v>HL</v>
      </c>
      <c r="DP144" s="15" t="str">
        <f t="shared" si="499"/>
        <v>LL</v>
      </c>
      <c r="DQ144" s="15" t="str">
        <f t="shared" ref="DQ144:DQ172" si="509">DJ130</f>
        <v>LL</v>
      </c>
      <c r="DR144" s="15" t="str">
        <f t="shared" si="409"/>
        <v>HL</v>
      </c>
      <c r="DS144" s="15" t="str">
        <f t="shared" si="419"/>
        <v>LL</v>
      </c>
      <c r="DT144" s="15" t="str">
        <f t="shared" si="429"/>
        <v>HL</v>
      </c>
      <c r="DU144" s="15" t="str">
        <f t="shared" si="439"/>
        <v>LL</v>
      </c>
      <c r="DV144" s="15">
        <f>IFERROR((G144-$F144)/$F144*100,"")</f>
        <v>-1.4056922502366853</v>
      </c>
      <c r="DW144" s="15">
        <f>IFERROR((H144-$F144)/$F144*100,"")</f>
        <v>-1.8922780291647603</v>
      </c>
      <c r="DX144" s="15">
        <f>IFERROR((I144-$F144)/$F144*100,"")</f>
        <v>-2.0688037936754848</v>
      </c>
      <c r="DY144" s="15">
        <f>IFERROR((J144-$F144)/$F144*100,"")</f>
        <v>-0.64530697678458759</v>
      </c>
      <c r="DZ144" s="15">
        <f>IFERROR((K144-$F144)/$F144*100,"")</f>
        <v>-0.38279818306568819</v>
      </c>
      <c r="EA144" s="15">
        <f>IFERROR((L144-$F144)/$F144*100,"")</f>
        <v>-1.0951979780960515</v>
      </c>
      <c r="EB144" s="15">
        <f>IFERROR((M144-$F144)/$F144*100,"")</f>
        <v>1.3409878494688876</v>
      </c>
      <c r="EC144" s="15">
        <f>IFERROR((N144-$F144)/$F144*100,"")</f>
        <v>2.0351488201217562</v>
      </c>
      <c r="ED144" s="15">
        <f>IFERROR((O144-$F144)/$F144*100,"")</f>
        <v>1.4502036668722145</v>
      </c>
      <c r="EE144" s="15">
        <f>IFERROR((P144-$F144)/$F144*100,"")</f>
        <v>1.5016632070801346</v>
      </c>
      <c r="EF144" s="15">
        <f>IFERROR((Q144-$F144)/$F144*100,"")</f>
        <v>1.1423149410712197</v>
      </c>
      <c r="EG144" s="15" t="str">
        <f>IF(DV144="","",IF(AND(ABS(DV144)&lt;=0.25,$E144="Bottom",DK144="LL"),"EQL",IF(AND(ABS(DV144)&lt;=0.25,$E144="Peak",DK144="HH"),"EQH","")))</f>
        <v/>
      </c>
      <c r="EH144" s="15" t="str">
        <f>IF(DW144="","",IF(AND(ABS(DW144)&lt;=0.25,$E144="Bottom",DL144="LL"),"EQL",IF(AND(ABS(DW144)&lt;=0.25,$E144="Peak",DL144="HH"),"EQH","")))</f>
        <v/>
      </c>
      <c r="EI144" s="15" t="str">
        <f>IF(DX144="","",IF(AND(ABS(DX144)&lt;=0.25,$E144="Bottom",DM144="LL"),"EQL",IF(AND(ABS(DX144)&lt;=0.25,$E144="Peak",DM144="HH"),"EQH","")))</f>
        <v/>
      </c>
      <c r="EJ144" s="15" t="str">
        <f>IF(DY144="","",IF(AND(ABS(DY144)&lt;=0.25,$E144="Bottom",DN144="LL"),"EQL",IF(AND(ABS(DY144)&lt;=0.25,$E144="Peak",DN144="HH"),"EQH","")))</f>
        <v/>
      </c>
      <c r="EK144" s="15" t="str">
        <f>IF(DZ144="","",IF(AND(ABS(DZ144)&lt;=0.25,$E144="Bottom",DO144="LL"),"EQL",IF(AND(ABS(DZ144)&lt;=0.25,$E144="Peak",DO144="HH"),"EQH","")))</f>
        <v/>
      </c>
      <c r="EL144" s="15" t="str">
        <f>IF(EA144="","",IF(AND(ABS(EA144)&lt;=0.25,$E144="Bottom",DP144="LL"),"EQL",IF(AND(ABS(EA144)&lt;=0.25,$E144="Peak",DP144="HH"),"EQH","")))</f>
        <v/>
      </c>
      <c r="EM144" s="15" t="str">
        <f>IF(EB144="","",IF(AND(ABS(EB144)&lt;=0.25,$E144="Bottom",DQ144="LL"),"EQL",IF(AND(ABS(EB144)&lt;=0.25,$E144="Peak",DQ144="HH"),"EQH","")))</f>
        <v/>
      </c>
      <c r="EN144" s="15" t="str">
        <f>IF(EC144="","",IF(AND(ABS(EC144)&lt;=0.25,$E144="Bottom",DR144="LL"),"EQL",IF(AND(ABS(EC144)&lt;=0.25,$E144="Peak",DR144="HH"),"EQH","")))</f>
        <v/>
      </c>
      <c r="EO144" s="15" t="str">
        <f>IF(ED144="","",IF(AND(ABS(ED144)&lt;=0.25,$E144="Bottom",DS144="LL"),"EQL",IF(AND(ABS(ED144)&lt;=0.25,$E144="Peak",DS144="HH"),"EQH","")))</f>
        <v/>
      </c>
      <c r="EP144" s="15" t="str">
        <f>IF(EE144="","",IF(AND(ABS(EE144)&lt;=0.25,$E144="Bottom",DT144="LL"),"EQL",IF(AND(ABS(EE144)&lt;=0.25,$E144="Peak",DT144="HH"),"EQH","")))</f>
        <v/>
      </c>
      <c r="EQ144" s="15" t="str">
        <f>IF(EF144="","",IF(AND(ABS(EF144)&lt;=0.25,$E144="Bottom",DU144="LL"),"EQL",IF(AND(ABS(EF144)&lt;=0.25,$E144="Peak",DU144="HH"),"EQH","")))</f>
        <v/>
      </c>
      <c r="ER144" s="15" t="str">
        <f>IF(OR(EG144="EQL",EG144="EQH"),F144,"")</f>
        <v/>
      </c>
      <c r="ES144" s="15" t="str">
        <f>IF(OR(EH144="EQL",EH144="EQH"),G144,"")</f>
        <v/>
      </c>
      <c r="ET144" s="15" t="str">
        <f>IF(OR(EI144="EQL",EI144="EQH"),H144,"")</f>
        <v/>
      </c>
      <c r="EU144" s="15" t="str">
        <f>IF(OR(EJ144="EQL",EJ144="EQH"),I144,"")</f>
        <v/>
      </c>
      <c r="EV144" s="15" t="str">
        <f>IF(OR(EK144="EQL",EK144="EQH"),J144,"")</f>
        <v/>
      </c>
      <c r="EW144" s="15" t="str">
        <f>IF(OR(EL144="EQL",EL144="EQH"),K144,"")</f>
        <v/>
      </c>
      <c r="EX144" s="15" t="str">
        <f>IF(OR(EM144="EQL",EM144="EQH"),L144,"")</f>
        <v/>
      </c>
      <c r="EY144" s="15" t="str">
        <f>IF(OR(EN144="EQL",EN144="EQH"),M144,"")</f>
        <v/>
      </c>
      <c r="EZ144" s="15" t="str">
        <f>IF(OR(EO144="EQL",EO144="EQH"),N144,"")</f>
        <v/>
      </c>
      <c r="FA144" s="15" t="str">
        <f>IF(OR(EP144="EQL",EP144="EQH"),O144,"")</f>
        <v/>
      </c>
      <c r="FB144" s="15" t="str">
        <f>IF(OR(EQ144="EQL",EQ144="EQH"),P144,"")</f>
        <v/>
      </c>
      <c r="FC144" s="15" t="str">
        <f>IF(AND(EG144="EQL",OR(AQ144=4,AQ144=5)),"IEQL",IF(AND(EG144="EQH",OR(AQ144=1,AQ144=2)),"IEQH",""))</f>
        <v/>
      </c>
      <c r="FD144" s="15" t="str">
        <f>IF(AND(EH144="EQL",OR(AR144=4,AR144=5)),"IEQL",IF(AND(EH144="EQH",OR(AR144=1,AR144=2)),"IEQH",""))</f>
        <v/>
      </c>
      <c r="FE144" s="15" t="str">
        <f>IF(AND(EI144="EQL",OR(AS144=4,AS144=5)),"IEQL",IF(AND(EI144="EQH",OR(AS144=1,AS144=2)),"IEQH",""))</f>
        <v/>
      </c>
      <c r="FF144" s="15" t="str">
        <f>IF(AND(EJ144="EQL",OR(AT144=4,AT144=5)),"IEQL",IF(AND(EJ144="EQH",OR(AT144=1,AT144=2)),"IEQH",""))</f>
        <v/>
      </c>
      <c r="FG144" s="15" t="str">
        <f>IF(AND(EK144="EQL",OR(AU144=4,AU144=5)),"IEQL",IF(AND(EK144="EQH",OR(AU144=1,AU144=2)),"IEQH",""))</f>
        <v/>
      </c>
      <c r="FH144" s="15" t="str">
        <f>IF(AND(EL144="EQL",OR(AV144=4,AV144=5)),"IEQL",IF(AND(EL144="EQH",OR(AV144=1,AV144=2)),"IEQH",""))</f>
        <v/>
      </c>
      <c r="FI144" s="15" t="str">
        <f>IF(AND(EM144="EQL",OR(AW144=4,AW144=5)),"IEQL",IF(AND(EM144="EQH",OR(AW144=1,AW144=2)),"IEQH",""))</f>
        <v/>
      </c>
      <c r="FJ144" s="15" t="str">
        <f>IF(AND(EN144="EQL",OR(AX144=4,AX144=5)),"IEQL",IF(AND(EN144="EQH",OR(AX144=1,AX144=2)),"IEQH",""))</f>
        <v/>
      </c>
      <c r="FK144" s="15" t="str">
        <f>IF(AND(EO144="EQL",OR(AY144=4,AY144=5)),"IEQL",IF(AND(EO144="EQH",OR(AY144=1,AY144=2)),"IEQH",""))</f>
        <v/>
      </c>
      <c r="FL144" s="15" t="str">
        <f>IF(AND(EP144="EQL",OR(AZ144=4,AZ144=5)),"IEQL",IF(AND(EP144="EQH",OR(AZ144=1,AZ144=2)),"IEQH",""))</f>
        <v/>
      </c>
      <c r="FM144" s="15" t="str">
        <f>IF(AND(EQ144="EQL",OR(BA144=4,BA144=5)),"IEQL",IF(AND(EQ144="EQH",OR(BA144=1,BA144=2)),"IEQH",""))</f>
        <v/>
      </c>
      <c r="FN144" s="15" t="str">
        <f>IF(OR(AND(DJ144="LL",AP144=5),AND(DJ144="HH",AP144=2)),F144,"")</f>
        <v/>
      </c>
      <c r="FO144" s="15" t="str">
        <f>IF(FN144&lt;&gt;"",F143,"")</f>
        <v/>
      </c>
    </row>
    <row r="145" spans="1:171" s="15" customFormat="1" x14ac:dyDescent="0.55000000000000004">
      <c r="A145" s="15">
        <v>1777591806</v>
      </c>
      <c r="B145" s="15" t="s">
        <v>16</v>
      </c>
      <c r="C145" s="15" t="s">
        <v>17</v>
      </c>
      <c r="D145" s="15">
        <v>4631.3100000000004</v>
      </c>
      <c r="E145" s="15" t="s">
        <v>20</v>
      </c>
      <c r="F145" s="15">
        <v>4634.1400000000003</v>
      </c>
      <c r="G145" s="15">
        <f t="shared" si="440"/>
        <v>4647.1000000000004</v>
      </c>
      <c r="H145" s="15">
        <f t="shared" si="450"/>
        <v>4582.32</v>
      </c>
      <c r="I145" s="15">
        <f t="shared" si="460"/>
        <v>4564.75</v>
      </c>
      <c r="J145" s="15">
        <f t="shared" si="470"/>
        <v>4607.7700000000004</v>
      </c>
      <c r="K145" s="15">
        <f t="shared" si="480"/>
        <v>4610.1499999999996</v>
      </c>
      <c r="L145" s="15">
        <f t="shared" si="490"/>
        <v>4601.49</v>
      </c>
      <c r="M145" s="15">
        <f t="shared" si="500"/>
        <v>4701.1400000000003</v>
      </c>
      <c r="N145" s="15">
        <f t="shared" si="400"/>
        <v>4712.59</v>
      </c>
      <c r="O145" s="15">
        <f t="shared" si="410"/>
        <v>4729.92</v>
      </c>
      <c r="P145" s="15">
        <f t="shared" si="420"/>
        <v>4740.49</v>
      </c>
      <c r="Q145" s="15">
        <f t="shared" si="430"/>
        <v>4697.42</v>
      </c>
      <c r="R145" s="15">
        <v>28.58</v>
      </c>
      <c r="S145" s="15">
        <f t="shared" si="441"/>
        <v>106.28</v>
      </c>
      <c r="T145" s="15">
        <f t="shared" si="451"/>
        <v>63.91</v>
      </c>
      <c r="U145" s="15">
        <f t="shared" si="461"/>
        <v>54.47</v>
      </c>
      <c r="V145" s="15">
        <f t="shared" si="471"/>
        <v>31.93</v>
      </c>
      <c r="W145" s="15">
        <f t="shared" si="481"/>
        <v>22.22</v>
      </c>
      <c r="X145" s="15">
        <f t="shared" si="491"/>
        <v>46.37</v>
      </c>
      <c r="Y145" s="15">
        <f t="shared" si="501"/>
        <v>33.82</v>
      </c>
      <c r="Z145" s="15">
        <f t="shared" si="401"/>
        <v>13.3</v>
      </c>
      <c r="AA145" s="15">
        <f t="shared" si="411"/>
        <v>57.57</v>
      </c>
      <c r="AB145" s="15">
        <f t="shared" si="421"/>
        <v>65.77</v>
      </c>
      <c r="AC145" s="15">
        <f t="shared" si="431"/>
        <v>39.25</v>
      </c>
      <c r="AD145" s="15">
        <v>0.62</v>
      </c>
      <c r="AE145" s="15">
        <f t="shared" si="442"/>
        <v>2.34</v>
      </c>
      <c r="AF145" s="15">
        <f t="shared" si="452"/>
        <v>1.41</v>
      </c>
      <c r="AG145" s="15">
        <f t="shared" si="462"/>
        <v>1.21</v>
      </c>
      <c r="AH145" s="15">
        <f t="shared" si="472"/>
        <v>0.7</v>
      </c>
      <c r="AI145" s="15">
        <f t="shared" si="482"/>
        <v>0.48</v>
      </c>
      <c r="AJ145" s="15">
        <f t="shared" si="492"/>
        <v>1.02</v>
      </c>
      <c r="AK145" s="15">
        <f t="shared" si="502"/>
        <v>0.72</v>
      </c>
      <c r="AL145" s="15">
        <f t="shared" si="402"/>
        <v>0.28000000000000003</v>
      </c>
      <c r="AM145" s="15">
        <f t="shared" si="412"/>
        <v>1.23</v>
      </c>
      <c r="AN145" s="15">
        <f t="shared" si="422"/>
        <v>1.41</v>
      </c>
      <c r="AO145" s="15">
        <f t="shared" si="432"/>
        <v>0.84</v>
      </c>
      <c r="AP145" s="15">
        <v>0</v>
      </c>
      <c r="AQ145" s="15">
        <f t="shared" si="443"/>
        <v>1</v>
      </c>
      <c r="AR145" s="15">
        <f t="shared" si="453"/>
        <v>0</v>
      </c>
      <c r="AS145" s="15">
        <f t="shared" si="463"/>
        <v>0</v>
      </c>
      <c r="AT145" s="15">
        <f t="shared" si="473"/>
        <v>0</v>
      </c>
      <c r="AU145" s="15">
        <f t="shared" si="483"/>
        <v>0</v>
      </c>
      <c r="AV145" s="15">
        <f t="shared" si="493"/>
        <v>0</v>
      </c>
      <c r="AW145" s="15">
        <f t="shared" si="503"/>
        <v>0</v>
      </c>
      <c r="AX145" s="15">
        <f t="shared" si="403"/>
        <v>0</v>
      </c>
      <c r="AY145" s="15">
        <f t="shared" si="413"/>
        <v>0</v>
      </c>
      <c r="AZ145" s="15">
        <f t="shared" si="423"/>
        <v>0</v>
      </c>
      <c r="BA145" s="15">
        <f t="shared" si="433"/>
        <v>0</v>
      </c>
      <c r="BB145" s="15">
        <v>23</v>
      </c>
      <c r="BC145" s="15">
        <f t="shared" si="444"/>
        <v>24</v>
      </c>
      <c r="BD145" s="15">
        <f t="shared" si="454"/>
        <v>24</v>
      </c>
      <c r="BE145" s="15">
        <f t="shared" si="464"/>
        <v>9</v>
      </c>
      <c r="BF145" s="15">
        <f t="shared" si="474"/>
        <v>16</v>
      </c>
      <c r="BG145" s="15">
        <f t="shared" si="484"/>
        <v>2</v>
      </c>
      <c r="BH145" s="15">
        <f t="shared" si="494"/>
        <v>22</v>
      </c>
      <c r="BI145" s="15">
        <f t="shared" si="504"/>
        <v>32</v>
      </c>
      <c r="BJ145" s="15">
        <f t="shared" si="404"/>
        <v>11</v>
      </c>
      <c r="BK145" s="15">
        <f t="shared" si="414"/>
        <v>18</v>
      </c>
      <c r="BL145" s="15">
        <f t="shared" si="424"/>
        <v>14</v>
      </c>
      <c r="BM145" s="15">
        <f t="shared" si="434"/>
        <v>15</v>
      </c>
      <c r="BN145" s="15">
        <v>0</v>
      </c>
      <c r="BO145" s="15">
        <f t="shared" si="445"/>
        <v>0</v>
      </c>
      <c r="BP145" s="15">
        <f t="shared" si="455"/>
        <v>0</v>
      </c>
      <c r="BQ145" s="15">
        <f t="shared" si="465"/>
        <v>0</v>
      </c>
      <c r="BR145" s="15">
        <f t="shared" si="475"/>
        <v>0</v>
      </c>
      <c r="BS145" s="15">
        <f t="shared" si="485"/>
        <v>0</v>
      </c>
      <c r="BT145" s="15">
        <f t="shared" si="495"/>
        <v>0</v>
      </c>
      <c r="BU145" s="15">
        <f t="shared" si="505"/>
        <v>0</v>
      </c>
      <c r="BV145" s="15">
        <f t="shared" si="405"/>
        <v>0</v>
      </c>
      <c r="BW145" s="15">
        <f t="shared" si="415"/>
        <v>0</v>
      </c>
      <c r="BX145" s="15">
        <f t="shared" si="425"/>
        <v>0</v>
      </c>
      <c r="BY145" s="15">
        <f t="shared" si="435"/>
        <v>0</v>
      </c>
      <c r="BZ145" s="15">
        <v>1.24261</v>
      </c>
      <c r="CA145" s="15">
        <f t="shared" si="446"/>
        <v>4.4283299999999999</v>
      </c>
      <c r="CB145" s="15">
        <f t="shared" si="456"/>
        <v>2.6629200000000002</v>
      </c>
      <c r="CC145" s="15">
        <f t="shared" si="466"/>
        <v>6.0522200000000002</v>
      </c>
      <c r="CD145" s="15">
        <f t="shared" si="476"/>
        <v>1.99563</v>
      </c>
      <c r="CE145" s="15">
        <f t="shared" si="486"/>
        <v>11.11</v>
      </c>
      <c r="CF145" s="15">
        <f t="shared" si="496"/>
        <v>2.1077300000000001</v>
      </c>
      <c r="CG145" s="15">
        <f t="shared" si="506"/>
        <v>1.05688</v>
      </c>
      <c r="CH145" s="15">
        <f t="shared" si="406"/>
        <v>1.20909</v>
      </c>
      <c r="CI145" s="15">
        <f t="shared" si="416"/>
        <v>3.1983299999999999</v>
      </c>
      <c r="CJ145" s="15">
        <f t="shared" si="426"/>
        <v>4.6978600000000004</v>
      </c>
      <c r="CK145" s="15">
        <f t="shared" si="436"/>
        <v>2.6166700000000001</v>
      </c>
      <c r="CL145" s="15">
        <v>0</v>
      </c>
      <c r="CM145" s="15">
        <f t="shared" si="447"/>
        <v>0</v>
      </c>
      <c r="CN145" s="15">
        <f t="shared" si="457"/>
        <v>0</v>
      </c>
      <c r="CO145" s="15">
        <f t="shared" si="467"/>
        <v>0</v>
      </c>
      <c r="CP145" s="15">
        <f t="shared" si="477"/>
        <v>0</v>
      </c>
      <c r="CQ145" s="15">
        <f t="shared" si="487"/>
        <v>0</v>
      </c>
      <c r="CR145" s="15">
        <f t="shared" si="497"/>
        <v>0</v>
      </c>
      <c r="CS145" s="15">
        <f t="shared" si="507"/>
        <v>0</v>
      </c>
      <c r="CT145" s="15">
        <f t="shared" si="407"/>
        <v>0</v>
      </c>
      <c r="CU145" s="15">
        <f t="shared" si="417"/>
        <v>0</v>
      </c>
      <c r="CV145" s="15">
        <f t="shared" si="427"/>
        <v>0</v>
      </c>
      <c r="CW145" s="15">
        <f t="shared" si="437"/>
        <v>0</v>
      </c>
      <c r="CX145" s="15">
        <v>51.174300000000002</v>
      </c>
      <c r="CY145" s="15">
        <f t="shared" si="448"/>
        <v>77.275000000000006</v>
      </c>
      <c r="CZ145" s="15">
        <f t="shared" si="458"/>
        <v>69.417400000000001</v>
      </c>
      <c r="DA145" s="15">
        <f t="shared" si="468"/>
        <v>80.617900000000006</v>
      </c>
      <c r="DB145" s="15">
        <f t="shared" si="478"/>
        <v>63.384700000000002</v>
      </c>
      <c r="DC145" s="15">
        <f t="shared" si="488"/>
        <v>84.856700000000004</v>
      </c>
      <c r="DD145" s="15">
        <f t="shared" si="498"/>
        <v>64.618200000000002</v>
      </c>
      <c r="DE145" s="15">
        <f t="shared" si="508"/>
        <v>46.5839</v>
      </c>
      <c r="DF145" s="15">
        <f t="shared" si="408"/>
        <v>50.4069</v>
      </c>
      <c r="DG145" s="15">
        <f t="shared" si="418"/>
        <v>72.637500000000003</v>
      </c>
      <c r="DH145" s="15">
        <f t="shared" si="428"/>
        <v>77.983199999999997</v>
      </c>
      <c r="DI145" s="15">
        <f t="shared" si="438"/>
        <v>69.084900000000005</v>
      </c>
      <c r="DJ145" s="15" t="s">
        <v>21</v>
      </c>
      <c r="DK145" s="15" t="str">
        <f t="shared" si="449"/>
        <v>HH</v>
      </c>
      <c r="DL145" s="15" t="str">
        <f t="shared" si="459"/>
        <v>HH</v>
      </c>
      <c r="DM145" s="15" t="str">
        <f t="shared" si="469"/>
        <v>LH</v>
      </c>
      <c r="DN145" s="15" t="str">
        <f t="shared" si="479"/>
        <v>LH</v>
      </c>
      <c r="DO145" s="15" t="str">
        <f t="shared" si="489"/>
        <v>HH</v>
      </c>
      <c r="DP145" s="15" t="str">
        <f t="shared" si="499"/>
        <v>LH</v>
      </c>
      <c r="DQ145" s="15" t="str">
        <f t="shared" si="509"/>
        <v>LH</v>
      </c>
      <c r="DR145" s="15" t="str">
        <f t="shared" si="409"/>
        <v>LH</v>
      </c>
      <c r="DS145" s="15" t="str">
        <f t="shared" si="419"/>
        <v>LH</v>
      </c>
      <c r="DT145" s="15" t="str">
        <f t="shared" si="429"/>
        <v>HH</v>
      </c>
      <c r="DU145" s="15" t="str">
        <f t="shared" si="439"/>
        <v>LH</v>
      </c>
      <c r="DV145" s="15">
        <f>IFERROR((G145-$F145)/$F145*100,"")</f>
        <v>0.27966354059221421</v>
      </c>
      <c r="DW145" s="15">
        <f>IFERROR((H145-$F145)/$F145*100,"")</f>
        <v>-1.1182225828309162</v>
      </c>
      <c r="DX145" s="15">
        <f>IFERROR((I145-$F145)/$F145*100,"")</f>
        <v>-1.4973652069208163</v>
      </c>
      <c r="DY145" s="15">
        <f>IFERROR((J145-$F145)/$F145*100,"")</f>
        <v>-0.56903762078832076</v>
      </c>
      <c r="DZ145" s="15">
        <f>IFERROR((K145-$F145)/$F145*100,"")</f>
        <v>-0.51767965577217545</v>
      </c>
      <c r="EA145" s="15">
        <f>IFERROR((L145-$F145)/$F145*100,"")</f>
        <v>-0.70455359570493215</v>
      </c>
      <c r="EB145" s="15">
        <f>IFERROR((M145-$F145)/$F145*100,"")</f>
        <v>1.4457914521356712</v>
      </c>
      <c r="EC145" s="15">
        <f>IFERROR((N145-$F145)/$F145*100,"")</f>
        <v>1.6928707376125844</v>
      </c>
      <c r="ED145" s="15">
        <f>IFERROR((O145-$F145)/$F145*100,"")</f>
        <v>2.0668344072470779</v>
      </c>
      <c r="EE145" s="15">
        <f>IFERROR((P145-$F145)/$F145*100,"")</f>
        <v>2.2949241930541469</v>
      </c>
      <c r="EF145" s="15">
        <f>IFERROR((Q145-$F145)/$F145*100,"")</f>
        <v>1.3655176580767896</v>
      </c>
      <c r="EG145" s="15" t="str">
        <f>IF(DV145="","",IF(AND(ABS(DV145)&lt;=0.25,$E145="Bottom",DK145="LL"),"EQL",IF(AND(ABS(DV145)&lt;=0.25,$E145="Peak",DK145="HH"),"EQH","")))</f>
        <v/>
      </c>
      <c r="EH145" s="15" t="str">
        <f>IF(DW145="","",IF(AND(ABS(DW145)&lt;=0.25,$E145="Bottom",DL145="LL"),"EQL",IF(AND(ABS(DW145)&lt;=0.25,$E145="Peak",DL145="HH"),"EQH","")))</f>
        <v/>
      </c>
      <c r="EI145" s="15" t="str">
        <f>IF(DX145="","",IF(AND(ABS(DX145)&lt;=0.25,$E145="Bottom",DM145="LL"),"EQL",IF(AND(ABS(DX145)&lt;=0.25,$E145="Peak",DM145="HH"),"EQH","")))</f>
        <v/>
      </c>
      <c r="EJ145" s="15" t="str">
        <f>IF(DY145="","",IF(AND(ABS(DY145)&lt;=0.25,$E145="Bottom",DN145="LL"),"EQL",IF(AND(ABS(DY145)&lt;=0.25,$E145="Peak",DN145="HH"),"EQH","")))</f>
        <v/>
      </c>
      <c r="EK145" s="15" t="str">
        <f>IF(DZ145="","",IF(AND(ABS(DZ145)&lt;=0.25,$E145="Bottom",DO145="LL"),"EQL",IF(AND(ABS(DZ145)&lt;=0.25,$E145="Peak",DO145="HH"),"EQH","")))</f>
        <v/>
      </c>
      <c r="EL145" s="15" t="str">
        <f>IF(EA145="","",IF(AND(ABS(EA145)&lt;=0.25,$E145="Bottom",DP145="LL"),"EQL",IF(AND(ABS(EA145)&lt;=0.25,$E145="Peak",DP145="HH"),"EQH","")))</f>
        <v/>
      </c>
      <c r="EM145" s="15" t="str">
        <f>IF(EB145="","",IF(AND(ABS(EB145)&lt;=0.25,$E145="Bottom",DQ145="LL"),"EQL",IF(AND(ABS(EB145)&lt;=0.25,$E145="Peak",DQ145="HH"),"EQH","")))</f>
        <v/>
      </c>
      <c r="EN145" s="15" t="str">
        <f>IF(EC145="","",IF(AND(ABS(EC145)&lt;=0.25,$E145="Bottom",DR145="LL"),"EQL",IF(AND(ABS(EC145)&lt;=0.25,$E145="Peak",DR145="HH"),"EQH","")))</f>
        <v/>
      </c>
      <c r="EO145" s="15" t="str">
        <f>IF(ED145="","",IF(AND(ABS(ED145)&lt;=0.25,$E145="Bottom",DS145="LL"),"EQL",IF(AND(ABS(ED145)&lt;=0.25,$E145="Peak",DS145="HH"),"EQH","")))</f>
        <v/>
      </c>
      <c r="EP145" s="15" t="str">
        <f>IF(EE145="","",IF(AND(ABS(EE145)&lt;=0.25,$E145="Bottom",DT145="LL"),"EQL",IF(AND(ABS(EE145)&lt;=0.25,$E145="Peak",DT145="HH"),"EQH","")))</f>
        <v/>
      </c>
      <c r="EQ145" s="15" t="str">
        <f>IF(EF145="","",IF(AND(ABS(EF145)&lt;=0.25,$E145="Bottom",DU145="LL"),"EQL",IF(AND(ABS(EF145)&lt;=0.25,$E145="Peak",DU145="HH"),"EQH","")))</f>
        <v/>
      </c>
      <c r="ER145" s="15" t="str">
        <f>IF(OR(EG145="EQL",EG145="EQH"),F145,"")</f>
        <v/>
      </c>
      <c r="ES145" s="15" t="str">
        <f>IF(OR(EH145="EQL",EH145="EQH"),G145,"")</f>
        <v/>
      </c>
      <c r="ET145" s="15" t="str">
        <f>IF(OR(EI145="EQL",EI145="EQH"),H145,"")</f>
        <v/>
      </c>
      <c r="EU145" s="15" t="str">
        <f>IF(OR(EJ145="EQL",EJ145="EQH"),I145,"")</f>
        <v/>
      </c>
      <c r="EV145" s="15" t="str">
        <f>IF(OR(EK145="EQL",EK145="EQH"),J145,"")</f>
        <v/>
      </c>
      <c r="EW145" s="15" t="str">
        <f>IF(OR(EL145="EQL",EL145="EQH"),K145,"")</f>
        <v/>
      </c>
      <c r="EX145" s="15" t="str">
        <f>IF(OR(EM145="EQL",EM145="EQH"),L145,"")</f>
        <v/>
      </c>
      <c r="EY145" s="15" t="str">
        <f>IF(OR(EN145="EQL",EN145="EQH"),M145,"")</f>
        <v/>
      </c>
      <c r="EZ145" s="15" t="str">
        <f>IF(OR(EO145="EQL",EO145="EQH"),N145,"")</f>
        <v/>
      </c>
      <c r="FA145" s="15" t="str">
        <f>IF(OR(EP145="EQL",EP145="EQH"),O145,"")</f>
        <v/>
      </c>
      <c r="FB145" s="15" t="str">
        <f>IF(OR(EQ145="EQL",EQ145="EQH"),P145,"")</f>
        <v/>
      </c>
      <c r="FC145" s="15" t="str">
        <f>IF(AND(EG145="EQL",OR(AQ145=4,AQ145=5)),"IEQL",IF(AND(EG145="EQH",OR(AQ145=1,AQ145=2)),"IEQH",""))</f>
        <v/>
      </c>
      <c r="FD145" s="15" t="str">
        <f>IF(AND(EH145="EQL",OR(AR145=4,AR145=5)),"IEQL",IF(AND(EH145="EQH",OR(AR145=1,AR145=2)),"IEQH",""))</f>
        <v/>
      </c>
      <c r="FE145" s="15" t="str">
        <f>IF(AND(EI145="EQL",OR(AS145=4,AS145=5)),"IEQL",IF(AND(EI145="EQH",OR(AS145=1,AS145=2)),"IEQH",""))</f>
        <v/>
      </c>
      <c r="FF145" s="15" t="str">
        <f>IF(AND(EJ145="EQL",OR(AT145=4,AT145=5)),"IEQL",IF(AND(EJ145="EQH",OR(AT145=1,AT145=2)),"IEQH",""))</f>
        <v/>
      </c>
      <c r="FG145" s="15" t="str">
        <f>IF(AND(EK145="EQL",OR(AU145=4,AU145=5)),"IEQL",IF(AND(EK145="EQH",OR(AU145=1,AU145=2)),"IEQH",""))</f>
        <v/>
      </c>
      <c r="FH145" s="15" t="str">
        <f>IF(AND(EL145="EQL",OR(AV145=4,AV145=5)),"IEQL",IF(AND(EL145="EQH",OR(AV145=1,AV145=2)),"IEQH",""))</f>
        <v/>
      </c>
      <c r="FI145" s="15" t="str">
        <f>IF(AND(EM145="EQL",OR(AW145=4,AW145=5)),"IEQL",IF(AND(EM145="EQH",OR(AW145=1,AW145=2)),"IEQH",""))</f>
        <v/>
      </c>
      <c r="FJ145" s="15" t="str">
        <f>IF(AND(EN145="EQL",OR(AX145=4,AX145=5)),"IEQL",IF(AND(EN145="EQH",OR(AX145=1,AX145=2)),"IEQH",""))</f>
        <v/>
      </c>
      <c r="FK145" s="15" t="str">
        <f>IF(AND(EO145="EQL",OR(AY145=4,AY145=5)),"IEQL",IF(AND(EO145="EQH",OR(AY145=1,AY145=2)),"IEQH",""))</f>
        <v/>
      </c>
      <c r="FL145" s="15" t="str">
        <f>IF(AND(EP145="EQL",OR(AZ145=4,AZ145=5)),"IEQL",IF(AND(EP145="EQH",OR(AZ145=1,AZ145=2)),"IEQH",""))</f>
        <v/>
      </c>
      <c r="FM145" s="15" t="str">
        <f>IF(AND(EQ145="EQL",OR(BA145=4,BA145=5)),"IEQL",IF(AND(EQ145="EQH",OR(BA145=1,BA145=2)),"IEQH",""))</f>
        <v/>
      </c>
      <c r="FN145" s="15" t="str">
        <f>IF(OR(AND(DJ145="LL",AP145=5),AND(DJ145="HH",AP145=2)),F145,"")</f>
        <v/>
      </c>
      <c r="FO145" s="15" t="str">
        <f>IF(FN145&lt;&gt;"",F144,"")</f>
        <v/>
      </c>
    </row>
    <row r="146" spans="1:171" s="15" customFormat="1" x14ac:dyDescent="0.55000000000000004">
      <c r="A146" s="15">
        <v>1777598106</v>
      </c>
      <c r="B146" s="15" t="s">
        <v>16</v>
      </c>
      <c r="C146" s="15" t="s">
        <v>17</v>
      </c>
      <c r="D146" s="15">
        <v>4616.68</v>
      </c>
      <c r="E146" s="15" t="s">
        <v>18</v>
      </c>
      <c r="F146" s="15">
        <v>4614.2700000000004</v>
      </c>
      <c r="G146" s="15">
        <f t="shared" si="440"/>
        <v>4605.5600000000004</v>
      </c>
      <c r="H146" s="15">
        <f t="shared" si="450"/>
        <v>4540.82</v>
      </c>
      <c r="I146" s="15">
        <f t="shared" si="460"/>
        <v>4518.41</v>
      </c>
      <c r="J146" s="15">
        <f t="shared" si="470"/>
        <v>4510.28</v>
      </c>
      <c r="K146" s="15">
        <f t="shared" si="480"/>
        <v>4575.84</v>
      </c>
      <c r="L146" s="15">
        <f t="shared" si="490"/>
        <v>4587.93</v>
      </c>
      <c r="M146" s="15">
        <f t="shared" si="500"/>
        <v>4555.12</v>
      </c>
      <c r="N146" s="15">
        <f t="shared" ref="N146:N172" si="510">F130</f>
        <v>4667.32</v>
      </c>
      <c r="O146" s="15">
        <f t="shared" si="410"/>
        <v>4699.29</v>
      </c>
      <c r="P146" s="15">
        <f t="shared" si="420"/>
        <v>4672.3500000000004</v>
      </c>
      <c r="Q146" s="15">
        <f t="shared" si="430"/>
        <v>4674.72</v>
      </c>
      <c r="R146" s="15">
        <v>-19.87</v>
      </c>
      <c r="S146" s="15">
        <f t="shared" si="441"/>
        <v>-41.54</v>
      </c>
      <c r="T146" s="15">
        <f t="shared" si="451"/>
        <v>-41.5</v>
      </c>
      <c r="U146" s="15">
        <f t="shared" si="461"/>
        <v>-46.34</v>
      </c>
      <c r="V146" s="15">
        <f t="shared" si="471"/>
        <v>-97.49</v>
      </c>
      <c r="W146" s="15">
        <f t="shared" si="481"/>
        <v>-34.31</v>
      </c>
      <c r="X146" s="15">
        <f t="shared" si="491"/>
        <v>-13.56</v>
      </c>
      <c r="Y146" s="15">
        <f t="shared" si="501"/>
        <v>-146.02000000000001</v>
      </c>
      <c r="Z146" s="15">
        <f t="shared" ref="Z146:Z172" si="511">R130</f>
        <v>-45.27</v>
      </c>
      <c r="AA146" s="15">
        <f t="shared" si="411"/>
        <v>-30.63</v>
      </c>
      <c r="AB146" s="15">
        <f t="shared" si="421"/>
        <v>-68.14</v>
      </c>
      <c r="AC146" s="15">
        <f t="shared" si="431"/>
        <v>-22.7</v>
      </c>
      <c r="AD146" s="15">
        <v>-0.43</v>
      </c>
      <c r="AE146" s="15">
        <f t="shared" si="442"/>
        <v>-0.89</v>
      </c>
      <c r="AF146" s="15">
        <f t="shared" si="452"/>
        <v>-0.91</v>
      </c>
      <c r="AG146" s="15">
        <f t="shared" si="462"/>
        <v>-1.02</v>
      </c>
      <c r="AH146" s="15">
        <f t="shared" si="472"/>
        <v>-2.12</v>
      </c>
      <c r="AI146" s="15">
        <f t="shared" si="482"/>
        <v>-0.74</v>
      </c>
      <c r="AJ146" s="15">
        <f t="shared" si="492"/>
        <v>-0.28999999999999998</v>
      </c>
      <c r="AK146" s="15">
        <f t="shared" si="502"/>
        <v>-3.11</v>
      </c>
      <c r="AL146" s="15">
        <f t="shared" ref="AL146:AL172" si="512">AD130</f>
        <v>-0.96</v>
      </c>
      <c r="AM146" s="15">
        <f t="shared" si="412"/>
        <v>-0.65</v>
      </c>
      <c r="AN146" s="15">
        <f t="shared" si="422"/>
        <v>-1.44</v>
      </c>
      <c r="AO146" s="15">
        <f t="shared" si="432"/>
        <v>-0.48</v>
      </c>
      <c r="AP146" s="15">
        <v>3</v>
      </c>
      <c r="AQ146" s="15">
        <f t="shared" si="443"/>
        <v>3</v>
      </c>
      <c r="AR146" s="15">
        <f t="shared" si="453"/>
        <v>3</v>
      </c>
      <c r="AS146" s="15">
        <f t="shared" si="463"/>
        <v>3</v>
      </c>
      <c r="AT146" s="15">
        <f t="shared" si="473"/>
        <v>4</v>
      </c>
      <c r="AU146" s="15">
        <f t="shared" si="483"/>
        <v>3</v>
      </c>
      <c r="AV146" s="15">
        <f t="shared" si="493"/>
        <v>3</v>
      </c>
      <c r="AW146" s="15">
        <f t="shared" si="503"/>
        <v>5</v>
      </c>
      <c r="AX146" s="15">
        <f t="shared" ref="AX146:AX172" si="513">AP130</f>
        <v>3</v>
      </c>
      <c r="AY146" s="15">
        <f t="shared" si="413"/>
        <v>3</v>
      </c>
      <c r="AZ146" s="15">
        <f t="shared" si="423"/>
        <v>3</v>
      </c>
      <c r="BA146" s="15">
        <f t="shared" si="433"/>
        <v>3</v>
      </c>
      <c r="BB146" s="15">
        <v>7</v>
      </c>
      <c r="BC146" s="15">
        <f t="shared" si="444"/>
        <v>25</v>
      </c>
      <c r="BD146" s="15">
        <f t="shared" si="454"/>
        <v>11</v>
      </c>
      <c r="BE146" s="15">
        <f t="shared" si="464"/>
        <v>11</v>
      </c>
      <c r="BF146" s="15">
        <f t="shared" si="474"/>
        <v>35</v>
      </c>
      <c r="BG146" s="15">
        <f t="shared" si="484"/>
        <v>4</v>
      </c>
      <c r="BH146" s="15">
        <f t="shared" si="494"/>
        <v>20</v>
      </c>
      <c r="BI146" s="15">
        <f t="shared" si="504"/>
        <v>48</v>
      </c>
      <c r="BJ146" s="15">
        <f t="shared" ref="BJ146:BJ172" si="514">BB130</f>
        <v>11</v>
      </c>
      <c r="BK146" s="15">
        <f t="shared" si="414"/>
        <v>20</v>
      </c>
      <c r="BL146" s="15">
        <f t="shared" si="424"/>
        <v>36</v>
      </c>
      <c r="BM146" s="15">
        <f t="shared" si="434"/>
        <v>9</v>
      </c>
      <c r="BN146" s="15">
        <v>3</v>
      </c>
      <c r="BO146" s="15">
        <f t="shared" si="445"/>
        <v>3</v>
      </c>
      <c r="BP146" s="15">
        <f t="shared" si="455"/>
        <v>3</v>
      </c>
      <c r="BQ146" s="15">
        <f t="shared" si="465"/>
        <v>3</v>
      </c>
      <c r="BR146" s="15">
        <f t="shared" si="475"/>
        <v>3</v>
      </c>
      <c r="BS146" s="15">
        <f t="shared" si="485"/>
        <v>3</v>
      </c>
      <c r="BT146" s="15">
        <f t="shared" si="495"/>
        <v>3</v>
      </c>
      <c r="BU146" s="15">
        <f t="shared" si="505"/>
        <v>5</v>
      </c>
      <c r="BV146" s="15">
        <f t="shared" ref="BV146:BV172" si="515">BN130</f>
        <v>3</v>
      </c>
      <c r="BW146" s="15">
        <f t="shared" si="415"/>
        <v>3</v>
      </c>
      <c r="BX146" s="15">
        <f t="shared" si="425"/>
        <v>4</v>
      </c>
      <c r="BY146" s="15">
        <f t="shared" si="435"/>
        <v>3</v>
      </c>
      <c r="BZ146" s="15">
        <v>-2.8385699999999998</v>
      </c>
      <c r="CA146" s="15">
        <f t="shared" si="446"/>
        <v>-1.6616</v>
      </c>
      <c r="CB146" s="15">
        <f t="shared" si="456"/>
        <v>-3.7727300000000001</v>
      </c>
      <c r="CC146" s="15">
        <f t="shared" si="466"/>
        <v>-4.2127299999999996</v>
      </c>
      <c r="CD146" s="15">
        <f t="shared" si="476"/>
        <v>-2.7854299999999999</v>
      </c>
      <c r="CE146" s="15">
        <f t="shared" si="486"/>
        <v>-8.5775000000000006</v>
      </c>
      <c r="CF146" s="15">
        <f t="shared" si="496"/>
        <v>-0.67800000000000005</v>
      </c>
      <c r="CG146" s="15">
        <f t="shared" si="506"/>
        <v>-3.0420799999999999</v>
      </c>
      <c r="CH146" s="15">
        <f t="shared" ref="CH146:CH172" si="516">BZ130</f>
        <v>-4.1154500000000001</v>
      </c>
      <c r="CI146" s="15">
        <f t="shared" si="416"/>
        <v>-1.5315000000000001</v>
      </c>
      <c r="CJ146" s="15">
        <f t="shared" si="426"/>
        <v>-1.8927799999999999</v>
      </c>
      <c r="CK146" s="15">
        <f t="shared" si="436"/>
        <v>-2.5222199999999999</v>
      </c>
      <c r="CL146" s="15">
        <v>3</v>
      </c>
      <c r="CM146" s="15">
        <f t="shared" si="447"/>
        <v>3</v>
      </c>
      <c r="CN146" s="15">
        <f t="shared" si="457"/>
        <v>3</v>
      </c>
      <c r="CO146" s="15">
        <f t="shared" si="467"/>
        <v>3</v>
      </c>
      <c r="CP146" s="15">
        <f t="shared" si="477"/>
        <v>3</v>
      </c>
      <c r="CQ146" s="15">
        <f t="shared" si="487"/>
        <v>3</v>
      </c>
      <c r="CR146" s="15">
        <f t="shared" si="497"/>
        <v>3</v>
      </c>
      <c r="CS146" s="15">
        <f t="shared" si="507"/>
        <v>3</v>
      </c>
      <c r="CT146" s="15">
        <f t="shared" ref="CT146:CT172" si="517">CL130</f>
        <v>3</v>
      </c>
      <c r="CU146" s="15">
        <f t="shared" si="417"/>
        <v>3</v>
      </c>
      <c r="CV146" s="15">
        <f t="shared" si="427"/>
        <v>3</v>
      </c>
      <c r="CW146" s="15">
        <f t="shared" si="437"/>
        <v>3</v>
      </c>
      <c r="CX146" s="15">
        <v>-70.593199999999996</v>
      </c>
      <c r="CY146" s="15">
        <f t="shared" si="448"/>
        <v>-58.959200000000003</v>
      </c>
      <c r="CZ146" s="15">
        <f t="shared" si="458"/>
        <v>-75.154499999999999</v>
      </c>
      <c r="DA146" s="15">
        <f t="shared" si="468"/>
        <v>-76.646500000000003</v>
      </c>
      <c r="DB146" s="15">
        <f t="shared" si="478"/>
        <v>-70.251300000000001</v>
      </c>
      <c r="DC146" s="15">
        <f t="shared" si="488"/>
        <v>-83.350200000000001</v>
      </c>
      <c r="DD146" s="15">
        <f t="shared" si="498"/>
        <v>-34.137300000000003</v>
      </c>
      <c r="DE146" s="15">
        <f t="shared" si="508"/>
        <v>-71.803200000000004</v>
      </c>
      <c r="DF146" s="15">
        <f t="shared" ref="DF146:DF172" si="518">CX130</f>
        <v>-76.342600000000004</v>
      </c>
      <c r="DG146" s="15">
        <f t="shared" si="418"/>
        <v>-56.857300000000002</v>
      </c>
      <c r="DH146" s="15">
        <f t="shared" si="428"/>
        <v>-62.151400000000002</v>
      </c>
      <c r="DI146" s="15">
        <f t="shared" si="438"/>
        <v>-68.372900000000001</v>
      </c>
      <c r="DJ146" s="15" t="s">
        <v>22</v>
      </c>
      <c r="DK146" s="15" t="str">
        <f t="shared" si="449"/>
        <v>HL</v>
      </c>
      <c r="DL146" s="15" t="str">
        <f t="shared" si="459"/>
        <v>HL</v>
      </c>
      <c r="DM146" s="15" t="str">
        <f t="shared" si="469"/>
        <v>HL</v>
      </c>
      <c r="DN146" s="15" t="str">
        <f t="shared" si="479"/>
        <v>LL</v>
      </c>
      <c r="DO146" s="15" t="str">
        <f t="shared" si="489"/>
        <v>LL</v>
      </c>
      <c r="DP146" s="15" t="str">
        <f t="shared" si="499"/>
        <v>HL</v>
      </c>
      <c r="DQ146" s="15" t="str">
        <f t="shared" si="509"/>
        <v>LL</v>
      </c>
      <c r="DR146" s="15" t="str">
        <f t="shared" ref="DR146:DR172" si="519">DJ130</f>
        <v>LL</v>
      </c>
      <c r="DS146" s="15" t="str">
        <f t="shared" si="419"/>
        <v>HL</v>
      </c>
      <c r="DT146" s="15" t="str">
        <f t="shared" si="429"/>
        <v>LL</v>
      </c>
      <c r="DU146" s="15" t="str">
        <f t="shared" si="439"/>
        <v>HL</v>
      </c>
      <c r="DV146" s="15">
        <f>IFERROR((G146-$F146)/$F146*100,"")</f>
        <v>-0.18876225275070674</v>
      </c>
      <c r="DW146" s="15">
        <f>IFERROR((H146-$F146)/$F146*100,"")</f>
        <v>-1.5918010866291032</v>
      </c>
      <c r="DX146" s="15">
        <f>IFERROR((I146-$F146)/$F146*100,"")</f>
        <v>-2.0774683752793091</v>
      </c>
      <c r="DY146" s="15">
        <f>IFERROR((J146-$F146)/$F146*100,"")</f>
        <v>-2.2536609257802573</v>
      </c>
      <c r="DZ146" s="15">
        <f>IFERROR((K146-$F146)/$F146*100,"")</f>
        <v>-0.83285113354875828</v>
      </c>
      <c r="EA146" s="15">
        <f>IFERROR((L146-$F146)/$F146*100,"")</f>
        <v>-0.57083785734255132</v>
      </c>
      <c r="EB146" s="15">
        <f>IFERROR((M146-$F146)/$F146*100,"")</f>
        <v>-1.2818929104712238</v>
      </c>
      <c r="EC146" s="15">
        <f>IFERROR((N146-$F146)/$F146*100,"")</f>
        <v>1.1496943178444101</v>
      </c>
      <c r="ED146" s="15">
        <f>IFERROR((O146-$F146)/$F146*100,"")</f>
        <v>1.842544974611358</v>
      </c>
      <c r="EE146" s="15">
        <f>IFERROR((P146-$F146)/$F146*100,"")</f>
        <v>1.2587039770104465</v>
      </c>
      <c r="EF146" s="15">
        <f>IFERROR((Q146-$F146)/$F146*100,"")</f>
        <v>1.3100663810310149</v>
      </c>
      <c r="EG146" s="15" t="str">
        <f>IF(DV146="","",IF(AND(ABS(DV146)&lt;=0.25,$E146="Bottom",DK146="LL"),"EQL",IF(AND(ABS(DV146)&lt;=0.25,$E146="Peak",DK146="HH"),"EQH","")))</f>
        <v/>
      </c>
      <c r="EH146" s="15" t="str">
        <f>IF(DW146="","",IF(AND(ABS(DW146)&lt;=0.25,$E146="Bottom",DL146="LL"),"EQL",IF(AND(ABS(DW146)&lt;=0.25,$E146="Peak",DL146="HH"),"EQH","")))</f>
        <v/>
      </c>
      <c r="EI146" s="15" t="str">
        <f>IF(DX146="","",IF(AND(ABS(DX146)&lt;=0.25,$E146="Bottom",DM146="LL"),"EQL",IF(AND(ABS(DX146)&lt;=0.25,$E146="Peak",DM146="HH"),"EQH","")))</f>
        <v/>
      </c>
      <c r="EJ146" s="15" t="str">
        <f>IF(DY146="","",IF(AND(ABS(DY146)&lt;=0.25,$E146="Bottom",DN146="LL"),"EQL",IF(AND(ABS(DY146)&lt;=0.25,$E146="Peak",DN146="HH"),"EQH","")))</f>
        <v/>
      </c>
      <c r="EK146" s="15" t="str">
        <f>IF(DZ146="","",IF(AND(ABS(DZ146)&lt;=0.25,$E146="Bottom",DO146="LL"),"EQL",IF(AND(ABS(DZ146)&lt;=0.25,$E146="Peak",DO146="HH"),"EQH","")))</f>
        <v/>
      </c>
      <c r="EL146" s="15" t="str">
        <f>IF(EA146="","",IF(AND(ABS(EA146)&lt;=0.25,$E146="Bottom",DP146="LL"),"EQL",IF(AND(ABS(EA146)&lt;=0.25,$E146="Peak",DP146="HH"),"EQH","")))</f>
        <v/>
      </c>
      <c r="EM146" s="15" t="str">
        <f>IF(EB146="","",IF(AND(ABS(EB146)&lt;=0.25,$E146="Bottom",DQ146="LL"),"EQL",IF(AND(ABS(EB146)&lt;=0.25,$E146="Peak",DQ146="HH"),"EQH","")))</f>
        <v/>
      </c>
      <c r="EN146" s="15" t="str">
        <f>IF(EC146="","",IF(AND(ABS(EC146)&lt;=0.25,$E146="Bottom",DR146="LL"),"EQL",IF(AND(ABS(EC146)&lt;=0.25,$E146="Peak",DR146="HH"),"EQH","")))</f>
        <v/>
      </c>
      <c r="EO146" s="15" t="str">
        <f>IF(ED146="","",IF(AND(ABS(ED146)&lt;=0.25,$E146="Bottom",DS146="LL"),"EQL",IF(AND(ABS(ED146)&lt;=0.25,$E146="Peak",DS146="HH"),"EQH","")))</f>
        <v/>
      </c>
      <c r="EP146" s="15" t="str">
        <f>IF(EE146="","",IF(AND(ABS(EE146)&lt;=0.25,$E146="Bottom",DT146="LL"),"EQL",IF(AND(ABS(EE146)&lt;=0.25,$E146="Peak",DT146="HH"),"EQH","")))</f>
        <v/>
      </c>
      <c r="EQ146" s="15" t="str">
        <f>IF(EF146="","",IF(AND(ABS(EF146)&lt;=0.25,$E146="Bottom",DU146="LL"),"EQL",IF(AND(ABS(EF146)&lt;=0.25,$E146="Peak",DU146="HH"),"EQH","")))</f>
        <v/>
      </c>
      <c r="ER146" s="15" t="str">
        <f>IF(OR(EG146="EQL",EG146="EQH"),F146,"")</f>
        <v/>
      </c>
      <c r="ES146" s="15" t="str">
        <f>IF(OR(EH146="EQL",EH146="EQH"),G146,"")</f>
        <v/>
      </c>
      <c r="ET146" s="15" t="str">
        <f>IF(OR(EI146="EQL",EI146="EQH"),H146,"")</f>
        <v/>
      </c>
      <c r="EU146" s="15" t="str">
        <f>IF(OR(EJ146="EQL",EJ146="EQH"),I146,"")</f>
        <v/>
      </c>
      <c r="EV146" s="15" t="str">
        <f>IF(OR(EK146="EQL",EK146="EQH"),J146,"")</f>
        <v/>
      </c>
      <c r="EW146" s="15" t="str">
        <f>IF(OR(EL146="EQL",EL146="EQH"),K146,"")</f>
        <v/>
      </c>
      <c r="EX146" s="15" t="str">
        <f>IF(OR(EM146="EQL",EM146="EQH"),L146,"")</f>
        <v/>
      </c>
      <c r="EY146" s="15" t="str">
        <f>IF(OR(EN146="EQL",EN146="EQH"),M146,"")</f>
        <v/>
      </c>
      <c r="EZ146" s="15" t="str">
        <f>IF(OR(EO146="EQL",EO146="EQH"),N146,"")</f>
        <v/>
      </c>
      <c r="FA146" s="15" t="str">
        <f>IF(OR(EP146="EQL",EP146="EQH"),O146,"")</f>
        <v/>
      </c>
      <c r="FB146" s="15" t="str">
        <f>IF(OR(EQ146="EQL",EQ146="EQH"),P146,"")</f>
        <v/>
      </c>
      <c r="FC146" s="15" t="str">
        <f>IF(AND(EG146="EQL",OR(AQ146=4,AQ146=5)),"IEQL",IF(AND(EG146="EQH",OR(AQ146=1,AQ146=2)),"IEQH",""))</f>
        <v/>
      </c>
      <c r="FD146" s="15" t="str">
        <f>IF(AND(EH146="EQL",OR(AR146=4,AR146=5)),"IEQL",IF(AND(EH146="EQH",OR(AR146=1,AR146=2)),"IEQH",""))</f>
        <v/>
      </c>
      <c r="FE146" s="15" t="str">
        <f>IF(AND(EI146="EQL",OR(AS146=4,AS146=5)),"IEQL",IF(AND(EI146="EQH",OR(AS146=1,AS146=2)),"IEQH",""))</f>
        <v/>
      </c>
      <c r="FF146" s="15" t="str">
        <f>IF(AND(EJ146="EQL",OR(AT146=4,AT146=5)),"IEQL",IF(AND(EJ146="EQH",OR(AT146=1,AT146=2)),"IEQH",""))</f>
        <v/>
      </c>
      <c r="FG146" s="15" t="str">
        <f>IF(AND(EK146="EQL",OR(AU146=4,AU146=5)),"IEQL",IF(AND(EK146="EQH",OR(AU146=1,AU146=2)),"IEQH",""))</f>
        <v/>
      </c>
      <c r="FH146" s="15" t="str">
        <f>IF(AND(EL146="EQL",OR(AV146=4,AV146=5)),"IEQL",IF(AND(EL146="EQH",OR(AV146=1,AV146=2)),"IEQH",""))</f>
        <v/>
      </c>
      <c r="FI146" s="15" t="str">
        <f>IF(AND(EM146="EQL",OR(AW146=4,AW146=5)),"IEQL",IF(AND(EM146="EQH",OR(AW146=1,AW146=2)),"IEQH",""))</f>
        <v/>
      </c>
      <c r="FJ146" s="15" t="str">
        <f>IF(AND(EN146="EQL",OR(AX146=4,AX146=5)),"IEQL",IF(AND(EN146="EQH",OR(AX146=1,AX146=2)),"IEQH",""))</f>
        <v/>
      </c>
      <c r="FK146" s="15" t="str">
        <f>IF(AND(EO146="EQL",OR(AY146=4,AY146=5)),"IEQL",IF(AND(EO146="EQH",OR(AY146=1,AY146=2)),"IEQH",""))</f>
        <v/>
      </c>
      <c r="FL146" s="15" t="str">
        <f>IF(AND(EP146="EQL",OR(AZ146=4,AZ146=5)),"IEQL",IF(AND(EP146="EQH",OR(AZ146=1,AZ146=2)),"IEQH",""))</f>
        <v/>
      </c>
      <c r="FM146" s="15" t="str">
        <f>IF(AND(EQ146="EQL",OR(BA146=4,BA146=5)),"IEQL",IF(AND(EQ146="EQH",OR(BA146=1,BA146=2)),"IEQH",""))</f>
        <v/>
      </c>
      <c r="FN146" s="15" t="str">
        <f>IF(OR(AND(DJ146="LL",AP146=5),AND(DJ146="HH",AP146=2)),F146,"")</f>
        <v/>
      </c>
      <c r="FO146" s="15" t="str">
        <f>IF(FN146&lt;&gt;"",F145,"")</f>
        <v/>
      </c>
    </row>
    <row r="147" spans="1:171" s="15" customFormat="1" x14ac:dyDescent="0.55000000000000004">
      <c r="A147" s="15">
        <v>1777601706</v>
      </c>
      <c r="B147" s="15" t="s">
        <v>16</v>
      </c>
      <c r="C147" s="15" t="s">
        <v>17</v>
      </c>
      <c r="D147" s="15">
        <v>4629.3900000000003</v>
      </c>
      <c r="E147" s="15" t="s">
        <v>20</v>
      </c>
      <c r="F147" s="15">
        <v>4635.83</v>
      </c>
      <c r="G147" s="15">
        <f t="shared" si="440"/>
        <v>4634.1400000000003</v>
      </c>
      <c r="H147" s="15">
        <f t="shared" si="450"/>
        <v>4647.1000000000004</v>
      </c>
      <c r="I147" s="15">
        <f t="shared" si="460"/>
        <v>4582.32</v>
      </c>
      <c r="J147" s="15">
        <f t="shared" si="470"/>
        <v>4564.75</v>
      </c>
      <c r="K147" s="15">
        <f t="shared" si="480"/>
        <v>4607.7700000000004</v>
      </c>
      <c r="L147" s="15">
        <f t="shared" si="490"/>
        <v>4610.1499999999996</v>
      </c>
      <c r="M147" s="15">
        <f t="shared" si="500"/>
        <v>4601.49</v>
      </c>
      <c r="N147" s="15">
        <f t="shared" si="510"/>
        <v>4701.1400000000003</v>
      </c>
      <c r="O147" s="15">
        <f t="shared" si="410"/>
        <v>4712.59</v>
      </c>
      <c r="P147" s="15">
        <f t="shared" si="420"/>
        <v>4729.92</v>
      </c>
      <c r="Q147" s="15">
        <f t="shared" si="430"/>
        <v>4740.49</v>
      </c>
      <c r="R147" s="15">
        <v>21.56</v>
      </c>
      <c r="S147" s="15">
        <f t="shared" si="441"/>
        <v>28.58</v>
      </c>
      <c r="T147" s="15">
        <f t="shared" si="451"/>
        <v>106.28</v>
      </c>
      <c r="U147" s="15">
        <f t="shared" si="461"/>
        <v>63.91</v>
      </c>
      <c r="V147" s="15">
        <f t="shared" si="471"/>
        <v>54.47</v>
      </c>
      <c r="W147" s="15">
        <f t="shared" si="481"/>
        <v>31.93</v>
      </c>
      <c r="X147" s="15">
        <f t="shared" si="491"/>
        <v>22.22</v>
      </c>
      <c r="Y147" s="15">
        <f t="shared" si="501"/>
        <v>46.37</v>
      </c>
      <c r="Z147" s="15">
        <f t="shared" si="511"/>
        <v>33.82</v>
      </c>
      <c r="AA147" s="15">
        <f t="shared" si="411"/>
        <v>13.3</v>
      </c>
      <c r="AB147" s="15">
        <f t="shared" si="421"/>
        <v>57.57</v>
      </c>
      <c r="AC147" s="15">
        <f t="shared" si="431"/>
        <v>65.77</v>
      </c>
      <c r="AD147" s="15">
        <v>0.47</v>
      </c>
      <c r="AE147" s="15">
        <f t="shared" si="442"/>
        <v>0.62</v>
      </c>
      <c r="AF147" s="15">
        <f t="shared" si="452"/>
        <v>2.34</v>
      </c>
      <c r="AG147" s="15">
        <f t="shared" si="462"/>
        <v>1.41</v>
      </c>
      <c r="AH147" s="15">
        <f t="shared" si="472"/>
        <v>1.21</v>
      </c>
      <c r="AI147" s="15">
        <f t="shared" si="482"/>
        <v>0.7</v>
      </c>
      <c r="AJ147" s="15">
        <f t="shared" si="492"/>
        <v>0.48</v>
      </c>
      <c r="AK147" s="15">
        <f t="shared" si="502"/>
        <v>1.02</v>
      </c>
      <c r="AL147" s="15">
        <f t="shared" si="512"/>
        <v>0.72</v>
      </c>
      <c r="AM147" s="15">
        <f t="shared" si="412"/>
        <v>0.28000000000000003</v>
      </c>
      <c r="AN147" s="15">
        <f t="shared" si="422"/>
        <v>1.23</v>
      </c>
      <c r="AO147" s="15">
        <f t="shared" si="432"/>
        <v>1.41</v>
      </c>
      <c r="AP147" s="15">
        <v>0</v>
      </c>
      <c r="AQ147" s="15">
        <f t="shared" si="443"/>
        <v>0</v>
      </c>
      <c r="AR147" s="15">
        <f t="shared" si="453"/>
        <v>1</v>
      </c>
      <c r="AS147" s="15">
        <f t="shared" si="463"/>
        <v>0</v>
      </c>
      <c r="AT147" s="15">
        <f t="shared" si="473"/>
        <v>0</v>
      </c>
      <c r="AU147" s="15">
        <f t="shared" si="483"/>
        <v>0</v>
      </c>
      <c r="AV147" s="15">
        <f t="shared" si="493"/>
        <v>0</v>
      </c>
      <c r="AW147" s="15">
        <f t="shared" si="503"/>
        <v>0</v>
      </c>
      <c r="AX147" s="15">
        <f t="shared" si="513"/>
        <v>0</v>
      </c>
      <c r="AY147" s="15">
        <f t="shared" si="413"/>
        <v>0</v>
      </c>
      <c r="AZ147" s="15">
        <f t="shared" si="423"/>
        <v>0</v>
      </c>
      <c r="BA147" s="15">
        <f t="shared" si="433"/>
        <v>0</v>
      </c>
      <c r="BB147" s="15">
        <v>4</v>
      </c>
      <c r="BC147" s="15">
        <f t="shared" si="444"/>
        <v>23</v>
      </c>
      <c r="BD147" s="15">
        <f t="shared" si="454"/>
        <v>24</v>
      </c>
      <c r="BE147" s="15">
        <f t="shared" si="464"/>
        <v>24</v>
      </c>
      <c r="BF147" s="15">
        <f t="shared" si="474"/>
        <v>9</v>
      </c>
      <c r="BG147" s="15">
        <f t="shared" si="484"/>
        <v>16</v>
      </c>
      <c r="BH147" s="15">
        <f t="shared" si="494"/>
        <v>2</v>
      </c>
      <c r="BI147" s="15">
        <f t="shared" si="504"/>
        <v>22</v>
      </c>
      <c r="BJ147" s="15">
        <f t="shared" si="514"/>
        <v>32</v>
      </c>
      <c r="BK147" s="15">
        <f t="shared" si="414"/>
        <v>11</v>
      </c>
      <c r="BL147" s="15">
        <f t="shared" si="424"/>
        <v>18</v>
      </c>
      <c r="BM147" s="15">
        <f t="shared" si="434"/>
        <v>14</v>
      </c>
      <c r="BN147" s="15">
        <v>0</v>
      </c>
      <c r="BO147" s="15">
        <f t="shared" si="445"/>
        <v>0</v>
      </c>
      <c r="BP147" s="15">
        <f t="shared" si="455"/>
        <v>0</v>
      </c>
      <c r="BQ147" s="15">
        <f t="shared" si="465"/>
        <v>0</v>
      </c>
      <c r="BR147" s="15">
        <f t="shared" si="475"/>
        <v>0</v>
      </c>
      <c r="BS147" s="15">
        <f t="shared" si="485"/>
        <v>0</v>
      </c>
      <c r="BT147" s="15">
        <f t="shared" si="495"/>
        <v>0</v>
      </c>
      <c r="BU147" s="15">
        <f t="shared" si="505"/>
        <v>0</v>
      </c>
      <c r="BV147" s="15">
        <f t="shared" si="515"/>
        <v>0</v>
      </c>
      <c r="BW147" s="15">
        <f t="shared" si="415"/>
        <v>0</v>
      </c>
      <c r="BX147" s="15">
        <f t="shared" si="425"/>
        <v>0</v>
      </c>
      <c r="BY147" s="15">
        <f t="shared" si="435"/>
        <v>0</v>
      </c>
      <c r="BZ147" s="15">
        <v>5.39</v>
      </c>
      <c r="CA147" s="15">
        <f t="shared" si="446"/>
        <v>1.24261</v>
      </c>
      <c r="CB147" s="15">
        <f t="shared" si="456"/>
        <v>4.4283299999999999</v>
      </c>
      <c r="CC147" s="15">
        <f t="shared" si="466"/>
        <v>2.6629200000000002</v>
      </c>
      <c r="CD147" s="15">
        <f t="shared" si="476"/>
        <v>6.0522200000000002</v>
      </c>
      <c r="CE147" s="15">
        <f t="shared" si="486"/>
        <v>1.99563</v>
      </c>
      <c r="CF147" s="15">
        <f t="shared" si="496"/>
        <v>11.11</v>
      </c>
      <c r="CG147" s="15">
        <f t="shared" si="506"/>
        <v>2.1077300000000001</v>
      </c>
      <c r="CH147" s="15">
        <f t="shared" si="516"/>
        <v>1.05688</v>
      </c>
      <c r="CI147" s="15">
        <f t="shared" si="416"/>
        <v>1.20909</v>
      </c>
      <c r="CJ147" s="15">
        <f t="shared" si="426"/>
        <v>3.1983299999999999</v>
      </c>
      <c r="CK147" s="15">
        <f t="shared" si="436"/>
        <v>4.6978600000000004</v>
      </c>
      <c r="CL147" s="15">
        <v>0</v>
      </c>
      <c r="CM147" s="15">
        <f t="shared" si="447"/>
        <v>0</v>
      </c>
      <c r="CN147" s="15">
        <f t="shared" si="457"/>
        <v>0</v>
      </c>
      <c r="CO147" s="15">
        <f t="shared" si="467"/>
        <v>0</v>
      </c>
      <c r="CP147" s="15">
        <f t="shared" si="477"/>
        <v>0</v>
      </c>
      <c r="CQ147" s="15">
        <f t="shared" si="487"/>
        <v>0</v>
      </c>
      <c r="CR147" s="15">
        <f t="shared" si="497"/>
        <v>0</v>
      </c>
      <c r="CS147" s="15">
        <f t="shared" si="507"/>
        <v>0</v>
      </c>
      <c r="CT147" s="15">
        <f t="shared" si="517"/>
        <v>0</v>
      </c>
      <c r="CU147" s="15">
        <f t="shared" si="417"/>
        <v>0</v>
      </c>
      <c r="CV147" s="15">
        <f t="shared" si="427"/>
        <v>0</v>
      </c>
      <c r="CW147" s="15">
        <f t="shared" si="437"/>
        <v>0</v>
      </c>
      <c r="CX147" s="15">
        <v>79.489500000000007</v>
      </c>
      <c r="CY147" s="15">
        <f t="shared" si="448"/>
        <v>51.174300000000002</v>
      </c>
      <c r="CZ147" s="15">
        <f t="shared" si="458"/>
        <v>77.275000000000006</v>
      </c>
      <c r="DA147" s="15">
        <f t="shared" si="468"/>
        <v>69.417400000000001</v>
      </c>
      <c r="DB147" s="15">
        <f t="shared" si="478"/>
        <v>80.617900000000006</v>
      </c>
      <c r="DC147" s="15">
        <f t="shared" si="488"/>
        <v>63.384700000000002</v>
      </c>
      <c r="DD147" s="15">
        <f t="shared" si="498"/>
        <v>84.856700000000004</v>
      </c>
      <c r="DE147" s="15">
        <f t="shared" si="508"/>
        <v>64.618200000000002</v>
      </c>
      <c r="DF147" s="15">
        <f t="shared" si="518"/>
        <v>46.5839</v>
      </c>
      <c r="DG147" s="15">
        <f t="shared" si="418"/>
        <v>50.4069</v>
      </c>
      <c r="DH147" s="15">
        <f t="shared" si="428"/>
        <v>72.637500000000003</v>
      </c>
      <c r="DI147" s="15">
        <f t="shared" si="438"/>
        <v>77.983199999999997</v>
      </c>
      <c r="DJ147" s="15" t="s">
        <v>23</v>
      </c>
      <c r="DK147" s="15" t="str">
        <f t="shared" si="449"/>
        <v>LH</v>
      </c>
      <c r="DL147" s="15" t="str">
        <f t="shared" si="459"/>
        <v>HH</v>
      </c>
      <c r="DM147" s="15" t="str">
        <f t="shared" si="469"/>
        <v>HH</v>
      </c>
      <c r="DN147" s="15" t="str">
        <f t="shared" si="479"/>
        <v>LH</v>
      </c>
      <c r="DO147" s="15" t="str">
        <f t="shared" si="489"/>
        <v>LH</v>
      </c>
      <c r="DP147" s="15" t="str">
        <f t="shared" si="499"/>
        <v>HH</v>
      </c>
      <c r="DQ147" s="15" t="str">
        <f t="shared" si="509"/>
        <v>LH</v>
      </c>
      <c r="DR147" s="15" t="str">
        <f t="shared" si="519"/>
        <v>LH</v>
      </c>
      <c r="DS147" s="15" t="str">
        <f t="shared" si="419"/>
        <v>LH</v>
      </c>
      <c r="DT147" s="15" t="str">
        <f t="shared" si="429"/>
        <v>LH</v>
      </c>
      <c r="DU147" s="15" t="str">
        <f t="shared" si="439"/>
        <v>HH</v>
      </c>
      <c r="DV147" s="15">
        <f>IFERROR((G147-$F147)/$F147*100,"")</f>
        <v>-3.6455176311460946E-2</v>
      </c>
      <c r="DW147" s="15">
        <f>IFERROR((H147-$F147)/$F147*100,"")</f>
        <v>0.24310641244395148</v>
      </c>
      <c r="DX147" s="15">
        <f>IFERROR((I147-$F147)/$F147*100,"")</f>
        <v>-1.1542701091282515</v>
      </c>
      <c r="DY147" s="15">
        <f>IFERROR((J147-$F147)/$F147*100,"")</f>
        <v>-1.5332745161060679</v>
      </c>
      <c r="DZ147" s="15">
        <f>IFERROR((K147-$F147)/$F147*100,"")</f>
        <v>-0.60528535343184486</v>
      </c>
      <c r="EA147" s="15">
        <f>IFERROR((L147-$F147)/$F147*100,"")</f>
        <v>-0.553946111052396</v>
      </c>
      <c r="EB147" s="15">
        <f>IFERROR((M147-$F147)/$F147*100,"")</f>
        <v>-0.74075192576087012</v>
      </c>
      <c r="EC147" s="15">
        <f>IFERROR((N147-$F147)/$F147*100,"")</f>
        <v>1.4088092100012382</v>
      </c>
      <c r="ED147" s="15">
        <f>IFERROR((O147-$F147)/$F147*100,"")</f>
        <v>1.6557984222890016</v>
      </c>
      <c r="EE147" s="15">
        <f>IFERROR((P147-$F147)/$F147*100,"")</f>
        <v>2.0296257628083891</v>
      </c>
      <c r="EF147" s="15">
        <f>IFERROR((Q147-$F147)/$F147*100,"")</f>
        <v>2.2576323980818938</v>
      </c>
      <c r="EG147" s="15" t="str">
        <f>IF(DV147="","",IF(AND(ABS(DV147)&lt;=0.25,$E147="Bottom",DK147="LL"),"EQL",IF(AND(ABS(DV147)&lt;=0.25,$E147="Peak",DK147="HH"),"EQH","")))</f>
        <v/>
      </c>
      <c r="EH147" s="15" t="str">
        <f>IF(DW147="","",IF(AND(ABS(DW147)&lt;=0.25,$E147="Bottom",DL147="LL"),"EQL",IF(AND(ABS(DW147)&lt;=0.25,$E147="Peak",DL147="HH"),"EQH","")))</f>
        <v>EQH</v>
      </c>
      <c r="EI147" s="15" t="str">
        <f>IF(DX147="","",IF(AND(ABS(DX147)&lt;=0.25,$E147="Bottom",DM147="LL"),"EQL",IF(AND(ABS(DX147)&lt;=0.25,$E147="Peak",DM147="HH"),"EQH","")))</f>
        <v/>
      </c>
      <c r="EJ147" s="15" t="str">
        <f>IF(DY147="","",IF(AND(ABS(DY147)&lt;=0.25,$E147="Bottom",DN147="LL"),"EQL",IF(AND(ABS(DY147)&lt;=0.25,$E147="Peak",DN147="HH"),"EQH","")))</f>
        <v/>
      </c>
      <c r="EK147" s="15" t="str">
        <f>IF(DZ147="","",IF(AND(ABS(DZ147)&lt;=0.25,$E147="Bottom",DO147="LL"),"EQL",IF(AND(ABS(DZ147)&lt;=0.25,$E147="Peak",DO147="HH"),"EQH","")))</f>
        <v/>
      </c>
      <c r="EL147" s="15" t="str">
        <f>IF(EA147="","",IF(AND(ABS(EA147)&lt;=0.25,$E147="Bottom",DP147="LL"),"EQL",IF(AND(ABS(EA147)&lt;=0.25,$E147="Peak",DP147="HH"),"EQH","")))</f>
        <v/>
      </c>
      <c r="EM147" s="15" t="str">
        <f>IF(EB147="","",IF(AND(ABS(EB147)&lt;=0.25,$E147="Bottom",DQ147="LL"),"EQL",IF(AND(ABS(EB147)&lt;=0.25,$E147="Peak",DQ147="HH"),"EQH","")))</f>
        <v/>
      </c>
      <c r="EN147" s="15" t="str">
        <f>IF(EC147="","",IF(AND(ABS(EC147)&lt;=0.25,$E147="Bottom",DR147="LL"),"EQL",IF(AND(ABS(EC147)&lt;=0.25,$E147="Peak",DR147="HH"),"EQH","")))</f>
        <v/>
      </c>
      <c r="EO147" s="15" t="str">
        <f>IF(ED147="","",IF(AND(ABS(ED147)&lt;=0.25,$E147="Bottom",DS147="LL"),"EQL",IF(AND(ABS(ED147)&lt;=0.25,$E147="Peak",DS147="HH"),"EQH","")))</f>
        <v/>
      </c>
      <c r="EP147" s="15" t="str">
        <f>IF(EE147="","",IF(AND(ABS(EE147)&lt;=0.25,$E147="Bottom",DT147="LL"),"EQL",IF(AND(ABS(EE147)&lt;=0.25,$E147="Peak",DT147="HH"),"EQH","")))</f>
        <v/>
      </c>
      <c r="EQ147" s="15" t="str">
        <f>IF(EF147="","",IF(AND(ABS(EF147)&lt;=0.25,$E147="Bottom",DU147="LL"),"EQL",IF(AND(ABS(EF147)&lt;=0.25,$E147="Peak",DU147="HH"),"EQH","")))</f>
        <v/>
      </c>
      <c r="ER147" s="15" t="str">
        <f>IF(OR(EG147="EQL",EG147="EQH"),F147,"")</f>
        <v/>
      </c>
      <c r="ES147" s="15">
        <f>IF(OR(EH147="EQL",EH147="EQH"),G147,"")</f>
        <v>4634.1400000000003</v>
      </c>
      <c r="ET147" s="15" t="str">
        <f>IF(OR(EI147="EQL",EI147="EQH"),H147,"")</f>
        <v/>
      </c>
      <c r="EU147" s="15" t="str">
        <f>IF(OR(EJ147="EQL",EJ147="EQH"),I147,"")</f>
        <v/>
      </c>
      <c r="EV147" s="15" t="str">
        <f>IF(OR(EK147="EQL",EK147="EQH"),J147,"")</f>
        <v/>
      </c>
      <c r="EW147" s="15" t="str">
        <f>IF(OR(EL147="EQL",EL147="EQH"),K147,"")</f>
        <v/>
      </c>
      <c r="EX147" s="15" t="str">
        <f>IF(OR(EM147="EQL",EM147="EQH"),L147,"")</f>
        <v/>
      </c>
      <c r="EY147" s="15" t="str">
        <f>IF(OR(EN147="EQL",EN147="EQH"),M147,"")</f>
        <v/>
      </c>
      <c r="EZ147" s="15" t="str">
        <f>IF(OR(EO147="EQL",EO147="EQH"),N147,"")</f>
        <v/>
      </c>
      <c r="FA147" s="15" t="str">
        <f>IF(OR(EP147="EQL",EP147="EQH"),O147,"")</f>
        <v/>
      </c>
      <c r="FB147" s="15" t="str">
        <f>IF(OR(EQ147="EQL",EQ147="EQH"),P147,"")</f>
        <v/>
      </c>
      <c r="FC147" s="15" t="str">
        <f>IF(AND(EG147="EQL",OR(AQ147=4,AQ147=5)),"IEQL",IF(AND(EG147="EQH",OR(AQ147=1,AQ147=2)),"IEQH",""))</f>
        <v/>
      </c>
      <c r="FD147" s="15" t="str">
        <f>IF(AND(EH147="EQL",OR(AR147=4,AR147=5)),"IEQL",IF(AND(EH147="EQH",OR(AR147=1,AR147=2)),"IEQH",""))</f>
        <v>IEQH</v>
      </c>
      <c r="FE147" s="15" t="str">
        <f>IF(AND(EI147="EQL",OR(AS147=4,AS147=5)),"IEQL",IF(AND(EI147="EQH",OR(AS147=1,AS147=2)),"IEQH",""))</f>
        <v/>
      </c>
      <c r="FF147" s="15" t="str">
        <f>IF(AND(EJ147="EQL",OR(AT147=4,AT147=5)),"IEQL",IF(AND(EJ147="EQH",OR(AT147=1,AT147=2)),"IEQH",""))</f>
        <v/>
      </c>
      <c r="FG147" s="15" t="str">
        <f>IF(AND(EK147="EQL",OR(AU147=4,AU147=5)),"IEQL",IF(AND(EK147="EQH",OR(AU147=1,AU147=2)),"IEQH",""))</f>
        <v/>
      </c>
      <c r="FH147" s="15" t="str">
        <f>IF(AND(EL147="EQL",OR(AV147=4,AV147=5)),"IEQL",IF(AND(EL147="EQH",OR(AV147=1,AV147=2)),"IEQH",""))</f>
        <v/>
      </c>
      <c r="FI147" s="15" t="str">
        <f>IF(AND(EM147="EQL",OR(AW147=4,AW147=5)),"IEQL",IF(AND(EM147="EQH",OR(AW147=1,AW147=2)),"IEQH",""))</f>
        <v/>
      </c>
      <c r="FJ147" s="15" t="str">
        <f>IF(AND(EN147="EQL",OR(AX147=4,AX147=5)),"IEQL",IF(AND(EN147="EQH",OR(AX147=1,AX147=2)),"IEQH",""))</f>
        <v/>
      </c>
      <c r="FK147" s="15" t="str">
        <f>IF(AND(EO147="EQL",OR(AY147=4,AY147=5)),"IEQL",IF(AND(EO147="EQH",OR(AY147=1,AY147=2)),"IEQH",""))</f>
        <v/>
      </c>
      <c r="FL147" s="15" t="str">
        <f>IF(AND(EP147="EQL",OR(AZ147=4,AZ147=5)),"IEQL",IF(AND(EP147="EQH",OR(AZ147=1,AZ147=2)),"IEQH",""))</f>
        <v/>
      </c>
      <c r="FM147" s="15" t="str">
        <f>IF(AND(EQ147="EQL",OR(BA147=4,BA147=5)),"IEQL",IF(AND(EQ147="EQH",OR(BA147=1,BA147=2)),"IEQH",""))</f>
        <v/>
      </c>
      <c r="FN147" s="15" t="str">
        <f>IF(OR(AND(DJ147="LL",AP147=5),AND(DJ147="HH",AP147=2)),F147,"")</f>
        <v/>
      </c>
      <c r="FO147" s="15" t="str">
        <f>IF(FN147&lt;&gt;"",F146,"")</f>
        <v/>
      </c>
    </row>
    <row r="148" spans="1:171" s="15" customFormat="1" x14ac:dyDescent="0.55000000000000004">
      <c r="A148" s="15">
        <v>1777628706</v>
      </c>
      <c r="B148" s="15" t="s">
        <v>16</v>
      </c>
      <c r="C148" s="15" t="s">
        <v>17</v>
      </c>
      <c r="D148" s="15">
        <v>4563.12</v>
      </c>
      <c r="E148" s="15" t="s">
        <v>18</v>
      </c>
      <c r="F148" s="15">
        <v>4560.4399999999996</v>
      </c>
      <c r="G148" s="15">
        <f t="shared" si="440"/>
        <v>4614.2700000000004</v>
      </c>
      <c r="H148" s="15">
        <f t="shared" si="450"/>
        <v>4605.5600000000004</v>
      </c>
      <c r="I148" s="15">
        <f t="shared" si="460"/>
        <v>4540.82</v>
      </c>
      <c r="J148" s="15">
        <f t="shared" si="470"/>
        <v>4518.41</v>
      </c>
      <c r="K148" s="15">
        <f t="shared" si="480"/>
        <v>4510.28</v>
      </c>
      <c r="L148" s="15">
        <f t="shared" si="490"/>
        <v>4575.84</v>
      </c>
      <c r="M148" s="15">
        <f t="shared" si="500"/>
        <v>4587.93</v>
      </c>
      <c r="N148" s="15">
        <f t="shared" si="510"/>
        <v>4555.12</v>
      </c>
      <c r="O148" s="15">
        <f t="shared" ref="O148:O172" si="520">F130</f>
        <v>4667.32</v>
      </c>
      <c r="P148" s="15">
        <f t="shared" si="420"/>
        <v>4699.29</v>
      </c>
      <c r="Q148" s="15">
        <f t="shared" si="430"/>
        <v>4672.3500000000004</v>
      </c>
      <c r="R148" s="15">
        <v>-75.39</v>
      </c>
      <c r="S148" s="15">
        <f t="shared" si="441"/>
        <v>-19.87</v>
      </c>
      <c r="T148" s="15">
        <f t="shared" si="451"/>
        <v>-41.54</v>
      </c>
      <c r="U148" s="15">
        <f t="shared" si="461"/>
        <v>-41.5</v>
      </c>
      <c r="V148" s="15">
        <f t="shared" si="471"/>
        <v>-46.34</v>
      </c>
      <c r="W148" s="15">
        <f t="shared" si="481"/>
        <v>-97.49</v>
      </c>
      <c r="X148" s="15">
        <f t="shared" si="491"/>
        <v>-34.31</v>
      </c>
      <c r="Y148" s="15">
        <f t="shared" si="501"/>
        <v>-13.56</v>
      </c>
      <c r="Z148" s="15">
        <f t="shared" si="511"/>
        <v>-146.02000000000001</v>
      </c>
      <c r="AA148" s="15">
        <f t="shared" ref="AA148:AA172" si="521">R130</f>
        <v>-45.27</v>
      </c>
      <c r="AB148" s="15">
        <f t="shared" si="421"/>
        <v>-30.63</v>
      </c>
      <c r="AC148" s="15">
        <f t="shared" si="431"/>
        <v>-68.14</v>
      </c>
      <c r="AD148" s="15">
        <v>-1.63</v>
      </c>
      <c r="AE148" s="15">
        <f t="shared" si="442"/>
        <v>-0.43</v>
      </c>
      <c r="AF148" s="15">
        <f t="shared" si="452"/>
        <v>-0.89</v>
      </c>
      <c r="AG148" s="15">
        <f t="shared" si="462"/>
        <v>-0.91</v>
      </c>
      <c r="AH148" s="15">
        <f t="shared" si="472"/>
        <v>-1.02</v>
      </c>
      <c r="AI148" s="15">
        <f t="shared" si="482"/>
        <v>-2.12</v>
      </c>
      <c r="AJ148" s="15">
        <f t="shared" si="492"/>
        <v>-0.74</v>
      </c>
      <c r="AK148" s="15">
        <f t="shared" si="502"/>
        <v>-0.28999999999999998</v>
      </c>
      <c r="AL148" s="15">
        <f t="shared" si="512"/>
        <v>-3.11</v>
      </c>
      <c r="AM148" s="15">
        <f t="shared" ref="AM148:AM172" si="522">AD130</f>
        <v>-0.96</v>
      </c>
      <c r="AN148" s="15">
        <f t="shared" si="422"/>
        <v>-0.65</v>
      </c>
      <c r="AO148" s="15">
        <f t="shared" si="432"/>
        <v>-1.44</v>
      </c>
      <c r="AP148" s="15">
        <v>3</v>
      </c>
      <c r="AQ148" s="15">
        <f t="shared" si="443"/>
        <v>3</v>
      </c>
      <c r="AR148" s="15">
        <f t="shared" si="453"/>
        <v>3</v>
      </c>
      <c r="AS148" s="15">
        <f t="shared" si="463"/>
        <v>3</v>
      </c>
      <c r="AT148" s="15">
        <f t="shared" si="473"/>
        <v>3</v>
      </c>
      <c r="AU148" s="15">
        <f t="shared" si="483"/>
        <v>4</v>
      </c>
      <c r="AV148" s="15">
        <f t="shared" si="493"/>
        <v>3</v>
      </c>
      <c r="AW148" s="15">
        <f t="shared" si="503"/>
        <v>3</v>
      </c>
      <c r="AX148" s="15">
        <f t="shared" si="513"/>
        <v>5</v>
      </c>
      <c r="AY148" s="15">
        <f t="shared" ref="AY148:AY172" si="523">AP130</f>
        <v>3</v>
      </c>
      <c r="AZ148" s="15">
        <f t="shared" si="423"/>
        <v>3</v>
      </c>
      <c r="BA148" s="15">
        <f t="shared" si="433"/>
        <v>3</v>
      </c>
      <c r="BB148" s="15">
        <v>30</v>
      </c>
      <c r="BC148" s="15">
        <f t="shared" si="444"/>
        <v>7</v>
      </c>
      <c r="BD148" s="15">
        <f t="shared" si="454"/>
        <v>25</v>
      </c>
      <c r="BE148" s="15">
        <f t="shared" si="464"/>
        <v>11</v>
      </c>
      <c r="BF148" s="15">
        <f t="shared" si="474"/>
        <v>11</v>
      </c>
      <c r="BG148" s="15">
        <f t="shared" si="484"/>
        <v>35</v>
      </c>
      <c r="BH148" s="15">
        <f t="shared" si="494"/>
        <v>4</v>
      </c>
      <c r="BI148" s="15">
        <f t="shared" si="504"/>
        <v>20</v>
      </c>
      <c r="BJ148" s="15">
        <f t="shared" si="514"/>
        <v>48</v>
      </c>
      <c r="BK148" s="15">
        <f t="shared" ref="BK148:BK172" si="524">BB130</f>
        <v>11</v>
      </c>
      <c r="BL148" s="15">
        <f t="shared" si="424"/>
        <v>20</v>
      </c>
      <c r="BM148" s="15">
        <f t="shared" si="434"/>
        <v>36</v>
      </c>
      <c r="BN148" s="15">
        <v>3</v>
      </c>
      <c r="BO148" s="15">
        <f t="shared" si="445"/>
        <v>3</v>
      </c>
      <c r="BP148" s="15">
        <f t="shared" si="455"/>
        <v>3</v>
      </c>
      <c r="BQ148" s="15">
        <f t="shared" si="465"/>
        <v>3</v>
      </c>
      <c r="BR148" s="15">
        <f t="shared" si="475"/>
        <v>3</v>
      </c>
      <c r="BS148" s="15">
        <f t="shared" si="485"/>
        <v>3</v>
      </c>
      <c r="BT148" s="15">
        <f t="shared" si="495"/>
        <v>3</v>
      </c>
      <c r="BU148" s="15">
        <f t="shared" si="505"/>
        <v>3</v>
      </c>
      <c r="BV148" s="15">
        <f t="shared" si="515"/>
        <v>5</v>
      </c>
      <c r="BW148" s="15">
        <f t="shared" ref="BW148:BW172" si="525">BN130</f>
        <v>3</v>
      </c>
      <c r="BX148" s="15">
        <f t="shared" si="425"/>
        <v>3</v>
      </c>
      <c r="BY148" s="15">
        <f t="shared" si="435"/>
        <v>4</v>
      </c>
      <c r="BZ148" s="15">
        <v>-2.5129999999999999</v>
      </c>
      <c r="CA148" s="15">
        <f t="shared" si="446"/>
        <v>-2.8385699999999998</v>
      </c>
      <c r="CB148" s="15">
        <f t="shared" si="456"/>
        <v>-1.6616</v>
      </c>
      <c r="CC148" s="15">
        <f t="shared" si="466"/>
        <v>-3.7727300000000001</v>
      </c>
      <c r="CD148" s="15">
        <f t="shared" si="476"/>
        <v>-4.2127299999999996</v>
      </c>
      <c r="CE148" s="15">
        <f t="shared" si="486"/>
        <v>-2.7854299999999999</v>
      </c>
      <c r="CF148" s="15">
        <f t="shared" si="496"/>
        <v>-8.5775000000000006</v>
      </c>
      <c r="CG148" s="15">
        <f t="shared" si="506"/>
        <v>-0.67800000000000005</v>
      </c>
      <c r="CH148" s="15">
        <f t="shared" si="516"/>
        <v>-3.0420799999999999</v>
      </c>
      <c r="CI148" s="15">
        <f t="shared" ref="CI148:CI172" si="526">BZ130</f>
        <v>-4.1154500000000001</v>
      </c>
      <c r="CJ148" s="15">
        <f t="shared" si="426"/>
        <v>-1.5315000000000001</v>
      </c>
      <c r="CK148" s="15">
        <f t="shared" si="436"/>
        <v>-1.8927799999999999</v>
      </c>
      <c r="CL148" s="15">
        <v>3</v>
      </c>
      <c r="CM148" s="15">
        <f t="shared" si="447"/>
        <v>3</v>
      </c>
      <c r="CN148" s="15">
        <f t="shared" si="457"/>
        <v>3</v>
      </c>
      <c r="CO148" s="15">
        <f t="shared" si="467"/>
        <v>3</v>
      </c>
      <c r="CP148" s="15">
        <f t="shared" si="477"/>
        <v>3</v>
      </c>
      <c r="CQ148" s="15">
        <f t="shared" si="487"/>
        <v>3</v>
      </c>
      <c r="CR148" s="15">
        <f t="shared" si="497"/>
        <v>3</v>
      </c>
      <c r="CS148" s="15">
        <f t="shared" si="507"/>
        <v>3</v>
      </c>
      <c r="CT148" s="15">
        <f t="shared" si="517"/>
        <v>3</v>
      </c>
      <c r="CU148" s="15">
        <f t="shared" ref="CU148:CU172" si="527">CL130</f>
        <v>3</v>
      </c>
      <c r="CV148" s="15">
        <f t="shared" si="427"/>
        <v>3</v>
      </c>
      <c r="CW148" s="15">
        <f t="shared" si="437"/>
        <v>3</v>
      </c>
      <c r="CX148" s="15">
        <v>-68.300899999999999</v>
      </c>
      <c r="CY148" s="15">
        <f t="shared" si="448"/>
        <v>-70.593199999999996</v>
      </c>
      <c r="CZ148" s="15">
        <f t="shared" si="458"/>
        <v>-58.959200000000003</v>
      </c>
      <c r="DA148" s="15">
        <f t="shared" si="468"/>
        <v>-75.154499999999999</v>
      </c>
      <c r="DB148" s="15">
        <f t="shared" si="478"/>
        <v>-76.646500000000003</v>
      </c>
      <c r="DC148" s="15">
        <f t="shared" si="488"/>
        <v>-70.251300000000001</v>
      </c>
      <c r="DD148" s="15">
        <f t="shared" si="498"/>
        <v>-83.350200000000001</v>
      </c>
      <c r="DE148" s="15">
        <f t="shared" si="508"/>
        <v>-34.137300000000003</v>
      </c>
      <c r="DF148" s="15">
        <f t="shared" si="518"/>
        <v>-71.803200000000004</v>
      </c>
      <c r="DG148" s="15">
        <f t="shared" ref="DG148:DG172" si="528">CX130</f>
        <v>-76.342600000000004</v>
      </c>
      <c r="DH148" s="15">
        <f t="shared" si="428"/>
        <v>-56.857300000000002</v>
      </c>
      <c r="DI148" s="15">
        <f t="shared" si="438"/>
        <v>-62.151400000000002</v>
      </c>
      <c r="DJ148" s="15" t="s">
        <v>19</v>
      </c>
      <c r="DK148" s="15" t="str">
        <f t="shared" si="449"/>
        <v>HL</v>
      </c>
      <c r="DL148" s="15" t="str">
        <f t="shared" si="459"/>
        <v>HL</v>
      </c>
      <c r="DM148" s="15" t="str">
        <f t="shared" si="469"/>
        <v>HL</v>
      </c>
      <c r="DN148" s="15" t="str">
        <f t="shared" si="479"/>
        <v>HL</v>
      </c>
      <c r="DO148" s="15" t="str">
        <f t="shared" si="489"/>
        <v>LL</v>
      </c>
      <c r="DP148" s="15" t="str">
        <f t="shared" si="499"/>
        <v>LL</v>
      </c>
      <c r="DQ148" s="15" t="str">
        <f t="shared" si="509"/>
        <v>HL</v>
      </c>
      <c r="DR148" s="15" t="str">
        <f t="shared" si="519"/>
        <v>LL</v>
      </c>
      <c r="DS148" s="15" t="str">
        <f t="shared" ref="DS148:DS172" si="529">DJ130</f>
        <v>LL</v>
      </c>
      <c r="DT148" s="15" t="str">
        <f t="shared" si="429"/>
        <v>HL</v>
      </c>
      <c r="DU148" s="15" t="str">
        <f t="shared" si="439"/>
        <v>LL</v>
      </c>
      <c r="DV148" s="15">
        <f>IFERROR((G148-$F148)/$F148*100,"")</f>
        <v>1.1803685609283501</v>
      </c>
      <c r="DW148" s="15">
        <f>IFERROR((H148-$F148)/$F148*100,"")</f>
        <v>0.98937821789127378</v>
      </c>
      <c r="DX148" s="15">
        <f>IFERROR((I148-$F148)/$F148*100,"")</f>
        <v>-0.43022164527983908</v>
      </c>
      <c r="DY148" s="15">
        <f>IFERROR((J148-$F148)/$F148*100,"")</f>
        <v>-0.92162159791598497</v>
      </c>
      <c r="DZ148" s="15">
        <f>IFERROR((K148-$F148)/$F148*100,"")</f>
        <v>-1.0998938698897442</v>
      </c>
      <c r="EA148" s="15">
        <f>IFERROR((L148-$F148)/$F148*100,"")</f>
        <v>0.33768671443984677</v>
      </c>
      <c r="EB148" s="15">
        <f>IFERROR((M148-$F148)/$F148*100,"")</f>
        <v>0.60279271298385007</v>
      </c>
      <c r="EC148" s="15">
        <f>IFERROR((N148-$F148)/$F148*100,"")</f>
        <v>-0.11665541044284564</v>
      </c>
      <c r="ED148" s="15">
        <f>IFERROR((O148-$F148)/$F148*100,"")</f>
        <v>2.3436335090473754</v>
      </c>
      <c r="EE148" s="15">
        <f>IFERROR((P148-$F148)/$F148*100,"")</f>
        <v>3.0446623571409859</v>
      </c>
      <c r="EF148" s="15">
        <f>IFERROR((Q148-$F148)/$F148*100,"")</f>
        <v>2.4539298839585824</v>
      </c>
      <c r="EG148" s="15" t="str">
        <f>IF(DV148="","",IF(AND(ABS(DV148)&lt;=0.25,$E148="Bottom",DK148="LL"),"EQL",IF(AND(ABS(DV148)&lt;=0.25,$E148="Peak",DK148="HH"),"EQH","")))</f>
        <v/>
      </c>
      <c r="EH148" s="15" t="str">
        <f>IF(DW148="","",IF(AND(ABS(DW148)&lt;=0.25,$E148="Bottom",DL148="LL"),"EQL",IF(AND(ABS(DW148)&lt;=0.25,$E148="Peak",DL148="HH"),"EQH","")))</f>
        <v/>
      </c>
      <c r="EI148" s="15" t="str">
        <f>IF(DX148="","",IF(AND(ABS(DX148)&lt;=0.25,$E148="Bottom",DM148="LL"),"EQL",IF(AND(ABS(DX148)&lt;=0.25,$E148="Peak",DM148="HH"),"EQH","")))</f>
        <v/>
      </c>
      <c r="EJ148" s="15" t="str">
        <f>IF(DY148="","",IF(AND(ABS(DY148)&lt;=0.25,$E148="Bottom",DN148="LL"),"EQL",IF(AND(ABS(DY148)&lt;=0.25,$E148="Peak",DN148="HH"),"EQH","")))</f>
        <v/>
      </c>
      <c r="EK148" s="15" t="str">
        <f>IF(DZ148="","",IF(AND(ABS(DZ148)&lt;=0.25,$E148="Bottom",DO148="LL"),"EQL",IF(AND(ABS(DZ148)&lt;=0.25,$E148="Peak",DO148="HH"),"EQH","")))</f>
        <v/>
      </c>
      <c r="EL148" s="15" t="str">
        <f>IF(EA148="","",IF(AND(ABS(EA148)&lt;=0.25,$E148="Bottom",DP148="LL"),"EQL",IF(AND(ABS(EA148)&lt;=0.25,$E148="Peak",DP148="HH"),"EQH","")))</f>
        <v/>
      </c>
      <c r="EM148" s="15" t="str">
        <f>IF(EB148="","",IF(AND(ABS(EB148)&lt;=0.25,$E148="Bottom",DQ148="LL"),"EQL",IF(AND(ABS(EB148)&lt;=0.25,$E148="Peak",DQ148="HH"),"EQH","")))</f>
        <v/>
      </c>
      <c r="EN148" s="15" t="str">
        <f>IF(EC148="","",IF(AND(ABS(EC148)&lt;=0.25,$E148="Bottom",DR148="LL"),"EQL",IF(AND(ABS(EC148)&lt;=0.25,$E148="Peak",DR148="HH"),"EQH","")))</f>
        <v>EQL</v>
      </c>
      <c r="EO148" s="15" t="str">
        <f>IF(ED148="","",IF(AND(ABS(ED148)&lt;=0.25,$E148="Bottom",DS148="LL"),"EQL",IF(AND(ABS(ED148)&lt;=0.25,$E148="Peak",DS148="HH"),"EQH","")))</f>
        <v/>
      </c>
      <c r="EP148" s="15" t="str">
        <f>IF(EE148="","",IF(AND(ABS(EE148)&lt;=0.25,$E148="Bottom",DT148="LL"),"EQL",IF(AND(ABS(EE148)&lt;=0.25,$E148="Peak",DT148="HH"),"EQH","")))</f>
        <v/>
      </c>
      <c r="EQ148" s="15" t="str">
        <f>IF(EF148="","",IF(AND(ABS(EF148)&lt;=0.25,$E148="Bottom",DU148="LL"),"EQL",IF(AND(ABS(EF148)&lt;=0.25,$E148="Peak",DU148="HH"),"EQH","")))</f>
        <v/>
      </c>
      <c r="ER148" s="15" t="str">
        <f>IF(OR(EG148="EQL",EG148="EQH"),F148,"")</f>
        <v/>
      </c>
      <c r="ES148" s="15" t="str">
        <f>IF(OR(EH148="EQL",EH148="EQH"),G148,"")</f>
        <v/>
      </c>
      <c r="ET148" s="15" t="str">
        <f>IF(OR(EI148="EQL",EI148="EQH"),H148,"")</f>
        <v/>
      </c>
      <c r="EU148" s="15" t="str">
        <f>IF(OR(EJ148="EQL",EJ148="EQH"),I148,"")</f>
        <v/>
      </c>
      <c r="EV148" s="15" t="str">
        <f>IF(OR(EK148="EQL",EK148="EQH"),J148,"")</f>
        <v/>
      </c>
      <c r="EW148" s="15" t="str">
        <f>IF(OR(EL148="EQL",EL148="EQH"),K148,"")</f>
        <v/>
      </c>
      <c r="EX148" s="15" t="str">
        <f>IF(OR(EM148="EQL",EM148="EQH"),L148,"")</f>
        <v/>
      </c>
      <c r="EY148" s="15">
        <f>IF(OR(EN148="EQL",EN148="EQH"),M148,"")</f>
        <v>4587.93</v>
      </c>
      <c r="EZ148" s="15" t="str">
        <f>IF(OR(EO148="EQL",EO148="EQH"),N148,"")</f>
        <v/>
      </c>
      <c r="FA148" s="15" t="str">
        <f>IF(OR(EP148="EQL",EP148="EQH"),O148,"")</f>
        <v/>
      </c>
      <c r="FB148" s="15" t="str">
        <f>IF(OR(EQ148="EQL",EQ148="EQH"),P148,"")</f>
        <v/>
      </c>
      <c r="FC148" s="15" t="str">
        <f>IF(AND(EG148="EQL",OR(AQ148=4,AQ148=5)),"IEQL",IF(AND(EG148="EQH",OR(AQ148=1,AQ148=2)),"IEQH",""))</f>
        <v/>
      </c>
      <c r="FD148" s="15" t="str">
        <f>IF(AND(EH148="EQL",OR(AR148=4,AR148=5)),"IEQL",IF(AND(EH148="EQH",OR(AR148=1,AR148=2)),"IEQH",""))</f>
        <v/>
      </c>
      <c r="FE148" s="15" t="str">
        <f>IF(AND(EI148="EQL",OR(AS148=4,AS148=5)),"IEQL",IF(AND(EI148="EQH",OR(AS148=1,AS148=2)),"IEQH",""))</f>
        <v/>
      </c>
      <c r="FF148" s="15" t="str">
        <f>IF(AND(EJ148="EQL",OR(AT148=4,AT148=5)),"IEQL",IF(AND(EJ148="EQH",OR(AT148=1,AT148=2)),"IEQH",""))</f>
        <v/>
      </c>
      <c r="FG148" s="15" t="str">
        <f>IF(AND(EK148="EQL",OR(AU148=4,AU148=5)),"IEQL",IF(AND(EK148="EQH",OR(AU148=1,AU148=2)),"IEQH",""))</f>
        <v/>
      </c>
      <c r="FH148" s="15" t="str">
        <f>IF(AND(EL148="EQL",OR(AV148=4,AV148=5)),"IEQL",IF(AND(EL148="EQH",OR(AV148=1,AV148=2)),"IEQH",""))</f>
        <v/>
      </c>
      <c r="FI148" s="15" t="str">
        <f>IF(AND(EM148="EQL",OR(AW148=4,AW148=5)),"IEQL",IF(AND(EM148="EQH",OR(AW148=1,AW148=2)),"IEQH",""))</f>
        <v/>
      </c>
      <c r="FJ148" s="15" t="str">
        <f>IF(AND(EN148="EQL",OR(AX148=4,AX148=5)),"IEQL",IF(AND(EN148="EQH",OR(AX148=1,AX148=2)),"IEQH",""))</f>
        <v>IEQL</v>
      </c>
      <c r="FK148" s="15" t="str">
        <f>IF(AND(EO148="EQL",OR(AY148=4,AY148=5)),"IEQL",IF(AND(EO148="EQH",OR(AY148=1,AY148=2)),"IEQH",""))</f>
        <v/>
      </c>
      <c r="FL148" s="15" t="str">
        <f>IF(AND(EP148="EQL",OR(AZ148=4,AZ148=5)),"IEQL",IF(AND(EP148="EQH",OR(AZ148=1,AZ148=2)),"IEQH",""))</f>
        <v/>
      </c>
      <c r="FM148" s="15" t="str">
        <f>IF(AND(EQ148="EQL",OR(BA148=4,BA148=5)),"IEQL",IF(AND(EQ148="EQH",OR(BA148=1,BA148=2)),"IEQH",""))</f>
        <v/>
      </c>
      <c r="FN148" s="15" t="str">
        <f>IF(OR(AND(DJ148="LL",AP148=5),AND(DJ148="HH",AP148=2)),F148,"")</f>
        <v/>
      </c>
      <c r="FO148" s="15" t="str">
        <f>IF(FN148&lt;&gt;"",F147,"")</f>
        <v/>
      </c>
    </row>
    <row r="149" spans="1:171" s="15" customFormat="1" x14ac:dyDescent="0.55000000000000004">
      <c r="A149" s="15">
        <v>1777644906</v>
      </c>
      <c r="B149" s="15" t="s">
        <v>16</v>
      </c>
      <c r="C149" s="15" t="s">
        <v>17</v>
      </c>
      <c r="D149" s="15">
        <v>4644.67</v>
      </c>
      <c r="E149" s="15" t="s">
        <v>20</v>
      </c>
      <c r="F149" s="15">
        <v>4660.32</v>
      </c>
      <c r="G149" s="15">
        <f t="shared" si="440"/>
        <v>4635.83</v>
      </c>
      <c r="H149" s="15">
        <f t="shared" si="450"/>
        <v>4634.1400000000003</v>
      </c>
      <c r="I149" s="15">
        <f t="shared" si="460"/>
        <v>4647.1000000000004</v>
      </c>
      <c r="J149" s="15">
        <f t="shared" si="470"/>
        <v>4582.32</v>
      </c>
      <c r="K149" s="15">
        <f t="shared" si="480"/>
        <v>4564.75</v>
      </c>
      <c r="L149" s="15">
        <f t="shared" si="490"/>
        <v>4607.7700000000004</v>
      </c>
      <c r="M149" s="15">
        <f t="shared" si="500"/>
        <v>4610.1499999999996</v>
      </c>
      <c r="N149" s="15">
        <f t="shared" si="510"/>
        <v>4601.49</v>
      </c>
      <c r="O149" s="15">
        <f t="shared" si="520"/>
        <v>4701.1400000000003</v>
      </c>
      <c r="P149" s="15">
        <f t="shared" si="420"/>
        <v>4712.59</v>
      </c>
      <c r="Q149" s="15">
        <f t="shared" si="430"/>
        <v>4729.92</v>
      </c>
      <c r="R149" s="15">
        <v>99.88</v>
      </c>
      <c r="S149" s="15">
        <f t="shared" si="441"/>
        <v>21.56</v>
      </c>
      <c r="T149" s="15">
        <f t="shared" si="451"/>
        <v>28.58</v>
      </c>
      <c r="U149" s="15">
        <f t="shared" si="461"/>
        <v>106.28</v>
      </c>
      <c r="V149" s="15">
        <f t="shared" si="471"/>
        <v>63.91</v>
      </c>
      <c r="W149" s="15">
        <f t="shared" si="481"/>
        <v>54.47</v>
      </c>
      <c r="X149" s="15">
        <f t="shared" si="491"/>
        <v>31.93</v>
      </c>
      <c r="Y149" s="15">
        <f t="shared" si="501"/>
        <v>22.22</v>
      </c>
      <c r="Z149" s="15">
        <f t="shared" si="511"/>
        <v>46.37</v>
      </c>
      <c r="AA149" s="15">
        <f t="shared" si="521"/>
        <v>33.82</v>
      </c>
      <c r="AB149" s="15">
        <f t="shared" si="421"/>
        <v>13.3</v>
      </c>
      <c r="AC149" s="15">
        <f t="shared" si="431"/>
        <v>57.57</v>
      </c>
      <c r="AD149" s="15">
        <v>2.19</v>
      </c>
      <c r="AE149" s="15">
        <f t="shared" si="442"/>
        <v>0.47</v>
      </c>
      <c r="AF149" s="15">
        <f t="shared" si="452"/>
        <v>0.62</v>
      </c>
      <c r="AG149" s="15">
        <f t="shared" si="462"/>
        <v>2.34</v>
      </c>
      <c r="AH149" s="15">
        <f t="shared" si="472"/>
        <v>1.41</v>
      </c>
      <c r="AI149" s="15">
        <f t="shared" si="482"/>
        <v>1.21</v>
      </c>
      <c r="AJ149" s="15">
        <f t="shared" si="492"/>
        <v>0.7</v>
      </c>
      <c r="AK149" s="15">
        <f t="shared" si="502"/>
        <v>0.48</v>
      </c>
      <c r="AL149" s="15">
        <f t="shared" si="512"/>
        <v>1.02</v>
      </c>
      <c r="AM149" s="15">
        <f t="shared" si="522"/>
        <v>0.72</v>
      </c>
      <c r="AN149" s="15">
        <f t="shared" si="422"/>
        <v>0.28000000000000003</v>
      </c>
      <c r="AO149" s="15">
        <f t="shared" si="432"/>
        <v>1.23</v>
      </c>
      <c r="AP149" s="15">
        <v>1</v>
      </c>
      <c r="AQ149" s="15">
        <f t="shared" si="443"/>
        <v>0</v>
      </c>
      <c r="AR149" s="15">
        <f t="shared" si="453"/>
        <v>0</v>
      </c>
      <c r="AS149" s="15">
        <f t="shared" si="463"/>
        <v>1</v>
      </c>
      <c r="AT149" s="15">
        <f t="shared" si="473"/>
        <v>0</v>
      </c>
      <c r="AU149" s="15">
        <f t="shared" si="483"/>
        <v>0</v>
      </c>
      <c r="AV149" s="15">
        <f t="shared" si="493"/>
        <v>0</v>
      </c>
      <c r="AW149" s="15">
        <f t="shared" si="503"/>
        <v>0</v>
      </c>
      <c r="AX149" s="15">
        <f t="shared" si="513"/>
        <v>0</v>
      </c>
      <c r="AY149" s="15">
        <f t="shared" si="523"/>
        <v>0</v>
      </c>
      <c r="AZ149" s="15">
        <f t="shared" si="423"/>
        <v>0</v>
      </c>
      <c r="BA149" s="15">
        <f t="shared" si="433"/>
        <v>0</v>
      </c>
      <c r="BB149" s="15">
        <v>18</v>
      </c>
      <c r="BC149" s="15">
        <f t="shared" si="444"/>
        <v>4</v>
      </c>
      <c r="BD149" s="15">
        <f t="shared" si="454"/>
        <v>23</v>
      </c>
      <c r="BE149" s="15">
        <f t="shared" si="464"/>
        <v>24</v>
      </c>
      <c r="BF149" s="15">
        <f t="shared" si="474"/>
        <v>24</v>
      </c>
      <c r="BG149" s="15">
        <f t="shared" si="484"/>
        <v>9</v>
      </c>
      <c r="BH149" s="15">
        <f t="shared" si="494"/>
        <v>16</v>
      </c>
      <c r="BI149" s="15">
        <f t="shared" si="504"/>
        <v>2</v>
      </c>
      <c r="BJ149" s="15">
        <f t="shared" si="514"/>
        <v>22</v>
      </c>
      <c r="BK149" s="15">
        <f t="shared" si="524"/>
        <v>32</v>
      </c>
      <c r="BL149" s="15">
        <f t="shared" si="424"/>
        <v>11</v>
      </c>
      <c r="BM149" s="15">
        <f t="shared" si="434"/>
        <v>18</v>
      </c>
      <c r="BN149" s="15">
        <v>0</v>
      </c>
      <c r="BO149" s="15">
        <f t="shared" si="445"/>
        <v>0</v>
      </c>
      <c r="BP149" s="15">
        <f t="shared" si="455"/>
        <v>0</v>
      </c>
      <c r="BQ149" s="15">
        <f t="shared" si="465"/>
        <v>0</v>
      </c>
      <c r="BR149" s="15">
        <f t="shared" si="475"/>
        <v>0</v>
      </c>
      <c r="BS149" s="15">
        <f t="shared" si="485"/>
        <v>0</v>
      </c>
      <c r="BT149" s="15">
        <f t="shared" si="495"/>
        <v>0</v>
      </c>
      <c r="BU149" s="15">
        <f t="shared" si="505"/>
        <v>0</v>
      </c>
      <c r="BV149" s="15">
        <f t="shared" si="515"/>
        <v>0</v>
      </c>
      <c r="BW149" s="15">
        <f t="shared" si="525"/>
        <v>0</v>
      </c>
      <c r="BX149" s="15">
        <f t="shared" si="425"/>
        <v>0</v>
      </c>
      <c r="BY149" s="15">
        <f t="shared" si="435"/>
        <v>0</v>
      </c>
      <c r="BZ149" s="15">
        <v>5.5488900000000001</v>
      </c>
      <c r="CA149" s="15">
        <f t="shared" si="446"/>
        <v>5.39</v>
      </c>
      <c r="CB149" s="15">
        <f t="shared" si="456"/>
        <v>1.24261</v>
      </c>
      <c r="CC149" s="15">
        <f t="shared" si="466"/>
        <v>4.4283299999999999</v>
      </c>
      <c r="CD149" s="15">
        <f t="shared" si="476"/>
        <v>2.6629200000000002</v>
      </c>
      <c r="CE149" s="15">
        <f t="shared" si="486"/>
        <v>6.0522200000000002</v>
      </c>
      <c r="CF149" s="15">
        <f t="shared" si="496"/>
        <v>1.99563</v>
      </c>
      <c r="CG149" s="15">
        <f t="shared" si="506"/>
        <v>11.11</v>
      </c>
      <c r="CH149" s="15">
        <f t="shared" si="516"/>
        <v>2.1077300000000001</v>
      </c>
      <c r="CI149" s="15">
        <f t="shared" si="526"/>
        <v>1.05688</v>
      </c>
      <c r="CJ149" s="15">
        <f t="shared" si="426"/>
        <v>1.20909</v>
      </c>
      <c r="CK149" s="15">
        <f t="shared" si="436"/>
        <v>3.1983299999999999</v>
      </c>
      <c r="CL149" s="15">
        <v>0</v>
      </c>
      <c r="CM149" s="15">
        <f t="shared" si="447"/>
        <v>0</v>
      </c>
      <c r="CN149" s="15">
        <f t="shared" si="457"/>
        <v>0</v>
      </c>
      <c r="CO149" s="15">
        <f t="shared" si="467"/>
        <v>0</v>
      </c>
      <c r="CP149" s="15">
        <f t="shared" si="477"/>
        <v>0</v>
      </c>
      <c r="CQ149" s="15">
        <f t="shared" si="487"/>
        <v>0</v>
      </c>
      <c r="CR149" s="15">
        <f t="shared" si="497"/>
        <v>0</v>
      </c>
      <c r="CS149" s="15">
        <f t="shared" si="507"/>
        <v>0</v>
      </c>
      <c r="CT149" s="15">
        <f t="shared" si="517"/>
        <v>0</v>
      </c>
      <c r="CU149" s="15">
        <f t="shared" si="527"/>
        <v>0</v>
      </c>
      <c r="CV149" s="15">
        <f t="shared" si="427"/>
        <v>0</v>
      </c>
      <c r="CW149" s="15">
        <f t="shared" si="437"/>
        <v>0</v>
      </c>
      <c r="CX149" s="15">
        <v>79.784000000000006</v>
      </c>
      <c r="CY149" s="15">
        <f t="shared" si="448"/>
        <v>79.489500000000007</v>
      </c>
      <c r="CZ149" s="15">
        <f t="shared" si="458"/>
        <v>51.174300000000002</v>
      </c>
      <c r="DA149" s="15">
        <f t="shared" si="468"/>
        <v>77.275000000000006</v>
      </c>
      <c r="DB149" s="15">
        <f t="shared" si="478"/>
        <v>69.417400000000001</v>
      </c>
      <c r="DC149" s="15">
        <f t="shared" si="488"/>
        <v>80.617900000000006</v>
      </c>
      <c r="DD149" s="15">
        <f t="shared" si="498"/>
        <v>63.384700000000002</v>
      </c>
      <c r="DE149" s="15">
        <f t="shared" si="508"/>
        <v>84.856700000000004</v>
      </c>
      <c r="DF149" s="15">
        <f t="shared" si="518"/>
        <v>64.618200000000002</v>
      </c>
      <c r="DG149" s="15">
        <f t="shared" si="528"/>
        <v>46.5839</v>
      </c>
      <c r="DH149" s="15">
        <f t="shared" si="428"/>
        <v>50.4069</v>
      </c>
      <c r="DI149" s="15">
        <f t="shared" si="438"/>
        <v>72.637500000000003</v>
      </c>
      <c r="DJ149" s="15" t="s">
        <v>23</v>
      </c>
      <c r="DK149" s="15" t="str">
        <f t="shared" si="449"/>
        <v>HH</v>
      </c>
      <c r="DL149" s="15" t="str">
        <f t="shared" si="459"/>
        <v>LH</v>
      </c>
      <c r="DM149" s="15" t="str">
        <f t="shared" si="469"/>
        <v>HH</v>
      </c>
      <c r="DN149" s="15" t="str">
        <f t="shared" si="479"/>
        <v>HH</v>
      </c>
      <c r="DO149" s="15" t="str">
        <f t="shared" si="489"/>
        <v>LH</v>
      </c>
      <c r="DP149" s="15" t="str">
        <f t="shared" si="499"/>
        <v>LH</v>
      </c>
      <c r="DQ149" s="15" t="str">
        <f t="shared" si="509"/>
        <v>HH</v>
      </c>
      <c r="DR149" s="15" t="str">
        <f t="shared" si="519"/>
        <v>LH</v>
      </c>
      <c r="DS149" s="15" t="str">
        <f t="shared" si="529"/>
        <v>LH</v>
      </c>
      <c r="DT149" s="15" t="str">
        <f t="shared" si="429"/>
        <v>LH</v>
      </c>
      <c r="DU149" s="15" t="str">
        <f t="shared" si="439"/>
        <v>LH</v>
      </c>
      <c r="DV149" s="15">
        <f>IFERROR((G149-$F149)/$F149*100,"")</f>
        <v>-0.52550039482266853</v>
      </c>
      <c r="DW149" s="15">
        <f>IFERROR((H149-$F149)/$F149*100,"")</f>
        <v>-0.56176399903867935</v>
      </c>
      <c r="DX149" s="15">
        <f>IFERROR((I149-$F149)/$F149*100,"")</f>
        <v>-0.28367150753594916</v>
      </c>
      <c r="DY149" s="15">
        <f>IFERROR((J149-$F149)/$F149*100,"")</f>
        <v>-1.673704809970131</v>
      </c>
      <c r="DZ149" s="15">
        <f>IFERROR((K149-$F149)/$F149*100,"")</f>
        <v>-2.0507175472928836</v>
      </c>
      <c r="EA149" s="15">
        <f>IFERROR((L149-$F149)/$F149*100,"")</f>
        <v>-1.1276049713324252</v>
      </c>
      <c r="EB149" s="15">
        <f>IFERROR((M149-$F149)/$F149*100,"")</f>
        <v>-1.0765355168743793</v>
      </c>
      <c r="EC149" s="15">
        <f>IFERROR((N149-$F149)/$F149*100,"")</f>
        <v>-1.2623596662890086</v>
      </c>
      <c r="ED149" s="15">
        <f>IFERROR((O149-$F149)/$F149*100,"")</f>
        <v>0.87590551721771515</v>
      </c>
      <c r="EE149" s="15">
        <f>IFERROR((P149-$F149)/$F149*100,"")</f>
        <v>1.121596800219737</v>
      </c>
      <c r="EF149" s="15">
        <f>IFERROR((Q149-$F149)/$F149*100,"")</f>
        <v>1.49345967658874</v>
      </c>
      <c r="EG149" s="15" t="str">
        <f>IF(DV149="","",IF(AND(ABS(DV149)&lt;=0.25,$E149="Bottom",DK149="LL"),"EQL",IF(AND(ABS(DV149)&lt;=0.25,$E149="Peak",DK149="HH"),"EQH","")))</f>
        <v/>
      </c>
      <c r="EH149" s="15" t="str">
        <f>IF(DW149="","",IF(AND(ABS(DW149)&lt;=0.25,$E149="Bottom",DL149="LL"),"EQL",IF(AND(ABS(DW149)&lt;=0.25,$E149="Peak",DL149="HH"),"EQH","")))</f>
        <v/>
      </c>
      <c r="EI149" s="15" t="str">
        <f>IF(DX149="","",IF(AND(ABS(DX149)&lt;=0.25,$E149="Bottom",DM149="LL"),"EQL",IF(AND(ABS(DX149)&lt;=0.25,$E149="Peak",DM149="HH"),"EQH","")))</f>
        <v/>
      </c>
      <c r="EJ149" s="15" t="str">
        <f>IF(DY149="","",IF(AND(ABS(DY149)&lt;=0.25,$E149="Bottom",DN149="LL"),"EQL",IF(AND(ABS(DY149)&lt;=0.25,$E149="Peak",DN149="HH"),"EQH","")))</f>
        <v/>
      </c>
      <c r="EK149" s="15" t="str">
        <f>IF(DZ149="","",IF(AND(ABS(DZ149)&lt;=0.25,$E149="Bottom",DO149="LL"),"EQL",IF(AND(ABS(DZ149)&lt;=0.25,$E149="Peak",DO149="HH"),"EQH","")))</f>
        <v/>
      </c>
      <c r="EL149" s="15" t="str">
        <f>IF(EA149="","",IF(AND(ABS(EA149)&lt;=0.25,$E149="Bottom",DP149="LL"),"EQL",IF(AND(ABS(EA149)&lt;=0.25,$E149="Peak",DP149="HH"),"EQH","")))</f>
        <v/>
      </c>
      <c r="EM149" s="15" t="str">
        <f>IF(EB149="","",IF(AND(ABS(EB149)&lt;=0.25,$E149="Bottom",DQ149="LL"),"EQL",IF(AND(ABS(EB149)&lt;=0.25,$E149="Peak",DQ149="HH"),"EQH","")))</f>
        <v/>
      </c>
      <c r="EN149" s="15" t="str">
        <f>IF(EC149="","",IF(AND(ABS(EC149)&lt;=0.25,$E149="Bottom",DR149="LL"),"EQL",IF(AND(ABS(EC149)&lt;=0.25,$E149="Peak",DR149="HH"),"EQH","")))</f>
        <v/>
      </c>
      <c r="EO149" s="15" t="str">
        <f>IF(ED149="","",IF(AND(ABS(ED149)&lt;=0.25,$E149="Bottom",DS149="LL"),"EQL",IF(AND(ABS(ED149)&lt;=0.25,$E149="Peak",DS149="HH"),"EQH","")))</f>
        <v/>
      </c>
      <c r="EP149" s="15" t="str">
        <f>IF(EE149="","",IF(AND(ABS(EE149)&lt;=0.25,$E149="Bottom",DT149="LL"),"EQL",IF(AND(ABS(EE149)&lt;=0.25,$E149="Peak",DT149="HH"),"EQH","")))</f>
        <v/>
      </c>
      <c r="EQ149" s="15" t="str">
        <f>IF(EF149="","",IF(AND(ABS(EF149)&lt;=0.25,$E149="Bottom",DU149="LL"),"EQL",IF(AND(ABS(EF149)&lt;=0.25,$E149="Peak",DU149="HH"),"EQH","")))</f>
        <v/>
      </c>
      <c r="ER149" s="15" t="str">
        <f>IF(OR(EG149="EQL",EG149="EQH"),F149,"")</f>
        <v/>
      </c>
      <c r="ES149" s="15" t="str">
        <f>IF(OR(EH149="EQL",EH149="EQH"),G149,"")</f>
        <v/>
      </c>
      <c r="ET149" s="15" t="str">
        <f>IF(OR(EI149="EQL",EI149="EQH"),H149,"")</f>
        <v/>
      </c>
      <c r="EU149" s="15" t="str">
        <f>IF(OR(EJ149="EQL",EJ149="EQH"),I149,"")</f>
        <v/>
      </c>
      <c r="EV149" s="15" t="str">
        <f>IF(OR(EK149="EQL",EK149="EQH"),J149,"")</f>
        <v/>
      </c>
      <c r="EW149" s="15" t="str">
        <f>IF(OR(EL149="EQL",EL149="EQH"),K149,"")</f>
        <v/>
      </c>
      <c r="EX149" s="15" t="str">
        <f>IF(OR(EM149="EQL",EM149="EQH"),L149,"")</f>
        <v/>
      </c>
      <c r="EY149" s="15" t="str">
        <f>IF(OR(EN149="EQL",EN149="EQH"),M149,"")</f>
        <v/>
      </c>
      <c r="EZ149" s="15" t="str">
        <f>IF(OR(EO149="EQL",EO149="EQH"),N149,"")</f>
        <v/>
      </c>
      <c r="FA149" s="15" t="str">
        <f>IF(OR(EP149="EQL",EP149="EQH"),O149,"")</f>
        <v/>
      </c>
      <c r="FB149" s="15" t="str">
        <f>IF(OR(EQ149="EQL",EQ149="EQH"),P149,"")</f>
        <v/>
      </c>
      <c r="FC149" s="15" t="str">
        <f>IF(AND(EG149="EQL",OR(AQ149=4,AQ149=5)),"IEQL",IF(AND(EG149="EQH",OR(AQ149=1,AQ149=2)),"IEQH",""))</f>
        <v/>
      </c>
      <c r="FD149" s="15" t="str">
        <f>IF(AND(EH149="EQL",OR(AR149=4,AR149=5)),"IEQL",IF(AND(EH149="EQH",OR(AR149=1,AR149=2)),"IEQH",""))</f>
        <v/>
      </c>
      <c r="FE149" s="15" t="str">
        <f>IF(AND(EI149="EQL",OR(AS149=4,AS149=5)),"IEQL",IF(AND(EI149="EQH",OR(AS149=1,AS149=2)),"IEQH",""))</f>
        <v/>
      </c>
      <c r="FF149" s="15" t="str">
        <f>IF(AND(EJ149="EQL",OR(AT149=4,AT149=5)),"IEQL",IF(AND(EJ149="EQH",OR(AT149=1,AT149=2)),"IEQH",""))</f>
        <v/>
      </c>
      <c r="FG149" s="15" t="str">
        <f>IF(AND(EK149="EQL",OR(AU149=4,AU149=5)),"IEQL",IF(AND(EK149="EQH",OR(AU149=1,AU149=2)),"IEQH",""))</f>
        <v/>
      </c>
      <c r="FH149" s="15" t="str">
        <f>IF(AND(EL149="EQL",OR(AV149=4,AV149=5)),"IEQL",IF(AND(EL149="EQH",OR(AV149=1,AV149=2)),"IEQH",""))</f>
        <v/>
      </c>
      <c r="FI149" s="15" t="str">
        <f>IF(AND(EM149="EQL",OR(AW149=4,AW149=5)),"IEQL",IF(AND(EM149="EQH",OR(AW149=1,AW149=2)),"IEQH",""))</f>
        <v/>
      </c>
      <c r="FJ149" s="15" t="str">
        <f>IF(AND(EN149="EQL",OR(AX149=4,AX149=5)),"IEQL",IF(AND(EN149="EQH",OR(AX149=1,AX149=2)),"IEQH",""))</f>
        <v/>
      </c>
      <c r="FK149" s="15" t="str">
        <f>IF(AND(EO149="EQL",OR(AY149=4,AY149=5)),"IEQL",IF(AND(EO149="EQH",OR(AY149=1,AY149=2)),"IEQH",""))</f>
        <v/>
      </c>
      <c r="FL149" s="15" t="str">
        <f>IF(AND(EP149="EQL",OR(AZ149=4,AZ149=5)),"IEQL",IF(AND(EP149="EQH",OR(AZ149=1,AZ149=2)),"IEQH",""))</f>
        <v/>
      </c>
      <c r="FM149" s="15" t="str">
        <f>IF(AND(EQ149="EQL",OR(BA149=4,BA149=5)),"IEQL",IF(AND(EQ149="EQH",OR(BA149=1,BA149=2)),"IEQH",""))</f>
        <v/>
      </c>
      <c r="FN149" s="15" t="str">
        <f>IF(OR(AND(DJ149="LL",AP149=5),AND(DJ149="HH",AP149=2)),F149,"")</f>
        <v/>
      </c>
      <c r="FO149" s="15" t="str">
        <f>IF(FN149&lt;&gt;"",F148,"")</f>
        <v/>
      </c>
    </row>
    <row r="150" spans="1:171" s="15" customFormat="1" x14ac:dyDescent="0.55000000000000004">
      <c r="A150" s="15">
        <v>1777665606</v>
      </c>
      <c r="B150" s="15" t="s">
        <v>16</v>
      </c>
      <c r="C150" s="15" t="s">
        <v>17</v>
      </c>
      <c r="D150" s="15">
        <v>4611.41</v>
      </c>
      <c r="E150" s="15" t="s">
        <v>18</v>
      </c>
      <c r="F150" s="15">
        <v>4607.09</v>
      </c>
      <c r="G150" s="15">
        <f t="shared" si="440"/>
        <v>4560.4399999999996</v>
      </c>
      <c r="H150" s="15">
        <f t="shared" si="450"/>
        <v>4614.2700000000004</v>
      </c>
      <c r="I150" s="15">
        <f t="shared" si="460"/>
        <v>4605.5600000000004</v>
      </c>
      <c r="J150" s="15">
        <f t="shared" si="470"/>
        <v>4540.82</v>
      </c>
      <c r="K150" s="15">
        <f t="shared" si="480"/>
        <v>4518.41</v>
      </c>
      <c r="L150" s="15">
        <f t="shared" si="490"/>
        <v>4510.28</v>
      </c>
      <c r="M150" s="15">
        <f t="shared" si="500"/>
        <v>4575.84</v>
      </c>
      <c r="N150" s="15">
        <f t="shared" si="510"/>
        <v>4587.93</v>
      </c>
      <c r="O150" s="15">
        <f t="shared" si="520"/>
        <v>4555.12</v>
      </c>
      <c r="P150" s="15">
        <f t="shared" ref="P150:P172" si="530">F130</f>
        <v>4667.32</v>
      </c>
      <c r="Q150" s="15">
        <f t="shared" si="430"/>
        <v>4699.29</v>
      </c>
      <c r="R150" s="15">
        <v>-53.23</v>
      </c>
      <c r="S150" s="15">
        <f t="shared" si="441"/>
        <v>-75.39</v>
      </c>
      <c r="T150" s="15">
        <f t="shared" si="451"/>
        <v>-19.87</v>
      </c>
      <c r="U150" s="15">
        <f t="shared" si="461"/>
        <v>-41.54</v>
      </c>
      <c r="V150" s="15">
        <f t="shared" si="471"/>
        <v>-41.5</v>
      </c>
      <c r="W150" s="15">
        <f t="shared" si="481"/>
        <v>-46.34</v>
      </c>
      <c r="X150" s="15">
        <f t="shared" si="491"/>
        <v>-97.49</v>
      </c>
      <c r="Y150" s="15">
        <f t="shared" si="501"/>
        <v>-34.31</v>
      </c>
      <c r="Z150" s="15">
        <f t="shared" si="511"/>
        <v>-13.56</v>
      </c>
      <c r="AA150" s="15">
        <f t="shared" si="521"/>
        <v>-146.02000000000001</v>
      </c>
      <c r="AB150" s="15">
        <f t="shared" ref="AB150:AB172" si="531">R130</f>
        <v>-45.27</v>
      </c>
      <c r="AC150" s="15">
        <f t="shared" si="431"/>
        <v>-30.63</v>
      </c>
      <c r="AD150" s="15">
        <v>-1.1399999999999999</v>
      </c>
      <c r="AE150" s="15">
        <f t="shared" si="442"/>
        <v>-1.63</v>
      </c>
      <c r="AF150" s="15">
        <f t="shared" si="452"/>
        <v>-0.43</v>
      </c>
      <c r="AG150" s="15">
        <f t="shared" si="462"/>
        <v>-0.89</v>
      </c>
      <c r="AH150" s="15">
        <f t="shared" si="472"/>
        <v>-0.91</v>
      </c>
      <c r="AI150" s="15">
        <f t="shared" si="482"/>
        <v>-1.02</v>
      </c>
      <c r="AJ150" s="15">
        <f t="shared" si="492"/>
        <v>-2.12</v>
      </c>
      <c r="AK150" s="15">
        <f t="shared" si="502"/>
        <v>-0.74</v>
      </c>
      <c r="AL150" s="15">
        <f t="shared" si="512"/>
        <v>-0.28999999999999998</v>
      </c>
      <c r="AM150" s="15">
        <f t="shared" si="522"/>
        <v>-3.11</v>
      </c>
      <c r="AN150" s="15">
        <f t="shared" ref="AN150:AN172" si="532">AD130</f>
        <v>-0.96</v>
      </c>
      <c r="AO150" s="15">
        <f t="shared" si="432"/>
        <v>-0.65</v>
      </c>
      <c r="AP150" s="15">
        <v>3</v>
      </c>
      <c r="AQ150" s="15">
        <f t="shared" si="443"/>
        <v>3</v>
      </c>
      <c r="AR150" s="15">
        <f t="shared" si="453"/>
        <v>3</v>
      </c>
      <c r="AS150" s="15">
        <f t="shared" si="463"/>
        <v>3</v>
      </c>
      <c r="AT150" s="15">
        <f t="shared" si="473"/>
        <v>3</v>
      </c>
      <c r="AU150" s="15">
        <f t="shared" si="483"/>
        <v>3</v>
      </c>
      <c r="AV150" s="15">
        <f t="shared" si="493"/>
        <v>4</v>
      </c>
      <c r="AW150" s="15">
        <f t="shared" si="503"/>
        <v>3</v>
      </c>
      <c r="AX150" s="15">
        <f t="shared" si="513"/>
        <v>3</v>
      </c>
      <c r="AY150" s="15">
        <f t="shared" si="523"/>
        <v>5</v>
      </c>
      <c r="AZ150" s="15">
        <f t="shared" ref="AZ150:AZ172" si="533">AP130</f>
        <v>3</v>
      </c>
      <c r="BA150" s="15">
        <f t="shared" si="433"/>
        <v>3</v>
      </c>
      <c r="BB150" s="15">
        <v>23</v>
      </c>
      <c r="BC150" s="15">
        <f t="shared" si="444"/>
        <v>30</v>
      </c>
      <c r="BD150" s="15">
        <f t="shared" si="454"/>
        <v>7</v>
      </c>
      <c r="BE150" s="15">
        <f t="shared" si="464"/>
        <v>25</v>
      </c>
      <c r="BF150" s="15">
        <f t="shared" si="474"/>
        <v>11</v>
      </c>
      <c r="BG150" s="15">
        <f t="shared" si="484"/>
        <v>11</v>
      </c>
      <c r="BH150" s="15">
        <f t="shared" si="494"/>
        <v>35</v>
      </c>
      <c r="BI150" s="15">
        <f t="shared" si="504"/>
        <v>4</v>
      </c>
      <c r="BJ150" s="15">
        <f t="shared" si="514"/>
        <v>20</v>
      </c>
      <c r="BK150" s="15">
        <f t="shared" si="524"/>
        <v>48</v>
      </c>
      <c r="BL150" s="15">
        <f t="shared" ref="BL150:BL172" si="534">BB130</f>
        <v>11</v>
      </c>
      <c r="BM150" s="15">
        <f t="shared" si="434"/>
        <v>20</v>
      </c>
      <c r="BN150" s="15">
        <v>3</v>
      </c>
      <c r="BO150" s="15">
        <f t="shared" si="445"/>
        <v>3</v>
      </c>
      <c r="BP150" s="15">
        <f t="shared" si="455"/>
        <v>3</v>
      </c>
      <c r="BQ150" s="15">
        <f t="shared" si="465"/>
        <v>3</v>
      </c>
      <c r="BR150" s="15">
        <f t="shared" si="475"/>
        <v>3</v>
      </c>
      <c r="BS150" s="15">
        <f t="shared" si="485"/>
        <v>3</v>
      </c>
      <c r="BT150" s="15">
        <f t="shared" si="495"/>
        <v>3</v>
      </c>
      <c r="BU150" s="15">
        <f t="shared" si="505"/>
        <v>3</v>
      </c>
      <c r="BV150" s="15">
        <f t="shared" si="515"/>
        <v>3</v>
      </c>
      <c r="BW150" s="15">
        <f t="shared" si="525"/>
        <v>5</v>
      </c>
      <c r="BX150" s="15">
        <f t="shared" ref="BX150:BX172" si="535">BN130</f>
        <v>3</v>
      </c>
      <c r="BY150" s="15">
        <f t="shared" si="435"/>
        <v>3</v>
      </c>
      <c r="BZ150" s="15">
        <v>-2.3143500000000001</v>
      </c>
      <c r="CA150" s="15">
        <f t="shared" si="446"/>
        <v>-2.5129999999999999</v>
      </c>
      <c r="CB150" s="15">
        <f t="shared" si="456"/>
        <v>-2.8385699999999998</v>
      </c>
      <c r="CC150" s="15">
        <f t="shared" si="466"/>
        <v>-1.6616</v>
      </c>
      <c r="CD150" s="15">
        <f t="shared" si="476"/>
        <v>-3.7727300000000001</v>
      </c>
      <c r="CE150" s="15">
        <f t="shared" si="486"/>
        <v>-4.2127299999999996</v>
      </c>
      <c r="CF150" s="15">
        <f t="shared" si="496"/>
        <v>-2.7854299999999999</v>
      </c>
      <c r="CG150" s="15">
        <f t="shared" si="506"/>
        <v>-8.5775000000000006</v>
      </c>
      <c r="CH150" s="15">
        <f t="shared" si="516"/>
        <v>-0.67800000000000005</v>
      </c>
      <c r="CI150" s="15">
        <f t="shared" si="526"/>
        <v>-3.0420799999999999</v>
      </c>
      <c r="CJ150" s="15">
        <f t="shared" ref="CJ150:CJ172" si="536">BZ130</f>
        <v>-4.1154500000000001</v>
      </c>
      <c r="CK150" s="15">
        <f t="shared" si="436"/>
        <v>-1.5315000000000001</v>
      </c>
      <c r="CL150" s="15">
        <v>3</v>
      </c>
      <c r="CM150" s="15">
        <f t="shared" si="447"/>
        <v>3</v>
      </c>
      <c r="CN150" s="15">
        <f t="shared" si="457"/>
        <v>3</v>
      </c>
      <c r="CO150" s="15">
        <f t="shared" si="467"/>
        <v>3</v>
      </c>
      <c r="CP150" s="15">
        <f t="shared" si="477"/>
        <v>3</v>
      </c>
      <c r="CQ150" s="15">
        <f t="shared" si="487"/>
        <v>3</v>
      </c>
      <c r="CR150" s="15">
        <f t="shared" si="497"/>
        <v>3</v>
      </c>
      <c r="CS150" s="15">
        <f t="shared" si="507"/>
        <v>3</v>
      </c>
      <c r="CT150" s="15">
        <f t="shared" si="517"/>
        <v>3</v>
      </c>
      <c r="CU150" s="15">
        <f t="shared" si="527"/>
        <v>3</v>
      </c>
      <c r="CV150" s="15">
        <f t="shared" ref="CV150:CV172" si="537">CL130</f>
        <v>3</v>
      </c>
      <c r="CW150" s="15">
        <f t="shared" si="437"/>
        <v>3</v>
      </c>
      <c r="CX150" s="15">
        <v>-66.631399999999999</v>
      </c>
      <c r="CY150" s="15">
        <f t="shared" si="448"/>
        <v>-68.300899999999999</v>
      </c>
      <c r="CZ150" s="15">
        <f t="shared" si="458"/>
        <v>-70.593199999999996</v>
      </c>
      <c r="DA150" s="15">
        <f t="shared" si="468"/>
        <v>-58.959200000000003</v>
      </c>
      <c r="DB150" s="15">
        <f t="shared" si="478"/>
        <v>-75.154499999999999</v>
      </c>
      <c r="DC150" s="15">
        <f t="shared" si="488"/>
        <v>-76.646500000000003</v>
      </c>
      <c r="DD150" s="15">
        <f t="shared" si="498"/>
        <v>-70.251300000000001</v>
      </c>
      <c r="DE150" s="15">
        <f t="shared" si="508"/>
        <v>-83.350200000000001</v>
      </c>
      <c r="DF150" s="15">
        <f t="shared" si="518"/>
        <v>-34.137300000000003</v>
      </c>
      <c r="DG150" s="15">
        <f t="shared" si="528"/>
        <v>-71.803200000000004</v>
      </c>
      <c r="DH150" s="15">
        <f t="shared" ref="DH150:DH172" si="538">CX130</f>
        <v>-76.342600000000004</v>
      </c>
      <c r="DI150" s="15">
        <f t="shared" si="438"/>
        <v>-56.857300000000002</v>
      </c>
      <c r="DJ150" s="15" t="s">
        <v>22</v>
      </c>
      <c r="DK150" s="15" t="str">
        <f t="shared" si="449"/>
        <v>LL</v>
      </c>
      <c r="DL150" s="15" t="str">
        <f t="shared" si="459"/>
        <v>HL</v>
      </c>
      <c r="DM150" s="15" t="str">
        <f t="shared" si="469"/>
        <v>HL</v>
      </c>
      <c r="DN150" s="15" t="str">
        <f t="shared" si="479"/>
        <v>HL</v>
      </c>
      <c r="DO150" s="15" t="str">
        <f t="shared" si="489"/>
        <v>HL</v>
      </c>
      <c r="DP150" s="15" t="str">
        <f t="shared" si="499"/>
        <v>LL</v>
      </c>
      <c r="DQ150" s="15" t="str">
        <f t="shared" si="509"/>
        <v>LL</v>
      </c>
      <c r="DR150" s="15" t="str">
        <f t="shared" si="519"/>
        <v>HL</v>
      </c>
      <c r="DS150" s="15" t="str">
        <f t="shared" si="529"/>
        <v>LL</v>
      </c>
      <c r="DT150" s="15" t="str">
        <f t="shared" ref="DT150:DT172" si="539">DJ130</f>
        <v>LL</v>
      </c>
      <c r="DU150" s="15" t="str">
        <f t="shared" si="439"/>
        <v>HL</v>
      </c>
      <c r="DV150" s="15">
        <f>IFERROR((G150-$F150)/$F150*100,"")</f>
        <v>-1.0125697566142737</v>
      </c>
      <c r="DW150" s="15">
        <f>IFERROR((H150-$F150)/$F150*100,"")</f>
        <v>0.15584674924953257</v>
      </c>
      <c r="DX150" s="15">
        <f>IFERROR((I150-$F150)/$F150*100,"")</f>
        <v>-3.3209683335896308E-2</v>
      </c>
      <c r="DY150" s="15">
        <f>IFERROR((J150-$F150)/$F150*100,"")</f>
        <v>-1.4384351076276007</v>
      </c>
      <c r="DZ150" s="15">
        <f>IFERROR((K150-$F150)/$F150*100,"")</f>
        <v>-1.9248592929593362</v>
      </c>
      <c r="EA150" s="15">
        <f>IFERROR((L150-$F150)/$F150*100,"")</f>
        <v>-2.1013264338226603</v>
      </c>
      <c r="EB150" s="15">
        <f>IFERROR((M150-$F150)/$F150*100,"")</f>
        <v>-0.6783023557169493</v>
      </c>
      <c r="EC150" s="15">
        <f>IFERROR((N150-$F150)/$F150*100,"")</f>
        <v>-0.41588074033717282</v>
      </c>
      <c r="ED150" s="15">
        <f>IFERROR((O150-$F150)/$F150*100,"")</f>
        <v>-1.1280439496515209</v>
      </c>
      <c r="EE150" s="15">
        <f>IFERROR((P150-$F150)/$F150*100,"")</f>
        <v>1.30733282831461</v>
      </c>
      <c r="EF150" s="15">
        <f>IFERROR((Q150-$F150)/$F150*100,"")</f>
        <v>2.001263270307283</v>
      </c>
      <c r="EG150" s="15" t="str">
        <f>IF(DV150="","",IF(AND(ABS(DV150)&lt;=0.25,$E150="Bottom",DK150="LL"),"EQL",IF(AND(ABS(DV150)&lt;=0.25,$E150="Peak",DK150="HH"),"EQH","")))</f>
        <v/>
      </c>
      <c r="EH150" s="15" t="str">
        <f>IF(DW150="","",IF(AND(ABS(DW150)&lt;=0.25,$E150="Bottom",DL150="LL"),"EQL",IF(AND(ABS(DW150)&lt;=0.25,$E150="Peak",DL150="HH"),"EQH","")))</f>
        <v/>
      </c>
      <c r="EI150" s="15" t="str">
        <f>IF(DX150="","",IF(AND(ABS(DX150)&lt;=0.25,$E150="Bottom",DM150="LL"),"EQL",IF(AND(ABS(DX150)&lt;=0.25,$E150="Peak",DM150="HH"),"EQH","")))</f>
        <v/>
      </c>
      <c r="EJ150" s="15" t="str">
        <f>IF(DY150="","",IF(AND(ABS(DY150)&lt;=0.25,$E150="Bottom",DN150="LL"),"EQL",IF(AND(ABS(DY150)&lt;=0.25,$E150="Peak",DN150="HH"),"EQH","")))</f>
        <v/>
      </c>
      <c r="EK150" s="15" t="str">
        <f>IF(DZ150="","",IF(AND(ABS(DZ150)&lt;=0.25,$E150="Bottom",DO150="LL"),"EQL",IF(AND(ABS(DZ150)&lt;=0.25,$E150="Peak",DO150="HH"),"EQH","")))</f>
        <v/>
      </c>
      <c r="EL150" s="15" t="str">
        <f>IF(EA150="","",IF(AND(ABS(EA150)&lt;=0.25,$E150="Bottom",DP150="LL"),"EQL",IF(AND(ABS(EA150)&lt;=0.25,$E150="Peak",DP150="HH"),"EQH","")))</f>
        <v/>
      </c>
      <c r="EM150" s="15" t="str">
        <f>IF(EB150="","",IF(AND(ABS(EB150)&lt;=0.25,$E150="Bottom",DQ150="LL"),"EQL",IF(AND(ABS(EB150)&lt;=0.25,$E150="Peak",DQ150="HH"),"EQH","")))</f>
        <v/>
      </c>
      <c r="EN150" s="15" t="str">
        <f>IF(EC150="","",IF(AND(ABS(EC150)&lt;=0.25,$E150="Bottom",DR150="LL"),"EQL",IF(AND(ABS(EC150)&lt;=0.25,$E150="Peak",DR150="HH"),"EQH","")))</f>
        <v/>
      </c>
      <c r="EO150" s="15" t="str">
        <f>IF(ED150="","",IF(AND(ABS(ED150)&lt;=0.25,$E150="Bottom",DS150="LL"),"EQL",IF(AND(ABS(ED150)&lt;=0.25,$E150="Peak",DS150="HH"),"EQH","")))</f>
        <v/>
      </c>
      <c r="EP150" s="15" t="str">
        <f>IF(EE150="","",IF(AND(ABS(EE150)&lt;=0.25,$E150="Bottom",DT150="LL"),"EQL",IF(AND(ABS(EE150)&lt;=0.25,$E150="Peak",DT150="HH"),"EQH","")))</f>
        <v/>
      </c>
      <c r="EQ150" s="15" t="str">
        <f>IF(EF150="","",IF(AND(ABS(EF150)&lt;=0.25,$E150="Bottom",DU150="LL"),"EQL",IF(AND(ABS(EF150)&lt;=0.25,$E150="Peak",DU150="HH"),"EQH","")))</f>
        <v/>
      </c>
      <c r="ER150" s="15" t="str">
        <f>IF(OR(EG150="EQL",EG150="EQH"),F150,"")</f>
        <v/>
      </c>
      <c r="ES150" s="15" t="str">
        <f>IF(OR(EH150="EQL",EH150="EQH"),G150,"")</f>
        <v/>
      </c>
      <c r="ET150" s="15" t="str">
        <f>IF(OR(EI150="EQL",EI150="EQH"),H150,"")</f>
        <v/>
      </c>
      <c r="EU150" s="15" t="str">
        <f>IF(OR(EJ150="EQL",EJ150="EQH"),I150,"")</f>
        <v/>
      </c>
      <c r="EV150" s="15" t="str">
        <f>IF(OR(EK150="EQL",EK150="EQH"),J150,"")</f>
        <v/>
      </c>
      <c r="EW150" s="15" t="str">
        <f>IF(OR(EL150="EQL",EL150="EQH"),K150,"")</f>
        <v/>
      </c>
      <c r="EX150" s="15" t="str">
        <f>IF(OR(EM150="EQL",EM150="EQH"),L150,"")</f>
        <v/>
      </c>
      <c r="EY150" s="15" t="str">
        <f>IF(OR(EN150="EQL",EN150="EQH"),M150,"")</f>
        <v/>
      </c>
      <c r="EZ150" s="15" t="str">
        <f>IF(OR(EO150="EQL",EO150="EQH"),N150,"")</f>
        <v/>
      </c>
      <c r="FA150" s="15" t="str">
        <f>IF(OR(EP150="EQL",EP150="EQH"),O150,"")</f>
        <v/>
      </c>
      <c r="FB150" s="15" t="str">
        <f>IF(OR(EQ150="EQL",EQ150="EQH"),P150,"")</f>
        <v/>
      </c>
      <c r="FC150" s="15" t="str">
        <f>IF(AND(EG150="EQL",OR(AQ150=4,AQ150=5)),"IEQL",IF(AND(EG150="EQH",OR(AQ150=1,AQ150=2)),"IEQH",""))</f>
        <v/>
      </c>
      <c r="FD150" s="15" t="str">
        <f>IF(AND(EH150="EQL",OR(AR150=4,AR150=5)),"IEQL",IF(AND(EH150="EQH",OR(AR150=1,AR150=2)),"IEQH",""))</f>
        <v/>
      </c>
      <c r="FE150" s="15" t="str">
        <f>IF(AND(EI150="EQL",OR(AS150=4,AS150=5)),"IEQL",IF(AND(EI150="EQH",OR(AS150=1,AS150=2)),"IEQH",""))</f>
        <v/>
      </c>
      <c r="FF150" s="15" t="str">
        <f>IF(AND(EJ150="EQL",OR(AT150=4,AT150=5)),"IEQL",IF(AND(EJ150="EQH",OR(AT150=1,AT150=2)),"IEQH",""))</f>
        <v/>
      </c>
      <c r="FG150" s="15" t="str">
        <f>IF(AND(EK150="EQL",OR(AU150=4,AU150=5)),"IEQL",IF(AND(EK150="EQH",OR(AU150=1,AU150=2)),"IEQH",""))</f>
        <v/>
      </c>
      <c r="FH150" s="15" t="str">
        <f>IF(AND(EL150="EQL",OR(AV150=4,AV150=5)),"IEQL",IF(AND(EL150="EQH",OR(AV150=1,AV150=2)),"IEQH",""))</f>
        <v/>
      </c>
      <c r="FI150" s="15" t="str">
        <f>IF(AND(EM150="EQL",OR(AW150=4,AW150=5)),"IEQL",IF(AND(EM150="EQH",OR(AW150=1,AW150=2)),"IEQH",""))</f>
        <v/>
      </c>
      <c r="FJ150" s="15" t="str">
        <f>IF(AND(EN150="EQL",OR(AX150=4,AX150=5)),"IEQL",IF(AND(EN150="EQH",OR(AX150=1,AX150=2)),"IEQH",""))</f>
        <v/>
      </c>
      <c r="FK150" s="15" t="str">
        <f>IF(AND(EO150="EQL",OR(AY150=4,AY150=5)),"IEQL",IF(AND(EO150="EQH",OR(AY150=1,AY150=2)),"IEQH",""))</f>
        <v/>
      </c>
      <c r="FL150" s="15" t="str">
        <f>IF(AND(EP150="EQL",OR(AZ150=4,AZ150=5)),"IEQL",IF(AND(EP150="EQH",OR(AZ150=1,AZ150=2)),"IEQH",""))</f>
        <v/>
      </c>
      <c r="FM150" s="15" t="str">
        <f>IF(AND(EQ150="EQL",OR(BA150=4,BA150=5)),"IEQL",IF(AND(EQ150="EQH",OR(BA150=1,BA150=2)),"IEQH",""))</f>
        <v/>
      </c>
      <c r="FN150" s="15" t="str">
        <f>IF(OR(AND(DJ150="LL",AP150=5),AND(DJ150="HH",AP150=2)),F150,"")</f>
        <v/>
      </c>
      <c r="FO150" s="15" t="str">
        <f>IF(FN150&lt;&gt;"",F149,"")</f>
        <v/>
      </c>
    </row>
    <row r="151" spans="1:171" s="15" customFormat="1" x14ac:dyDescent="0.55000000000000004">
      <c r="A151" s="15">
        <v>1777845606</v>
      </c>
      <c r="B151" s="15" t="s">
        <v>16</v>
      </c>
      <c r="C151" s="15" t="s">
        <v>17</v>
      </c>
      <c r="D151" s="15">
        <v>4623.1099999999997</v>
      </c>
      <c r="E151" s="15" t="s">
        <v>20</v>
      </c>
      <c r="F151" s="15">
        <v>4632.1099999999997</v>
      </c>
      <c r="G151" s="15">
        <f t="shared" si="440"/>
        <v>4660.32</v>
      </c>
      <c r="H151" s="15">
        <f t="shared" si="450"/>
        <v>4635.83</v>
      </c>
      <c r="I151" s="15">
        <f t="shared" si="460"/>
        <v>4634.1400000000003</v>
      </c>
      <c r="J151" s="15">
        <f t="shared" si="470"/>
        <v>4647.1000000000004</v>
      </c>
      <c r="K151" s="15">
        <f t="shared" si="480"/>
        <v>4582.32</v>
      </c>
      <c r="L151" s="15">
        <f t="shared" si="490"/>
        <v>4564.75</v>
      </c>
      <c r="M151" s="15">
        <f t="shared" si="500"/>
        <v>4607.7700000000004</v>
      </c>
      <c r="N151" s="15">
        <f t="shared" si="510"/>
        <v>4610.1499999999996</v>
      </c>
      <c r="O151" s="15">
        <f t="shared" si="520"/>
        <v>4601.49</v>
      </c>
      <c r="P151" s="15">
        <f t="shared" si="530"/>
        <v>4701.1400000000003</v>
      </c>
      <c r="Q151" s="15">
        <f t="shared" si="430"/>
        <v>4712.59</v>
      </c>
      <c r="R151" s="15">
        <v>25.02</v>
      </c>
      <c r="S151" s="15">
        <f t="shared" si="441"/>
        <v>99.88</v>
      </c>
      <c r="T151" s="15">
        <f t="shared" si="451"/>
        <v>21.56</v>
      </c>
      <c r="U151" s="15">
        <f t="shared" si="461"/>
        <v>28.58</v>
      </c>
      <c r="V151" s="15">
        <f t="shared" si="471"/>
        <v>106.28</v>
      </c>
      <c r="W151" s="15">
        <f t="shared" si="481"/>
        <v>63.91</v>
      </c>
      <c r="X151" s="15">
        <f t="shared" si="491"/>
        <v>54.47</v>
      </c>
      <c r="Y151" s="15">
        <f t="shared" si="501"/>
        <v>31.93</v>
      </c>
      <c r="Z151" s="15">
        <f t="shared" si="511"/>
        <v>22.22</v>
      </c>
      <c r="AA151" s="15">
        <f t="shared" si="521"/>
        <v>46.37</v>
      </c>
      <c r="AB151" s="15">
        <f t="shared" si="531"/>
        <v>33.82</v>
      </c>
      <c r="AC151" s="15">
        <f t="shared" si="431"/>
        <v>13.3</v>
      </c>
      <c r="AD151" s="15">
        <v>0.54</v>
      </c>
      <c r="AE151" s="15">
        <f t="shared" si="442"/>
        <v>2.19</v>
      </c>
      <c r="AF151" s="15">
        <f t="shared" si="452"/>
        <v>0.47</v>
      </c>
      <c r="AG151" s="15">
        <f t="shared" si="462"/>
        <v>0.62</v>
      </c>
      <c r="AH151" s="15">
        <f t="shared" si="472"/>
        <v>2.34</v>
      </c>
      <c r="AI151" s="15">
        <f t="shared" si="482"/>
        <v>1.41</v>
      </c>
      <c r="AJ151" s="15">
        <f t="shared" si="492"/>
        <v>1.21</v>
      </c>
      <c r="AK151" s="15">
        <f t="shared" si="502"/>
        <v>0.7</v>
      </c>
      <c r="AL151" s="15">
        <f t="shared" si="512"/>
        <v>0.48</v>
      </c>
      <c r="AM151" s="15">
        <f t="shared" si="522"/>
        <v>1.02</v>
      </c>
      <c r="AN151" s="15">
        <f t="shared" si="532"/>
        <v>0.72</v>
      </c>
      <c r="AO151" s="15">
        <f t="shared" si="432"/>
        <v>0.28000000000000003</v>
      </c>
      <c r="AP151" s="15">
        <v>0</v>
      </c>
      <c r="AQ151" s="15">
        <f t="shared" si="443"/>
        <v>1</v>
      </c>
      <c r="AR151" s="15">
        <f t="shared" si="453"/>
        <v>0</v>
      </c>
      <c r="AS151" s="15">
        <f t="shared" si="463"/>
        <v>0</v>
      </c>
      <c r="AT151" s="15">
        <f t="shared" si="473"/>
        <v>1</v>
      </c>
      <c r="AU151" s="15">
        <f t="shared" si="483"/>
        <v>0</v>
      </c>
      <c r="AV151" s="15">
        <f t="shared" si="493"/>
        <v>0</v>
      </c>
      <c r="AW151" s="15">
        <f t="shared" si="503"/>
        <v>0</v>
      </c>
      <c r="AX151" s="15">
        <f t="shared" si="513"/>
        <v>0</v>
      </c>
      <c r="AY151" s="15">
        <f t="shared" si="523"/>
        <v>0</v>
      </c>
      <c r="AZ151" s="15">
        <f t="shared" si="533"/>
        <v>0</v>
      </c>
      <c r="BA151" s="15">
        <f t="shared" si="433"/>
        <v>0</v>
      </c>
      <c r="BB151" s="15">
        <v>4</v>
      </c>
      <c r="BC151" s="15">
        <f t="shared" si="444"/>
        <v>18</v>
      </c>
      <c r="BD151" s="15">
        <f t="shared" si="454"/>
        <v>4</v>
      </c>
      <c r="BE151" s="15">
        <f t="shared" si="464"/>
        <v>23</v>
      </c>
      <c r="BF151" s="15">
        <f t="shared" si="474"/>
        <v>24</v>
      </c>
      <c r="BG151" s="15">
        <f t="shared" si="484"/>
        <v>24</v>
      </c>
      <c r="BH151" s="15">
        <f t="shared" si="494"/>
        <v>9</v>
      </c>
      <c r="BI151" s="15">
        <f t="shared" si="504"/>
        <v>16</v>
      </c>
      <c r="BJ151" s="15">
        <f t="shared" si="514"/>
        <v>2</v>
      </c>
      <c r="BK151" s="15">
        <f t="shared" si="524"/>
        <v>22</v>
      </c>
      <c r="BL151" s="15">
        <f t="shared" si="534"/>
        <v>32</v>
      </c>
      <c r="BM151" s="15">
        <f t="shared" si="434"/>
        <v>11</v>
      </c>
      <c r="BN151" s="15">
        <v>0</v>
      </c>
      <c r="BO151" s="15">
        <f t="shared" si="445"/>
        <v>0</v>
      </c>
      <c r="BP151" s="15">
        <f t="shared" si="455"/>
        <v>0</v>
      </c>
      <c r="BQ151" s="15">
        <f t="shared" si="465"/>
        <v>0</v>
      </c>
      <c r="BR151" s="15">
        <f t="shared" si="475"/>
        <v>0</v>
      </c>
      <c r="BS151" s="15">
        <f t="shared" si="485"/>
        <v>0</v>
      </c>
      <c r="BT151" s="15">
        <f t="shared" si="495"/>
        <v>0</v>
      </c>
      <c r="BU151" s="15">
        <f t="shared" si="505"/>
        <v>0</v>
      </c>
      <c r="BV151" s="15">
        <f t="shared" si="515"/>
        <v>0</v>
      </c>
      <c r="BW151" s="15">
        <f t="shared" si="525"/>
        <v>0</v>
      </c>
      <c r="BX151" s="15">
        <f t="shared" si="535"/>
        <v>0</v>
      </c>
      <c r="BY151" s="15">
        <f t="shared" si="435"/>
        <v>0</v>
      </c>
      <c r="BZ151" s="15">
        <v>6.2549999999999999</v>
      </c>
      <c r="CA151" s="15">
        <f t="shared" si="446"/>
        <v>5.5488900000000001</v>
      </c>
      <c r="CB151" s="15">
        <f t="shared" si="456"/>
        <v>5.39</v>
      </c>
      <c r="CC151" s="15">
        <f t="shared" si="466"/>
        <v>1.24261</v>
      </c>
      <c r="CD151" s="15">
        <f t="shared" si="476"/>
        <v>4.4283299999999999</v>
      </c>
      <c r="CE151" s="15">
        <f t="shared" si="486"/>
        <v>2.6629200000000002</v>
      </c>
      <c r="CF151" s="15">
        <f t="shared" si="496"/>
        <v>6.0522200000000002</v>
      </c>
      <c r="CG151" s="15">
        <f t="shared" si="506"/>
        <v>1.99563</v>
      </c>
      <c r="CH151" s="15">
        <f t="shared" si="516"/>
        <v>11.11</v>
      </c>
      <c r="CI151" s="15">
        <f t="shared" si="526"/>
        <v>2.1077300000000001</v>
      </c>
      <c r="CJ151" s="15">
        <f t="shared" si="536"/>
        <v>1.05688</v>
      </c>
      <c r="CK151" s="15">
        <f t="shared" si="436"/>
        <v>1.20909</v>
      </c>
      <c r="CL151" s="15">
        <v>0</v>
      </c>
      <c r="CM151" s="15">
        <f t="shared" si="447"/>
        <v>0</v>
      </c>
      <c r="CN151" s="15">
        <f t="shared" si="457"/>
        <v>0</v>
      </c>
      <c r="CO151" s="15">
        <f t="shared" si="467"/>
        <v>0</v>
      </c>
      <c r="CP151" s="15">
        <f t="shared" si="477"/>
        <v>0</v>
      </c>
      <c r="CQ151" s="15">
        <f t="shared" si="487"/>
        <v>0</v>
      </c>
      <c r="CR151" s="15">
        <f t="shared" si="497"/>
        <v>0</v>
      </c>
      <c r="CS151" s="15">
        <f t="shared" si="507"/>
        <v>0</v>
      </c>
      <c r="CT151" s="15">
        <f t="shared" si="517"/>
        <v>0</v>
      </c>
      <c r="CU151" s="15">
        <f t="shared" si="527"/>
        <v>0</v>
      </c>
      <c r="CV151" s="15">
        <f t="shared" si="537"/>
        <v>0</v>
      </c>
      <c r="CW151" s="15">
        <f t="shared" si="437"/>
        <v>0</v>
      </c>
      <c r="CX151" s="15">
        <v>80.916899999999998</v>
      </c>
      <c r="CY151" s="15">
        <f t="shared" si="448"/>
        <v>79.784000000000006</v>
      </c>
      <c r="CZ151" s="15">
        <f t="shared" si="458"/>
        <v>79.489500000000007</v>
      </c>
      <c r="DA151" s="15">
        <f t="shared" si="468"/>
        <v>51.174300000000002</v>
      </c>
      <c r="DB151" s="15">
        <f t="shared" si="478"/>
        <v>77.275000000000006</v>
      </c>
      <c r="DC151" s="15">
        <f t="shared" si="488"/>
        <v>69.417400000000001</v>
      </c>
      <c r="DD151" s="15">
        <f t="shared" si="498"/>
        <v>80.617900000000006</v>
      </c>
      <c r="DE151" s="15">
        <f t="shared" si="508"/>
        <v>63.384700000000002</v>
      </c>
      <c r="DF151" s="15">
        <f t="shared" si="518"/>
        <v>84.856700000000004</v>
      </c>
      <c r="DG151" s="15">
        <f t="shared" si="528"/>
        <v>64.618200000000002</v>
      </c>
      <c r="DH151" s="15">
        <f t="shared" si="538"/>
        <v>46.5839</v>
      </c>
      <c r="DI151" s="15">
        <f t="shared" si="438"/>
        <v>50.4069</v>
      </c>
      <c r="DJ151" s="15" t="s">
        <v>21</v>
      </c>
      <c r="DK151" s="15" t="str">
        <f t="shared" si="449"/>
        <v>HH</v>
      </c>
      <c r="DL151" s="15" t="str">
        <f t="shared" si="459"/>
        <v>HH</v>
      </c>
      <c r="DM151" s="15" t="str">
        <f t="shared" si="469"/>
        <v>LH</v>
      </c>
      <c r="DN151" s="15" t="str">
        <f t="shared" si="479"/>
        <v>HH</v>
      </c>
      <c r="DO151" s="15" t="str">
        <f t="shared" si="489"/>
        <v>HH</v>
      </c>
      <c r="DP151" s="15" t="str">
        <f t="shared" si="499"/>
        <v>LH</v>
      </c>
      <c r="DQ151" s="15" t="str">
        <f t="shared" si="509"/>
        <v>LH</v>
      </c>
      <c r="DR151" s="15" t="str">
        <f t="shared" si="519"/>
        <v>HH</v>
      </c>
      <c r="DS151" s="15" t="str">
        <f t="shared" si="529"/>
        <v>LH</v>
      </c>
      <c r="DT151" s="15" t="str">
        <f t="shared" si="539"/>
        <v>LH</v>
      </c>
      <c r="DU151" s="15" t="str">
        <f t="shared" si="439"/>
        <v>LH</v>
      </c>
      <c r="DV151" s="15">
        <f>IFERROR((G151-$F151)/$F151*100,"")</f>
        <v>0.6090097169540456</v>
      </c>
      <c r="DW151" s="15">
        <f>IFERROR((H151-$F151)/$F151*100,"")</f>
        <v>8.0308973664275141E-2</v>
      </c>
      <c r="DX151" s="15">
        <f>IFERROR((I151-$F151)/$F151*100,"")</f>
        <v>4.3824520574870955E-2</v>
      </c>
      <c r="DY151" s="15">
        <f>IFERROR((J151-$F151)/$F151*100,"")</f>
        <v>0.32361062237297245</v>
      </c>
      <c r="DZ151" s="15">
        <f>IFERROR((K151-$F151)/$F151*100,"")</f>
        <v>-1.0748881179419307</v>
      </c>
      <c r="EA151" s="15">
        <f>IFERROR((L151-$F151)/$F151*100,"")</f>
        <v>-1.4541968994691334</v>
      </c>
      <c r="EB151" s="15">
        <f>IFERROR((M151-$F151)/$F151*100,"")</f>
        <v>-0.52546247822265091</v>
      </c>
      <c r="EC151" s="15">
        <f>IFERROR((N151-$F151)/$F151*100,"")</f>
        <v>-0.47408200582456028</v>
      </c>
      <c r="ED151" s="15">
        <f>IFERROR((O151-$F151)/$F151*100,"")</f>
        <v>-0.66103784236557195</v>
      </c>
      <c r="EE151" s="15">
        <f>IFERROR((P151-$F151)/$F151*100,"")</f>
        <v>1.4902495838829533</v>
      </c>
      <c r="EF151" s="15">
        <f>IFERROR((Q151-$F151)/$F151*100,"")</f>
        <v>1.737437150672166</v>
      </c>
      <c r="EG151" s="15" t="str">
        <f>IF(DV151="","",IF(AND(ABS(DV151)&lt;=0.25,$E151="Bottom",DK151="LL"),"EQL",IF(AND(ABS(DV151)&lt;=0.25,$E151="Peak",DK151="HH"),"EQH","")))</f>
        <v/>
      </c>
      <c r="EH151" s="15" t="str">
        <f>IF(DW151="","",IF(AND(ABS(DW151)&lt;=0.25,$E151="Bottom",DL151="LL"),"EQL",IF(AND(ABS(DW151)&lt;=0.25,$E151="Peak",DL151="HH"),"EQH","")))</f>
        <v>EQH</v>
      </c>
      <c r="EI151" s="15" t="str">
        <f>IF(DX151="","",IF(AND(ABS(DX151)&lt;=0.25,$E151="Bottom",DM151="LL"),"EQL",IF(AND(ABS(DX151)&lt;=0.25,$E151="Peak",DM151="HH"),"EQH","")))</f>
        <v/>
      </c>
      <c r="EJ151" s="15" t="str">
        <f>IF(DY151="","",IF(AND(ABS(DY151)&lt;=0.25,$E151="Bottom",DN151="LL"),"EQL",IF(AND(ABS(DY151)&lt;=0.25,$E151="Peak",DN151="HH"),"EQH","")))</f>
        <v/>
      </c>
      <c r="EK151" s="15" t="str">
        <f>IF(DZ151="","",IF(AND(ABS(DZ151)&lt;=0.25,$E151="Bottom",DO151="LL"),"EQL",IF(AND(ABS(DZ151)&lt;=0.25,$E151="Peak",DO151="HH"),"EQH","")))</f>
        <v/>
      </c>
      <c r="EL151" s="15" t="str">
        <f>IF(EA151="","",IF(AND(ABS(EA151)&lt;=0.25,$E151="Bottom",DP151="LL"),"EQL",IF(AND(ABS(EA151)&lt;=0.25,$E151="Peak",DP151="HH"),"EQH","")))</f>
        <v/>
      </c>
      <c r="EM151" s="15" t="str">
        <f>IF(EB151="","",IF(AND(ABS(EB151)&lt;=0.25,$E151="Bottom",DQ151="LL"),"EQL",IF(AND(ABS(EB151)&lt;=0.25,$E151="Peak",DQ151="HH"),"EQH","")))</f>
        <v/>
      </c>
      <c r="EN151" s="15" t="str">
        <f>IF(EC151="","",IF(AND(ABS(EC151)&lt;=0.25,$E151="Bottom",DR151="LL"),"EQL",IF(AND(ABS(EC151)&lt;=0.25,$E151="Peak",DR151="HH"),"EQH","")))</f>
        <v/>
      </c>
      <c r="EO151" s="15" t="str">
        <f>IF(ED151="","",IF(AND(ABS(ED151)&lt;=0.25,$E151="Bottom",DS151="LL"),"EQL",IF(AND(ABS(ED151)&lt;=0.25,$E151="Peak",DS151="HH"),"EQH","")))</f>
        <v/>
      </c>
      <c r="EP151" s="15" t="str">
        <f>IF(EE151="","",IF(AND(ABS(EE151)&lt;=0.25,$E151="Bottom",DT151="LL"),"EQL",IF(AND(ABS(EE151)&lt;=0.25,$E151="Peak",DT151="HH"),"EQH","")))</f>
        <v/>
      </c>
      <c r="EQ151" s="15" t="str">
        <f>IF(EF151="","",IF(AND(ABS(EF151)&lt;=0.25,$E151="Bottom",DU151="LL"),"EQL",IF(AND(ABS(EF151)&lt;=0.25,$E151="Peak",DU151="HH"),"EQH","")))</f>
        <v/>
      </c>
      <c r="ER151" s="15" t="str">
        <f>IF(OR(EG151="EQL",EG151="EQH"),F151,"")</f>
        <v/>
      </c>
      <c r="ES151" s="15">
        <f>IF(OR(EH151="EQL",EH151="EQH"),G151,"")</f>
        <v>4660.32</v>
      </c>
      <c r="ET151" s="15" t="str">
        <f>IF(OR(EI151="EQL",EI151="EQH"),H151,"")</f>
        <v/>
      </c>
      <c r="EU151" s="15" t="str">
        <f>IF(OR(EJ151="EQL",EJ151="EQH"),I151,"")</f>
        <v/>
      </c>
      <c r="EV151" s="15" t="str">
        <f>IF(OR(EK151="EQL",EK151="EQH"),J151,"")</f>
        <v/>
      </c>
      <c r="EW151" s="15" t="str">
        <f>IF(OR(EL151="EQL",EL151="EQH"),K151,"")</f>
        <v/>
      </c>
      <c r="EX151" s="15" t="str">
        <f>IF(OR(EM151="EQL",EM151="EQH"),L151,"")</f>
        <v/>
      </c>
      <c r="EY151" s="15" t="str">
        <f>IF(OR(EN151="EQL",EN151="EQH"),M151,"")</f>
        <v/>
      </c>
      <c r="EZ151" s="15" t="str">
        <f>IF(OR(EO151="EQL",EO151="EQH"),N151,"")</f>
        <v/>
      </c>
      <c r="FA151" s="15" t="str">
        <f>IF(OR(EP151="EQL",EP151="EQH"),O151,"")</f>
        <v/>
      </c>
      <c r="FB151" s="15" t="str">
        <f>IF(OR(EQ151="EQL",EQ151="EQH"),P151,"")</f>
        <v/>
      </c>
      <c r="FC151" s="15" t="str">
        <f>IF(AND(EG151="EQL",OR(AQ151=4,AQ151=5)),"IEQL",IF(AND(EG151="EQH",OR(AQ151=1,AQ151=2)),"IEQH",""))</f>
        <v/>
      </c>
      <c r="FD151" s="15" t="str">
        <f>IF(AND(EH151="EQL",OR(AR151=4,AR151=5)),"IEQL",IF(AND(EH151="EQH",OR(AR151=1,AR151=2)),"IEQH",""))</f>
        <v/>
      </c>
      <c r="FE151" s="15" t="str">
        <f>IF(AND(EI151="EQL",OR(AS151=4,AS151=5)),"IEQL",IF(AND(EI151="EQH",OR(AS151=1,AS151=2)),"IEQH",""))</f>
        <v/>
      </c>
      <c r="FF151" s="15" t="str">
        <f>IF(AND(EJ151="EQL",OR(AT151=4,AT151=5)),"IEQL",IF(AND(EJ151="EQH",OR(AT151=1,AT151=2)),"IEQH",""))</f>
        <v/>
      </c>
      <c r="FG151" s="15" t="str">
        <f>IF(AND(EK151="EQL",OR(AU151=4,AU151=5)),"IEQL",IF(AND(EK151="EQH",OR(AU151=1,AU151=2)),"IEQH",""))</f>
        <v/>
      </c>
      <c r="FH151" s="15" t="str">
        <f>IF(AND(EL151="EQL",OR(AV151=4,AV151=5)),"IEQL",IF(AND(EL151="EQH",OR(AV151=1,AV151=2)),"IEQH",""))</f>
        <v/>
      </c>
      <c r="FI151" s="15" t="str">
        <f>IF(AND(EM151="EQL",OR(AW151=4,AW151=5)),"IEQL",IF(AND(EM151="EQH",OR(AW151=1,AW151=2)),"IEQH",""))</f>
        <v/>
      </c>
      <c r="FJ151" s="15" t="str">
        <f>IF(AND(EN151="EQL",OR(AX151=4,AX151=5)),"IEQL",IF(AND(EN151="EQH",OR(AX151=1,AX151=2)),"IEQH",""))</f>
        <v/>
      </c>
      <c r="FK151" s="15" t="str">
        <f>IF(AND(EO151="EQL",OR(AY151=4,AY151=5)),"IEQL",IF(AND(EO151="EQH",OR(AY151=1,AY151=2)),"IEQH",""))</f>
        <v/>
      </c>
      <c r="FL151" s="15" t="str">
        <f>IF(AND(EP151="EQL",OR(AZ151=4,AZ151=5)),"IEQL",IF(AND(EP151="EQH",OR(AZ151=1,AZ151=2)),"IEQH",""))</f>
        <v/>
      </c>
      <c r="FM151" s="15" t="str">
        <f>IF(AND(EQ151="EQL",OR(BA151=4,BA151=5)),"IEQL",IF(AND(EQ151="EQH",OR(BA151=1,BA151=2)),"IEQH",""))</f>
        <v/>
      </c>
      <c r="FN151" s="15" t="str">
        <f>IF(OR(AND(DJ151="LL",AP151=5),AND(DJ151="HH",AP151=2)),F151,"")</f>
        <v/>
      </c>
      <c r="FO151" s="15" t="str">
        <f>IF(FN151&lt;&gt;"",F150,"")</f>
        <v/>
      </c>
    </row>
    <row r="152" spans="1:171" s="15" customFormat="1" x14ac:dyDescent="0.55000000000000004">
      <c r="A152" s="15">
        <v>1777858206</v>
      </c>
      <c r="B152" s="15" t="s">
        <v>16</v>
      </c>
      <c r="C152" s="15" t="s">
        <v>17</v>
      </c>
      <c r="D152" s="15">
        <v>4601.59</v>
      </c>
      <c r="E152" s="15" t="s">
        <v>18</v>
      </c>
      <c r="F152" s="15">
        <v>4592.93</v>
      </c>
      <c r="G152" s="15">
        <f t="shared" si="440"/>
        <v>4607.09</v>
      </c>
      <c r="H152" s="15">
        <f t="shared" si="450"/>
        <v>4560.4399999999996</v>
      </c>
      <c r="I152" s="15">
        <f t="shared" si="460"/>
        <v>4614.2700000000004</v>
      </c>
      <c r="J152" s="15">
        <f t="shared" si="470"/>
        <v>4605.5600000000004</v>
      </c>
      <c r="K152" s="15">
        <f t="shared" si="480"/>
        <v>4540.82</v>
      </c>
      <c r="L152" s="15">
        <f t="shared" si="490"/>
        <v>4518.41</v>
      </c>
      <c r="M152" s="15">
        <f t="shared" si="500"/>
        <v>4510.28</v>
      </c>
      <c r="N152" s="15">
        <f t="shared" si="510"/>
        <v>4575.84</v>
      </c>
      <c r="O152" s="15">
        <f t="shared" si="520"/>
        <v>4587.93</v>
      </c>
      <c r="P152" s="15">
        <f t="shared" si="530"/>
        <v>4555.12</v>
      </c>
      <c r="Q152" s="15">
        <f t="shared" ref="Q152:Q172" si="540">F130</f>
        <v>4667.32</v>
      </c>
      <c r="R152" s="15">
        <v>-39.18</v>
      </c>
      <c r="S152" s="15">
        <f t="shared" si="441"/>
        <v>-53.23</v>
      </c>
      <c r="T152" s="15">
        <f t="shared" si="451"/>
        <v>-75.39</v>
      </c>
      <c r="U152" s="15">
        <f t="shared" si="461"/>
        <v>-19.87</v>
      </c>
      <c r="V152" s="15">
        <f t="shared" si="471"/>
        <v>-41.54</v>
      </c>
      <c r="W152" s="15">
        <f t="shared" si="481"/>
        <v>-41.5</v>
      </c>
      <c r="X152" s="15">
        <f t="shared" si="491"/>
        <v>-46.34</v>
      </c>
      <c r="Y152" s="15">
        <f t="shared" si="501"/>
        <v>-97.49</v>
      </c>
      <c r="Z152" s="15">
        <f t="shared" si="511"/>
        <v>-34.31</v>
      </c>
      <c r="AA152" s="15">
        <f t="shared" si="521"/>
        <v>-13.56</v>
      </c>
      <c r="AB152" s="15">
        <f t="shared" si="531"/>
        <v>-146.02000000000001</v>
      </c>
      <c r="AC152" s="15">
        <f t="shared" ref="AC152:AC172" si="541">R130</f>
        <v>-45.27</v>
      </c>
      <c r="AD152" s="15">
        <v>-0.85</v>
      </c>
      <c r="AE152" s="15">
        <f t="shared" si="442"/>
        <v>-1.1399999999999999</v>
      </c>
      <c r="AF152" s="15">
        <f t="shared" si="452"/>
        <v>-1.63</v>
      </c>
      <c r="AG152" s="15">
        <f t="shared" si="462"/>
        <v>-0.43</v>
      </c>
      <c r="AH152" s="15">
        <f t="shared" si="472"/>
        <v>-0.89</v>
      </c>
      <c r="AI152" s="15">
        <f t="shared" si="482"/>
        <v>-0.91</v>
      </c>
      <c r="AJ152" s="15">
        <f t="shared" si="492"/>
        <v>-1.02</v>
      </c>
      <c r="AK152" s="15">
        <f t="shared" si="502"/>
        <v>-2.12</v>
      </c>
      <c r="AL152" s="15">
        <f t="shared" si="512"/>
        <v>-0.74</v>
      </c>
      <c r="AM152" s="15">
        <f t="shared" si="522"/>
        <v>-0.28999999999999998</v>
      </c>
      <c r="AN152" s="15">
        <f t="shared" si="532"/>
        <v>-3.11</v>
      </c>
      <c r="AO152" s="15">
        <f t="shared" ref="AO152:AO172" si="542">AD130</f>
        <v>-0.96</v>
      </c>
      <c r="AP152" s="15">
        <v>3</v>
      </c>
      <c r="AQ152" s="15">
        <f t="shared" si="443"/>
        <v>3</v>
      </c>
      <c r="AR152" s="15">
        <f t="shared" si="453"/>
        <v>3</v>
      </c>
      <c r="AS152" s="15">
        <f t="shared" si="463"/>
        <v>3</v>
      </c>
      <c r="AT152" s="15">
        <f t="shared" si="473"/>
        <v>3</v>
      </c>
      <c r="AU152" s="15">
        <f t="shared" si="483"/>
        <v>3</v>
      </c>
      <c r="AV152" s="15">
        <f t="shared" si="493"/>
        <v>3</v>
      </c>
      <c r="AW152" s="15">
        <f t="shared" si="503"/>
        <v>4</v>
      </c>
      <c r="AX152" s="15">
        <f t="shared" si="513"/>
        <v>3</v>
      </c>
      <c r="AY152" s="15">
        <f t="shared" si="523"/>
        <v>3</v>
      </c>
      <c r="AZ152" s="15">
        <f t="shared" si="533"/>
        <v>5</v>
      </c>
      <c r="BA152" s="15">
        <f t="shared" ref="BA152:BA172" si="543">AP130</f>
        <v>3</v>
      </c>
      <c r="BB152" s="15">
        <v>14</v>
      </c>
      <c r="BC152" s="15">
        <f t="shared" si="444"/>
        <v>23</v>
      </c>
      <c r="BD152" s="15">
        <f t="shared" si="454"/>
        <v>30</v>
      </c>
      <c r="BE152" s="15">
        <f t="shared" si="464"/>
        <v>7</v>
      </c>
      <c r="BF152" s="15">
        <f t="shared" si="474"/>
        <v>25</v>
      </c>
      <c r="BG152" s="15">
        <f t="shared" si="484"/>
        <v>11</v>
      </c>
      <c r="BH152" s="15">
        <f t="shared" si="494"/>
        <v>11</v>
      </c>
      <c r="BI152" s="15">
        <f t="shared" si="504"/>
        <v>35</v>
      </c>
      <c r="BJ152" s="15">
        <f t="shared" si="514"/>
        <v>4</v>
      </c>
      <c r="BK152" s="15">
        <f t="shared" si="524"/>
        <v>20</v>
      </c>
      <c r="BL152" s="15">
        <f t="shared" si="534"/>
        <v>48</v>
      </c>
      <c r="BM152" s="15">
        <f t="shared" ref="BM152:BM172" si="544">BB130</f>
        <v>11</v>
      </c>
      <c r="BN152" s="15">
        <v>3</v>
      </c>
      <c r="BO152" s="15">
        <f t="shared" si="445"/>
        <v>3</v>
      </c>
      <c r="BP152" s="15">
        <f t="shared" si="455"/>
        <v>3</v>
      </c>
      <c r="BQ152" s="15">
        <f t="shared" si="465"/>
        <v>3</v>
      </c>
      <c r="BR152" s="15">
        <f t="shared" si="475"/>
        <v>3</v>
      </c>
      <c r="BS152" s="15">
        <f t="shared" si="485"/>
        <v>3</v>
      </c>
      <c r="BT152" s="15">
        <f t="shared" si="495"/>
        <v>3</v>
      </c>
      <c r="BU152" s="15">
        <f t="shared" si="505"/>
        <v>3</v>
      </c>
      <c r="BV152" s="15">
        <f t="shared" si="515"/>
        <v>3</v>
      </c>
      <c r="BW152" s="15">
        <f t="shared" si="525"/>
        <v>3</v>
      </c>
      <c r="BX152" s="15">
        <f t="shared" si="535"/>
        <v>5</v>
      </c>
      <c r="BY152" s="15">
        <f t="shared" ref="BY152:BY172" si="545">BN130</f>
        <v>3</v>
      </c>
      <c r="BZ152" s="15">
        <v>-2.7985699999999998</v>
      </c>
      <c r="CA152" s="15">
        <f t="shared" si="446"/>
        <v>-2.3143500000000001</v>
      </c>
      <c r="CB152" s="15">
        <f t="shared" si="456"/>
        <v>-2.5129999999999999</v>
      </c>
      <c r="CC152" s="15">
        <f t="shared" si="466"/>
        <v>-2.8385699999999998</v>
      </c>
      <c r="CD152" s="15">
        <f t="shared" si="476"/>
        <v>-1.6616</v>
      </c>
      <c r="CE152" s="15">
        <f t="shared" si="486"/>
        <v>-3.7727300000000001</v>
      </c>
      <c r="CF152" s="15">
        <f t="shared" si="496"/>
        <v>-4.2127299999999996</v>
      </c>
      <c r="CG152" s="15">
        <f t="shared" si="506"/>
        <v>-2.7854299999999999</v>
      </c>
      <c r="CH152" s="15">
        <f t="shared" si="516"/>
        <v>-8.5775000000000006</v>
      </c>
      <c r="CI152" s="15">
        <f t="shared" si="526"/>
        <v>-0.67800000000000005</v>
      </c>
      <c r="CJ152" s="15">
        <f t="shared" si="536"/>
        <v>-3.0420799999999999</v>
      </c>
      <c r="CK152" s="15">
        <f t="shared" ref="CK152:CK172" si="546">BZ130</f>
        <v>-4.1154500000000001</v>
      </c>
      <c r="CL152" s="15">
        <v>3</v>
      </c>
      <c r="CM152" s="15">
        <f t="shared" si="447"/>
        <v>3</v>
      </c>
      <c r="CN152" s="15">
        <f t="shared" si="457"/>
        <v>3</v>
      </c>
      <c r="CO152" s="15">
        <f t="shared" si="467"/>
        <v>3</v>
      </c>
      <c r="CP152" s="15">
        <f t="shared" si="477"/>
        <v>3</v>
      </c>
      <c r="CQ152" s="15">
        <f t="shared" si="487"/>
        <v>3</v>
      </c>
      <c r="CR152" s="15">
        <f t="shared" si="497"/>
        <v>3</v>
      </c>
      <c r="CS152" s="15">
        <f t="shared" si="507"/>
        <v>3</v>
      </c>
      <c r="CT152" s="15">
        <f t="shared" si="517"/>
        <v>3</v>
      </c>
      <c r="CU152" s="15">
        <f t="shared" si="527"/>
        <v>3</v>
      </c>
      <c r="CV152" s="15">
        <f t="shared" si="537"/>
        <v>3</v>
      </c>
      <c r="CW152" s="15">
        <f t="shared" ref="CW152:CW172" si="547">CL130</f>
        <v>3</v>
      </c>
      <c r="CX152" s="15">
        <v>-70.3369</v>
      </c>
      <c r="CY152" s="15">
        <f t="shared" si="448"/>
        <v>-66.631399999999999</v>
      </c>
      <c r="CZ152" s="15">
        <f t="shared" si="458"/>
        <v>-68.300899999999999</v>
      </c>
      <c r="DA152" s="15">
        <f t="shared" si="468"/>
        <v>-70.593199999999996</v>
      </c>
      <c r="DB152" s="15">
        <f t="shared" si="478"/>
        <v>-58.959200000000003</v>
      </c>
      <c r="DC152" s="15">
        <f t="shared" si="488"/>
        <v>-75.154499999999999</v>
      </c>
      <c r="DD152" s="15">
        <f t="shared" si="498"/>
        <v>-76.646500000000003</v>
      </c>
      <c r="DE152" s="15">
        <f t="shared" si="508"/>
        <v>-70.251300000000001</v>
      </c>
      <c r="DF152" s="15">
        <f t="shared" si="518"/>
        <v>-83.350200000000001</v>
      </c>
      <c r="DG152" s="15">
        <f t="shared" si="528"/>
        <v>-34.137300000000003</v>
      </c>
      <c r="DH152" s="15">
        <f t="shared" si="538"/>
        <v>-71.803200000000004</v>
      </c>
      <c r="DI152" s="15">
        <f t="shared" ref="DI152:DI172" si="548">CX130</f>
        <v>-76.342600000000004</v>
      </c>
      <c r="DJ152" s="15" t="s">
        <v>19</v>
      </c>
      <c r="DK152" s="15" t="str">
        <f t="shared" si="449"/>
        <v>HL</v>
      </c>
      <c r="DL152" s="15" t="str">
        <f t="shared" si="459"/>
        <v>LL</v>
      </c>
      <c r="DM152" s="15" t="str">
        <f t="shared" si="469"/>
        <v>HL</v>
      </c>
      <c r="DN152" s="15" t="str">
        <f t="shared" si="479"/>
        <v>HL</v>
      </c>
      <c r="DO152" s="15" t="str">
        <f t="shared" si="489"/>
        <v>HL</v>
      </c>
      <c r="DP152" s="15" t="str">
        <f t="shared" si="499"/>
        <v>HL</v>
      </c>
      <c r="DQ152" s="15" t="str">
        <f t="shared" si="509"/>
        <v>LL</v>
      </c>
      <c r="DR152" s="15" t="str">
        <f t="shared" si="519"/>
        <v>LL</v>
      </c>
      <c r="DS152" s="15" t="str">
        <f t="shared" si="529"/>
        <v>HL</v>
      </c>
      <c r="DT152" s="15" t="str">
        <f t="shared" si="539"/>
        <v>LL</v>
      </c>
      <c r="DU152" s="15" t="str">
        <f t="shared" ref="DU152:DU172" si="549">DJ130</f>
        <v>LL</v>
      </c>
      <c r="DV152" s="15">
        <f>IFERROR((G152-$F152)/$F152*100,"")</f>
        <v>0.3082999305454221</v>
      </c>
      <c r="DW152" s="15">
        <f>IFERROR((H152-$F152)/$F152*100,"")</f>
        <v>-0.70739157792521745</v>
      </c>
      <c r="DX152" s="15">
        <f>IFERROR((I152-$F152)/$F152*100,"")</f>
        <v>0.46462715521464826</v>
      </c>
      <c r="DY152" s="15">
        <f>IFERROR((J152-$F152)/$F152*100,"")</f>
        <v>0.2749878617788668</v>
      </c>
      <c r="DZ152" s="15">
        <f>IFERROR((K152-$F152)/$F152*100,"")</f>
        <v>-1.1345698715199355</v>
      </c>
      <c r="EA152" s="15">
        <f>IFERROR((L152-$F152)/$F152*100,"")</f>
        <v>-1.622493702277205</v>
      </c>
      <c r="EB152" s="15">
        <f>IFERROR((M152-$F152)/$F152*100,"")</f>
        <v>-1.7995048912132459</v>
      </c>
      <c r="EC152" s="15">
        <f>IFERROR((N152-$F152)/$F152*100,"")</f>
        <v>-0.37209363086309055</v>
      </c>
      <c r="ED152" s="15">
        <f>IFERROR((O152-$F152)/$F152*100,"")</f>
        <v>-0.108862969825362</v>
      </c>
      <c r="EE152" s="15">
        <f>IFERROR((P152-$F152)/$F152*100,"")</f>
        <v>-0.82322177781939621</v>
      </c>
      <c r="EF152" s="15">
        <f>IFERROR((Q152-$F152)/$F152*100,"")</f>
        <v>1.6196632650617233</v>
      </c>
      <c r="EG152" s="15" t="str">
        <f>IF(DV152="","",IF(AND(ABS(DV152)&lt;=0.25,$E152="Bottom",DK152="LL"),"EQL",IF(AND(ABS(DV152)&lt;=0.25,$E152="Peak",DK152="HH"),"EQH","")))</f>
        <v/>
      </c>
      <c r="EH152" s="15" t="str">
        <f>IF(DW152="","",IF(AND(ABS(DW152)&lt;=0.25,$E152="Bottom",DL152="LL"),"EQL",IF(AND(ABS(DW152)&lt;=0.25,$E152="Peak",DL152="HH"),"EQH","")))</f>
        <v/>
      </c>
      <c r="EI152" s="15" t="str">
        <f>IF(DX152="","",IF(AND(ABS(DX152)&lt;=0.25,$E152="Bottom",DM152="LL"),"EQL",IF(AND(ABS(DX152)&lt;=0.25,$E152="Peak",DM152="HH"),"EQH","")))</f>
        <v/>
      </c>
      <c r="EJ152" s="15" t="str">
        <f>IF(DY152="","",IF(AND(ABS(DY152)&lt;=0.25,$E152="Bottom",DN152="LL"),"EQL",IF(AND(ABS(DY152)&lt;=0.25,$E152="Peak",DN152="HH"),"EQH","")))</f>
        <v/>
      </c>
      <c r="EK152" s="15" t="str">
        <f>IF(DZ152="","",IF(AND(ABS(DZ152)&lt;=0.25,$E152="Bottom",DO152="LL"),"EQL",IF(AND(ABS(DZ152)&lt;=0.25,$E152="Peak",DO152="HH"),"EQH","")))</f>
        <v/>
      </c>
      <c r="EL152" s="15" t="str">
        <f>IF(EA152="","",IF(AND(ABS(EA152)&lt;=0.25,$E152="Bottom",DP152="LL"),"EQL",IF(AND(ABS(EA152)&lt;=0.25,$E152="Peak",DP152="HH"),"EQH","")))</f>
        <v/>
      </c>
      <c r="EM152" s="15" t="str">
        <f>IF(EB152="","",IF(AND(ABS(EB152)&lt;=0.25,$E152="Bottom",DQ152="LL"),"EQL",IF(AND(ABS(EB152)&lt;=0.25,$E152="Peak",DQ152="HH"),"EQH","")))</f>
        <v/>
      </c>
      <c r="EN152" s="15" t="str">
        <f>IF(EC152="","",IF(AND(ABS(EC152)&lt;=0.25,$E152="Bottom",DR152="LL"),"EQL",IF(AND(ABS(EC152)&lt;=0.25,$E152="Peak",DR152="HH"),"EQH","")))</f>
        <v/>
      </c>
      <c r="EO152" s="15" t="str">
        <f>IF(ED152="","",IF(AND(ABS(ED152)&lt;=0.25,$E152="Bottom",DS152="LL"),"EQL",IF(AND(ABS(ED152)&lt;=0.25,$E152="Peak",DS152="HH"),"EQH","")))</f>
        <v/>
      </c>
      <c r="EP152" s="15" t="str">
        <f>IF(EE152="","",IF(AND(ABS(EE152)&lt;=0.25,$E152="Bottom",DT152="LL"),"EQL",IF(AND(ABS(EE152)&lt;=0.25,$E152="Peak",DT152="HH"),"EQH","")))</f>
        <v/>
      </c>
      <c r="EQ152" s="15" t="str">
        <f>IF(EF152="","",IF(AND(ABS(EF152)&lt;=0.25,$E152="Bottom",DU152="LL"),"EQL",IF(AND(ABS(EF152)&lt;=0.25,$E152="Peak",DU152="HH"),"EQH","")))</f>
        <v/>
      </c>
      <c r="ER152" s="15" t="str">
        <f>IF(OR(EG152="EQL",EG152="EQH"),F152,"")</f>
        <v/>
      </c>
      <c r="ES152" s="15" t="str">
        <f>IF(OR(EH152="EQL",EH152="EQH"),G152,"")</f>
        <v/>
      </c>
      <c r="ET152" s="15" t="str">
        <f>IF(OR(EI152="EQL",EI152="EQH"),H152,"")</f>
        <v/>
      </c>
      <c r="EU152" s="15" t="str">
        <f>IF(OR(EJ152="EQL",EJ152="EQH"),I152,"")</f>
        <v/>
      </c>
      <c r="EV152" s="15" t="str">
        <f>IF(OR(EK152="EQL",EK152="EQH"),J152,"")</f>
        <v/>
      </c>
      <c r="EW152" s="15" t="str">
        <f>IF(OR(EL152="EQL",EL152="EQH"),K152,"")</f>
        <v/>
      </c>
      <c r="EX152" s="15" t="str">
        <f>IF(OR(EM152="EQL",EM152="EQH"),L152,"")</f>
        <v/>
      </c>
      <c r="EY152" s="15" t="str">
        <f>IF(OR(EN152="EQL",EN152="EQH"),M152,"")</f>
        <v/>
      </c>
      <c r="EZ152" s="15" t="str">
        <f>IF(OR(EO152="EQL",EO152="EQH"),N152,"")</f>
        <v/>
      </c>
      <c r="FA152" s="15" t="str">
        <f>IF(OR(EP152="EQL",EP152="EQH"),O152,"")</f>
        <v/>
      </c>
      <c r="FB152" s="15" t="str">
        <f>IF(OR(EQ152="EQL",EQ152="EQH"),P152,"")</f>
        <v/>
      </c>
      <c r="FC152" s="15" t="str">
        <f>IF(AND(EG152="EQL",OR(AQ152=4,AQ152=5)),"IEQL",IF(AND(EG152="EQH",OR(AQ152=1,AQ152=2)),"IEQH",""))</f>
        <v/>
      </c>
      <c r="FD152" s="15" t="str">
        <f>IF(AND(EH152="EQL",OR(AR152=4,AR152=5)),"IEQL",IF(AND(EH152="EQH",OR(AR152=1,AR152=2)),"IEQH",""))</f>
        <v/>
      </c>
      <c r="FE152" s="15" t="str">
        <f>IF(AND(EI152="EQL",OR(AS152=4,AS152=5)),"IEQL",IF(AND(EI152="EQH",OR(AS152=1,AS152=2)),"IEQH",""))</f>
        <v/>
      </c>
      <c r="FF152" s="15" t="str">
        <f>IF(AND(EJ152="EQL",OR(AT152=4,AT152=5)),"IEQL",IF(AND(EJ152="EQH",OR(AT152=1,AT152=2)),"IEQH",""))</f>
        <v/>
      </c>
      <c r="FG152" s="15" t="str">
        <f>IF(AND(EK152="EQL",OR(AU152=4,AU152=5)),"IEQL",IF(AND(EK152="EQH",OR(AU152=1,AU152=2)),"IEQH",""))</f>
        <v/>
      </c>
      <c r="FH152" s="15" t="str">
        <f>IF(AND(EL152="EQL",OR(AV152=4,AV152=5)),"IEQL",IF(AND(EL152="EQH",OR(AV152=1,AV152=2)),"IEQH",""))</f>
        <v/>
      </c>
      <c r="FI152" s="15" t="str">
        <f>IF(AND(EM152="EQL",OR(AW152=4,AW152=5)),"IEQL",IF(AND(EM152="EQH",OR(AW152=1,AW152=2)),"IEQH",""))</f>
        <v/>
      </c>
      <c r="FJ152" s="15" t="str">
        <f>IF(AND(EN152="EQL",OR(AX152=4,AX152=5)),"IEQL",IF(AND(EN152="EQH",OR(AX152=1,AX152=2)),"IEQH",""))</f>
        <v/>
      </c>
      <c r="FK152" s="15" t="str">
        <f>IF(AND(EO152="EQL",OR(AY152=4,AY152=5)),"IEQL",IF(AND(EO152="EQH",OR(AY152=1,AY152=2)),"IEQH",""))</f>
        <v/>
      </c>
      <c r="FL152" s="15" t="str">
        <f>IF(AND(EP152="EQL",OR(AZ152=4,AZ152=5)),"IEQL",IF(AND(EP152="EQH",OR(AZ152=1,AZ152=2)),"IEQH",""))</f>
        <v/>
      </c>
      <c r="FM152" s="15" t="str">
        <f>IF(AND(EQ152="EQL",OR(BA152=4,BA152=5)),"IEQL",IF(AND(EQ152="EQH",OR(BA152=1,BA152=2)),"IEQH",""))</f>
        <v/>
      </c>
      <c r="FN152" s="15" t="str">
        <f>IF(OR(AND(DJ152="LL",AP152=5),AND(DJ152="HH",AP152=2)),F152,"")</f>
        <v/>
      </c>
      <c r="FO152" s="15" t="str">
        <f>IF(FN152&lt;&gt;"",F151,"")</f>
        <v/>
      </c>
    </row>
    <row r="153" spans="1:171" s="15" customFormat="1" x14ac:dyDescent="0.55000000000000004">
      <c r="A153" s="15">
        <v>1777860006</v>
      </c>
      <c r="B153" s="15" t="s">
        <v>16</v>
      </c>
      <c r="C153" s="15" t="s">
        <v>17</v>
      </c>
      <c r="D153" s="15">
        <v>4608.34</v>
      </c>
      <c r="E153" s="15" t="s">
        <v>20</v>
      </c>
      <c r="F153" s="15">
        <v>4618.59</v>
      </c>
      <c r="G153" s="15">
        <f t="shared" si="440"/>
        <v>4632.1099999999997</v>
      </c>
      <c r="H153" s="15">
        <f t="shared" si="450"/>
        <v>4660.32</v>
      </c>
      <c r="I153" s="15">
        <f t="shared" si="460"/>
        <v>4635.83</v>
      </c>
      <c r="J153" s="15">
        <f t="shared" si="470"/>
        <v>4634.1400000000003</v>
      </c>
      <c r="K153" s="15">
        <f t="shared" si="480"/>
        <v>4647.1000000000004</v>
      </c>
      <c r="L153" s="15">
        <f t="shared" si="490"/>
        <v>4582.32</v>
      </c>
      <c r="M153" s="15">
        <f t="shared" si="500"/>
        <v>4564.75</v>
      </c>
      <c r="N153" s="15">
        <f t="shared" si="510"/>
        <v>4607.7700000000004</v>
      </c>
      <c r="O153" s="15">
        <f t="shared" si="520"/>
        <v>4610.1499999999996</v>
      </c>
      <c r="P153" s="15">
        <f t="shared" si="530"/>
        <v>4601.49</v>
      </c>
      <c r="Q153" s="15">
        <f t="shared" si="540"/>
        <v>4701.1400000000003</v>
      </c>
      <c r="R153" s="15">
        <v>25.66</v>
      </c>
      <c r="S153" s="15">
        <f t="shared" si="441"/>
        <v>25.02</v>
      </c>
      <c r="T153" s="15">
        <f t="shared" si="451"/>
        <v>99.88</v>
      </c>
      <c r="U153" s="15">
        <f t="shared" si="461"/>
        <v>21.56</v>
      </c>
      <c r="V153" s="15">
        <f t="shared" si="471"/>
        <v>28.58</v>
      </c>
      <c r="W153" s="15">
        <f t="shared" si="481"/>
        <v>106.28</v>
      </c>
      <c r="X153" s="15">
        <f t="shared" si="491"/>
        <v>63.91</v>
      </c>
      <c r="Y153" s="15">
        <f t="shared" si="501"/>
        <v>54.47</v>
      </c>
      <c r="Z153" s="15">
        <f t="shared" si="511"/>
        <v>31.93</v>
      </c>
      <c r="AA153" s="15">
        <f t="shared" si="521"/>
        <v>22.22</v>
      </c>
      <c r="AB153" s="15">
        <f t="shared" si="531"/>
        <v>46.37</v>
      </c>
      <c r="AC153" s="15">
        <f t="shared" si="541"/>
        <v>33.82</v>
      </c>
      <c r="AD153" s="15">
        <v>0.56000000000000005</v>
      </c>
      <c r="AE153" s="15">
        <f t="shared" si="442"/>
        <v>0.54</v>
      </c>
      <c r="AF153" s="15">
        <f t="shared" si="452"/>
        <v>2.19</v>
      </c>
      <c r="AG153" s="15">
        <f t="shared" si="462"/>
        <v>0.47</v>
      </c>
      <c r="AH153" s="15">
        <f t="shared" si="472"/>
        <v>0.62</v>
      </c>
      <c r="AI153" s="15">
        <f t="shared" si="482"/>
        <v>2.34</v>
      </c>
      <c r="AJ153" s="15">
        <f t="shared" si="492"/>
        <v>1.41</v>
      </c>
      <c r="AK153" s="15">
        <f t="shared" si="502"/>
        <v>1.21</v>
      </c>
      <c r="AL153" s="15">
        <f t="shared" si="512"/>
        <v>0.7</v>
      </c>
      <c r="AM153" s="15">
        <f t="shared" si="522"/>
        <v>0.48</v>
      </c>
      <c r="AN153" s="15">
        <f t="shared" si="532"/>
        <v>1.02</v>
      </c>
      <c r="AO153" s="15">
        <f t="shared" si="542"/>
        <v>0.72</v>
      </c>
      <c r="AP153" s="15">
        <v>0</v>
      </c>
      <c r="AQ153" s="15">
        <f t="shared" si="443"/>
        <v>0</v>
      </c>
      <c r="AR153" s="15">
        <f t="shared" si="453"/>
        <v>1</v>
      </c>
      <c r="AS153" s="15">
        <f t="shared" si="463"/>
        <v>0</v>
      </c>
      <c r="AT153" s="15">
        <f t="shared" si="473"/>
        <v>0</v>
      </c>
      <c r="AU153" s="15">
        <f t="shared" si="483"/>
        <v>1</v>
      </c>
      <c r="AV153" s="15">
        <f t="shared" si="493"/>
        <v>0</v>
      </c>
      <c r="AW153" s="15">
        <f t="shared" si="503"/>
        <v>0</v>
      </c>
      <c r="AX153" s="15">
        <f t="shared" si="513"/>
        <v>0</v>
      </c>
      <c r="AY153" s="15">
        <f t="shared" si="523"/>
        <v>0</v>
      </c>
      <c r="AZ153" s="15">
        <f t="shared" si="533"/>
        <v>0</v>
      </c>
      <c r="BA153" s="15">
        <f t="shared" si="543"/>
        <v>0</v>
      </c>
      <c r="BB153" s="15">
        <v>2</v>
      </c>
      <c r="BC153" s="15">
        <f t="shared" si="444"/>
        <v>4</v>
      </c>
      <c r="BD153" s="15">
        <f t="shared" si="454"/>
        <v>18</v>
      </c>
      <c r="BE153" s="15">
        <f t="shared" si="464"/>
        <v>4</v>
      </c>
      <c r="BF153" s="15">
        <f t="shared" si="474"/>
        <v>23</v>
      </c>
      <c r="BG153" s="15">
        <f t="shared" si="484"/>
        <v>24</v>
      </c>
      <c r="BH153" s="15">
        <f t="shared" si="494"/>
        <v>24</v>
      </c>
      <c r="BI153" s="15">
        <f t="shared" si="504"/>
        <v>9</v>
      </c>
      <c r="BJ153" s="15">
        <f t="shared" si="514"/>
        <v>16</v>
      </c>
      <c r="BK153" s="15">
        <f t="shared" si="524"/>
        <v>2</v>
      </c>
      <c r="BL153" s="15">
        <f t="shared" si="534"/>
        <v>22</v>
      </c>
      <c r="BM153" s="15">
        <f t="shared" si="544"/>
        <v>32</v>
      </c>
      <c r="BN153" s="15">
        <v>0</v>
      </c>
      <c r="BO153" s="15">
        <f t="shared" si="445"/>
        <v>0</v>
      </c>
      <c r="BP153" s="15">
        <f t="shared" si="455"/>
        <v>0</v>
      </c>
      <c r="BQ153" s="15">
        <f t="shared" si="465"/>
        <v>0</v>
      </c>
      <c r="BR153" s="15">
        <f t="shared" si="475"/>
        <v>0</v>
      </c>
      <c r="BS153" s="15">
        <f t="shared" si="485"/>
        <v>0</v>
      </c>
      <c r="BT153" s="15">
        <f t="shared" si="495"/>
        <v>0</v>
      </c>
      <c r="BU153" s="15">
        <f t="shared" si="505"/>
        <v>0</v>
      </c>
      <c r="BV153" s="15">
        <f t="shared" si="515"/>
        <v>0</v>
      </c>
      <c r="BW153" s="15">
        <f t="shared" si="525"/>
        <v>0</v>
      </c>
      <c r="BX153" s="15">
        <f t="shared" si="535"/>
        <v>0</v>
      </c>
      <c r="BY153" s="15">
        <f t="shared" si="545"/>
        <v>0</v>
      </c>
      <c r="BZ153" s="15">
        <v>12.83</v>
      </c>
      <c r="CA153" s="15">
        <f t="shared" si="446"/>
        <v>6.2549999999999999</v>
      </c>
      <c r="CB153" s="15">
        <f t="shared" si="456"/>
        <v>5.5488900000000001</v>
      </c>
      <c r="CC153" s="15">
        <f t="shared" si="466"/>
        <v>5.39</v>
      </c>
      <c r="CD153" s="15">
        <f t="shared" si="476"/>
        <v>1.24261</v>
      </c>
      <c r="CE153" s="15">
        <f t="shared" si="486"/>
        <v>4.4283299999999999</v>
      </c>
      <c r="CF153" s="15">
        <f t="shared" si="496"/>
        <v>2.6629200000000002</v>
      </c>
      <c r="CG153" s="15">
        <f t="shared" si="506"/>
        <v>6.0522200000000002</v>
      </c>
      <c r="CH153" s="15">
        <f t="shared" si="516"/>
        <v>1.99563</v>
      </c>
      <c r="CI153" s="15">
        <f t="shared" si="526"/>
        <v>11.11</v>
      </c>
      <c r="CJ153" s="15">
        <f t="shared" si="536"/>
        <v>2.1077300000000001</v>
      </c>
      <c r="CK153" s="15">
        <f t="shared" si="546"/>
        <v>1.05688</v>
      </c>
      <c r="CL153" s="15">
        <v>0</v>
      </c>
      <c r="CM153" s="15">
        <f t="shared" si="447"/>
        <v>0</v>
      </c>
      <c r="CN153" s="15">
        <f t="shared" si="457"/>
        <v>0</v>
      </c>
      <c r="CO153" s="15">
        <f t="shared" si="467"/>
        <v>0</v>
      </c>
      <c r="CP153" s="15">
        <f t="shared" si="477"/>
        <v>0</v>
      </c>
      <c r="CQ153" s="15">
        <f t="shared" si="487"/>
        <v>0</v>
      </c>
      <c r="CR153" s="15">
        <f t="shared" si="497"/>
        <v>0</v>
      </c>
      <c r="CS153" s="15">
        <f t="shared" si="507"/>
        <v>0</v>
      </c>
      <c r="CT153" s="15">
        <f t="shared" si="517"/>
        <v>0</v>
      </c>
      <c r="CU153" s="15">
        <f t="shared" si="527"/>
        <v>0</v>
      </c>
      <c r="CV153" s="15">
        <f t="shared" si="537"/>
        <v>0</v>
      </c>
      <c r="CW153" s="15">
        <f t="shared" si="547"/>
        <v>0</v>
      </c>
      <c r="CX153" s="15">
        <v>85.543199999999999</v>
      </c>
      <c r="CY153" s="15">
        <f t="shared" si="448"/>
        <v>80.916899999999998</v>
      </c>
      <c r="CZ153" s="15">
        <f t="shared" si="458"/>
        <v>79.784000000000006</v>
      </c>
      <c r="DA153" s="15">
        <f t="shared" si="468"/>
        <v>79.489500000000007</v>
      </c>
      <c r="DB153" s="15">
        <f t="shared" si="478"/>
        <v>51.174300000000002</v>
      </c>
      <c r="DC153" s="15">
        <f t="shared" si="488"/>
        <v>77.275000000000006</v>
      </c>
      <c r="DD153" s="15">
        <f t="shared" si="498"/>
        <v>69.417400000000001</v>
      </c>
      <c r="DE153" s="15">
        <f t="shared" si="508"/>
        <v>80.617900000000006</v>
      </c>
      <c r="DF153" s="15">
        <f t="shared" si="518"/>
        <v>63.384700000000002</v>
      </c>
      <c r="DG153" s="15">
        <f t="shared" si="528"/>
        <v>84.856700000000004</v>
      </c>
      <c r="DH153" s="15">
        <f t="shared" si="538"/>
        <v>64.618200000000002</v>
      </c>
      <c r="DI153" s="15">
        <f t="shared" si="548"/>
        <v>46.5839</v>
      </c>
      <c r="DJ153" s="15" t="s">
        <v>21</v>
      </c>
      <c r="DK153" s="15" t="str">
        <f t="shared" si="449"/>
        <v>LH</v>
      </c>
      <c r="DL153" s="15" t="str">
        <f t="shared" si="459"/>
        <v>HH</v>
      </c>
      <c r="DM153" s="15" t="str">
        <f t="shared" si="469"/>
        <v>HH</v>
      </c>
      <c r="DN153" s="15" t="str">
        <f t="shared" si="479"/>
        <v>LH</v>
      </c>
      <c r="DO153" s="15" t="str">
        <f t="shared" si="489"/>
        <v>HH</v>
      </c>
      <c r="DP153" s="15" t="str">
        <f t="shared" si="499"/>
        <v>HH</v>
      </c>
      <c r="DQ153" s="15" t="str">
        <f t="shared" si="509"/>
        <v>LH</v>
      </c>
      <c r="DR153" s="15" t="str">
        <f t="shared" si="519"/>
        <v>LH</v>
      </c>
      <c r="DS153" s="15" t="str">
        <f t="shared" si="529"/>
        <v>HH</v>
      </c>
      <c r="DT153" s="15" t="str">
        <f t="shared" si="539"/>
        <v>LH</v>
      </c>
      <c r="DU153" s="15" t="str">
        <f t="shared" si="549"/>
        <v>LH</v>
      </c>
      <c r="DV153" s="15">
        <f>IFERROR((G153-$F153)/$F153*100,"")</f>
        <v>0.29273003232587275</v>
      </c>
      <c r="DW153" s="15">
        <f>IFERROR((H153-$F153)/$F153*100,"")</f>
        <v>0.90352250362122566</v>
      </c>
      <c r="DX153" s="15">
        <f>IFERROR((I153-$F153)/$F153*100,"")</f>
        <v>0.37327409447471588</v>
      </c>
      <c r="DY153" s="15">
        <f>IFERROR((J153-$F153)/$F153*100,"")</f>
        <v>0.33668284043398922</v>
      </c>
      <c r="DZ153" s="15">
        <f>IFERROR((K153-$F153)/$F153*100,"")</f>
        <v>0.61728796017832754</v>
      </c>
      <c r="EA153" s="15">
        <f>IFERROR((L153-$F153)/$F153*100,"")</f>
        <v>-0.78530460595117646</v>
      </c>
      <c r="EB153" s="15">
        <f>IFERROR((M153-$F153)/$F153*100,"")</f>
        <v>-1.1657237381971586</v>
      </c>
      <c r="EC153" s="15">
        <f>IFERROR((N153-$F153)/$F153*100,"")</f>
        <v>-0.2342706323791397</v>
      </c>
      <c r="ED153" s="15">
        <f>IFERROR((O153-$F153)/$F153*100,"")</f>
        <v>-0.18273975390758887</v>
      </c>
      <c r="EE153" s="15">
        <f>IFERROR((P153-$F153)/$F153*100,"")</f>
        <v>-0.37024286632934211</v>
      </c>
      <c r="EF153" s="15">
        <f>IFERROR((Q153-$F153)/$F153*100,"")</f>
        <v>1.7873420242974627</v>
      </c>
      <c r="EG153" s="15" t="str">
        <f>IF(DV153="","",IF(AND(ABS(DV153)&lt;=0.25,$E153="Bottom",DK153="LL"),"EQL",IF(AND(ABS(DV153)&lt;=0.25,$E153="Peak",DK153="HH"),"EQH","")))</f>
        <v/>
      </c>
      <c r="EH153" s="15" t="str">
        <f>IF(DW153="","",IF(AND(ABS(DW153)&lt;=0.25,$E153="Bottom",DL153="LL"),"EQL",IF(AND(ABS(DW153)&lt;=0.25,$E153="Peak",DL153="HH"),"EQH","")))</f>
        <v/>
      </c>
      <c r="EI153" s="15" t="str">
        <f>IF(DX153="","",IF(AND(ABS(DX153)&lt;=0.25,$E153="Bottom",DM153="LL"),"EQL",IF(AND(ABS(DX153)&lt;=0.25,$E153="Peak",DM153="HH"),"EQH","")))</f>
        <v/>
      </c>
      <c r="EJ153" s="15" t="str">
        <f>IF(DY153="","",IF(AND(ABS(DY153)&lt;=0.25,$E153="Bottom",DN153="LL"),"EQL",IF(AND(ABS(DY153)&lt;=0.25,$E153="Peak",DN153="HH"),"EQH","")))</f>
        <v/>
      </c>
      <c r="EK153" s="15" t="str">
        <f>IF(DZ153="","",IF(AND(ABS(DZ153)&lt;=0.25,$E153="Bottom",DO153="LL"),"EQL",IF(AND(ABS(DZ153)&lt;=0.25,$E153="Peak",DO153="HH"),"EQH","")))</f>
        <v/>
      </c>
      <c r="EL153" s="15" t="str">
        <f>IF(EA153="","",IF(AND(ABS(EA153)&lt;=0.25,$E153="Bottom",DP153="LL"),"EQL",IF(AND(ABS(EA153)&lt;=0.25,$E153="Peak",DP153="HH"),"EQH","")))</f>
        <v/>
      </c>
      <c r="EM153" s="15" t="str">
        <f>IF(EB153="","",IF(AND(ABS(EB153)&lt;=0.25,$E153="Bottom",DQ153="LL"),"EQL",IF(AND(ABS(EB153)&lt;=0.25,$E153="Peak",DQ153="HH"),"EQH","")))</f>
        <v/>
      </c>
      <c r="EN153" s="15" t="str">
        <f>IF(EC153="","",IF(AND(ABS(EC153)&lt;=0.25,$E153="Bottom",DR153="LL"),"EQL",IF(AND(ABS(EC153)&lt;=0.25,$E153="Peak",DR153="HH"),"EQH","")))</f>
        <v/>
      </c>
      <c r="EO153" s="15" t="str">
        <f>IF(ED153="","",IF(AND(ABS(ED153)&lt;=0.25,$E153="Bottom",DS153="LL"),"EQL",IF(AND(ABS(ED153)&lt;=0.25,$E153="Peak",DS153="HH"),"EQH","")))</f>
        <v>EQH</v>
      </c>
      <c r="EP153" s="15" t="str">
        <f>IF(EE153="","",IF(AND(ABS(EE153)&lt;=0.25,$E153="Bottom",DT153="LL"),"EQL",IF(AND(ABS(EE153)&lt;=0.25,$E153="Peak",DT153="HH"),"EQH","")))</f>
        <v/>
      </c>
      <c r="EQ153" s="15" t="str">
        <f>IF(EF153="","",IF(AND(ABS(EF153)&lt;=0.25,$E153="Bottom",DU153="LL"),"EQL",IF(AND(ABS(EF153)&lt;=0.25,$E153="Peak",DU153="HH"),"EQH","")))</f>
        <v/>
      </c>
      <c r="ER153" s="15" t="str">
        <f>IF(OR(EG153="EQL",EG153="EQH"),F153,"")</f>
        <v/>
      </c>
      <c r="ES153" s="15" t="str">
        <f>IF(OR(EH153="EQL",EH153="EQH"),G153,"")</f>
        <v/>
      </c>
      <c r="ET153" s="15" t="str">
        <f>IF(OR(EI153="EQL",EI153="EQH"),H153,"")</f>
        <v/>
      </c>
      <c r="EU153" s="15" t="str">
        <f>IF(OR(EJ153="EQL",EJ153="EQH"),I153,"")</f>
        <v/>
      </c>
      <c r="EV153" s="15" t="str">
        <f>IF(OR(EK153="EQL",EK153="EQH"),J153,"")</f>
        <v/>
      </c>
      <c r="EW153" s="15" t="str">
        <f>IF(OR(EL153="EQL",EL153="EQH"),K153,"")</f>
        <v/>
      </c>
      <c r="EX153" s="15" t="str">
        <f>IF(OR(EM153="EQL",EM153="EQH"),L153,"")</f>
        <v/>
      </c>
      <c r="EY153" s="15" t="str">
        <f>IF(OR(EN153="EQL",EN153="EQH"),M153,"")</f>
        <v/>
      </c>
      <c r="EZ153" s="15">
        <f>IF(OR(EO153="EQL",EO153="EQH"),N153,"")</f>
        <v>4607.7700000000004</v>
      </c>
      <c r="FA153" s="15" t="str">
        <f>IF(OR(EP153="EQL",EP153="EQH"),O153,"")</f>
        <v/>
      </c>
      <c r="FB153" s="15" t="str">
        <f>IF(OR(EQ153="EQL",EQ153="EQH"),P153,"")</f>
        <v/>
      </c>
      <c r="FC153" s="15" t="str">
        <f>IF(AND(EG153="EQL",OR(AQ153=4,AQ153=5)),"IEQL",IF(AND(EG153="EQH",OR(AQ153=1,AQ153=2)),"IEQH",""))</f>
        <v/>
      </c>
      <c r="FD153" s="15" t="str">
        <f>IF(AND(EH153="EQL",OR(AR153=4,AR153=5)),"IEQL",IF(AND(EH153="EQH",OR(AR153=1,AR153=2)),"IEQH",""))</f>
        <v/>
      </c>
      <c r="FE153" s="15" t="str">
        <f>IF(AND(EI153="EQL",OR(AS153=4,AS153=5)),"IEQL",IF(AND(EI153="EQH",OR(AS153=1,AS153=2)),"IEQH",""))</f>
        <v/>
      </c>
      <c r="FF153" s="15" t="str">
        <f>IF(AND(EJ153="EQL",OR(AT153=4,AT153=5)),"IEQL",IF(AND(EJ153="EQH",OR(AT153=1,AT153=2)),"IEQH",""))</f>
        <v/>
      </c>
      <c r="FG153" s="15" t="str">
        <f>IF(AND(EK153="EQL",OR(AU153=4,AU153=5)),"IEQL",IF(AND(EK153="EQH",OR(AU153=1,AU153=2)),"IEQH",""))</f>
        <v/>
      </c>
      <c r="FH153" s="15" t="str">
        <f>IF(AND(EL153="EQL",OR(AV153=4,AV153=5)),"IEQL",IF(AND(EL153="EQH",OR(AV153=1,AV153=2)),"IEQH",""))</f>
        <v/>
      </c>
      <c r="FI153" s="15" t="str">
        <f>IF(AND(EM153="EQL",OR(AW153=4,AW153=5)),"IEQL",IF(AND(EM153="EQH",OR(AW153=1,AW153=2)),"IEQH",""))</f>
        <v/>
      </c>
      <c r="FJ153" s="15" t="str">
        <f>IF(AND(EN153="EQL",OR(AX153=4,AX153=5)),"IEQL",IF(AND(EN153="EQH",OR(AX153=1,AX153=2)),"IEQH",""))</f>
        <v/>
      </c>
      <c r="FK153" s="15" t="str">
        <f>IF(AND(EO153="EQL",OR(AY153=4,AY153=5)),"IEQL",IF(AND(EO153="EQH",OR(AY153=1,AY153=2)),"IEQH",""))</f>
        <v/>
      </c>
      <c r="FL153" s="15" t="str">
        <f>IF(AND(EP153="EQL",OR(AZ153=4,AZ153=5)),"IEQL",IF(AND(EP153="EQH",OR(AZ153=1,AZ153=2)),"IEQH",""))</f>
        <v/>
      </c>
      <c r="FM153" s="15" t="str">
        <f>IF(AND(EQ153="EQL",OR(BA153=4,BA153=5)),"IEQL",IF(AND(EQ153="EQH",OR(BA153=1,BA153=2)),"IEQH",""))</f>
        <v/>
      </c>
      <c r="FN153" s="15" t="str">
        <f>IF(OR(AND(DJ153="LL",AP153=5),AND(DJ153="HH",AP153=2)),F153,"")</f>
        <v/>
      </c>
      <c r="FO153" s="15" t="str">
        <f>IF(FN153&lt;&gt;"",F152,"")</f>
        <v/>
      </c>
    </row>
    <row r="154" spans="1:171" s="15" customFormat="1" x14ac:dyDescent="0.55000000000000004">
      <c r="A154" s="15">
        <v>1777889706</v>
      </c>
      <c r="B154" s="15" t="s">
        <v>16</v>
      </c>
      <c r="C154" s="15" t="s">
        <v>17</v>
      </c>
      <c r="D154" s="15">
        <v>4545</v>
      </c>
      <c r="E154" s="15" t="s">
        <v>18</v>
      </c>
      <c r="F154" s="15">
        <v>4526.3999999999996</v>
      </c>
      <c r="G154" s="15">
        <f t="shared" si="440"/>
        <v>4592.93</v>
      </c>
      <c r="H154" s="15">
        <f t="shared" si="450"/>
        <v>4607.09</v>
      </c>
      <c r="I154" s="15">
        <f t="shared" si="460"/>
        <v>4560.4399999999996</v>
      </c>
      <c r="J154" s="15">
        <f t="shared" si="470"/>
        <v>4614.2700000000004</v>
      </c>
      <c r="K154" s="15">
        <f t="shared" si="480"/>
        <v>4605.5600000000004</v>
      </c>
      <c r="L154" s="15">
        <f t="shared" si="490"/>
        <v>4540.82</v>
      </c>
      <c r="M154" s="15">
        <f t="shared" si="500"/>
        <v>4518.41</v>
      </c>
      <c r="N154" s="15">
        <f t="shared" si="510"/>
        <v>4510.28</v>
      </c>
      <c r="O154" s="15">
        <f t="shared" si="520"/>
        <v>4575.84</v>
      </c>
      <c r="P154" s="15">
        <f t="shared" si="530"/>
        <v>4587.93</v>
      </c>
      <c r="Q154" s="15">
        <f t="shared" si="540"/>
        <v>4555.12</v>
      </c>
      <c r="R154" s="15">
        <v>-92.19</v>
      </c>
      <c r="S154" s="15">
        <f t="shared" si="441"/>
        <v>-39.18</v>
      </c>
      <c r="T154" s="15">
        <f t="shared" si="451"/>
        <v>-53.23</v>
      </c>
      <c r="U154" s="15">
        <f t="shared" si="461"/>
        <v>-75.39</v>
      </c>
      <c r="V154" s="15">
        <f t="shared" si="471"/>
        <v>-19.87</v>
      </c>
      <c r="W154" s="15">
        <f t="shared" si="481"/>
        <v>-41.54</v>
      </c>
      <c r="X154" s="15">
        <f t="shared" si="491"/>
        <v>-41.5</v>
      </c>
      <c r="Y154" s="15">
        <f t="shared" si="501"/>
        <v>-46.34</v>
      </c>
      <c r="Z154" s="15">
        <f t="shared" si="511"/>
        <v>-97.49</v>
      </c>
      <c r="AA154" s="15">
        <f t="shared" si="521"/>
        <v>-34.31</v>
      </c>
      <c r="AB154" s="15">
        <f t="shared" si="531"/>
        <v>-13.56</v>
      </c>
      <c r="AC154" s="15">
        <f t="shared" si="541"/>
        <v>-146.02000000000001</v>
      </c>
      <c r="AD154" s="15">
        <v>-2</v>
      </c>
      <c r="AE154" s="15">
        <f t="shared" si="442"/>
        <v>-0.85</v>
      </c>
      <c r="AF154" s="15">
        <f t="shared" si="452"/>
        <v>-1.1399999999999999</v>
      </c>
      <c r="AG154" s="15">
        <f t="shared" si="462"/>
        <v>-1.63</v>
      </c>
      <c r="AH154" s="15">
        <f t="shared" si="472"/>
        <v>-0.43</v>
      </c>
      <c r="AI154" s="15">
        <f t="shared" si="482"/>
        <v>-0.89</v>
      </c>
      <c r="AJ154" s="15">
        <f t="shared" si="492"/>
        <v>-0.91</v>
      </c>
      <c r="AK154" s="15">
        <f t="shared" si="502"/>
        <v>-1.02</v>
      </c>
      <c r="AL154" s="15">
        <f t="shared" si="512"/>
        <v>-2.12</v>
      </c>
      <c r="AM154" s="15">
        <f t="shared" si="522"/>
        <v>-0.74</v>
      </c>
      <c r="AN154" s="15">
        <f t="shared" si="532"/>
        <v>-0.28999999999999998</v>
      </c>
      <c r="AO154" s="15">
        <f t="shared" si="542"/>
        <v>-3.11</v>
      </c>
      <c r="AP154" s="15">
        <v>4</v>
      </c>
      <c r="AQ154" s="15">
        <f t="shared" si="443"/>
        <v>3</v>
      </c>
      <c r="AR154" s="15">
        <f t="shared" si="453"/>
        <v>3</v>
      </c>
      <c r="AS154" s="15">
        <f t="shared" si="463"/>
        <v>3</v>
      </c>
      <c r="AT154" s="15">
        <f t="shared" si="473"/>
        <v>3</v>
      </c>
      <c r="AU154" s="15">
        <f t="shared" si="483"/>
        <v>3</v>
      </c>
      <c r="AV154" s="15">
        <f t="shared" si="493"/>
        <v>3</v>
      </c>
      <c r="AW154" s="15">
        <f t="shared" si="503"/>
        <v>3</v>
      </c>
      <c r="AX154" s="15">
        <f t="shared" si="513"/>
        <v>4</v>
      </c>
      <c r="AY154" s="15">
        <f t="shared" si="523"/>
        <v>3</v>
      </c>
      <c r="AZ154" s="15">
        <f t="shared" si="533"/>
        <v>3</v>
      </c>
      <c r="BA154" s="15">
        <f t="shared" si="543"/>
        <v>5</v>
      </c>
      <c r="BB154" s="15">
        <v>33</v>
      </c>
      <c r="BC154" s="15">
        <f t="shared" si="444"/>
        <v>14</v>
      </c>
      <c r="BD154" s="15">
        <f t="shared" si="454"/>
        <v>23</v>
      </c>
      <c r="BE154" s="15">
        <f t="shared" si="464"/>
        <v>30</v>
      </c>
      <c r="BF154" s="15">
        <f t="shared" si="474"/>
        <v>7</v>
      </c>
      <c r="BG154" s="15">
        <f t="shared" si="484"/>
        <v>25</v>
      </c>
      <c r="BH154" s="15">
        <f t="shared" si="494"/>
        <v>11</v>
      </c>
      <c r="BI154" s="15">
        <f t="shared" si="504"/>
        <v>11</v>
      </c>
      <c r="BJ154" s="15">
        <f t="shared" si="514"/>
        <v>35</v>
      </c>
      <c r="BK154" s="15">
        <f t="shared" si="524"/>
        <v>4</v>
      </c>
      <c r="BL154" s="15">
        <f t="shared" si="534"/>
        <v>20</v>
      </c>
      <c r="BM154" s="15">
        <f t="shared" si="544"/>
        <v>48</v>
      </c>
      <c r="BN154" s="15">
        <v>3</v>
      </c>
      <c r="BO154" s="15">
        <f t="shared" si="445"/>
        <v>3</v>
      </c>
      <c r="BP154" s="15">
        <f t="shared" si="455"/>
        <v>3</v>
      </c>
      <c r="BQ154" s="15">
        <f t="shared" si="465"/>
        <v>3</v>
      </c>
      <c r="BR154" s="15">
        <f t="shared" si="475"/>
        <v>3</v>
      </c>
      <c r="BS154" s="15">
        <f t="shared" si="485"/>
        <v>3</v>
      </c>
      <c r="BT154" s="15">
        <f t="shared" si="495"/>
        <v>3</v>
      </c>
      <c r="BU154" s="15">
        <f t="shared" si="505"/>
        <v>3</v>
      </c>
      <c r="BV154" s="15">
        <f t="shared" si="515"/>
        <v>3</v>
      </c>
      <c r="BW154" s="15">
        <f t="shared" si="525"/>
        <v>3</v>
      </c>
      <c r="BX154" s="15">
        <f t="shared" si="535"/>
        <v>3</v>
      </c>
      <c r="BY154" s="15">
        <f t="shared" si="545"/>
        <v>5</v>
      </c>
      <c r="BZ154" s="15">
        <v>-2.7936399999999999</v>
      </c>
      <c r="CA154" s="15">
        <f t="shared" si="446"/>
        <v>-2.7985699999999998</v>
      </c>
      <c r="CB154" s="15">
        <f t="shared" si="456"/>
        <v>-2.3143500000000001</v>
      </c>
      <c r="CC154" s="15">
        <f t="shared" si="466"/>
        <v>-2.5129999999999999</v>
      </c>
      <c r="CD154" s="15">
        <f t="shared" si="476"/>
        <v>-2.8385699999999998</v>
      </c>
      <c r="CE154" s="15">
        <f t="shared" si="486"/>
        <v>-1.6616</v>
      </c>
      <c r="CF154" s="15">
        <f t="shared" si="496"/>
        <v>-3.7727300000000001</v>
      </c>
      <c r="CG154" s="15">
        <f t="shared" si="506"/>
        <v>-4.2127299999999996</v>
      </c>
      <c r="CH154" s="15">
        <f t="shared" si="516"/>
        <v>-2.7854299999999999</v>
      </c>
      <c r="CI154" s="15">
        <f t="shared" si="526"/>
        <v>-8.5775000000000006</v>
      </c>
      <c r="CJ154" s="15">
        <f t="shared" si="536"/>
        <v>-0.67800000000000005</v>
      </c>
      <c r="CK154" s="15">
        <f t="shared" si="546"/>
        <v>-3.0420799999999999</v>
      </c>
      <c r="CL154" s="15">
        <v>3</v>
      </c>
      <c r="CM154" s="15">
        <f t="shared" si="447"/>
        <v>3</v>
      </c>
      <c r="CN154" s="15">
        <f t="shared" si="457"/>
        <v>3</v>
      </c>
      <c r="CO154" s="15">
        <f t="shared" si="467"/>
        <v>3</v>
      </c>
      <c r="CP154" s="15">
        <f t="shared" si="477"/>
        <v>3</v>
      </c>
      <c r="CQ154" s="15">
        <f t="shared" si="487"/>
        <v>3</v>
      </c>
      <c r="CR154" s="15">
        <f t="shared" si="497"/>
        <v>3</v>
      </c>
      <c r="CS154" s="15">
        <f t="shared" si="507"/>
        <v>3</v>
      </c>
      <c r="CT154" s="15">
        <f t="shared" si="517"/>
        <v>3</v>
      </c>
      <c r="CU154" s="15">
        <f t="shared" si="527"/>
        <v>3</v>
      </c>
      <c r="CV154" s="15">
        <f t="shared" si="537"/>
        <v>3</v>
      </c>
      <c r="CW154" s="15">
        <f t="shared" si="547"/>
        <v>3</v>
      </c>
      <c r="CX154" s="15">
        <v>-70.3048</v>
      </c>
      <c r="CY154" s="15">
        <f t="shared" si="448"/>
        <v>-70.3369</v>
      </c>
      <c r="CZ154" s="15">
        <f t="shared" si="458"/>
        <v>-66.631399999999999</v>
      </c>
      <c r="DA154" s="15">
        <f t="shared" si="468"/>
        <v>-68.300899999999999</v>
      </c>
      <c r="DB154" s="15">
        <f t="shared" si="478"/>
        <v>-70.593199999999996</v>
      </c>
      <c r="DC154" s="15">
        <f t="shared" si="488"/>
        <v>-58.959200000000003</v>
      </c>
      <c r="DD154" s="15">
        <f t="shared" si="498"/>
        <v>-75.154499999999999</v>
      </c>
      <c r="DE154" s="15">
        <f t="shared" si="508"/>
        <v>-76.646500000000003</v>
      </c>
      <c r="DF154" s="15">
        <f t="shared" si="518"/>
        <v>-70.251300000000001</v>
      </c>
      <c r="DG154" s="15">
        <f t="shared" si="528"/>
        <v>-83.350200000000001</v>
      </c>
      <c r="DH154" s="15">
        <f t="shared" si="538"/>
        <v>-34.137300000000003</v>
      </c>
      <c r="DI154" s="15">
        <f t="shared" si="548"/>
        <v>-71.803200000000004</v>
      </c>
      <c r="DJ154" s="15" t="s">
        <v>19</v>
      </c>
      <c r="DK154" s="15" t="str">
        <f t="shared" si="449"/>
        <v>LL</v>
      </c>
      <c r="DL154" s="15" t="str">
        <f t="shared" si="459"/>
        <v>HL</v>
      </c>
      <c r="DM154" s="15" t="str">
        <f t="shared" si="469"/>
        <v>LL</v>
      </c>
      <c r="DN154" s="15" t="str">
        <f t="shared" si="479"/>
        <v>HL</v>
      </c>
      <c r="DO154" s="15" t="str">
        <f t="shared" si="489"/>
        <v>HL</v>
      </c>
      <c r="DP154" s="15" t="str">
        <f t="shared" si="499"/>
        <v>HL</v>
      </c>
      <c r="DQ154" s="15" t="str">
        <f t="shared" si="509"/>
        <v>HL</v>
      </c>
      <c r="DR154" s="15" t="str">
        <f t="shared" si="519"/>
        <v>LL</v>
      </c>
      <c r="DS154" s="15" t="str">
        <f t="shared" si="529"/>
        <v>LL</v>
      </c>
      <c r="DT154" s="15" t="str">
        <f t="shared" si="539"/>
        <v>HL</v>
      </c>
      <c r="DU154" s="15" t="str">
        <f t="shared" si="549"/>
        <v>LL</v>
      </c>
      <c r="DV154" s="15">
        <f>IFERROR((G154-$F154)/$F154*100,"")</f>
        <v>1.4698214916931924</v>
      </c>
      <c r="DW154" s="15">
        <f>IFERROR((H154-$F154)/$F154*100,"")</f>
        <v>1.7826528808766462</v>
      </c>
      <c r="DX154" s="15">
        <f>IFERROR((I154-$F154)/$F154*100,"")</f>
        <v>0.75203252032520251</v>
      </c>
      <c r="DY154" s="15">
        <f>IFERROR((J154-$F154)/$F154*100,"")</f>
        <v>1.9412778366914283</v>
      </c>
      <c r="DZ154" s="15">
        <f>IFERROR((K154-$F154)/$F154*100,"")</f>
        <v>1.7488511841640326</v>
      </c>
      <c r="EA154" s="15">
        <f>IFERROR((L154-$F154)/$F154*100,"")</f>
        <v>0.31857546836338091</v>
      </c>
      <c r="EB154" s="15">
        <f>IFERROR((M154-$F154)/$F154*100,"")</f>
        <v>-0.17651997172145154</v>
      </c>
      <c r="EC154" s="15">
        <f>IFERROR((N154-$F154)/$F154*100,"")</f>
        <v>-0.35613290915517615</v>
      </c>
      <c r="ED154" s="15">
        <f>IFERROR((O154-$F154)/$F154*100,"")</f>
        <v>1.0922587486744546</v>
      </c>
      <c r="EE154" s="15">
        <f>IFERROR((P154-$F154)/$F154*100,"")</f>
        <v>1.3593584305408417</v>
      </c>
      <c r="EF154" s="15">
        <f>IFERROR((Q154-$F154)/$F154*100,"")</f>
        <v>0.63449982325910781</v>
      </c>
      <c r="EG154" s="15" t="str">
        <f>IF(DV154="","",IF(AND(ABS(DV154)&lt;=0.25,$E154="Bottom",DK154="LL"),"EQL",IF(AND(ABS(DV154)&lt;=0.25,$E154="Peak",DK154="HH"),"EQH","")))</f>
        <v/>
      </c>
      <c r="EH154" s="15" t="str">
        <f>IF(DW154="","",IF(AND(ABS(DW154)&lt;=0.25,$E154="Bottom",DL154="LL"),"EQL",IF(AND(ABS(DW154)&lt;=0.25,$E154="Peak",DL154="HH"),"EQH","")))</f>
        <v/>
      </c>
      <c r="EI154" s="15" t="str">
        <f>IF(DX154="","",IF(AND(ABS(DX154)&lt;=0.25,$E154="Bottom",DM154="LL"),"EQL",IF(AND(ABS(DX154)&lt;=0.25,$E154="Peak",DM154="HH"),"EQH","")))</f>
        <v/>
      </c>
      <c r="EJ154" s="15" t="str">
        <f>IF(DY154="","",IF(AND(ABS(DY154)&lt;=0.25,$E154="Bottom",DN154="LL"),"EQL",IF(AND(ABS(DY154)&lt;=0.25,$E154="Peak",DN154="HH"),"EQH","")))</f>
        <v/>
      </c>
      <c r="EK154" s="15" t="str">
        <f>IF(DZ154="","",IF(AND(ABS(DZ154)&lt;=0.25,$E154="Bottom",DO154="LL"),"EQL",IF(AND(ABS(DZ154)&lt;=0.25,$E154="Peak",DO154="HH"),"EQH","")))</f>
        <v/>
      </c>
      <c r="EL154" s="15" t="str">
        <f>IF(EA154="","",IF(AND(ABS(EA154)&lt;=0.25,$E154="Bottom",DP154="LL"),"EQL",IF(AND(ABS(EA154)&lt;=0.25,$E154="Peak",DP154="HH"),"EQH","")))</f>
        <v/>
      </c>
      <c r="EM154" s="15" t="str">
        <f>IF(EB154="","",IF(AND(ABS(EB154)&lt;=0.25,$E154="Bottom",DQ154="LL"),"EQL",IF(AND(ABS(EB154)&lt;=0.25,$E154="Peak",DQ154="HH"),"EQH","")))</f>
        <v/>
      </c>
      <c r="EN154" s="15" t="str">
        <f>IF(EC154="","",IF(AND(ABS(EC154)&lt;=0.25,$E154="Bottom",DR154="LL"),"EQL",IF(AND(ABS(EC154)&lt;=0.25,$E154="Peak",DR154="HH"),"EQH","")))</f>
        <v/>
      </c>
      <c r="EO154" s="15" t="str">
        <f>IF(ED154="","",IF(AND(ABS(ED154)&lt;=0.25,$E154="Bottom",DS154="LL"),"EQL",IF(AND(ABS(ED154)&lt;=0.25,$E154="Peak",DS154="HH"),"EQH","")))</f>
        <v/>
      </c>
      <c r="EP154" s="15" t="str">
        <f>IF(EE154="","",IF(AND(ABS(EE154)&lt;=0.25,$E154="Bottom",DT154="LL"),"EQL",IF(AND(ABS(EE154)&lt;=0.25,$E154="Peak",DT154="HH"),"EQH","")))</f>
        <v/>
      </c>
      <c r="EQ154" s="15" t="str">
        <f>IF(EF154="","",IF(AND(ABS(EF154)&lt;=0.25,$E154="Bottom",DU154="LL"),"EQL",IF(AND(ABS(EF154)&lt;=0.25,$E154="Peak",DU154="HH"),"EQH","")))</f>
        <v/>
      </c>
      <c r="ER154" s="15" t="str">
        <f>IF(OR(EG154="EQL",EG154="EQH"),F154,"")</f>
        <v/>
      </c>
      <c r="ES154" s="15" t="str">
        <f>IF(OR(EH154="EQL",EH154="EQH"),G154,"")</f>
        <v/>
      </c>
      <c r="ET154" s="15" t="str">
        <f>IF(OR(EI154="EQL",EI154="EQH"),H154,"")</f>
        <v/>
      </c>
      <c r="EU154" s="15" t="str">
        <f>IF(OR(EJ154="EQL",EJ154="EQH"),I154,"")</f>
        <v/>
      </c>
      <c r="EV154" s="15" t="str">
        <f>IF(OR(EK154="EQL",EK154="EQH"),J154,"")</f>
        <v/>
      </c>
      <c r="EW154" s="15" t="str">
        <f>IF(OR(EL154="EQL",EL154="EQH"),K154,"")</f>
        <v/>
      </c>
      <c r="EX154" s="15" t="str">
        <f>IF(OR(EM154="EQL",EM154="EQH"),L154,"")</f>
        <v/>
      </c>
      <c r="EY154" s="15" t="str">
        <f>IF(OR(EN154="EQL",EN154="EQH"),M154,"")</f>
        <v/>
      </c>
      <c r="EZ154" s="15" t="str">
        <f>IF(OR(EO154="EQL",EO154="EQH"),N154,"")</f>
        <v/>
      </c>
      <c r="FA154" s="15" t="str">
        <f>IF(OR(EP154="EQL",EP154="EQH"),O154,"")</f>
        <v/>
      </c>
      <c r="FB154" s="15" t="str">
        <f>IF(OR(EQ154="EQL",EQ154="EQH"),P154,"")</f>
        <v/>
      </c>
      <c r="FC154" s="15" t="str">
        <f>IF(AND(EG154="EQL",OR(AQ154=4,AQ154=5)),"IEQL",IF(AND(EG154="EQH",OR(AQ154=1,AQ154=2)),"IEQH",""))</f>
        <v/>
      </c>
      <c r="FD154" s="15" t="str">
        <f>IF(AND(EH154="EQL",OR(AR154=4,AR154=5)),"IEQL",IF(AND(EH154="EQH",OR(AR154=1,AR154=2)),"IEQH",""))</f>
        <v/>
      </c>
      <c r="FE154" s="15" t="str">
        <f>IF(AND(EI154="EQL",OR(AS154=4,AS154=5)),"IEQL",IF(AND(EI154="EQH",OR(AS154=1,AS154=2)),"IEQH",""))</f>
        <v/>
      </c>
      <c r="FF154" s="15" t="str">
        <f>IF(AND(EJ154="EQL",OR(AT154=4,AT154=5)),"IEQL",IF(AND(EJ154="EQH",OR(AT154=1,AT154=2)),"IEQH",""))</f>
        <v/>
      </c>
      <c r="FG154" s="15" t="str">
        <f>IF(AND(EK154="EQL",OR(AU154=4,AU154=5)),"IEQL",IF(AND(EK154="EQH",OR(AU154=1,AU154=2)),"IEQH",""))</f>
        <v/>
      </c>
      <c r="FH154" s="15" t="str">
        <f>IF(AND(EL154="EQL",OR(AV154=4,AV154=5)),"IEQL",IF(AND(EL154="EQH",OR(AV154=1,AV154=2)),"IEQH",""))</f>
        <v/>
      </c>
      <c r="FI154" s="15" t="str">
        <f>IF(AND(EM154="EQL",OR(AW154=4,AW154=5)),"IEQL",IF(AND(EM154="EQH",OR(AW154=1,AW154=2)),"IEQH",""))</f>
        <v/>
      </c>
      <c r="FJ154" s="15" t="str">
        <f>IF(AND(EN154="EQL",OR(AX154=4,AX154=5)),"IEQL",IF(AND(EN154="EQH",OR(AX154=1,AX154=2)),"IEQH",""))</f>
        <v/>
      </c>
      <c r="FK154" s="15" t="str">
        <f>IF(AND(EO154="EQL",OR(AY154=4,AY154=5)),"IEQL",IF(AND(EO154="EQH",OR(AY154=1,AY154=2)),"IEQH",""))</f>
        <v/>
      </c>
      <c r="FL154" s="15" t="str">
        <f>IF(AND(EP154="EQL",OR(AZ154=4,AZ154=5)),"IEQL",IF(AND(EP154="EQH",OR(AZ154=1,AZ154=2)),"IEQH",""))</f>
        <v/>
      </c>
      <c r="FM154" s="15" t="str">
        <f>IF(AND(EQ154="EQL",OR(BA154=4,BA154=5)),"IEQL",IF(AND(EQ154="EQH",OR(BA154=1,BA154=2)),"IEQH",""))</f>
        <v/>
      </c>
      <c r="FN154" s="15" t="str">
        <f>IF(OR(AND(DJ154="LL",AP154=5),AND(DJ154="HH",AP154=2)),F154,"")</f>
        <v/>
      </c>
      <c r="FO154" s="15" t="str">
        <f>IF(FN154&lt;&gt;"",F153,"")</f>
        <v/>
      </c>
    </row>
    <row r="155" spans="1:171" s="15" customFormat="1" x14ac:dyDescent="0.55000000000000004">
      <c r="A155" s="15">
        <v>1777905006</v>
      </c>
      <c r="B155" s="15" t="s">
        <v>16</v>
      </c>
      <c r="C155" s="15" t="s">
        <v>17</v>
      </c>
      <c r="D155" s="15">
        <v>4574.38</v>
      </c>
      <c r="E155" s="15" t="s">
        <v>20</v>
      </c>
      <c r="F155" s="15">
        <v>4583.16</v>
      </c>
      <c r="G155" s="15">
        <f t="shared" si="440"/>
        <v>4618.59</v>
      </c>
      <c r="H155" s="15">
        <f t="shared" si="450"/>
        <v>4632.1099999999997</v>
      </c>
      <c r="I155" s="15">
        <f t="shared" si="460"/>
        <v>4660.32</v>
      </c>
      <c r="J155" s="15">
        <f t="shared" si="470"/>
        <v>4635.83</v>
      </c>
      <c r="K155" s="15">
        <f t="shared" si="480"/>
        <v>4634.1400000000003</v>
      </c>
      <c r="L155" s="15">
        <f t="shared" si="490"/>
        <v>4647.1000000000004</v>
      </c>
      <c r="M155" s="15">
        <f t="shared" si="500"/>
        <v>4582.32</v>
      </c>
      <c r="N155" s="15">
        <f t="shared" si="510"/>
        <v>4564.75</v>
      </c>
      <c r="O155" s="15">
        <f t="shared" si="520"/>
        <v>4607.7700000000004</v>
      </c>
      <c r="P155" s="15">
        <f t="shared" si="530"/>
        <v>4610.1499999999996</v>
      </c>
      <c r="Q155" s="15">
        <f t="shared" si="540"/>
        <v>4601.49</v>
      </c>
      <c r="R155" s="15">
        <v>56.76</v>
      </c>
      <c r="S155" s="15">
        <f t="shared" si="441"/>
        <v>25.66</v>
      </c>
      <c r="T155" s="15">
        <f t="shared" si="451"/>
        <v>25.02</v>
      </c>
      <c r="U155" s="15">
        <f t="shared" si="461"/>
        <v>99.88</v>
      </c>
      <c r="V155" s="15">
        <f t="shared" si="471"/>
        <v>21.56</v>
      </c>
      <c r="W155" s="15">
        <f t="shared" si="481"/>
        <v>28.58</v>
      </c>
      <c r="X155" s="15">
        <f t="shared" si="491"/>
        <v>106.28</v>
      </c>
      <c r="Y155" s="15">
        <f t="shared" si="501"/>
        <v>63.91</v>
      </c>
      <c r="Z155" s="15">
        <f t="shared" si="511"/>
        <v>54.47</v>
      </c>
      <c r="AA155" s="15">
        <f t="shared" si="521"/>
        <v>31.93</v>
      </c>
      <c r="AB155" s="15">
        <f t="shared" si="531"/>
        <v>22.22</v>
      </c>
      <c r="AC155" s="15">
        <f t="shared" si="541"/>
        <v>46.37</v>
      </c>
      <c r="AD155" s="15">
        <v>1.25</v>
      </c>
      <c r="AE155" s="15">
        <f t="shared" si="442"/>
        <v>0.56000000000000005</v>
      </c>
      <c r="AF155" s="15">
        <f t="shared" si="452"/>
        <v>0.54</v>
      </c>
      <c r="AG155" s="15">
        <f t="shared" si="462"/>
        <v>2.19</v>
      </c>
      <c r="AH155" s="15">
        <f t="shared" si="472"/>
        <v>0.47</v>
      </c>
      <c r="AI155" s="15">
        <f t="shared" si="482"/>
        <v>0.62</v>
      </c>
      <c r="AJ155" s="15">
        <f t="shared" si="492"/>
        <v>2.34</v>
      </c>
      <c r="AK155" s="15">
        <f t="shared" si="502"/>
        <v>1.41</v>
      </c>
      <c r="AL155" s="15">
        <f t="shared" si="512"/>
        <v>1.21</v>
      </c>
      <c r="AM155" s="15">
        <f t="shared" si="522"/>
        <v>0.7</v>
      </c>
      <c r="AN155" s="15">
        <f t="shared" si="532"/>
        <v>0.48</v>
      </c>
      <c r="AO155" s="15">
        <f t="shared" si="542"/>
        <v>1.02</v>
      </c>
      <c r="AP155" s="15">
        <v>0</v>
      </c>
      <c r="AQ155" s="15">
        <f t="shared" si="443"/>
        <v>0</v>
      </c>
      <c r="AR155" s="15">
        <f t="shared" si="453"/>
        <v>0</v>
      </c>
      <c r="AS155" s="15">
        <f t="shared" si="463"/>
        <v>1</v>
      </c>
      <c r="AT155" s="15">
        <f t="shared" si="473"/>
        <v>0</v>
      </c>
      <c r="AU155" s="15">
        <f t="shared" si="483"/>
        <v>0</v>
      </c>
      <c r="AV155" s="15">
        <f t="shared" si="493"/>
        <v>1</v>
      </c>
      <c r="AW155" s="15">
        <f t="shared" si="503"/>
        <v>0</v>
      </c>
      <c r="AX155" s="15">
        <f t="shared" si="513"/>
        <v>0</v>
      </c>
      <c r="AY155" s="15">
        <f t="shared" si="523"/>
        <v>0</v>
      </c>
      <c r="AZ155" s="15">
        <f t="shared" si="533"/>
        <v>0</v>
      </c>
      <c r="BA155" s="15">
        <f t="shared" si="543"/>
        <v>0</v>
      </c>
      <c r="BB155" s="15">
        <v>17</v>
      </c>
      <c r="BC155" s="15">
        <f t="shared" si="444"/>
        <v>2</v>
      </c>
      <c r="BD155" s="15">
        <f t="shared" si="454"/>
        <v>4</v>
      </c>
      <c r="BE155" s="15">
        <f t="shared" si="464"/>
        <v>18</v>
      </c>
      <c r="BF155" s="15">
        <f t="shared" si="474"/>
        <v>4</v>
      </c>
      <c r="BG155" s="15">
        <f t="shared" si="484"/>
        <v>23</v>
      </c>
      <c r="BH155" s="15">
        <f t="shared" si="494"/>
        <v>24</v>
      </c>
      <c r="BI155" s="15">
        <f t="shared" si="504"/>
        <v>24</v>
      </c>
      <c r="BJ155" s="15">
        <f t="shared" si="514"/>
        <v>9</v>
      </c>
      <c r="BK155" s="15">
        <f t="shared" si="524"/>
        <v>16</v>
      </c>
      <c r="BL155" s="15">
        <f t="shared" si="534"/>
        <v>2</v>
      </c>
      <c r="BM155" s="15">
        <f t="shared" si="544"/>
        <v>22</v>
      </c>
      <c r="BN155" s="15">
        <v>0</v>
      </c>
      <c r="BO155" s="15">
        <f t="shared" si="445"/>
        <v>0</v>
      </c>
      <c r="BP155" s="15">
        <f t="shared" si="455"/>
        <v>0</v>
      </c>
      <c r="BQ155" s="15">
        <f t="shared" si="465"/>
        <v>0</v>
      </c>
      <c r="BR155" s="15">
        <f t="shared" si="475"/>
        <v>0</v>
      </c>
      <c r="BS155" s="15">
        <f t="shared" si="485"/>
        <v>0</v>
      </c>
      <c r="BT155" s="15">
        <f t="shared" si="495"/>
        <v>0</v>
      </c>
      <c r="BU155" s="15">
        <f t="shared" si="505"/>
        <v>0</v>
      </c>
      <c r="BV155" s="15">
        <f t="shared" si="515"/>
        <v>0</v>
      </c>
      <c r="BW155" s="15">
        <f t="shared" si="525"/>
        <v>0</v>
      </c>
      <c r="BX155" s="15">
        <f t="shared" si="535"/>
        <v>0</v>
      </c>
      <c r="BY155" s="15">
        <f t="shared" si="545"/>
        <v>0</v>
      </c>
      <c r="BZ155" s="15">
        <v>3.3388200000000001</v>
      </c>
      <c r="CA155" s="15">
        <f t="shared" si="446"/>
        <v>12.83</v>
      </c>
      <c r="CB155" s="15">
        <f t="shared" si="456"/>
        <v>6.2549999999999999</v>
      </c>
      <c r="CC155" s="15">
        <f t="shared" si="466"/>
        <v>5.5488900000000001</v>
      </c>
      <c r="CD155" s="15">
        <f t="shared" si="476"/>
        <v>5.39</v>
      </c>
      <c r="CE155" s="15">
        <f t="shared" si="486"/>
        <v>1.24261</v>
      </c>
      <c r="CF155" s="15">
        <f t="shared" si="496"/>
        <v>4.4283299999999999</v>
      </c>
      <c r="CG155" s="15">
        <f t="shared" si="506"/>
        <v>2.6629200000000002</v>
      </c>
      <c r="CH155" s="15">
        <f t="shared" si="516"/>
        <v>6.0522200000000002</v>
      </c>
      <c r="CI155" s="15">
        <f t="shared" si="526"/>
        <v>1.99563</v>
      </c>
      <c r="CJ155" s="15">
        <f t="shared" si="536"/>
        <v>11.11</v>
      </c>
      <c r="CK155" s="15">
        <f t="shared" si="546"/>
        <v>2.1077300000000001</v>
      </c>
      <c r="CL155" s="15">
        <v>0</v>
      </c>
      <c r="CM155" s="15">
        <f t="shared" si="447"/>
        <v>0</v>
      </c>
      <c r="CN155" s="15">
        <f t="shared" si="457"/>
        <v>0</v>
      </c>
      <c r="CO155" s="15">
        <f t="shared" si="467"/>
        <v>0</v>
      </c>
      <c r="CP155" s="15">
        <f t="shared" si="477"/>
        <v>0</v>
      </c>
      <c r="CQ155" s="15">
        <f t="shared" si="487"/>
        <v>0</v>
      </c>
      <c r="CR155" s="15">
        <f t="shared" si="497"/>
        <v>0</v>
      </c>
      <c r="CS155" s="15">
        <f t="shared" si="507"/>
        <v>0</v>
      </c>
      <c r="CT155" s="15">
        <f t="shared" si="517"/>
        <v>0</v>
      </c>
      <c r="CU155" s="15">
        <f t="shared" si="527"/>
        <v>0</v>
      </c>
      <c r="CV155" s="15">
        <f t="shared" si="537"/>
        <v>0</v>
      </c>
      <c r="CW155" s="15">
        <f t="shared" si="547"/>
        <v>0</v>
      </c>
      <c r="CX155" s="15">
        <v>73.326700000000002</v>
      </c>
      <c r="CY155" s="15">
        <f t="shared" si="448"/>
        <v>85.543199999999999</v>
      </c>
      <c r="CZ155" s="15">
        <f t="shared" si="458"/>
        <v>80.916899999999998</v>
      </c>
      <c r="DA155" s="15">
        <f t="shared" si="468"/>
        <v>79.784000000000006</v>
      </c>
      <c r="DB155" s="15">
        <f t="shared" si="478"/>
        <v>79.489500000000007</v>
      </c>
      <c r="DC155" s="15">
        <f t="shared" si="488"/>
        <v>51.174300000000002</v>
      </c>
      <c r="DD155" s="15">
        <f t="shared" si="498"/>
        <v>77.275000000000006</v>
      </c>
      <c r="DE155" s="15">
        <f t="shared" si="508"/>
        <v>69.417400000000001</v>
      </c>
      <c r="DF155" s="15">
        <f t="shared" si="518"/>
        <v>80.617900000000006</v>
      </c>
      <c r="DG155" s="15">
        <f t="shared" si="528"/>
        <v>63.384700000000002</v>
      </c>
      <c r="DH155" s="15">
        <f t="shared" si="538"/>
        <v>84.856700000000004</v>
      </c>
      <c r="DI155" s="15">
        <f t="shared" si="548"/>
        <v>64.618200000000002</v>
      </c>
      <c r="DJ155" s="15" t="s">
        <v>21</v>
      </c>
      <c r="DK155" s="15" t="str">
        <f t="shared" si="449"/>
        <v>LH</v>
      </c>
      <c r="DL155" s="15" t="str">
        <f t="shared" si="459"/>
        <v>LH</v>
      </c>
      <c r="DM155" s="15" t="str">
        <f t="shared" si="469"/>
        <v>HH</v>
      </c>
      <c r="DN155" s="15" t="str">
        <f t="shared" si="479"/>
        <v>HH</v>
      </c>
      <c r="DO155" s="15" t="str">
        <f t="shared" si="489"/>
        <v>LH</v>
      </c>
      <c r="DP155" s="15" t="str">
        <f t="shared" si="499"/>
        <v>HH</v>
      </c>
      <c r="DQ155" s="15" t="str">
        <f t="shared" si="509"/>
        <v>HH</v>
      </c>
      <c r="DR155" s="15" t="str">
        <f t="shared" si="519"/>
        <v>LH</v>
      </c>
      <c r="DS155" s="15" t="str">
        <f t="shared" si="529"/>
        <v>LH</v>
      </c>
      <c r="DT155" s="15" t="str">
        <f t="shared" si="539"/>
        <v>HH</v>
      </c>
      <c r="DU155" s="15" t="str">
        <f t="shared" si="549"/>
        <v>LH</v>
      </c>
      <c r="DV155" s="15">
        <f>IFERROR((G155-$F155)/$F155*100,"")</f>
        <v>0.77304741706596092</v>
      </c>
      <c r="DW155" s="15">
        <f>IFERROR((H155-$F155)/$F155*100,"")</f>
        <v>1.0680403913457051</v>
      </c>
      <c r="DX155" s="15">
        <f>IFERROR((I155-$F155)/$F155*100,"")</f>
        <v>1.68355457806404</v>
      </c>
      <c r="DY155" s="15">
        <f>IFERROR((J155-$F155)/$F155*100,"")</f>
        <v>1.14920709728659</v>
      </c>
      <c r="DZ155" s="15">
        <f>IFERROR((K155-$F155)/$F155*100,"")</f>
        <v>1.1123329755016294</v>
      </c>
      <c r="EA155" s="15">
        <f>IFERROR((L155-$F155)/$F155*100,"")</f>
        <v>1.3951073058763062</v>
      </c>
      <c r="EB155" s="15">
        <f>IFERROR((M155-$F155)/$F155*100,"")</f>
        <v>-1.8327965857621063E-2</v>
      </c>
      <c r="EC155" s="15">
        <f>IFERROR((N155-$F155)/$F155*100,"")</f>
        <v>-0.4016879183794555</v>
      </c>
      <c r="ED155" s="15">
        <f>IFERROR((O155-$F155)/$F155*100,"")</f>
        <v>0.53696576161427012</v>
      </c>
      <c r="EE155" s="15">
        <f>IFERROR((P155-$F155)/$F155*100,"")</f>
        <v>0.58889499821083668</v>
      </c>
      <c r="EF155" s="15">
        <f>IFERROR((Q155-$F155)/$F155*100,"")</f>
        <v>0.3999423978215888</v>
      </c>
      <c r="EG155" s="15" t="str">
        <f>IF(DV155="","",IF(AND(ABS(DV155)&lt;=0.25,$E155="Bottom",DK155="LL"),"EQL",IF(AND(ABS(DV155)&lt;=0.25,$E155="Peak",DK155="HH"),"EQH","")))</f>
        <v/>
      </c>
      <c r="EH155" s="15" t="str">
        <f>IF(DW155="","",IF(AND(ABS(DW155)&lt;=0.25,$E155="Bottom",DL155="LL"),"EQL",IF(AND(ABS(DW155)&lt;=0.25,$E155="Peak",DL155="HH"),"EQH","")))</f>
        <v/>
      </c>
      <c r="EI155" s="15" t="str">
        <f>IF(DX155="","",IF(AND(ABS(DX155)&lt;=0.25,$E155="Bottom",DM155="LL"),"EQL",IF(AND(ABS(DX155)&lt;=0.25,$E155="Peak",DM155="HH"),"EQH","")))</f>
        <v/>
      </c>
      <c r="EJ155" s="15" t="str">
        <f>IF(DY155="","",IF(AND(ABS(DY155)&lt;=0.25,$E155="Bottom",DN155="LL"),"EQL",IF(AND(ABS(DY155)&lt;=0.25,$E155="Peak",DN155="HH"),"EQH","")))</f>
        <v/>
      </c>
      <c r="EK155" s="15" t="str">
        <f>IF(DZ155="","",IF(AND(ABS(DZ155)&lt;=0.25,$E155="Bottom",DO155="LL"),"EQL",IF(AND(ABS(DZ155)&lt;=0.25,$E155="Peak",DO155="HH"),"EQH","")))</f>
        <v/>
      </c>
      <c r="EL155" s="15" t="str">
        <f>IF(EA155="","",IF(AND(ABS(EA155)&lt;=0.25,$E155="Bottom",DP155="LL"),"EQL",IF(AND(ABS(EA155)&lt;=0.25,$E155="Peak",DP155="HH"),"EQH","")))</f>
        <v/>
      </c>
      <c r="EM155" s="15" t="str">
        <f>IF(EB155="","",IF(AND(ABS(EB155)&lt;=0.25,$E155="Bottom",DQ155="LL"),"EQL",IF(AND(ABS(EB155)&lt;=0.25,$E155="Peak",DQ155="HH"),"EQH","")))</f>
        <v>EQH</v>
      </c>
      <c r="EN155" s="15" t="str">
        <f>IF(EC155="","",IF(AND(ABS(EC155)&lt;=0.25,$E155="Bottom",DR155="LL"),"EQL",IF(AND(ABS(EC155)&lt;=0.25,$E155="Peak",DR155="HH"),"EQH","")))</f>
        <v/>
      </c>
      <c r="EO155" s="15" t="str">
        <f>IF(ED155="","",IF(AND(ABS(ED155)&lt;=0.25,$E155="Bottom",DS155="LL"),"EQL",IF(AND(ABS(ED155)&lt;=0.25,$E155="Peak",DS155="HH"),"EQH","")))</f>
        <v/>
      </c>
      <c r="EP155" s="15" t="str">
        <f>IF(EE155="","",IF(AND(ABS(EE155)&lt;=0.25,$E155="Bottom",DT155="LL"),"EQL",IF(AND(ABS(EE155)&lt;=0.25,$E155="Peak",DT155="HH"),"EQH","")))</f>
        <v/>
      </c>
      <c r="EQ155" s="15" t="str">
        <f>IF(EF155="","",IF(AND(ABS(EF155)&lt;=0.25,$E155="Bottom",DU155="LL"),"EQL",IF(AND(ABS(EF155)&lt;=0.25,$E155="Peak",DU155="HH"),"EQH","")))</f>
        <v/>
      </c>
      <c r="ER155" s="15" t="str">
        <f>IF(OR(EG155="EQL",EG155="EQH"),F155,"")</f>
        <v/>
      </c>
      <c r="ES155" s="15" t="str">
        <f>IF(OR(EH155="EQL",EH155="EQH"),G155,"")</f>
        <v/>
      </c>
      <c r="ET155" s="15" t="str">
        <f>IF(OR(EI155="EQL",EI155="EQH"),H155,"")</f>
        <v/>
      </c>
      <c r="EU155" s="15" t="str">
        <f>IF(OR(EJ155="EQL",EJ155="EQH"),I155,"")</f>
        <v/>
      </c>
      <c r="EV155" s="15" t="str">
        <f>IF(OR(EK155="EQL",EK155="EQH"),J155,"")</f>
        <v/>
      </c>
      <c r="EW155" s="15" t="str">
        <f>IF(OR(EL155="EQL",EL155="EQH"),K155,"")</f>
        <v/>
      </c>
      <c r="EX155" s="15">
        <f>IF(OR(EM155="EQL",EM155="EQH"),L155,"")</f>
        <v>4647.1000000000004</v>
      </c>
      <c r="EY155" s="15" t="str">
        <f>IF(OR(EN155="EQL",EN155="EQH"),M155,"")</f>
        <v/>
      </c>
      <c r="EZ155" s="15" t="str">
        <f>IF(OR(EO155="EQL",EO155="EQH"),N155,"")</f>
        <v/>
      </c>
      <c r="FA155" s="15" t="str">
        <f>IF(OR(EP155="EQL",EP155="EQH"),O155,"")</f>
        <v/>
      </c>
      <c r="FB155" s="15" t="str">
        <f>IF(OR(EQ155="EQL",EQ155="EQH"),P155,"")</f>
        <v/>
      </c>
      <c r="FC155" s="15" t="str">
        <f>IF(AND(EG155="EQL",OR(AQ155=4,AQ155=5)),"IEQL",IF(AND(EG155="EQH",OR(AQ155=1,AQ155=2)),"IEQH",""))</f>
        <v/>
      </c>
      <c r="FD155" s="15" t="str">
        <f>IF(AND(EH155="EQL",OR(AR155=4,AR155=5)),"IEQL",IF(AND(EH155="EQH",OR(AR155=1,AR155=2)),"IEQH",""))</f>
        <v/>
      </c>
      <c r="FE155" s="15" t="str">
        <f>IF(AND(EI155="EQL",OR(AS155=4,AS155=5)),"IEQL",IF(AND(EI155="EQH",OR(AS155=1,AS155=2)),"IEQH",""))</f>
        <v/>
      </c>
      <c r="FF155" s="15" t="str">
        <f>IF(AND(EJ155="EQL",OR(AT155=4,AT155=5)),"IEQL",IF(AND(EJ155="EQH",OR(AT155=1,AT155=2)),"IEQH",""))</f>
        <v/>
      </c>
      <c r="FG155" s="15" t="str">
        <f>IF(AND(EK155="EQL",OR(AU155=4,AU155=5)),"IEQL",IF(AND(EK155="EQH",OR(AU155=1,AU155=2)),"IEQH",""))</f>
        <v/>
      </c>
      <c r="FH155" s="15" t="str">
        <f>IF(AND(EL155="EQL",OR(AV155=4,AV155=5)),"IEQL",IF(AND(EL155="EQH",OR(AV155=1,AV155=2)),"IEQH",""))</f>
        <v/>
      </c>
      <c r="FI155" s="15" t="str">
        <f>IF(AND(EM155="EQL",OR(AW155=4,AW155=5)),"IEQL",IF(AND(EM155="EQH",OR(AW155=1,AW155=2)),"IEQH",""))</f>
        <v/>
      </c>
      <c r="FJ155" s="15" t="str">
        <f>IF(AND(EN155="EQL",OR(AX155=4,AX155=5)),"IEQL",IF(AND(EN155="EQH",OR(AX155=1,AX155=2)),"IEQH",""))</f>
        <v/>
      </c>
      <c r="FK155" s="15" t="str">
        <f>IF(AND(EO155="EQL",OR(AY155=4,AY155=5)),"IEQL",IF(AND(EO155="EQH",OR(AY155=1,AY155=2)),"IEQH",""))</f>
        <v/>
      </c>
      <c r="FL155" s="15" t="str">
        <f>IF(AND(EP155="EQL",OR(AZ155=4,AZ155=5)),"IEQL",IF(AND(EP155="EQH",OR(AZ155=1,AZ155=2)),"IEQH",""))</f>
        <v/>
      </c>
      <c r="FM155" s="15" t="str">
        <f>IF(AND(EQ155="EQL",OR(BA155=4,BA155=5)),"IEQL",IF(AND(EQ155="EQH",OR(BA155=1,BA155=2)),"IEQH",""))</f>
        <v/>
      </c>
      <c r="FN155" s="15" t="str">
        <f>IF(OR(AND(DJ155="LL",AP155=5),AND(DJ155="HH",AP155=2)),F155,"")</f>
        <v/>
      </c>
      <c r="FO155" s="15" t="str">
        <f>IF(FN155&lt;&gt;"",F154,"")</f>
        <v/>
      </c>
    </row>
    <row r="156" spans="1:171" s="15" customFormat="1" x14ac:dyDescent="0.55000000000000004">
      <c r="A156" s="15">
        <v>1777910406</v>
      </c>
      <c r="B156" s="15" t="s">
        <v>16</v>
      </c>
      <c r="C156" s="15" t="s">
        <v>17</v>
      </c>
      <c r="D156" s="15">
        <v>4509.88</v>
      </c>
      <c r="E156" s="15" t="s">
        <v>18</v>
      </c>
      <c r="F156" s="15">
        <v>4500.8599999999997</v>
      </c>
      <c r="G156" s="15">
        <f t="shared" si="440"/>
        <v>4526.3999999999996</v>
      </c>
      <c r="H156" s="15">
        <f t="shared" si="450"/>
        <v>4592.93</v>
      </c>
      <c r="I156" s="15">
        <f t="shared" si="460"/>
        <v>4607.09</v>
      </c>
      <c r="J156" s="15">
        <f t="shared" si="470"/>
        <v>4560.4399999999996</v>
      </c>
      <c r="K156" s="15">
        <f t="shared" si="480"/>
        <v>4614.2700000000004</v>
      </c>
      <c r="L156" s="15">
        <f t="shared" si="490"/>
        <v>4605.5600000000004</v>
      </c>
      <c r="M156" s="15">
        <f t="shared" si="500"/>
        <v>4540.82</v>
      </c>
      <c r="N156" s="15">
        <f t="shared" si="510"/>
        <v>4518.41</v>
      </c>
      <c r="O156" s="15">
        <f t="shared" si="520"/>
        <v>4510.28</v>
      </c>
      <c r="P156" s="15">
        <f t="shared" si="530"/>
        <v>4575.84</v>
      </c>
      <c r="Q156" s="15">
        <f t="shared" si="540"/>
        <v>4587.93</v>
      </c>
      <c r="R156" s="15">
        <v>-82.3</v>
      </c>
      <c r="S156" s="15">
        <f t="shared" si="441"/>
        <v>-92.19</v>
      </c>
      <c r="T156" s="15">
        <f t="shared" si="451"/>
        <v>-39.18</v>
      </c>
      <c r="U156" s="15">
        <f t="shared" si="461"/>
        <v>-53.23</v>
      </c>
      <c r="V156" s="15">
        <f t="shared" si="471"/>
        <v>-75.39</v>
      </c>
      <c r="W156" s="15">
        <f t="shared" si="481"/>
        <v>-19.87</v>
      </c>
      <c r="X156" s="15">
        <f t="shared" si="491"/>
        <v>-41.54</v>
      </c>
      <c r="Y156" s="15">
        <f t="shared" si="501"/>
        <v>-41.5</v>
      </c>
      <c r="Z156" s="15">
        <f t="shared" si="511"/>
        <v>-46.34</v>
      </c>
      <c r="AA156" s="15">
        <f t="shared" si="521"/>
        <v>-97.49</v>
      </c>
      <c r="AB156" s="15">
        <f t="shared" si="531"/>
        <v>-34.31</v>
      </c>
      <c r="AC156" s="15">
        <f t="shared" si="541"/>
        <v>-13.56</v>
      </c>
      <c r="AD156" s="15">
        <v>-1.8</v>
      </c>
      <c r="AE156" s="15">
        <f t="shared" si="442"/>
        <v>-2</v>
      </c>
      <c r="AF156" s="15">
        <f t="shared" si="452"/>
        <v>-0.85</v>
      </c>
      <c r="AG156" s="15">
        <f t="shared" si="462"/>
        <v>-1.1399999999999999</v>
      </c>
      <c r="AH156" s="15">
        <f t="shared" si="472"/>
        <v>-1.63</v>
      </c>
      <c r="AI156" s="15">
        <f t="shared" si="482"/>
        <v>-0.43</v>
      </c>
      <c r="AJ156" s="15">
        <f t="shared" si="492"/>
        <v>-0.89</v>
      </c>
      <c r="AK156" s="15">
        <f t="shared" si="502"/>
        <v>-0.91</v>
      </c>
      <c r="AL156" s="15">
        <f t="shared" si="512"/>
        <v>-1.02</v>
      </c>
      <c r="AM156" s="15">
        <f t="shared" si="522"/>
        <v>-2.12</v>
      </c>
      <c r="AN156" s="15">
        <f t="shared" si="532"/>
        <v>-0.74</v>
      </c>
      <c r="AO156" s="15">
        <f t="shared" si="542"/>
        <v>-0.28999999999999998</v>
      </c>
      <c r="AP156" s="15">
        <v>3</v>
      </c>
      <c r="AQ156" s="15">
        <f t="shared" si="443"/>
        <v>4</v>
      </c>
      <c r="AR156" s="15">
        <f t="shared" si="453"/>
        <v>3</v>
      </c>
      <c r="AS156" s="15">
        <f t="shared" si="463"/>
        <v>3</v>
      </c>
      <c r="AT156" s="15">
        <f t="shared" si="473"/>
        <v>3</v>
      </c>
      <c r="AU156" s="15">
        <f t="shared" si="483"/>
        <v>3</v>
      </c>
      <c r="AV156" s="15">
        <f t="shared" si="493"/>
        <v>3</v>
      </c>
      <c r="AW156" s="15">
        <f t="shared" si="503"/>
        <v>3</v>
      </c>
      <c r="AX156" s="15">
        <f t="shared" si="513"/>
        <v>3</v>
      </c>
      <c r="AY156" s="15">
        <f t="shared" si="523"/>
        <v>4</v>
      </c>
      <c r="AZ156" s="15">
        <f t="shared" si="533"/>
        <v>3</v>
      </c>
      <c r="BA156" s="15">
        <f t="shared" si="543"/>
        <v>3</v>
      </c>
      <c r="BB156" s="15">
        <v>6</v>
      </c>
      <c r="BC156" s="15">
        <f t="shared" si="444"/>
        <v>33</v>
      </c>
      <c r="BD156" s="15">
        <f t="shared" si="454"/>
        <v>14</v>
      </c>
      <c r="BE156" s="15">
        <f t="shared" si="464"/>
        <v>23</v>
      </c>
      <c r="BF156" s="15">
        <f t="shared" si="474"/>
        <v>30</v>
      </c>
      <c r="BG156" s="15">
        <f t="shared" si="484"/>
        <v>7</v>
      </c>
      <c r="BH156" s="15">
        <f t="shared" si="494"/>
        <v>25</v>
      </c>
      <c r="BI156" s="15">
        <f t="shared" si="504"/>
        <v>11</v>
      </c>
      <c r="BJ156" s="15">
        <f t="shared" si="514"/>
        <v>11</v>
      </c>
      <c r="BK156" s="15">
        <f t="shared" si="524"/>
        <v>35</v>
      </c>
      <c r="BL156" s="15">
        <f t="shared" si="534"/>
        <v>4</v>
      </c>
      <c r="BM156" s="15">
        <f t="shared" si="544"/>
        <v>20</v>
      </c>
      <c r="BN156" s="15">
        <v>3</v>
      </c>
      <c r="BO156" s="15">
        <f t="shared" si="445"/>
        <v>3</v>
      </c>
      <c r="BP156" s="15">
        <f t="shared" si="455"/>
        <v>3</v>
      </c>
      <c r="BQ156" s="15">
        <f t="shared" si="465"/>
        <v>3</v>
      </c>
      <c r="BR156" s="15">
        <f t="shared" si="475"/>
        <v>3</v>
      </c>
      <c r="BS156" s="15">
        <f t="shared" si="485"/>
        <v>3</v>
      </c>
      <c r="BT156" s="15">
        <f t="shared" si="495"/>
        <v>3</v>
      </c>
      <c r="BU156" s="15">
        <f t="shared" si="505"/>
        <v>3</v>
      </c>
      <c r="BV156" s="15">
        <f t="shared" si="515"/>
        <v>3</v>
      </c>
      <c r="BW156" s="15">
        <f t="shared" si="525"/>
        <v>3</v>
      </c>
      <c r="BX156" s="15">
        <f t="shared" si="535"/>
        <v>3</v>
      </c>
      <c r="BY156" s="15">
        <f t="shared" si="545"/>
        <v>3</v>
      </c>
      <c r="BZ156" s="15">
        <v>-13.716670000000001</v>
      </c>
      <c r="CA156" s="15">
        <f t="shared" si="446"/>
        <v>-2.7936399999999999</v>
      </c>
      <c r="CB156" s="15">
        <f t="shared" si="456"/>
        <v>-2.7985699999999998</v>
      </c>
      <c r="CC156" s="15">
        <f t="shared" si="466"/>
        <v>-2.3143500000000001</v>
      </c>
      <c r="CD156" s="15">
        <f t="shared" si="476"/>
        <v>-2.5129999999999999</v>
      </c>
      <c r="CE156" s="15">
        <f t="shared" si="486"/>
        <v>-2.8385699999999998</v>
      </c>
      <c r="CF156" s="15">
        <f t="shared" si="496"/>
        <v>-1.6616</v>
      </c>
      <c r="CG156" s="15">
        <f t="shared" si="506"/>
        <v>-3.7727300000000001</v>
      </c>
      <c r="CH156" s="15">
        <f t="shared" si="516"/>
        <v>-4.2127299999999996</v>
      </c>
      <c r="CI156" s="15">
        <f t="shared" si="526"/>
        <v>-2.7854299999999999</v>
      </c>
      <c r="CJ156" s="15">
        <f t="shared" si="536"/>
        <v>-8.5775000000000006</v>
      </c>
      <c r="CK156" s="15">
        <f t="shared" si="546"/>
        <v>-0.67800000000000005</v>
      </c>
      <c r="CL156" s="15">
        <v>5</v>
      </c>
      <c r="CM156" s="15">
        <f t="shared" si="447"/>
        <v>3</v>
      </c>
      <c r="CN156" s="15">
        <f t="shared" si="457"/>
        <v>3</v>
      </c>
      <c r="CO156" s="15">
        <f t="shared" si="467"/>
        <v>3</v>
      </c>
      <c r="CP156" s="15">
        <f t="shared" si="477"/>
        <v>3</v>
      </c>
      <c r="CQ156" s="15">
        <f t="shared" si="487"/>
        <v>3</v>
      </c>
      <c r="CR156" s="15">
        <f t="shared" si="497"/>
        <v>3</v>
      </c>
      <c r="CS156" s="15">
        <f t="shared" si="507"/>
        <v>3</v>
      </c>
      <c r="CT156" s="15">
        <f t="shared" si="517"/>
        <v>3</v>
      </c>
      <c r="CU156" s="15">
        <f t="shared" si="527"/>
        <v>3</v>
      </c>
      <c r="CV156" s="15">
        <f t="shared" si="537"/>
        <v>3</v>
      </c>
      <c r="CW156" s="15">
        <f t="shared" si="547"/>
        <v>3</v>
      </c>
      <c r="CX156" s="15">
        <v>-85.830299999999994</v>
      </c>
      <c r="CY156" s="15">
        <f t="shared" si="448"/>
        <v>-70.3048</v>
      </c>
      <c r="CZ156" s="15">
        <f t="shared" si="458"/>
        <v>-70.3369</v>
      </c>
      <c r="DA156" s="15">
        <f t="shared" si="468"/>
        <v>-66.631399999999999</v>
      </c>
      <c r="DB156" s="15">
        <f t="shared" si="478"/>
        <v>-68.300899999999999</v>
      </c>
      <c r="DC156" s="15">
        <f t="shared" si="488"/>
        <v>-70.593199999999996</v>
      </c>
      <c r="DD156" s="15">
        <f t="shared" si="498"/>
        <v>-58.959200000000003</v>
      </c>
      <c r="DE156" s="15">
        <f t="shared" si="508"/>
        <v>-75.154499999999999</v>
      </c>
      <c r="DF156" s="15">
        <f t="shared" si="518"/>
        <v>-76.646500000000003</v>
      </c>
      <c r="DG156" s="15">
        <f t="shared" si="528"/>
        <v>-70.251300000000001</v>
      </c>
      <c r="DH156" s="15">
        <f t="shared" si="538"/>
        <v>-83.350200000000001</v>
      </c>
      <c r="DI156" s="15">
        <f t="shared" si="548"/>
        <v>-34.137300000000003</v>
      </c>
      <c r="DJ156" s="15" t="s">
        <v>19</v>
      </c>
      <c r="DK156" s="15" t="str">
        <f t="shared" si="449"/>
        <v>LL</v>
      </c>
      <c r="DL156" s="15" t="str">
        <f t="shared" si="459"/>
        <v>LL</v>
      </c>
      <c r="DM156" s="15" t="str">
        <f t="shared" si="469"/>
        <v>HL</v>
      </c>
      <c r="DN156" s="15" t="str">
        <f t="shared" si="479"/>
        <v>LL</v>
      </c>
      <c r="DO156" s="15" t="str">
        <f t="shared" si="489"/>
        <v>HL</v>
      </c>
      <c r="DP156" s="15" t="str">
        <f t="shared" si="499"/>
        <v>HL</v>
      </c>
      <c r="DQ156" s="15" t="str">
        <f t="shared" si="509"/>
        <v>HL</v>
      </c>
      <c r="DR156" s="15" t="str">
        <f t="shared" si="519"/>
        <v>HL</v>
      </c>
      <c r="DS156" s="15" t="str">
        <f t="shared" si="529"/>
        <v>LL</v>
      </c>
      <c r="DT156" s="15" t="str">
        <f t="shared" si="539"/>
        <v>LL</v>
      </c>
      <c r="DU156" s="15" t="str">
        <f t="shared" si="549"/>
        <v>HL</v>
      </c>
      <c r="DV156" s="15">
        <f>IFERROR((G156-$F156)/$F156*100,"")</f>
        <v>0.56744711010784532</v>
      </c>
      <c r="DW156" s="15">
        <f>IFERROR((H156-$F156)/$F156*100,"")</f>
        <v>2.0456090613793947</v>
      </c>
      <c r="DX156" s="15">
        <f>IFERROR((I156-$F156)/$F156*100,"")</f>
        <v>2.3602156032402801</v>
      </c>
      <c r="DY156" s="15">
        <f>IFERROR((J156-$F156)/$F156*100,"")</f>
        <v>1.3237470172367043</v>
      </c>
      <c r="DZ156" s="15">
        <f>IFERROR((K156-$F156)/$F156*100,"")</f>
        <v>2.5197406717827433</v>
      </c>
      <c r="EA156" s="15">
        <f>IFERROR((L156-$F156)/$F156*100,"")</f>
        <v>2.3262220997765035</v>
      </c>
      <c r="EB156" s="15">
        <f>IFERROR((M156-$F156)/$F156*100,"")</f>
        <v>0.88783032575996679</v>
      </c>
      <c r="EC156" s="15">
        <f>IFERROR((N156-$F156)/$F156*100,"")</f>
        <v>0.3899254809080972</v>
      </c>
      <c r="ED156" s="15">
        <f>IFERROR((O156-$F156)/$F156*100,"")</f>
        <v>0.20929333505152514</v>
      </c>
      <c r="EE156" s="15">
        <f>IFERROR((P156-$F156)/$F156*100,"")</f>
        <v>1.6659038494865532</v>
      </c>
      <c r="EF156" s="15">
        <f>IFERROR((Q156-$F156)/$F156*100,"")</f>
        <v>1.9345191807787983</v>
      </c>
      <c r="EG156" s="15" t="str">
        <f>IF(DV156="","",IF(AND(ABS(DV156)&lt;=0.25,$E156="Bottom",DK156="LL"),"EQL",IF(AND(ABS(DV156)&lt;=0.25,$E156="Peak",DK156="HH"),"EQH","")))</f>
        <v/>
      </c>
      <c r="EH156" s="15" t="str">
        <f>IF(DW156="","",IF(AND(ABS(DW156)&lt;=0.25,$E156="Bottom",DL156="LL"),"EQL",IF(AND(ABS(DW156)&lt;=0.25,$E156="Peak",DL156="HH"),"EQH","")))</f>
        <v/>
      </c>
      <c r="EI156" s="15" t="str">
        <f>IF(DX156="","",IF(AND(ABS(DX156)&lt;=0.25,$E156="Bottom",DM156="LL"),"EQL",IF(AND(ABS(DX156)&lt;=0.25,$E156="Peak",DM156="HH"),"EQH","")))</f>
        <v/>
      </c>
      <c r="EJ156" s="15" t="str">
        <f>IF(DY156="","",IF(AND(ABS(DY156)&lt;=0.25,$E156="Bottom",DN156="LL"),"EQL",IF(AND(ABS(DY156)&lt;=0.25,$E156="Peak",DN156="HH"),"EQH","")))</f>
        <v/>
      </c>
      <c r="EK156" s="15" t="str">
        <f>IF(DZ156="","",IF(AND(ABS(DZ156)&lt;=0.25,$E156="Bottom",DO156="LL"),"EQL",IF(AND(ABS(DZ156)&lt;=0.25,$E156="Peak",DO156="HH"),"EQH","")))</f>
        <v/>
      </c>
      <c r="EL156" s="15" t="str">
        <f>IF(EA156="","",IF(AND(ABS(EA156)&lt;=0.25,$E156="Bottom",DP156="LL"),"EQL",IF(AND(ABS(EA156)&lt;=0.25,$E156="Peak",DP156="HH"),"EQH","")))</f>
        <v/>
      </c>
      <c r="EM156" s="15" t="str">
        <f>IF(EB156="","",IF(AND(ABS(EB156)&lt;=0.25,$E156="Bottom",DQ156="LL"),"EQL",IF(AND(ABS(EB156)&lt;=0.25,$E156="Peak",DQ156="HH"),"EQH","")))</f>
        <v/>
      </c>
      <c r="EN156" s="15" t="str">
        <f>IF(EC156="","",IF(AND(ABS(EC156)&lt;=0.25,$E156="Bottom",DR156="LL"),"EQL",IF(AND(ABS(EC156)&lt;=0.25,$E156="Peak",DR156="HH"),"EQH","")))</f>
        <v/>
      </c>
      <c r="EO156" s="15" t="str">
        <f>IF(ED156="","",IF(AND(ABS(ED156)&lt;=0.25,$E156="Bottom",DS156="LL"),"EQL",IF(AND(ABS(ED156)&lt;=0.25,$E156="Peak",DS156="HH"),"EQH","")))</f>
        <v>EQL</v>
      </c>
      <c r="EP156" s="15" t="str">
        <f>IF(EE156="","",IF(AND(ABS(EE156)&lt;=0.25,$E156="Bottom",DT156="LL"),"EQL",IF(AND(ABS(EE156)&lt;=0.25,$E156="Peak",DT156="HH"),"EQH","")))</f>
        <v/>
      </c>
      <c r="EQ156" s="15" t="str">
        <f>IF(EF156="","",IF(AND(ABS(EF156)&lt;=0.25,$E156="Bottom",DU156="LL"),"EQL",IF(AND(ABS(EF156)&lt;=0.25,$E156="Peak",DU156="HH"),"EQH","")))</f>
        <v/>
      </c>
      <c r="ER156" s="15" t="str">
        <f>IF(OR(EG156="EQL",EG156="EQH"),F156,"")</f>
        <v/>
      </c>
      <c r="ES156" s="15" t="str">
        <f>IF(OR(EH156="EQL",EH156="EQH"),G156,"")</f>
        <v/>
      </c>
      <c r="ET156" s="15" t="str">
        <f>IF(OR(EI156="EQL",EI156="EQH"),H156,"")</f>
        <v/>
      </c>
      <c r="EU156" s="15" t="str">
        <f>IF(OR(EJ156="EQL",EJ156="EQH"),I156,"")</f>
        <v/>
      </c>
      <c r="EV156" s="15" t="str">
        <f>IF(OR(EK156="EQL",EK156="EQH"),J156,"")</f>
        <v/>
      </c>
      <c r="EW156" s="15" t="str">
        <f>IF(OR(EL156="EQL",EL156="EQH"),K156,"")</f>
        <v/>
      </c>
      <c r="EX156" s="15" t="str">
        <f>IF(OR(EM156="EQL",EM156="EQH"),L156,"")</f>
        <v/>
      </c>
      <c r="EY156" s="15" t="str">
        <f>IF(OR(EN156="EQL",EN156="EQH"),M156,"")</f>
        <v/>
      </c>
      <c r="EZ156" s="15">
        <f>IF(OR(EO156="EQL",EO156="EQH"),N156,"")</f>
        <v>4518.41</v>
      </c>
      <c r="FA156" s="15" t="str">
        <f>IF(OR(EP156="EQL",EP156="EQH"),O156,"")</f>
        <v/>
      </c>
      <c r="FB156" s="15" t="str">
        <f>IF(OR(EQ156="EQL",EQ156="EQH"),P156,"")</f>
        <v/>
      </c>
      <c r="FC156" s="15" t="str">
        <f>IF(AND(EG156="EQL",OR(AQ156=4,AQ156=5)),"IEQL",IF(AND(EG156="EQH",OR(AQ156=1,AQ156=2)),"IEQH",""))</f>
        <v/>
      </c>
      <c r="FD156" s="15" t="str">
        <f>IF(AND(EH156="EQL",OR(AR156=4,AR156=5)),"IEQL",IF(AND(EH156="EQH",OR(AR156=1,AR156=2)),"IEQH",""))</f>
        <v/>
      </c>
      <c r="FE156" s="15" t="str">
        <f>IF(AND(EI156="EQL",OR(AS156=4,AS156=5)),"IEQL",IF(AND(EI156="EQH",OR(AS156=1,AS156=2)),"IEQH",""))</f>
        <v/>
      </c>
      <c r="FF156" s="15" t="str">
        <f>IF(AND(EJ156="EQL",OR(AT156=4,AT156=5)),"IEQL",IF(AND(EJ156="EQH",OR(AT156=1,AT156=2)),"IEQH",""))</f>
        <v/>
      </c>
      <c r="FG156" s="15" t="str">
        <f>IF(AND(EK156="EQL",OR(AU156=4,AU156=5)),"IEQL",IF(AND(EK156="EQH",OR(AU156=1,AU156=2)),"IEQH",""))</f>
        <v/>
      </c>
      <c r="FH156" s="15" t="str">
        <f>IF(AND(EL156="EQL",OR(AV156=4,AV156=5)),"IEQL",IF(AND(EL156="EQH",OR(AV156=1,AV156=2)),"IEQH",""))</f>
        <v/>
      </c>
      <c r="FI156" s="15" t="str">
        <f>IF(AND(EM156="EQL",OR(AW156=4,AW156=5)),"IEQL",IF(AND(EM156="EQH",OR(AW156=1,AW156=2)),"IEQH",""))</f>
        <v/>
      </c>
      <c r="FJ156" s="15" t="str">
        <f>IF(AND(EN156="EQL",OR(AX156=4,AX156=5)),"IEQL",IF(AND(EN156="EQH",OR(AX156=1,AX156=2)),"IEQH",""))</f>
        <v/>
      </c>
      <c r="FK156" s="15" t="str">
        <f>IF(AND(EO156="EQL",OR(AY156=4,AY156=5)),"IEQL",IF(AND(EO156="EQH",OR(AY156=1,AY156=2)),"IEQH",""))</f>
        <v>IEQL</v>
      </c>
      <c r="FL156" s="15" t="str">
        <f>IF(AND(EP156="EQL",OR(AZ156=4,AZ156=5)),"IEQL",IF(AND(EP156="EQH",OR(AZ156=1,AZ156=2)),"IEQH",""))</f>
        <v/>
      </c>
      <c r="FM156" s="15" t="str">
        <f>IF(AND(EQ156="EQL",OR(BA156=4,BA156=5)),"IEQL",IF(AND(EQ156="EQH",OR(BA156=1,BA156=2)),"IEQH",""))</f>
        <v/>
      </c>
      <c r="FN156" s="15" t="str">
        <f>IF(OR(AND(DJ156="LL",AP156=5),AND(DJ156="HH",AP156=2)),F156,"")</f>
        <v/>
      </c>
      <c r="FO156" s="15" t="str">
        <f>IF(FN156&lt;&gt;"",F155,"")</f>
        <v/>
      </c>
    </row>
    <row r="157" spans="1:171" s="15" customFormat="1" x14ac:dyDescent="0.55000000000000004">
      <c r="A157" s="15">
        <v>1777939206</v>
      </c>
      <c r="B157" s="15" t="s">
        <v>16</v>
      </c>
      <c r="C157" s="15" t="s">
        <v>17</v>
      </c>
      <c r="D157" s="15">
        <v>4527.7700000000004</v>
      </c>
      <c r="E157" s="15" t="s">
        <v>20</v>
      </c>
      <c r="F157" s="15">
        <v>4528.57</v>
      </c>
      <c r="G157" s="15">
        <f t="shared" si="440"/>
        <v>4583.16</v>
      </c>
      <c r="H157" s="15">
        <f t="shared" si="450"/>
        <v>4618.59</v>
      </c>
      <c r="I157" s="15">
        <f t="shared" si="460"/>
        <v>4632.1099999999997</v>
      </c>
      <c r="J157" s="15">
        <f t="shared" si="470"/>
        <v>4660.32</v>
      </c>
      <c r="K157" s="15">
        <f t="shared" si="480"/>
        <v>4635.83</v>
      </c>
      <c r="L157" s="15">
        <f t="shared" si="490"/>
        <v>4634.1400000000003</v>
      </c>
      <c r="M157" s="15">
        <f t="shared" si="500"/>
        <v>4647.1000000000004</v>
      </c>
      <c r="N157" s="15">
        <f t="shared" si="510"/>
        <v>4582.32</v>
      </c>
      <c r="O157" s="15">
        <f t="shared" si="520"/>
        <v>4564.75</v>
      </c>
      <c r="P157" s="15">
        <f t="shared" si="530"/>
        <v>4607.7700000000004</v>
      </c>
      <c r="Q157" s="15">
        <f t="shared" si="540"/>
        <v>4610.1499999999996</v>
      </c>
      <c r="R157" s="15">
        <v>27.71</v>
      </c>
      <c r="S157" s="15">
        <f t="shared" si="441"/>
        <v>56.76</v>
      </c>
      <c r="T157" s="15">
        <f t="shared" si="451"/>
        <v>25.66</v>
      </c>
      <c r="U157" s="15">
        <f t="shared" si="461"/>
        <v>25.02</v>
      </c>
      <c r="V157" s="15">
        <f t="shared" si="471"/>
        <v>99.88</v>
      </c>
      <c r="W157" s="15">
        <f t="shared" si="481"/>
        <v>21.56</v>
      </c>
      <c r="X157" s="15">
        <f t="shared" si="491"/>
        <v>28.58</v>
      </c>
      <c r="Y157" s="15">
        <f t="shared" si="501"/>
        <v>106.28</v>
      </c>
      <c r="Z157" s="15">
        <f t="shared" si="511"/>
        <v>63.91</v>
      </c>
      <c r="AA157" s="15">
        <f t="shared" si="521"/>
        <v>54.47</v>
      </c>
      <c r="AB157" s="15">
        <f t="shared" si="531"/>
        <v>31.93</v>
      </c>
      <c r="AC157" s="15">
        <f t="shared" si="541"/>
        <v>22.22</v>
      </c>
      <c r="AD157" s="15">
        <v>0.62</v>
      </c>
      <c r="AE157" s="15">
        <f t="shared" si="442"/>
        <v>1.25</v>
      </c>
      <c r="AF157" s="15">
        <f t="shared" si="452"/>
        <v>0.56000000000000005</v>
      </c>
      <c r="AG157" s="15">
        <f t="shared" si="462"/>
        <v>0.54</v>
      </c>
      <c r="AH157" s="15">
        <f t="shared" si="472"/>
        <v>2.19</v>
      </c>
      <c r="AI157" s="15">
        <f t="shared" si="482"/>
        <v>0.47</v>
      </c>
      <c r="AJ157" s="15">
        <f t="shared" si="492"/>
        <v>0.62</v>
      </c>
      <c r="AK157" s="15">
        <f t="shared" si="502"/>
        <v>2.34</v>
      </c>
      <c r="AL157" s="15">
        <f t="shared" si="512"/>
        <v>1.41</v>
      </c>
      <c r="AM157" s="15">
        <f t="shared" si="522"/>
        <v>1.21</v>
      </c>
      <c r="AN157" s="15">
        <f t="shared" si="532"/>
        <v>0.7</v>
      </c>
      <c r="AO157" s="15">
        <f t="shared" si="542"/>
        <v>0.48</v>
      </c>
      <c r="AP157" s="15">
        <v>0</v>
      </c>
      <c r="AQ157" s="15">
        <f t="shared" si="443"/>
        <v>0</v>
      </c>
      <c r="AR157" s="15">
        <f t="shared" si="453"/>
        <v>0</v>
      </c>
      <c r="AS157" s="15">
        <f t="shared" si="463"/>
        <v>0</v>
      </c>
      <c r="AT157" s="15">
        <f t="shared" si="473"/>
        <v>1</v>
      </c>
      <c r="AU157" s="15">
        <f t="shared" si="483"/>
        <v>0</v>
      </c>
      <c r="AV157" s="15">
        <f t="shared" si="493"/>
        <v>0</v>
      </c>
      <c r="AW157" s="15">
        <f t="shared" si="503"/>
        <v>1</v>
      </c>
      <c r="AX157" s="15">
        <f t="shared" si="513"/>
        <v>0</v>
      </c>
      <c r="AY157" s="15">
        <f t="shared" si="523"/>
        <v>0</v>
      </c>
      <c r="AZ157" s="15">
        <f t="shared" si="533"/>
        <v>0</v>
      </c>
      <c r="BA157" s="15">
        <f t="shared" si="543"/>
        <v>0</v>
      </c>
      <c r="BB157" s="15">
        <v>28</v>
      </c>
      <c r="BC157" s="15">
        <f t="shared" si="444"/>
        <v>17</v>
      </c>
      <c r="BD157" s="15">
        <f t="shared" si="454"/>
        <v>2</v>
      </c>
      <c r="BE157" s="15">
        <f t="shared" si="464"/>
        <v>4</v>
      </c>
      <c r="BF157" s="15">
        <f t="shared" si="474"/>
        <v>18</v>
      </c>
      <c r="BG157" s="15">
        <f t="shared" si="484"/>
        <v>4</v>
      </c>
      <c r="BH157" s="15">
        <f t="shared" si="494"/>
        <v>23</v>
      </c>
      <c r="BI157" s="15">
        <f t="shared" si="504"/>
        <v>24</v>
      </c>
      <c r="BJ157" s="15">
        <f t="shared" si="514"/>
        <v>24</v>
      </c>
      <c r="BK157" s="15">
        <f t="shared" si="524"/>
        <v>9</v>
      </c>
      <c r="BL157" s="15">
        <f t="shared" si="534"/>
        <v>16</v>
      </c>
      <c r="BM157" s="15">
        <f t="shared" si="544"/>
        <v>2</v>
      </c>
      <c r="BN157" s="15">
        <v>0</v>
      </c>
      <c r="BO157" s="15">
        <f t="shared" si="445"/>
        <v>0</v>
      </c>
      <c r="BP157" s="15">
        <f t="shared" si="455"/>
        <v>0</v>
      </c>
      <c r="BQ157" s="15">
        <f t="shared" si="465"/>
        <v>0</v>
      </c>
      <c r="BR157" s="15">
        <f t="shared" si="475"/>
        <v>0</v>
      </c>
      <c r="BS157" s="15">
        <f t="shared" si="485"/>
        <v>0</v>
      </c>
      <c r="BT157" s="15">
        <f t="shared" si="495"/>
        <v>0</v>
      </c>
      <c r="BU157" s="15">
        <f t="shared" si="505"/>
        <v>0</v>
      </c>
      <c r="BV157" s="15">
        <f t="shared" si="515"/>
        <v>0</v>
      </c>
      <c r="BW157" s="15">
        <f t="shared" si="525"/>
        <v>0</v>
      </c>
      <c r="BX157" s="15">
        <f t="shared" si="535"/>
        <v>0</v>
      </c>
      <c r="BY157" s="15">
        <f t="shared" si="545"/>
        <v>0</v>
      </c>
      <c r="BZ157" s="15">
        <v>0.98963999999999996</v>
      </c>
      <c r="CA157" s="15">
        <f t="shared" si="446"/>
        <v>3.3388200000000001</v>
      </c>
      <c r="CB157" s="15">
        <f t="shared" si="456"/>
        <v>12.83</v>
      </c>
      <c r="CC157" s="15">
        <f t="shared" si="466"/>
        <v>6.2549999999999999</v>
      </c>
      <c r="CD157" s="15">
        <f t="shared" si="476"/>
        <v>5.5488900000000001</v>
      </c>
      <c r="CE157" s="15">
        <f t="shared" si="486"/>
        <v>5.39</v>
      </c>
      <c r="CF157" s="15">
        <f t="shared" si="496"/>
        <v>1.24261</v>
      </c>
      <c r="CG157" s="15">
        <f t="shared" si="506"/>
        <v>4.4283299999999999</v>
      </c>
      <c r="CH157" s="15">
        <f t="shared" si="516"/>
        <v>2.6629200000000002</v>
      </c>
      <c r="CI157" s="15">
        <f t="shared" si="526"/>
        <v>6.0522200000000002</v>
      </c>
      <c r="CJ157" s="15">
        <f t="shared" si="536"/>
        <v>1.99563</v>
      </c>
      <c r="CK157" s="15">
        <f t="shared" si="546"/>
        <v>11.11</v>
      </c>
      <c r="CL157" s="15">
        <v>0</v>
      </c>
      <c r="CM157" s="15">
        <f t="shared" si="447"/>
        <v>0</v>
      </c>
      <c r="CN157" s="15">
        <f t="shared" si="457"/>
        <v>0</v>
      </c>
      <c r="CO157" s="15">
        <f t="shared" si="467"/>
        <v>0</v>
      </c>
      <c r="CP157" s="15">
        <f t="shared" si="477"/>
        <v>0</v>
      </c>
      <c r="CQ157" s="15">
        <f t="shared" si="487"/>
        <v>0</v>
      </c>
      <c r="CR157" s="15">
        <f t="shared" si="497"/>
        <v>0</v>
      </c>
      <c r="CS157" s="15">
        <f t="shared" si="507"/>
        <v>0</v>
      </c>
      <c r="CT157" s="15">
        <f t="shared" si="517"/>
        <v>0</v>
      </c>
      <c r="CU157" s="15">
        <f t="shared" si="527"/>
        <v>0</v>
      </c>
      <c r="CV157" s="15">
        <f t="shared" si="537"/>
        <v>0</v>
      </c>
      <c r="CW157" s="15">
        <f t="shared" si="547"/>
        <v>0</v>
      </c>
      <c r="CX157" s="15">
        <v>44.701700000000002</v>
      </c>
      <c r="CY157" s="15">
        <f t="shared" si="448"/>
        <v>73.326700000000002</v>
      </c>
      <c r="CZ157" s="15">
        <f t="shared" si="458"/>
        <v>85.543199999999999</v>
      </c>
      <c r="DA157" s="15">
        <f t="shared" si="468"/>
        <v>80.916899999999998</v>
      </c>
      <c r="DB157" s="15">
        <f t="shared" si="478"/>
        <v>79.784000000000006</v>
      </c>
      <c r="DC157" s="15">
        <f t="shared" si="488"/>
        <v>79.489500000000007</v>
      </c>
      <c r="DD157" s="15">
        <f t="shared" si="498"/>
        <v>51.174300000000002</v>
      </c>
      <c r="DE157" s="15">
        <f t="shared" si="508"/>
        <v>77.275000000000006</v>
      </c>
      <c r="DF157" s="15">
        <f t="shared" si="518"/>
        <v>69.417400000000001</v>
      </c>
      <c r="DG157" s="15">
        <f t="shared" si="528"/>
        <v>80.617900000000006</v>
      </c>
      <c r="DH157" s="15">
        <f t="shared" si="538"/>
        <v>63.384700000000002</v>
      </c>
      <c r="DI157" s="15">
        <f t="shared" si="548"/>
        <v>84.856700000000004</v>
      </c>
      <c r="DJ157" s="15" t="s">
        <v>21</v>
      </c>
      <c r="DK157" s="15" t="str">
        <f t="shared" si="449"/>
        <v>LH</v>
      </c>
      <c r="DL157" s="15" t="str">
        <f t="shared" si="459"/>
        <v>LH</v>
      </c>
      <c r="DM157" s="15" t="str">
        <f t="shared" si="469"/>
        <v>LH</v>
      </c>
      <c r="DN157" s="15" t="str">
        <f t="shared" si="479"/>
        <v>HH</v>
      </c>
      <c r="DO157" s="15" t="str">
        <f t="shared" si="489"/>
        <v>HH</v>
      </c>
      <c r="DP157" s="15" t="str">
        <f t="shared" si="499"/>
        <v>LH</v>
      </c>
      <c r="DQ157" s="15" t="str">
        <f t="shared" si="509"/>
        <v>HH</v>
      </c>
      <c r="DR157" s="15" t="str">
        <f t="shared" si="519"/>
        <v>HH</v>
      </c>
      <c r="DS157" s="15" t="str">
        <f t="shared" si="529"/>
        <v>LH</v>
      </c>
      <c r="DT157" s="15" t="str">
        <f t="shared" si="539"/>
        <v>LH</v>
      </c>
      <c r="DU157" s="15" t="str">
        <f t="shared" si="549"/>
        <v>HH</v>
      </c>
      <c r="DV157" s="15">
        <f>IFERROR((G157-$F157)/$F157*100,"")</f>
        <v>1.2054577935198119</v>
      </c>
      <c r="DW157" s="15">
        <f>IFERROR((H157-$F157)/$F157*100,"")</f>
        <v>1.9878239709223982</v>
      </c>
      <c r="DX157" s="15">
        <f>IFERROR((I157-$F157)/$F157*100,"")</f>
        <v>2.2863729610009336</v>
      </c>
      <c r="DY157" s="15">
        <f>IFERROR((J157-$F157)/$F157*100,"")</f>
        <v>2.9093069114532843</v>
      </c>
      <c r="DZ157" s="15">
        <f>IFERROR((K157-$F157)/$F157*100,"")</f>
        <v>2.3685180973243258</v>
      </c>
      <c r="EA157" s="15">
        <f>IFERROR((L157-$F157)/$F157*100,"")</f>
        <v>2.3311994735645167</v>
      </c>
      <c r="EB157" s="15">
        <f>IFERROR((M157-$F157)/$F157*100,"")</f>
        <v>2.6173825291427684</v>
      </c>
      <c r="EC157" s="15">
        <f>IFERROR((N157-$F157)/$F157*100,"")</f>
        <v>1.1869088917693666</v>
      </c>
      <c r="ED157" s="15">
        <f>IFERROR((O157-$F157)/$F157*100,"")</f>
        <v>0.79892769682262366</v>
      </c>
      <c r="EE157" s="15">
        <f>IFERROR((P157-$F157)/$F157*100,"")</f>
        <v>1.7488964507559945</v>
      </c>
      <c r="EF157" s="15">
        <f>IFERROR((Q157-$F157)/$F157*100,"")</f>
        <v>1.8014516723822296</v>
      </c>
      <c r="EG157" s="15" t="str">
        <f>IF(DV157="","",IF(AND(ABS(DV157)&lt;=0.25,$E157="Bottom",DK157="LL"),"EQL",IF(AND(ABS(DV157)&lt;=0.25,$E157="Peak",DK157="HH"),"EQH","")))</f>
        <v/>
      </c>
      <c r="EH157" s="15" t="str">
        <f>IF(DW157="","",IF(AND(ABS(DW157)&lt;=0.25,$E157="Bottom",DL157="LL"),"EQL",IF(AND(ABS(DW157)&lt;=0.25,$E157="Peak",DL157="HH"),"EQH","")))</f>
        <v/>
      </c>
      <c r="EI157" s="15" t="str">
        <f>IF(DX157="","",IF(AND(ABS(DX157)&lt;=0.25,$E157="Bottom",DM157="LL"),"EQL",IF(AND(ABS(DX157)&lt;=0.25,$E157="Peak",DM157="HH"),"EQH","")))</f>
        <v/>
      </c>
      <c r="EJ157" s="15" t="str">
        <f>IF(DY157="","",IF(AND(ABS(DY157)&lt;=0.25,$E157="Bottom",DN157="LL"),"EQL",IF(AND(ABS(DY157)&lt;=0.25,$E157="Peak",DN157="HH"),"EQH","")))</f>
        <v/>
      </c>
      <c r="EK157" s="15" t="str">
        <f>IF(DZ157="","",IF(AND(ABS(DZ157)&lt;=0.25,$E157="Bottom",DO157="LL"),"EQL",IF(AND(ABS(DZ157)&lt;=0.25,$E157="Peak",DO157="HH"),"EQH","")))</f>
        <v/>
      </c>
      <c r="EL157" s="15" t="str">
        <f>IF(EA157="","",IF(AND(ABS(EA157)&lt;=0.25,$E157="Bottom",DP157="LL"),"EQL",IF(AND(ABS(EA157)&lt;=0.25,$E157="Peak",DP157="HH"),"EQH","")))</f>
        <v/>
      </c>
      <c r="EM157" s="15" t="str">
        <f>IF(EB157="","",IF(AND(ABS(EB157)&lt;=0.25,$E157="Bottom",DQ157="LL"),"EQL",IF(AND(ABS(EB157)&lt;=0.25,$E157="Peak",DQ157="HH"),"EQH","")))</f>
        <v/>
      </c>
      <c r="EN157" s="15" t="str">
        <f>IF(EC157="","",IF(AND(ABS(EC157)&lt;=0.25,$E157="Bottom",DR157="LL"),"EQL",IF(AND(ABS(EC157)&lt;=0.25,$E157="Peak",DR157="HH"),"EQH","")))</f>
        <v/>
      </c>
      <c r="EO157" s="15" t="str">
        <f>IF(ED157="","",IF(AND(ABS(ED157)&lt;=0.25,$E157="Bottom",DS157="LL"),"EQL",IF(AND(ABS(ED157)&lt;=0.25,$E157="Peak",DS157="HH"),"EQH","")))</f>
        <v/>
      </c>
      <c r="EP157" s="15" t="str">
        <f>IF(EE157="","",IF(AND(ABS(EE157)&lt;=0.25,$E157="Bottom",DT157="LL"),"EQL",IF(AND(ABS(EE157)&lt;=0.25,$E157="Peak",DT157="HH"),"EQH","")))</f>
        <v/>
      </c>
      <c r="EQ157" s="15" t="str">
        <f>IF(EF157="","",IF(AND(ABS(EF157)&lt;=0.25,$E157="Bottom",DU157="LL"),"EQL",IF(AND(ABS(EF157)&lt;=0.25,$E157="Peak",DU157="HH"),"EQH","")))</f>
        <v/>
      </c>
      <c r="ER157" s="15" t="str">
        <f>IF(OR(EG157="EQL",EG157="EQH"),F157,"")</f>
        <v/>
      </c>
      <c r="ES157" s="15" t="str">
        <f>IF(OR(EH157="EQL",EH157="EQH"),G157,"")</f>
        <v/>
      </c>
      <c r="ET157" s="15" t="str">
        <f>IF(OR(EI157="EQL",EI157="EQH"),H157,"")</f>
        <v/>
      </c>
      <c r="EU157" s="15" t="str">
        <f>IF(OR(EJ157="EQL",EJ157="EQH"),I157,"")</f>
        <v/>
      </c>
      <c r="EV157" s="15" t="str">
        <f>IF(OR(EK157="EQL",EK157="EQH"),J157,"")</f>
        <v/>
      </c>
      <c r="EW157" s="15" t="str">
        <f>IF(OR(EL157="EQL",EL157="EQH"),K157,"")</f>
        <v/>
      </c>
      <c r="EX157" s="15" t="str">
        <f>IF(OR(EM157="EQL",EM157="EQH"),L157,"")</f>
        <v/>
      </c>
      <c r="EY157" s="15" t="str">
        <f>IF(OR(EN157="EQL",EN157="EQH"),M157,"")</f>
        <v/>
      </c>
      <c r="EZ157" s="15" t="str">
        <f>IF(OR(EO157="EQL",EO157="EQH"),N157,"")</f>
        <v/>
      </c>
      <c r="FA157" s="15" t="str">
        <f>IF(OR(EP157="EQL",EP157="EQH"),O157,"")</f>
        <v/>
      </c>
      <c r="FB157" s="15" t="str">
        <f>IF(OR(EQ157="EQL",EQ157="EQH"),P157,"")</f>
        <v/>
      </c>
      <c r="FC157" s="15" t="str">
        <f>IF(AND(EG157="EQL",OR(AQ157=4,AQ157=5)),"IEQL",IF(AND(EG157="EQH",OR(AQ157=1,AQ157=2)),"IEQH",""))</f>
        <v/>
      </c>
      <c r="FD157" s="15" t="str">
        <f>IF(AND(EH157="EQL",OR(AR157=4,AR157=5)),"IEQL",IF(AND(EH157="EQH",OR(AR157=1,AR157=2)),"IEQH",""))</f>
        <v/>
      </c>
      <c r="FE157" s="15" t="str">
        <f>IF(AND(EI157="EQL",OR(AS157=4,AS157=5)),"IEQL",IF(AND(EI157="EQH",OR(AS157=1,AS157=2)),"IEQH",""))</f>
        <v/>
      </c>
      <c r="FF157" s="15" t="str">
        <f>IF(AND(EJ157="EQL",OR(AT157=4,AT157=5)),"IEQL",IF(AND(EJ157="EQH",OR(AT157=1,AT157=2)),"IEQH",""))</f>
        <v/>
      </c>
      <c r="FG157" s="15" t="str">
        <f>IF(AND(EK157="EQL",OR(AU157=4,AU157=5)),"IEQL",IF(AND(EK157="EQH",OR(AU157=1,AU157=2)),"IEQH",""))</f>
        <v/>
      </c>
      <c r="FH157" s="15" t="str">
        <f>IF(AND(EL157="EQL",OR(AV157=4,AV157=5)),"IEQL",IF(AND(EL157="EQH",OR(AV157=1,AV157=2)),"IEQH",""))</f>
        <v/>
      </c>
      <c r="FI157" s="15" t="str">
        <f>IF(AND(EM157="EQL",OR(AW157=4,AW157=5)),"IEQL",IF(AND(EM157="EQH",OR(AW157=1,AW157=2)),"IEQH",""))</f>
        <v/>
      </c>
      <c r="FJ157" s="15" t="str">
        <f>IF(AND(EN157="EQL",OR(AX157=4,AX157=5)),"IEQL",IF(AND(EN157="EQH",OR(AX157=1,AX157=2)),"IEQH",""))</f>
        <v/>
      </c>
      <c r="FK157" s="15" t="str">
        <f>IF(AND(EO157="EQL",OR(AY157=4,AY157=5)),"IEQL",IF(AND(EO157="EQH",OR(AY157=1,AY157=2)),"IEQH",""))</f>
        <v/>
      </c>
      <c r="FL157" s="15" t="str">
        <f>IF(AND(EP157="EQL",OR(AZ157=4,AZ157=5)),"IEQL",IF(AND(EP157="EQH",OR(AZ157=1,AZ157=2)),"IEQH",""))</f>
        <v/>
      </c>
      <c r="FM157" s="15" t="str">
        <f>IF(AND(EQ157="EQL",OR(BA157=4,BA157=5)),"IEQL",IF(AND(EQ157="EQH",OR(BA157=1,BA157=2)),"IEQH",""))</f>
        <v/>
      </c>
      <c r="FN157" s="15" t="str">
        <f>IF(OR(AND(DJ157="LL",AP157=5),AND(DJ157="HH",AP157=2)),F157,"")</f>
        <v/>
      </c>
      <c r="FO157" s="15" t="str">
        <f>IF(FN157&lt;&gt;"",F156,"")</f>
        <v/>
      </c>
    </row>
    <row r="158" spans="1:171" s="15" customFormat="1" x14ac:dyDescent="0.55000000000000004">
      <c r="A158" s="15">
        <v>1777940106</v>
      </c>
      <c r="B158" s="15" t="s">
        <v>16</v>
      </c>
      <c r="C158" s="15" t="s">
        <v>17</v>
      </c>
      <c r="D158" s="15">
        <v>4517.12</v>
      </c>
      <c r="E158" s="15" t="s">
        <v>18</v>
      </c>
      <c r="F158" s="15">
        <v>4513.5600000000004</v>
      </c>
      <c r="G158" s="15">
        <f t="shared" si="440"/>
        <v>4500.8599999999997</v>
      </c>
      <c r="H158" s="15">
        <f t="shared" si="450"/>
        <v>4526.3999999999996</v>
      </c>
      <c r="I158" s="15">
        <f t="shared" si="460"/>
        <v>4592.93</v>
      </c>
      <c r="J158" s="15">
        <f t="shared" si="470"/>
        <v>4607.09</v>
      </c>
      <c r="K158" s="15">
        <f t="shared" si="480"/>
        <v>4560.4399999999996</v>
      </c>
      <c r="L158" s="15">
        <f t="shared" si="490"/>
        <v>4614.2700000000004</v>
      </c>
      <c r="M158" s="15">
        <f t="shared" si="500"/>
        <v>4605.5600000000004</v>
      </c>
      <c r="N158" s="15">
        <f t="shared" si="510"/>
        <v>4540.82</v>
      </c>
      <c r="O158" s="15">
        <f t="shared" si="520"/>
        <v>4518.41</v>
      </c>
      <c r="P158" s="15">
        <f t="shared" si="530"/>
        <v>4510.28</v>
      </c>
      <c r="Q158" s="15">
        <f t="shared" si="540"/>
        <v>4575.84</v>
      </c>
      <c r="R158" s="15">
        <v>-15.01</v>
      </c>
      <c r="S158" s="15">
        <f t="shared" si="441"/>
        <v>-82.3</v>
      </c>
      <c r="T158" s="15">
        <f t="shared" si="451"/>
        <v>-92.19</v>
      </c>
      <c r="U158" s="15">
        <f t="shared" si="461"/>
        <v>-39.18</v>
      </c>
      <c r="V158" s="15">
        <f t="shared" si="471"/>
        <v>-53.23</v>
      </c>
      <c r="W158" s="15">
        <f t="shared" si="481"/>
        <v>-75.39</v>
      </c>
      <c r="X158" s="15">
        <f t="shared" si="491"/>
        <v>-19.87</v>
      </c>
      <c r="Y158" s="15">
        <f t="shared" si="501"/>
        <v>-41.54</v>
      </c>
      <c r="Z158" s="15">
        <f t="shared" si="511"/>
        <v>-41.5</v>
      </c>
      <c r="AA158" s="15">
        <f t="shared" si="521"/>
        <v>-46.34</v>
      </c>
      <c r="AB158" s="15">
        <f t="shared" si="531"/>
        <v>-97.49</v>
      </c>
      <c r="AC158" s="15">
        <f t="shared" si="541"/>
        <v>-34.31</v>
      </c>
      <c r="AD158" s="15">
        <v>-0.33</v>
      </c>
      <c r="AE158" s="15">
        <f t="shared" si="442"/>
        <v>-1.8</v>
      </c>
      <c r="AF158" s="15">
        <f t="shared" si="452"/>
        <v>-2</v>
      </c>
      <c r="AG158" s="15">
        <f t="shared" si="462"/>
        <v>-0.85</v>
      </c>
      <c r="AH158" s="15">
        <f t="shared" si="472"/>
        <v>-1.1399999999999999</v>
      </c>
      <c r="AI158" s="15">
        <f t="shared" si="482"/>
        <v>-1.63</v>
      </c>
      <c r="AJ158" s="15">
        <f t="shared" si="492"/>
        <v>-0.43</v>
      </c>
      <c r="AK158" s="15">
        <f t="shared" si="502"/>
        <v>-0.89</v>
      </c>
      <c r="AL158" s="15">
        <f t="shared" si="512"/>
        <v>-0.91</v>
      </c>
      <c r="AM158" s="15">
        <f t="shared" si="522"/>
        <v>-1.02</v>
      </c>
      <c r="AN158" s="15">
        <f t="shared" si="532"/>
        <v>-2.12</v>
      </c>
      <c r="AO158" s="15">
        <f t="shared" si="542"/>
        <v>-0.74</v>
      </c>
      <c r="AP158" s="15">
        <v>3</v>
      </c>
      <c r="AQ158" s="15">
        <f t="shared" si="443"/>
        <v>3</v>
      </c>
      <c r="AR158" s="15">
        <f t="shared" si="453"/>
        <v>4</v>
      </c>
      <c r="AS158" s="15">
        <f t="shared" si="463"/>
        <v>3</v>
      </c>
      <c r="AT158" s="15">
        <f t="shared" si="473"/>
        <v>3</v>
      </c>
      <c r="AU158" s="15">
        <f t="shared" si="483"/>
        <v>3</v>
      </c>
      <c r="AV158" s="15">
        <f t="shared" si="493"/>
        <v>3</v>
      </c>
      <c r="AW158" s="15">
        <f t="shared" si="503"/>
        <v>3</v>
      </c>
      <c r="AX158" s="15">
        <f t="shared" si="513"/>
        <v>3</v>
      </c>
      <c r="AY158" s="15">
        <f t="shared" si="523"/>
        <v>3</v>
      </c>
      <c r="AZ158" s="15">
        <f t="shared" si="533"/>
        <v>4</v>
      </c>
      <c r="BA158" s="15">
        <f t="shared" si="543"/>
        <v>3</v>
      </c>
      <c r="BB158" s="15">
        <v>1</v>
      </c>
      <c r="BC158" s="15">
        <f t="shared" si="444"/>
        <v>6</v>
      </c>
      <c r="BD158" s="15">
        <f t="shared" si="454"/>
        <v>33</v>
      </c>
      <c r="BE158" s="15">
        <f t="shared" si="464"/>
        <v>14</v>
      </c>
      <c r="BF158" s="15">
        <f t="shared" si="474"/>
        <v>23</v>
      </c>
      <c r="BG158" s="15">
        <f t="shared" si="484"/>
        <v>30</v>
      </c>
      <c r="BH158" s="15">
        <f t="shared" si="494"/>
        <v>7</v>
      </c>
      <c r="BI158" s="15">
        <f t="shared" si="504"/>
        <v>25</v>
      </c>
      <c r="BJ158" s="15">
        <f t="shared" si="514"/>
        <v>11</v>
      </c>
      <c r="BK158" s="15">
        <f t="shared" si="524"/>
        <v>11</v>
      </c>
      <c r="BL158" s="15">
        <f t="shared" si="534"/>
        <v>35</v>
      </c>
      <c r="BM158" s="15">
        <f t="shared" si="544"/>
        <v>4</v>
      </c>
      <c r="BN158" s="15">
        <v>3</v>
      </c>
      <c r="BO158" s="15">
        <f t="shared" si="445"/>
        <v>3</v>
      </c>
      <c r="BP158" s="15">
        <f t="shared" si="455"/>
        <v>3</v>
      </c>
      <c r="BQ158" s="15">
        <f t="shared" si="465"/>
        <v>3</v>
      </c>
      <c r="BR158" s="15">
        <f t="shared" si="475"/>
        <v>3</v>
      </c>
      <c r="BS158" s="15">
        <f t="shared" si="485"/>
        <v>3</v>
      </c>
      <c r="BT158" s="15">
        <f t="shared" si="495"/>
        <v>3</v>
      </c>
      <c r="BU158" s="15">
        <f t="shared" si="505"/>
        <v>3</v>
      </c>
      <c r="BV158" s="15">
        <f t="shared" si="515"/>
        <v>3</v>
      </c>
      <c r="BW158" s="15">
        <f t="shared" si="525"/>
        <v>3</v>
      </c>
      <c r="BX158" s="15">
        <f t="shared" si="535"/>
        <v>3</v>
      </c>
      <c r="BY158" s="15">
        <f t="shared" si="545"/>
        <v>3</v>
      </c>
      <c r="BZ158" s="15">
        <v>-15.01</v>
      </c>
      <c r="CA158" s="15">
        <f t="shared" si="446"/>
        <v>-13.716670000000001</v>
      </c>
      <c r="CB158" s="15">
        <f t="shared" si="456"/>
        <v>-2.7936399999999999</v>
      </c>
      <c r="CC158" s="15">
        <f t="shared" si="466"/>
        <v>-2.7985699999999998</v>
      </c>
      <c r="CD158" s="15">
        <f t="shared" si="476"/>
        <v>-2.3143500000000001</v>
      </c>
      <c r="CE158" s="15">
        <f t="shared" si="486"/>
        <v>-2.5129999999999999</v>
      </c>
      <c r="CF158" s="15">
        <f t="shared" si="496"/>
        <v>-2.8385699999999998</v>
      </c>
      <c r="CG158" s="15">
        <f t="shared" si="506"/>
        <v>-1.6616</v>
      </c>
      <c r="CH158" s="15">
        <f t="shared" si="516"/>
        <v>-3.7727300000000001</v>
      </c>
      <c r="CI158" s="15">
        <f t="shared" si="526"/>
        <v>-4.2127299999999996</v>
      </c>
      <c r="CJ158" s="15">
        <f t="shared" si="536"/>
        <v>-2.7854299999999999</v>
      </c>
      <c r="CK158" s="15">
        <f t="shared" si="546"/>
        <v>-8.5775000000000006</v>
      </c>
      <c r="CL158" s="15">
        <v>5</v>
      </c>
      <c r="CM158" s="15">
        <f t="shared" si="447"/>
        <v>5</v>
      </c>
      <c r="CN158" s="15">
        <f t="shared" si="457"/>
        <v>3</v>
      </c>
      <c r="CO158" s="15">
        <f t="shared" si="467"/>
        <v>3</v>
      </c>
      <c r="CP158" s="15">
        <f t="shared" si="477"/>
        <v>3</v>
      </c>
      <c r="CQ158" s="15">
        <f t="shared" si="487"/>
        <v>3</v>
      </c>
      <c r="CR158" s="15">
        <f t="shared" si="497"/>
        <v>3</v>
      </c>
      <c r="CS158" s="15">
        <f t="shared" si="507"/>
        <v>3</v>
      </c>
      <c r="CT158" s="15">
        <f t="shared" si="517"/>
        <v>3</v>
      </c>
      <c r="CU158" s="15">
        <f t="shared" si="527"/>
        <v>3</v>
      </c>
      <c r="CV158" s="15">
        <f t="shared" si="537"/>
        <v>3</v>
      </c>
      <c r="CW158" s="15">
        <f t="shared" si="547"/>
        <v>3</v>
      </c>
      <c r="CX158" s="15">
        <v>-86.188500000000005</v>
      </c>
      <c r="CY158" s="15">
        <f t="shared" si="448"/>
        <v>-85.830299999999994</v>
      </c>
      <c r="CZ158" s="15">
        <f t="shared" si="458"/>
        <v>-70.3048</v>
      </c>
      <c r="DA158" s="15">
        <f t="shared" si="468"/>
        <v>-70.3369</v>
      </c>
      <c r="DB158" s="15">
        <f t="shared" si="478"/>
        <v>-66.631399999999999</v>
      </c>
      <c r="DC158" s="15">
        <f t="shared" si="488"/>
        <v>-68.300899999999999</v>
      </c>
      <c r="DD158" s="15">
        <f t="shared" si="498"/>
        <v>-70.593199999999996</v>
      </c>
      <c r="DE158" s="15">
        <f t="shared" si="508"/>
        <v>-58.959200000000003</v>
      </c>
      <c r="DF158" s="15">
        <f t="shared" si="518"/>
        <v>-75.154499999999999</v>
      </c>
      <c r="DG158" s="15">
        <f t="shared" si="528"/>
        <v>-76.646500000000003</v>
      </c>
      <c r="DH158" s="15">
        <f t="shared" si="538"/>
        <v>-70.251300000000001</v>
      </c>
      <c r="DI158" s="15">
        <f t="shared" si="548"/>
        <v>-83.350200000000001</v>
      </c>
      <c r="DJ158" s="15" t="s">
        <v>22</v>
      </c>
      <c r="DK158" s="15" t="str">
        <f t="shared" si="449"/>
        <v>LL</v>
      </c>
      <c r="DL158" s="15" t="str">
        <f t="shared" si="459"/>
        <v>LL</v>
      </c>
      <c r="DM158" s="15" t="str">
        <f t="shared" si="469"/>
        <v>LL</v>
      </c>
      <c r="DN158" s="15" t="str">
        <f t="shared" si="479"/>
        <v>HL</v>
      </c>
      <c r="DO158" s="15" t="str">
        <f t="shared" si="489"/>
        <v>LL</v>
      </c>
      <c r="DP158" s="15" t="str">
        <f t="shared" si="499"/>
        <v>HL</v>
      </c>
      <c r="DQ158" s="15" t="str">
        <f t="shared" si="509"/>
        <v>HL</v>
      </c>
      <c r="DR158" s="15" t="str">
        <f t="shared" si="519"/>
        <v>HL</v>
      </c>
      <c r="DS158" s="15" t="str">
        <f t="shared" si="529"/>
        <v>HL</v>
      </c>
      <c r="DT158" s="15" t="str">
        <f t="shared" si="539"/>
        <v>LL</v>
      </c>
      <c r="DU158" s="15" t="str">
        <f t="shared" si="549"/>
        <v>LL</v>
      </c>
      <c r="DV158" s="15">
        <f>IFERROR((G158-$F158)/$F158*100,"")</f>
        <v>-0.28137434752170626</v>
      </c>
      <c r="DW158" s="15">
        <f>IFERROR((H158-$F158)/$F158*100,"")</f>
        <v>0.28447611198254225</v>
      </c>
      <c r="DX158" s="15">
        <f>IFERROR((I158-$F158)/$F158*100,"")</f>
        <v>1.7584788947083874</v>
      </c>
      <c r="DY158" s="15">
        <f>IFERROR((J158-$F158)/$F158*100,"")</f>
        <v>2.0722002144648513</v>
      </c>
      <c r="DZ158" s="15">
        <f>IFERROR((K158-$F158)/$F158*100,"")</f>
        <v>1.0386479851824104</v>
      </c>
      <c r="EA158" s="15">
        <f>IFERROR((L158-$F158)/$F158*100,"")</f>
        <v>2.2312764203865689</v>
      </c>
      <c r="EB158" s="15">
        <f>IFERROR((M158-$F158)/$F158*100,"")</f>
        <v>2.038302359999645</v>
      </c>
      <c r="EC158" s="15">
        <f>IFERROR((N158-$F158)/$F158*100,"")</f>
        <v>0.6039578514520535</v>
      </c>
      <c r="ED158" s="15">
        <f>IFERROR((O158-$F158)/$F158*100,"")</f>
        <v>0.10745398310866487</v>
      </c>
      <c r="EE158" s="15">
        <f>IFERROR((P158-$F158)/$F158*100,"")</f>
        <v>-7.2669910226088819E-2</v>
      </c>
      <c r="EF158" s="15">
        <f>IFERROR((Q158-$F158)/$F158*100,"")</f>
        <v>1.3798420758780152</v>
      </c>
      <c r="EG158" s="15" t="str">
        <f>IF(DV158="","",IF(AND(ABS(DV158)&lt;=0.25,$E158="Bottom",DK158="LL"),"EQL",IF(AND(ABS(DV158)&lt;=0.25,$E158="Peak",DK158="HH"),"EQH","")))</f>
        <v/>
      </c>
      <c r="EH158" s="15" t="str">
        <f>IF(DW158="","",IF(AND(ABS(DW158)&lt;=0.25,$E158="Bottom",DL158="LL"),"EQL",IF(AND(ABS(DW158)&lt;=0.25,$E158="Peak",DL158="HH"),"EQH","")))</f>
        <v/>
      </c>
      <c r="EI158" s="15" t="str">
        <f>IF(DX158="","",IF(AND(ABS(DX158)&lt;=0.25,$E158="Bottom",DM158="LL"),"EQL",IF(AND(ABS(DX158)&lt;=0.25,$E158="Peak",DM158="HH"),"EQH","")))</f>
        <v/>
      </c>
      <c r="EJ158" s="15" t="str">
        <f>IF(DY158="","",IF(AND(ABS(DY158)&lt;=0.25,$E158="Bottom",DN158="LL"),"EQL",IF(AND(ABS(DY158)&lt;=0.25,$E158="Peak",DN158="HH"),"EQH","")))</f>
        <v/>
      </c>
      <c r="EK158" s="15" t="str">
        <f>IF(DZ158="","",IF(AND(ABS(DZ158)&lt;=0.25,$E158="Bottom",DO158="LL"),"EQL",IF(AND(ABS(DZ158)&lt;=0.25,$E158="Peak",DO158="HH"),"EQH","")))</f>
        <v/>
      </c>
      <c r="EL158" s="15" t="str">
        <f>IF(EA158="","",IF(AND(ABS(EA158)&lt;=0.25,$E158="Bottom",DP158="LL"),"EQL",IF(AND(ABS(EA158)&lt;=0.25,$E158="Peak",DP158="HH"),"EQH","")))</f>
        <v/>
      </c>
      <c r="EM158" s="15" t="str">
        <f>IF(EB158="","",IF(AND(ABS(EB158)&lt;=0.25,$E158="Bottom",DQ158="LL"),"EQL",IF(AND(ABS(EB158)&lt;=0.25,$E158="Peak",DQ158="HH"),"EQH","")))</f>
        <v/>
      </c>
      <c r="EN158" s="15" t="str">
        <f>IF(EC158="","",IF(AND(ABS(EC158)&lt;=0.25,$E158="Bottom",DR158="LL"),"EQL",IF(AND(ABS(EC158)&lt;=0.25,$E158="Peak",DR158="HH"),"EQH","")))</f>
        <v/>
      </c>
      <c r="EO158" s="15" t="str">
        <f>IF(ED158="","",IF(AND(ABS(ED158)&lt;=0.25,$E158="Bottom",DS158="LL"),"EQL",IF(AND(ABS(ED158)&lt;=0.25,$E158="Peak",DS158="HH"),"EQH","")))</f>
        <v/>
      </c>
      <c r="EP158" s="15" t="str">
        <f>IF(EE158="","",IF(AND(ABS(EE158)&lt;=0.25,$E158="Bottom",DT158="LL"),"EQL",IF(AND(ABS(EE158)&lt;=0.25,$E158="Peak",DT158="HH"),"EQH","")))</f>
        <v>EQL</v>
      </c>
      <c r="EQ158" s="15" t="str">
        <f>IF(EF158="","",IF(AND(ABS(EF158)&lt;=0.25,$E158="Bottom",DU158="LL"),"EQL",IF(AND(ABS(EF158)&lt;=0.25,$E158="Peak",DU158="HH"),"EQH","")))</f>
        <v/>
      </c>
      <c r="ER158" s="15" t="str">
        <f>IF(OR(EG158="EQL",EG158="EQH"),F158,"")</f>
        <v/>
      </c>
      <c r="ES158" s="15" t="str">
        <f>IF(OR(EH158="EQL",EH158="EQH"),G158,"")</f>
        <v/>
      </c>
      <c r="ET158" s="15" t="str">
        <f>IF(OR(EI158="EQL",EI158="EQH"),H158,"")</f>
        <v/>
      </c>
      <c r="EU158" s="15" t="str">
        <f>IF(OR(EJ158="EQL",EJ158="EQH"),I158,"")</f>
        <v/>
      </c>
      <c r="EV158" s="15" t="str">
        <f>IF(OR(EK158="EQL",EK158="EQH"),J158,"")</f>
        <v/>
      </c>
      <c r="EW158" s="15" t="str">
        <f>IF(OR(EL158="EQL",EL158="EQH"),K158,"")</f>
        <v/>
      </c>
      <c r="EX158" s="15" t="str">
        <f>IF(OR(EM158="EQL",EM158="EQH"),L158,"")</f>
        <v/>
      </c>
      <c r="EY158" s="15" t="str">
        <f>IF(OR(EN158="EQL",EN158="EQH"),M158,"")</f>
        <v/>
      </c>
      <c r="EZ158" s="15" t="str">
        <f>IF(OR(EO158="EQL",EO158="EQH"),N158,"")</f>
        <v/>
      </c>
      <c r="FA158" s="15">
        <f>IF(OR(EP158="EQL",EP158="EQH"),O158,"")</f>
        <v>4518.41</v>
      </c>
      <c r="FB158" s="15" t="str">
        <f>IF(OR(EQ158="EQL",EQ158="EQH"),P158,"")</f>
        <v/>
      </c>
      <c r="FC158" s="15" t="str">
        <f>IF(AND(EG158="EQL",OR(AQ158=4,AQ158=5)),"IEQL",IF(AND(EG158="EQH",OR(AQ158=1,AQ158=2)),"IEQH",""))</f>
        <v/>
      </c>
      <c r="FD158" s="15" t="str">
        <f>IF(AND(EH158="EQL",OR(AR158=4,AR158=5)),"IEQL",IF(AND(EH158="EQH",OR(AR158=1,AR158=2)),"IEQH",""))</f>
        <v/>
      </c>
      <c r="FE158" s="15" t="str">
        <f>IF(AND(EI158="EQL",OR(AS158=4,AS158=5)),"IEQL",IF(AND(EI158="EQH",OR(AS158=1,AS158=2)),"IEQH",""))</f>
        <v/>
      </c>
      <c r="FF158" s="15" t="str">
        <f>IF(AND(EJ158="EQL",OR(AT158=4,AT158=5)),"IEQL",IF(AND(EJ158="EQH",OR(AT158=1,AT158=2)),"IEQH",""))</f>
        <v/>
      </c>
      <c r="FG158" s="15" t="str">
        <f>IF(AND(EK158="EQL",OR(AU158=4,AU158=5)),"IEQL",IF(AND(EK158="EQH",OR(AU158=1,AU158=2)),"IEQH",""))</f>
        <v/>
      </c>
      <c r="FH158" s="15" t="str">
        <f>IF(AND(EL158="EQL",OR(AV158=4,AV158=5)),"IEQL",IF(AND(EL158="EQH",OR(AV158=1,AV158=2)),"IEQH",""))</f>
        <v/>
      </c>
      <c r="FI158" s="15" t="str">
        <f>IF(AND(EM158="EQL",OR(AW158=4,AW158=5)),"IEQL",IF(AND(EM158="EQH",OR(AW158=1,AW158=2)),"IEQH",""))</f>
        <v/>
      </c>
      <c r="FJ158" s="15" t="str">
        <f>IF(AND(EN158="EQL",OR(AX158=4,AX158=5)),"IEQL",IF(AND(EN158="EQH",OR(AX158=1,AX158=2)),"IEQH",""))</f>
        <v/>
      </c>
      <c r="FK158" s="15" t="str">
        <f>IF(AND(EO158="EQL",OR(AY158=4,AY158=5)),"IEQL",IF(AND(EO158="EQH",OR(AY158=1,AY158=2)),"IEQH",""))</f>
        <v/>
      </c>
      <c r="FL158" s="15" t="str">
        <f>IF(AND(EP158="EQL",OR(AZ158=4,AZ158=5)),"IEQL",IF(AND(EP158="EQH",OR(AZ158=1,AZ158=2)),"IEQH",""))</f>
        <v>IEQL</v>
      </c>
      <c r="FM158" s="15" t="str">
        <f>IF(AND(EQ158="EQL",OR(BA158=4,BA158=5)),"IEQL",IF(AND(EQ158="EQH",OR(BA158=1,BA158=2)),"IEQH",""))</f>
        <v/>
      </c>
      <c r="FN158" s="15" t="str">
        <f>IF(OR(AND(DJ158="LL",AP158=5),AND(DJ158="HH",AP158=2)),F158,"")</f>
        <v/>
      </c>
      <c r="FO158" s="15" t="str">
        <f>IF(FN158&lt;&gt;"",F157,"")</f>
        <v/>
      </c>
    </row>
    <row r="159" spans="1:171" s="15" customFormat="1" x14ac:dyDescent="0.55000000000000004">
      <c r="A159" s="15">
        <v>1777949106</v>
      </c>
      <c r="B159" s="15" t="s">
        <v>16</v>
      </c>
      <c r="C159" s="15" t="s">
        <v>17</v>
      </c>
      <c r="D159" s="15">
        <v>4539.17</v>
      </c>
      <c r="E159" s="15" t="s">
        <v>20</v>
      </c>
      <c r="F159" s="15">
        <v>4546.78</v>
      </c>
      <c r="G159" s="15">
        <f t="shared" si="440"/>
        <v>4528.57</v>
      </c>
      <c r="H159" s="15">
        <f t="shared" si="450"/>
        <v>4583.16</v>
      </c>
      <c r="I159" s="15">
        <f t="shared" si="460"/>
        <v>4618.59</v>
      </c>
      <c r="J159" s="15">
        <f t="shared" si="470"/>
        <v>4632.1099999999997</v>
      </c>
      <c r="K159" s="15">
        <f t="shared" si="480"/>
        <v>4660.32</v>
      </c>
      <c r="L159" s="15">
        <f t="shared" si="490"/>
        <v>4635.83</v>
      </c>
      <c r="M159" s="15">
        <f t="shared" si="500"/>
        <v>4634.1400000000003</v>
      </c>
      <c r="N159" s="15">
        <f t="shared" si="510"/>
        <v>4647.1000000000004</v>
      </c>
      <c r="O159" s="15">
        <f t="shared" si="520"/>
        <v>4582.32</v>
      </c>
      <c r="P159" s="15">
        <f t="shared" si="530"/>
        <v>4564.75</v>
      </c>
      <c r="Q159" s="15">
        <f t="shared" si="540"/>
        <v>4607.7700000000004</v>
      </c>
      <c r="R159" s="15">
        <v>33.22</v>
      </c>
      <c r="S159" s="15">
        <f t="shared" si="441"/>
        <v>27.71</v>
      </c>
      <c r="T159" s="15">
        <f t="shared" si="451"/>
        <v>56.76</v>
      </c>
      <c r="U159" s="15">
        <f t="shared" si="461"/>
        <v>25.66</v>
      </c>
      <c r="V159" s="15">
        <f t="shared" si="471"/>
        <v>25.02</v>
      </c>
      <c r="W159" s="15">
        <f t="shared" si="481"/>
        <v>99.88</v>
      </c>
      <c r="X159" s="15">
        <f t="shared" si="491"/>
        <v>21.56</v>
      </c>
      <c r="Y159" s="15">
        <f t="shared" si="501"/>
        <v>28.58</v>
      </c>
      <c r="Z159" s="15">
        <f t="shared" si="511"/>
        <v>106.28</v>
      </c>
      <c r="AA159" s="15">
        <f t="shared" si="521"/>
        <v>63.91</v>
      </c>
      <c r="AB159" s="15">
        <f t="shared" si="531"/>
        <v>54.47</v>
      </c>
      <c r="AC159" s="15">
        <f t="shared" si="541"/>
        <v>31.93</v>
      </c>
      <c r="AD159" s="15">
        <v>0.74</v>
      </c>
      <c r="AE159" s="15">
        <f t="shared" si="442"/>
        <v>0.62</v>
      </c>
      <c r="AF159" s="15">
        <f t="shared" si="452"/>
        <v>1.25</v>
      </c>
      <c r="AG159" s="15">
        <f t="shared" si="462"/>
        <v>0.56000000000000005</v>
      </c>
      <c r="AH159" s="15">
        <f t="shared" si="472"/>
        <v>0.54</v>
      </c>
      <c r="AI159" s="15">
        <f t="shared" si="482"/>
        <v>2.19</v>
      </c>
      <c r="AJ159" s="15">
        <f t="shared" si="492"/>
        <v>0.47</v>
      </c>
      <c r="AK159" s="15">
        <f t="shared" si="502"/>
        <v>0.62</v>
      </c>
      <c r="AL159" s="15">
        <f t="shared" si="512"/>
        <v>2.34</v>
      </c>
      <c r="AM159" s="15">
        <f t="shared" si="522"/>
        <v>1.41</v>
      </c>
      <c r="AN159" s="15">
        <f t="shared" si="532"/>
        <v>1.21</v>
      </c>
      <c r="AO159" s="15">
        <f t="shared" si="542"/>
        <v>0.7</v>
      </c>
      <c r="AP159" s="15">
        <v>0</v>
      </c>
      <c r="AQ159" s="15">
        <f t="shared" si="443"/>
        <v>0</v>
      </c>
      <c r="AR159" s="15">
        <f t="shared" si="453"/>
        <v>0</v>
      </c>
      <c r="AS159" s="15">
        <f t="shared" si="463"/>
        <v>0</v>
      </c>
      <c r="AT159" s="15">
        <f t="shared" si="473"/>
        <v>0</v>
      </c>
      <c r="AU159" s="15">
        <f t="shared" si="483"/>
        <v>1</v>
      </c>
      <c r="AV159" s="15">
        <f t="shared" si="493"/>
        <v>0</v>
      </c>
      <c r="AW159" s="15">
        <f t="shared" si="503"/>
        <v>0</v>
      </c>
      <c r="AX159" s="15">
        <f t="shared" si="513"/>
        <v>1</v>
      </c>
      <c r="AY159" s="15">
        <f t="shared" si="523"/>
        <v>0</v>
      </c>
      <c r="AZ159" s="15">
        <f t="shared" si="533"/>
        <v>0</v>
      </c>
      <c r="BA159" s="15">
        <f t="shared" si="543"/>
        <v>0</v>
      </c>
      <c r="BB159" s="15">
        <v>10</v>
      </c>
      <c r="BC159" s="15">
        <f t="shared" si="444"/>
        <v>28</v>
      </c>
      <c r="BD159" s="15">
        <f t="shared" si="454"/>
        <v>17</v>
      </c>
      <c r="BE159" s="15">
        <f t="shared" si="464"/>
        <v>2</v>
      </c>
      <c r="BF159" s="15">
        <f t="shared" si="474"/>
        <v>4</v>
      </c>
      <c r="BG159" s="15">
        <f t="shared" si="484"/>
        <v>18</v>
      </c>
      <c r="BH159" s="15">
        <f t="shared" si="494"/>
        <v>4</v>
      </c>
      <c r="BI159" s="15">
        <f t="shared" si="504"/>
        <v>23</v>
      </c>
      <c r="BJ159" s="15">
        <f t="shared" si="514"/>
        <v>24</v>
      </c>
      <c r="BK159" s="15">
        <f t="shared" si="524"/>
        <v>24</v>
      </c>
      <c r="BL159" s="15">
        <f t="shared" si="534"/>
        <v>9</v>
      </c>
      <c r="BM159" s="15">
        <f t="shared" si="544"/>
        <v>16</v>
      </c>
      <c r="BN159" s="15">
        <v>0</v>
      </c>
      <c r="BO159" s="15">
        <f t="shared" si="445"/>
        <v>0</v>
      </c>
      <c r="BP159" s="15">
        <f t="shared" si="455"/>
        <v>0</v>
      </c>
      <c r="BQ159" s="15">
        <f t="shared" si="465"/>
        <v>0</v>
      </c>
      <c r="BR159" s="15">
        <f t="shared" si="475"/>
        <v>0</v>
      </c>
      <c r="BS159" s="15">
        <f t="shared" si="485"/>
        <v>0</v>
      </c>
      <c r="BT159" s="15">
        <f t="shared" si="495"/>
        <v>0</v>
      </c>
      <c r="BU159" s="15">
        <f t="shared" si="505"/>
        <v>0</v>
      </c>
      <c r="BV159" s="15">
        <f t="shared" si="515"/>
        <v>0</v>
      </c>
      <c r="BW159" s="15">
        <f t="shared" si="525"/>
        <v>0</v>
      </c>
      <c r="BX159" s="15">
        <f t="shared" si="535"/>
        <v>0</v>
      </c>
      <c r="BY159" s="15">
        <f t="shared" si="545"/>
        <v>0</v>
      </c>
      <c r="BZ159" s="15">
        <v>3.3220000000000001</v>
      </c>
      <c r="CA159" s="15">
        <f t="shared" si="446"/>
        <v>0.98963999999999996</v>
      </c>
      <c r="CB159" s="15">
        <f t="shared" si="456"/>
        <v>3.3388200000000001</v>
      </c>
      <c r="CC159" s="15">
        <f t="shared" si="466"/>
        <v>12.83</v>
      </c>
      <c r="CD159" s="15">
        <f t="shared" si="476"/>
        <v>6.2549999999999999</v>
      </c>
      <c r="CE159" s="15">
        <f t="shared" si="486"/>
        <v>5.5488900000000001</v>
      </c>
      <c r="CF159" s="15">
        <f t="shared" si="496"/>
        <v>5.39</v>
      </c>
      <c r="CG159" s="15">
        <f t="shared" si="506"/>
        <v>1.24261</v>
      </c>
      <c r="CH159" s="15">
        <f t="shared" si="516"/>
        <v>4.4283299999999999</v>
      </c>
      <c r="CI159" s="15">
        <f t="shared" si="526"/>
        <v>2.6629200000000002</v>
      </c>
      <c r="CJ159" s="15">
        <f t="shared" si="536"/>
        <v>6.0522200000000002</v>
      </c>
      <c r="CK159" s="15">
        <f t="shared" si="546"/>
        <v>1.99563</v>
      </c>
      <c r="CL159" s="15">
        <v>0</v>
      </c>
      <c r="CM159" s="15">
        <f t="shared" si="447"/>
        <v>0</v>
      </c>
      <c r="CN159" s="15">
        <f t="shared" si="457"/>
        <v>0</v>
      </c>
      <c r="CO159" s="15">
        <f t="shared" si="467"/>
        <v>0</v>
      </c>
      <c r="CP159" s="15">
        <f t="shared" si="477"/>
        <v>0</v>
      </c>
      <c r="CQ159" s="15">
        <f t="shared" si="487"/>
        <v>0</v>
      </c>
      <c r="CR159" s="15">
        <f t="shared" si="497"/>
        <v>0</v>
      </c>
      <c r="CS159" s="15">
        <f t="shared" si="507"/>
        <v>0</v>
      </c>
      <c r="CT159" s="15">
        <f t="shared" si="517"/>
        <v>0</v>
      </c>
      <c r="CU159" s="15">
        <f t="shared" si="527"/>
        <v>0</v>
      </c>
      <c r="CV159" s="15">
        <f t="shared" si="537"/>
        <v>0</v>
      </c>
      <c r="CW159" s="15">
        <f t="shared" si="547"/>
        <v>0</v>
      </c>
      <c r="CX159" s="15">
        <v>73.247</v>
      </c>
      <c r="CY159" s="15">
        <f t="shared" si="448"/>
        <v>44.701700000000002</v>
      </c>
      <c r="CZ159" s="15">
        <f t="shared" si="458"/>
        <v>73.326700000000002</v>
      </c>
      <c r="DA159" s="15">
        <f t="shared" si="468"/>
        <v>85.543199999999999</v>
      </c>
      <c r="DB159" s="15">
        <f t="shared" si="478"/>
        <v>80.916899999999998</v>
      </c>
      <c r="DC159" s="15">
        <f t="shared" si="488"/>
        <v>79.784000000000006</v>
      </c>
      <c r="DD159" s="15">
        <f t="shared" si="498"/>
        <v>79.489500000000007</v>
      </c>
      <c r="DE159" s="15">
        <f t="shared" si="508"/>
        <v>51.174300000000002</v>
      </c>
      <c r="DF159" s="15">
        <f t="shared" si="518"/>
        <v>77.275000000000006</v>
      </c>
      <c r="DG159" s="15">
        <f t="shared" si="528"/>
        <v>69.417400000000001</v>
      </c>
      <c r="DH159" s="15">
        <f t="shared" si="538"/>
        <v>80.617900000000006</v>
      </c>
      <c r="DI159" s="15">
        <f t="shared" si="548"/>
        <v>63.384700000000002</v>
      </c>
      <c r="DJ159" s="15" t="s">
        <v>23</v>
      </c>
      <c r="DK159" s="15" t="str">
        <f t="shared" si="449"/>
        <v>LH</v>
      </c>
      <c r="DL159" s="15" t="str">
        <f t="shared" si="459"/>
        <v>LH</v>
      </c>
      <c r="DM159" s="15" t="str">
        <f t="shared" si="469"/>
        <v>LH</v>
      </c>
      <c r="DN159" s="15" t="str">
        <f t="shared" si="479"/>
        <v>LH</v>
      </c>
      <c r="DO159" s="15" t="str">
        <f t="shared" si="489"/>
        <v>HH</v>
      </c>
      <c r="DP159" s="15" t="str">
        <f t="shared" si="499"/>
        <v>HH</v>
      </c>
      <c r="DQ159" s="15" t="str">
        <f t="shared" si="509"/>
        <v>LH</v>
      </c>
      <c r="DR159" s="15" t="str">
        <f t="shared" si="519"/>
        <v>HH</v>
      </c>
      <c r="DS159" s="15" t="str">
        <f t="shared" si="529"/>
        <v>HH</v>
      </c>
      <c r="DT159" s="15" t="str">
        <f t="shared" si="539"/>
        <v>LH</v>
      </c>
      <c r="DU159" s="15" t="str">
        <f t="shared" si="549"/>
        <v>LH</v>
      </c>
      <c r="DV159" s="15">
        <f>IFERROR((G159-$F159)/$F159*100,"")</f>
        <v>-0.4005032132630133</v>
      </c>
      <c r="DW159" s="15">
        <f>IFERROR((H159-$F159)/$F159*100,"")</f>
        <v>0.8001266830592223</v>
      </c>
      <c r="DX159" s="15">
        <f>IFERROR((I159-$F159)/$F159*100,"")</f>
        <v>1.579359458781828</v>
      </c>
      <c r="DY159" s="15">
        <f>IFERROR((J159-$F159)/$F159*100,"")</f>
        <v>1.8767127505619348</v>
      </c>
      <c r="DZ159" s="15">
        <f>IFERROR((K159-$F159)/$F159*100,"")</f>
        <v>2.4971518305262177</v>
      </c>
      <c r="EA159" s="15">
        <f>IFERROR((L159-$F159)/$F159*100,"")</f>
        <v>1.9585288929748126</v>
      </c>
      <c r="EB159" s="15">
        <f>IFERROR((M159-$F159)/$F159*100,"")</f>
        <v>1.921359731502307</v>
      </c>
      <c r="EC159" s="15">
        <f>IFERROR((N159-$F159)/$F159*100,"")</f>
        <v>2.2063966147471534</v>
      </c>
      <c r="ED159" s="15">
        <f>IFERROR((O159-$F159)/$F159*100,"")</f>
        <v>0.78165207025631245</v>
      </c>
      <c r="EE159" s="15">
        <f>IFERROR((P159-$F159)/$F159*100,"")</f>
        <v>0.39522475246218763</v>
      </c>
      <c r="EF159" s="15">
        <f>IFERROR((Q159-$F159)/$F159*100,"")</f>
        <v>1.3413888510110605</v>
      </c>
      <c r="EG159" s="15" t="str">
        <f>IF(DV159="","",IF(AND(ABS(DV159)&lt;=0.25,$E159="Bottom",DK159="LL"),"EQL",IF(AND(ABS(DV159)&lt;=0.25,$E159="Peak",DK159="HH"),"EQH","")))</f>
        <v/>
      </c>
      <c r="EH159" s="15" t="str">
        <f>IF(DW159="","",IF(AND(ABS(DW159)&lt;=0.25,$E159="Bottom",DL159="LL"),"EQL",IF(AND(ABS(DW159)&lt;=0.25,$E159="Peak",DL159="HH"),"EQH","")))</f>
        <v/>
      </c>
      <c r="EI159" s="15" t="str">
        <f>IF(DX159="","",IF(AND(ABS(DX159)&lt;=0.25,$E159="Bottom",DM159="LL"),"EQL",IF(AND(ABS(DX159)&lt;=0.25,$E159="Peak",DM159="HH"),"EQH","")))</f>
        <v/>
      </c>
      <c r="EJ159" s="15" t="str">
        <f>IF(DY159="","",IF(AND(ABS(DY159)&lt;=0.25,$E159="Bottom",DN159="LL"),"EQL",IF(AND(ABS(DY159)&lt;=0.25,$E159="Peak",DN159="HH"),"EQH","")))</f>
        <v/>
      </c>
      <c r="EK159" s="15" t="str">
        <f>IF(DZ159="","",IF(AND(ABS(DZ159)&lt;=0.25,$E159="Bottom",DO159="LL"),"EQL",IF(AND(ABS(DZ159)&lt;=0.25,$E159="Peak",DO159="HH"),"EQH","")))</f>
        <v/>
      </c>
      <c r="EL159" s="15" t="str">
        <f>IF(EA159="","",IF(AND(ABS(EA159)&lt;=0.25,$E159="Bottom",DP159="LL"),"EQL",IF(AND(ABS(EA159)&lt;=0.25,$E159="Peak",DP159="HH"),"EQH","")))</f>
        <v/>
      </c>
      <c r="EM159" s="15" t="str">
        <f>IF(EB159="","",IF(AND(ABS(EB159)&lt;=0.25,$E159="Bottom",DQ159="LL"),"EQL",IF(AND(ABS(EB159)&lt;=0.25,$E159="Peak",DQ159="HH"),"EQH","")))</f>
        <v/>
      </c>
      <c r="EN159" s="15" t="str">
        <f>IF(EC159="","",IF(AND(ABS(EC159)&lt;=0.25,$E159="Bottom",DR159="LL"),"EQL",IF(AND(ABS(EC159)&lt;=0.25,$E159="Peak",DR159="HH"),"EQH","")))</f>
        <v/>
      </c>
      <c r="EO159" s="15" t="str">
        <f>IF(ED159="","",IF(AND(ABS(ED159)&lt;=0.25,$E159="Bottom",DS159="LL"),"EQL",IF(AND(ABS(ED159)&lt;=0.25,$E159="Peak",DS159="HH"),"EQH","")))</f>
        <v/>
      </c>
      <c r="EP159" s="15" t="str">
        <f>IF(EE159="","",IF(AND(ABS(EE159)&lt;=0.25,$E159="Bottom",DT159="LL"),"EQL",IF(AND(ABS(EE159)&lt;=0.25,$E159="Peak",DT159="HH"),"EQH","")))</f>
        <v/>
      </c>
      <c r="EQ159" s="15" t="str">
        <f>IF(EF159="","",IF(AND(ABS(EF159)&lt;=0.25,$E159="Bottom",DU159="LL"),"EQL",IF(AND(ABS(EF159)&lt;=0.25,$E159="Peak",DU159="HH"),"EQH","")))</f>
        <v/>
      </c>
      <c r="ER159" s="15" t="str">
        <f>IF(OR(EG159="EQL",EG159="EQH"),F159,"")</f>
        <v/>
      </c>
      <c r="ES159" s="15" t="str">
        <f>IF(OR(EH159="EQL",EH159="EQH"),G159,"")</f>
        <v/>
      </c>
      <c r="ET159" s="15" t="str">
        <f>IF(OR(EI159="EQL",EI159="EQH"),H159,"")</f>
        <v/>
      </c>
      <c r="EU159" s="15" t="str">
        <f>IF(OR(EJ159="EQL",EJ159="EQH"),I159,"")</f>
        <v/>
      </c>
      <c r="EV159" s="15" t="str">
        <f>IF(OR(EK159="EQL",EK159="EQH"),J159,"")</f>
        <v/>
      </c>
      <c r="EW159" s="15" t="str">
        <f>IF(OR(EL159="EQL",EL159="EQH"),K159,"")</f>
        <v/>
      </c>
      <c r="EX159" s="15" t="str">
        <f>IF(OR(EM159="EQL",EM159="EQH"),L159,"")</f>
        <v/>
      </c>
      <c r="EY159" s="15" t="str">
        <f>IF(OR(EN159="EQL",EN159="EQH"),M159,"")</f>
        <v/>
      </c>
      <c r="EZ159" s="15" t="str">
        <f>IF(OR(EO159="EQL",EO159="EQH"),N159,"")</f>
        <v/>
      </c>
      <c r="FA159" s="15" t="str">
        <f>IF(OR(EP159="EQL",EP159="EQH"),O159,"")</f>
        <v/>
      </c>
      <c r="FB159" s="15" t="str">
        <f>IF(OR(EQ159="EQL",EQ159="EQH"),P159,"")</f>
        <v/>
      </c>
      <c r="FC159" s="15" t="str">
        <f>IF(AND(EG159="EQL",OR(AQ159=4,AQ159=5)),"IEQL",IF(AND(EG159="EQH",OR(AQ159=1,AQ159=2)),"IEQH",""))</f>
        <v/>
      </c>
      <c r="FD159" s="15" t="str">
        <f>IF(AND(EH159="EQL",OR(AR159=4,AR159=5)),"IEQL",IF(AND(EH159="EQH",OR(AR159=1,AR159=2)),"IEQH",""))</f>
        <v/>
      </c>
      <c r="FE159" s="15" t="str">
        <f>IF(AND(EI159="EQL",OR(AS159=4,AS159=5)),"IEQL",IF(AND(EI159="EQH",OR(AS159=1,AS159=2)),"IEQH",""))</f>
        <v/>
      </c>
      <c r="FF159" s="15" t="str">
        <f>IF(AND(EJ159="EQL",OR(AT159=4,AT159=5)),"IEQL",IF(AND(EJ159="EQH",OR(AT159=1,AT159=2)),"IEQH",""))</f>
        <v/>
      </c>
      <c r="FG159" s="15" t="str">
        <f>IF(AND(EK159="EQL",OR(AU159=4,AU159=5)),"IEQL",IF(AND(EK159="EQH",OR(AU159=1,AU159=2)),"IEQH",""))</f>
        <v/>
      </c>
      <c r="FH159" s="15" t="str">
        <f>IF(AND(EL159="EQL",OR(AV159=4,AV159=5)),"IEQL",IF(AND(EL159="EQH",OR(AV159=1,AV159=2)),"IEQH",""))</f>
        <v/>
      </c>
      <c r="FI159" s="15" t="str">
        <f>IF(AND(EM159="EQL",OR(AW159=4,AW159=5)),"IEQL",IF(AND(EM159="EQH",OR(AW159=1,AW159=2)),"IEQH",""))</f>
        <v/>
      </c>
      <c r="FJ159" s="15" t="str">
        <f>IF(AND(EN159="EQL",OR(AX159=4,AX159=5)),"IEQL",IF(AND(EN159="EQH",OR(AX159=1,AX159=2)),"IEQH",""))</f>
        <v/>
      </c>
      <c r="FK159" s="15" t="str">
        <f>IF(AND(EO159="EQL",OR(AY159=4,AY159=5)),"IEQL",IF(AND(EO159="EQH",OR(AY159=1,AY159=2)),"IEQH",""))</f>
        <v/>
      </c>
      <c r="FL159" s="15" t="str">
        <f>IF(AND(EP159="EQL",OR(AZ159=4,AZ159=5)),"IEQL",IF(AND(EP159="EQH",OR(AZ159=1,AZ159=2)),"IEQH",""))</f>
        <v/>
      </c>
      <c r="FM159" s="15" t="str">
        <f>IF(AND(EQ159="EQL",OR(BA159=4,BA159=5)),"IEQL",IF(AND(EQ159="EQH",OR(BA159=1,BA159=2)),"IEQH",""))</f>
        <v/>
      </c>
      <c r="FN159" s="15" t="str">
        <f>IF(OR(AND(DJ159="LL",AP159=5),AND(DJ159="HH",AP159=2)),F159,"")</f>
        <v/>
      </c>
      <c r="FO159" s="15" t="str">
        <f>IF(FN159&lt;&gt;"",F158,"")</f>
        <v/>
      </c>
    </row>
    <row r="160" spans="1:171" s="15" customFormat="1" x14ac:dyDescent="0.55000000000000004">
      <c r="A160" s="15">
        <v>1777955406</v>
      </c>
      <c r="B160" s="15" t="s">
        <v>16</v>
      </c>
      <c r="C160" s="15" t="s">
        <v>17</v>
      </c>
      <c r="D160" s="15">
        <v>4531.71</v>
      </c>
      <c r="E160" s="15" t="s">
        <v>18</v>
      </c>
      <c r="F160" s="15">
        <v>4527.8900000000003</v>
      </c>
      <c r="G160" s="15">
        <f t="shared" si="440"/>
        <v>4513.5600000000004</v>
      </c>
      <c r="H160" s="15">
        <f t="shared" si="450"/>
        <v>4500.8599999999997</v>
      </c>
      <c r="I160" s="15">
        <f t="shared" si="460"/>
        <v>4526.3999999999996</v>
      </c>
      <c r="J160" s="15">
        <f t="shared" si="470"/>
        <v>4592.93</v>
      </c>
      <c r="K160" s="15">
        <f t="shared" si="480"/>
        <v>4607.09</v>
      </c>
      <c r="L160" s="15">
        <f t="shared" si="490"/>
        <v>4560.4399999999996</v>
      </c>
      <c r="M160" s="15">
        <f t="shared" si="500"/>
        <v>4614.2700000000004</v>
      </c>
      <c r="N160" s="15">
        <f t="shared" si="510"/>
        <v>4605.5600000000004</v>
      </c>
      <c r="O160" s="15">
        <f t="shared" si="520"/>
        <v>4540.82</v>
      </c>
      <c r="P160" s="15">
        <f t="shared" si="530"/>
        <v>4518.41</v>
      </c>
      <c r="Q160" s="15">
        <f t="shared" si="540"/>
        <v>4510.28</v>
      </c>
      <c r="R160" s="15">
        <v>-18.89</v>
      </c>
      <c r="S160" s="15">
        <f t="shared" si="441"/>
        <v>-15.01</v>
      </c>
      <c r="T160" s="15">
        <f t="shared" si="451"/>
        <v>-82.3</v>
      </c>
      <c r="U160" s="15">
        <f t="shared" si="461"/>
        <v>-92.19</v>
      </c>
      <c r="V160" s="15">
        <f t="shared" si="471"/>
        <v>-39.18</v>
      </c>
      <c r="W160" s="15">
        <f t="shared" si="481"/>
        <v>-53.23</v>
      </c>
      <c r="X160" s="15">
        <f t="shared" si="491"/>
        <v>-75.39</v>
      </c>
      <c r="Y160" s="15">
        <f t="shared" si="501"/>
        <v>-19.87</v>
      </c>
      <c r="Z160" s="15">
        <f t="shared" si="511"/>
        <v>-41.54</v>
      </c>
      <c r="AA160" s="15">
        <f t="shared" si="521"/>
        <v>-41.5</v>
      </c>
      <c r="AB160" s="15">
        <f t="shared" si="531"/>
        <v>-46.34</v>
      </c>
      <c r="AC160" s="15">
        <f t="shared" si="541"/>
        <v>-97.49</v>
      </c>
      <c r="AD160" s="15">
        <v>-0.42</v>
      </c>
      <c r="AE160" s="15">
        <f t="shared" si="442"/>
        <v>-0.33</v>
      </c>
      <c r="AF160" s="15">
        <f t="shared" si="452"/>
        <v>-1.8</v>
      </c>
      <c r="AG160" s="15">
        <f t="shared" si="462"/>
        <v>-2</v>
      </c>
      <c r="AH160" s="15">
        <f t="shared" si="472"/>
        <v>-0.85</v>
      </c>
      <c r="AI160" s="15">
        <f t="shared" si="482"/>
        <v>-1.1399999999999999</v>
      </c>
      <c r="AJ160" s="15">
        <f t="shared" si="492"/>
        <v>-1.63</v>
      </c>
      <c r="AK160" s="15">
        <f t="shared" si="502"/>
        <v>-0.43</v>
      </c>
      <c r="AL160" s="15">
        <f t="shared" si="512"/>
        <v>-0.89</v>
      </c>
      <c r="AM160" s="15">
        <f t="shared" si="522"/>
        <v>-0.91</v>
      </c>
      <c r="AN160" s="15">
        <f t="shared" si="532"/>
        <v>-1.02</v>
      </c>
      <c r="AO160" s="15">
        <f t="shared" si="542"/>
        <v>-2.12</v>
      </c>
      <c r="AP160" s="15">
        <v>3</v>
      </c>
      <c r="AQ160" s="15">
        <f t="shared" si="443"/>
        <v>3</v>
      </c>
      <c r="AR160" s="15">
        <f t="shared" si="453"/>
        <v>3</v>
      </c>
      <c r="AS160" s="15">
        <f t="shared" si="463"/>
        <v>4</v>
      </c>
      <c r="AT160" s="15">
        <f t="shared" si="473"/>
        <v>3</v>
      </c>
      <c r="AU160" s="15">
        <f t="shared" si="483"/>
        <v>3</v>
      </c>
      <c r="AV160" s="15">
        <f t="shared" si="493"/>
        <v>3</v>
      </c>
      <c r="AW160" s="15">
        <f t="shared" si="503"/>
        <v>3</v>
      </c>
      <c r="AX160" s="15">
        <f t="shared" si="513"/>
        <v>3</v>
      </c>
      <c r="AY160" s="15">
        <f t="shared" si="523"/>
        <v>3</v>
      </c>
      <c r="AZ160" s="15">
        <f t="shared" si="533"/>
        <v>3</v>
      </c>
      <c r="BA160" s="15">
        <f t="shared" si="543"/>
        <v>4</v>
      </c>
      <c r="BB160" s="15">
        <v>7</v>
      </c>
      <c r="BC160" s="15">
        <f t="shared" si="444"/>
        <v>1</v>
      </c>
      <c r="BD160" s="15">
        <f t="shared" si="454"/>
        <v>6</v>
      </c>
      <c r="BE160" s="15">
        <f t="shared" si="464"/>
        <v>33</v>
      </c>
      <c r="BF160" s="15">
        <f t="shared" si="474"/>
        <v>14</v>
      </c>
      <c r="BG160" s="15">
        <f t="shared" si="484"/>
        <v>23</v>
      </c>
      <c r="BH160" s="15">
        <f t="shared" si="494"/>
        <v>30</v>
      </c>
      <c r="BI160" s="15">
        <f t="shared" si="504"/>
        <v>7</v>
      </c>
      <c r="BJ160" s="15">
        <f t="shared" si="514"/>
        <v>25</v>
      </c>
      <c r="BK160" s="15">
        <f t="shared" si="524"/>
        <v>11</v>
      </c>
      <c r="BL160" s="15">
        <f t="shared" si="534"/>
        <v>11</v>
      </c>
      <c r="BM160" s="15">
        <f t="shared" si="544"/>
        <v>35</v>
      </c>
      <c r="BN160" s="15">
        <v>3</v>
      </c>
      <c r="BO160" s="15">
        <f t="shared" si="445"/>
        <v>3</v>
      </c>
      <c r="BP160" s="15">
        <f t="shared" si="455"/>
        <v>3</v>
      </c>
      <c r="BQ160" s="15">
        <f t="shared" si="465"/>
        <v>3</v>
      </c>
      <c r="BR160" s="15">
        <f t="shared" si="475"/>
        <v>3</v>
      </c>
      <c r="BS160" s="15">
        <f t="shared" si="485"/>
        <v>3</v>
      </c>
      <c r="BT160" s="15">
        <f t="shared" si="495"/>
        <v>3</v>
      </c>
      <c r="BU160" s="15">
        <f t="shared" si="505"/>
        <v>3</v>
      </c>
      <c r="BV160" s="15">
        <f t="shared" si="515"/>
        <v>3</v>
      </c>
      <c r="BW160" s="15">
        <f t="shared" si="525"/>
        <v>3</v>
      </c>
      <c r="BX160" s="15">
        <f t="shared" si="535"/>
        <v>3</v>
      </c>
      <c r="BY160" s="15">
        <f t="shared" si="545"/>
        <v>3</v>
      </c>
      <c r="BZ160" s="15">
        <v>-2.6985700000000001</v>
      </c>
      <c r="CA160" s="15">
        <f t="shared" si="446"/>
        <v>-15.01</v>
      </c>
      <c r="CB160" s="15">
        <f t="shared" si="456"/>
        <v>-13.716670000000001</v>
      </c>
      <c r="CC160" s="15">
        <f t="shared" si="466"/>
        <v>-2.7936399999999999</v>
      </c>
      <c r="CD160" s="15">
        <f t="shared" si="476"/>
        <v>-2.7985699999999998</v>
      </c>
      <c r="CE160" s="15">
        <f t="shared" si="486"/>
        <v>-2.3143500000000001</v>
      </c>
      <c r="CF160" s="15">
        <f t="shared" si="496"/>
        <v>-2.5129999999999999</v>
      </c>
      <c r="CG160" s="15">
        <f t="shared" si="506"/>
        <v>-2.8385699999999998</v>
      </c>
      <c r="CH160" s="15">
        <f t="shared" si="516"/>
        <v>-1.6616</v>
      </c>
      <c r="CI160" s="15">
        <f t="shared" si="526"/>
        <v>-3.7727300000000001</v>
      </c>
      <c r="CJ160" s="15">
        <f t="shared" si="536"/>
        <v>-4.2127299999999996</v>
      </c>
      <c r="CK160" s="15">
        <f t="shared" si="546"/>
        <v>-2.7854299999999999</v>
      </c>
      <c r="CL160" s="15">
        <v>3</v>
      </c>
      <c r="CM160" s="15">
        <f t="shared" si="447"/>
        <v>5</v>
      </c>
      <c r="CN160" s="15">
        <f t="shared" si="457"/>
        <v>5</v>
      </c>
      <c r="CO160" s="15">
        <f t="shared" si="467"/>
        <v>3</v>
      </c>
      <c r="CP160" s="15">
        <f t="shared" si="477"/>
        <v>3</v>
      </c>
      <c r="CQ160" s="15">
        <f t="shared" si="487"/>
        <v>3</v>
      </c>
      <c r="CR160" s="15">
        <f t="shared" si="497"/>
        <v>3</v>
      </c>
      <c r="CS160" s="15">
        <f t="shared" si="507"/>
        <v>3</v>
      </c>
      <c r="CT160" s="15">
        <f t="shared" si="517"/>
        <v>3</v>
      </c>
      <c r="CU160" s="15">
        <f t="shared" si="527"/>
        <v>3</v>
      </c>
      <c r="CV160" s="15">
        <f t="shared" si="537"/>
        <v>3</v>
      </c>
      <c r="CW160" s="15">
        <f t="shared" si="547"/>
        <v>3</v>
      </c>
      <c r="CX160" s="15">
        <v>-69.667000000000002</v>
      </c>
      <c r="CY160" s="15">
        <f t="shared" si="448"/>
        <v>-86.188500000000005</v>
      </c>
      <c r="CZ160" s="15">
        <f t="shared" si="458"/>
        <v>-85.830299999999994</v>
      </c>
      <c r="DA160" s="15">
        <f t="shared" si="468"/>
        <v>-70.3048</v>
      </c>
      <c r="DB160" s="15">
        <f t="shared" si="478"/>
        <v>-70.3369</v>
      </c>
      <c r="DC160" s="15">
        <f t="shared" si="488"/>
        <v>-66.631399999999999</v>
      </c>
      <c r="DD160" s="15">
        <f t="shared" si="498"/>
        <v>-68.300899999999999</v>
      </c>
      <c r="DE160" s="15">
        <f t="shared" si="508"/>
        <v>-70.593199999999996</v>
      </c>
      <c r="DF160" s="15">
        <f t="shared" si="518"/>
        <v>-58.959200000000003</v>
      </c>
      <c r="DG160" s="15">
        <f t="shared" si="528"/>
        <v>-75.154499999999999</v>
      </c>
      <c r="DH160" s="15">
        <f t="shared" si="538"/>
        <v>-76.646500000000003</v>
      </c>
      <c r="DI160" s="15">
        <f t="shared" si="548"/>
        <v>-70.251300000000001</v>
      </c>
      <c r="DJ160" s="15" t="s">
        <v>22</v>
      </c>
      <c r="DK160" s="15" t="str">
        <f t="shared" si="449"/>
        <v>HL</v>
      </c>
      <c r="DL160" s="15" t="str">
        <f t="shared" si="459"/>
        <v>LL</v>
      </c>
      <c r="DM160" s="15" t="str">
        <f t="shared" si="469"/>
        <v>LL</v>
      </c>
      <c r="DN160" s="15" t="str">
        <f t="shared" si="479"/>
        <v>LL</v>
      </c>
      <c r="DO160" s="15" t="str">
        <f t="shared" si="489"/>
        <v>HL</v>
      </c>
      <c r="DP160" s="15" t="str">
        <f t="shared" si="499"/>
        <v>LL</v>
      </c>
      <c r="DQ160" s="15" t="str">
        <f t="shared" si="509"/>
        <v>HL</v>
      </c>
      <c r="DR160" s="15" t="str">
        <f t="shared" si="519"/>
        <v>HL</v>
      </c>
      <c r="DS160" s="15" t="str">
        <f t="shared" si="529"/>
        <v>HL</v>
      </c>
      <c r="DT160" s="15" t="str">
        <f t="shared" si="539"/>
        <v>HL</v>
      </c>
      <c r="DU160" s="15" t="str">
        <f t="shared" si="549"/>
        <v>LL</v>
      </c>
      <c r="DV160" s="15">
        <f>IFERROR((G160-$F160)/$F160*100,"")</f>
        <v>-0.3164829534286373</v>
      </c>
      <c r="DW160" s="15">
        <f>IFERROR((H160-$F160)/$F160*100,"")</f>
        <v>-0.59696679910511641</v>
      </c>
      <c r="DX160" s="15">
        <f>IFERROR((I160-$F160)/$F160*100,"")</f>
        <v>-3.2907159847096357E-2</v>
      </c>
      <c r="DY160" s="15">
        <f>IFERROR((J160-$F160)/$F160*100,"")</f>
        <v>1.4364306553383575</v>
      </c>
      <c r="DZ160" s="15">
        <f>IFERROR((K160-$F160)/$F160*100,"")</f>
        <v>1.7491591005965208</v>
      </c>
      <c r="EA160" s="15">
        <f>IFERROR((L160-$F160)/$F160*100,"")</f>
        <v>0.71887788793454066</v>
      </c>
      <c r="EB160" s="15">
        <f>IFERROR((M160-$F160)/$F160*100,"")</f>
        <v>1.9077318574435356</v>
      </c>
      <c r="EC160" s="15">
        <f>IFERROR((N160-$F160)/$F160*100,"")</f>
        <v>1.7153685270622756</v>
      </c>
      <c r="ED160" s="15">
        <f>IFERROR((O160-$F160)/$F160*100,"")</f>
        <v>0.2855634743776766</v>
      </c>
      <c r="EE160" s="15">
        <f>IFERROR((P160-$F160)/$F160*100,"")</f>
        <v>-0.20936904385929148</v>
      </c>
      <c r="EF160" s="15">
        <f>IFERROR((Q160-$F160)/$F160*100,"")</f>
        <v>-0.38892287577658868</v>
      </c>
      <c r="EG160" s="15" t="str">
        <f>IF(DV160="","",IF(AND(ABS(DV160)&lt;=0.25,$E160="Bottom",DK160="LL"),"EQL",IF(AND(ABS(DV160)&lt;=0.25,$E160="Peak",DK160="HH"),"EQH","")))</f>
        <v/>
      </c>
      <c r="EH160" s="15" t="str">
        <f>IF(DW160="","",IF(AND(ABS(DW160)&lt;=0.25,$E160="Bottom",DL160="LL"),"EQL",IF(AND(ABS(DW160)&lt;=0.25,$E160="Peak",DL160="HH"),"EQH","")))</f>
        <v/>
      </c>
      <c r="EI160" s="15" t="str">
        <f>IF(DX160="","",IF(AND(ABS(DX160)&lt;=0.25,$E160="Bottom",DM160="LL"),"EQL",IF(AND(ABS(DX160)&lt;=0.25,$E160="Peak",DM160="HH"),"EQH","")))</f>
        <v>EQL</v>
      </c>
      <c r="EJ160" s="15" t="str">
        <f>IF(DY160="","",IF(AND(ABS(DY160)&lt;=0.25,$E160="Bottom",DN160="LL"),"EQL",IF(AND(ABS(DY160)&lt;=0.25,$E160="Peak",DN160="HH"),"EQH","")))</f>
        <v/>
      </c>
      <c r="EK160" s="15" t="str">
        <f>IF(DZ160="","",IF(AND(ABS(DZ160)&lt;=0.25,$E160="Bottom",DO160="LL"),"EQL",IF(AND(ABS(DZ160)&lt;=0.25,$E160="Peak",DO160="HH"),"EQH","")))</f>
        <v/>
      </c>
      <c r="EL160" s="15" t="str">
        <f>IF(EA160="","",IF(AND(ABS(EA160)&lt;=0.25,$E160="Bottom",DP160="LL"),"EQL",IF(AND(ABS(EA160)&lt;=0.25,$E160="Peak",DP160="HH"),"EQH","")))</f>
        <v/>
      </c>
      <c r="EM160" s="15" t="str">
        <f>IF(EB160="","",IF(AND(ABS(EB160)&lt;=0.25,$E160="Bottom",DQ160="LL"),"EQL",IF(AND(ABS(EB160)&lt;=0.25,$E160="Peak",DQ160="HH"),"EQH","")))</f>
        <v/>
      </c>
      <c r="EN160" s="15" t="str">
        <f>IF(EC160="","",IF(AND(ABS(EC160)&lt;=0.25,$E160="Bottom",DR160="LL"),"EQL",IF(AND(ABS(EC160)&lt;=0.25,$E160="Peak",DR160="HH"),"EQH","")))</f>
        <v/>
      </c>
      <c r="EO160" s="15" t="str">
        <f>IF(ED160="","",IF(AND(ABS(ED160)&lt;=0.25,$E160="Bottom",DS160="LL"),"EQL",IF(AND(ABS(ED160)&lt;=0.25,$E160="Peak",DS160="HH"),"EQH","")))</f>
        <v/>
      </c>
      <c r="EP160" s="15" t="str">
        <f>IF(EE160="","",IF(AND(ABS(EE160)&lt;=0.25,$E160="Bottom",DT160="LL"),"EQL",IF(AND(ABS(EE160)&lt;=0.25,$E160="Peak",DT160="HH"),"EQH","")))</f>
        <v/>
      </c>
      <c r="EQ160" s="15" t="str">
        <f>IF(EF160="","",IF(AND(ABS(EF160)&lt;=0.25,$E160="Bottom",DU160="LL"),"EQL",IF(AND(ABS(EF160)&lt;=0.25,$E160="Peak",DU160="HH"),"EQH","")))</f>
        <v/>
      </c>
      <c r="ER160" s="15" t="str">
        <f>IF(OR(EG160="EQL",EG160="EQH"),F160,"")</f>
        <v/>
      </c>
      <c r="ES160" s="15" t="str">
        <f>IF(OR(EH160="EQL",EH160="EQH"),G160,"")</f>
        <v/>
      </c>
      <c r="ET160" s="15">
        <f>IF(OR(EI160="EQL",EI160="EQH"),H160,"")</f>
        <v>4500.8599999999997</v>
      </c>
      <c r="EU160" s="15" t="str">
        <f>IF(OR(EJ160="EQL",EJ160="EQH"),I160,"")</f>
        <v/>
      </c>
      <c r="EV160" s="15" t="str">
        <f>IF(OR(EK160="EQL",EK160="EQH"),J160,"")</f>
        <v/>
      </c>
      <c r="EW160" s="15" t="str">
        <f>IF(OR(EL160="EQL",EL160="EQH"),K160,"")</f>
        <v/>
      </c>
      <c r="EX160" s="15" t="str">
        <f>IF(OR(EM160="EQL",EM160="EQH"),L160,"")</f>
        <v/>
      </c>
      <c r="EY160" s="15" t="str">
        <f>IF(OR(EN160="EQL",EN160="EQH"),M160,"")</f>
        <v/>
      </c>
      <c r="EZ160" s="15" t="str">
        <f>IF(OR(EO160="EQL",EO160="EQH"),N160,"")</f>
        <v/>
      </c>
      <c r="FA160" s="15" t="str">
        <f>IF(OR(EP160="EQL",EP160="EQH"),O160,"")</f>
        <v/>
      </c>
      <c r="FB160" s="15" t="str">
        <f>IF(OR(EQ160="EQL",EQ160="EQH"),P160,"")</f>
        <v/>
      </c>
      <c r="FC160" s="15" t="str">
        <f>IF(AND(EG160="EQL",OR(AQ160=4,AQ160=5)),"IEQL",IF(AND(EG160="EQH",OR(AQ160=1,AQ160=2)),"IEQH",""))</f>
        <v/>
      </c>
      <c r="FD160" s="15" t="str">
        <f>IF(AND(EH160="EQL",OR(AR160=4,AR160=5)),"IEQL",IF(AND(EH160="EQH",OR(AR160=1,AR160=2)),"IEQH",""))</f>
        <v/>
      </c>
      <c r="FE160" s="15" t="str">
        <f>IF(AND(EI160="EQL",OR(AS160=4,AS160=5)),"IEQL",IF(AND(EI160="EQH",OR(AS160=1,AS160=2)),"IEQH",""))</f>
        <v>IEQL</v>
      </c>
      <c r="FF160" s="15" t="str">
        <f>IF(AND(EJ160="EQL",OR(AT160=4,AT160=5)),"IEQL",IF(AND(EJ160="EQH",OR(AT160=1,AT160=2)),"IEQH",""))</f>
        <v/>
      </c>
      <c r="FG160" s="15" t="str">
        <f>IF(AND(EK160="EQL",OR(AU160=4,AU160=5)),"IEQL",IF(AND(EK160="EQH",OR(AU160=1,AU160=2)),"IEQH",""))</f>
        <v/>
      </c>
      <c r="FH160" s="15" t="str">
        <f>IF(AND(EL160="EQL",OR(AV160=4,AV160=5)),"IEQL",IF(AND(EL160="EQH",OR(AV160=1,AV160=2)),"IEQH",""))</f>
        <v/>
      </c>
      <c r="FI160" s="15" t="str">
        <f>IF(AND(EM160="EQL",OR(AW160=4,AW160=5)),"IEQL",IF(AND(EM160="EQH",OR(AW160=1,AW160=2)),"IEQH",""))</f>
        <v/>
      </c>
      <c r="FJ160" s="15" t="str">
        <f>IF(AND(EN160="EQL",OR(AX160=4,AX160=5)),"IEQL",IF(AND(EN160="EQH",OR(AX160=1,AX160=2)),"IEQH",""))</f>
        <v/>
      </c>
      <c r="FK160" s="15" t="str">
        <f>IF(AND(EO160="EQL",OR(AY160=4,AY160=5)),"IEQL",IF(AND(EO160="EQH",OR(AY160=1,AY160=2)),"IEQH",""))</f>
        <v/>
      </c>
      <c r="FL160" s="15" t="str">
        <f>IF(AND(EP160="EQL",OR(AZ160=4,AZ160=5)),"IEQL",IF(AND(EP160="EQH",OR(AZ160=1,AZ160=2)),"IEQH",""))</f>
        <v/>
      </c>
      <c r="FM160" s="15" t="str">
        <f>IF(AND(EQ160="EQL",OR(BA160=4,BA160=5)),"IEQL",IF(AND(EQ160="EQH",OR(BA160=1,BA160=2)),"IEQH",""))</f>
        <v/>
      </c>
      <c r="FN160" s="15" t="str">
        <f>IF(OR(AND(DJ160="LL",AP160=5),AND(DJ160="HH",AP160=2)),F160,"")</f>
        <v/>
      </c>
      <c r="FO160" s="15" t="str">
        <f>IF(FN160&lt;&gt;"",F159,"")</f>
        <v/>
      </c>
    </row>
    <row r="161" spans="1:171" s="15" customFormat="1" x14ac:dyDescent="0.55000000000000004">
      <c r="A161" s="15">
        <v>1777971606</v>
      </c>
      <c r="B161" s="15" t="s">
        <v>16</v>
      </c>
      <c r="C161" s="15" t="s">
        <v>17</v>
      </c>
      <c r="D161" s="15">
        <v>4557.6099999999997</v>
      </c>
      <c r="E161" s="15" t="s">
        <v>20</v>
      </c>
      <c r="F161" s="15">
        <v>4560.53</v>
      </c>
      <c r="G161" s="15">
        <f t="shared" si="440"/>
        <v>4546.78</v>
      </c>
      <c r="H161" s="15">
        <f t="shared" si="450"/>
        <v>4528.57</v>
      </c>
      <c r="I161" s="15">
        <f t="shared" si="460"/>
        <v>4583.16</v>
      </c>
      <c r="J161" s="15">
        <f t="shared" si="470"/>
        <v>4618.59</v>
      </c>
      <c r="K161" s="15">
        <f t="shared" si="480"/>
        <v>4632.1099999999997</v>
      </c>
      <c r="L161" s="15">
        <f t="shared" si="490"/>
        <v>4660.32</v>
      </c>
      <c r="M161" s="15">
        <f t="shared" si="500"/>
        <v>4635.83</v>
      </c>
      <c r="N161" s="15">
        <f t="shared" si="510"/>
        <v>4634.1400000000003</v>
      </c>
      <c r="O161" s="15">
        <f t="shared" si="520"/>
        <v>4647.1000000000004</v>
      </c>
      <c r="P161" s="15">
        <f t="shared" si="530"/>
        <v>4582.32</v>
      </c>
      <c r="Q161" s="15">
        <f t="shared" si="540"/>
        <v>4564.75</v>
      </c>
      <c r="R161" s="15">
        <v>32.64</v>
      </c>
      <c r="S161" s="15">
        <f t="shared" si="441"/>
        <v>33.22</v>
      </c>
      <c r="T161" s="15">
        <f t="shared" si="451"/>
        <v>27.71</v>
      </c>
      <c r="U161" s="15">
        <f t="shared" si="461"/>
        <v>56.76</v>
      </c>
      <c r="V161" s="15">
        <f t="shared" si="471"/>
        <v>25.66</v>
      </c>
      <c r="W161" s="15">
        <f t="shared" si="481"/>
        <v>25.02</v>
      </c>
      <c r="X161" s="15">
        <f t="shared" si="491"/>
        <v>99.88</v>
      </c>
      <c r="Y161" s="15">
        <f t="shared" si="501"/>
        <v>21.56</v>
      </c>
      <c r="Z161" s="15">
        <f t="shared" si="511"/>
        <v>28.58</v>
      </c>
      <c r="AA161" s="15">
        <f t="shared" si="521"/>
        <v>106.28</v>
      </c>
      <c r="AB161" s="15">
        <f t="shared" si="531"/>
        <v>63.91</v>
      </c>
      <c r="AC161" s="15">
        <f t="shared" si="541"/>
        <v>54.47</v>
      </c>
      <c r="AD161" s="15">
        <v>0.72</v>
      </c>
      <c r="AE161" s="15">
        <f t="shared" si="442"/>
        <v>0.74</v>
      </c>
      <c r="AF161" s="15">
        <f t="shared" si="452"/>
        <v>0.62</v>
      </c>
      <c r="AG161" s="15">
        <f t="shared" si="462"/>
        <v>1.25</v>
      </c>
      <c r="AH161" s="15">
        <f t="shared" si="472"/>
        <v>0.56000000000000005</v>
      </c>
      <c r="AI161" s="15">
        <f t="shared" si="482"/>
        <v>0.54</v>
      </c>
      <c r="AJ161" s="15">
        <f t="shared" si="492"/>
        <v>2.19</v>
      </c>
      <c r="AK161" s="15">
        <f t="shared" si="502"/>
        <v>0.47</v>
      </c>
      <c r="AL161" s="15">
        <f t="shared" si="512"/>
        <v>0.62</v>
      </c>
      <c r="AM161" s="15">
        <f t="shared" si="522"/>
        <v>2.34</v>
      </c>
      <c r="AN161" s="15">
        <f t="shared" si="532"/>
        <v>1.41</v>
      </c>
      <c r="AO161" s="15">
        <f t="shared" si="542"/>
        <v>1.21</v>
      </c>
      <c r="AP161" s="15">
        <v>0</v>
      </c>
      <c r="AQ161" s="15">
        <f t="shared" si="443"/>
        <v>0</v>
      </c>
      <c r="AR161" s="15">
        <f t="shared" si="453"/>
        <v>0</v>
      </c>
      <c r="AS161" s="15">
        <f t="shared" si="463"/>
        <v>0</v>
      </c>
      <c r="AT161" s="15">
        <f t="shared" si="473"/>
        <v>0</v>
      </c>
      <c r="AU161" s="15">
        <f t="shared" si="483"/>
        <v>0</v>
      </c>
      <c r="AV161" s="15">
        <f t="shared" si="493"/>
        <v>1</v>
      </c>
      <c r="AW161" s="15">
        <f t="shared" si="503"/>
        <v>0</v>
      </c>
      <c r="AX161" s="15">
        <f t="shared" si="513"/>
        <v>0</v>
      </c>
      <c r="AY161" s="15">
        <f t="shared" si="523"/>
        <v>1</v>
      </c>
      <c r="AZ161" s="15">
        <f t="shared" si="533"/>
        <v>0</v>
      </c>
      <c r="BA161" s="15">
        <f t="shared" si="543"/>
        <v>0</v>
      </c>
      <c r="BB161" s="15">
        <v>18</v>
      </c>
      <c r="BC161" s="15">
        <f t="shared" si="444"/>
        <v>10</v>
      </c>
      <c r="BD161" s="15">
        <f t="shared" si="454"/>
        <v>28</v>
      </c>
      <c r="BE161" s="15">
        <f t="shared" si="464"/>
        <v>17</v>
      </c>
      <c r="BF161" s="15">
        <f t="shared" si="474"/>
        <v>2</v>
      </c>
      <c r="BG161" s="15">
        <f t="shared" si="484"/>
        <v>4</v>
      </c>
      <c r="BH161" s="15">
        <f t="shared" si="494"/>
        <v>18</v>
      </c>
      <c r="BI161" s="15">
        <f t="shared" si="504"/>
        <v>4</v>
      </c>
      <c r="BJ161" s="15">
        <f t="shared" si="514"/>
        <v>23</v>
      </c>
      <c r="BK161" s="15">
        <f t="shared" si="524"/>
        <v>24</v>
      </c>
      <c r="BL161" s="15">
        <f t="shared" si="534"/>
        <v>24</v>
      </c>
      <c r="BM161" s="15">
        <f t="shared" si="544"/>
        <v>9</v>
      </c>
      <c r="BN161" s="15">
        <v>0</v>
      </c>
      <c r="BO161" s="15">
        <f t="shared" si="445"/>
        <v>0</v>
      </c>
      <c r="BP161" s="15">
        <f t="shared" si="455"/>
        <v>0</v>
      </c>
      <c r="BQ161" s="15">
        <f t="shared" si="465"/>
        <v>0</v>
      </c>
      <c r="BR161" s="15">
        <f t="shared" si="475"/>
        <v>0</v>
      </c>
      <c r="BS161" s="15">
        <f t="shared" si="485"/>
        <v>0</v>
      </c>
      <c r="BT161" s="15">
        <f t="shared" si="495"/>
        <v>0</v>
      </c>
      <c r="BU161" s="15">
        <f t="shared" si="505"/>
        <v>0</v>
      </c>
      <c r="BV161" s="15">
        <f t="shared" si="515"/>
        <v>0</v>
      </c>
      <c r="BW161" s="15">
        <f t="shared" si="525"/>
        <v>0</v>
      </c>
      <c r="BX161" s="15">
        <f t="shared" si="535"/>
        <v>0</v>
      </c>
      <c r="BY161" s="15">
        <f t="shared" si="545"/>
        <v>0</v>
      </c>
      <c r="BZ161" s="15">
        <v>1.8133300000000001</v>
      </c>
      <c r="CA161" s="15">
        <f t="shared" si="446"/>
        <v>3.3220000000000001</v>
      </c>
      <c r="CB161" s="15">
        <f t="shared" si="456"/>
        <v>0.98963999999999996</v>
      </c>
      <c r="CC161" s="15">
        <f t="shared" si="466"/>
        <v>3.3388200000000001</v>
      </c>
      <c r="CD161" s="15">
        <f t="shared" si="476"/>
        <v>12.83</v>
      </c>
      <c r="CE161" s="15">
        <f t="shared" si="486"/>
        <v>6.2549999999999999</v>
      </c>
      <c r="CF161" s="15">
        <f t="shared" si="496"/>
        <v>5.5488900000000001</v>
      </c>
      <c r="CG161" s="15">
        <f t="shared" si="506"/>
        <v>5.39</v>
      </c>
      <c r="CH161" s="15">
        <f t="shared" si="516"/>
        <v>1.24261</v>
      </c>
      <c r="CI161" s="15">
        <f t="shared" si="526"/>
        <v>4.4283299999999999</v>
      </c>
      <c r="CJ161" s="15">
        <f t="shared" si="536"/>
        <v>2.6629200000000002</v>
      </c>
      <c r="CK161" s="15">
        <f t="shared" si="546"/>
        <v>6.0522200000000002</v>
      </c>
      <c r="CL161" s="15">
        <v>0</v>
      </c>
      <c r="CM161" s="15">
        <f t="shared" si="447"/>
        <v>0</v>
      </c>
      <c r="CN161" s="15">
        <f t="shared" si="457"/>
        <v>0</v>
      </c>
      <c r="CO161" s="15">
        <f t="shared" si="467"/>
        <v>0</v>
      </c>
      <c r="CP161" s="15">
        <f t="shared" si="477"/>
        <v>0</v>
      </c>
      <c r="CQ161" s="15">
        <f t="shared" si="487"/>
        <v>0</v>
      </c>
      <c r="CR161" s="15">
        <f t="shared" si="497"/>
        <v>0</v>
      </c>
      <c r="CS161" s="15">
        <f t="shared" si="507"/>
        <v>0</v>
      </c>
      <c r="CT161" s="15">
        <f t="shared" si="517"/>
        <v>0</v>
      </c>
      <c r="CU161" s="15">
        <f t="shared" si="527"/>
        <v>0</v>
      </c>
      <c r="CV161" s="15">
        <f t="shared" si="537"/>
        <v>0</v>
      </c>
      <c r="CW161" s="15">
        <f t="shared" si="547"/>
        <v>0</v>
      </c>
      <c r="CX161" s="15">
        <v>61.124600000000001</v>
      </c>
      <c r="CY161" s="15">
        <f t="shared" si="448"/>
        <v>73.247</v>
      </c>
      <c r="CZ161" s="15">
        <f t="shared" si="458"/>
        <v>44.701700000000002</v>
      </c>
      <c r="DA161" s="15">
        <f t="shared" si="468"/>
        <v>73.326700000000002</v>
      </c>
      <c r="DB161" s="15">
        <f t="shared" si="478"/>
        <v>85.543199999999999</v>
      </c>
      <c r="DC161" s="15">
        <f t="shared" si="488"/>
        <v>80.916899999999998</v>
      </c>
      <c r="DD161" s="15">
        <f t="shared" si="498"/>
        <v>79.784000000000006</v>
      </c>
      <c r="DE161" s="15">
        <f t="shared" si="508"/>
        <v>79.489500000000007</v>
      </c>
      <c r="DF161" s="15">
        <f t="shared" si="518"/>
        <v>51.174300000000002</v>
      </c>
      <c r="DG161" s="15">
        <f t="shared" si="528"/>
        <v>77.275000000000006</v>
      </c>
      <c r="DH161" s="15">
        <f t="shared" si="538"/>
        <v>69.417400000000001</v>
      </c>
      <c r="DI161" s="15">
        <f t="shared" si="548"/>
        <v>80.617900000000006</v>
      </c>
      <c r="DJ161" s="15" t="s">
        <v>23</v>
      </c>
      <c r="DK161" s="15" t="str">
        <f t="shared" si="449"/>
        <v>HH</v>
      </c>
      <c r="DL161" s="15" t="str">
        <f t="shared" si="459"/>
        <v>LH</v>
      </c>
      <c r="DM161" s="15" t="str">
        <f t="shared" si="469"/>
        <v>LH</v>
      </c>
      <c r="DN161" s="15" t="str">
        <f t="shared" si="479"/>
        <v>LH</v>
      </c>
      <c r="DO161" s="15" t="str">
        <f t="shared" si="489"/>
        <v>LH</v>
      </c>
      <c r="DP161" s="15" t="str">
        <f t="shared" si="499"/>
        <v>HH</v>
      </c>
      <c r="DQ161" s="15" t="str">
        <f t="shared" si="509"/>
        <v>HH</v>
      </c>
      <c r="DR161" s="15" t="str">
        <f t="shared" si="519"/>
        <v>LH</v>
      </c>
      <c r="DS161" s="15" t="str">
        <f t="shared" si="529"/>
        <v>HH</v>
      </c>
      <c r="DT161" s="15" t="str">
        <f t="shared" si="539"/>
        <v>HH</v>
      </c>
      <c r="DU161" s="15" t="str">
        <f t="shared" si="549"/>
        <v>LH</v>
      </c>
      <c r="DV161" s="15">
        <f>IFERROR((G161-$F161)/$F161*100,"")</f>
        <v>-0.30150004495091581</v>
      </c>
      <c r="DW161" s="15">
        <f>IFERROR((H161-$F161)/$F161*100,"")</f>
        <v>-0.70079574084591134</v>
      </c>
      <c r="DX161" s="15">
        <f>IFERROR((I161-$F161)/$F161*100,"")</f>
        <v>0.49621425579921874</v>
      </c>
      <c r="DY161" s="15">
        <f>IFERROR((J161-$F161)/$F161*100,"")</f>
        <v>1.2730976443527486</v>
      </c>
      <c r="DZ161" s="15">
        <f>IFERROR((K161-$F161)/$F161*100,"")</f>
        <v>1.569554415824475</v>
      </c>
      <c r="EA161" s="15">
        <f>IFERROR((L161-$F161)/$F161*100,"")</f>
        <v>2.1881228716837731</v>
      </c>
      <c r="EB161" s="15">
        <f>IFERROR((M161-$F161)/$F161*100,"")</f>
        <v>1.6511238825312011</v>
      </c>
      <c r="EC161" s="15">
        <f>IFERROR((N161-$F161)/$F161*100,"")</f>
        <v>1.6140667860972426</v>
      </c>
      <c r="ED161" s="15">
        <f>IFERROR((O161-$F161)/$F161*100,"")</f>
        <v>1.8982442830109796</v>
      </c>
      <c r="EE161" s="15">
        <f>IFERROR((P161-$F161)/$F161*100,"")</f>
        <v>0.47779534396221413</v>
      </c>
      <c r="EF161" s="15">
        <f>IFERROR((Q161-$F161)/$F161*100,"")</f>
        <v>9.2533104704941208E-2</v>
      </c>
      <c r="EG161" s="15" t="str">
        <f>IF(DV161="","",IF(AND(ABS(DV161)&lt;=0.25,$E161="Bottom",DK161="LL"),"EQL",IF(AND(ABS(DV161)&lt;=0.25,$E161="Peak",DK161="HH"),"EQH","")))</f>
        <v/>
      </c>
      <c r="EH161" s="15" t="str">
        <f>IF(DW161="","",IF(AND(ABS(DW161)&lt;=0.25,$E161="Bottom",DL161="LL"),"EQL",IF(AND(ABS(DW161)&lt;=0.25,$E161="Peak",DL161="HH"),"EQH","")))</f>
        <v/>
      </c>
      <c r="EI161" s="15" t="str">
        <f>IF(DX161="","",IF(AND(ABS(DX161)&lt;=0.25,$E161="Bottom",DM161="LL"),"EQL",IF(AND(ABS(DX161)&lt;=0.25,$E161="Peak",DM161="HH"),"EQH","")))</f>
        <v/>
      </c>
      <c r="EJ161" s="15" t="str">
        <f>IF(DY161="","",IF(AND(ABS(DY161)&lt;=0.25,$E161="Bottom",DN161="LL"),"EQL",IF(AND(ABS(DY161)&lt;=0.25,$E161="Peak",DN161="HH"),"EQH","")))</f>
        <v/>
      </c>
      <c r="EK161" s="15" t="str">
        <f>IF(DZ161="","",IF(AND(ABS(DZ161)&lt;=0.25,$E161="Bottom",DO161="LL"),"EQL",IF(AND(ABS(DZ161)&lt;=0.25,$E161="Peak",DO161="HH"),"EQH","")))</f>
        <v/>
      </c>
      <c r="EL161" s="15" t="str">
        <f>IF(EA161="","",IF(AND(ABS(EA161)&lt;=0.25,$E161="Bottom",DP161="LL"),"EQL",IF(AND(ABS(EA161)&lt;=0.25,$E161="Peak",DP161="HH"),"EQH","")))</f>
        <v/>
      </c>
      <c r="EM161" s="15" t="str">
        <f>IF(EB161="","",IF(AND(ABS(EB161)&lt;=0.25,$E161="Bottom",DQ161="LL"),"EQL",IF(AND(ABS(EB161)&lt;=0.25,$E161="Peak",DQ161="HH"),"EQH","")))</f>
        <v/>
      </c>
      <c r="EN161" s="15" t="str">
        <f>IF(EC161="","",IF(AND(ABS(EC161)&lt;=0.25,$E161="Bottom",DR161="LL"),"EQL",IF(AND(ABS(EC161)&lt;=0.25,$E161="Peak",DR161="HH"),"EQH","")))</f>
        <v/>
      </c>
      <c r="EO161" s="15" t="str">
        <f>IF(ED161="","",IF(AND(ABS(ED161)&lt;=0.25,$E161="Bottom",DS161="LL"),"EQL",IF(AND(ABS(ED161)&lt;=0.25,$E161="Peak",DS161="HH"),"EQH","")))</f>
        <v/>
      </c>
      <c r="EP161" s="15" t="str">
        <f>IF(EE161="","",IF(AND(ABS(EE161)&lt;=0.25,$E161="Bottom",DT161="LL"),"EQL",IF(AND(ABS(EE161)&lt;=0.25,$E161="Peak",DT161="HH"),"EQH","")))</f>
        <v/>
      </c>
      <c r="EQ161" s="15" t="str">
        <f>IF(EF161="","",IF(AND(ABS(EF161)&lt;=0.25,$E161="Bottom",DU161="LL"),"EQL",IF(AND(ABS(EF161)&lt;=0.25,$E161="Peak",DU161="HH"),"EQH","")))</f>
        <v/>
      </c>
      <c r="ER161" s="15" t="str">
        <f>IF(OR(EG161="EQL",EG161="EQH"),F161,"")</f>
        <v/>
      </c>
      <c r="ES161" s="15" t="str">
        <f>IF(OR(EH161="EQL",EH161="EQH"),G161,"")</f>
        <v/>
      </c>
      <c r="ET161" s="15" t="str">
        <f>IF(OR(EI161="EQL",EI161="EQH"),H161,"")</f>
        <v/>
      </c>
      <c r="EU161" s="15" t="str">
        <f>IF(OR(EJ161="EQL",EJ161="EQH"),I161,"")</f>
        <v/>
      </c>
      <c r="EV161" s="15" t="str">
        <f>IF(OR(EK161="EQL",EK161="EQH"),J161,"")</f>
        <v/>
      </c>
      <c r="EW161" s="15" t="str">
        <f>IF(OR(EL161="EQL",EL161="EQH"),K161,"")</f>
        <v/>
      </c>
      <c r="EX161" s="15" t="str">
        <f>IF(OR(EM161="EQL",EM161="EQH"),L161,"")</f>
        <v/>
      </c>
      <c r="EY161" s="15" t="str">
        <f>IF(OR(EN161="EQL",EN161="EQH"),M161,"")</f>
        <v/>
      </c>
      <c r="EZ161" s="15" t="str">
        <f>IF(OR(EO161="EQL",EO161="EQH"),N161,"")</f>
        <v/>
      </c>
      <c r="FA161" s="15" t="str">
        <f>IF(OR(EP161="EQL",EP161="EQH"),O161,"")</f>
        <v/>
      </c>
      <c r="FB161" s="15" t="str">
        <f>IF(OR(EQ161="EQL",EQ161="EQH"),P161,"")</f>
        <v/>
      </c>
      <c r="FC161" s="15" t="str">
        <f>IF(AND(EG161="EQL",OR(AQ161=4,AQ161=5)),"IEQL",IF(AND(EG161="EQH",OR(AQ161=1,AQ161=2)),"IEQH",""))</f>
        <v/>
      </c>
      <c r="FD161" s="15" t="str">
        <f>IF(AND(EH161="EQL",OR(AR161=4,AR161=5)),"IEQL",IF(AND(EH161="EQH",OR(AR161=1,AR161=2)),"IEQH",""))</f>
        <v/>
      </c>
      <c r="FE161" s="15" t="str">
        <f>IF(AND(EI161="EQL",OR(AS161=4,AS161=5)),"IEQL",IF(AND(EI161="EQH",OR(AS161=1,AS161=2)),"IEQH",""))</f>
        <v/>
      </c>
      <c r="FF161" s="15" t="str">
        <f>IF(AND(EJ161="EQL",OR(AT161=4,AT161=5)),"IEQL",IF(AND(EJ161="EQH",OR(AT161=1,AT161=2)),"IEQH",""))</f>
        <v/>
      </c>
      <c r="FG161" s="15" t="str">
        <f>IF(AND(EK161="EQL",OR(AU161=4,AU161=5)),"IEQL",IF(AND(EK161="EQH",OR(AU161=1,AU161=2)),"IEQH",""))</f>
        <v/>
      </c>
      <c r="FH161" s="15" t="str">
        <f>IF(AND(EL161="EQL",OR(AV161=4,AV161=5)),"IEQL",IF(AND(EL161="EQH",OR(AV161=1,AV161=2)),"IEQH",""))</f>
        <v/>
      </c>
      <c r="FI161" s="15" t="str">
        <f>IF(AND(EM161="EQL",OR(AW161=4,AW161=5)),"IEQL",IF(AND(EM161="EQH",OR(AW161=1,AW161=2)),"IEQH",""))</f>
        <v/>
      </c>
      <c r="FJ161" s="15" t="str">
        <f>IF(AND(EN161="EQL",OR(AX161=4,AX161=5)),"IEQL",IF(AND(EN161="EQH",OR(AX161=1,AX161=2)),"IEQH",""))</f>
        <v/>
      </c>
      <c r="FK161" s="15" t="str">
        <f>IF(AND(EO161="EQL",OR(AY161=4,AY161=5)),"IEQL",IF(AND(EO161="EQH",OR(AY161=1,AY161=2)),"IEQH",""))</f>
        <v/>
      </c>
      <c r="FL161" s="15" t="str">
        <f>IF(AND(EP161="EQL",OR(AZ161=4,AZ161=5)),"IEQL",IF(AND(EP161="EQH",OR(AZ161=1,AZ161=2)),"IEQH",""))</f>
        <v/>
      </c>
      <c r="FM161" s="15" t="str">
        <f>IF(AND(EQ161="EQL",OR(BA161=4,BA161=5)),"IEQL",IF(AND(EQ161="EQH",OR(BA161=1,BA161=2)),"IEQH",""))</f>
        <v/>
      </c>
      <c r="FN161" s="15" t="str">
        <f>IF(OR(AND(DJ161="LL",AP161=5),AND(DJ161="HH",AP161=2)),F161,"")</f>
        <v/>
      </c>
      <c r="FO161" s="15" t="str">
        <f>IF(FN161&lt;&gt;"",F160,"")</f>
        <v/>
      </c>
    </row>
    <row r="162" spans="1:171" s="15" customFormat="1" x14ac:dyDescent="0.55000000000000004">
      <c r="A162" s="15">
        <v>1777978806</v>
      </c>
      <c r="B162" s="15" t="s">
        <v>16</v>
      </c>
      <c r="C162" s="15" t="s">
        <v>17</v>
      </c>
      <c r="D162" s="15">
        <v>4552.62</v>
      </c>
      <c r="E162" s="15" t="s">
        <v>18</v>
      </c>
      <c r="F162" s="15">
        <v>4540</v>
      </c>
      <c r="G162" s="15">
        <f t="shared" si="440"/>
        <v>4527.8900000000003</v>
      </c>
      <c r="H162" s="15">
        <f t="shared" si="450"/>
        <v>4513.5600000000004</v>
      </c>
      <c r="I162" s="15">
        <f t="shared" si="460"/>
        <v>4500.8599999999997</v>
      </c>
      <c r="J162" s="15">
        <f t="shared" si="470"/>
        <v>4526.3999999999996</v>
      </c>
      <c r="K162" s="15">
        <f t="shared" si="480"/>
        <v>4592.93</v>
      </c>
      <c r="L162" s="15">
        <f t="shared" si="490"/>
        <v>4607.09</v>
      </c>
      <c r="M162" s="15">
        <f t="shared" si="500"/>
        <v>4560.4399999999996</v>
      </c>
      <c r="N162" s="15">
        <f t="shared" si="510"/>
        <v>4614.2700000000004</v>
      </c>
      <c r="O162" s="15">
        <f t="shared" si="520"/>
        <v>4605.5600000000004</v>
      </c>
      <c r="P162" s="15">
        <f t="shared" si="530"/>
        <v>4540.82</v>
      </c>
      <c r="Q162" s="15">
        <f t="shared" si="540"/>
        <v>4518.41</v>
      </c>
      <c r="R162" s="15">
        <v>-20.53</v>
      </c>
      <c r="S162" s="15">
        <f t="shared" si="441"/>
        <v>-18.89</v>
      </c>
      <c r="T162" s="15">
        <f t="shared" si="451"/>
        <v>-15.01</v>
      </c>
      <c r="U162" s="15">
        <f t="shared" si="461"/>
        <v>-82.3</v>
      </c>
      <c r="V162" s="15">
        <f t="shared" si="471"/>
        <v>-92.19</v>
      </c>
      <c r="W162" s="15">
        <f t="shared" si="481"/>
        <v>-39.18</v>
      </c>
      <c r="X162" s="15">
        <f t="shared" si="491"/>
        <v>-53.23</v>
      </c>
      <c r="Y162" s="15">
        <f t="shared" si="501"/>
        <v>-75.39</v>
      </c>
      <c r="Z162" s="15">
        <f t="shared" si="511"/>
        <v>-19.87</v>
      </c>
      <c r="AA162" s="15">
        <f t="shared" si="521"/>
        <v>-41.54</v>
      </c>
      <c r="AB162" s="15">
        <f t="shared" si="531"/>
        <v>-41.5</v>
      </c>
      <c r="AC162" s="15">
        <f t="shared" si="541"/>
        <v>-46.34</v>
      </c>
      <c r="AD162" s="15">
        <v>-0.45</v>
      </c>
      <c r="AE162" s="15">
        <f t="shared" si="442"/>
        <v>-0.42</v>
      </c>
      <c r="AF162" s="15">
        <f t="shared" si="452"/>
        <v>-0.33</v>
      </c>
      <c r="AG162" s="15">
        <f t="shared" si="462"/>
        <v>-1.8</v>
      </c>
      <c r="AH162" s="15">
        <f t="shared" si="472"/>
        <v>-2</v>
      </c>
      <c r="AI162" s="15">
        <f t="shared" si="482"/>
        <v>-0.85</v>
      </c>
      <c r="AJ162" s="15">
        <f t="shared" si="492"/>
        <v>-1.1399999999999999</v>
      </c>
      <c r="AK162" s="15">
        <f t="shared" si="502"/>
        <v>-1.63</v>
      </c>
      <c r="AL162" s="15">
        <f t="shared" si="512"/>
        <v>-0.43</v>
      </c>
      <c r="AM162" s="15">
        <f t="shared" si="522"/>
        <v>-0.89</v>
      </c>
      <c r="AN162" s="15">
        <f t="shared" si="532"/>
        <v>-0.91</v>
      </c>
      <c r="AO162" s="15">
        <f t="shared" si="542"/>
        <v>-1.02</v>
      </c>
      <c r="AP162" s="15">
        <v>3</v>
      </c>
      <c r="AQ162" s="15">
        <f t="shared" si="443"/>
        <v>3</v>
      </c>
      <c r="AR162" s="15">
        <f t="shared" si="453"/>
        <v>3</v>
      </c>
      <c r="AS162" s="15">
        <f t="shared" si="463"/>
        <v>3</v>
      </c>
      <c r="AT162" s="15">
        <f t="shared" si="473"/>
        <v>4</v>
      </c>
      <c r="AU162" s="15">
        <f t="shared" si="483"/>
        <v>3</v>
      </c>
      <c r="AV162" s="15">
        <f t="shared" si="493"/>
        <v>3</v>
      </c>
      <c r="AW162" s="15">
        <f t="shared" si="503"/>
        <v>3</v>
      </c>
      <c r="AX162" s="15">
        <f t="shared" si="513"/>
        <v>3</v>
      </c>
      <c r="AY162" s="15">
        <f t="shared" si="523"/>
        <v>3</v>
      </c>
      <c r="AZ162" s="15">
        <f t="shared" si="533"/>
        <v>3</v>
      </c>
      <c r="BA162" s="15">
        <f t="shared" si="543"/>
        <v>3</v>
      </c>
      <c r="BB162" s="15">
        <v>8</v>
      </c>
      <c r="BC162" s="15">
        <f t="shared" si="444"/>
        <v>7</v>
      </c>
      <c r="BD162" s="15">
        <f t="shared" si="454"/>
        <v>1</v>
      </c>
      <c r="BE162" s="15">
        <f t="shared" si="464"/>
        <v>6</v>
      </c>
      <c r="BF162" s="15">
        <f t="shared" si="474"/>
        <v>33</v>
      </c>
      <c r="BG162" s="15">
        <f t="shared" si="484"/>
        <v>14</v>
      </c>
      <c r="BH162" s="15">
        <f t="shared" si="494"/>
        <v>23</v>
      </c>
      <c r="BI162" s="15">
        <f t="shared" si="504"/>
        <v>30</v>
      </c>
      <c r="BJ162" s="15">
        <f t="shared" si="514"/>
        <v>7</v>
      </c>
      <c r="BK162" s="15">
        <f t="shared" si="524"/>
        <v>25</v>
      </c>
      <c r="BL162" s="15">
        <f t="shared" si="534"/>
        <v>11</v>
      </c>
      <c r="BM162" s="15">
        <f t="shared" si="544"/>
        <v>11</v>
      </c>
      <c r="BN162" s="15">
        <v>3</v>
      </c>
      <c r="BO162" s="15">
        <f t="shared" si="445"/>
        <v>3</v>
      </c>
      <c r="BP162" s="15">
        <f t="shared" si="455"/>
        <v>3</v>
      </c>
      <c r="BQ162" s="15">
        <f t="shared" si="465"/>
        <v>3</v>
      </c>
      <c r="BR162" s="15">
        <f t="shared" si="475"/>
        <v>3</v>
      </c>
      <c r="BS162" s="15">
        <f t="shared" si="485"/>
        <v>3</v>
      </c>
      <c r="BT162" s="15">
        <f t="shared" si="495"/>
        <v>3</v>
      </c>
      <c r="BU162" s="15">
        <f t="shared" si="505"/>
        <v>3</v>
      </c>
      <c r="BV162" s="15">
        <f t="shared" si="515"/>
        <v>3</v>
      </c>
      <c r="BW162" s="15">
        <f t="shared" si="525"/>
        <v>3</v>
      </c>
      <c r="BX162" s="15">
        <f t="shared" si="535"/>
        <v>3</v>
      </c>
      <c r="BY162" s="15">
        <f t="shared" si="545"/>
        <v>3</v>
      </c>
      <c r="BZ162" s="15">
        <v>-2.5662500000000001</v>
      </c>
      <c r="CA162" s="15">
        <f t="shared" si="446"/>
        <v>-2.6985700000000001</v>
      </c>
      <c r="CB162" s="15">
        <f t="shared" si="456"/>
        <v>-15.01</v>
      </c>
      <c r="CC162" s="15">
        <f t="shared" si="466"/>
        <v>-13.716670000000001</v>
      </c>
      <c r="CD162" s="15">
        <f t="shared" si="476"/>
        <v>-2.7936399999999999</v>
      </c>
      <c r="CE162" s="15">
        <f t="shared" si="486"/>
        <v>-2.7985699999999998</v>
      </c>
      <c r="CF162" s="15">
        <f t="shared" si="496"/>
        <v>-2.3143500000000001</v>
      </c>
      <c r="CG162" s="15">
        <f t="shared" si="506"/>
        <v>-2.5129999999999999</v>
      </c>
      <c r="CH162" s="15">
        <f t="shared" si="516"/>
        <v>-2.8385699999999998</v>
      </c>
      <c r="CI162" s="15">
        <f t="shared" si="526"/>
        <v>-1.6616</v>
      </c>
      <c r="CJ162" s="15">
        <f t="shared" si="536"/>
        <v>-3.7727300000000001</v>
      </c>
      <c r="CK162" s="15">
        <f t="shared" si="546"/>
        <v>-4.2127299999999996</v>
      </c>
      <c r="CL162" s="15">
        <v>3</v>
      </c>
      <c r="CM162" s="15">
        <f t="shared" si="447"/>
        <v>3</v>
      </c>
      <c r="CN162" s="15">
        <f t="shared" si="457"/>
        <v>5</v>
      </c>
      <c r="CO162" s="15">
        <f t="shared" si="467"/>
        <v>5</v>
      </c>
      <c r="CP162" s="15">
        <f t="shared" si="477"/>
        <v>3</v>
      </c>
      <c r="CQ162" s="15">
        <f t="shared" si="487"/>
        <v>3</v>
      </c>
      <c r="CR162" s="15">
        <f t="shared" si="497"/>
        <v>3</v>
      </c>
      <c r="CS162" s="15">
        <f t="shared" si="507"/>
        <v>3</v>
      </c>
      <c r="CT162" s="15">
        <f t="shared" si="517"/>
        <v>3</v>
      </c>
      <c r="CU162" s="15">
        <f t="shared" si="527"/>
        <v>3</v>
      </c>
      <c r="CV162" s="15">
        <f t="shared" si="537"/>
        <v>3</v>
      </c>
      <c r="CW162" s="15">
        <f t="shared" si="547"/>
        <v>3</v>
      </c>
      <c r="CX162" s="15">
        <v>-68.710400000000007</v>
      </c>
      <c r="CY162" s="15">
        <f t="shared" si="448"/>
        <v>-69.667000000000002</v>
      </c>
      <c r="CZ162" s="15">
        <f t="shared" si="458"/>
        <v>-86.188500000000005</v>
      </c>
      <c r="DA162" s="15">
        <f t="shared" si="468"/>
        <v>-85.830299999999994</v>
      </c>
      <c r="DB162" s="15">
        <f t="shared" si="478"/>
        <v>-70.3048</v>
      </c>
      <c r="DC162" s="15">
        <f t="shared" si="488"/>
        <v>-70.3369</v>
      </c>
      <c r="DD162" s="15">
        <f t="shared" si="498"/>
        <v>-66.631399999999999</v>
      </c>
      <c r="DE162" s="15">
        <f t="shared" si="508"/>
        <v>-68.300899999999999</v>
      </c>
      <c r="DF162" s="15">
        <f t="shared" si="518"/>
        <v>-70.593199999999996</v>
      </c>
      <c r="DG162" s="15">
        <f t="shared" si="528"/>
        <v>-58.959200000000003</v>
      </c>
      <c r="DH162" s="15">
        <f t="shared" si="538"/>
        <v>-75.154499999999999</v>
      </c>
      <c r="DI162" s="15">
        <f t="shared" si="548"/>
        <v>-76.646500000000003</v>
      </c>
      <c r="DJ162" s="15" t="s">
        <v>22</v>
      </c>
      <c r="DK162" s="15" t="str">
        <f t="shared" si="449"/>
        <v>HL</v>
      </c>
      <c r="DL162" s="15" t="str">
        <f t="shared" si="459"/>
        <v>HL</v>
      </c>
      <c r="DM162" s="15" t="str">
        <f t="shared" si="469"/>
        <v>LL</v>
      </c>
      <c r="DN162" s="15" t="str">
        <f t="shared" si="479"/>
        <v>LL</v>
      </c>
      <c r="DO162" s="15" t="str">
        <f t="shared" si="489"/>
        <v>LL</v>
      </c>
      <c r="DP162" s="15" t="str">
        <f t="shared" si="499"/>
        <v>HL</v>
      </c>
      <c r="DQ162" s="15" t="str">
        <f t="shared" si="509"/>
        <v>LL</v>
      </c>
      <c r="DR162" s="15" t="str">
        <f t="shared" si="519"/>
        <v>HL</v>
      </c>
      <c r="DS162" s="15" t="str">
        <f t="shared" si="529"/>
        <v>HL</v>
      </c>
      <c r="DT162" s="15" t="str">
        <f t="shared" si="539"/>
        <v>HL</v>
      </c>
      <c r="DU162" s="15" t="str">
        <f t="shared" si="549"/>
        <v>HL</v>
      </c>
      <c r="DV162" s="15">
        <f>IFERROR((G162-$F162)/$F162*100,"")</f>
        <v>-0.2667400881057197</v>
      </c>
      <c r="DW162" s="15">
        <f>IFERROR((H162-$F162)/$F162*100,"")</f>
        <v>-0.58237885462554184</v>
      </c>
      <c r="DX162" s="15">
        <f>IFERROR((I162-$F162)/$F162*100,"")</f>
        <v>-0.86211453744494104</v>
      </c>
      <c r="DY162" s="15">
        <f>IFERROR((J162-$F162)/$F162*100,"")</f>
        <v>-0.29955947136564681</v>
      </c>
      <c r="DZ162" s="15">
        <f>IFERROR((K162-$F162)/$F162*100,"")</f>
        <v>1.1658590308370109</v>
      </c>
      <c r="EA162" s="15">
        <f>IFERROR((L162-$F162)/$F162*100,"")</f>
        <v>1.4777533039647608</v>
      </c>
      <c r="EB162" s="15">
        <f>IFERROR((M162-$F162)/$F162*100,"")</f>
        <v>0.45022026431717183</v>
      </c>
      <c r="EC162" s="15">
        <f>IFERROR((N162-$F162)/$F162*100,"")</f>
        <v>1.63590308370045</v>
      </c>
      <c r="ED162" s="15">
        <f>IFERROR((O162-$F162)/$F162*100,"")</f>
        <v>1.444052863436132</v>
      </c>
      <c r="EE162" s="15">
        <f>IFERROR((P162-$F162)/$F162*100,"")</f>
        <v>1.8061674008804162E-2</v>
      </c>
      <c r="EF162" s="15">
        <f>IFERROR((Q162-$F162)/$F162*100,"")</f>
        <v>-0.47555066079295477</v>
      </c>
      <c r="EG162" s="15" t="str">
        <f>IF(DV162="","",IF(AND(ABS(DV162)&lt;=0.25,$E162="Bottom",DK162="LL"),"EQL",IF(AND(ABS(DV162)&lt;=0.25,$E162="Peak",DK162="HH"),"EQH","")))</f>
        <v/>
      </c>
      <c r="EH162" s="15" t="str">
        <f>IF(DW162="","",IF(AND(ABS(DW162)&lt;=0.25,$E162="Bottom",DL162="LL"),"EQL",IF(AND(ABS(DW162)&lt;=0.25,$E162="Peak",DL162="HH"),"EQH","")))</f>
        <v/>
      </c>
      <c r="EI162" s="15" t="str">
        <f>IF(DX162="","",IF(AND(ABS(DX162)&lt;=0.25,$E162="Bottom",DM162="LL"),"EQL",IF(AND(ABS(DX162)&lt;=0.25,$E162="Peak",DM162="HH"),"EQH","")))</f>
        <v/>
      </c>
      <c r="EJ162" s="15" t="str">
        <f>IF(DY162="","",IF(AND(ABS(DY162)&lt;=0.25,$E162="Bottom",DN162="LL"),"EQL",IF(AND(ABS(DY162)&lt;=0.25,$E162="Peak",DN162="HH"),"EQH","")))</f>
        <v/>
      </c>
      <c r="EK162" s="15" t="str">
        <f>IF(DZ162="","",IF(AND(ABS(DZ162)&lt;=0.25,$E162="Bottom",DO162="LL"),"EQL",IF(AND(ABS(DZ162)&lt;=0.25,$E162="Peak",DO162="HH"),"EQH","")))</f>
        <v/>
      </c>
      <c r="EL162" s="15" t="str">
        <f>IF(EA162="","",IF(AND(ABS(EA162)&lt;=0.25,$E162="Bottom",DP162="LL"),"EQL",IF(AND(ABS(EA162)&lt;=0.25,$E162="Peak",DP162="HH"),"EQH","")))</f>
        <v/>
      </c>
      <c r="EM162" s="15" t="str">
        <f>IF(EB162="","",IF(AND(ABS(EB162)&lt;=0.25,$E162="Bottom",DQ162="LL"),"EQL",IF(AND(ABS(EB162)&lt;=0.25,$E162="Peak",DQ162="HH"),"EQH","")))</f>
        <v/>
      </c>
      <c r="EN162" s="15" t="str">
        <f>IF(EC162="","",IF(AND(ABS(EC162)&lt;=0.25,$E162="Bottom",DR162="LL"),"EQL",IF(AND(ABS(EC162)&lt;=0.25,$E162="Peak",DR162="HH"),"EQH","")))</f>
        <v/>
      </c>
      <c r="EO162" s="15" t="str">
        <f>IF(ED162="","",IF(AND(ABS(ED162)&lt;=0.25,$E162="Bottom",DS162="LL"),"EQL",IF(AND(ABS(ED162)&lt;=0.25,$E162="Peak",DS162="HH"),"EQH","")))</f>
        <v/>
      </c>
      <c r="EP162" s="15" t="str">
        <f>IF(EE162="","",IF(AND(ABS(EE162)&lt;=0.25,$E162="Bottom",DT162="LL"),"EQL",IF(AND(ABS(EE162)&lt;=0.25,$E162="Peak",DT162="HH"),"EQH","")))</f>
        <v/>
      </c>
      <c r="EQ162" s="15" t="str">
        <f>IF(EF162="","",IF(AND(ABS(EF162)&lt;=0.25,$E162="Bottom",DU162="LL"),"EQL",IF(AND(ABS(EF162)&lt;=0.25,$E162="Peak",DU162="HH"),"EQH","")))</f>
        <v/>
      </c>
      <c r="ER162" s="15" t="str">
        <f>IF(OR(EG162="EQL",EG162="EQH"),F162,"")</f>
        <v/>
      </c>
      <c r="ES162" s="15" t="str">
        <f>IF(OR(EH162="EQL",EH162="EQH"),G162,"")</f>
        <v/>
      </c>
      <c r="ET162" s="15" t="str">
        <f>IF(OR(EI162="EQL",EI162="EQH"),H162,"")</f>
        <v/>
      </c>
      <c r="EU162" s="15" t="str">
        <f>IF(OR(EJ162="EQL",EJ162="EQH"),I162,"")</f>
        <v/>
      </c>
      <c r="EV162" s="15" t="str">
        <f>IF(OR(EK162="EQL",EK162="EQH"),J162,"")</f>
        <v/>
      </c>
      <c r="EW162" s="15" t="str">
        <f>IF(OR(EL162="EQL",EL162="EQH"),K162,"")</f>
        <v/>
      </c>
      <c r="EX162" s="15" t="str">
        <f>IF(OR(EM162="EQL",EM162="EQH"),L162,"")</f>
        <v/>
      </c>
      <c r="EY162" s="15" t="str">
        <f>IF(OR(EN162="EQL",EN162="EQH"),M162,"")</f>
        <v/>
      </c>
      <c r="EZ162" s="15" t="str">
        <f>IF(OR(EO162="EQL",EO162="EQH"),N162,"")</f>
        <v/>
      </c>
      <c r="FA162" s="15" t="str">
        <f>IF(OR(EP162="EQL",EP162="EQH"),O162,"")</f>
        <v/>
      </c>
      <c r="FB162" s="15" t="str">
        <f>IF(OR(EQ162="EQL",EQ162="EQH"),P162,"")</f>
        <v/>
      </c>
      <c r="FC162" s="15" t="str">
        <f>IF(AND(EG162="EQL",OR(AQ162=4,AQ162=5)),"IEQL",IF(AND(EG162="EQH",OR(AQ162=1,AQ162=2)),"IEQH",""))</f>
        <v/>
      </c>
      <c r="FD162" s="15" t="str">
        <f>IF(AND(EH162="EQL",OR(AR162=4,AR162=5)),"IEQL",IF(AND(EH162="EQH",OR(AR162=1,AR162=2)),"IEQH",""))</f>
        <v/>
      </c>
      <c r="FE162" s="15" t="str">
        <f>IF(AND(EI162="EQL",OR(AS162=4,AS162=5)),"IEQL",IF(AND(EI162="EQH",OR(AS162=1,AS162=2)),"IEQH",""))</f>
        <v/>
      </c>
      <c r="FF162" s="15" t="str">
        <f>IF(AND(EJ162="EQL",OR(AT162=4,AT162=5)),"IEQL",IF(AND(EJ162="EQH",OR(AT162=1,AT162=2)),"IEQH",""))</f>
        <v/>
      </c>
      <c r="FG162" s="15" t="str">
        <f>IF(AND(EK162="EQL",OR(AU162=4,AU162=5)),"IEQL",IF(AND(EK162="EQH",OR(AU162=1,AU162=2)),"IEQH",""))</f>
        <v/>
      </c>
      <c r="FH162" s="15" t="str">
        <f>IF(AND(EL162="EQL",OR(AV162=4,AV162=5)),"IEQL",IF(AND(EL162="EQH",OR(AV162=1,AV162=2)),"IEQH",""))</f>
        <v/>
      </c>
      <c r="FI162" s="15" t="str">
        <f>IF(AND(EM162="EQL",OR(AW162=4,AW162=5)),"IEQL",IF(AND(EM162="EQH",OR(AW162=1,AW162=2)),"IEQH",""))</f>
        <v/>
      </c>
      <c r="FJ162" s="15" t="str">
        <f>IF(AND(EN162="EQL",OR(AX162=4,AX162=5)),"IEQL",IF(AND(EN162="EQH",OR(AX162=1,AX162=2)),"IEQH",""))</f>
        <v/>
      </c>
      <c r="FK162" s="15" t="str">
        <f>IF(AND(EO162="EQL",OR(AY162=4,AY162=5)),"IEQL",IF(AND(EO162="EQH",OR(AY162=1,AY162=2)),"IEQH",""))</f>
        <v/>
      </c>
      <c r="FL162" s="15" t="str">
        <f>IF(AND(EP162="EQL",OR(AZ162=4,AZ162=5)),"IEQL",IF(AND(EP162="EQH",OR(AZ162=1,AZ162=2)),"IEQH",""))</f>
        <v/>
      </c>
      <c r="FM162" s="15" t="str">
        <f>IF(AND(EQ162="EQL",OR(BA162=4,BA162=5)),"IEQL",IF(AND(EQ162="EQH",OR(BA162=1,BA162=2)),"IEQH",""))</f>
        <v/>
      </c>
      <c r="FN162" s="15" t="str">
        <f>IF(OR(AND(DJ162="LL",AP162=5),AND(DJ162="HH",AP162=2)),F162,"")</f>
        <v/>
      </c>
      <c r="FO162" s="15" t="str">
        <f>IF(FN162&lt;&gt;"",F161,"")</f>
        <v/>
      </c>
    </row>
    <row r="163" spans="1:171" s="15" customFormat="1" x14ac:dyDescent="0.55000000000000004">
      <c r="A163" s="15">
        <v>1777990506</v>
      </c>
      <c r="B163" s="15" t="s">
        <v>16</v>
      </c>
      <c r="C163" s="15" t="s">
        <v>17</v>
      </c>
      <c r="D163" s="15">
        <v>4584.37</v>
      </c>
      <c r="E163" s="15" t="s">
        <v>20</v>
      </c>
      <c r="F163" s="15">
        <v>4586.5600000000004</v>
      </c>
      <c r="G163" s="15">
        <f t="shared" si="440"/>
        <v>4560.53</v>
      </c>
      <c r="H163" s="15">
        <f t="shared" si="450"/>
        <v>4546.78</v>
      </c>
      <c r="I163" s="15">
        <f t="shared" si="460"/>
        <v>4528.57</v>
      </c>
      <c r="J163" s="15">
        <f t="shared" si="470"/>
        <v>4583.16</v>
      </c>
      <c r="K163" s="15">
        <f t="shared" si="480"/>
        <v>4618.59</v>
      </c>
      <c r="L163" s="15">
        <f t="shared" si="490"/>
        <v>4632.1099999999997</v>
      </c>
      <c r="M163" s="15">
        <f t="shared" si="500"/>
        <v>4660.32</v>
      </c>
      <c r="N163" s="15">
        <f t="shared" si="510"/>
        <v>4635.83</v>
      </c>
      <c r="O163" s="15">
        <f t="shared" si="520"/>
        <v>4634.1400000000003</v>
      </c>
      <c r="P163" s="15">
        <f t="shared" si="530"/>
        <v>4647.1000000000004</v>
      </c>
      <c r="Q163" s="15">
        <f t="shared" si="540"/>
        <v>4582.32</v>
      </c>
      <c r="R163" s="15">
        <v>46.56</v>
      </c>
      <c r="S163" s="15">
        <f t="shared" si="441"/>
        <v>32.64</v>
      </c>
      <c r="T163" s="15">
        <f t="shared" si="451"/>
        <v>33.22</v>
      </c>
      <c r="U163" s="15">
        <f t="shared" si="461"/>
        <v>27.71</v>
      </c>
      <c r="V163" s="15">
        <f t="shared" si="471"/>
        <v>56.76</v>
      </c>
      <c r="W163" s="15">
        <f t="shared" si="481"/>
        <v>25.66</v>
      </c>
      <c r="X163" s="15">
        <f t="shared" si="491"/>
        <v>25.02</v>
      </c>
      <c r="Y163" s="15">
        <f t="shared" si="501"/>
        <v>99.88</v>
      </c>
      <c r="Z163" s="15">
        <f t="shared" si="511"/>
        <v>21.56</v>
      </c>
      <c r="AA163" s="15">
        <f t="shared" si="521"/>
        <v>28.58</v>
      </c>
      <c r="AB163" s="15">
        <f t="shared" si="531"/>
        <v>106.28</v>
      </c>
      <c r="AC163" s="15">
        <f t="shared" si="541"/>
        <v>63.91</v>
      </c>
      <c r="AD163" s="15">
        <v>1.03</v>
      </c>
      <c r="AE163" s="15">
        <f t="shared" si="442"/>
        <v>0.72</v>
      </c>
      <c r="AF163" s="15">
        <f t="shared" si="452"/>
        <v>0.74</v>
      </c>
      <c r="AG163" s="15">
        <f t="shared" si="462"/>
        <v>0.62</v>
      </c>
      <c r="AH163" s="15">
        <f t="shared" si="472"/>
        <v>1.25</v>
      </c>
      <c r="AI163" s="15">
        <f t="shared" si="482"/>
        <v>0.56000000000000005</v>
      </c>
      <c r="AJ163" s="15">
        <f t="shared" si="492"/>
        <v>0.54</v>
      </c>
      <c r="AK163" s="15">
        <f t="shared" si="502"/>
        <v>2.19</v>
      </c>
      <c r="AL163" s="15">
        <f t="shared" si="512"/>
        <v>0.47</v>
      </c>
      <c r="AM163" s="15">
        <f t="shared" si="522"/>
        <v>0.62</v>
      </c>
      <c r="AN163" s="15">
        <f t="shared" si="532"/>
        <v>2.34</v>
      </c>
      <c r="AO163" s="15">
        <f t="shared" si="542"/>
        <v>1.41</v>
      </c>
      <c r="AP163" s="15">
        <v>0</v>
      </c>
      <c r="AQ163" s="15">
        <f t="shared" si="443"/>
        <v>0</v>
      </c>
      <c r="AR163" s="15">
        <f t="shared" si="453"/>
        <v>0</v>
      </c>
      <c r="AS163" s="15">
        <f t="shared" si="463"/>
        <v>0</v>
      </c>
      <c r="AT163" s="15">
        <f t="shared" si="473"/>
        <v>0</v>
      </c>
      <c r="AU163" s="15">
        <f t="shared" si="483"/>
        <v>0</v>
      </c>
      <c r="AV163" s="15">
        <f t="shared" si="493"/>
        <v>0</v>
      </c>
      <c r="AW163" s="15">
        <f t="shared" si="503"/>
        <v>1</v>
      </c>
      <c r="AX163" s="15">
        <f t="shared" si="513"/>
        <v>0</v>
      </c>
      <c r="AY163" s="15">
        <f t="shared" si="523"/>
        <v>0</v>
      </c>
      <c r="AZ163" s="15">
        <f t="shared" si="533"/>
        <v>1</v>
      </c>
      <c r="BA163" s="15">
        <f t="shared" si="543"/>
        <v>0</v>
      </c>
      <c r="BB163" s="15">
        <v>13</v>
      </c>
      <c r="BC163" s="15">
        <f t="shared" si="444"/>
        <v>18</v>
      </c>
      <c r="BD163" s="15">
        <f t="shared" si="454"/>
        <v>10</v>
      </c>
      <c r="BE163" s="15">
        <f t="shared" si="464"/>
        <v>28</v>
      </c>
      <c r="BF163" s="15">
        <f t="shared" si="474"/>
        <v>17</v>
      </c>
      <c r="BG163" s="15">
        <f t="shared" si="484"/>
        <v>2</v>
      </c>
      <c r="BH163" s="15">
        <f t="shared" si="494"/>
        <v>4</v>
      </c>
      <c r="BI163" s="15">
        <f t="shared" si="504"/>
        <v>18</v>
      </c>
      <c r="BJ163" s="15">
        <f t="shared" si="514"/>
        <v>4</v>
      </c>
      <c r="BK163" s="15">
        <f t="shared" si="524"/>
        <v>23</v>
      </c>
      <c r="BL163" s="15">
        <f t="shared" si="534"/>
        <v>24</v>
      </c>
      <c r="BM163" s="15">
        <f t="shared" si="544"/>
        <v>24</v>
      </c>
      <c r="BN163" s="15">
        <v>0</v>
      </c>
      <c r="BO163" s="15">
        <f t="shared" si="445"/>
        <v>0</v>
      </c>
      <c r="BP163" s="15">
        <f t="shared" si="455"/>
        <v>0</v>
      </c>
      <c r="BQ163" s="15">
        <f t="shared" si="465"/>
        <v>0</v>
      </c>
      <c r="BR163" s="15">
        <f t="shared" si="475"/>
        <v>0</v>
      </c>
      <c r="BS163" s="15">
        <f t="shared" si="485"/>
        <v>0</v>
      </c>
      <c r="BT163" s="15">
        <f t="shared" si="495"/>
        <v>0</v>
      </c>
      <c r="BU163" s="15">
        <f t="shared" si="505"/>
        <v>0</v>
      </c>
      <c r="BV163" s="15">
        <f t="shared" si="515"/>
        <v>0</v>
      </c>
      <c r="BW163" s="15">
        <f t="shared" si="525"/>
        <v>0</v>
      </c>
      <c r="BX163" s="15">
        <f t="shared" si="535"/>
        <v>0</v>
      </c>
      <c r="BY163" s="15">
        <f t="shared" si="545"/>
        <v>0</v>
      </c>
      <c r="BZ163" s="15">
        <v>3.5815399999999999</v>
      </c>
      <c r="CA163" s="15">
        <f t="shared" si="446"/>
        <v>1.8133300000000001</v>
      </c>
      <c r="CB163" s="15">
        <f t="shared" si="456"/>
        <v>3.3220000000000001</v>
      </c>
      <c r="CC163" s="15">
        <f t="shared" si="466"/>
        <v>0.98963999999999996</v>
      </c>
      <c r="CD163" s="15">
        <f t="shared" si="476"/>
        <v>3.3388200000000001</v>
      </c>
      <c r="CE163" s="15">
        <f t="shared" si="486"/>
        <v>12.83</v>
      </c>
      <c r="CF163" s="15">
        <f t="shared" si="496"/>
        <v>6.2549999999999999</v>
      </c>
      <c r="CG163" s="15">
        <f t="shared" si="506"/>
        <v>5.5488900000000001</v>
      </c>
      <c r="CH163" s="15">
        <f t="shared" si="516"/>
        <v>5.39</v>
      </c>
      <c r="CI163" s="15">
        <f t="shared" si="526"/>
        <v>1.24261</v>
      </c>
      <c r="CJ163" s="15">
        <f t="shared" si="536"/>
        <v>4.4283299999999999</v>
      </c>
      <c r="CK163" s="15">
        <f t="shared" si="546"/>
        <v>2.6629200000000002</v>
      </c>
      <c r="CL163" s="15">
        <v>0</v>
      </c>
      <c r="CM163" s="15">
        <f t="shared" si="447"/>
        <v>0</v>
      </c>
      <c r="CN163" s="15">
        <f t="shared" si="457"/>
        <v>0</v>
      </c>
      <c r="CO163" s="15">
        <f t="shared" si="467"/>
        <v>0</v>
      </c>
      <c r="CP163" s="15">
        <f t="shared" si="477"/>
        <v>0</v>
      </c>
      <c r="CQ163" s="15">
        <f t="shared" si="487"/>
        <v>0</v>
      </c>
      <c r="CR163" s="15">
        <f t="shared" si="497"/>
        <v>0</v>
      </c>
      <c r="CS163" s="15">
        <f t="shared" si="507"/>
        <v>0</v>
      </c>
      <c r="CT163" s="15">
        <f t="shared" si="517"/>
        <v>0</v>
      </c>
      <c r="CU163" s="15">
        <f t="shared" si="527"/>
        <v>0</v>
      </c>
      <c r="CV163" s="15">
        <f t="shared" si="537"/>
        <v>0</v>
      </c>
      <c r="CW163" s="15">
        <f t="shared" si="547"/>
        <v>0</v>
      </c>
      <c r="CX163" s="15">
        <v>74.399799999999999</v>
      </c>
      <c r="CY163" s="15">
        <f t="shared" si="448"/>
        <v>61.124600000000001</v>
      </c>
      <c r="CZ163" s="15">
        <f t="shared" si="458"/>
        <v>73.247</v>
      </c>
      <c r="DA163" s="15">
        <f t="shared" si="468"/>
        <v>44.701700000000002</v>
      </c>
      <c r="DB163" s="15">
        <f t="shared" si="478"/>
        <v>73.326700000000002</v>
      </c>
      <c r="DC163" s="15">
        <f t="shared" si="488"/>
        <v>85.543199999999999</v>
      </c>
      <c r="DD163" s="15">
        <f t="shared" si="498"/>
        <v>80.916899999999998</v>
      </c>
      <c r="DE163" s="15">
        <f t="shared" si="508"/>
        <v>79.784000000000006</v>
      </c>
      <c r="DF163" s="15">
        <f t="shared" si="518"/>
        <v>79.489500000000007</v>
      </c>
      <c r="DG163" s="15">
        <f t="shared" si="528"/>
        <v>51.174300000000002</v>
      </c>
      <c r="DH163" s="15">
        <f t="shared" si="538"/>
        <v>77.275000000000006</v>
      </c>
      <c r="DI163" s="15">
        <f t="shared" si="548"/>
        <v>69.417400000000001</v>
      </c>
      <c r="DJ163" s="15" t="s">
        <v>23</v>
      </c>
      <c r="DK163" s="15" t="str">
        <f t="shared" si="449"/>
        <v>HH</v>
      </c>
      <c r="DL163" s="15" t="str">
        <f t="shared" si="459"/>
        <v>HH</v>
      </c>
      <c r="DM163" s="15" t="str">
        <f t="shared" si="469"/>
        <v>LH</v>
      </c>
      <c r="DN163" s="15" t="str">
        <f t="shared" si="479"/>
        <v>LH</v>
      </c>
      <c r="DO163" s="15" t="str">
        <f t="shared" si="489"/>
        <v>LH</v>
      </c>
      <c r="DP163" s="15" t="str">
        <f t="shared" si="499"/>
        <v>LH</v>
      </c>
      <c r="DQ163" s="15" t="str">
        <f t="shared" si="509"/>
        <v>HH</v>
      </c>
      <c r="DR163" s="15" t="str">
        <f t="shared" si="519"/>
        <v>HH</v>
      </c>
      <c r="DS163" s="15" t="str">
        <f t="shared" si="529"/>
        <v>LH</v>
      </c>
      <c r="DT163" s="15" t="str">
        <f t="shared" si="539"/>
        <v>HH</v>
      </c>
      <c r="DU163" s="15" t="str">
        <f t="shared" si="549"/>
        <v>HH</v>
      </c>
      <c r="DV163" s="15">
        <f>IFERROR((G163-$F163)/$F163*100,"")</f>
        <v>-0.56752773320311201</v>
      </c>
      <c r="DW163" s="15">
        <f>IFERROR((H163-$F163)/$F163*100,"")</f>
        <v>-0.86731668178331145</v>
      </c>
      <c r="DX163" s="15">
        <f>IFERROR((I163-$F163)/$F163*100,"")</f>
        <v>-1.2643462638666165</v>
      </c>
      <c r="DY163" s="15">
        <f>IFERROR((J163-$F163)/$F163*100,"")</f>
        <v>-7.4129630921661235E-2</v>
      </c>
      <c r="DZ163" s="15">
        <f>IFERROR((K163-$F163)/$F163*100,"")</f>
        <v>0.69834472894717925</v>
      </c>
      <c r="EA163" s="15">
        <f>IFERROR((L163-$F163)/$F163*100,"")</f>
        <v>0.99311902602384505</v>
      </c>
      <c r="EB163" s="15">
        <f>IFERROR((M163-$F163)/$F163*100,"")</f>
        <v>1.6081769343472951</v>
      </c>
      <c r="EC163" s="15">
        <f>IFERROR((N163-$F163)/$F163*100,"")</f>
        <v>1.0742255633851845</v>
      </c>
      <c r="ED163" s="15">
        <f>IFERROR((O163-$F163)/$F163*100,"")</f>
        <v>1.0373787762506088</v>
      </c>
      <c r="EE163" s="15">
        <f>IFERROR((P163-$F163)/$F163*100,"")</f>
        <v>1.3199434870578377</v>
      </c>
      <c r="EF163" s="15">
        <f>IFERROR((Q163-$F163)/$F163*100,"")</f>
        <v>-9.2444010325836601E-2</v>
      </c>
      <c r="EG163" s="15" t="str">
        <f>IF(DV163="","",IF(AND(ABS(DV163)&lt;=0.25,$E163="Bottom",DK163="LL"),"EQL",IF(AND(ABS(DV163)&lt;=0.25,$E163="Peak",DK163="HH"),"EQH","")))</f>
        <v/>
      </c>
      <c r="EH163" s="15" t="str">
        <f>IF(DW163="","",IF(AND(ABS(DW163)&lt;=0.25,$E163="Bottom",DL163="LL"),"EQL",IF(AND(ABS(DW163)&lt;=0.25,$E163="Peak",DL163="HH"),"EQH","")))</f>
        <v/>
      </c>
      <c r="EI163" s="15" t="str">
        <f>IF(DX163="","",IF(AND(ABS(DX163)&lt;=0.25,$E163="Bottom",DM163="LL"),"EQL",IF(AND(ABS(DX163)&lt;=0.25,$E163="Peak",DM163="HH"),"EQH","")))</f>
        <v/>
      </c>
      <c r="EJ163" s="15" t="str">
        <f>IF(DY163="","",IF(AND(ABS(DY163)&lt;=0.25,$E163="Bottom",DN163="LL"),"EQL",IF(AND(ABS(DY163)&lt;=0.25,$E163="Peak",DN163="HH"),"EQH","")))</f>
        <v/>
      </c>
      <c r="EK163" s="15" t="str">
        <f>IF(DZ163="","",IF(AND(ABS(DZ163)&lt;=0.25,$E163="Bottom",DO163="LL"),"EQL",IF(AND(ABS(DZ163)&lt;=0.25,$E163="Peak",DO163="HH"),"EQH","")))</f>
        <v/>
      </c>
      <c r="EL163" s="15" t="str">
        <f>IF(EA163="","",IF(AND(ABS(EA163)&lt;=0.25,$E163="Bottom",DP163="LL"),"EQL",IF(AND(ABS(EA163)&lt;=0.25,$E163="Peak",DP163="HH"),"EQH","")))</f>
        <v/>
      </c>
      <c r="EM163" s="15" t="str">
        <f>IF(EB163="","",IF(AND(ABS(EB163)&lt;=0.25,$E163="Bottom",DQ163="LL"),"EQL",IF(AND(ABS(EB163)&lt;=0.25,$E163="Peak",DQ163="HH"),"EQH","")))</f>
        <v/>
      </c>
      <c r="EN163" s="15" t="str">
        <f>IF(EC163="","",IF(AND(ABS(EC163)&lt;=0.25,$E163="Bottom",DR163="LL"),"EQL",IF(AND(ABS(EC163)&lt;=0.25,$E163="Peak",DR163="HH"),"EQH","")))</f>
        <v/>
      </c>
      <c r="EO163" s="15" t="str">
        <f>IF(ED163="","",IF(AND(ABS(ED163)&lt;=0.25,$E163="Bottom",DS163="LL"),"EQL",IF(AND(ABS(ED163)&lt;=0.25,$E163="Peak",DS163="HH"),"EQH","")))</f>
        <v/>
      </c>
      <c r="EP163" s="15" t="str">
        <f>IF(EE163="","",IF(AND(ABS(EE163)&lt;=0.25,$E163="Bottom",DT163="LL"),"EQL",IF(AND(ABS(EE163)&lt;=0.25,$E163="Peak",DT163="HH"),"EQH","")))</f>
        <v/>
      </c>
      <c r="EQ163" s="15" t="str">
        <f>IF(EF163="","",IF(AND(ABS(EF163)&lt;=0.25,$E163="Bottom",DU163="LL"),"EQL",IF(AND(ABS(EF163)&lt;=0.25,$E163="Peak",DU163="HH"),"EQH","")))</f>
        <v>EQH</v>
      </c>
      <c r="ER163" s="15" t="str">
        <f>IF(OR(EG163="EQL",EG163="EQH"),F163,"")</f>
        <v/>
      </c>
      <c r="ES163" s="15" t="str">
        <f>IF(OR(EH163="EQL",EH163="EQH"),G163,"")</f>
        <v/>
      </c>
      <c r="ET163" s="15" t="str">
        <f>IF(OR(EI163="EQL",EI163="EQH"),H163,"")</f>
        <v/>
      </c>
      <c r="EU163" s="15" t="str">
        <f>IF(OR(EJ163="EQL",EJ163="EQH"),I163,"")</f>
        <v/>
      </c>
      <c r="EV163" s="15" t="str">
        <f>IF(OR(EK163="EQL",EK163="EQH"),J163,"")</f>
        <v/>
      </c>
      <c r="EW163" s="15" t="str">
        <f>IF(OR(EL163="EQL",EL163="EQH"),K163,"")</f>
        <v/>
      </c>
      <c r="EX163" s="15" t="str">
        <f>IF(OR(EM163="EQL",EM163="EQH"),L163,"")</f>
        <v/>
      </c>
      <c r="EY163" s="15" t="str">
        <f>IF(OR(EN163="EQL",EN163="EQH"),M163,"")</f>
        <v/>
      </c>
      <c r="EZ163" s="15" t="str">
        <f>IF(OR(EO163="EQL",EO163="EQH"),N163,"")</f>
        <v/>
      </c>
      <c r="FA163" s="15" t="str">
        <f>IF(OR(EP163="EQL",EP163="EQH"),O163,"")</f>
        <v/>
      </c>
      <c r="FB163" s="15">
        <f>IF(OR(EQ163="EQL",EQ163="EQH"),P163,"")</f>
        <v>4647.1000000000004</v>
      </c>
      <c r="FC163" s="15" t="str">
        <f>IF(AND(EG163="EQL",OR(AQ163=4,AQ163=5)),"IEQL",IF(AND(EG163="EQH",OR(AQ163=1,AQ163=2)),"IEQH",""))</f>
        <v/>
      </c>
      <c r="FD163" s="15" t="str">
        <f>IF(AND(EH163="EQL",OR(AR163=4,AR163=5)),"IEQL",IF(AND(EH163="EQH",OR(AR163=1,AR163=2)),"IEQH",""))</f>
        <v/>
      </c>
      <c r="FE163" s="15" t="str">
        <f>IF(AND(EI163="EQL",OR(AS163=4,AS163=5)),"IEQL",IF(AND(EI163="EQH",OR(AS163=1,AS163=2)),"IEQH",""))</f>
        <v/>
      </c>
      <c r="FF163" s="15" t="str">
        <f>IF(AND(EJ163="EQL",OR(AT163=4,AT163=5)),"IEQL",IF(AND(EJ163="EQH",OR(AT163=1,AT163=2)),"IEQH",""))</f>
        <v/>
      </c>
      <c r="FG163" s="15" t="str">
        <f>IF(AND(EK163="EQL",OR(AU163=4,AU163=5)),"IEQL",IF(AND(EK163="EQH",OR(AU163=1,AU163=2)),"IEQH",""))</f>
        <v/>
      </c>
      <c r="FH163" s="15" t="str">
        <f>IF(AND(EL163="EQL",OR(AV163=4,AV163=5)),"IEQL",IF(AND(EL163="EQH",OR(AV163=1,AV163=2)),"IEQH",""))</f>
        <v/>
      </c>
      <c r="FI163" s="15" t="str">
        <f>IF(AND(EM163="EQL",OR(AW163=4,AW163=5)),"IEQL",IF(AND(EM163="EQH",OR(AW163=1,AW163=2)),"IEQH",""))</f>
        <v/>
      </c>
      <c r="FJ163" s="15" t="str">
        <f>IF(AND(EN163="EQL",OR(AX163=4,AX163=5)),"IEQL",IF(AND(EN163="EQH",OR(AX163=1,AX163=2)),"IEQH",""))</f>
        <v/>
      </c>
      <c r="FK163" s="15" t="str">
        <f>IF(AND(EO163="EQL",OR(AY163=4,AY163=5)),"IEQL",IF(AND(EO163="EQH",OR(AY163=1,AY163=2)),"IEQH",""))</f>
        <v/>
      </c>
      <c r="FL163" s="15" t="str">
        <f>IF(AND(EP163="EQL",OR(AZ163=4,AZ163=5)),"IEQL",IF(AND(EP163="EQH",OR(AZ163=1,AZ163=2)),"IEQH",""))</f>
        <v/>
      </c>
      <c r="FM163" s="15" t="str">
        <f>IF(AND(EQ163="EQL",OR(BA163=4,BA163=5)),"IEQL",IF(AND(EQ163="EQH",OR(BA163=1,BA163=2)),"IEQH",""))</f>
        <v/>
      </c>
      <c r="FN163" s="15" t="str">
        <f>IF(OR(AND(DJ163="LL",AP163=5),AND(DJ163="HH",AP163=2)),F163,"")</f>
        <v/>
      </c>
      <c r="FO163" s="15" t="str">
        <f>IF(FN163&lt;&gt;"",F162,"")</f>
        <v/>
      </c>
    </row>
    <row r="164" spans="1:171" s="15" customFormat="1" x14ac:dyDescent="0.55000000000000004">
      <c r="A164" s="15">
        <v>1778020206</v>
      </c>
      <c r="B164" s="15" t="s">
        <v>16</v>
      </c>
      <c r="C164" s="15" t="s">
        <v>17</v>
      </c>
      <c r="D164" s="15">
        <v>4548.82</v>
      </c>
      <c r="E164" s="15" t="s">
        <v>18</v>
      </c>
      <c r="F164" s="15">
        <v>4546.3100000000004</v>
      </c>
      <c r="G164" s="15">
        <f t="shared" ref="G164:G172" si="550">F162</f>
        <v>4540</v>
      </c>
      <c r="H164" s="15">
        <f t="shared" si="450"/>
        <v>4527.8900000000003</v>
      </c>
      <c r="I164" s="15">
        <f t="shared" si="460"/>
        <v>4513.5600000000004</v>
      </c>
      <c r="J164" s="15">
        <f t="shared" si="470"/>
        <v>4500.8599999999997</v>
      </c>
      <c r="K164" s="15">
        <f t="shared" si="480"/>
        <v>4526.3999999999996</v>
      </c>
      <c r="L164" s="15">
        <f t="shared" si="490"/>
        <v>4592.93</v>
      </c>
      <c r="M164" s="15">
        <f t="shared" si="500"/>
        <v>4607.09</v>
      </c>
      <c r="N164" s="15">
        <f t="shared" si="510"/>
        <v>4560.4399999999996</v>
      </c>
      <c r="O164" s="15">
        <f t="shared" si="520"/>
        <v>4614.2700000000004</v>
      </c>
      <c r="P164" s="15">
        <f t="shared" si="530"/>
        <v>4605.5600000000004</v>
      </c>
      <c r="Q164" s="15">
        <f t="shared" si="540"/>
        <v>4540.82</v>
      </c>
      <c r="R164" s="15">
        <v>-40.25</v>
      </c>
      <c r="S164" s="15">
        <f t="shared" ref="S164:S172" si="551">R162</f>
        <v>-20.53</v>
      </c>
      <c r="T164" s="15">
        <f t="shared" si="451"/>
        <v>-18.89</v>
      </c>
      <c r="U164" s="15">
        <f t="shared" si="461"/>
        <v>-15.01</v>
      </c>
      <c r="V164" s="15">
        <f t="shared" si="471"/>
        <v>-82.3</v>
      </c>
      <c r="W164" s="15">
        <f t="shared" si="481"/>
        <v>-92.19</v>
      </c>
      <c r="X164" s="15">
        <f t="shared" si="491"/>
        <v>-39.18</v>
      </c>
      <c r="Y164" s="15">
        <f t="shared" si="501"/>
        <v>-53.23</v>
      </c>
      <c r="Z164" s="15">
        <f t="shared" si="511"/>
        <v>-75.39</v>
      </c>
      <c r="AA164" s="15">
        <f t="shared" si="521"/>
        <v>-19.87</v>
      </c>
      <c r="AB164" s="15">
        <f t="shared" si="531"/>
        <v>-41.54</v>
      </c>
      <c r="AC164" s="15">
        <f t="shared" si="541"/>
        <v>-41.5</v>
      </c>
      <c r="AD164" s="15">
        <v>-0.88</v>
      </c>
      <c r="AE164" s="15">
        <f t="shared" ref="AE164:AE172" si="552">AD162</f>
        <v>-0.45</v>
      </c>
      <c r="AF164" s="15">
        <f t="shared" si="452"/>
        <v>-0.42</v>
      </c>
      <c r="AG164" s="15">
        <f t="shared" si="462"/>
        <v>-0.33</v>
      </c>
      <c r="AH164" s="15">
        <f t="shared" si="472"/>
        <v>-1.8</v>
      </c>
      <c r="AI164" s="15">
        <f t="shared" si="482"/>
        <v>-2</v>
      </c>
      <c r="AJ164" s="15">
        <f t="shared" si="492"/>
        <v>-0.85</v>
      </c>
      <c r="AK164" s="15">
        <f t="shared" si="502"/>
        <v>-1.1399999999999999</v>
      </c>
      <c r="AL164" s="15">
        <f t="shared" si="512"/>
        <v>-1.63</v>
      </c>
      <c r="AM164" s="15">
        <f t="shared" si="522"/>
        <v>-0.43</v>
      </c>
      <c r="AN164" s="15">
        <f t="shared" si="532"/>
        <v>-0.89</v>
      </c>
      <c r="AO164" s="15">
        <f t="shared" si="542"/>
        <v>-0.91</v>
      </c>
      <c r="AP164" s="15">
        <v>3</v>
      </c>
      <c r="AQ164" s="15">
        <f t="shared" ref="AQ164:AQ172" si="553">AP162</f>
        <v>3</v>
      </c>
      <c r="AR164" s="15">
        <f t="shared" si="453"/>
        <v>3</v>
      </c>
      <c r="AS164" s="15">
        <f t="shared" si="463"/>
        <v>3</v>
      </c>
      <c r="AT164" s="15">
        <f t="shared" si="473"/>
        <v>3</v>
      </c>
      <c r="AU164" s="15">
        <f t="shared" si="483"/>
        <v>4</v>
      </c>
      <c r="AV164" s="15">
        <f t="shared" si="493"/>
        <v>3</v>
      </c>
      <c r="AW164" s="15">
        <f t="shared" si="503"/>
        <v>3</v>
      </c>
      <c r="AX164" s="15">
        <f t="shared" si="513"/>
        <v>3</v>
      </c>
      <c r="AY164" s="15">
        <f t="shared" si="523"/>
        <v>3</v>
      </c>
      <c r="AZ164" s="15">
        <f t="shared" si="533"/>
        <v>3</v>
      </c>
      <c r="BA164" s="15">
        <f t="shared" si="543"/>
        <v>3</v>
      </c>
      <c r="BB164" s="15">
        <v>29</v>
      </c>
      <c r="BC164" s="15">
        <f t="shared" ref="BC164:BC172" si="554">BB162</f>
        <v>8</v>
      </c>
      <c r="BD164" s="15">
        <f t="shared" si="454"/>
        <v>7</v>
      </c>
      <c r="BE164" s="15">
        <f t="shared" si="464"/>
        <v>1</v>
      </c>
      <c r="BF164" s="15">
        <f t="shared" si="474"/>
        <v>6</v>
      </c>
      <c r="BG164" s="15">
        <f t="shared" si="484"/>
        <v>33</v>
      </c>
      <c r="BH164" s="15">
        <f t="shared" si="494"/>
        <v>14</v>
      </c>
      <c r="BI164" s="15">
        <f t="shared" si="504"/>
        <v>23</v>
      </c>
      <c r="BJ164" s="15">
        <f t="shared" si="514"/>
        <v>30</v>
      </c>
      <c r="BK164" s="15">
        <f t="shared" si="524"/>
        <v>7</v>
      </c>
      <c r="BL164" s="15">
        <f t="shared" si="534"/>
        <v>25</v>
      </c>
      <c r="BM164" s="15">
        <f t="shared" si="544"/>
        <v>11</v>
      </c>
      <c r="BN164" s="15">
        <v>3</v>
      </c>
      <c r="BO164" s="15">
        <f t="shared" ref="BO164:BO172" si="555">BN162</f>
        <v>3</v>
      </c>
      <c r="BP164" s="15">
        <f t="shared" si="455"/>
        <v>3</v>
      </c>
      <c r="BQ164" s="15">
        <f t="shared" si="465"/>
        <v>3</v>
      </c>
      <c r="BR164" s="15">
        <f t="shared" si="475"/>
        <v>3</v>
      </c>
      <c r="BS164" s="15">
        <f t="shared" si="485"/>
        <v>3</v>
      </c>
      <c r="BT164" s="15">
        <f t="shared" si="495"/>
        <v>3</v>
      </c>
      <c r="BU164" s="15">
        <f t="shared" si="505"/>
        <v>3</v>
      </c>
      <c r="BV164" s="15">
        <f t="shared" si="515"/>
        <v>3</v>
      </c>
      <c r="BW164" s="15">
        <f t="shared" si="525"/>
        <v>3</v>
      </c>
      <c r="BX164" s="15">
        <f t="shared" si="535"/>
        <v>3</v>
      </c>
      <c r="BY164" s="15">
        <f t="shared" si="545"/>
        <v>3</v>
      </c>
      <c r="BZ164" s="15">
        <v>-1.3879300000000001</v>
      </c>
      <c r="CA164" s="15">
        <f t="shared" ref="CA164:CA172" si="556">BZ162</f>
        <v>-2.5662500000000001</v>
      </c>
      <c r="CB164" s="15">
        <f t="shared" si="456"/>
        <v>-2.6985700000000001</v>
      </c>
      <c r="CC164" s="15">
        <f t="shared" si="466"/>
        <v>-15.01</v>
      </c>
      <c r="CD164" s="15">
        <f t="shared" si="476"/>
        <v>-13.716670000000001</v>
      </c>
      <c r="CE164" s="15">
        <f t="shared" si="486"/>
        <v>-2.7936399999999999</v>
      </c>
      <c r="CF164" s="15">
        <f t="shared" si="496"/>
        <v>-2.7985699999999998</v>
      </c>
      <c r="CG164" s="15">
        <f t="shared" si="506"/>
        <v>-2.3143500000000001</v>
      </c>
      <c r="CH164" s="15">
        <f t="shared" si="516"/>
        <v>-2.5129999999999999</v>
      </c>
      <c r="CI164" s="15">
        <f t="shared" si="526"/>
        <v>-2.8385699999999998</v>
      </c>
      <c r="CJ164" s="15">
        <f t="shared" si="536"/>
        <v>-1.6616</v>
      </c>
      <c r="CK164" s="15">
        <f t="shared" si="546"/>
        <v>-3.7727300000000001</v>
      </c>
      <c r="CL164" s="15">
        <v>3</v>
      </c>
      <c r="CM164" s="15">
        <f t="shared" ref="CM164:CM172" si="557">CL162</f>
        <v>3</v>
      </c>
      <c r="CN164" s="15">
        <f t="shared" si="457"/>
        <v>3</v>
      </c>
      <c r="CO164" s="15">
        <f t="shared" si="467"/>
        <v>5</v>
      </c>
      <c r="CP164" s="15">
        <f t="shared" si="477"/>
        <v>5</v>
      </c>
      <c r="CQ164" s="15">
        <f t="shared" si="487"/>
        <v>3</v>
      </c>
      <c r="CR164" s="15">
        <f t="shared" si="497"/>
        <v>3</v>
      </c>
      <c r="CS164" s="15">
        <f t="shared" si="507"/>
        <v>3</v>
      </c>
      <c r="CT164" s="15">
        <f t="shared" si="517"/>
        <v>3</v>
      </c>
      <c r="CU164" s="15">
        <f t="shared" si="527"/>
        <v>3</v>
      </c>
      <c r="CV164" s="15">
        <f t="shared" si="537"/>
        <v>3</v>
      </c>
      <c r="CW164" s="15">
        <f t="shared" si="547"/>
        <v>3</v>
      </c>
      <c r="CX164" s="15">
        <v>-54.227400000000003</v>
      </c>
      <c r="CY164" s="15">
        <f t="shared" ref="CY164:CY172" si="558">CX162</f>
        <v>-68.710400000000007</v>
      </c>
      <c r="CZ164" s="15">
        <f t="shared" si="458"/>
        <v>-69.667000000000002</v>
      </c>
      <c r="DA164" s="15">
        <f t="shared" si="468"/>
        <v>-86.188500000000005</v>
      </c>
      <c r="DB164" s="15">
        <f t="shared" si="478"/>
        <v>-85.830299999999994</v>
      </c>
      <c r="DC164" s="15">
        <f t="shared" si="488"/>
        <v>-70.3048</v>
      </c>
      <c r="DD164" s="15">
        <f t="shared" si="498"/>
        <v>-70.3369</v>
      </c>
      <c r="DE164" s="15">
        <f t="shared" si="508"/>
        <v>-66.631399999999999</v>
      </c>
      <c r="DF164" s="15">
        <f t="shared" si="518"/>
        <v>-68.300899999999999</v>
      </c>
      <c r="DG164" s="15">
        <f t="shared" si="528"/>
        <v>-70.593199999999996</v>
      </c>
      <c r="DH164" s="15">
        <f t="shared" si="538"/>
        <v>-58.959200000000003</v>
      </c>
      <c r="DI164" s="15">
        <f t="shared" si="548"/>
        <v>-75.154499999999999</v>
      </c>
      <c r="DJ164" s="15" t="s">
        <v>22</v>
      </c>
      <c r="DK164" s="15" t="str">
        <f t="shared" ref="DK164:DK172" si="559">DJ162</f>
        <v>HL</v>
      </c>
      <c r="DL164" s="15" t="str">
        <f t="shared" si="459"/>
        <v>HL</v>
      </c>
      <c r="DM164" s="15" t="str">
        <f t="shared" si="469"/>
        <v>HL</v>
      </c>
      <c r="DN164" s="15" t="str">
        <f t="shared" si="479"/>
        <v>LL</v>
      </c>
      <c r="DO164" s="15" t="str">
        <f t="shared" si="489"/>
        <v>LL</v>
      </c>
      <c r="DP164" s="15" t="str">
        <f t="shared" si="499"/>
        <v>LL</v>
      </c>
      <c r="DQ164" s="15" t="str">
        <f t="shared" si="509"/>
        <v>HL</v>
      </c>
      <c r="DR164" s="15" t="str">
        <f t="shared" si="519"/>
        <v>LL</v>
      </c>
      <c r="DS164" s="15" t="str">
        <f t="shared" si="529"/>
        <v>HL</v>
      </c>
      <c r="DT164" s="15" t="str">
        <f t="shared" si="539"/>
        <v>HL</v>
      </c>
      <c r="DU164" s="15" t="str">
        <f t="shared" si="549"/>
        <v>HL</v>
      </c>
      <c r="DV164" s="15">
        <f>IFERROR((G164-$F164)/$F164*100,"")</f>
        <v>-0.13879387899198251</v>
      </c>
      <c r="DW164" s="15">
        <f>IFERROR((H164-$F164)/$F164*100,"")</f>
        <v>-0.4051637481825936</v>
      </c>
      <c r="DX164" s="15">
        <f>IFERROR((I164-$F164)/$F164*100,"")</f>
        <v>-0.72036442741476048</v>
      </c>
      <c r="DY164" s="15">
        <f>IFERROR((J164-$F164)/$F164*100,"")</f>
        <v>-0.99971185422904996</v>
      </c>
      <c r="DZ164" s="15">
        <f>IFERROR((K164-$F164)/$F164*100,"")</f>
        <v>-0.437937580147433</v>
      </c>
      <c r="EA164" s="15">
        <f>IFERROR((L164-$F164)/$F164*100,"")</f>
        <v>1.0254470108725513</v>
      </c>
      <c r="EB164" s="15">
        <f>IFERROR((M164-$F164)/$F164*100,"")</f>
        <v>1.3369083938402737</v>
      </c>
      <c r="EC164" s="15">
        <f>IFERROR((N164-$F164)/$F164*100,"")</f>
        <v>0.31080150715633553</v>
      </c>
      <c r="ED164" s="15">
        <f>IFERROR((O164-$F164)/$F164*100,"")</f>
        <v>1.4948386713620505</v>
      </c>
      <c r="EE164" s="15">
        <f>IFERROR((P164-$F164)/$F164*100,"")</f>
        <v>1.3032547274602919</v>
      </c>
      <c r="EF164" s="15">
        <f>IFERROR((Q164-$F164)/$F164*100,"")</f>
        <v>-0.12075727348114604</v>
      </c>
      <c r="EG164" s="15" t="str">
        <f>IF(DV164="","",IF(AND(ABS(DV164)&lt;=0.25,$E164="Bottom",DK164="LL"),"EQL",IF(AND(ABS(DV164)&lt;=0.25,$E164="Peak",DK164="HH"),"EQH","")))</f>
        <v/>
      </c>
      <c r="EH164" s="15" t="str">
        <f>IF(DW164="","",IF(AND(ABS(DW164)&lt;=0.25,$E164="Bottom",DL164="LL"),"EQL",IF(AND(ABS(DW164)&lt;=0.25,$E164="Peak",DL164="HH"),"EQH","")))</f>
        <v/>
      </c>
      <c r="EI164" s="15" t="str">
        <f>IF(DX164="","",IF(AND(ABS(DX164)&lt;=0.25,$E164="Bottom",DM164="LL"),"EQL",IF(AND(ABS(DX164)&lt;=0.25,$E164="Peak",DM164="HH"),"EQH","")))</f>
        <v/>
      </c>
      <c r="EJ164" s="15" t="str">
        <f>IF(DY164="","",IF(AND(ABS(DY164)&lt;=0.25,$E164="Bottom",DN164="LL"),"EQL",IF(AND(ABS(DY164)&lt;=0.25,$E164="Peak",DN164="HH"),"EQH","")))</f>
        <v/>
      </c>
      <c r="EK164" s="15" t="str">
        <f>IF(DZ164="","",IF(AND(ABS(DZ164)&lt;=0.25,$E164="Bottom",DO164="LL"),"EQL",IF(AND(ABS(DZ164)&lt;=0.25,$E164="Peak",DO164="HH"),"EQH","")))</f>
        <v/>
      </c>
      <c r="EL164" s="15" t="str">
        <f>IF(EA164="","",IF(AND(ABS(EA164)&lt;=0.25,$E164="Bottom",DP164="LL"),"EQL",IF(AND(ABS(EA164)&lt;=0.25,$E164="Peak",DP164="HH"),"EQH","")))</f>
        <v/>
      </c>
      <c r="EM164" s="15" t="str">
        <f>IF(EB164="","",IF(AND(ABS(EB164)&lt;=0.25,$E164="Bottom",DQ164="LL"),"EQL",IF(AND(ABS(EB164)&lt;=0.25,$E164="Peak",DQ164="HH"),"EQH","")))</f>
        <v/>
      </c>
      <c r="EN164" s="15" t="str">
        <f>IF(EC164="","",IF(AND(ABS(EC164)&lt;=0.25,$E164="Bottom",DR164="LL"),"EQL",IF(AND(ABS(EC164)&lt;=0.25,$E164="Peak",DR164="HH"),"EQH","")))</f>
        <v/>
      </c>
      <c r="EO164" s="15" t="str">
        <f>IF(ED164="","",IF(AND(ABS(ED164)&lt;=0.25,$E164="Bottom",DS164="LL"),"EQL",IF(AND(ABS(ED164)&lt;=0.25,$E164="Peak",DS164="HH"),"EQH","")))</f>
        <v/>
      </c>
      <c r="EP164" s="15" t="str">
        <f>IF(EE164="","",IF(AND(ABS(EE164)&lt;=0.25,$E164="Bottom",DT164="LL"),"EQL",IF(AND(ABS(EE164)&lt;=0.25,$E164="Peak",DT164="HH"),"EQH","")))</f>
        <v/>
      </c>
      <c r="EQ164" s="15" t="str">
        <f>IF(EF164="","",IF(AND(ABS(EF164)&lt;=0.25,$E164="Bottom",DU164="LL"),"EQL",IF(AND(ABS(EF164)&lt;=0.25,$E164="Peak",DU164="HH"),"EQH","")))</f>
        <v/>
      </c>
      <c r="ER164" s="15" t="str">
        <f>IF(OR(EG164="EQL",EG164="EQH"),F164,"")</f>
        <v/>
      </c>
      <c r="ES164" s="15" t="str">
        <f>IF(OR(EH164="EQL",EH164="EQH"),G164,"")</f>
        <v/>
      </c>
      <c r="ET164" s="15" t="str">
        <f>IF(OR(EI164="EQL",EI164="EQH"),H164,"")</f>
        <v/>
      </c>
      <c r="EU164" s="15" t="str">
        <f>IF(OR(EJ164="EQL",EJ164="EQH"),I164,"")</f>
        <v/>
      </c>
      <c r="EV164" s="15" t="str">
        <f>IF(OR(EK164="EQL",EK164="EQH"),J164,"")</f>
        <v/>
      </c>
      <c r="EW164" s="15" t="str">
        <f>IF(OR(EL164="EQL",EL164="EQH"),K164,"")</f>
        <v/>
      </c>
      <c r="EX164" s="15" t="str">
        <f>IF(OR(EM164="EQL",EM164="EQH"),L164,"")</f>
        <v/>
      </c>
      <c r="EY164" s="15" t="str">
        <f>IF(OR(EN164="EQL",EN164="EQH"),M164,"")</f>
        <v/>
      </c>
      <c r="EZ164" s="15" t="str">
        <f>IF(OR(EO164="EQL",EO164="EQH"),N164,"")</f>
        <v/>
      </c>
      <c r="FA164" s="15" t="str">
        <f>IF(OR(EP164="EQL",EP164="EQH"),O164,"")</f>
        <v/>
      </c>
      <c r="FB164" s="15" t="str">
        <f>IF(OR(EQ164="EQL",EQ164="EQH"),P164,"")</f>
        <v/>
      </c>
      <c r="FC164" s="15" t="str">
        <f>IF(AND(EG164="EQL",OR(AQ164=4,AQ164=5)),"IEQL",IF(AND(EG164="EQH",OR(AQ164=1,AQ164=2)),"IEQH",""))</f>
        <v/>
      </c>
      <c r="FD164" s="15" t="str">
        <f>IF(AND(EH164="EQL",OR(AR164=4,AR164=5)),"IEQL",IF(AND(EH164="EQH",OR(AR164=1,AR164=2)),"IEQH",""))</f>
        <v/>
      </c>
      <c r="FE164" s="15" t="str">
        <f>IF(AND(EI164="EQL",OR(AS164=4,AS164=5)),"IEQL",IF(AND(EI164="EQH",OR(AS164=1,AS164=2)),"IEQH",""))</f>
        <v/>
      </c>
      <c r="FF164" s="15" t="str">
        <f>IF(AND(EJ164="EQL",OR(AT164=4,AT164=5)),"IEQL",IF(AND(EJ164="EQH",OR(AT164=1,AT164=2)),"IEQH",""))</f>
        <v/>
      </c>
      <c r="FG164" s="15" t="str">
        <f>IF(AND(EK164="EQL",OR(AU164=4,AU164=5)),"IEQL",IF(AND(EK164="EQH",OR(AU164=1,AU164=2)),"IEQH",""))</f>
        <v/>
      </c>
      <c r="FH164" s="15" t="str">
        <f>IF(AND(EL164="EQL",OR(AV164=4,AV164=5)),"IEQL",IF(AND(EL164="EQH",OR(AV164=1,AV164=2)),"IEQH",""))</f>
        <v/>
      </c>
      <c r="FI164" s="15" t="str">
        <f>IF(AND(EM164="EQL",OR(AW164=4,AW164=5)),"IEQL",IF(AND(EM164="EQH",OR(AW164=1,AW164=2)),"IEQH",""))</f>
        <v/>
      </c>
      <c r="FJ164" s="15" t="str">
        <f>IF(AND(EN164="EQL",OR(AX164=4,AX164=5)),"IEQL",IF(AND(EN164="EQH",OR(AX164=1,AX164=2)),"IEQH",""))</f>
        <v/>
      </c>
      <c r="FK164" s="15" t="str">
        <f>IF(AND(EO164="EQL",OR(AY164=4,AY164=5)),"IEQL",IF(AND(EO164="EQH",OR(AY164=1,AY164=2)),"IEQH",""))</f>
        <v/>
      </c>
      <c r="FL164" s="15" t="str">
        <f>IF(AND(EP164="EQL",OR(AZ164=4,AZ164=5)),"IEQL",IF(AND(EP164="EQH",OR(AZ164=1,AZ164=2)),"IEQH",""))</f>
        <v/>
      </c>
      <c r="FM164" s="15" t="str">
        <f>IF(AND(EQ164="EQL",OR(BA164=4,BA164=5)),"IEQL",IF(AND(EQ164="EQH",OR(BA164=1,BA164=2)),"IEQH",""))</f>
        <v/>
      </c>
      <c r="FN164" s="15" t="str">
        <f>IF(OR(AND(DJ164="LL",AP164=5),AND(DJ164="HH",AP164=2)),F164,"")</f>
        <v/>
      </c>
      <c r="FO164" s="15" t="str">
        <f>IF(FN164&lt;&gt;"",F163,"")</f>
        <v/>
      </c>
    </row>
    <row r="165" spans="1:171" s="15" customFormat="1" x14ac:dyDescent="0.55000000000000004">
      <c r="A165" s="15">
        <v>1778064306</v>
      </c>
      <c r="B165" s="15" t="s">
        <v>16</v>
      </c>
      <c r="C165" s="15" t="s">
        <v>17</v>
      </c>
      <c r="D165" s="15">
        <v>4718.25</v>
      </c>
      <c r="E165" s="15" t="s">
        <v>20</v>
      </c>
      <c r="F165" s="15">
        <v>4722.76</v>
      </c>
      <c r="G165" s="15">
        <f t="shared" si="550"/>
        <v>4586.5600000000004</v>
      </c>
      <c r="H165" s="15">
        <f t="shared" si="450"/>
        <v>4560.53</v>
      </c>
      <c r="I165" s="15">
        <f t="shared" si="460"/>
        <v>4546.78</v>
      </c>
      <c r="J165" s="15">
        <f t="shared" si="470"/>
        <v>4528.57</v>
      </c>
      <c r="K165" s="15">
        <f t="shared" si="480"/>
        <v>4583.16</v>
      </c>
      <c r="L165" s="15">
        <f t="shared" si="490"/>
        <v>4618.59</v>
      </c>
      <c r="M165" s="15">
        <f t="shared" si="500"/>
        <v>4632.1099999999997</v>
      </c>
      <c r="N165" s="15">
        <f t="shared" si="510"/>
        <v>4660.32</v>
      </c>
      <c r="O165" s="15">
        <f t="shared" si="520"/>
        <v>4635.83</v>
      </c>
      <c r="P165" s="15">
        <f t="shared" si="530"/>
        <v>4634.1400000000003</v>
      </c>
      <c r="Q165" s="15">
        <f t="shared" si="540"/>
        <v>4647.1000000000004</v>
      </c>
      <c r="R165" s="15">
        <v>176.45</v>
      </c>
      <c r="S165" s="15">
        <f t="shared" si="551"/>
        <v>46.56</v>
      </c>
      <c r="T165" s="15">
        <f t="shared" si="451"/>
        <v>32.64</v>
      </c>
      <c r="U165" s="15">
        <f t="shared" si="461"/>
        <v>33.22</v>
      </c>
      <c r="V165" s="15">
        <f t="shared" si="471"/>
        <v>27.71</v>
      </c>
      <c r="W165" s="15">
        <f t="shared" si="481"/>
        <v>56.76</v>
      </c>
      <c r="X165" s="15">
        <f t="shared" si="491"/>
        <v>25.66</v>
      </c>
      <c r="Y165" s="15">
        <f t="shared" si="501"/>
        <v>25.02</v>
      </c>
      <c r="Z165" s="15">
        <f t="shared" si="511"/>
        <v>99.88</v>
      </c>
      <c r="AA165" s="15">
        <f t="shared" si="521"/>
        <v>21.56</v>
      </c>
      <c r="AB165" s="15">
        <f t="shared" si="531"/>
        <v>28.58</v>
      </c>
      <c r="AC165" s="15">
        <f t="shared" si="541"/>
        <v>106.28</v>
      </c>
      <c r="AD165" s="15">
        <v>3.88</v>
      </c>
      <c r="AE165" s="15">
        <f t="shared" si="552"/>
        <v>1.03</v>
      </c>
      <c r="AF165" s="15">
        <f t="shared" si="452"/>
        <v>0.72</v>
      </c>
      <c r="AG165" s="15">
        <f t="shared" si="462"/>
        <v>0.74</v>
      </c>
      <c r="AH165" s="15">
        <f t="shared" si="472"/>
        <v>0.62</v>
      </c>
      <c r="AI165" s="15">
        <f t="shared" si="482"/>
        <v>1.25</v>
      </c>
      <c r="AJ165" s="15">
        <f t="shared" si="492"/>
        <v>0.56000000000000005</v>
      </c>
      <c r="AK165" s="15">
        <f t="shared" si="502"/>
        <v>0.54</v>
      </c>
      <c r="AL165" s="15">
        <f t="shared" si="512"/>
        <v>2.19</v>
      </c>
      <c r="AM165" s="15">
        <f t="shared" si="522"/>
        <v>0.47</v>
      </c>
      <c r="AN165" s="15">
        <f t="shared" si="532"/>
        <v>0.62</v>
      </c>
      <c r="AO165" s="15">
        <f t="shared" si="542"/>
        <v>2.34</v>
      </c>
      <c r="AP165" s="15">
        <v>2</v>
      </c>
      <c r="AQ165" s="15">
        <f t="shared" si="553"/>
        <v>0</v>
      </c>
      <c r="AR165" s="15">
        <f t="shared" si="453"/>
        <v>0</v>
      </c>
      <c r="AS165" s="15">
        <f t="shared" si="463"/>
        <v>0</v>
      </c>
      <c r="AT165" s="15">
        <f t="shared" si="473"/>
        <v>0</v>
      </c>
      <c r="AU165" s="15">
        <f t="shared" si="483"/>
        <v>0</v>
      </c>
      <c r="AV165" s="15">
        <f t="shared" si="493"/>
        <v>0</v>
      </c>
      <c r="AW165" s="15">
        <f t="shared" si="503"/>
        <v>0</v>
      </c>
      <c r="AX165" s="15">
        <f t="shared" si="513"/>
        <v>1</v>
      </c>
      <c r="AY165" s="15">
        <f t="shared" si="523"/>
        <v>0</v>
      </c>
      <c r="AZ165" s="15">
        <f t="shared" si="533"/>
        <v>0</v>
      </c>
      <c r="BA165" s="15">
        <f t="shared" si="543"/>
        <v>1</v>
      </c>
      <c r="BB165" s="15">
        <v>49</v>
      </c>
      <c r="BC165" s="15">
        <f t="shared" si="554"/>
        <v>13</v>
      </c>
      <c r="BD165" s="15">
        <f t="shared" si="454"/>
        <v>18</v>
      </c>
      <c r="BE165" s="15">
        <f t="shared" si="464"/>
        <v>10</v>
      </c>
      <c r="BF165" s="15">
        <f t="shared" si="474"/>
        <v>28</v>
      </c>
      <c r="BG165" s="15">
        <f t="shared" si="484"/>
        <v>17</v>
      </c>
      <c r="BH165" s="15">
        <f t="shared" si="494"/>
        <v>2</v>
      </c>
      <c r="BI165" s="15">
        <f t="shared" si="504"/>
        <v>4</v>
      </c>
      <c r="BJ165" s="15">
        <f t="shared" si="514"/>
        <v>18</v>
      </c>
      <c r="BK165" s="15">
        <f t="shared" si="524"/>
        <v>4</v>
      </c>
      <c r="BL165" s="15">
        <f t="shared" si="534"/>
        <v>23</v>
      </c>
      <c r="BM165" s="15">
        <f t="shared" si="544"/>
        <v>24</v>
      </c>
      <c r="BN165" s="15">
        <v>2</v>
      </c>
      <c r="BO165" s="15">
        <f t="shared" si="555"/>
        <v>0</v>
      </c>
      <c r="BP165" s="15">
        <f t="shared" si="455"/>
        <v>0</v>
      </c>
      <c r="BQ165" s="15">
        <f t="shared" si="465"/>
        <v>0</v>
      </c>
      <c r="BR165" s="15">
        <f t="shared" si="475"/>
        <v>0</v>
      </c>
      <c r="BS165" s="15">
        <f t="shared" si="485"/>
        <v>0</v>
      </c>
      <c r="BT165" s="15">
        <f t="shared" si="495"/>
        <v>0</v>
      </c>
      <c r="BU165" s="15">
        <f t="shared" si="505"/>
        <v>0</v>
      </c>
      <c r="BV165" s="15">
        <f t="shared" si="515"/>
        <v>0</v>
      </c>
      <c r="BW165" s="15">
        <f t="shared" si="525"/>
        <v>0</v>
      </c>
      <c r="BX165" s="15">
        <f t="shared" si="535"/>
        <v>0</v>
      </c>
      <c r="BY165" s="15">
        <f t="shared" si="545"/>
        <v>0</v>
      </c>
      <c r="BZ165" s="15">
        <v>3.6010200000000001</v>
      </c>
      <c r="CA165" s="15">
        <f t="shared" si="556"/>
        <v>3.5815399999999999</v>
      </c>
      <c r="CB165" s="15">
        <f t="shared" si="456"/>
        <v>1.8133300000000001</v>
      </c>
      <c r="CC165" s="15">
        <f t="shared" si="466"/>
        <v>3.3220000000000001</v>
      </c>
      <c r="CD165" s="15">
        <f t="shared" si="476"/>
        <v>0.98963999999999996</v>
      </c>
      <c r="CE165" s="15">
        <f t="shared" si="486"/>
        <v>3.3388200000000001</v>
      </c>
      <c r="CF165" s="15">
        <f t="shared" si="496"/>
        <v>12.83</v>
      </c>
      <c r="CG165" s="15">
        <f t="shared" si="506"/>
        <v>6.2549999999999999</v>
      </c>
      <c r="CH165" s="15">
        <f t="shared" si="516"/>
        <v>5.5488900000000001</v>
      </c>
      <c r="CI165" s="15">
        <f t="shared" si="526"/>
        <v>5.39</v>
      </c>
      <c r="CJ165" s="15">
        <f t="shared" si="536"/>
        <v>1.24261</v>
      </c>
      <c r="CK165" s="15">
        <f t="shared" si="546"/>
        <v>4.4283299999999999</v>
      </c>
      <c r="CL165" s="15">
        <v>0</v>
      </c>
      <c r="CM165" s="15">
        <f t="shared" si="557"/>
        <v>0</v>
      </c>
      <c r="CN165" s="15">
        <f t="shared" si="457"/>
        <v>0</v>
      </c>
      <c r="CO165" s="15">
        <f t="shared" si="467"/>
        <v>0</v>
      </c>
      <c r="CP165" s="15">
        <f t="shared" si="477"/>
        <v>0</v>
      </c>
      <c r="CQ165" s="15">
        <f t="shared" si="487"/>
        <v>0</v>
      </c>
      <c r="CR165" s="15">
        <f t="shared" si="497"/>
        <v>0</v>
      </c>
      <c r="CS165" s="15">
        <f t="shared" si="507"/>
        <v>0</v>
      </c>
      <c r="CT165" s="15">
        <f t="shared" si="517"/>
        <v>0</v>
      </c>
      <c r="CU165" s="15">
        <f t="shared" si="527"/>
        <v>0</v>
      </c>
      <c r="CV165" s="15">
        <f t="shared" si="537"/>
        <v>0</v>
      </c>
      <c r="CW165" s="15">
        <f t="shared" si="547"/>
        <v>0</v>
      </c>
      <c r="CX165" s="15">
        <v>74.480099999999993</v>
      </c>
      <c r="CY165" s="15">
        <f t="shared" si="558"/>
        <v>74.399799999999999</v>
      </c>
      <c r="CZ165" s="15">
        <f t="shared" si="458"/>
        <v>61.124600000000001</v>
      </c>
      <c r="DA165" s="15">
        <f t="shared" si="468"/>
        <v>73.247</v>
      </c>
      <c r="DB165" s="15">
        <f t="shared" si="478"/>
        <v>44.701700000000002</v>
      </c>
      <c r="DC165" s="15">
        <f t="shared" si="488"/>
        <v>73.326700000000002</v>
      </c>
      <c r="DD165" s="15">
        <f t="shared" si="498"/>
        <v>85.543199999999999</v>
      </c>
      <c r="DE165" s="15">
        <f t="shared" si="508"/>
        <v>80.916899999999998</v>
      </c>
      <c r="DF165" s="15">
        <f t="shared" si="518"/>
        <v>79.784000000000006</v>
      </c>
      <c r="DG165" s="15">
        <f t="shared" si="528"/>
        <v>79.489500000000007</v>
      </c>
      <c r="DH165" s="15">
        <f t="shared" si="538"/>
        <v>51.174300000000002</v>
      </c>
      <c r="DI165" s="15">
        <f t="shared" si="548"/>
        <v>77.275000000000006</v>
      </c>
      <c r="DJ165" s="15" t="s">
        <v>23</v>
      </c>
      <c r="DK165" s="15" t="str">
        <f t="shared" si="559"/>
        <v>HH</v>
      </c>
      <c r="DL165" s="15" t="str">
        <f t="shared" si="459"/>
        <v>HH</v>
      </c>
      <c r="DM165" s="15" t="str">
        <f t="shared" si="469"/>
        <v>HH</v>
      </c>
      <c r="DN165" s="15" t="str">
        <f t="shared" si="479"/>
        <v>LH</v>
      </c>
      <c r="DO165" s="15" t="str">
        <f t="shared" si="489"/>
        <v>LH</v>
      </c>
      <c r="DP165" s="15" t="str">
        <f t="shared" si="499"/>
        <v>LH</v>
      </c>
      <c r="DQ165" s="15" t="str">
        <f t="shared" si="509"/>
        <v>LH</v>
      </c>
      <c r="DR165" s="15" t="str">
        <f t="shared" si="519"/>
        <v>HH</v>
      </c>
      <c r="DS165" s="15" t="str">
        <f t="shared" si="529"/>
        <v>HH</v>
      </c>
      <c r="DT165" s="15" t="str">
        <f t="shared" si="539"/>
        <v>LH</v>
      </c>
      <c r="DU165" s="15" t="str">
        <f t="shared" si="549"/>
        <v>HH</v>
      </c>
      <c r="DV165" s="15">
        <f>IFERROR((G165-$F165)/$F165*100,"")</f>
        <v>-2.8839068680178501</v>
      </c>
      <c r="DW165" s="15">
        <f>IFERROR((H165-$F165)/$F165*100,"")</f>
        <v>-3.4350676299452112</v>
      </c>
      <c r="DX165" s="15">
        <f>IFERROR((I165-$F165)/$F165*100,"")</f>
        <v>-3.7262109444477476</v>
      </c>
      <c r="DY165" s="15">
        <f>IFERROR((J165-$F165)/$F165*100,"")</f>
        <v>-4.1117905631452896</v>
      </c>
      <c r="DZ165" s="15">
        <f>IFERROR((K165-$F165)/$F165*100,"")</f>
        <v>-2.9558986694221252</v>
      </c>
      <c r="EA165" s="15">
        <f>IFERROR((L165-$F165)/$F165*100,"")</f>
        <v>-2.2057017506712193</v>
      </c>
      <c r="EB165" s="15">
        <f>IFERROR((M165-$F165)/$F165*100,"")</f>
        <v>-1.9194284697930986</v>
      </c>
      <c r="EC165" s="15">
        <f>IFERROR((N165-$F165)/$F165*100,"")</f>
        <v>-1.3221082587300754</v>
      </c>
      <c r="ED165" s="15">
        <f>IFERROR((O165-$F165)/$F165*100,"")</f>
        <v>-1.8406609694331344</v>
      </c>
      <c r="EE165" s="15">
        <f>IFERROR((P165-$F165)/$F165*100,"")</f>
        <v>-1.8764451295428919</v>
      </c>
      <c r="EF165" s="15">
        <f>IFERROR((Q165-$F165)/$F165*100,"")</f>
        <v>-1.6020293218372277</v>
      </c>
      <c r="EG165" s="15" t="str">
        <f>IF(DV165="","",IF(AND(ABS(DV165)&lt;=0.25,$E165="Bottom",DK165="LL"),"EQL",IF(AND(ABS(DV165)&lt;=0.25,$E165="Peak",DK165="HH"),"EQH","")))</f>
        <v/>
      </c>
      <c r="EH165" s="15" t="str">
        <f>IF(DW165="","",IF(AND(ABS(DW165)&lt;=0.25,$E165="Bottom",DL165="LL"),"EQL",IF(AND(ABS(DW165)&lt;=0.25,$E165="Peak",DL165="HH"),"EQH","")))</f>
        <v/>
      </c>
      <c r="EI165" s="15" t="str">
        <f>IF(DX165="","",IF(AND(ABS(DX165)&lt;=0.25,$E165="Bottom",DM165="LL"),"EQL",IF(AND(ABS(DX165)&lt;=0.25,$E165="Peak",DM165="HH"),"EQH","")))</f>
        <v/>
      </c>
      <c r="EJ165" s="15" t="str">
        <f>IF(DY165="","",IF(AND(ABS(DY165)&lt;=0.25,$E165="Bottom",DN165="LL"),"EQL",IF(AND(ABS(DY165)&lt;=0.25,$E165="Peak",DN165="HH"),"EQH","")))</f>
        <v/>
      </c>
      <c r="EK165" s="15" t="str">
        <f>IF(DZ165="","",IF(AND(ABS(DZ165)&lt;=0.25,$E165="Bottom",DO165="LL"),"EQL",IF(AND(ABS(DZ165)&lt;=0.25,$E165="Peak",DO165="HH"),"EQH","")))</f>
        <v/>
      </c>
      <c r="EL165" s="15" t="str">
        <f>IF(EA165="","",IF(AND(ABS(EA165)&lt;=0.25,$E165="Bottom",DP165="LL"),"EQL",IF(AND(ABS(EA165)&lt;=0.25,$E165="Peak",DP165="HH"),"EQH","")))</f>
        <v/>
      </c>
      <c r="EM165" s="15" t="str">
        <f>IF(EB165="","",IF(AND(ABS(EB165)&lt;=0.25,$E165="Bottom",DQ165="LL"),"EQL",IF(AND(ABS(EB165)&lt;=0.25,$E165="Peak",DQ165="HH"),"EQH","")))</f>
        <v/>
      </c>
      <c r="EN165" s="15" t="str">
        <f>IF(EC165="","",IF(AND(ABS(EC165)&lt;=0.25,$E165="Bottom",DR165="LL"),"EQL",IF(AND(ABS(EC165)&lt;=0.25,$E165="Peak",DR165="HH"),"EQH","")))</f>
        <v/>
      </c>
      <c r="EO165" s="15" t="str">
        <f>IF(ED165="","",IF(AND(ABS(ED165)&lt;=0.25,$E165="Bottom",DS165="LL"),"EQL",IF(AND(ABS(ED165)&lt;=0.25,$E165="Peak",DS165="HH"),"EQH","")))</f>
        <v/>
      </c>
      <c r="EP165" s="15" t="str">
        <f>IF(EE165="","",IF(AND(ABS(EE165)&lt;=0.25,$E165="Bottom",DT165="LL"),"EQL",IF(AND(ABS(EE165)&lt;=0.25,$E165="Peak",DT165="HH"),"EQH","")))</f>
        <v/>
      </c>
      <c r="EQ165" s="15" t="str">
        <f>IF(EF165="","",IF(AND(ABS(EF165)&lt;=0.25,$E165="Bottom",DU165="LL"),"EQL",IF(AND(ABS(EF165)&lt;=0.25,$E165="Peak",DU165="HH"),"EQH","")))</f>
        <v/>
      </c>
      <c r="ER165" s="15" t="str">
        <f>IF(OR(EG165="EQL",EG165="EQH"),F165,"")</f>
        <v/>
      </c>
      <c r="ES165" s="15" t="str">
        <f>IF(OR(EH165="EQL",EH165="EQH"),G165,"")</f>
        <v/>
      </c>
      <c r="ET165" s="15" t="str">
        <f>IF(OR(EI165="EQL",EI165="EQH"),H165,"")</f>
        <v/>
      </c>
      <c r="EU165" s="15" t="str">
        <f>IF(OR(EJ165="EQL",EJ165="EQH"),I165,"")</f>
        <v/>
      </c>
      <c r="EV165" s="15" t="str">
        <f>IF(OR(EK165="EQL",EK165="EQH"),J165,"")</f>
        <v/>
      </c>
      <c r="EW165" s="15" t="str">
        <f>IF(OR(EL165="EQL",EL165="EQH"),K165,"")</f>
        <v/>
      </c>
      <c r="EX165" s="15" t="str">
        <f>IF(OR(EM165="EQL",EM165="EQH"),L165,"")</f>
        <v/>
      </c>
      <c r="EY165" s="15" t="str">
        <f>IF(OR(EN165="EQL",EN165="EQH"),M165,"")</f>
        <v/>
      </c>
      <c r="EZ165" s="15" t="str">
        <f>IF(OR(EO165="EQL",EO165="EQH"),N165,"")</f>
        <v/>
      </c>
      <c r="FA165" s="15" t="str">
        <f>IF(OR(EP165="EQL",EP165="EQH"),O165,"")</f>
        <v/>
      </c>
      <c r="FB165" s="15" t="str">
        <f>IF(OR(EQ165="EQL",EQ165="EQH"),P165,"")</f>
        <v/>
      </c>
      <c r="FC165" s="15" t="str">
        <f>IF(AND(EG165="EQL",OR(AQ165=4,AQ165=5)),"IEQL",IF(AND(EG165="EQH",OR(AQ165=1,AQ165=2)),"IEQH",""))</f>
        <v/>
      </c>
      <c r="FD165" s="15" t="str">
        <f>IF(AND(EH165="EQL",OR(AR165=4,AR165=5)),"IEQL",IF(AND(EH165="EQH",OR(AR165=1,AR165=2)),"IEQH",""))</f>
        <v/>
      </c>
      <c r="FE165" s="15" t="str">
        <f>IF(AND(EI165="EQL",OR(AS165=4,AS165=5)),"IEQL",IF(AND(EI165="EQH",OR(AS165=1,AS165=2)),"IEQH",""))</f>
        <v/>
      </c>
      <c r="FF165" s="15" t="str">
        <f>IF(AND(EJ165="EQL",OR(AT165=4,AT165=5)),"IEQL",IF(AND(EJ165="EQH",OR(AT165=1,AT165=2)),"IEQH",""))</f>
        <v/>
      </c>
      <c r="FG165" s="15" t="str">
        <f>IF(AND(EK165="EQL",OR(AU165=4,AU165=5)),"IEQL",IF(AND(EK165="EQH",OR(AU165=1,AU165=2)),"IEQH",""))</f>
        <v/>
      </c>
      <c r="FH165" s="15" t="str">
        <f>IF(AND(EL165="EQL",OR(AV165=4,AV165=5)),"IEQL",IF(AND(EL165="EQH",OR(AV165=1,AV165=2)),"IEQH",""))</f>
        <v/>
      </c>
      <c r="FI165" s="15" t="str">
        <f>IF(AND(EM165="EQL",OR(AW165=4,AW165=5)),"IEQL",IF(AND(EM165="EQH",OR(AW165=1,AW165=2)),"IEQH",""))</f>
        <v/>
      </c>
      <c r="FJ165" s="15" t="str">
        <f>IF(AND(EN165="EQL",OR(AX165=4,AX165=5)),"IEQL",IF(AND(EN165="EQH",OR(AX165=1,AX165=2)),"IEQH",""))</f>
        <v/>
      </c>
      <c r="FK165" s="15" t="str">
        <f>IF(AND(EO165="EQL",OR(AY165=4,AY165=5)),"IEQL",IF(AND(EO165="EQH",OR(AY165=1,AY165=2)),"IEQH",""))</f>
        <v/>
      </c>
      <c r="FL165" s="15" t="str">
        <f>IF(AND(EP165="EQL",OR(AZ165=4,AZ165=5)),"IEQL",IF(AND(EP165="EQH",OR(AZ165=1,AZ165=2)),"IEQH",""))</f>
        <v/>
      </c>
      <c r="FM165" s="15" t="str">
        <f>IF(AND(EQ165="EQL",OR(BA165=4,BA165=5)),"IEQL",IF(AND(EQ165="EQH",OR(BA165=1,BA165=2)),"IEQH",""))</f>
        <v/>
      </c>
      <c r="FN165" s="15">
        <f>IF(OR(AND(DJ165="LL",AP165=5),AND(DJ165="HH",AP165=2)),F165,"")</f>
        <v>4722.76</v>
      </c>
      <c r="FO165" s="15">
        <f>IF(FN165&lt;&gt;"",F164,"")</f>
        <v>4546.3100000000004</v>
      </c>
    </row>
    <row r="166" spans="1:171" s="15" customFormat="1" x14ac:dyDescent="0.55000000000000004">
      <c r="A166" s="15">
        <v>1778069706</v>
      </c>
      <c r="B166" s="15" t="s">
        <v>16</v>
      </c>
      <c r="C166" s="15" t="s">
        <v>17</v>
      </c>
      <c r="D166" s="15">
        <v>4683.3599999999997</v>
      </c>
      <c r="E166" s="15" t="s">
        <v>18</v>
      </c>
      <c r="F166" s="15">
        <v>4660.71</v>
      </c>
      <c r="G166" s="15">
        <f t="shared" si="550"/>
        <v>4546.3100000000004</v>
      </c>
      <c r="H166" s="15">
        <f t="shared" ref="H166:H172" si="560">F162</f>
        <v>4540</v>
      </c>
      <c r="I166" s="15">
        <f t="shared" si="460"/>
        <v>4527.8900000000003</v>
      </c>
      <c r="J166" s="15">
        <f t="shared" si="470"/>
        <v>4513.5600000000004</v>
      </c>
      <c r="K166" s="15">
        <f t="shared" si="480"/>
        <v>4500.8599999999997</v>
      </c>
      <c r="L166" s="15">
        <f t="shared" si="490"/>
        <v>4526.3999999999996</v>
      </c>
      <c r="M166" s="15">
        <f t="shared" si="500"/>
        <v>4592.93</v>
      </c>
      <c r="N166" s="15">
        <f t="shared" si="510"/>
        <v>4607.09</v>
      </c>
      <c r="O166" s="15">
        <f t="shared" si="520"/>
        <v>4560.4399999999996</v>
      </c>
      <c r="P166" s="15">
        <f t="shared" si="530"/>
        <v>4614.2700000000004</v>
      </c>
      <c r="Q166" s="15">
        <f t="shared" si="540"/>
        <v>4605.5600000000004</v>
      </c>
      <c r="R166" s="15">
        <v>-62.05</v>
      </c>
      <c r="S166" s="15">
        <f t="shared" si="551"/>
        <v>-40.25</v>
      </c>
      <c r="T166" s="15">
        <f t="shared" ref="T166:T172" si="561">R162</f>
        <v>-20.53</v>
      </c>
      <c r="U166" s="15">
        <f t="shared" si="461"/>
        <v>-18.89</v>
      </c>
      <c r="V166" s="15">
        <f t="shared" si="471"/>
        <v>-15.01</v>
      </c>
      <c r="W166" s="15">
        <f t="shared" si="481"/>
        <v>-82.3</v>
      </c>
      <c r="X166" s="15">
        <f t="shared" si="491"/>
        <v>-92.19</v>
      </c>
      <c r="Y166" s="15">
        <f t="shared" si="501"/>
        <v>-39.18</v>
      </c>
      <c r="Z166" s="15">
        <f t="shared" si="511"/>
        <v>-53.23</v>
      </c>
      <c r="AA166" s="15">
        <f t="shared" si="521"/>
        <v>-75.39</v>
      </c>
      <c r="AB166" s="15">
        <f t="shared" si="531"/>
        <v>-19.87</v>
      </c>
      <c r="AC166" s="15">
        <f t="shared" si="541"/>
        <v>-41.54</v>
      </c>
      <c r="AD166" s="15">
        <v>-1.31</v>
      </c>
      <c r="AE166" s="15">
        <f t="shared" si="552"/>
        <v>-0.88</v>
      </c>
      <c r="AF166" s="15">
        <f t="shared" ref="AF166:AF172" si="562">AD162</f>
        <v>-0.45</v>
      </c>
      <c r="AG166" s="15">
        <f t="shared" si="462"/>
        <v>-0.42</v>
      </c>
      <c r="AH166" s="15">
        <f t="shared" si="472"/>
        <v>-0.33</v>
      </c>
      <c r="AI166" s="15">
        <f t="shared" si="482"/>
        <v>-1.8</v>
      </c>
      <c r="AJ166" s="15">
        <f t="shared" si="492"/>
        <v>-2</v>
      </c>
      <c r="AK166" s="15">
        <f t="shared" si="502"/>
        <v>-0.85</v>
      </c>
      <c r="AL166" s="15">
        <f t="shared" si="512"/>
        <v>-1.1399999999999999</v>
      </c>
      <c r="AM166" s="15">
        <f t="shared" si="522"/>
        <v>-1.63</v>
      </c>
      <c r="AN166" s="15">
        <f t="shared" si="532"/>
        <v>-0.43</v>
      </c>
      <c r="AO166" s="15">
        <f t="shared" si="542"/>
        <v>-0.89</v>
      </c>
      <c r="AP166" s="15">
        <v>3</v>
      </c>
      <c r="AQ166" s="15">
        <f t="shared" si="553"/>
        <v>3</v>
      </c>
      <c r="AR166" s="15">
        <f t="shared" ref="AR166:AR172" si="563">AP162</f>
        <v>3</v>
      </c>
      <c r="AS166" s="15">
        <f t="shared" si="463"/>
        <v>3</v>
      </c>
      <c r="AT166" s="15">
        <f t="shared" si="473"/>
        <v>3</v>
      </c>
      <c r="AU166" s="15">
        <f t="shared" si="483"/>
        <v>3</v>
      </c>
      <c r="AV166" s="15">
        <f t="shared" si="493"/>
        <v>4</v>
      </c>
      <c r="AW166" s="15">
        <f t="shared" si="503"/>
        <v>3</v>
      </c>
      <c r="AX166" s="15">
        <f t="shared" si="513"/>
        <v>3</v>
      </c>
      <c r="AY166" s="15">
        <f t="shared" si="523"/>
        <v>3</v>
      </c>
      <c r="AZ166" s="15">
        <f t="shared" si="533"/>
        <v>3</v>
      </c>
      <c r="BA166" s="15">
        <f t="shared" si="543"/>
        <v>3</v>
      </c>
      <c r="BB166" s="15">
        <v>6</v>
      </c>
      <c r="BC166" s="15">
        <f t="shared" si="554"/>
        <v>29</v>
      </c>
      <c r="BD166" s="15">
        <f t="shared" ref="BD166:BD172" si="564">BB162</f>
        <v>8</v>
      </c>
      <c r="BE166" s="15">
        <f t="shared" si="464"/>
        <v>7</v>
      </c>
      <c r="BF166" s="15">
        <f t="shared" si="474"/>
        <v>1</v>
      </c>
      <c r="BG166" s="15">
        <f t="shared" si="484"/>
        <v>6</v>
      </c>
      <c r="BH166" s="15">
        <f t="shared" si="494"/>
        <v>33</v>
      </c>
      <c r="BI166" s="15">
        <f t="shared" si="504"/>
        <v>14</v>
      </c>
      <c r="BJ166" s="15">
        <f t="shared" si="514"/>
        <v>23</v>
      </c>
      <c r="BK166" s="15">
        <f t="shared" si="524"/>
        <v>30</v>
      </c>
      <c r="BL166" s="15">
        <f t="shared" si="534"/>
        <v>7</v>
      </c>
      <c r="BM166" s="15">
        <f t="shared" si="544"/>
        <v>25</v>
      </c>
      <c r="BN166" s="15">
        <v>3</v>
      </c>
      <c r="BO166" s="15">
        <f t="shared" si="555"/>
        <v>3</v>
      </c>
      <c r="BP166" s="15">
        <f t="shared" ref="BP166:BP172" si="565">BN162</f>
        <v>3</v>
      </c>
      <c r="BQ166" s="15">
        <f t="shared" si="465"/>
        <v>3</v>
      </c>
      <c r="BR166" s="15">
        <f t="shared" si="475"/>
        <v>3</v>
      </c>
      <c r="BS166" s="15">
        <f t="shared" si="485"/>
        <v>3</v>
      </c>
      <c r="BT166" s="15">
        <f t="shared" si="495"/>
        <v>3</v>
      </c>
      <c r="BU166" s="15">
        <f t="shared" si="505"/>
        <v>3</v>
      </c>
      <c r="BV166" s="15">
        <f t="shared" si="515"/>
        <v>3</v>
      </c>
      <c r="BW166" s="15">
        <f t="shared" si="525"/>
        <v>3</v>
      </c>
      <c r="BX166" s="15">
        <f t="shared" si="535"/>
        <v>3</v>
      </c>
      <c r="BY166" s="15">
        <f t="shared" si="545"/>
        <v>3</v>
      </c>
      <c r="BZ166" s="15">
        <v>-10.341670000000001</v>
      </c>
      <c r="CA166" s="15">
        <f t="shared" si="556"/>
        <v>-1.3879300000000001</v>
      </c>
      <c r="CB166" s="15">
        <f t="shared" ref="CB166:CB172" si="566">BZ162</f>
        <v>-2.5662500000000001</v>
      </c>
      <c r="CC166" s="15">
        <f t="shared" si="466"/>
        <v>-2.6985700000000001</v>
      </c>
      <c r="CD166" s="15">
        <f t="shared" si="476"/>
        <v>-15.01</v>
      </c>
      <c r="CE166" s="15">
        <f t="shared" si="486"/>
        <v>-13.716670000000001</v>
      </c>
      <c r="CF166" s="15">
        <f t="shared" si="496"/>
        <v>-2.7936399999999999</v>
      </c>
      <c r="CG166" s="15">
        <f t="shared" si="506"/>
        <v>-2.7985699999999998</v>
      </c>
      <c r="CH166" s="15">
        <f t="shared" si="516"/>
        <v>-2.3143500000000001</v>
      </c>
      <c r="CI166" s="15">
        <f t="shared" si="526"/>
        <v>-2.5129999999999999</v>
      </c>
      <c r="CJ166" s="15">
        <f t="shared" si="536"/>
        <v>-2.8385699999999998</v>
      </c>
      <c r="CK166" s="15">
        <f t="shared" si="546"/>
        <v>-1.6616</v>
      </c>
      <c r="CL166" s="15">
        <v>5</v>
      </c>
      <c r="CM166" s="15">
        <f t="shared" si="557"/>
        <v>3</v>
      </c>
      <c r="CN166" s="15">
        <f t="shared" ref="CN166:CN172" si="567">CL162</f>
        <v>3</v>
      </c>
      <c r="CO166" s="15">
        <f t="shared" si="467"/>
        <v>3</v>
      </c>
      <c r="CP166" s="15">
        <f t="shared" si="477"/>
        <v>5</v>
      </c>
      <c r="CQ166" s="15">
        <f t="shared" si="487"/>
        <v>5</v>
      </c>
      <c r="CR166" s="15">
        <f t="shared" si="497"/>
        <v>3</v>
      </c>
      <c r="CS166" s="15">
        <f t="shared" si="507"/>
        <v>3</v>
      </c>
      <c r="CT166" s="15">
        <f t="shared" si="517"/>
        <v>3</v>
      </c>
      <c r="CU166" s="15">
        <f t="shared" si="527"/>
        <v>3</v>
      </c>
      <c r="CV166" s="15">
        <f t="shared" si="537"/>
        <v>3</v>
      </c>
      <c r="CW166" s="15">
        <f t="shared" si="547"/>
        <v>3</v>
      </c>
      <c r="CX166" s="15">
        <v>-84.476900000000001</v>
      </c>
      <c r="CY166" s="15">
        <f t="shared" si="558"/>
        <v>-54.227400000000003</v>
      </c>
      <c r="CZ166" s="15">
        <f t="shared" ref="CZ166:CZ172" si="568">CX162</f>
        <v>-68.710400000000007</v>
      </c>
      <c r="DA166" s="15">
        <f t="shared" si="468"/>
        <v>-69.667000000000002</v>
      </c>
      <c r="DB166" s="15">
        <f t="shared" si="478"/>
        <v>-86.188500000000005</v>
      </c>
      <c r="DC166" s="15">
        <f t="shared" si="488"/>
        <v>-85.830299999999994</v>
      </c>
      <c r="DD166" s="15">
        <f t="shared" si="498"/>
        <v>-70.3048</v>
      </c>
      <c r="DE166" s="15">
        <f t="shared" si="508"/>
        <v>-70.3369</v>
      </c>
      <c r="DF166" s="15">
        <f t="shared" si="518"/>
        <v>-66.631399999999999</v>
      </c>
      <c r="DG166" s="15">
        <f t="shared" si="528"/>
        <v>-68.300899999999999</v>
      </c>
      <c r="DH166" s="15">
        <f t="shared" si="538"/>
        <v>-70.593199999999996</v>
      </c>
      <c r="DI166" s="15">
        <f t="shared" si="548"/>
        <v>-58.959200000000003</v>
      </c>
      <c r="DJ166" s="15" t="s">
        <v>22</v>
      </c>
      <c r="DK166" s="15" t="str">
        <f t="shared" si="559"/>
        <v>HL</v>
      </c>
      <c r="DL166" s="15" t="str">
        <f t="shared" ref="DL166:DL172" si="569">DJ162</f>
        <v>HL</v>
      </c>
      <c r="DM166" s="15" t="str">
        <f t="shared" si="469"/>
        <v>HL</v>
      </c>
      <c r="DN166" s="15" t="str">
        <f t="shared" si="479"/>
        <v>HL</v>
      </c>
      <c r="DO166" s="15" t="str">
        <f t="shared" si="489"/>
        <v>LL</v>
      </c>
      <c r="DP166" s="15" t="str">
        <f t="shared" si="499"/>
        <v>LL</v>
      </c>
      <c r="DQ166" s="15" t="str">
        <f t="shared" si="509"/>
        <v>LL</v>
      </c>
      <c r="DR166" s="15" t="str">
        <f t="shared" si="519"/>
        <v>HL</v>
      </c>
      <c r="DS166" s="15" t="str">
        <f t="shared" si="529"/>
        <v>LL</v>
      </c>
      <c r="DT166" s="15" t="str">
        <f t="shared" si="539"/>
        <v>HL</v>
      </c>
      <c r="DU166" s="15" t="str">
        <f t="shared" si="549"/>
        <v>HL</v>
      </c>
      <c r="DV166" s="15">
        <f>IFERROR((G166-$F166)/$F166*100,"")</f>
        <v>-2.4545616440413509</v>
      </c>
      <c r="DW166" s="15">
        <f>IFERROR((H166-$F166)/$F166*100,"")</f>
        <v>-2.5899487417153191</v>
      </c>
      <c r="DX166" s="15">
        <f>IFERROR((I166-$F166)/$F166*100,"")</f>
        <v>-2.8497803982654943</v>
      </c>
      <c r="DY166" s="15">
        <f>IFERROR((J166-$F166)/$F166*100,"")</f>
        <v>-3.1572442825234708</v>
      </c>
      <c r="DZ166" s="15">
        <f>IFERROR((K166-$F166)/$F166*100,"")</f>
        <v>-3.4297349545455593</v>
      </c>
      <c r="EA166" s="15">
        <f>IFERROR((L166-$F166)/$F166*100,"")</f>
        <v>-2.8817497763216418</v>
      </c>
      <c r="EB166" s="15">
        <f>IFERROR((M166-$F166)/$F166*100,"")</f>
        <v>-1.4542848621776456</v>
      </c>
      <c r="EC166" s="15">
        <f>IFERROR((N166-$F166)/$F166*100,"")</f>
        <v>-1.1504684908522498</v>
      </c>
      <c r="ED166" s="15">
        <f>IFERROR((O166-$F166)/$F166*100,"")</f>
        <v>-2.151388951468777</v>
      </c>
      <c r="EE166" s="15">
        <f>IFERROR((P166-$F166)/$F166*100,"")</f>
        <v>-0.9964147093468505</v>
      </c>
      <c r="EF166" s="15">
        <f>IFERROR((Q166-$F166)/$F166*100,"")</f>
        <v>-1.1832961072454546</v>
      </c>
      <c r="EG166" s="15" t="str">
        <f>IF(DV166="","",IF(AND(ABS(DV166)&lt;=0.25,$E166="Bottom",DK166="LL"),"EQL",IF(AND(ABS(DV166)&lt;=0.25,$E166="Peak",DK166="HH"),"EQH","")))</f>
        <v/>
      </c>
      <c r="EH166" s="15" t="str">
        <f>IF(DW166="","",IF(AND(ABS(DW166)&lt;=0.25,$E166="Bottom",DL166="LL"),"EQL",IF(AND(ABS(DW166)&lt;=0.25,$E166="Peak",DL166="HH"),"EQH","")))</f>
        <v/>
      </c>
      <c r="EI166" s="15" t="str">
        <f>IF(DX166="","",IF(AND(ABS(DX166)&lt;=0.25,$E166="Bottom",DM166="LL"),"EQL",IF(AND(ABS(DX166)&lt;=0.25,$E166="Peak",DM166="HH"),"EQH","")))</f>
        <v/>
      </c>
      <c r="EJ166" s="15" t="str">
        <f>IF(DY166="","",IF(AND(ABS(DY166)&lt;=0.25,$E166="Bottom",DN166="LL"),"EQL",IF(AND(ABS(DY166)&lt;=0.25,$E166="Peak",DN166="HH"),"EQH","")))</f>
        <v/>
      </c>
      <c r="EK166" s="15" t="str">
        <f>IF(DZ166="","",IF(AND(ABS(DZ166)&lt;=0.25,$E166="Bottom",DO166="LL"),"EQL",IF(AND(ABS(DZ166)&lt;=0.25,$E166="Peak",DO166="HH"),"EQH","")))</f>
        <v/>
      </c>
      <c r="EL166" s="15" t="str">
        <f>IF(EA166="","",IF(AND(ABS(EA166)&lt;=0.25,$E166="Bottom",DP166="LL"),"EQL",IF(AND(ABS(EA166)&lt;=0.25,$E166="Peak",DP166="HH"),"EQH","")))</f>
        <v/>
      </c>
      <c r="EM166" s="15" t="str">
        <f>IF(EB166="","",IF(AND(ABS(EB166)&lt;=0.25,$E166="Bottom",DQ166="LL"),"EQL",IF(AND(ABS(EB166)&lt;=0.25,$E166="Peak",DQ166="HH"),"EQH","")))</f>
        <v/>
      </c>
      <c r="EN166" s="15" t="str">
        <f>IF(EC166="","",IF(AND(ABS(EC166)&lt;=0.25,$E166="Bottom",DR166="LL"),"EQL",IF(AND(ABS(EC166)&lt;=0.25,$E166="Peak",DR166="HH"),"EQH","")))</f>
        <v/>
      </c>
      <c r="EO166" s="15" t="str">
        <f>IF(ED166="","",IF(AND(ABS(ED166)&lt;=0.25,$E166="Bottom",DS166="LL"),"EQL",IF(AND(ABS(ED166)&lt;=0.25,$E166="Peak",DS166="HH"),"EQH","")))</f>
        <v/>
      </c>
      <c r="EP166" s="15" t="str">
        <f>IF(EE166="","",IF(AND(ABS(EE166)&lt;=0.25,$E166="Bottom",DT166="LL"),"EQL",IF(AND(ABS(EE166)&lt;=0.25,$E166="Peak",DT166="HH"),"EQH","")))</f>
        <v/>
      </c>
      <c r="EQ166" s="15" t="str">
        <f>IF(EF166="","",IF(AND(ABS(EF166)&lt;=0.25,$E166="Bottom",DU166="LL"),"EQL",IF(AND(ABS(EF166)&lt;=0.25,$E166="Peak",DU166="HH"),"EQH","")))</f>
        <v/>
      </c>
      <c r="ER166" s="15" t="str">
        <f>IF(OR(EG166="EQL",EG166="EQH"),F166,"")</f>
        <v/>
      </c>
      <c r="ES166" s="15" t="str">
        <f>IF(OR(EH166="EQL",EH166="EQH"),G166,"")</f>
        <v/>
      </c>
      <c r="ET166" s="15" t="str">
        <f>IF(OR(EI166="EQL",EI166="EQH"),H166,"")</f>
        <v/>
      </c>
      <c r="EU166" s="15" t="str">
        <f>IF(OR(EJ166="EQL",EJ166="EQH"),I166,"")</f>
        <v/>
      </c>
      <c r="EV166" s="15" t="str">
        <f>IF(OR(EK166="EQL",EK166="EQH"),J166,"")</f>
        <v/>
      </c>
      <c r="EW166" s="15" t="str">
        <f>IF(OR(EL166="EQL",EL166="EQH"),K166,"")</f>
        <v/>
      </c>
      <c r="EX166" s="15" t="str">
        <f>IF(OR(EM166="EQL",EM166="EQH"),L166,"")</f>
        <v/>
      </c>
      <c r="EY166" s="15" t="str">
        <f>IF(OR(EN166="EQL",EN166="EQH"),M166,"")</f>
        <v/>
      </c>
      <c r="EZ166" s="15" t="str">
        <f>IF(OR(EO166="EQL",EO166="EQH"),N166,"")</f>
        <v/>
      </c>
      <c r="FA166" s="15" t="str">
        <f>IF(OR(EP166="EQL",EP166="EQH"),O166,"")</f>
        <v/>
      </c>
      <c r="FB166" s="15" t="str">
        <f>IF(OR(EQ166="EQL",EQ166="EQH"),P166,"")</f>
        <v/>
      </c>
      <c r="FC166" s="15" t="str">
        <f>IF(AND(EG166="EQL",OR(AQ166=4,AQ166=5)),"IEQL",IF(AND(EG166="EQH",OR(AQ166=1,AQ166=2)),"IEQH",""))</f>
        <v/>
      </c>
      <c r="FD166" s="15" t="str">
        <f>IF(AND(EH166="EQL",OR(AR166=4,AR166=5)),"IEQL",IF(AND(EH166="EQH",OR(AR166=1,AR166=2)),"IEQH",""))</f>
        <v/>
      </c>
      <c r="FE166" s="15" t="str">
        <f>IF(AND(EI166="EQL",OR(AS166=4,AS166=5)),"IEQL",IF(AND(EI166="EQH",OR(AS166=1,AS166=2)),"IEQH",""))</f>
        <v/>
      </c>
      <c r="FF166" s="15" t="str">
        <f>IF(AND(EJ166="EQL",OR(AT166=4,AT166=5)),"IEQL",IF(AND(EJ166="EQH",OR(AT166=1,AT166=2)),"IEQH",""))</f>
        <v/>
      </c>
      <c r="FG166" s="15" t="str">
        <f>IF(AND(EK166="EQL",OR(AU166=4,AU166=5)),"IEQL",IF(AND(EK166="EQH",OR(AU166=1,AU166=2)),"IEQH",""))</f>
        <v/>
      </c>
      <c r="FH166" s="15" t="str">
        <f>IF(AND(EL166="EQL",OR(AV166=4,AV166=5)),"IEQL",IF(AND(EL166="EQH",OR(AV166=1,AV166=2)),"IEQH",""))</f>
        <v/>
      </c>
      <c r="FI166" s="15" t="str">
        <f>IF(AND(EM166="EQL",OR(AW166=4,AW166=5)),"IEQL",IF(AND(EM166="EQH",OR(AW166=1,AW166=2)),"IEQH",""))</f>
        <v/>
      </c>
      <c r="FJ166" s="15" t="str">
        <f>IF(AND(EN166="EQL",OR(AX166=4,AX166=5)),"IEQL",IF(AND(EN166="EQH",OR(AX166=1,AX166=2)),"IEQH",""))</f>
        <v/>
      </c>
      <c r="FK166" s="15" t="str">
        <f>IF(AND(EO166="EQL",OR(AY166=4,AY166=5)),"IEQL",IF(AND(EO166="EQH",OR(AY166=1,AY166=2)),"IEQH",""))</f>
        <v/>
      </c>
      <c r="FL166" s="15" t="str">
        <f>IF(AND(EP166="EQL",OR(AZ166=4,AZ166=5)),"IEQL",IF(AND(EP166="EQH",OR(AZ166=1,AZ166=2)),"IEQH",""))</f>
        <v/>
      </c>
      <c r="FM166" s="15" t="str">
        <f>IF(AND(EQ166="EQL",OR(BA166=4,BA166=5)),"IEQL",IF(AND(EQ166="EQH",OR(BA166=1,BA166=2)),"IEQH",""))</f>
        <v/>
      </c>
      <c r="FN166" s="15" t="str">
        <f>IF(OR(AND(DJ166="LL",AP166=5),AND(DJ166="HH",AP166=2)),F166,"")</f>
        <v/>
      </c>
      <c r="FO166" s="15" t="str">
        <f>IF(FN166&lt;&gt;"",F165,"")</f>
        <v/>
      </c>
    </row>
    <row r="167" spans="1:171" s="15" customFormat="1" x14ac:dyDescent="0.55000000000000004">
      <c r="A167" s="15">
        <v>1778076906</v>
      </c>
      <c r="B167" s="15" t="s">
        <v>16</v>
      </c>
      <c r="C167" s="15" t="s">
        <v>17</v>
      </c>
      <c r="D167" s="15">
        <v>4705.66</v>
      </c>
      <c r="E167" s="15" t="s">
        <v>20</v>
      </c>
      <c r="F167" s="15">
        <v>4717.43</v>
      </c>
      <c r="G167" s="15">
        <f t="shared" si="550"/>
        <v>4722.76</v>
      </c>
      <c r="H167" s="15">
        <f t="shared" si="560"/>
        <v>4586.5600000000004</v>
      </c>
      <c r="I167" s="15">
        <f t="shared" si="460"/>
        <v>4560.53</v>
      </c>
      <c r="J167" s="15">
        <f t="shared" si="470"/>
        <v>4546.78</v>
      </c>
      <c r="K167" s="15">
        <f t="shared" si="480"/>
        <v>4528.57</v>
      </c>
      <c r="L167" s="15">
        <f t="shared" si="490"/>
        <v>4583.16</v>
      </c>
      <c r="M167" s="15">
        <f t="shared" si="500"/>
        <v>4618.59</v>
      </c>
      <c r="N167" s="15">
        <f t="shared" si="510"/>
        <v>4632.1099999999997</v>
      </c>
      <c r="O167" s="15">
        <f t="shared" si="520"/>
        <v>4660.32</v>
      </c>
      <c r="P167" s="15">
        <f t="shared" si="530"/>
        <v>4635.83</v>
      </c>
      <c r="Q167" s="15">
        <f t="shared" si="540"/>
        <v>4634.1400000000003</v>
      </c>
      <c r="R167" s="15">
        <v>56.72</v>
      </c>
      <c r="S167" s="15">
        <f t="shared" si="551"/>
        <v>176.45</v>
      </c>
      <c r="T167" s="15">
        <f t="shared" si="561"/>
        <v>46.56</v>
      </c>
      <c r="U167" s="15">
        <f t="shared" si="461"/>
        <v>32.64</v>
      </c>
      <c r="V167" s="15">
        <f t="shared" si="471"/>
        <v>33.22</v>
      </c>
      <c r="W167" s="15">
        <f t="shared" si="481"/>
        <v>27.71</v>
      </c>
      <c r="X167" s="15">
        <f t="shared" si="491"/>
        <v>56.76</v>
      </c>
      <c r="Y167" s="15">
        <f t="shared" si="501"/>
        <v>25.66</v>
      </c>
      <c r="Z167" s="15">
        <f t="shared" si="511"/>
        <v>25.02</v>
      </c>
      <c r="AA167" s="15">
        <f t="shared" si="521"/>
        <v>99.88</v>
      </c>
      <c r="AB167" s="15">
        <f t="shared" si="531"/>
        <v>21.56</v>
      </c>
      <c r="AC167" s="15">
        <f t="shared" si="541"/>
        <v>28.58</v>
      </c>
      <c r="AD167" s="15">
        <v>1.22</v>
      </c>
      <c r="AE167" s="15">
        <f t="shared" si="552"/>
        <v>3.88</v>
      </c>
      <c r="AF167" s="15">
        <f t="shared" si="562"/>
        <v>1.03</v>
      </c>
      <c r="AG167" s="15">
        <f t="shared" si="462"/>
        <v>0.72</v>
      </c>
      <c r="AH167" s="15">
        <f t="shared" si="472"/>
        <v>0.74</v>
      </c>
      <c r="AI167" s="15">
        <f t="shared" si="482"/>
        <v>0.62</v>
      </c>
      <c r="AJ167" s="15">
        <f t="shared" si="492"/>
        <v>1.25</v>
      </c>
      <c r="AK167" s="15">
        <f t="shared" si="502"/>
        <v>0.56000000000000005</v>
      </c>
      <c r="AL167" s="15">
        <f t="shared" si="512"/>
        <v>0.54</v>
      </c>
      <c r="AM167" s="15">
        <f t="shared" si="522"/>
        <v>2.19</v>
      </c>
      <c r="AN167" s="15">
        <f t="shared" si="532"/>
        <v>0.47</v>
      </c>
      <c r="AO167" s="15">
        <f t="shared" si="542"/>
        <v>0.62</v>
      </c>
      <c r="AP167" s="15">
        <v>0</v>
      </c>
      <c r="AQ167" s="15">
        <f t="shared" si="553"/>
        <v>2</v>
      </c>
      <c r="AR167" s="15">
        <f t="shared" si="563"/>
        <v>0</v>
      </c>
      <c r="AS167" s="15">
        <f t="shared" si="463"/>
        <v>0</v>
      </c>
      <c r="AT167" s="15">
        <f t="shared" si="473"/>
        <v>0</v>
      </c>
      <c r="AU167" s="15">
        <f t="shared" si="483"/>
        <v>0</v>
      </c>
      <c r="AV167" s="15">
        <f t="shared" si="493"/>
        <v>0</v>
      </c>
      <c r="AW167" s="15">
        <f t="shared" si="503"/>
        <v>0</v>
      </c>
      <c r="AX167" s="15">
        <f t="shared" si="513"/>
        <v>0</v>
      </c>
      <c r="AY167" s="15">
        <f t="shared" si="523"/>
        <v>1</v>
      </c>
      <c r="AZ167" s="15">
        <f t="shared" si="533"/>
        <v>0</v>
      </c>
      <c r="BA167" s="15">
        <f t="shared" si="543"/>
        <v>0</v>
      </c>
      <c r="BB167" s="15">
        <v>8</v>
      </c>
      <c r="BC167" s="15">
        <f t="shared" si="554"/>
        <v>49</v>
      </c>
      <c r="BD167" s="15">
        <f t="shared" si="564"/>
        <v>13</v>
      </c>
      <c r="BE167" s="15">
        <f t="shared" si="464"/>
        <v>18</v>
      </c>
      <c r="BF167" s="15">
        <f t="shared" si="474"/>
        <v>10</v>
      </c>
      <c r="BG167" s="15">
        <f t="shared" si="484"/>
        <v>28</v>
      </c>
      <c r="BH167" s="15">
        <f t="shared" si="494"/>
        <v>17</v>
      </c>
      <c r="BI167" s="15">
        <f t="shared" si="504"/>
        <v>2</v>
      </c>
      <c r="BJ167" s="15">
        <f t="shared" si="514"/>
        <v>4</v>
      </c>
      <c r="BK167" s="15">
        <f t="shared" si="524"/>
        <v>18</v>
      </c>
      <c r="BL167" s="15">
        <f t="shared" si="534"/>
        <v>4</v>
      </c>
      <c r="BM167" s="15">
        <f t="shared" si="544"/>
        <v>23</v>
      </c>
      <c r="BN167" s="15">
        <v>0</v>
      </c>
      <c r="BO167" s="15">
        <f t="shared" si="555"/>
        <v>2</v>
      </c>
      <c r="BP167" s="15">
        <f t="shared" si="565"/>
        <v>0</v>
      </c>
      <c r="BQ167" s="15">
        <f t="shared" si="465"/>
        <v>0</v>
      </c>
      <c r="BR167" s="15">
        <f t="shared" si="475"/>
        <v>0</v>
      </c>
      <c r="BS167" s="15">
        <f t="shared" si="485"/>
        <v>0</v>
      </c>
      <c r="BT167" s="15">
        <f t="shared" si="495"/>
        <v>0</v>
      </c>
      <c r="BU167" s="15">
        <f t="shared" si="505"/>
        <v>0</v>
      </c>
      <c r="BV167" s="15">
        <f t="shared" si="515"/>
        <v>0</v>
      </c>
      <c r="BW167" s="15">
        <f t="shared" si="525"/>
        <v>0</v>
      </c>
      <c r="BX167" s="15">
        <f t="shared" si="535"/>
        <v>0</v>
      </c>
      <c r="BY167" s="15">
        <f t="shared" si="545"/>
        <v>0</v>
      </c>
      <c r="BZ167" s="15">
        <v>7.09</v>
      </c>
      <c r="CA167" s="15">
        <f t="shared" si="556"/>
        <v>3.6010200000000001</v>
      </c>
      <c r="CB167" s="15">
        <f t="shared" si="566"/>
        <v>3.5815399999999999</v>
      </c>
      <c r="CC167" s="15">
        <f t="shared" si="466"/>
        <v>1.8133300000000001</v>
      </c>
      <c r="CD167" s="15">
        <f t="shared" si="476"/>
        <v>3.3220000000000001</v>
      </c>
      <c r="CE167" s="15">
        <f t="shared" si="486"/>
        <v>0.98963999999999996</v>
      </c>
      <c r="CF167" s="15">
        <f t="shared" si="496"/>
        <v>3.3388200000000001</v>
      </c>
      <c r="CG167" s="15">
        <f t="shared" si="506"/>
        <v>12.83</v>
      </c>
      <c r="CH167" s="15">
        <f t="shared" si="516"/>
        <v>6.2549999999999999</v>
      </c>
      <c r="CI167" s="15">
        <f t="shared" si="526"/>
        <v>5.5488900000000001</v>
      </c>
      <c r="CJ167" s="15">
        <f t="shared" si="536"/>
        <v>5.39</v>
      </c>
      <c r="CK167" s="15">
        <f t="shared" si="546"/>
        <v>1.24261</v>
      </c>
      <c r="CL167" s="15">
        <v>0</v>
      </c>
      <c r="CM167" s="15">
        <f t="shared" si="557"/>
        <v>0</v>
      </c>
      <c r="CN167" s="15">
        <f t="shared" si="567"/>
        <v>0</v>
      </c>
      <c r="CO167" s="15">
        <f t="shared" si="467"/>
        <v>0</v>
      </c>
      <c r="CP167" s="15">
        <f t="shared" si="477"/>
        <v>0</v>
      </c>
      <c r="CQ167" s="15">
        <f t="shared" si="487"/>
        <v>0</v>
      </c>
      <c r="CR167" s="15">
        <f t="shared" si="497"/>
        <v>0</v>
      </c>
      <c r="CS167" s="15">
        <f t="shared" si="507"/>
        <v>0</v>
      </c>
      <c r="CT167" s="15">
        <f t="shared" si="517"/>
        <v>0</v>
      </c>
      <c r="CU167" s="15">
        <f t="shared" si="527"/>
        <v>0</v>
      </c>
      <c r="CV167" s="15">
        <f t="shared" si="537"/>
        <v>0</v>
      </c>
      <c r="CW167" s="15">
        <f t="shared" si="547"/>
        <v>0</v>
      </c>
      <c r="CX167" s="15">
        <v>81.971699999999998</v>
      </c>
      <c r="CY167" s="15">
        <f t="shared" si="558"/>
        <v>74.480099999999993</v>
      </c>
      <c r="CZ167" s="15">
        <f t="shared" si="568"/>
        <v>74.399799999999999</v>
      </c>
      <c r="DA167" s="15">
        <f t="shared" si="468"/>
        <v>61.124600000000001</v>
      </c>
      <c r="DB167" s="15">
        <f t="shared" si="478"/>
        <v>73.247</v>
      </c>
      <c r="DC167" s="15">
        <f t="shared" si="488"/>
        <v>44.701700000000002</v>
      </c>
      <c r="DD167" s="15">
        <f t="shared" si="498"/>
        <v>73.326700000000002</v>
      </c>
      <c r="DE167" s="15">
        <f t="shared" si="508"/>
        <v>85.543199999999999</v>
      </c>
      <c r="DF167" s="15">
        <f t="shared" si="518"/>
        <v>80.916899999999998</v>
      </c>
      <c r="DG167" s="15">
        <f t="shared" si="528"/>
        <v>79.784000000000006</v>
      </c>
      <c r="DH167" s="15">
        <f t="shared" si="538"/>
        <v>79.489500000000007</v>
      </c>
      <c r="DI167" s="15">
        <f t="shared" si="548"/>
        <v>51.174300000000002</v>
      </c>
      <c r="DJ167" s="15" t="s">
        <v>21</v>
      </c>
      <c r="DK167" s="15" t="str">
        <f t="shared" si="559"/>
        <v>HH</v>
      </c>
      <c r="DL167" s="15" t="str">
        <f t="shared" si="569"/>
        <v>HH</v>
      </c>
      <c r="DM167" s="15" t="str">
        <f t="shared" si="469"/>
        <v>HH</v>
      </c>
      <c r="DN167" s="15" t="str">
        <f t="shared" si="479"/>
        <v>HH</v>
      </c>
      <c r="DO167" s="15" t="str">
        <f t="shared" si="489"/>
        <v>LH</v>
      </c>
      <c r="DP167" s="15" t="str">
        <f t="shared" si="499"/>
        <v>LH</v>
      </c>
      <c r="DQ167" s="15" t="str">
        <f t="shared" si="509"/>
        <v>LH</v>
      </c>
      <c r="DR167" s="15" t="str">
        <f t="shared" si="519"/>
        <v>LH</v>
      </c>
      <c r="DS167" s="15" t="str">
        <f t="shared" si="529"/>
        <v>HH</v>
      </c>
      <c r="DT167" s="15" t="str">
        <f t="shared" si="539"/>
        <v>HH</v>
      </c>
      <c r="DU167" s="15" t="str">
        <f t="shared" si="549"/>
        <v>LH</v>
      </c>
      <c r="DV167" s="15">
        <f>IFERROR((G167-$F167)/$F167*100,"")</f>
        <v>0.11298524832376797</v>
      </c>
      <c r="DW167" s="15">
        <f>IFERROR((H167-$F167)/$F167*100,"")</f>
        <v>-2.7741800090303381</v>
      </c>
      <c r="DX167" s="15">
        <f>IFERROR((I167-$F167)/$F167*100,"")</f>
        <v>-3.3259635013132263</v>
      </c>
      <c r="DY167" s="15">
        <f>IFERROR((J167-$F167)/$F167*100,"")</f>
        <v>-3.6174357648126323</v>
      </c>
      <c r="DZ167" s="15">
        <f>IFERROR((K167-$F167)/$F167*100,"")</f>
        <v>-4.0034510315998455</v>
      </c>
      <c r="EA167" s="15">
        <f>IFERROR((L167-$F167)/$F167*100,"")</f>
        <v>-2.8462531505502029</v>
      </c>
      <c r="EB167" s="15">
        <f>IFERROR((M167-$F167)/$F167*100,"")</f>
        <v>-2.0952086199477287</v>
      </c>
      <c r="EC167" s="15">
        <f>IFERROR((N167-$F167)/$F167*100,"")</f>
        <v>-1.8086118924923233</v>
      </c>
      <c r="ED167" s="15">
        <f>IFERROR((O167-$F167)/$F167*100,"")</f>
        <v>-1.2106167977055426</v>
      </c>
      <c r="EE167" s="15">
        <f>IFERROR((P167-$F167)/$F167*100,"")</f>
        <v>-1.7297553964764789</v>
      </c>
      <c r="EF167" s="15">
        <f>IFERROR((Q167-$F167)/$F167*100,"")</f>
        <v>-1.7655799874083971</v>
      </c>
      <c r="EG167" s="15" t="str">
        <f>IF(DV167="","",IF(AND(ABS(DV167)&lt;=0.25,$E167="Bottom",DK167="LL"),"EQL",IF(AND(ABS(DV167)&lt;=0.25,$E167="Peak",DK167="HH"),"EQH","")))</f>
        <v>EQH</v>
      </c>
      <c r="EH167" s="15" t="str">
        <f>IF(DW167="","",IF(AND(ABS(DW167)&lt;=0.25,$E167="Bottom",DL167="LL"),"EQL",IF(AND(ABS(DW167)&lt;=0.25,$E167="Peak",DL167="HH"),"EQH","")))</f>
        <v/>
      </c>
      <c r="EI167" s="15" t="str">
        <f>IF(DX167="","",IF(AND(ABS(DX167)&lt;=0.25,$E167="Bottom",DM167="LL"),"EQL",IF(AND(ABS(DX167)&lt;=0.25,$E167="Peak",DM167="HH"),"EQH","")))</f>
        <v/>
      </c>
      <c r="EJ167" s="15" t="str">
        <f>IF(DY167="","",IF(AND(ABS(DY167)&lt;=0.25,$E167="Bottom",DN167="LL"),"EQL",IF(AND(ABS(DY167)&lt;=0.25,$E167="Peak",DN167="HH"),"EQH","")))</f>
        <v/>
      </c>
      <c r="EK167" s="15" t="str">
        <f>IF(DZ167="","",IF(AND(ABS(DZ167)&lt;=0.25,$E167="Bottom",DO167="LL"),"EQL",IF(AND(ABS(DZ167)&lt;=0.25,$E167="Peak",DO167="HH"),"EQH","")))</f>
        <v/>
      </c>
      <c r="EL167" s="15" t="str">
        <f>IF(EA167="","",IF(AND(ABS(EA167)&lt;=0.25,$E167="Bottom",DP167="LL"),"EQL",IF(AND(ABS(EA167)&lt;=0.25,$E167="Peak",DP167="HH"),"EQH","")))</f>
        <v/>
      </c>
      <c r="EM167" s="15" t="str">
        <f>IF(EB167="","",IF(AND(ABS(EB167)&lt;=0.25,$E167="Bottom",DQ167="LL"),"EQL",IF(AND(ABS(EB167)&lt;=0.25,$E167="Peak",DQ167="HH"),"EQH","")))</f>
        <v/>
      </c>
      <c r="EN167" s="15" t="str">
        <f>IF(EC167="","",IF(AND(ABS(EC167)&lt;=0.25,$E167="Bottom",DR167="LL"),"EQL",IF(AND(ABS(EC167)&lt;=0.25,$E167="Peak",DR167="HH"),"EQH","")))</f>
        <v/>
      </c>
      <c r="EO167" s="15" t="str">
        <f>IF(ED167="","",IF(AND(ABS(ED167)&lt;=0.25,$E167="Bottom",DS167="LL"),"EQL",IF(AND(ABS(ED167)&lt;=0.25,$E167="Peak",DS167="HH"),"EQH","")))</f>
        <v/>
      </c>
      <c r="EP167" s="15" t="str">
        <f>IF(EE167="","",IF(AND(ABS(EE167)&lt;=0.25,$E167="Bottom",DT167="LL"),"EQL",IF(AND(ABS(EE167)&lt;=0.25,$E167="Peak",DT167="HH"),"EQH","")))</f>
        <v/>
      </c>
      <c r="EQ167" s="15" t="str">
        <f>IF(EF167="","",IF(AND(ABS(EF167)&lt;=0.25,$E167="Bottom",DU167="LL"),"EQL",IF(AND(ABS(EF167)&lt;=0.25,$E167="Peak",DU167="HH"),"EQH","")))</f>
        <v/>
      </c>
      <c r="ER167" s="15">
        <f>IF(OR(EG167="EQL",EG167="EQH"),F167,"")</f>
        <v>4717.43</v>
      </c>
      <c r="ES167" s="15" t="str">
        <f>IF(OR(EH167="EQL",EH167="EQH"),G167,"")</f>
        <v/>
      </c>
      <c r="ET167" s="15" t="str">
        <f>IF(OR(EI167="EQL",EI167="EQH"),H167,"")</f>
        <v/>
      </c>
      <c r="EU167" s="15" t="str">
        <f>IF(OR(EJ167="EQL",EJ167="EQH"),I167,"")</f>
        <v/>
      </c>
      <c r="EV167" s="15" t="str">
        <f>IF(OR(EK167="EQL",EK167="EQH"),J167,"")</f>
        <v/>
      </c>
      <c r="EW167" s="15" t="str">
        <f>IF(OR(EL167="EQL",EL167="EQH"),K167,"")</f>
        <v/>
      </c>
      <c r="EX167" s="15" t="str">
        <f>IF(OR(EM167="EQL",EM167="EQH"),L167,"")</f>
        <v/>
      </c>
      <c r="EY167" s="15" t="str">
        <f>IF(OR(EN167="EQL",EN167="EQH"),M167,"")</f>
        <v/>
      </c>
      <c r="EZ167" s="15" t="str">
        <f>IF(OR(EO167="EQL",EO167="EQH"),N167,"")</f>
        <v/>
      </c>
      <c r="FA167" s="15" t="str">
        <f>IF(OR(EP167="EQL",EP167="EQH"),O167,"")</f>
        <v/>
      </c>
      <c r="FB167" s="15" t="str">
        <f>IF(OR(EQ167="EQL",EQ167="EQH"),P167,"")</f>
        <v/>
      </c>
      <c r="FC167" s="15" t="str">
        <f>IF(AND(EG167="EQL",OR(AQ167=4,AQ167=5)),"IEQL",IF(AND(EG167="EQH",OR(AQ167=1,AQ167=2)),"IEQH",""))</f>
        <v>IEQH</v>
      </c>
      <c r="FD167" s="15" t="str">
        <f>IF(AND(EH167="EQL",OR(AR167=4,AR167=5)),"IEQL",IF(AND(EH167="EQH",OR(AR167=1,AR167=2)),"IEQH",""))</f>
        <v/>
      </c>
      <c r="FE167" s="15" t="str">
        <f>IF(AND(EI167="EQL",OR(AS167=4,AS167=5)),"IEQL",IF(AND(EI167="EQH",OR(AS167=1,AS167=2)),"IEQH",""))</f>
        <v/>
      </c>
      <c r="FF167" s="15" t="str">
        <f>IF(AND(EJ167="EQL",OR(AT167=4,AT167=5)),"IEQL",IF(AND(EJ167="EQH",OR(AT167=1,AT167=2)),"IEQH",""))</f>
        <v/>
      </c>
      <c r="FG167" s="15" t="str">
        <f>IF(AND(EK167="EQL",OR(AU167=4,AU167=5)),"IEQL",IF(AND(EK167="EQH",OR(AU167=1,AU167=2)),"IEQH",""))</f>
        <v/>
      </c>
      <c r="FH167" s="15" t="str">
        <f>IF(AND(EL167="EQL",OR(AV167=4,AV167=5)),"IEQL",IF(AND(EL167="EQH",OR(AV167=1,AV167=2)),"IEQH",""))</f>
        <v/>
      </c>
      <c r="FI167" s="15" t="str">
        <f>IF(AND(EM167="EQL",OR(AW167=4,AW167=5)),"IEQL",IF(AND(EM167="EQH",OR(AW167=1,AW167=2)),"IEQH",""))</f>
        <v/>
      </c>
      <c r="FJ167" s="15" t="str">
        <f>IF(AND(EN167="EQL",OR(AX167=4,AX167=5)),"IEQL",IF(AND(EN167="EQH",OR(AX167=1,AX167=2)),"IEQH",""))</f>
        <v/>
      </c>
      <c r="FK167" s="15" t="str">
        <f>IF(AND(EO167="EQL",OR(AY167=4,AY167=5)),"IEQL",IF(AND(EO167="EQH",OR(AY167=1,AY167=2)),"IEQH",""))</f>
        <v/>
      </c>
      <c r="FL167" s="15" t="str">
        <f>IF(AND(EP167="EQL",OR(AZ167=4,AZ167=5)),"IEQL",IF(AND(EP167="EQH",OR(AZ167=1,AZ167=2)),"IEQH",""))</f>
        <v/>
      </c>
      <c r="FM167" s="15" t="str">
        <f>IF(AND(EQ167="EQL",OR(BA167=4,BA167=5)),"IEQL",IF(AND(EQ167="EQH",OR(BA167=1,BA167=2)),"IEQH",""))</f>
        <v/>
      </c>
      <c r="FN167" s="15" t="str">
        <f>IF(OR(AND(DJ167="LL",AP167=5),AND(DJ167="HH",AP167=2)),F167,"")</f>
        <v/>
      </c>
      <c r="FO167" s="15" t="str">
        <f>IF(FN167&lt;&gt;"",F166,"")</f>
        <v/>
      </c>
    </row>
    <row r="168" spans="1:171" s="15" customFormat="1" x14ac:dyDescent="0.55000000000000004">
      <c r="A168" s="15">
        <v>1778088606</v>
      </c>
      <c r="B168" s="15" t="s">
        <v>16</v>
      </c>
      <c r="C168" s="15" t="s">
        <v>17</v>
      </c>
      <c r="D168" s="15">
        <v>4680.6400000000003</v>
      </c>
      <c r="E168" s="15" t="s">
        <v>18</v>
      </c>
      <c r="F168" s="15">
        <v>4678.99</v>
      </c>
      <c r="G168" s="15">
        <f t="shared" si="550"/>
        <v>4660.71</v>
      </c>
      <c r="H168" s="15">
        <f t="shared" si="560"/>
        <v>4546.3100000000004</v>
      </c>
      <c r="I168" s="15">
        <f t="shared" ref="I168:I172" si="570">F162</f>
        <v>4540</v>
      </c>
      <c r="J168" s="15">
        <f t="shared" si="470"/>
        <v>4527.8900000000003</v>
      </c>
      <c r="K168" s="15">
        <f t="shared" si="480"/>
        <v>4513.5600000000004</v>
      </c>
      <c r="L168" s="15">
        <f t="shared" si="490"/>
        <v>4500.8599999999997</v>
      </c>
      <c r="M168" s="15">
        <f t="shared" si="500"/>
        <v>4526.3999999999996</v>
      </c>
      <c r="N168" s="15">
        <f t="shared" si="510"/>
        <v>4592.93</v>
      </c>
      <c r="O168" s="15">
        <f t="shared" si="520"/>
        <v>4607.09</v>
      </c>
      <c r="P168" s="15">
        <f t="shared" si="530"/>
        <v>4560.4399999999996</v>
      </c>
      <c r="Q168" s="15">
        <f t="shared" si="540"/>
        <v>4614.2700000000004</v>
      </c>
      <c r="R168" s="15">
        <v>-38.44</v>
      </c>
      <c r="S168" s="15">
        <f t="shared" si="551"/>
        <v>-62.05</v>
      </c>
      <c r="T168" s="15">
        <f t="shared" si="561"/>
        <v>-40.25</v>
      </c>
      <c r="U168" s="15">
        <f t="shared" ref="U168:U172" si="571">R162</f>
        <v>-20.53</v>
      </c>
      <c r="V168" s="15">
        <f t="shared" si="471"/>
        <v>-18.89</v>
      </c>
      <c r="W168" s="15">
        <f t="shared" si="481"/>
        <v>-15.01</v>
      </c>
      <c r="X168" s="15">
        <f t="shared" si="491"/>
        <v>-82.3</v>
      </c>
      <c r="Y168" s="15">
        <f t="shared" si="501"/>
        <v>-92.19</v>
      </c>
      <c r="Z168" s="15">
        <f t="shared" si="511"/>
        <v>-39.18</v>
      </c>
      <c r="AA168" s="15">
        <f t="shared" si="521"/>
        <v>-53.23</v>
      </c>
      <c r="AB168" s="15">
        <f t="shared" si="531"/>
        <v>-75.39</v>
      </c>
      <c r="AC168" s="15">
        <f t="shared" si="541"/>
        <v>-19.87</v>
      </c>
      <c r="AD168" s="15">
        <v>-0.81</v>
      </c>
      <c r="AE168" s="15">
        <f t="shared" si="552"/>
        <v>-1.31</v>
      </c>
      <c r="AF168" s="15">
        <f t="shared" si="562"/>
        <v>-0.88</v>
      </c>
      <c r="AG168" s="15">
        <f t="shared" ref="AG168:AG172" si="572">AD162</f>
        <v>-0.45</v>
      </c>
      <c r="AH168" s="15">
        <f t="shared" si="472"/>
        <v>-0.42</v>
      </c>
      <c r="AI168" s="15">
        <f t="shared" si="482"/>
        <v>-0.33</v>
      </c>
      <c r="AJ168" s="15">
        <f t="shared" si="492"/>
        <v>-1.8</v>
      </c>
      <c r="AK168" s="15">
        <f t="shared" si="502"/>
        <v>-2</v>
      </c>
      <c r="AL168" s="15">
        <f t="shared" si="512"/>
        <v>-0.85</v>
      </c>
      <c r="AM168" s="15">
        <f t="shared" si="522"/>
        <v>-1.1399999999999999</v>
      </c>
      <c r="AN168" s="15">
        <f t="shared" si="532"/>
        <v>-1.63</v>
      </c>
      <c r="AO168" s="15">
        <f t="shared" si="542"/>
        <v>-0.43</v>
      </c>
      <c r="AP168" s="15">
        <v>3</v>
      </c>
      <c r="AQ168" s="15">
        <f t="shared" si="553"/>
        <v>3</v>
      </c>
      <c r="AR168" s="15">
        <f t="shared" si="563"/>
        <v>3</v>
      </c>
      <c r="AS168" s="15">
        <f t="shared" ref="AS168:AS172" si="573">AP162</f>
        <v>3</v>
      </c>
      <c r="AT168" s="15">
        <f t="shared" si="473"/>
        <v>3</v>
      </c>
      <c r="AU168" s="15">
        <f t="shared" si="483"/>
        <v>3</v>
      </c>
      <c r="AV168" s="15">
        <f t="shared" si="493"/>
        <v>3</v>
      </c>
      <c r="AW168" s="15">
        <f t="shared" si="503"/>
        <v>4</v>
      </c>
      <c r="AX168" s="15">
        <f t="shared" si="513"/>
        <v>3</v>
      </c>
      <c r="AY168" s="15">
        <f t="shared" si="523"/>
        <v>3</v>
      </c>
      <c r="AZ168" s="15">
        <f t="shared" si="533"/>
        <v>3</v>
      </c>
      <c r="BA168" s="15">
        <f t="shared" si="543"/>
        <v>3</v>
      </c>
      <c r="BB168" s="15">
        <v>13</v>
      </c>
      <c r="BC168" s="15">
        <f t="shared" si="554"/>
        <v>6</v>
      </c>
      <c r="BD168" s="15">
        <f t="shared" si="564"/>
        <v>29</v>
      </c>
      <c r="BE168" s="15">
        <f t="shared" ref="BE168:BE172" si="574">BB162</f>
        <v>8</v>
      </c>
      <c r="BF168" s="15">
        <f t="shared" si="474"/>
        <v>7</v>
      </c>
      <c r="BG168" s="15">
        <f t="shared" si="484"/>
        <v>1</v>
      </c>
      <c r="BH168" s="15">
        <f t="shared" si="494"/>
        <v>6</v>
      </c>
      <c r="BI168" s="15">
        <f t="shared" si="504"/>
        <v>33</v>
      </c>
      <c r="BJ168" s="15">
        <f t="shared" si="514"/>
        <v>14</v>
      </c>
      <c r="BK168" s="15">
        <f t="shared" si="524"/>
        <v>23</v>
      </c>
      <c r="BL168" s="15">
        <f t="shared" si="534"/>
        <v>30</v>
      </c>
      <c r="BM168" s="15">
        <f t="shared" si="544"/>
        <v>7</v>
      </c>
      <c r="BN168" s="15">
        <v>3</v>
      </c>
      <c r="BO168" s="15">
        <f t="shared" si="555"/>
        <v>3</v>
      </c>
      <c r="BP168" s="15">
        <f t="shared" si="565"/>
        <v>3</v>
      </c>
      <c r="BQ168" s="15">
        <f t="shared" ref="BQ168:BQ172" si="575">BN162</f>
        <v>3</v>
      </c>
      <c r="BR168" s="15">
        <f t="shared" si="475"/>
        <v>3</v>
      </c>
      <c r="BS168" s="15">
        <f t="shared" si="485"/>
        <v>3</v>
      </c>
      <c r="BT168" s="15">
        <f t="shared" si="495"/>
        <v>3</v>
      </c>
      <c r="BU168" s="15">
        <f t="shared" si="505"/>
        <v>3</v>
      </c>
      <c r="BV168" s="15">
        <f t="shared" si="515"/>
        <v>3</v>
      </c>
      <c r="BW168" s="15">
        <f t="shared" si="525"/>
        <v>3</v>
      </c>
      <c r="BX168" s="15">
        <f t="shared" si="535"/>
        <v>3</v>
      </c>
      <c r="BY168" s="15">
        <f t="shared" si="545"/>
        <v>3</v>
      </c>
      <c r="BZ168" s="15">
        <v>-2.9569200000000002</v>
      </c>
      <c r="CA168" s="15">
        <f t="shared" si="556"/>
        <v>-10.341670000000001</v>
      </c>
      <c r="CB168" s="15">
        <f t="shared" si="566"/>
        <v>-1.3879300000000001</v>
      </c>
      <c r="CC168" s="15">
        <f t="shared" ref="CC168:CC172" si="576">BZ162</f>
        <v>-2.5662500000000001</v>
      </c>
      <c r="CD168" s="15">
        <f t="shared" si="476"/>
        <v>-2.6985700000000001</v>
      </c>
      <c r="CE168" s="15">
        <f t="shared" si="486"/>
        <v>-15.01</v>
      </c>
      <c r="CF168" s="15">
        <f t="shared" si="496"/>
        <v>-13.716670000000001</v>
      </c>
      <c r="CG168" s="15">
        <f t="shared" si="506"/>
        <v>-2.7936399999999999</v>
      </c>
      <c r="CH168" s="15">
        <f t="shared" si="516"/>
        <v>-2.7985699999999998</v>
      </c>
      <c r="CI168" s="15">
        <f t="shared" si="526"/>
        <v>-2.3143500000000001</v>
      </c>
      <c r="CJ168" s="15">
        <f t="shared" si="536"/>
        <v>-2.5129999999999999</v>
      </c>
      <c r="CK168" s="15">
        <f t="shared" si="546"/>
        <v>-2.8385699999999998</v>
      </c>
      <c r="CL168" s="15">
        <v>3</v>
      </c>
      <c r="CM168" s="15">
        <f t="shared" si="557"/>
        <v>5</v>
      </c>
      <c r="CN168" s="15">
        <f t="shared" si="567"/>
        <v>3</v>
      </c>
      <c r="CO168" s="15">
        <f t="shared" ref="CO168:CO172" si="577">CL162</f>
        <v>3</v>
      </c>
      <c r="CP168" s="15">
        <f t="shared" si="477"/>
        <v>3</v>
      </c>
      <c r="CQ168" s="15">
        <f t="shared" si="487"/>
        <v>5</v>
      </c>
      <c r="CR168" s="15">
        <f t="shared" si="497"/>
        <v>5</v>
      </c>
      <c r="CS168" s="15">
        <f t="shared" si="507"/>
        <v>3</v>
      </c>
      <c r="CT168" s="15">
        <f t="shared" si="517"/>
        <v>3</v>
      </c>
      <c r="CU168" s="15">
        <f t="shared" si="527"/>
        <v>3</v>
      </c>
      <c r="CV168" s="15">
        <f t="shared" si="537"/>
        <v>3</v>
      </c>
      <c r="CW168" s="15">
        <f t="shared" si="547"/>
        <v>3</v>
      </c>
      <c r="CX168" s="15">
        <v>-71.314999999999998</v>
      </c>
      <c r="CY168" s="15">
        <f t="shared" si="558"/>
        <v>-84.476900000000001</v>
      </c>
      <c r="CZ168" s="15">
        <f t="shared" si="568"/>
        <v>-54.227400000000003</v>
      </c>
      <c r="DA168" s="15">
        <f t="shared" ref="DA168:DA172" si="578">CX162</f>
        <v>-68.710400000000007</v>
      </c>
      <c r="DB168" s="15">
        <f t="shared" si="478"/>
        <v>-69.667000000000002</v>
      </c>
      <c r="DC168" s="15">
        <f t="shared" si="488"/>
        <v>-86.188500000000005</v>
      </c>
      <c r="DD168" s="15">
        <f t="shared" si="498"/>
        <v>-85.830299999999994</v>
      </c>
      <c r="DE168" s="15">
        <f t="shared" si="508"/>
        <v>-70.3048</v>
      </c>
      <c r="DF168" s="15">
        <f t="shared" si="518"/>
        <v>-70.3369</v>
      </c>
      <c r="DG168" s="15">
        <f t="shared" si="528"/>
        <v>-66.631399999999999</v>
      </c>
      <c r="DH168" s="15">
        <f t="shared" si="538"/>
        <v>-68.300899999999999</v>
      </c>
      <c r="DI168" s="15">
        <f t="shared" si="548"/>
        <v>-70.593199999999996</v>
      </c>
      <c r="DJ168" s="15" t="s">
        <v>22</v>
      </c>
      <c r="DK168" s="15" t="str">
        <f t="shared" si="559"/>
        <v>HL</v>
      </c>
      <c r="DL168" s="15" t="str">
        <f t="shared" si="569"/>
        <v>HL</v>
      </c>
      <c r="DM168" s="15" t="str">
        <f t="shared" ref="DM168:DM172" si="579">DJ162</f>
        <v>HL</v>
      </c>
      <c r="DN168" s="15" t="str">
        <f t="shared" si="479"/>
        <v>HL</v>
      </c>
      <c r="DO168" s="15" t="str">
        <f t="shared" si="489"/>
        <v>HL</v>
      </c>
      <c r="DP168" s="15" t="str">
        <f t="shared" si="499"/>
        <v>LL</v>
      </c>
      <c r="DQ168" s="15" t="str">
        <f t="shared" si="509"/>
        <v>LL</v>
      </c>
      <c r="DR168" s="15" t="str">
        <f t="shared" si="519"/>
        <v>LL</v>
      </c>
      <c r="DS168" s="15" t="str">
        <f t="shared" si="529"/>
        <v>HL</v>
      </c>
      <c r="DT168" s="15" t="str">
        <f t="shared" si="539"/>
        <v>LL</v>
      </c>
      <c r="DU168" s="15" t="str">
        <f t="shared" si="549"/>
        <v>HL</v>
      </c>
      <c r="DV168" s="15">
        <f>IFERROR((G168-$F168)/$F168*100,"")</f>
        <v>-0.39068260457918791</v>
      </c>
      <c r="DW168" s="15">
        <f>IFERROR((H168-$F168)/$F168*100,"")</f>
        <v>-2.8356547032585961</v>
      </c>
      <c r="DX168" s="15">
        <f>IFERROR((I168-$F168)/$F168*100,"")</f>
        <v>-2.9705128670931074</v>
      </c>
      <c r="DY168" s="15">
        <f>IFERROR((J168-$F168)/$F168*100,"")</f>
        <v>-3.2293294065599514</v>
      </c>
      <c r="DZ168" s="15">
        <f>IFERROR((K168-$F168)/$F168*100,"")</f>
        <v>-3.535592082906768</v>
      </c>
      <c r="EA168" s="15">
        <f>IFERROR((L168-$F168)/$F168*100,"")</f>
        <v>-3.8070181812741666</v>
      </c>
      <c r="EB168" s="15">
        <f>IFERROR((M168-$F168)/$F168*100,"")</f>
        <v>-3.2611738858172417</v>
      </c>
      <c r="EC168" s="15">
        <f>IFERROR((N168-$F168)/$F168*100,"")</f>
        <v>-1.839285828779277</v>
      </c>
      <c r="ED168" s="15">
        <f>IFERROR((O168-$F168)/$F168*100,"")</f>
        <v>-1.5366564151665132</v>
      </c>
      <c r="EE168" s="15">
        <f>IFERROR((P168-$F168)/$F168*100,"")</f>
        <v>-2.5336664536577378</v>
      </c>
      <c r="EF168" s="15">
        <f>IFERROR((Q168-$F168)/$F168*100,"")</f>
        <v>-1.3832044949871523</v>
      </c>
      <c r="EG168" s="15" t="str">
        <f>IF(DV168="","",IF(AND(ABS(DV168)&lt;=0.25,$E168="Bottom",DK168="LL"),"EQL",IF(AND(ABS(DV168)&lt;=0.25,$E168="Peak",DK168="HH"),"EQH","")))</f>
        <v/>
      </c>
      <c r="EH168" s="15" t="str">
        <f>IF(DW168="","",IF(AND(ABS(DW168)&lt;=0.25,$E168="Bottom",DL168="LL"),"EQL",IF(AND(ABS(DW168)&lt;=0.25,$E168="Peak",DL168="HH"),"EQH","")))</f>
        <v/>
      </c>
      <c r="EI168" s="15" t="str">
        <f>IF(DX168="","",IF(AND(ABS(DX168)&lt;=0.25,$E168="Bottom",DM168="LL"),"EQL",IF(AND(ABS(DX168)&lt;=0.25,$E168="Peak",DM168="HH"),"EQH","")))</f>
        <v/>
      </c>
      <c r="EJ168" s="15" t="str">
        <f>IF(DY168="","",IF(AND(ABS(DY168)&lt;=0.25,$E168="Bottom",DN168="LL"),"EQL",IF(AND(ABS(DY168)&lt;=0.25,$E168="Peak",DN168="HH"),"EQH","")))</f>
        <v/>
      </c>
      <c r="EK168" s="15" t="str">
        <f>IF(DZ168="","",IF(AND(ABS(DZ168)&lt;=0.25,$E168="Bottom",DO168="LL"),"EQL",IF(AND(ABS(DZ168)&lt;=0.25,$E168="Peak",DO168="HH"),"EQH","")))</f>
        <v/>
      </c>
      <c r="EL168" s="15" t="str">
        <f>IF(EA168="","",IF(AND(ABS(EA168)&lt;=0.25,$E168="Bottom",DP168="LL"),"EQL",IF(AND(ABS(EA168)&lt;=0.25,$E168="Peak",DP168="HH"),"EQH","")))</f>
        <v/>
      </c>
      <c r="EM168" s="15" t="str">
        <f>IF(EB168="","",IF(AND(ABS(EB168)&lt;=0.25,$E168="Bottom",DQ168="LL"),"EQL",IF(AND(ABS(EB168)&lt;=0.25,$E168="Peak",DQ168="HH"),"EQH","")))</f>
        <v/>
      </c>
      <c r="EN168" s="15" t="str">
        <f>IF(EC168="","",IF(AND(ABS(EC168)&lt;=0.25,$E168="Bottom",DR168="LL"),"EQL",IF(AND(ABS(EC168)&lt;=0.25,$E168="Peak",DR168="HH"),"EQH","")))</f>
        <v/>
      </c>
      <c r="EO168" s="15" t="str">
        <f>IF(ED168="","",IF(AND(ABS(ED168)&lt;=0.25,$E168="Bottom",DS168="LL"),"EQL",IF(AND(ABS(ED168)&lt;=0.25,$E168="Peak",DS168="HH"),"EQH","")))</f>
        <v/>
      </c>
      <c r="EP168" s="15" t="str">
        <f>IF(EE168="","",IF(AND(ABS(EE168)&lt;=0.25,$E168="Bottom",DT168="LL"),"EQL",IF(AND(ABS(EE168)&lt;=0.25,$E168="Peak",DT168="HH"),"EQH","")))</f>
        <v/>
      </c>
      <c r="EQ168" s="15" t="str">
        <f>IF(EF168="","",IF(AND(ABS(EF168)&lt;=0.25,$E168="Bottom",DU168="LL"),"EQL",IF(AND(ABS(EF168)&lt;=0.25,$E168="Peak",DU168="HH"),"EQH","")))</f>
        <v/>
      </c>
      <c r="ER168" s="15" t="str">
        <f>IF(OR(EG168="EQL",EG168="EQH"),F168,"")</f>
        <v/>
      </c>
      <c r="ES168" s="15" t="str">
        <f>IF(OR(EH168="EQL",EH168="EQH"),G168,"")</f>
        <v/>
      </c>
      <c r="ET168" s="15" t="str">
        <f>IF(OR(EI168="EQL",EI168="EQH"),H168,"")</f>
        <v/>
      </c>
      <c r="EU168" s="15" t="str">
        <f>IF(OR(EJ168="EQL",EJ168="EQH"),I168,"")</f>
        <v/>
      </c>
      <c r="EV168" s="15" t="str">
        <f>IF(OR(EK168="EQL",EK168="EQH"),J168,"")</f>
        <v/>
      </c>
      <c r="EW168" s="15" t="str">
        <f>IF(OR(EL168="EQL",EL168="EQH"),K168,"")</f>
        <v/>
      </c>
      <c r="EX168" s="15" t="str">
        <f>IF(OR(EM168="EQL",EM168="EQH"),L168,"")</f>
        <v/>
      </c>
      <c r="EY168" s="15" t="str">
        <f>IF(OR(EN168="EQL",EN168="EQH"),M168,"")</f>
        <v/>
      </c>
      <c r="EZ168" s="15" t="str">
        <f>IF(OR(EO168="EQL",EO168="EQH"),N168,"")</f>
        <v/>
      </c>
      <c r="FA168" s="15" t="str">
        <f>IF(OR(EP168="EQL",EP168="EQH"),O168,"")</f>
        <v/>
      </c>
      <c r="FB168" s="15" t="str">
        <f>IF(OR(EQ168="EQL",EQ168="EQH"),P168,"")</f>
        <v/>
      </c>
      <c r="FC168" s="15" t="str">
        <f>IF(AND(EG168="EQL",OR(AQ168=4,AQ168=5)),"IEQL",IF(AND(EG168="EQH",OR(AQ168=1,AQ168=2)),"IEQH",""))</f>
        <v/>
      </c>
      <c r="FD168" s="15" t="str">
        <f>IF(AND(EH168="EQL",OR(AR168=4,AR168=5)),"IEQL",IF(AND(EH168="EQH",OR(AR168=1,AR168=2)),"IEQH",""))</f>
        <v/>
      </c>
      <c r="FE168" s="15" t="str">
        <f>IF(AND(EI168="EQL",OR(AS168=4,AS168=5)),"IEQL",IF(AND(EI168="EQH",OR(AS168=1,AS168=2)),"IEQH",""))</f>
        <v/>
      </c>
      <c r="FF168" s="15" t="str">
        <f>IF(AND(EJ168="EQL",OR(AT168=4,AT168=5)),"IEQL",IF(AND(EJ168="EQH",OR(AT168=1,AT168=2)),"IEQH",""))</f>
        <v/>
      </c>
      <c r="FG168" s="15" t="str">
        <f>IF(AND(EK168="EQL",OR(AU168=4,AU168=5)),"IEQL",IF(AND(EK168="EQH",OR(AU168=1,AU168=2)),"IEQH",""))</f>
        <v/>
      </c>
      <c r="FH168" s="15" t="str">
        <f>IF(AND(EL168="EQL",OR(AV168=4,AV168=5)),"IEQL",IF(AND(EL168="EQH",OR(AV168=1,AV168=2)),"IEQH",""))</f>
        <v/>
      </c>
      <c r="FI168" s="15" t="str">
        <f>IF(AND(EM168="EQL",OR(AW168=4,AW168=5)),"IEQL",IF(AND(EM168="EQH",OR(AW168=1,AW168=2)),"IEQH",""))</f>
        <v/>
      </c>
      <c r="FJ168" s="15" t="str">
        <f>IF(AND(EN168="EQL",OR(AX168=4,AX168=5)),"IEQL",IF(AND(EN168="EQH",OR(AX168=1,AX168=2)),"IEQH",""))</f>
        <v/>
      </c>
      <c r="FK168" s="15" t="str">
        <f>IF(AND(EO168="EQL",OR(AY168=4,AY168=5)),"IEQL",IF(AND(EO168="EQH",OR(AY168=1,AY168=2)),"IEQH",""))</f>
        <v/>
      </c>
      <c r="FL168" s="15" t="str">
        <f>IF(AND(EP168="EQL",OR(AZ168=4,AZ168=5)),"IEQL",IF(AND(EP168="EQH",OR(AZ168=1,AZ168=2)),"IEQH",""))</f>
        <v/>
      </c>
      <c r="FM168" s="15" t="str">
        <f>IF(AND(EQ168="EQL",OR(BA168=4,BA168=5)),"IEQL",IF(AND(EQ168="EQH",OR(BA168=1,BA168=2)),"IEQH",""))</f>
        <v/>
      </c>
      <c r="FN168" s="15" t="str">
        <f>IF(OR(AND(DJ168="LL",AP168=5),AND(DJ168="HH",AP168=2)),F168,"")</f>
        <v/>
      </c>
      <c r="FO168" s="15" t="str">
        <f>IF(FN168&lt;&gt;"",F167,"")</f>
        <v/>
      </c>
    </row>
    <row r="169" spans="1:171" s="15" customFormat="1" x14ac:dyDescent="0.55000000000000004">
      <c r="A169" s="15">
        <v>1778112906</v>
      </c>
      <c r="B169" s="15" t="s">
        <v>16</v>
      </c>
      <c r="C169" s="15" t="s">
        <v>17</v>
      </c>
      <c r="D169" s="15">
        <v>4692.51</v>
      </c>
      <c r="E169" s="15" t="s">
        <v>20</v>
      </c>
      <c r="F169" s="15">
        <v>4701.18</v>
      </c>
      <c r="G169" s="15">
        <f t="shared" si="550"/>
        <v>4717.43</v>
      </c>
      <c r="H169" s="15">
        <f t="shared" si="560"/>
        <v>4722.76</v>
      </c>
      <c r="I169" s="15">
        <f t="shared" si="570"/>
        <v>4586.5600000000004</v>
      </c>
      <c r="J169" s="15">
        <f t="shared" si="470"/>
        <v>4560.53</v>
      </c>
      <c r="K169" s="15">
        <f t="shared" si="480"/>
        <v>4546.78</v>
      </c>
      <c r="L169" s="15">
        <f t="shared" si="490"/>
        <v>4528.57</v>
      </c>
      <c r="M169" s="15">
        <f t="shared" si="500"/>
        <v>4583.16</v>
      </c>
      <c r="N169" s="15">
        <f t="shared" si="510"/>
        <v>4618.59</v>
      </c>
      <c r="O169" s="15">
        <f t="shared" si="520"/>
        <v>4632.1099999999997</v>
      </c>
      <c r="P169" s="15">
        <f t="shared" si="530"/>
        <v>4660.32</v>
      </c>
      <c r="Q169" s="15">
        <f t="shared" si="540"/>
        <v>4635.83</v>
      </c>
      <c r="R169" s="15">
        <v>22.19</v>
      </c>
      <c r="S169" s="15">
        <f t="shared" si="551"/>
        <v>56.72</v>
      </c>
      <c r="T169" s="15">
        <f t="shared" si="561"/>
        <v>176.45</v>
      </c>
      <c r="U169" s="15">
        <f t="shared" si="571"/>
        <v>46.56</v>
      </c>
      <c r="V169" s="15">
        <f t="shared" si="471"/>
        <v>32.64</v>
      </c>
      <c r="W169" s="15">
        <f t="shared" si="481"/>
        <v>33.22</v>
      </c>
      <c r="X169" s="15">
        <f t="shared" si="491"/>
        <v>27.71</v>
      </c>
      <c r="Y169" s="15">
        <f t="shared" si="501"/>
        <v>56.76</v>
      </c>
      <c r="Z169" s="15">
        <f t="shared" si="511"/>
        <v>25.66</v>
      </c>
      <c r="AA169" s="15">
        <f t="shared" si="521"/>
        <v>25.02</v>
      </c>
      <c r="AB169" s="15">
        <f t="shared" si="531"/>
        <v>99.88</v>
      </c>
      <c r="AC169" s="15">
        <f t="shared" si="541"/>
        <v>21.56</v>
      </c>
      <c r="AD169" s="15">
        <v>0.47</v>
      </c>
      <c r="AE169" s="15">
        <f t="shared" si="552"/>
        <v>1.22</v>
      </c>
      <c r="AF169" s="15">
        <f t="shared" si="562"/>
        <v>3.88</v>
      </c>
      <c r="AG169" s="15">
        <f t="shared" si="572"/>
        <v>1.03</v>
      </c>
      <c r="AH169" s="15">
        <f t="shared" si="472"/>
        <v>0.72</v>
      </c>
      <c r="AI169" s="15">
        <f t="shared" si="482"/>
        <v>0.74</v>
      </c>
      <c r="AJ169" s="15">
        <f t="shared" si="492"/>
        <v>0.62</v>
      </c>
      <c r="AK169" s="15">
        <f t="shared" si="502"/>
        <v>1.25</v>
      </c>
      <c r="AL169" s="15">
        <f t="shared" si="512"/>
        <v>0.56000000000000005</v>
      </c>
      <c r="AM169" s="15">
        <f t="shared" si="522"/>
        <v>0.54</v>
      </c>
      <c r="AN169" s="15">
        <f t="shared" si="532"/>
        <v>2.19</v>
      </c>
      <c r="AO169" s="15">
        <f t="shared" si="542"/>
        <v>0.47</v>
      </c>
      <c r="AP169" s="15">
        <v>0</v>
      </c>
      <c r="AQ169" s="15">
        <f t="shared" si="553"/>
        <v>0</v>
      </c>
      <c r="AR169" s="15">
        <f t="shared" si="563"/>
        <v>2</v>
      </c>
      <c r="AS169" s="15">
        <f t="shared" si="573"/>
        <v>0</v>
      </c>
      <c r="AT169" s="15">
        <f t="shared" si="473"/>
        <v>0</v>
      </c>
      <c r="AU169" s="15">
        <f t="shared" si="483"/>
        <v>0</v>
      </c>
      <c r="AV169" s="15">
        <f t="shared" si="493"/>
        <v>0</v>
      </c>
      <c r="AW169" s="15">
        <f t="shared" si="503"/>
        <v>0</v>
      </c>
      <c r="AX169" s="15">
        <f t="shared" si="513"/>
        <v>0</v>
      </c>
      <c r="AY169" s="15">
        <f t="shared" si="523"/>
        <v>0</v>
      </c>
      <c r="AZ169" s="15">
        <f t="shared" si="533"/>
        <v>1</v>
      </c>
      <c r="BA169" s="15">
        <f t="shared" si="543"/>
        <v>0</v>
      </c>
      <c r="BB169" s="15">
        <v>23</v>
      </c>
      <c r="BC169" s="15">
        <f t="shared" si="554"/>
        <v>8</v>
      </c>
      <c r="BD169" s="15">
        <f t="shared" si="564"/>
        <v>49</v>
      </c>
      <c r="BE169" s="15">
        <f t="shared" si="574"/>
        <v>13</v>
      </c>
      <c r="BF169" s="15">
        <f t="shared" si="474"/>
        <v>18</v>
      </c>
      <c r="BG169" s="15">
        <f t="shared" si="484"/>
        <v>10</v>
      </c>
      <c r="BH169" s="15">
        <f t="shared" si="494"/>
        <v>28</v>
      </c>
      <c r="BI169" s="15">
        <f t="shared" si="504"/>
        <v>17</v>
      </c>
      <c r="BJ169" s="15">
        <f t="shared" si="514"/>
        <v>2</v>
      </c>
      <c r="BK169" s="15">
        <f t="shared" si="524"/>
        <v>4</v>
      </c>
      <c r="BL169" s="15">
        <f t="shared" si="534"/>
        <v>18</v>
      </c>
      <c r="BM169" s="15">
        <f t="shared" si="544"/>
        <v>4</v>
      </c>
      <c r="BN169" s="15">
        <v>0</v>
      </c>
      <c r="BO169" s="15">
        <f t="shared" si="555"/>
        <v>0</v>
      </c>
      <c r="BP169" s="15">
        <f t="shared" si="565"/>
        <v>2</v>
      </c>
      <c r="BQ169" s="15">
        <f t="shared" si="575"/>
        <v>0</v>
      </c>
      <c r="BR169" s="15">
        <f t="shared" si="475"/>
        <v>0</v>
      </c>
      <c r="BS169" s="15">
        <f t="shared" si="485"/>
        <v>0</v>
      </c>
      <c r="BT169" s="15">
        <f t="shared" si="495"/>
        <v>0</v>
      </c>
      <c r="BU169" s="15">
        <f t="shared" si="505"/>
        <v>0</v>
      </c>
      <c r="BV169" s="15">
        <f t="shared" si="515"/>
        <v>0</v>
      </c>
      <c r="BW169" s="15">
        <f t="shared" si="525"/>
        <v>0</v>
      </c>
      <c r="BX169" s="15">
        <f t="shared" si="535"/>
        <v>0</v>
      </c>
      <c r="BY169" s="15">
        <f t="shared" si="545"/>
        <v>0</v>
      </c>
      <c r="BZ169" s="15">
        <v>0.96477999999999997</v>
      </c>
      <c r="CA169" s="15">
        <f t="shared" si="556"/>
        <v>7.09</v>
      </c>
      <c r="CB169" s="15">
        <f t="shared" si="566"/>
        <v>3.6010200000000001</v>
      </c>
      <c r="CC169" s="15">
        <f t="shared" si="576"/>
        <v>3.5815399999999999</v>
      </c>
      <c r="CD169" s="15">
        <f t="shared" si="476"/>
        <v>1.8133300000000001</v>
      </c>
      <c r="CE169" s="15">
        <f t="shared" si="486"/>
        <v>3.3220000000000001</v>
      </c>
      <c r="CF169" s="15">
        <f t="shared" si="496"/>
        <v>0.98963999999999996</v>
      </c>
      <c r="CG169" s="15">
        <f t="shared" si="506"/>
        <v>3.3388200000000001</v>
      </c>
      <c r="CH169" s="15">
        <f t="shared" si="516"/>
        <v>12.83</v>
      </c>
      <c r="CI169" s="15">
        <f t="shared" si="526"/>
        <v>6.2549999999999999</v>
      </c>
      <c r="CJ169" s="15">
        <f t="shared" si="536"/>
        <v>5.5488900000000001</v>
      </c>
      <c r="CK169" s="15">
        <f t="shared" si="546"/>
        <v>5.39</v>
      </c>
      <c r="CL169" s="15">
        <v>0</v>
      </c>
      <c r="CM169" s="15">
        <f t="shared" si="557"/>
        <v>0</v>
      </c>
      <c r="CN169" s="15">
        <f t="shared" si="567"/>
        <v>0</v>
      </c>
      <c r="CO169" s="15">
        <f t="shared" si="577"/>
        <v>0</v>
      </c>
      <c r="CP169" s="15">
        <f t="shared" si="477"/>
        <v>0</v>
      </c>
      <c r="CQ169" s="15">
        <f t="shared" si="487"/>
        <v>0</v>
      </c>
      <c r="CR169" s="15">
        <f t="shared" si="497"/>
        <v>0</v>
      </c>
      <c r="CS169" s="15">
        <f t="shared" si="507"/>
        <v>0</v>
      </c>
      <c r="CT169" s="15">
        <f t="shared" si="517"/>
        <v>0</v>
      </c>
      <c r="CU169" s="15">
        <f t="shared" si="527"/>
        <v>0</v>
      </c>
      <c r="CV169" s="15">
        <f t="shared" si="537"/>
        <v>0</v>
      </c>
      <c r="CW169" s="15">
        <f t="shared" si="547"/>
        <v>0</v>
      </c>
      <c r="CX169" s="15">
        <v>43.973100000000002</v>
      </c>
      <c r="CY169" s="15">
        <f t="shared" si="558"/>
        <v>81.971699999999998</v>
      </c>
      <c r="CZ169" s="15">
        <f t="shared" si="568"/>
        <v>74.480099999999993</v>
      </c>
      <c r="DA169" s="15">
        <f t="shared" si="578"/>
        <v>74.399799999999999</v>
      </c>
      <c r="DB169" s="15">
        <f t="shared" si="478"/>
        <v>61.124600000000001</v>
      </c>
      <c r="DC169" s="15">
        <f t="shared" si="488"/>
        <v>73.247</v>
      </c>
      <c r="DD169" s="15">
        <f t="shared" si="498"/>
        <v>44.701700000000002</v>
      </c>
      <c r="DE169" s="15">
        <f t="shared" si="508"/>
        <v>73.326700000000002</v>
      </c>
      <c r="DF169" s="15">
        <f t="shared" si="518"/>
        <v>85.543199999999999</v>
      </c>
      <c r="DG169" s="15">
        <f t="shared" si="528"/>
        <v>80.916899999999998</v>
      </c>
      <c r="DH169" s="15">
        <f t="shared" si="538"/>
        <v>79.784000000000006</v>
      </c>
      <c r="DI169" s="15">
        <f t="shared" si="548"/>
        <v>79.489500000000007</v>
      </c>
      <c r="DJ169" s="15" t="s">
        <v>21</v>
      </c>
      <c r="DK169" s="15" t="str">
        <f t="shared" si="559"/>
        <v>LH</v>
      </c>
      <c r="DL169" s="15" t="str">
        <f t="shared" si="569"/>
        <v>HH</v>
      </c>
      <c r="DM169" s="15" t="str">
        <f t="shared" si="579"/>
        <v>HH</v>
      </c>
      <c r="DN169" s="15" t="str">
        <f t="shared" si="479"/>
        <v>HH</v>
      </c>
      <c r="DO169" s="15" t="str">
        <f t="shared" si="489"/>
        <v>HH</v>
      </c>
      <c r="DP169" s="15" t="str">
        <f t="shared" si="499"/>
        <v>LH</v>
      </c>
      <c r="DQ169" s="15" t="str">
        <f t="shared" si="509"/>
        <v>LH</v>
      </c>
      <c r="DR169" s="15" t="str">
        <f t="shared" si="519"/>
        <v>LH</v>
      </c>
      <c r="DS169" s="15" t="str">
        <f t="shared" si="529"/>
        <v>LH</v>
      </c>
      <c r="DT169" s="15" t="str">
        <f t="shared" si="539"/>
        <v>HH</v>
      </c>
      <c r="DU169" s="15" t="str">
        <f t="shared" si="549"/>
        <v>HH</v>
      </c>
      <c r="DV169" s="15">
        <f>IFERROR((G169-$F169)/$F169*100,"")</f>
        <v>0.34565789865523122</v>
      </c>
      <c r="DW169" s="15">
        <f>IFERROR((H169-$F169)/$F169*100,"")</f>
        <v>0.45903368941414546</v>
      </c>
      <c r="DX169" s="15">
        <f>IFERROR((I169-$F169)/$F169*100,"")</f>
        <v>-2.4381112826992348</v>
      </c>
      <c r="DY169" s="15">
        <f>IFERROR((J169-$F169)/$F169*100,"")</f>
        <v>-2.9918020582066744</v>
      </c>
      <c r="DZ169" s="15">
        <f>IFERROR((K169-$F169)/$F169*100,"")</f>
        <v>-3.2842818186072549</v>
      </c>
      <c r="EA169" s="15">
        <f>IFERROR((L169-$F169)/$F169*100,"")</f>
        <v>-3.6716313776541334</v>
      </c>
      <c r="EB169" s="15">
        <f>IFERROR((M169-$F169)/$F169*100,"")</f>
        <v>-2.5104335507255717</v>
      </c>
      <c r="EC169" s="15">
        <f>IFERROR((N169-$F169)/$F169*100,"")</f>
        <v>-1.7567929753806519</v>
      </c>
      <c r="ED169" s="15">
        <f>IFERROR((O169-$F169)/$F169*100,"")</f>
        <v>-1.4692056036995098</v>
      </c>
      <c r="EE169" s="15">
        <f>IFERROR((P169-$F169)/$F169*100,"")</f>
        <v>-0.8691434916340276</v>
      </c>
      <c r="EF169" s="15">
        <f>IFERROR((Q169-$F169)/$F169*100,"")</f>
        <v>-1.3900765339765837</v>
      </c>
      <c r="EG169" s="15" t="str">
        <f>IF(DV169="","",IF(AND(ABS(DV169)&lt;=0.25,$E169="Bottom",DK169="LL"),"EQL",IF(AND(ABS(DV169)&lt;=0.25,$E169="Peak",DK169="HH"),"EQH","")))</f>
        <v/>
      </c>
      <c r="EH169" s="15" t="str">
        <f>IF(DW169="","",IF(AND(ABS(DW169)&lt;=0.25,$E169="Bottom",DL169="LL"),"EQL",IF(AND(ABS(DW169)&lt;=0.25,$E169="Peak",DL169="HH"),"EQH","")))</f>
        <v/>
      </c>
      <c r="EI169" s="15" t="str">
        <f>IF(DX169="","",IF(AND(ABS(DX169)&lt;=0.25,$E169="Bottom",DM169="LL"),"EQL",IF(AND(ABS(DX169)&lt;=0.25,$E169="Peak",DM169="HH"),"EQH","")))</f>
        <v/>
      </c>
      <c r="EJ169" s="15" t="str">
        <f>IF(DY169="","",IF(AND(ABS(DY169)&lt;=0.25,$E169="Bottom",DN169="LL"),"EQL",IF(AND(ABS(DY169)&lt;=0.25,$E169="Peak",DN169="HH"),"EQH","")))</f>
        <v/>
      </c>
      <c r="EK169" s="15" t="str">
        <f>IF(DZ169="","",IF(AND(ABS(DZ169)&lt;=0.25,$E169="Bottom",DO169="LL"),"EQL",IF(AND(ABS(DZ169)&lt;=0.25,$E169="Peak",DO169="HH"),"EQH","")))</f>
        <v/>
      </c>
      <c r="EL169" s="15" t="str">
        <f>IF(EA169="","",IF(AND(ABS(EA169)&lt;=0.25,$E169="Bottom",DP169="LL"),"EQL",IF(AND(ABS(EA169)&lt;=0.25,$E169="Peak",DP169="HH"),"EQH","")))</f>
        <v/>
      </c>
      <c r="EM169" s="15" t="str">
        <f>IF(EB169="","",IF(AND(ABS(EB169)&lt;=0.25,$E169="Bottom",DQ169="LL"),"EQL",IF(AND(ABS(EB169)&lt;=0.25,$E169="Peak",DQ169="HH"),"EQH","")))</f>
        <v/>
      </c>
      <c r="EN169" s="15" t="str">
        <f>IF(EC169="","",IF(AND(ABS(EC169)&lt;=0.25,$E169="Bottom",DR169="LL"),"EQL",IF(AND(ABS(EC169)&lt;=0.25,$E169="Peak",DR169="HH"),"EQH","")))</f>
        <v/>
      </c>
      <c r="EO169" s="15" t="str">
        <f>IF(ED169="","",IF(AND(ABS(ED169)&lt;=0.25,$E169="Bottom",DS169="LL"),"EQL",IF(AND(ABS(ED169)&lt;=0.25,$E169="Peak",DS169="HH"),"EQH","")))</f>
        <v/>
      </c>
      <c r="EP169" s="15" t="str">
        <f>IF(EE169="","",IF(AND(ABS(EE169)&lt;=0.25,$E169="Bottom",DT169="LL"),"EQL",IF(AND(ABS(EE169)&lt;=0.25,$E169="Peak",DT169="HH"),"EQH","")))</f>
        <v/>
      </c>
      <c r="EQ169" s="15" t="str">
        <f>IF(EF169="","",IF(AND(ABS(EF169)&lt;=0.25,$E169="Bottom",DU169="LL"),"EQL",IF(AND(ABS(EF169)&lt;=0.25,$E169="Peak",DU169="HH"),"EQH","")))</f>
        <v/>
      </c>
      <c r="ER169" s="15" t="str">
        <f>IF(OR(EG169="EQL",EG169="EQH"),F169,"")</f>
        <v/>
      </c>
      <c r="ES169" s="15" t="str">
        <f>IF(OR(EH169="EQL",EH169="EQH"),G169,"")</f>
        <v/>
      </c>
      <c r="ET169" s="15" t="str">
        <f>IF(OR(EI169="EQL",EI169="EQH"),H169,"")</f>
        <v/>
      </c>
      <c r="EU169" s="15" t="str">
        <f>IF(OR(EJ169="EQL",EJ169="EQH"),I169,"")</f>
        <v/>
      </c>
      <c r="EV169" s="15" t="str">
        <f>IF(OR(EK169="EQL",EK169="EQH"),J169,"")</f>
        <v/>
      </c>
      <c r="EW169" s="15" t="str">
        <f>IF(OR(EL169="EQL",EL169="EQH"),K169,"")</f>
        <v/>
      </c>
      <c r="EX169" s="15" t="str">
        <f>IF(OR(EM169="EQL",EM169="EQH"),L169,"")</f>
        <v/>
      </c>
      <c r="EY169" s="15" t="str">
        <f>IF(OR(EN169="EQL",EN169="EQH"),M169,"")</f>
        <v/>
      </c>
      <c r="EZ169" s="15" t="str">
        <f>IF(OR(EO169="EQL",EO169="EQH"),N169,"")</f>
        <v/>
      </c>
      <c r="FA169" s="15" t="str">
        <f>IF(OR(EP169="EQL",EP169="EQH"),O169,"")</f>
        <v/>
      </c>
      <c r="FB169" s="15" t="str">
        <f>IF(OR(EQ169="EQL",EQ169="EQH"),P169,"")</f>
        <v/>
      </c>
      <c r="FC169" s="15" t="str">
        <f>IF(AND(EG169="EQL",OR(AQ169=4,AQ169=5)),"IEQL",IF(AND(EG169="EQH",OR(AQ169=1,AQ169=2)),"IEQH",""))</f>
        <v/>
      </c>
      <c r="FD169" s="15" t="str">
        <f>IF(AND(EH169="EQL",OR(AR169=4,AR169=5)),"IEQL",IF(AND(EH169="EQH",OR(AR169=1,AR169=2)),"IEQH",""))</f>
        <v/>
      </c>
      <c r="FE169" s="15" t="str">
        <f>IF(AND(EI169="EQL",OR(AS169=4,AS169=5)),"IEQL",IF(AND(EI169="EQH",OR(AS169=1,AS169=2)),"IEQH",""))</f>
        <v/>
      </c>
      <c r="FF169" s="15" t="str">
        <f>IF(AND(EJ169="EQL",OR(AT169=4,AT169=5)),"IEQL",IF(AND(EJ169="EQH",OR(AT169=1,AT169=2)),"IEQH",""))</f>
        <v/>
      </c>
      <c r="FG169" s="15" t="str">
        <f>IF(AND(EK169="EQL",OR(AU169=4,AU169=5)),"IEQL",IF(AND(EK169="EQH",OR(AU169=1,AU169=2)),"IEQH",""))</f>
        <v/>
      </c>
      <c r="FH169" s="15" t="str">
        <f>IF(AND(EL169="EQL",OR(AV169=4,AV169=5)),"IEQL",IF(AND(EL169="EQH",OR(AV169=1,AV169=2)),"IEQH",""))</f>
        <v/>
      </c>
      <c r="FI169" s="15" t="str">
        <f>IF(AND(EM169="EQL",OR(AW169=4,AW169=5)),"IEQL",IF(AND(EM169="EQH",OR(AW169=1,AW169=2)),"IEQH",""))</f>
        <v/>
      </c>
      <c r="FJ169" s="15" t="str">
        <f>IF(AND(EN169="EQL",OR(AX169=4,AX169=5)),"IEQL",IF(AND(EN169="EQH",OR(AX169=1,AX169=2)),"IEQH",""))</f>
        <v/>
      </c>
      <c r="FK169" s="15" t="str">
        <f>IF(AND(EO169="EQL",OR(AY169=4,AY169=5)),"IEQL",IF(AND(EO169="EQH",OR(AY169=1,AY169=2)),"IEQH",""))</f>
        <v/>
      </c>
      <c r="FL169" s="15" t="str">
        <f>IF(AND(EP169="EQL",OR(AZ169=4,AZ169=5)),"IEQL",IF(AND(EP169="EQH",OR(AZ169=1,AZ169=2)),"IEQH",""))</f>
        <v/>
      </c>
      <c r="FM169" s="15" t="str">
        <f>IF(AND(EQ169="EQL",OR(BA169=4,BA169=5)),"IEQL",IF(AND(EQ169="EQH",OR(BA169=1,BA169=2)),"IEQH",""))</f>
        <v/>
      </c>
      <c r="FN169" s="15" t="str">
        <f>IF(OR(AND(DJ169="LL",AP169=5),AND(DJ169="HH",AP169=2)),F169,"")</f>
        <v/>
      </c>
      <c r="FO169" s="15" t="str">
        <f>IF(FN169&lt;&gt;"",F168,"")</f>
        <v/>
      </c>
    </row>
    <row r="170" spans="1:171" s="15" customFormat="1" x14ac:dyDescent="0.55000000000000004">
      <c r="A170" s="15">
        <v>1778114706</v>
      </c>
      <c r="B170" s="15" t="s">
        <v>16</v>
      </c>
      <c r="C170" s="15" t="s">
        <v>17</v>
      </c>
      <c r="D170" s="15">
        <v>4688.57</v>
      </c>
      <c r="E170" s="15" t="s">
        <v>18</v>
      </c>
      <c r="F170" s="15">
        <v>4685.59</v>
      </c>
      <c r="G170" s="15">
        <f t="shared" si="550"/>
        <v>4678.99</v>
      </c>
      <c r="H170" s="15">
        <f t="shared" si="560"/>
        <v>4660.71</v>
      </c>
      <c r="I170" s="15">
        <f t="shared" si="570"/>
        <v>4546.3100000000004</v>
      </c>
      <c r="J170" s="15">
        <f t="shared" ref="J170:J172" si="580">F162</f>
        <v>4540</v>
      </c>
      <c r="K170" s="15">
        <f t="shared" si="480"/>
        <v>4527.8900000000003</v>
      </c>
      <c r="L170" s="15">
        <f t="shared" si="490"/>
        <v>4513.5600000000004</v>
      </c>
      <c r="M170" s="15">
        <f t="shared" si="500"/>
        <v>4500.8599999999997</v>
      </c>
      <c r="N170" s="15">
        <f t="shared" si="510"/>
        <v>4526.3999999999996</v>
      </c>
      <c r="O170" s="15">
        <f t="shared" si="520"/>
        <v>4592.93</v>
      </c>
      <c r="P170" s="15">
        <f t="shared" si="530"/>
        <v>4607.09</v>
      </c>
      <c r="Q170" s="15">
        <f t="shared" si="540"/>
        <v>4560.4399999999996</v>
      </c>
      <c r="R170" s="15">
        <v>-15.59</v>
      </c>
      <c r="S170" s="15">
        <f t="shared" si="551"/>
        <v>-38.44</v>
      </c>
      <c r="T170" s="15">
        <f t="shared" si="561"/>
        <v>-62.05</v>
      </c>
      <c r="U170" s="15">
        <f t="shared" si="571"/>
        <v>-40.25</v>
      </c>
      <c r="V170" s="15">
        <f t="shared" ref="V170:V172" si="581">R162</f>
        <v>-20.53</v>
      </c>
      <c r="W170" s="15">
        <f t="shared" si="481"/>
        <v>-18.89</v>
      </c>
      <c r="X170" s="15">
        <f t="shared" si="491"/>
        <v>-15.01</v>
      </c>
      <c r="Y170" s="15">
        <f t="shared" si="501"/>
        <v>-82.3</v>
      </c>
      <c r="Z170" s="15">
        <f t="shared" si="511"/>
        <v>-92.19</v>
      </c>
      <c r="AA170" s="15">
        <f t="shared" si="521"/>
        <v>-39.18</v>
      </c>
      <c r="AB170" s="15">
        <f t="shared" si="531"/>
        <v>-53.23</v>
      </c>
      <c r="AC170" s="15">
        <f t="shared" si="541"/>
        <v>-75.39</v>
      </c>
      <c r="AD170" s="15">
        <v>-0.33</v>
      </c>
      <c r="AE170" s="15">
        <f t="shared" si="552"/>
        <v>-0.81</v>
      </c>
      <c r="AF170" s="15">
        <f t="shared" si="562"/>
        <v>-1.31</v>
      </c>
      <c r="AG170" s="15">
        <f t="shared" si="572"/>
        <v>-0.88</v>
      </c>
      <c r="AH170" s="15">
        <f t="shared" ref="AH170:AH172" si="582">AD162</f>
        <v>-0.45</v>
      </c>
      <c r="AI170" s="15">
        <f t="shared" si="482"/>
        <v>-0.42</v>
      </c>
      <c r="AJ170" s="15">
        <f t="shared" si="492"/>
        <v>-0.33</v>
      </c>
      <c r="AK170" s="15">
        <f t="shared" si="502"/>
        <v>-1.8</v>
      </c>
      <c r="AL170" s="15">
        <f t="shared" si="512"/>
        <v>-2</v>
      </c>
      <c r="AM170" s="15">
        <f t="shared" si="522"/>
        <v>-0.85</v>
      </c>
      <c r="AN170" s="15">
        <f t="shared" si="532"/>
        <v>-1.1399999999999999</v>
      </c>
      <c r="AO170" s="15">
        <f t="shared" si="542"/>
        <v>-1.63</v>
      </c>
      <c r="AP170" s="15">
        <v>3</v>
      </c>
      <c r="AQ170" s="15">
        <f t="shared" si="553"/>
        <v>3</v>
      </c>
      <c r="AR170" s="15">
        <f t="shared" si="563"/>
        <v>3</v>
      </c>
      <c r="AS170" s="15">
        <f t="shared" si="573"/>
        <v>3</v>
      </c>
      <c r="AT170" s="15">
        <f t="shared" ref="AT170:AT172" si="583">AP162</f>
        <v>3</v>
      </c>
      <c r="AU170" s="15">
        <f t="shared" si="483"/>
        <v>3</v>
      </c>
      <c r="AV170" s="15">
        <f t="shared" si="493"/>
        <v>3</v>
      </c>
      <c r="AW170" s="15">
        <f t="shared" si="503"/>
        <v>3</v>
      </c>
      <c r="AX170" s="15">
        <f t="shared" si="513"/>
        <v>4</v>
      </c>
      <c r="AY170" s="15">
        <f t="shared" si="523"/>
        <v>3</v>
      </c>
      <c r="AZ170" s="15">
        <f t="shared" si="533"/>
        <v>3</v>
      </c>
      <c r="BA170" s="15">
        <f t="shared" si="543"/>
        <v>3</v>
      </c>
      <c r="BB170" s="15">
        <v>2</v>
      </c>
      <c r="BC170" s="15">
        <f t="shared" si="554"/>
        <v>13</v>
      </c>
      <c r="BD170" s="15">
        <f t="shared" si="564"/>
        <v>6</v>
      </c>
      <c r="BE170" s="15">
        <f t="shared" si="574"/>
        <v>29</v>
      </c>
      <c r="BF170" s="15">
        <f t="shared" ref="BF170:BF172" si="584">BB162</f>
        <v>8</v>
      </c>
      <c r="BG170" s="15">
        <f t="shared" si="484"/>
        <v>7</v>
      </c>
      <c r="BH170" s="15">
        <f t="shared" si="494"/>
        <v>1</v>
      </c>
      <c r="BI170" s="15">
        <f t="shared" si="504"/>
        <v>6</v>
      </c>
      <c r="BJ170" s="15">
        <f t="shared" si="514"/>
        <v>33</v>
      </c>
      <c r="BK170" s="15">
        <f t="shared" si="524"/>
        <v>14</v>
      </c>
      <c r="BL170" s="15">
        <f t="shared" si="534"/>
        <v>23</v>
      </c>
      <c r="BM170" s="15">
        <f t="shared" si="544"/>
        <v>30</v>
      </c>
      <c r="BN170" s="15">
        <v>3</v>
      </c>
      <c r="BO170" s="15">
        <f t="shared" si="555"/>
        <v>3</v>
      </c>
      <c r="BP170" s="15">
        <f t="shared" si="565"/>
        <v>3</v>
      </c>
      <c r="BQ170" s="15">
        <f t="shared" si="575"/>
        <v>3</v>
      </c>
      <c r="BR170" s="15">
        <f t="shared" ref="BR170:BR172" si="585">BN162</f>
        <v>3</v>
      </c>
      <c r="BS170" s="15">
        <f t="shared" si="485"/>
        <v>3</v>
      </c>
      <c r="BT170" s="15">
        <f t="shared" si="495"/>
        <v>3</v>
      </c>
      <c r="BU170" s="15">
        <f t="shared" si="505"/>
        <v>3</v>
      </c>
      <c r="BV170" s="15">
        <f t="shared" si="515"/>
        <v>3</v>
      </c>
      <c r="BW170" s="15">
        <f t="shared" si="525"/>
        <v>3</v>
      </c>
      <c r="BX170" s="15">
        <f t="shared" si="535"/>
        <v>3</v>
      </c>
      <c r="BY170" s="15">
        <f t="shared" si="545"/>
        <v>3</v>
      </c>
      <c r="BZ170" s="15">
        <v>-7.7949999999999999</v>
      </c>
      <c r="CA170" s="15">
        <f t="shared" si="556"/>
        <v>-2.9569200000000002</v>
      </c>
      <c r="CB170" s="15">
        <f t="shared" si="566"/>
        <v>-10.341670000000001</v>
      </c>
      <c r="CC170" s="15">
        <f t="shared" si="576"/>
        <v>-1.3879300000000001</v>
      </c>
      <c r="CD170" s="15">
        <f t="shared" ref="CD170:CD172" si="586">BZ162</f>
        <v>-2.5662500000000001</v>
      </c>
      <c r="CE170" s="15">
        <f t="shared" si="486"/>
        <v>-2.6985700000000001</v>
      </c>
      <c r="CF170" s="15">
        <f t="shared" si="496"/>
        <v>-15.01</v>
      </c>
      <c r="CG170" s="15">
        <f t="shared" si="506"/>
        <v>-13.716670000000001</v>
      </c>
      <c r="CH170" s="15">
        <f t="shared" si="516"/>
        <v>-2.7936399999999999</v>
      </c>
      <c r="CI170" s="15">
        <f t="shared" si="526"/>
        <v>-2.7985699999999998</v>
      </c>
      <c r="CJ170" s="15">
        <f t="shared" si="536"/>
        <v>-2.3143500000000001</v>
      </c>
      <c r="CK170" s="15">
        <f t="shared" si="546"/>
        <v>-2.5129999999999999</v>
      </c>
      <c r="CL170" s="15">
        <v>3</v>
      </c>
      <c r="CM170" s="15">
        <f t="shared" si="557"/>
        <v>3</v>
      </c>
      <c r="CN170" s="15">
        <f t="shared" si="567"/>
        <v>5</v>
      </c>
      <c r="CO170" s="15">
        <f t="shared" si="577"/>
        <v>3</v>
      </c>
      <c r="CP170" s="15">
        <f t="shared" ref="CP170:CP172" si="587">CL162</f>
        <v>3</v>
      </c>
      <c r="CQ170" s="15">
        <f t="shared" si="487"/>
        <v>3</v>
      </c>
      <c r="CR170" s="15">
        <f t="shared" si="497"/>
        <v>5</v>
      </c>
      <c r="CS170" s="15">
        <f t="shared" si="507"/>
        <v>5</v>
      </c>
      <c r="CT170" s="15">
        <f t="shared" si="517"/>
        <v>3</v>
      </c>
      <c r="CU170" s="15">
        <f t="shared" si="527"/>
        <v>3</v>
      </c>
      <c r="CV170" s="15">
        <f t="shared" si="537"/>
        <v>3</v>
      </c>
      <c r="CW170" s="15">
        <f t="shared" si="547"/>
        <v>3</v>
      </c>
      <c r="CX170" s="15">
        <v>-82.689599999999999</v>
      </c>
      <c r="CY170" s="15">
        <f t="shared" si="558"/>
        <v>-71.314999999999998</v>
      </c>
      <c r="CZ170" s="15">
        <f t="shared" si="568"/>
        <v>-84.476900000000001</v>
      </c>
      <c r="DA170" s="15">
        <f t="shared" si="578"/>
        <v>-54.227400000000003</v>
      </c>
      <c r="DB170" s="15">
        <f t="shared" ref="DB170:DB172" si="588">CX162</f>
        <v>-68.710400000000007</v>
      </c>
      <c r="DC170" s="15">
        <f t="shared" si="488"/>
        <v>-69.667000000000002</v>
      </c>
      <c r="DD170" s="15">
        <f t="shared" si="498"/>
        <v>-86.188500000000005</v>
      </c>
      <c r="DE170" s="15">
        <f t="shared" si="508"/>
        <v>-85.830299999999994</v>
      </c>
      <c r="DF170" s="15">
        <f t="shared" si="518"/>
        <v>-70.3048</v>
      </c>
      <c r="DG170" s="15">
        <f t="shared" si="528"/>
        <v>-70.3369</v>
      </c>
      <c r="DH170" s="15">
        <f t="shared" si="538"/>
        <v>-66.631399999999999</v>
      </c>
      <c r="DI170" s="15">
        <f t="shared" si="548"/>
        <v>-68.300899999999999</v>
      </c>
      <c r="DJ170" s="15" t="s">
        <v>22</v>
      </c>
      <c r="DK170" s="15" t="str">
        <f t="shared" si="559"/>
        <v>HL</v>
      </c>
      <c r="DL170" s="15" t="str">
        <f t="shared" si="569"/>
        <v>HL</v>
      </c>
      <c r="DM170" s="15" t="str">
        <f t="shared" si="579"/>
        <v>HL</v>
      </c>
      <c r="DN170" s="15" t="str">
        <f t="shared" ref="DN170:DN172" si="589">DJ162</f>
        <v>HL</v>
      </c>
      <c r="DO170" s="15" t="str">
        <f t="shared" si="489"/>
        <v>HL</v>
      </c>
      <c r="DP170" s="15" t="str">
        <f t="shared" si="499"/>
        <v>HL</v>
      </c>
      <c r="DQ170" s="15" t="str">
        <f t="shared" si="509"/>
        <v>LL</v>
      </c>
      <c r="DR170" s="15" t="str">
        <f t="shared" si="519"/>
        <v>LL</v>
      </c>
      <c r="DS170" s="15" t="str">
        <f t="shared" si="529"/>
        <v>LL</v>
      </c>
      <c r="DT170" s="15" t="str">
        <f t="shared" si="539"/>
        <v>HL</v>
      </c>
      <c r="DU170" s="15" t="str">
        <f t="shared" si="549"/>
        <v>LL</v>
      </c>
      <c r="DV170" s="15">
        <f>IFERROR((G170-$F170)/$F170*100,"")</f>
        <v>-0.14085739469309869</v>
      </c>
      <c r="DW170" s="15">
        <f>IFERROR((H170-$F170)/$F170*100,"")</f>
        <v>-0.53098969393395734</v>
      </c>
      <c r="DX170" s="15">
        <f>IFERROR((I170-$F170)/$F170*100,"")</f>
        <v>-2.9725178686141924</v>
      </c>
      <c r="DY170" s="15">
        <f>IFERROR((J170-$F170)/$F170*100,"")</f>
        <v>-3.1071860747525952</v>
      </c>
      <c r="DZ170" s="15">
        <f>IFERROR((K170-$F170)/$F170*100,"")</f>
        <v>-3.3656380519849116</v>
      </c>
      <c r="EA170" s="15">
        <f>IFERROR((L170-$F170)/$F170*100,"")</f>
        <v>-3.6714693347049092</v>
      </c>
      <c r="EB170" s="15">
        <f>IFERROR((M170-$F170)/$F170*100,"")</f>
        <v>-3.9425131093416299</v>
      </c>
      <c r="EC170" s="15">
        <f>IFERROR((N170-$F170)/$F170*100,"")</f>
        <v>-3.3974376759383667</v>
      </c>
      <c r="ED170" s="15">
        <f>IFERROR((O170-$F170)/$F170*100,"")</f>
        <v>-1.977552453372998</v>
      </c>
      <c r="EE170" s="15">
        <f>IFERROR((P170-$F170)/$F170*100,"")</f>
        <v>-1.6753493156678241</v>
      </c>
      <c r="EF170" s="15">
        <f>IFERROR((Q170-$F170)/$F170*100,"")</f>
        <v>-2.6709549917940012</v>
      </c>
      <c r="EG170" s="15" t="str">
        <f>IF(DV170="","",IF(AND(ABS(DV170)&lt;=0.25,$E170="Bottom",DK170="LL"),"EQL",IF(AND(ABS(DV170)&lt;=0.25,$E170="Peak",DK170="HH"),"EQH","")))</f>
        <v/>
      </c>
      <c r="EH170" s="15" t="str">
        <f>IF(DW170="","",IF(AND(ABS(DW170)&lt;=0.25,$E170="Bottom",DL170="LL"),"EQL",IF(AND(ABS(DW170)&lt;=0.25,$E170="Peak",DL170="HH"),"EQH","")))</f>
        <v/>
      </c>
      <c r="EI170" s="15" t="str">
        <f>IF(DX170="","",IF(AND(ABS(DX170)&lt;=0.25,$E170="Bottom",DM170="LL"),"EQL",IF(AND(ABS(DX170)&lt;=0.25,$E170="Peak",DM170="HH"),"EQH","")))</f>
        <v/>
      </c>
      <c r="EJ170" s="15" t="str">
        <f>IF(DY170="","",IF(AND(ABS(DY170)&lt;=0.25,$E170="Bottom",DN170="LL"),"EQL",IF(AND(ABS(DY170)&lt;=0.25,$E170="Peak",DN170="HH"),"EQH","")))</f>
        <v/>
      </c>
      <c r="EK170" s="15" t="str">
        <f>IF(DZ170="","",IF(AND(ABS(DZ170)&lt;=0.25,$E170="Bottom",DO170="LL"),"EQL",IF(AND(ABS(DZ170)&lt;=0.25,$E170="Peak",DO170="HH"),"EQH","")))</f>
        <v/>
      </c>
      <c r="EL170" s="15" t="str">
        <f>IF(EA170="","",IF(AND(ABS(EA170)&lt;=0.25,$E170="Bottom",DP170="LL"),"EQL",IF(AND(ABS(EA170)&lt;=0.25,$E170="Peak",DP170="HH"),"EQH","")))</f>
        <v/>
      </c>
      <c r="EM170" s="15" t="str">
        <f>IF(EB170="","",IF(AND(ABS(EB170)&lt;=0.25,$E170="Bottom",DQ170="LL"),"EQL",IF(AND(ABS(EB170)&lt;=0.25,$E170="Peak",DQ170="HH"),"EQH","")))</f>
        <v/>
      </c>
      <c r="EN170" s="15" t="str">
        <f>IF(EC170="","",IF(AND(ABS(EC170)&lt;=0.25,$E170="Bottom",DR170="LL"),"EQL",IF(AND(ABS(EC170)&lt;=0.25,$E170="Peak",DR170="HH"),"EQH","")))</f>
        <v/>
      </c>
      <c r="EO170" s="15" t="str">
        <f>IF(ED170="","",IF(AND(ABS(ED170)&lt;=0.25,$E170="Bottom",DS170="LL"),"EQL",IF(AND(ABS(ED170)&lt;=0.25,$E170="Peak",DS170="HH"),"EQH","")))</f>
        <v/>
      </c>
      <c r="EP170" s="15" t="str">
        <f>IF(EE170="","",IF(AND(ABS(EE170)&lt;=0.25,$E170="Bottom",DT170="LL"),"EQL",IF(AND(ABS(EE170)&lt;=0.25,$E170="Peak",DT170="HH"),"EQH","")))</f>
        <v/>
      </c>
      <c r="EQ170" s="15" t="str">
        <f>IF(EF170="","",IF(AND(ABS(EF170)&lt;=0.25,$E170="Bottom",DU170="LL"),"EQL",IF(AND(ABS(EF170)&lt;=0.25,$E170="Peak",DU170="HH"),"EQH","")))</f>
        <v/>
      </c>
      <c r="ER170" s="15" t="str">
        <f>IF(OR(EG170="EQL",EG170="EQH"),F170,"")</f>
        <v/>
      </c>
      <c r="ES170" s="15" t="str">
        <f>IF(OR(EH170="EQL",EH170="EQH"),G170,"")</f>
        <v/>
      </c>
      <c r="ET170" s="15" t="str">
        <f>IF(OR(EI170="EQL",EI170="EQH"),H170,"")</f>
        <v/>
      </c>
      <c r="EU170" s="15" t="str">
        <f>IF(OR(EJ170="EQL",EJ170="EQH"),I170,"")</f>
        <v/>
      </c>
      <c r="EV170" s="15" t="str">
        <f>IF(OR(EK170="EQL",EK170="EQH"),J170,"")</f>
        <v/>
      </c>
      <c r="EW170" s="15" t="str">
        <f>IF(OR(EL170="EQL",EL170="EQH"),K170,"")</f>
        <v/>
      </c>
      <c r="EX170" s="15" t="str">
        <f>IF(OR(EM170="EQL",EM170="EQH"),L170,"")</f>
        <v/>
      </c>
      <c r="EY170" s="15" t="str">
        <f>IF(OR(EN170="EQL",EN170="EQH"),M170,"")</f>
        <v/>
      </c>
      <c r="EZ170" s="15" t="str">
        <f>IF(OR(EO170="EQL",EO170="EQH"),N170,"")</f>
        <v/>
      </c>
      <c r="FA170" s="15" t="str">
        <f>IF(OR(EP170="EQL",EP170="EQH"),O170,"")</f>
        <v/>
      </c>
      <c r="FB170" s="15" t="str">
        <f>IF(OR(EQ170="EQL",EQ170="EQH"),P170,"")</f>
        <v/>
      </c>
      <c r="FC170" s="15" t="str">
        <f>IF(AND(EG170="EQL",OR(AQ170=4,AQ170=5)),"IEQL",IF(AND(EG170="EQH",OR(AQ170=1,AQ170=2)),"IEQH",""))</f>
        <v/>
      </c>
      <c r="FD170" s="15" t="str">
        <f>IF(AND(EH170="EQL",OR(AR170=4,AR170=5)),"IEQL",IF(AND(EH170="EQH",OR(AR170=1,AR170=2)),"IEQH",""))</f>
        <v/>
      </c>
      <c r="FE170" s="15" t="str">
        <f>IF(AND(EI170="EQL",OR(AS170=4,AS170=5)),"IEQL",IF(AND(EI170="EQH",OR(AS170=1,AS170=2)),"IEQH",""))</f>
        <v/>
      </c>
      <c r="FF170" s="15" t="str">
        <f>IF(AND(EJ170="EQL",OR(AT170=4,AT170=5)),"IEQL",IF(AND(EJ170="EQH",OR(AT170=1,AT170=2)),"IEQH",""))</f>
        <v/>
      </c>
      <c r="FG170" s="15" t="str">
        <f>IF(AND(EK170="EQL",OR(AU170=4,AU170=5)),"IEQL",IF(AND(EK170="EQH",OR(AU170=1,AU170=2)),"IEQH",""))</f>
        <v/>
      </c>
      <c r="FH170" s="15" t="str">
        <f>IF(AND(EL170="EQL",OR(AV170=4,AV170=5)),"IEQL",IF(AND(EL170="EQH",OR(AV170=1,AV170=2)),"IEQH",""))</f>
        <v/>
      </c>
      <c r="FI170" s="15" t="str">
        <f>IF(AND(EM170="EQL",OR(AW170=4,AW170=5)),"IEQL",IF(AND(EM170="EQH",OR(AW170=1,AW170=2)),"IEQH",""))</f>
        <v/>
      </c>
      <c r="FJ170" s="15" t="str">
        <f>IF(AND(EN170="EQL",OR(AX170=4,AX170=5)),"IEQL",IF(AND(EN170="EQH",OR(AX170=1,AX170=2)),"IEQH",""))</f>
        <v/>
      </c>
      <c r="FK170" s="15" t="str">
        <f>IF(AND(EO170="EQL",OR(AY170=4,AY170=5)),"IEQL",IF(AND(EO170="EQH",OR(AY170=1,AY170=2)),"IEQH",""))</f>
        <v/>
      </c>
      <c r="FL170" s="15" t="str">
        <f>IF(AND(EP170="EQL",OR(AZ170=4,AZ170=5)),"IEQL",IF(AND(EP170="EQH",OR(AZ170=1,AZ170=2)),"IEQH",""))</f>
        <v/>
      </c>
      <c r="FM170" s="15" t="str">
        <f>IF(AND(EQ170="EQL",OR(BA170=4,BA170=5)),"IEQL",IF(AND(EQ170="EQH",OR(BA170=1,BA170=2)),"IEQH",""))</f>
        <v/>
      </c>
      <c r="FN170" s="15" t="str">
        <f>IF(OR(AND(DJ170="LL",AP170=5),AND(DJ170="HH",AP170=2)),F170,"")</f>
        <v/>
      </c>
      <c r="FO170" s="15" t="str">
        <f>IF(FN170&lt;&gt;"",F169,"")</f>
        <v/>
      </c>
    </row>
    <row r="171" spans="1:171" s="15" customFormat="1" x14ac:dyDescent="0.55000000000000004">
      <c r="A171" s="15">
        <v>1778118306</v>
      </c>
      <c r="B171" s="15" t="s">
        <v>16</v>
      </c>
      <c r="C171" s="15" t="s">
        <v>17</v>
      </c>
      <c r="D171" s="15">
        <v>4714.8599999999997</v>
      </c>
      <c r="E171" s="15" t="s">
        <v>20</v>
      </c>
      <c r="F171" s="15">
        <v>4721.4399999999996</v>
      </c>
      <c r="G171" s="15">
        <f t="shared" si="550"/>
        <v>4701.18</v>
      </c>
      <c r="H171" s="15">
        <f t="shared" si="560"/>
        <v>4717.43</v>
      </c>
      <c r="I171" s="15">
        <f t="shared" si="570"/>
        <v>4722.76</v>
      </c>
      <c r="J171" s="15">
        <f t="shared" si="580"/>
        <v>4586.5600000000004</v>
      </c>
      <c r="K171" s="15">
        <f t="shared" si="480"/>
        <v>4560.53</v>
      </c>
      <c r="L171" s="15">
        <f t="shared" si="490"/>
        <v>4546.78</v>
      </c>
      <c r="M171" s="15">
        <f t="shared" si="500"/>
        <v>4528.57</v>
      </c>
      <c r="N171" s="15">
        <f t="shared" si="510"/>
        <v>4583.16</v>
      </c>
      <c r="O171" s="15">
        <f t="shared" si="520"/>
        <v>4618.59</v>
      </c>
      <c r="P171" s="15">
        <f t="shared" si="530"/>
        <v>4632.1099999999997</v>
      </c>
      <c r="Q171" s="15">
        <f t="shared" si="540"/>
        <v>4660.32</v>
      </c>
      <c r="R171" s="15">
        <v>35.85</v>
      </c>
      <c r="S171" s="15">
        <f t="shared" si="551"/>
        <v>22.19</v>
      </c>
      <c r="T171" s="15">
        <f t="shared" si="561"/>
        <v>56.72</v>
      </c>
      <c r="U171" s="15">
        <f t="shared" si="571"/>
        <v>176.45</v>
      </c>
      <c r="V171" s="15">
        <f t="shared" si="581"/>
        <v>46.56</v>
      </c>
      <c r="W171" s="15">
        <f t="shared" si="481"/>
        <v>32.64</v>
      </c>
      <c r="X171" s="15">
        <f t="shared" si="491"/>
        <v>33.22</v>
      </c>
      <c r="Y171" s="15">
        <f t="shared" si="501"/>
        <v>27.71</v>
      </c>
      <c r="Z171" s="15">
        <f t="shared" si="511"/>
        <v>56.76</v>
      </c>
      <c r="AA171" s="15">
        <f t="shared" si="521"/>
        <v>25.66</v>
      </c>
      <c r="AB171" s="15">
        <f t="shared" si="531"/>
        <v>25.02</v>
      </c>
      <c r="AC171" s="15">
        <f t="shared" si="541"/>
        <v>99.88</v>
      </c>
      <c r="AD171" s="15">
        <v>0.77</v>
      </c>
      <c r="AE171" s="15">
        <f t="shared" si="552"/>
        <v>0.47</v>
      </c>
      <c r="AF171" s="15">
        <f t="shared" si="562"/>
        <v>1.22</v>
      </c>
      <c r="AG171" s="15">
        <f t="shared" si="572"/>
        <v>3.88</v>
      </c>
      <c r="AH171" s="15">
        <f t="shared" si="582"/>
        <v>1.03</v>
      </c>
      <c r="AI171" s="15">
        <f t="shared" si="482"/>
        <v>0.72</v>
      </c>
      <c r="AJ171" s="15">
        <f t="shared" si="492"/>
        <v>0.74</v>
      </c>
      <c r="AK171" s="15">
        <f t="shared" si="502"/>
        <v>0.62</v>
      </c>
      <c r="AL171" s="15">
        <f t="shared" si="512"/>
        <v>1.25</v>
      </c>
      <c r="AM171" s="15">
        <f t="shared" si="522"/>
        <v>0.56000000000000005</v>
      </c>
      <c r="AN171" s="15">
        <f t="shared" si="532"/>
        <v>0.54</v>
      </c>
      <c r="AO171" s="15">
        <f t="shared" si="542"/>
        <v>2.19</v>
      </c>
      <c r="AP171" s="15">
        <v>0</v>
      </c>
      <c r="AQ171" s="15">
        <f t="shared" si="553"/>
        <v>0</v>
      </c>
      <c r="AR171" s="15">
        <f t="shared" si="563"/>
        <v>0</v>
      </c>
      <c r="AS171" s="15">
        <f t="shared" si="573"/>
        <v>2</v>
      </c>
      <c r="AT171" s="15">
        <f t="shared" si="583"/>
        <v>0</v>
      </c>
      <c r="AU171" s="15">
        <f t="shared" si="483"/>
        <v>0</v>
      </c>
      <c r="AV171" s="15">
        <f t="shared" si="493"/>
        <v>0</v>
      </c>
      <c r="AW171" s="15">
        <f t="shared" si="503"/>
        <v>0</v>
      </c>
      <c r="AX171" s="15">
        <f t="shared" si="513"/>
        <v>0</v>
      </c>
      <c r="AY171" s="15">
        <f t="shared" si="523"/>
        <v>0</v>
      </c>
      <c r="AZ171" s="15">
        <f t="shared" si="533"/>
        <v>0</v>
      </c>
      <c r="BA171" s="15">
        <f t="shared" si="543"/>
        <v>1</v>
      </c>
      <c r="BB171" s="15">
        <v>4</v>
      </c>
      <c r="BC171" s="15">
        <f t="shared" si="554"/>
        <v>23</v>
      </c>
      <c r="BD171" s="15">
        <f t="shared" si="564"/>
        <v>8</v>
      </c>
      <c r="BE171" s="15">
        <f t="shared" si="574"/>
        <v>49</v>
      </c>
      <c r="BF171" s="15">
        <f t="shared" si="584"/>
        <v>13</v>
      </c>
      <c r="BG171" s="15">
        <f t="shared" si="484"/>
        <v>18</v>
      </c>
      <c r="BH171" s="15">
        <f t="shared" si="494"/>
        <v>10</v>
      </c>
      <c r="BI171" s="15">
        <f t="shared" si="504"/>
        <v>28</v>
      </c>
      <c r="BJ171" s="15">
        <f t="shared" si="514"/>
        <v>17</v>
      </c>
      <c r="BK171" s="15">
        <f t="shared" si="524"/>
        <v>2</v>
      </c>
      <c r="BL171" s="15">
        <f t="shared" si="534"/>
        <v>4</v>
      </c>
      <c r="BM171" s="15">
        <f t="shared" si="544"/>
        <v>18</v>
      </c>
      <c r="BN171" s="15">
        <v>0</v>
      </c>
      <c r="BO171" s="15">
        <f t="shared" si="555"/>
        <v>0</v>
      </c>
      <c r="BP171" s="15">
        <f t="shared" si="565"/>
        <v>0</v>
      </c>
      <c r="BQ171" s="15">
        <f t="shared" si="575"/>
        <v>2</v>
      </c>
      <c r="BR171" s="15">
        <f t="shared" si="585"/>
        <v>0</v>
      </c>
      <c r="BS171" s="15">
        <f t="shared" si="485"/>
        <v>0</v>
      </c>
      <c r="BT171" s="15">
        <f t="shared" si="495"/>
        <v>0</v>
      </c>
      <c r="BU171" s="15">
        <f t="shared" si="505"/>
        <v>0</v>
      </c>
      <c r="BV171" s="15">
        <f t="shared" si="515"/>
        <v>0</v>
      </c>
      <c r="BW171" s="15">
        <f t="shared" si="525"/>
        <v>0</v>
      </c>
      <c r="BX171" s="15">
        <f t="shared" si="535"/>
        <v>0</v>
      </c>
      <c r="BY171" s="15">
        <f t="shared" si="545"/>
        <v>0</v>
      </c>
      <c r="BZ171" s="15">
        <v>8.9625000000000004</v>
      </c>
      <c r="CA171" s="15">
        <f t="shared" si="556"/>
        <v>0.96477999999999997</v>
      </c>
      <c r="CB171" s="15">
        <f t="shared" si="566"/>
        <v>7.09</v>
      </c>
      <c r="CC171" s="15">
        <f t="shared" si="576"/>
        <v>3.6010200000000001</v>
      </c>
      <c r="CD171" s="15">
        <f t="shared" si="586"/>
        <v>3.5815399999999999</v>
      </c>
      <c r="CE171" s="15">
        <f t="shared" si="486"/>
        <v>1.8133300000000001</v>
      </c>
      <c r="CF171" s="15">
        <f t="shared" si="496"/>
        <v>3.3220000000000001</v>
      </c>
      <c r="CG171" s="15">
        <f t="shared" si="506"/>
        <v>0.98963999999999996</v>
      </c>
      <c r="CH171" s="15">
        <f t="shared" si="516"/>
        <v>3.3388200000000001</v>
      </c>
      <c r="CI171" s="15">
        <f t="shared" si="526"/>
        <v>12.83</v>
      </c>
      <c r="CJ171" s="15">
        <f t="shared" si="536"/>
        <v>6.2549999999999999</v>
      </c>
      <c r="CK171" s="15">
        <f t="shared" si="546"/>
        <v>5.5488900000000001</v>
      </c>
      <c r="CL171" s="15">
        <v>0</v>
      </c>
      <c r="CM171" s="15">
        <f t="shared" si="557"/>
        <v>0</v>
      </c>
      <c r="CN171" s="15">
        <f t="shared" si="567"/>
        <v>0</v>
      </c>
      <c r="CO171" s="15">
        <f t="shared" si="577"/>
        <v>0</v>
      </c>
      <c r="CP171" s="15">
        <f t="shared" si="587"/>
        <v>0</v>
      </c>
      <c r="CQ171" s="15">
        <f t="shared" si="487"/>
        <v>0</v>
      </c>
      <c r="CR171" s="15">
        <f t="shared" si="497"/>
        <v>0</v>
      </c>
      <c r="CS171" s="15">
        <f t="shared" si="507"/>
        <v>0</v>
      </c>
      <c r="CT171" s="15">
        <f t="shared" si="517"/>
        <v>0</v>
      </c>
      <c r="CU171" s="15">
        <f t="shared" si="527"/>
        <v>0</v>
      </c>
      <c r="CV171" s="15">
        <f t="shared" si="537"/>
        <v>0</v>
      </c>
      <c r="CW171" s="15">
        <f t="shared" si="547"/>
        <v>0</v>
      </c>
      <c r="CX171" s="15">
        <v>83.633499999999998</v>
      </c>
      <c r="CY171" s="15">
        <f t="shared" si="558"/>
        <v>43.973100000000002</v>
      </c>
      <c r="CZ171" s="15">
        <f t="shared" si="568"/>
        <v>81.971699999999998</v>
      </c>
      <c r="DA171" s="15">
        <f t="shared" si="578"/>
        <v>74.480099999999993</v>
      </c>
      <c r="DB171" s="15">
        <f t="shared" si="588"/>
        <v>74.399799999999999</v>
      </c>
      <c r="DC171" s="15">
        <f t="shared" si="488"/>
        <v>61.124600000000001</v>
      </c>
      <c r="DD171" s="15">
        <f t="shared" si="498"/>
        <v>73.247</v>
      </c>
      <c r="DE171" s="15">
        <f t="shared" si="508"/>
        <v>44.701700000000002</v>
      </c>
      <c r="DF171" s="15">
        <f t="shared" si="518"/>
        <v>73.326700000000002</v>
      </c>
      <c r="DG171" s="15">
        <f t="shared" si="528"/>
        <v>85.543199999999999</v>
      </c>
      <c r="DH171" s="15">
        <f t="shared" si="538"/>
        <v>80.916899999999998</v>
      </c>
      <c r="DI171" s="15">
        <f t="shared" si="548"/>
        <v>79.784000000000006</v>
      </c>
      <c r="DJ171" s="15" t="s">
        <v>23</v>
      </c>
      <c r="DK171" s="15" t="str">
        <f t="shared" si="559"/>
        <v>LH</v>
      </c>
      <c r="DL171" s="15" t="str">
        <f t="shared" si="569"/>
        <v>LH</v>
      </c>
      <c r="DM171" s="15" t="str">
        <f t="shared" si="579"/>
        <v>HH</v>
      </c>
      <c r="DN171" s="15" t="str">
        <f t="shared" si="589"/>
        <v>HH</v>
      </c>
      <c r="DO171" s="15" t="str">
        <f t="shared" si="489"/>
        <v>HH</v>
      </c>
      <c r="DP171" s="15" t="str">
        <f t="shared" si="499"/>
        <v>HH</v>
      </c>
      <c r="DQ171" s="15" t="str">
        <f t="shared" si="509"/>
        <v>LH</v>
      </c>
      <c r="DR171" s="15" t="str">
        <f t="shared" si="519"/>
        <v>LH</v>
      </c>
      <c r="DS171" s="15" t="str">
        <f t="shared" si="529"/>
        <v>LH</v>
      </c>
      <c r="DT171" s="15" t="str">
        <f t="shared" si="539"/>
        <v>LH</v>
      </c>
      <c r="DU171" s="15" t="str">
        <f t="shared" si="549"/>
        <v>HH</v>
      </c>
      <c r="DV171" s="15">
        <f>IFERROR((G171-$F171)/$F171*100,"")</f>
        <v>-0.42910637432646204</v>
      </c>
      <c r="DW171" s="15">
        <f>IFERROR((H171-$F171)/$F171*100,"")</f>
        <v>-8.4931715747723346E-2</v>
      </c>
      <c r="DX171" s="15">
        <f>IFERROR((I171-$F171)/$F171*100,"")</f>
        <v>2.7957572266101415E-2</v>
      </c>
      <c r="DY171" s="15">
        <f>IFERROR((J171-$F171)/$F171*100,"")</f>
        <v>-2.8567555660984616</v>
      </c>
      <c r="DZ171" s="15">
        <f>IFERROR((K171-$F171)/$F171*100,"")</f>
        <v>-3.4080704191941411</v>
      </c>
      <c r="EA171" s="15">
        <f>IFERROR((L171-$F171)/$F171*100,"")</f>
        <v>-3.6992951302992281</v>
      </c>
      <c r="EB171" s="15">
        <f>IFERROR((M171-$F171)/$F171*100,"")</f>
        <v>-4.0849825476973107</v>
      </c>
      <c r="EC171" s="15">
        <f>IFERROR((N171-$F171)/$F171*100,"")</f>
        <v>-2.9287674946626403</v>
      </c>
      <c r="ED171" s="15">
        <f>IFERROR((O171-$F171)/$F171*100,"")</f>
        <v>-2.1783608390660363</v>
      </c>
      <c r="EE171" s="15">
        <f>IFERROR((P171-$F171)/$F171*100,"")</f>
        <v>-1.8920075231285356</v>
      </c>
      <c r="EF171" s="15">
        <f>IFERROR((Q171-$F171)/$F171*100,"")</f>
        <v>-1.2945203158358445</v>
      </c>
      <c r="EG171" s="15" t="str">
        <f>IF(DV171="","",IF(AND(ABS(DV171)&lt;=0.25,$E171="Bottom",DK171="LL"),"EQL",IF(AND(ABS(DV171)&lt;=0.25,$E171="Peak",DK171="HH"),"EQH","")))</f>
        <v/>
      </c>
      <c r="EH171" s="15" t="str">
        <f>IF(DW171="","",IF(AND(ABS(DW171)&lt;=0.25,$E171="Bottom",DL171="LL"),"EQL",IF(AND(ABS(DW171)&lt;=0.25,$E171="Peak",DL171="HH"),"EQH","")))</f>
        <v/>
      </c>
      <c r="EI171" s="15" t="str">
        <f>IF(DX171="","",IF(AND(ABS(DX171)&lt;=0.25,$E171="Bottom",DM171="LL"),"EQL",IF(AND(ABS(DX171)&lt;=0.25,$E171="Peak",DM171="HH"),"EQH","")))</f>
        <v>EQH</v>
      </c>
      <c r="EJ171" s="15" t="str">
        <f>IF(DY171="","",IF(AND(ABS(DY171)&lt;=0.25,$E171="Bottom",DN171="LL"),"EQL",IF(AND(ABS(DY171)&lt;=0.25,$E171="Peak",DN171="HH"),"EQH","")))</f>
        <v/>
      </c>
      <c r="EK171" s="15" t="str">
        <f>IF(DZ171="","",IF(AND(ABS(DZ171)&lt;=0.25,$E171="Bottom",DO171="LL"),"EQL",IF(AND(ABS(DZ171)&lt;=0.25,$E171="Peak",DO171="HH"),"EQH","")))</f>
        <v/>
      </c>
      <c r="EL171" s="15" t="str">
        <f>IF(EA171="","",IF(AND(ABS(EA171)&lt;=0.25,$E171="Bottom",DP171="LL"),"EQL",IF(AND(ABS(EA171)&lt;=0.25,$E171="Peak",DP171="HH"),"EQH","")))</f>
        <v/>
      </c>
      <c r="EM171" s="15" t="str">
        <f>IF(EB171="","",IF(AND(ABS(EB171)&lt;=0.25,$E171="Bottom",DQ171="LL"),"EQL",IF(AND(ABS(EB171)&lt;=0.25,$E171="Peak",DQ171="HH"),"EQH","")))</f>
        <v/>
      </c>
      <c r="EN171" s="15" t="str">
        <f>IF(EC171="","",IF(AND(ABS(EC171)&lt;=0.25,$E171="Bottom",DR171="LL"),"EQL",IF(AND(ABS(EC171)&lt;=0.25,$E171="Peak",DR171="HH"),"EQH","")))</f>
        <v/>
      </c>
      <c r="EO171" s="15" t="str">
        <f>IF(ED171="","",IF(AND(ABS(ED171)&lt;=0.25,$E171="Bottom",DS171="LL"),"EQL",IF(AND(ABS(ED171)&lt;=0.25,$E171="Peak",DS171="HH"),"EQH","")))</f>
        <v/>
      </c>
      <c r="EP171" s="15" t="str">
        <f>IF(EE171="","",IF(AND(ABS(EE171)&lt;=0.25,$E171="Bottom",DT171="LL"),"EQL",IF(AND(ABS(EE171)&lt;=0.25,$E171="Peak",DT171="HH"),"EQH","")))</f>
        <v/>
      </c>
      <c r="EQ171" s="15" t="str">
        <f>IF(EF171="","",IF(AND(ABS(EF171)&lt;=0.25,$E171="Bottom",DU171="LL"),"EQL",IF(AND(ABS(EF171)&lt;=0.25,$E171="Peak",DU171="HH"),"EQH","")))</f>
        <v/>
      </c>
      <c r="ER171" s="15" t="str">
        <f>IF(OR(EG171="EQL",EG171="EQH"),F171,"")</f>
        <v/>
      </c>
      <c r="ES171" s="15" t="str">
        <f>IF(OR(EH171="EQL",EH171="EQH"),G171,"")</f>
        <v/>
      </c>
      <c r="ET171" s="15">
        <f>IF(OR(EI171="EQL",EI171="EQH"),H171,"")</f>
        <v>4717.43</v>
      </c>
      <c r="EU171" s="15" t="str">
        <f>IF(OR(EJ171="EQL",EJ171="EQH"),I171,"")</f>
        <v/>
      </c>
      <c r="EV171" s="15" t="str">
        <f>IF(OR(EK171="EQL",EK171="EQH"),J171,"")</f>
        <v/>
      </c>
      <c r="EW171" s="15" t="str">
        <f>IF(OR(EL171="EQL",EL171="EQH"),K171,"")</f>
        <v/>
      </c>
      <c r="EX171" s="15" t="str">
        <f>IF(OR(EM171="EQL",EM171="EQH"),L171,"")</f>
        <v/>
      </c>
      <c r="EY171" s="15" t="str">
        <f>IF(OR(EN171="EQL",EN171="EQH"),M171,"")</f>
        <v/>
      </c>
      <c r="EZ171" s="15" t="str">
        <f>IF(OR(EO171="EQL",EO171="EQH"),N171,"")</f>
        <v/>
      </c>
      <c r="FA171" s="15" t="str">
        <f>IF(OR(EP171="EQL",EP171="EQH"),O171,"")</f>
        <v/>
      </c>
      <c r="FB171" s="15" t="str">
        <f>IF(OR(EQ171="EQL",EQ171="EQH"),P171,"")</f>
        <v/>
      </c>
      <c r="FC171" s="15" t="str">
        <f>IF(AND(EG171="EQL",OR(AQ171=4,AQ171=5)),"IEQL",IF(AND(EG171="EQH",OR(AQ171=1,AQ171=2)),"IEQH",""))</f>
        <v/>
      </c>
      <c r="FD171" s="15" t="str">
        <f>IF(AND(EH171="EQL",OR(AR171=4,AR171=5)),"IEQL",IF(AND(EH171="EQH",OR(AR171=1,AR171=2)),"IEQH",""))</f>
        <v/>
      </c>
      <c r="FE171" s="15" t="str">
        <f>IF(AND(EI171="EQL",OR(AS171=4,AS171=5)),"IEQL",IF(AND(EI171="EQH",OR(AS171=1,AS171=2)),"IEQH",""))</f>
        <v>IEQH</v>
      </c>
      <c r="FF171" s="15" t="str">
        <f>IF(AND(EJ171="EQL",OR(AT171=4,AT171=5)),"IEQL",IF(AND(EJ171="EQH",OR(AT171=1,AT171=2)),"IEQH",""))</f>
        <v/>
      </c>
      <c r="FG171" s="15" t="str">
        <f>IF(AND(EK171="EQL",OR(AU171=4,AU171=5)),"IEQL",IF(AND(EK171="EQH",OR(AU171=1,AU171=2)),"IEQH",""))</f>
        <v/>
      </c>
      <c r="FH171" s="15" t="str">
        <f>IF(AND(EL171="EQL",OR(AV171=4,AV171=5)),"IEQL",IF(AND(EL171="EQH",OR(AV171=1,AV171=2)),"IEQH",""))</f>
        <v/>
      </c>
      <c r="FI171" s="15" t="str">
        <f>IF(AND(EM171="EQL",OR(AW171=4,AW171=5)),"IEQL",IF(AND(EM171="EQH",OR(AW171=1,AW171=2)),"IEQH",""))</f>
        <v/>
      </c>
      <c r="FJ171" s="15" t="str">
        <f>IF(AND(EN171="EQL",OR(AX171=4,AX171=5)),"IEQL",IF(AND(EN171="EQH",OR(AX171=1,AX171=2)),"IEQH",""))</f>
        <v/>
      </c>
      <c r="FK171" s="15" t="str">
        <f>IF(AND(EO171="EQL",OR(AY171=4,AY171=5)),"IEQL",IF(AND(EO171="EQH",OR(AY171=1,AY171=2)),"IEQH",""))</f>
        <v/>
      </c>
      <c r="FL171" s="15" t="str">
        <f>IF(AND(EP171="EQL",OR(AZ171=4,AZ171=5)),"IEQL",IF(AND(EP171="EQH",OR(AZ171=1,AZ171=2)),"IEQH",""))</f>
        <v/>
      </c>
      <c r="FM171" s="15" t="str">
        <f>IF(AND(EQ171="EQL",OR(BA171=4,BA171=5)),"IEQL",IF(AND(EQ171="EQH",OR(BA171=1,BA171=2)),"IEQH",""))</f>
        <v/>
      </c>
      <c r="FN171" s="15" t="str">
        <f>IF(OR(AND(DJ171="LL",AP171=5),AND(DJ171="HH",AP171=2)),F171,"")</f>
        <v/>
      </c>
      <c r="FO171" s="15" t="str">
        <f>IF(FN171&lt;&gt;"",F170,"")</f>
        <v/>
      </c>
    </row>
    <row r="172" spans="1:171" s="15" customFormat="1" x14ac:dyDescent="0.55000000000000004">
      <c r="A172" s="15">
        <v>1778122930</v>
      </c>
      <c r="B172" s="15" t="s">
        <v>16</v>
      </c>
      <c r="C172" s="15" t="s">
        <v>17</v>
      </c>
      <c r="D172" s="15">
        <v>4707.29</v>
      </c>
      <c r="E172" s="15" t="s">
        <v>18</v>
      </c>
      <c r="F172" s="15">
        <v>4700.0200000000004</v>
      </c>
      <c r="G172" s="15">
        <f t="shared" si="550"/>
        <v>4685.59</v>
      </c>
      <c r="H172" s="15">
        <f t="shared" si="560"/>
        <v>4678.99</v>
      </c>
      <c r="I172" s="15">
        <f t="shared" si="570"/>
        <v>4660.71</v>
      </c>
      <c r="J172" s="15">
        <f t="shared" si="580"/>
        <v>4546.3100000000004</v>
      </c>
      <c r="K172" s="15">
        <f t="shared" ref="K172" si="590">F162</f>
        <v>4540</v>
      </c>
      <c r="L172" s="15">
        <f t="shared" si="490"/>
        <v>4527.8900000000003</v>
      </c>
      <c r="M172" s="15">
        <f t="shared" si="500"/>
        <v>4513.5600000000004</v>
      </c>
      <c r="N172" s="15">
        <f t="shared" si="510"/>
        <v>4500.8599999999997</v>
      </c>
      <c r="O172" s="15">
        <f t="shared" si="520"/>
        <v>4526.3999999999996</v>
      </c>
      <c r="P172" s="15">
        <f t="shared" si="530"/>
        <v>4592.93</v>
      </c>
      <c r="Q172" s="15">
        <f t="shared" si="540"/>
        <v>4607.09</v>
      </c>
      <c r="R172" s="15">
        <v>-21.42</v>
      </c>
      <c r="S172" s="15">
        <f t="shared" si="551"/>
        <v>-15.59</v>
      </c>
      <c r="T172" s="15">
        <f t="shared" si="561"/>
        <v>-38.44</v>
      </c>
      <c r="U172" s="15">
        <f t="shared" si="571"/>
        <v>-62.05</v>
      </c>
      <c r="V172" s="15">
        <f t="shared" si="581"/>
        <v>-40.25</v>
      </c>
      <c r="W172" s="15">
        <f t="shared" ref="W172" si="591">R162</f>
        <v>-20.53</v>
      </c>
      <c r="X172" s="15">
        <f t="shared" si="491"/>
        <v>-18.89</v>
      </c>
      <c r="Y172" s="15">
        <f t="shared" si="501"/>
        <v>-15.01</v>
      </c>
      <c r="Z172" s="15">
        <f t="shared" si="511"/>
        <v>-82.3</v>
      </c>
      <c r="AA172" s="15">
        <f t="shared" si="521"/>
        <v>-92.19</v>
      </c>
      <c r="AB172" s="15">
        <f t="shared" si="531"/>
        <v>-39.18</v>
      </c>
      <c r="AC172" s="15">
        <f t="shared" si="541"/>
        <v>-53.23</v>
      </c>
      <c r="AD172" s="15">
        <v>-0.45</v>
      </c>
      <c r="AE172" s="15">
        <f t="shared" si="552"/>
        <v>-0.33</v>
      </c>
      <c r="AF172" s="15">
        <f t="shared" si="562"/>
        <v>-0.81</v>
      </c>
      <c r="AG172" s="15">
        <f t="shared" si="572"/>
        <v>-1.31</v>
      </c>
      <c r="AH172" s="15">
        <f t="shared" si="582"/>
        <v>-0.88</v>
      </c>
      <c r="AI172" s="15">
        <f t="shared" ref="AI172" si="592">AD162</f>
        <v>-0.45</v>
      </c>
      <c r="AJ172" s="15">
        <f t="shared" si="492"/>
        <v>-0.42</v>
      </c>
      <c r="AK172" s="15">
        <f t="shared" si="502"/>
        <v>-0.33</v>
      </c>
      <c r="AL172" s="15">
        <f t="shared" si="512"/>
        <v>-1.8</v>
      </c>
      <c r="AM172" s="15">
        <f t="shared" si="522"/>
        <v>-2</v>
      </c>
      <c r="AN172" s="15">
        <f t="shared" si="532"/>
        <v>-0.85</v>
      </c>
      <c r="AO172" s="15">
        <f t="shared" si="542"/>
        <v>-1.1399999999999999</v>
      </c>
      <c r="AP172" s="15">
        <v>3</v>
      </c>
      <c r="AQ172" s="15">
        <f t="shared" si="553"/>
        <v>3</v>
      </c>
      <c r="AR172" s="15">
        <f t="shared" si="563"/>
        <v>3</v>
      </c>
      <c r="AS172" s="15">
        <f t="shared" si="573"/>
        <v>3</v>
      </c>
      <c r="AT172" s="15">
        <f t="shared" si="583"/>
        <v>3</v>
      </c>
      <c r="AU172" s="15">
        <f t="shared" ref="AU172" si="593">AP162</f>
        <v>3</v>
      </c>
      <c r="AV172" s="15">
        <f t="shared" si="493"/>
        <v>3</v>
      </c>
      <c r="AW172" s="15">
        <f t="shared" si="503"/>
        <v>3</v>
      </c>
      <c r="AX172" s="15">
        <f t="shared" si="513"/>
        <v>3</v>
      </c>
      <c r="AY172" s="15">
        <f t="shared" si="523"/>
        <v>4</v>
      </c>
      <c r="AZ172" s="15">
        <f t="shared" si="533"/>
        <v>3</v>
      </c>
      <c r="BA172" s="15">
        <f t="shared" si="543"/>
        <v>3</v>
      </c>
      <c r="BB172" s="15">
        <v>5</v>
      </c>
      <c r="BC172" s="15">
        <f t="shared" si="554"/>
        <v>2</v>
      </c>
      <c r="BD172" s="15">
        <f t="shared" si="564"/>
        <v>13</v>
      </c>
      <c r="BE172" s="15">
        <f t="shared" si="574"/>
        <v>6</v>
      </c>
      <c r="BF172" s="15">
        <f t="shared" si="584"/>
        <v>29</v>
      </c>
      <c r="BG172" s="15">
        <f t="shared" ref="BG172" si="594">BB162</f>
        <v>8</v>
      </c>
      <c r="BH172" s="15">
        <f t="shared" si="494"/>
        <v>7</v>
      </c>
      <c r="BI172" s="15">
        <f t="shared" si="504"/>
        <v>1</v>
      </c>
      <c r="BJ172" s="15">
        <f t="shared" si="514"/>
        <v>6</v>
      </c>
      <c r="BK172" s="15">
        <f t="shared" si="524"/>
        <v>33</v>
      </c>
      <c r="BL172" s="15">
        <f t="shared" si="534"/>
        <v>14</v>
      </c>
      <c r="BM172" s="15">
        <f t="shared" si="544"/>
        <v>23</v>
      </c>
      <c r="BN172" s="15">
        <v>3</v>
      </c>
      <c r="BO172" s="15">
        <f t="shared" si="555"/>
        <v>3</v>
      </c>
      <c r="BP172" s="15">
        <f t="shared" si="565"/>
        <v>3</v>
      </c>
      <c r="BQ172" s="15">
        <f t="shared" si="575"/>
        <v>3</v>
      </c>
      <c r="BR172" s="15">
        <f t="shared" si="585"/>
        <v>3</v>
      </c>
      <c r="BS172" s="15">
        <f t="shared" ref="BS172" si="595">BN162</f>
        <v>3</v>
      </c>
      <c r="BT172" s="15">
        <f t="shared" si="495"/>
        <v>3</v>
      </c>
      <c r="BU172" s="15">
        <f t="shared" si="505"/>
        <v>3</v>
      </c>
      <c r="BV172" s="15">
        <f t="shared" si="515"/>
        <v>3</v>
      </c>
      <c r="BW172" s="15">
        <f t="shared" si="525"/>
        <v>3</v>
      </c>
      <c r="BX172" s="15">
        <f t="shared" si="535"/>
        <v>3</v>
      </c>
      <c r="BY172" s="15">
        <f t="shared" si="545"/>
        <v>3</v>
      </c>
      <c r="BZ172" s="15">
        <v>-4.2839999999999998</v>
      </c>
      <c r="CA172" s="15">
        <f t="shared" si="556"/>
        <v>-7.7949999999999999</v>
      </c>
      <c r="CB172" s="15">
        <f t="shared" si="566"/>
        <v>-2.9569200000000002</v>
      </c>
      <c r="CC172" s="15">
        <f t="shared" si="576"/>
        <v>-10.341670000000001</v>
      </c>
      <c r="CD172" s="15">
        <f t="shared" si="586"/>
        <v>-1.3879300000000001</v>
      </c>
      <c r="CE172" s="15">
        <f t="shared" ref="CE172" si="596">BZ162</f>
        <v>-2.5662500000000001</v>
      </c>
      <c r="CF172" s="15">
        <f t="shared" si="496"/>
        <v>-2.6985700000000001</v>
      </c>
      <c r="CG172" s="15">
        <f t="shared" si="506"/>
        <v>-15.01</v>
      </c>
      <c r="CH172" s="15">
        <f t="shared" si="516"/>
        <v>-13.716670000000001</v>
      </c>
      <c r="CI172" s="15">
        <f t="shared" si="526"/>
        <v>-2.7936399999999999</v>
      </c>
      <c r="CJ172" s="15">
        <f t="shared" si="536"/>
        <v>-2.7985699999999998</v>
      </c>
      <c r="CK172" s="15">
        <f t="shared" si="546"/>
        <v>-2.3143500000000001</v>
      </c>
      <c r="CL172" s="15">
        <v>3</v>
      </c>
      <c r="CM172" s="15">
        <f t="shared" si="557"/>
        <v>3</v>
      </c>
      <c r="CN172" s="15">
        <f t="shared" si="567"/>
        <v>3</v>
      </c>
      <c r="CO172" s="15">
        <f t="shared" si="577"/>
        <v>5</v>
      </c>
      <c r="CP172" s="15">
        <f t="shared" si="587"/>
        <v>3</v>
      </c>
      <c r="CQ172" s="15">
        <f t="shared" ref="CQ172" si="597">CL162</f>
        <v>3</v>
      </c>
      <c r="CR172" s="15">
        <f t="shared" si="497"/>
        <v>3</v>
      </c>
      <c r="CS172" s="15">
        <f t="shared" si="507"/>
        <v>5</v>
      </c>
      <c r="CT172" s="15">
        <f t="shared" si="517"/>
        <v>5</v>
      </c>
      <c r="CU172" s="15">
        <f t="shared" si="527"/>
        <v>3</v>
      </c>
      <c r="CV172" s="15">
        <f t="shared" si="537"/>
        <v>3</v>
      </c>
      <c r="CW172" s="15">
        <f t="shared" si="547"/>
        <v>3</v>
      </c>
      <c r="CX172" s="15">
        <v>-76.860900000000001</v>
      </c>
      <c r="CY172" s="15">
        <f t="shared" si="558"/>
        <v>-82.689599999999999</v>
      </c>
      <c r="CZ172" s="15">
        <f t="shared" si="568"/>
        <v>-71.314999999999998</v>
      </c>
      <c r="DA172" s="15">
        <f t="shared" si="578"/>
        <v>-84.476900000000001</v>
      </c>
      <c r="DB172" s="15">
        <f t="shared" si="588"/>
        <v>-54.227400000000003</v>
      </c>
      <c r="DC172" s="15">
        <f t="shared" ref="DC172" si="598">CX162</f>
        <v>-68.710400000000007</v>
      </c>
      <c r="DD172" s="15">
        <f t="shared" si="498"/>
        <v>-69.667000000000002</v>
      </c>
      <c r="DE172" s="15">
        <f t="shared" si="508"/>
        <v>-86.188500000000005</v>
      </c>
      <c r="DF172" s="15">
        <f t="shared" si="518"/>
        <v>-85.830299999999994</v>
      </c>
      <c r="DG172" s="15">
        <f t="shared" si="528"/>
        <v>-70.3048</v>
      </c>
      <c r="DH172" s="15">
        <f t="shared" si="538"/>
        <v>-70.3369</v>
      </c>
      <c r="DI172" s="15">
        <f t="shared" si="548"/>
        <v>-66.631399999999999</v>
      </c>
      <c r="DJ172" s="15" t="s">
        <v>22</v>
      </c>
      <c r="DK172" s="15" t="str">
        <f t="shared" si="559"/>
        <v>HL</v>
      </c>
      <c r="DL172" s="15" t="str">
        <f t="shared" si="569"/>
        <v>HL</v>
      </c>
      <c r="DM172" s="15" t="str">
        <f t="shared" si="579"/>
        <v>HL</v>
      </c>
      <c r="DN172" s="15" t="str">
        <f t="shared" si="589"/>
        <v>HL</v>
      </c>
      <c r="DO172" s="15" t="str">
        <f t="shared" ref="DO172" si="599">DJ162</f>
        <v>HL</v>
      </c>
      <c r="DP172" s="15" t="str">
        <f t="shared" si="499"/>
        <v>HL</v>
      </c>
      <c r="DQ172" s="15" t="str">
        <f t="shared" si="509"/>
        <v>HL</v>
      </c>
      <c r="DR172" s="15" t="str">
        <f t="shared" si="519"/>
        <v>LL</v>
      </c>
      <c r="DS172" s="15" t="str">
        <f t="shared" si="529"/>
        <v>LL</v>
      </c>
      <c r="DT172" s="15" t="str">
        <f t="shared" si="539"/>
        <v>LL</v>
      </c>
      <c r="DU172" s="15" t="str">
        <f t="shared" si="549"/>
        <v>HL</v>
      </c>
      <c r="DV172" s="15">
        <f>IFERROR((G172-$F172)/$F172*100,"")</f>
        <v>-0.30701997012779286</v>
      </c>
      <c r="DW172" s="15">
        <f>IFERROR((H172-$F172)/$F172*100,"")</f>
        <v>-0.44744490448978202</v>
      </c>
      <c r="DX172" s="15">
        <f>IFERROR((I172-$F172)/$F172*100,"")</f>
        <v>-0.83637941966205243</v>
      </c>
      <c r="DY172" s="15">
        <f>IFERROR((J172-$F172)/$F172*100,"")</f>
        <v>-3.2704116152697229</v>
      </c>
      <c r="DZ172" s="15">
        <f>IFERROR((K172-$F172)/$F172*100,"")</f>
        <v>-3.4046663631218679</v>
      </c>
      <c r="EA172" s="15">
        <f>IFERROR((L172-$F172)/$F172*100,"")</f>
        <v>-3.6623248411708906</v>
      </c>
      <c r="EB172" s="15">
        <f>IFERROR((M172-$F172)/$F172*100,"")</f>
        <v>-3.9672171607780395</v>
      </c>
      <c r="EC172" s="15">
        <f>IFERROR((N172-$F172)/$F172*100,"")</f>
        <v>-4.2374287768988372</v>
      </c>
      <c r="ED172" s="15">
        <f>IFERROR((O172-$F172)/$F172*100,"")</f>
        <v>-3.6940268339283828</v>
      </c>
      <c r="EE172" s="15">
        <f>IFERROR((P172-$F172)/$F172*100,"")</f>
        <v>-2.2785009425491833</v>
      </c>
      <c r="EF172" s="15">
        <f>IFERROR((Q172-$F172)/$F172*100,"")</f>
        <v>-1.9772256288271173</v>
      </c>
      <c r="EG172" s="15" t="str">
        <f>IF(DV172="","",IF(AND(ABS(DV172)&lt;=0.25,$E172="Bottom",DK172="LL"),"EQL",IF(AND(ABS(DV172)&lt;=0.25,$E172="Peak",DK172="HH"),"EQH","")))</f>
        <v/>
      </c>
      <c r="EH172" s="15" t="str">
        <f>IF(DW172="","",IF(AND(ABS(DW172)&lt;=0.25,$E172="Bottom",DL172="LL"),"EQL",IF(AND(ABS(DW172)&lt;=0.25,$E172="Peak",DL172="HH"),"EQH","")))</f>
        <v/>
      </c>
      <c r="EI172" s="15" t="str">
        <f>IF(DX172="","",IF(AND(ABS(DX172)&lt;=0.25,$E172="Bottom",DM172="LL"),"EQL",IF(AND(ABS(DX172)&lt;=0.25,$E172="Peak",DM172="HH"),"EQH","")))</f>
        <v/>
      </c>
      <c r="EJ172" s="15" t="str">
        <f>IF(DY172="","",IF(AND(ABS(DY172)&lt;=0.25,$E172="Bottom",DN172="LL"),"EQL",IF(AND(ABS(DY172)&lt;=0.25,$E172="Peak",DN172="HH"),"EQH","")))</f>
        <v/>
      </c>
      <c r="EK172" s="15" t="str">
        <f>IF(DZ172="","",IF(AND(ABS(DZ172)&lt;=0.25,$E172="Bottom",DO172="LL"),"EQL",IF(AND(ABS(DZ172)&lt;=0.25,$E172="Peak",DO172="HH"),"EQH","")))</f>
        <v/>
      </c>
      <c r="EL172" s="15" t="str">
        <f>IF(EA172="","",IF(AND(ABS(EA172)&lt;=0.25,$E172="Bottom",DP172="LL"),"EQL",IF(AND(ABS(EA172)&lt;=0.25,$E172="Peak",DP172="HH"),"EQH","")))</f>
        <v/>
      </c>
      <c r="EM172" s="15" t="str">
        <f>IF(EB172="","",IF(AND(ABS(EB172)&lt;=0.25,$E172="Bottom",DQ172="LL"),"EQL",IF(AND(ABS(EB172)&lt;=0.25,$E172="Peak",DQ172="HH"),"EQH","")))</f>
        <v/>
      </c>
      <c r="EN172" s="15" t="str">
        <f>IF(EC172="","",IF(AND(ABS(EC172)&lt;=0.25,$E172="Bottom",DR172="LL"),"EQL",IF(AND(ABS(EC172)&lt;=0.25,$E172="Peak",DR172="HH"),"EQH","")))</f>
        <v/>
      </c>
      <c r="EO172" s="15" t="str">
        <f>IF(ED172="","",IF(AND(ABS(ED172)&lt;=0.25,$E172="Bottom",DS172="LL"),"EQL",IF(AND(ABS(ED172)&lt;=0.25,$E172="Peak",DS172="HH"),"EQH","")))</f>
        <v/>
      </c>
      <c r="EP172" s="15" t="str">
        <f>IF(EE172="","",IF(AND(ABS(EE172)&lt;=0.25,$E172="Bottom",DT172="LL"),"EQL",IF(AND(ABS(EE172)&lt;=0.25,$E172="Peak",DT172="HH"),"EQH","")))</f>
        <v/>
      </c>
      <c r="EQ172" s="15" t="str">
        <f>IF(EF172="","",IF(AND(ABS(EF172)&lt;=0.25,$E172="Bottom",DU172="LL"),"EQL",IF(AND(ABS(EF172)&lt;=0.25,$E172="Peak",DU172="HH"),"EQH","")))</f>
        <v/>
      </c>
      <c r="ER172" s="15" t="str">
        <f>IF(OR(EG172="EQL",EG172="EQH"),F172,"")</f>
        <v/>
      </c>
      <c r="ES172" s="15" t="str">
        <f>IF(OR(EH172="EQL",EH172="EQH"),G172,"")</f>
        <v/>
      </c>
      <c r="ET172" s="15" t="str">
        <f>IF(OR(EI172="EQL",EI172="EQH"),H172,"")</f>
        <v/>
      </c>
      <c r="EU172" s="15" t="str">
        <f>IF(OR(EJ172="EQL",EJ172="EQH"),I172,"")</f>
        <v/>
      </c>
      <c r="EV172" s="15" t="str">
        <f>IF(OR(EK172="EQL",EK172="EQH"),J172,"")</f>
        <v/>
      </c>
      <c r="EW172" s="15" t="str">
        <f>IF(OR(EL172="EQL",EL172="EQH"),K172,"")</f>
        <v/>
      </c>
      <c r="EX172" s="15" t="str">
        <f>IF(OR(EM172="EQL",EM172="EQH"),L172,"")</f>
        <v/>
      </c>
      <c r="EY172" s="15" t="str">
        <f>IF(OR(EN172="EQL",EN172="EQH"),M172,"")</f>
        <v/>
      </c>
      <c r="EZ172" s="15" t="str">
        <f>IF(OR(EO172="EQL",EO172="EQH"),N172,"")</f>
        <v/>
      </c>
      <c r="FA172" s="15" t="str">
        <f>IF(OR(EP172="EQL",EP172="EQH"),O172,"")</f>
        <v/>
      </c>
      <c r="FB172" s="15" t="str">
        <f>IF(OR(EQ172="EQL",EQ172="EQH"),P172,"")</f>
        <v/>
      </c>
      <c r="FC172" s="15" t="str">
        <f>IF(AND(EG172="EQL",OR(AQ172=4,AQ172=5)),"IEQL",IF(AND(EG172="EQH",OR(AQ172=1,AQ172=2)),"IEQH",""))</f>
        <v/>
      </c>
      <c r="FD172" s="15" t="str">
        <f>IF(AND(EH172="EQL",OR(AR172=4,AR172=5)),"IEQL",IF(AND(EH172="EQH",OR(AR172=1,AR172=2)),"IEQH",""))</f>
        <v/>
      </c>
      <c r="FE172" s="15" t="str">
        <f>IF(AND(EI172="EQL",OR(AS172=4,AS172=5)),"IEQL",IF(AND(EI172="EQH",OR(AS172=1,AS172=2)),"IEQH",""))</f>
        <v/>
      </c>
      <c r="FF172" s="15" t="str">
        <f>IF(AND(EJ172="EQL",OR(AT172=4,AT172=5)),"IEQL",IF(AND(EJ172="EQH",OR(AT172=1,AT172=2)),"IEQH",""))</f>
        <v/>
      </c>
      <c r="FG172" s="15" t="str">
        <f>IF(AND(EK172="EQL",OR(AU172=4,AU172=5)),"IEQL",IF(AND(EK172="EQH",OR(AU172=1,AU172=2)),"IEQH",""))</f>
        <v/>
      </c>
      <c r="FH172" s="15" t="str">
        <f>IF(AND(EL172="EQL",OR(AV172=4,AV172=5)),"IEQL",IF(AND(EL172="EQH",OR(AV172=1,AV172=2)),"IEQH",""))</f>
        <v/>
      </c>
      <c r="FI172" s="15" t="str">
        <f>IF(AND(EM172="EQL",OR(AW172=4,AW172=5)),"IEQL",IF(AND(EM172="EQH",OR(AW172=1,AW172=2)),"IEQH",""))</f>
        <v/>
      </c>
      <c r="FJ172" s="15" t="str">
        <f>IF(AND(EN172="EQL",OR(AX172=4,AX172=5)),"IEQL",IF(AND(EN172="EQH",OR(AX172=1,AX172=2)),"IEQH",""))</f>
        <v/>
      </c>
      <c r="FK172" s="15" t="str">
        <f>IF(AND(EO172="EQL",OR(AY172=4,AY172=5)),"IEQL",IF(AND(EO172="EQH",OR(AY172=1,AY172=2)),"IEQH",""))</f>
        <v/>
      </c>
      <c r="FL172" s="15" t="str">
        <f>IF(AND(EP172="EQL",OR(AZ172=4,AZ172=5)),"IEQL",IF(AND(EP172="EQH",OR(AZ172=1,AZ172=2)),"IEQH",""))</f>
        <v/>
      </c>
      <c r="FM172" s="15" t="str">
        <f>IF(AND(EQ172="EQL",OR(BA172=4,BA172=5)),"IEQL",IF(AND(EQ172="EQH",OR(BA172=1,BA172=2)),"IEQH",""))</f>
        <v/>
      </c>
      <c r="FN172" s="15" t="str">
        <f>IF(OR(AND(DJ172="LL",AP172=5),AND(DJ172="HH",AP172=2)),F172,"")</f>
        <v/>
      </c>
      <c r="FO172" s="15" t="str">
        <f>IF(FN172&lt;&gt;"",F171,"")</f>
        <v/>
      </c>
    </row>
    <row r="173" spans="1:171" s="22" customFormat="1" x14ac:dyDescent="0.55000000000000004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</vt:lpstr>
      <vt:lpstr>New</vt:lpstr>
      <vt:lpstr>V42</vt:lpstr>
      <vt:lpstr>V43</vt:lpstr>
      <vt:lpstr>V43andV42Compare</vt:lpstr>
      <vt:lpstr>V43_New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</dc:creator>
  <dc:description/>
  <cp:lastModifiedBy>WiN</cp:lastModifiedBy>
  <cp:revision>0</cp:revision>
  <dcterms:created xsi:type="dcterms:W3CDTF">2026-05-06T03:31:46Z</dcterms:created>
  <dcterms:modified xsi:type="dcterms:W3CDTF">2026-05-08T23:32:42Z</dcterms:modified>
  <dc:language>en-US</dc:language>
</cp:coreProperties>
</file>