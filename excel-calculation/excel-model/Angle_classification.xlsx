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"/>
    </mc:Choice>
  </mc:AlternateContent>
  <xr:revisionPtr revIDLastSave="0" documentId="13_ncr:1_{8AC4CCB8-D0E4-4548-8287-93584E6F21D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ngle classifica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" i="4" l="1"/>
  <c r="Q5" i="4" s="1"/>
  <c r="N6" i="4"/>
  <c r="O6" i="4"/>
  <c r="P6" i="4"/>
  <c r="N7" i="4"/>
  <c r="O7" i="4"/>
  <c r="P7" i="4"/>
  <c r="N8" i="4"/>
  <c r="O8" i="4"/>
  <c r="P8" i="4"/>
  <c r="N9" i="4"/>
  <c r="O9" i="4"/>
  <c r="P9" i="4"/>
  <c r="N10" i="4"/>
  <c r="O10" i="4"/>
  <c r="P10" i="4"/>
  <c r="N11" i="4"/>
  <c r="O11" i="4"/>
  <c r="P11" i="4"/>
  <c r="N12" i="4"/>
  <c r="O12" i="4"/>
  <c r="P12" i="4"/>
  <c r="N13" i="4"/>
  <c r="O13" i="4"/>
  <c r="P13" i="4"/>
  <c r="N14" i="4"/>
  <c r="O14" i="4"/>
  <c r="P14" i="4"/>
  <c r="N15" i="4"/>
  <c r="O15" i="4"/>
  <c r="P15" i="4"/>
  <c r="N16" i="4"/>
  <c r="O16" i="4"/>
  <c r="P16" i="4"/>
  <c r="N17" i="4"/>
  <c r="O17" i="4"/>
  <c r="P17" i="4"/>
  <c r="N18" i="4"/>
  <c r="O18" i="4"/>
  <c r="P18" i="4"/>
  <c r="N19" i="4"/>
  <c r="O19" i="4"/>
  <c r="P19" i="4"/>
  <c r="N20" i="4"/>
  <c r="O20" i="4"/>
  <c r="P20" i="4"/>
  <c r="N21" i="4"/>
  <c r="O21" i="4"/>
  <c r="P21" i="4"/>
  <c r="N22" i="4"/>
  <c r="O22" i="4"/>
  <c r="P22" i="4"/>
  <c r="N23" i="4"/>
  <c r="O23" i="4"/>
  <c r="P23" i="4"/>
  <c r="N24" i="4"/>
  <c r="O24" i="4"/>
  <c r="P24" i="4"/>
  <c r="N25" i="4"/>
  <c r="O25" i="4"/>
  <c r="P25" i="4"/>
  <c r="N26" i="4"/>
  <c r="O26" i="4"/>
  <c r="P26" i="4"/>
  <c r="N27" i="4"/>
  <c r="O27" i="4"/>
  <c r="P27" i="4"/>
  <c r="N28" i="4"/>
  <c r="O28" i="4"/>
  <c r="P28" i="4"/>
  <c r="N29" i="4"/>
  <c r="O29" i="4"/>
  <c r="P29" i="4"/>
  <c r="N30" i="4"/>
  <c r="O30" i="4"/>
  <c r="P30" i="4"/>
  <c r="N31" i="4"/>
  <c r="O31" i="4"/>
  <c r="P31" i="4"/>
  <c r="N32" i="4"/>
  <c r="O32" i="4"/>
  <c r="P32" i="4"/>
  <c r="N33" i="4"/>
  <c r="O33" i="4"/>
  <c r="P33" i="4"/>
  <c r="N34" i="4"/>
  <c r="O34" i="4"/>
  <c r="P34" i="4"/>
  <c r="N35" i="4"/>
  <c r="O35" i="4"/>
  <c r="P35" i="4"/>
  <c r="N36" i="4"/>
  <c r="O36" i="4"/>
  <c r="P36" i="4"/>
  <c r="N37" i="4"/>
  <c r="O37" i="4"/>
  <c r="P37" i="4"/>
  <c r="N38" i="4"/>
  <c r="O38" i="4"/>
  <c r="P38" i="4"/>
  <c r="N39" i="4"/>
  <c r="O39" i="4"/>
  <c r="P39" i="4"/>
  <c r="N40" i="4"/>
  <c r="O40" i="4"/>
  <c r="P40" i="4"/>
  <c r="N41" i="4"/>
  <c r="O41" i="4"/>
  <c r="P41" i="4"/>
  <c r="N42" i="4"/>
  <c r="O42" i="4"/>
  <c r="P42" i="4"/>
  <c r="N43" i="4"/>
  <c r="O43" i="4"/>
  <c r="P43" i="4"/>
  <c r="N44" i="4"/>
  <c r="O44" i="4"/>
  <c r="P44" i="4"/>
  <c r="N45" i="4"/>
  <c r="O45" i="4"/>
  <c r="P45" i="4"/>
  <c r="N46" i="4"/>
  <c r="O46" i="4"/>
  <c r="P46" i="4"/>
  <c r="N47" i="4"/>
  <c r="O47" i="4"/>
  <c r="P47" i="4"/>
  <c r="N48" i="4"/>
  <c r="O48" i="4"/>
  <c r="P48" i="4"/>
  <c r="N49" i="4"/>
  <c r="O49" i="4"/>
  <c r="P49" i="4"/>
  <c r="N50" i="4"/>
  <c r="O50" i="4"/>
  <c r="P50" i="4"/>
  <c r="N51" i="4"/>
  <c r="O51" i="4"/>
  <c r="P51" i="4"/>
  <c r="N52" i="4"/>
  <c r="O52" i="4"/>
  <c r="P52" i="4"/>
  <c r="N53" i="4"/>
  <c r="O53" i="4"/>
  <c r="P53" i="4"/>
  <c r="N54" i="4"/>
  <c r="O54" i="4"/>
  <c r="P54" i="4"/>
  <c r="N55" i="4"/>
  <c r="O55" i="4"/>
  <c r="P55" i="4"/>
  <c r="N56" i="4"/>
  <c r="O56" i="4"/>
  <c r="P56" i="4"/>
  <c r="N57" i="4"/>
  <c r="O57" i="4"/>
  <c r="P57" i="4"/>
  <c r="N58" i="4"/>
  <c r="O58" i="4"/>
  <c r="P58" i="4"/>
  <c r="N59" i="4"/>
  <c r="O59" i="4"/>
  <c r="P59" i="4"/>
  <c r="N60" i="4"/>
  <c r="O60" i="4"/>
  <c r="P60" i="4"/>
  <c r="N61" i="4"/>
  <c r="O61" i="4"/>
  <c r="P61" i="4"/>
  <c r="N62" i="4"/>
  <c r="O62" i="4"/>
  <c r="P62" i="4"/>
  <c r="N63" i="4"/>
  <c r="O63" i="4"/>
  <c r="P63" i="4"/>
  <c r="N64" i="4"/>
  <c r="O64" i="4"/>
  <c r="P64" i="4"/>
  <c r="N65" i="4"/>
  <c r="O65" i="4"/>
  <c r="P65" i="4"/>
  <c r="N66" i="4"/>
  <c r="O66" i="4"/>
  <c r="P66" i="4"/>
  <c r="N67" i="4"/>
  <c r="O67" i="4"/>
  <c r="P67" i="4"/>
  <c r="N68" i="4"/>
  <c r="O68" i="4"/>
  <c r="P68" i="4"/>
  <c r="N69" i="4"/>
  <c r="O69" i="4"/>
  <c r="P69" i="4"/>
  <c r="N70" i="4"/>
  <c r="O70" i="4"/>
  <c r="P70" i="4"/>
  <c r="N71" i="4"/>
  <c r="O71" i="4"/>
  <c r="P71" i="4"/>
  <c r="N72" i="4"/>
  <c r="O72" i="4"/>
  <c r="P72" i="4"/>
  <c r="N73" i="4"/>
  <c r="O73" i="4"/>
  <c r="P73" i="4"/>
  <c r="N74" i="4"/>
  <c r="O74" i="4"/>
  <c r="P74" i="4"/>
  <c r="N75" i="4"/>
  <c r="O75" i="4"/>
  <c r="P75" i="4"/>
  <c r="N76" i="4"/>
  <c r="O76" i="4"/>
  <c r="P76" i="4"/>
  <c r="N77" i="4"/>
  <c r="O77" i="4"/>
  <c r="P77" i="4"/>
  <c r="N78" i="4"/>
  <c r="O78" i="4"/>
  <c r="P78" i="4"/>
  <c r="N79" i="4"/>
  <c r="O79" i="4"/>
  <c r="P79" i="4"/>
  <c r="N80" i="4"/>
  <c r="O80" i="4"/>
  <c r="P80" i="4"/>
  <c r="N81" i="4"/>
  <c r="O81" i="4"/>
  <c r="P81" i="4"/>
  <c r="N82" i="4"/>
  <c r="O82" i="4"/>
  <c r="P82" i="4"/>
  <c r="N83" i="4"/>
  <c r="O83" i="4"/>
  <c r="P83" i="4"/>
  <c r="N84" i="4"/>
  <c r="O84" i="4"/>
  <c r="P84" i="4"/>
  <c r="N85" i="4"/>
  <c r="O85" i="4"/>
  <c r="P85" i="4"/>
  <c r="N86" i="4"/>
  <c r="O86" i="4"/>
  <c r="P86" i="4"/>
  <c r="N87" i="4"/>
  <c r="O87" i="4"/>
  <c r="P87" i="4"/>
  <c r="N88" i="4"/>
  <c r="O88" i="4"/>
  <c r="P88" i="4"/>
  <c r="N89" i="4"/>
  <c r="O89" i="4"/>
  <c r="P89" i="4"/>
  <c r="N90" i="4"/>
  <c r="O90" i="4"/>
  <c r="P90" i="4"/>
  <c r="N91" i="4"/>
  <c r="O91" i="4"/>
  <c r="P91" i="4"/>
  <c r="N92" i="4"/>
  <c r="O92" i="4"/>
  <c r="P92" i="4"/>
  <c r="N93" i="4"/>
  <c r="O93" i="4"/>
  <c r="P93" i="4"/>
  <c r="N94" i="4"/>
  <c r="O94" i="4"/>
  <c r="P94" i="4"/>
  <c r="N95" i="4"/>
  <c r="O95" i="4"/>
  <c r="P95" i="4"/>
  <c r="N96" i="4"/>
  <c r="O96" i="4"/>
  <c r="P96" i="4"/>
  <c r="N97" i="4"/>
  <c r="O97" i="4"/>
  <c r="P97" i="4"/>
  <c r="N98" i="4"/>
  <c r="O98" i="4"/>
  <c r="P98" i="4"/>
  <c r="N99" i="4"/>
  <c r="O99" i="4"/>
  <c r="P99" i="4"/>
  <c r="N100" i="4"/>
  <c r="O100" i="4"/>
  <c r="P100" i="4"/>
  <c r="N101" i="4"/>
  <c r="O101" i="4"/>
  <c r="P101" i="4"/>
  <c r="N102" i="4"/>
  <c r="O102" i="4"/>
  <c r="P102" i="4"/>
  <c r="N103" i="4"/>
  <c r="O103" i="4"/>
  <c r="P103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Q47" i="4" l="1"/>
  <c r="Q18" i="4"/>
  <c r="Q73" i="4"/>
  <c r="Q72" i="4"/>
  <c r="Q97" i="4"/>
  <c r="Q81" i="4"/>
  <c r="Q33" i="4"/>
  <c r="Q26" i="4"/>
  <c r="Q52" i="4"/>
  <c r="Q27" i="4"/>
  <c r="Q13" i="4"/>
  <c r="Q100" i="4"/>
  <c r="Q53" i="4"/>
  <c r="Q69" i="4"/>
  <c r="Q64" i="4"/>
  <c r="Q48" i="4"/>
  <c r="Q87" i="4"/>
  <c r="Q78" i="4"/>
  <c r="Q30" i="4"/>
  <c r="Q41" i="4"/>
  <c r="Q59" i="4"/>
  <c r="Q20" i="4"/>
  <c r="Q99" i="4"/>
  <c r="Q92" i="4"/>
  <c r="Q76" i="4"/>
  <c r="Q14" i="4"/>
  <c r="Q88" i="4"/>
  <c r="Q75" i="4"/>
  <c r="Q42" i="4"/>
  <c r="Q40" i="4"/>
  <c r="Q32" i="4"/>
  <c r="Q66" i="4"/>
  <c r="Q21" i="4"/>
  <c r="Q68" i="4"/>
  <c r="Q46" i="4"/>
  <c r="Q25" i="4"/>
  <c r="Q23" i="4"/>
  <c r="Q60" i="4"/>
  <c r="Q56" i="4"/>
  <c r="Q11" i="4"/>
  <c r="Q74" i="4"/>
  <c r="Q17" i="4"/>
  <c r="Q15" i="4"/>
  <c r="Q95" i="4"/>
  <c r="Q80" i="4"/>
  <c r="Q45" i="4"/>
  <c r="Q35" i="4"/>
  <c r="Q61" i="4"/>
  <c r="Q8" i="4"/>
  <c r="Q28" i="4"/>
  <c r="Q67" i="4"/>
  <c r="Q57" i="4"/>
  <c r="Q51" i="4"/>
  <c r="Q16" i="4"/>
  <c r="Q10" i="4"/>
  <c r="Q96" i="4"/>
  <c r="Q91" i="4"/>
  <c r="Q86" i="4"/>
  <c r="Q49" i="4"/>
  <c r="Q38" i="4"/>
  <c r="Q93" i="4"/>
  <c r="Q83" i="4"/>
  <c r="Q79" i="4"/>
  <c r="Q62" i="4"/>
  <c r="Q103" i="4"/>
  <c r="Q98" i="4"/>
  <c r="Q101" i="4"/>
  <c r="Q71" i="4"/>
  <c r="Q6" i="4"/>
  <c r="Q102" i="4"/>
  <c r="Q89" i="4"/>
  <c r="Q63" i="4"/>
  <c r="Q58" i="4"/>
  <c r="Q44" i="4"/>
  <c r="Q85" i="4"/>
  <c r="Q84" i="4"/>
  <c r="Q82" i="4"/>
  <c r="Q22" i="4"/>
  <c r="Q12" i="4"/>
  <c r="Q55" i="4"/>
  <c r="Q54" i="4"/>
  <c r="Q9" i="4"/>
  <c r="Q7" i="4"/>
  <c r="Q36" i="4"/>
  <c r="Q29" i="4"/>
  <c r="Q43" i="4"/>
  <c r="Q34" i="4"/>
  <c r="Q77" i="4"/>
  <c r="Q50" i="4"/>
  <c r="Q37" i="4"/>
  <c r="Q31" i="4"/>
  <c r="Q19" i="4"/>
  <c r="Q94" i="4"/>
  <c r="Q90" i="4"/>
  <c r="Q70" i="4"/>
  <c r="Q65" i="4"/>
  <c r="Q24" i="4"/>
  <c r="Q39" i="4"/>
  <c r="Q2" i="4" l="1"/>
  <c r="AE102" i="4" s="1"/>
  <c r="AL102" i="4" s="1" a="1"/>
  <c r="AL102" i="4" s="1"/>
  <c r="AA92" i="4"/>
  <c r="AH92" i="4" s="1" a="1"/>
  <c r="AH92" i="4" s="1"/>
  <c r="AB73" i="4"/>
  <c r="AI73" i="4" s="1" a="1"/>
  <c r="AI73" i="4" s="1"/>
  <c r="Z55" i="4"/>
  <c r="AG55" i="4" s="1" a="1"/>
  <c r="AG55" i="4" s="1"/>
  <c r="AB42" i="4"/>
  <c r="AI42" i="4" s="1" a="1"/>
  <c r="AI42" i="4" s="1"/>
  <c r="AE27" i="4"/>
  <c r="AL27" i="4" s="1" a="1"/>
  <c r="AL27" i="4" s="1"/>
  <c r="AC13" i="4"/>
  <c r="AJ13" i="4" s="1" a="1"/>
  <c r="AJ13" i="4" s="1"/>
  <c r="AD65" i="4"/>
  <c r="AK65" i="4" s="1" a="1"/>
  <c r="AK65" i="4" s="1"/>
  <c r="Z52" i="4"/>
  <c r="AG52" i="4" s="1" a="1"/>
  <c r="AG52" i="4" s="1"/>
  <c r="Z50" i="4"/>
  <c r="AG50" i="4" s="1" a="1"/>
  <c r="AG50" i="4" s="1"/>
  <c r="AD41" i="4"/>
  <c r="AK41" i="4" s="1" a="1"/>
  <c r="AK41" i="4" s="1"/>
  <c r="AB20" i="4"/>
  <c r="AI20" i="4" s="1" a="1"/>
  <c r="AI20" i="4" s="1"/>
  <c r="Z100" i="4"/>
  <c r="AG100" i="4" s="1" a="1"/>
  <c r="AG100" i="4" s="1"/>
  <c r="AB99" i="4"/>
  <c r="AI99" i="4" s="1" a="1"/>
  <c r="AI99" i="4" s="1"/>
  <c r="AD98" i="4"/>
  <c r="AK98" i="4" s="1" a="1"/>
  <c r="AK98" i="4" s="1"/>
  <c r="AE103" i="4"/>
  <c r="AL103" i="4" s="1" a="1"/>
  <c r="AL103" i="4" s="1"/>
  <c r="AA99" i="4"/>
  <c r="AH99" i="4" s="1" a="1"/>
  <c r="AH99" i="4" s="1"/>
  <c r="AC98" i="4"/>
  <c r="AJ98" i="4" s="1" a="1"/>
  <c r="AJ98" i="4" s="1"/>
  <c r="AE97" i="4"/>
  <c r="AL97" i="4" s="1" a="1"/>
  <c r="AL97" i="4" s="1"/>
  <c r="Z94" i="4"/>
  <c r="AG94" i="4" s="1" a="1"/>
  <c r="AG94" i="4" s="1"/>
  <c r="AC93" i="4"/>
  <c r="AJ93" i="4" s="1" a="1"/>
  <c r="AJ93" i="4" s="1"/>
  <c r="AB93" i="4"/>
  <c r="AI93" i="4" s="1" a="1"/>
  <c r="AI93" i="4" s="1"/>
  <c r="AA93" i="4"/>
  <c r="AH93" i="4" s="1" a="1"/>
  <c r="AH93" i="4" s="1"/>
  <c r="AB95" i="4"/>
  <c r="AI95" i="4" s="1" a="1"/>
  <c r="AI95" i="4" s="1"/>
  <c r="AD99" i="4"/>
  <c r="AK99" i="4" s="1" a="1"/>
  <c r="AK99" i="4" s="1"/>
  <c r="AE98" i="4"/>
  <c r="AL98" i="4" s="1" a="1"/>
  <c r="AL98" i="4" s="1"/>
  <c r="AA95" i="4"/>
  <c r="AH95" i="4" s="1" a="1"/>
  <c r="AH95" i="4" s="1"/>
  <c r="AB101" i="4"/>
  <c r="AI101" i="4" s="1" a="1"/>
  <c r="AI101" i="4" s="1"/>
  <c r="AC99" i="4"/>
  <c r="AJ99" i="4" s="1" a="1"/>
  <c r="AJ99" i="4" s="1"/>
  <c r="Z95" i="4"/>
  <c r="AG95" i="4" s="1" a="1"/>
  <c r="AG95" i="4" s="1"/>
  <c r="AE92" i="4"/>
  <c r="AL92" i="4" s="1" a="1"/>
  <c r="AL92" i="4" s="1"/>
  <c r="AA101" i="4"/>
  <c r="AH101" i="4" s="1" a="1"/>
  <c r="AH101" i="4" s="1"/>
  <c r="AD92" i="4"/>
  <c r="AK92" i="4" s="1" a="1"/>
  <c r="AK92" i="4" s="1"/>
  <c r="Z101" i="4"/>
  <c r="AG101" i="4" s="1" a="1"/>
  <c r="AG101" i="4" s="1"/>
  <c r="AD94" i="4"/>
  <c r="AK94" i="4" s="1" a="1"/>
  <c r="AK94" i="4" s="1"/>
  <c r="AB100" i="4"/>
  <c r="AI100" i="4" s="1" a="1"/>
  <c r="AI100" i="4" s="1"/>
  <c r="AB94" i="4"/>
  <c r="AI94" i="4" s="1" a="1"/>
  <c r="AI94" i="4" s="1"/>
  <c r="AA100" i="4"/>
  <c r="AH100" i="4" s="1" a="1"/>
  <c r="AH100" i="4" s="1"/>
  <c r="AA94" i="4"/>
  <c r="AH94" i="4" s="1" a="1"/>
  <c r="AH94" i="4" s="1"/>
  <c r="AE88" i="4"/>
  <c r="AL88" i="4" s="1" a="1"/>
  <c r="AL88" i="4" s="1"/>
  <c r="AC89" i="4"/>
  <c r="AJ89" i="4" s="1" a="1"/>
  <c r="AJ89" i="4" s="1"/>
  <c r="AC88" i="4"/>
  <c r="AJ88" i="4" s="1" a="1"/>
  <c r="AJ88" i="4" s="1"/>
  <c r="AA90" i="4"/>
  <c r="AH90" i="4" s="1" a="1"/>
  <c r="AH90" i="4" s="1"/>
  <c r="AC94" i="4"/>
  <c r="AJ94" i="4" s="1" a="1"/>
  <c r="AJ94" i="4" s="1"/>
  <c r="AA89" i="4"/>
  <c r="AH89" i="4" s="1" a="1"/>
  <c r="AH89" i="4" s="1"/>
  <c r="AA88" i="4"/>
  <c r="AH88" i="4" s="1" a="1"/>
  <c r="AH88" i="4" s="1"/>
  <c r="Z89" i="4"/>
  <c r="AG89" i="4" s="1" a="1"/>
  <c r="AG89" i="4" s="1"/>
  <c r="Z88" i="4"/>
  <c r="AG88" i="4" s="1" a="1"/>
  <c r="AG88" i="4" s="1"/>
  <c r="AA85" i="4"/>
  <c r="AH85" i="4" s="1" a="1"/>
  <c r="AH85" i="4" s="1"/>
  <c r="AC84" i="4"/>
  <c r="AJ84" i="4" s="1" a="1"/>
  <c r="AJ84" i="4" s="1"/>
  <c r="Z85" i="4"/>
  <c r="AG85" i="4" s="1" a="1"/>
  <c r="AG85" i="4" s="1"/>
  <c r="AC100" i="4"/>
  <c r="AJ100" i="4" s="1" a="1"/>
  <c r="AJ100" i="4" s="1"/>
  <c r="AB92" i="4"/>
  <c r="AI92" i="4" s="1" a="1"/>
  <c r="AI92" i="4" s="1"/>
  <c r="Z84" i="4"/>
  <c r="AG84" i="4" s="1" a="1"/>
  <c r="AG84" i="4" s="1"/>
  <c r="AB83" i="4"/>
  <c r="AI83" i="4" s="1" a="1"/>
  <c r="AI83" i="4" s="1"/>
  <c r="AD91" i="4"/>
  <c r="AK91" i="4" s="1" a="1"/>
  <c r="AK91" i="4" s="1"/>
  <c r="AE87" i="4"/>
  <c r="AL87" i="4" s="1" a="1"/>
  <c r="AL87" i="4" s="1"/>
  <c r="AC87" i="4"/>
  <c r="AJ87" i="4" s="1" a="1"/>
  <c r="AJ87" i="4" s="1"/>
  <c r="AA84" i="4"/>
  <c r="AH84" i="4" s="1" a="1"/>
  <c r="AH84" i="4" s="1"/>
  <c r="AC83" i="4"/>
  <c r="AJ83" i="4" s="1" a="1"/>
  <c r="AJ83" i="4" s="1"/>
  <c r="AD80" i="4"/>
  <c r="AK80" i="4" s="1" a="1"/>
  <c r="AK80" i="4" s="1"/>
  <c r="AA83" i="4"/>
  <c r="AH83" i="4" s="1" a="1"/>
  <c r="AH83" i="4" s="1"/>
  <c r="Z83" i="4"/>
  <c r="AG83" i="4" s="1" a="1"/>
  <c r="AG83" i="4" s="1"/>
  <c r="AC82" i="4"/>
  <c r="AJ82" i="4" s="1" a="1"/>
  <c r="AJ82" i="4" s="1"/>
  <c r="AB80" i="4"/>
  <c r="AI80" i="4" s="1" a="1"/>
  <c r="AI80" i="4" s="1"/>
  <c r="Z75" i="4"/>
  <c r="AG75" i="4" s="1" a="1"/>
  <c r="AG75" i="4" s="1"/>
  <c r="AB82" i="4"/>
  <c r="AI82" i="4" s="1" a="1"/>
  <c r="AI82" i="4" s="1"/>
  <c r="AA82" i="4"/>
  <c r="AH82" i="4" s="1" a="1"/>
  <c r="AH82" i="4" s="1"/>
  <c r="AE81" i="4"/>
  <c r="AL81" i="4" s="1" a="1"/>
  <c r="AL81" i="4" s="1"/>
  <c r="AA78" i="4"/>
  <c r="AH78" i="4" s="1" a="1"/>
  <c r="AH78" i="4" s="1"/>
  <c r="Z78" i="4"/>
  <c r="AG78" i="4" s="1" a="1"/>
  <c r="AG78" i="4" s="1"/>
  <c r="Z81" i="4"/>
  <c r="AG81" i="4" s="1" a="1"/>
  <c r="AG81" i="4" s="1"/>
  <c r="AA77" i="4"/>
  <c r="AH77" i="4" s="1" a="1"/>
  <c r="AH77" i="4" s="1"/>
  <c r="AC76" i="4"/>
  <c r="AJ76" i="4" s="1" a="1"/>
  <c r="AJ76" i="4" s="1"/>
  <c r="AE75" i="4"/>
  <c r="AL75" i="4" s="1" a="1"/>
  <c r="AL75" i="4" s="1"/>
  <c r="Z77" i="4"/>
  <c r="AG77" i="4" s="1" a="1"/>
  <c r="AG77" i="4" s="1"/>
  <c r="AB76" i="4"/>
  <c r="AI76" i="4" s="1" a="1"/>
  <c r="AI76" i="4" s="1"/>
  <c r="AD75" i="4"/>
  <c r="AK75" i="4" s="1" a="1"/>
  <c r="AK75" i="4" s="1"/>
  <c r="AB84" i="4"/>
  <c r="AI84" i="4" s="1" a="1"/>
  <c r="AI84" i="4" s="1"/>
  <c r="AD83" i="4"/>
  <c r="AK83" i="4" s="1" a="1"/>
  <c r="AK83" i="4" s="1"/>
  <c r="AE80" i="4"/>
  <c r="AL80" i="4" s="1" a="1"/>
  <c r="AL80" i="4" s="1"/>
  <c r="AE72" i="4"/>
  <c r="AL72" i="4" s="1" a="1"/>
  <c r="AL72" i="4" s="1"/>
  <c r="AA68" i="4"/>
  <c r="AH68" i="4" s="1" a="1"/>
  <c r="AH68" i="4" s="1"/>
  <c r="AC67" i="4"/>
  <c r="AJ67" i="4" s="1" a="1"/>
  <c r="AJ67" i="4" s="1"/>
  <c r="AC75" i="4"/>
  <c r="AJ75" i="4" s="1" a="1"/>
  <c r="AJ75" i="4" s="1"/>
  <c r="AB75" i="4"/>
  <c r="AI75" i="4" s="1" a="1"/>
  <c r="AI75" i="4" s="1"/>
  <c r="AC72" i="4"/>
  <c r="AJ72" i="4" s="1" a="1"/>
  <c r="AJ72" i="4" s="1"/>
  <c r="AE71" i="4"/>
  <c r="AL71" i="4" s="1" a="1"/>
  <c r="AL71" i="4" s="1"/>
  <c r="AA67" i="4"/>
  <c r="AH67" i="4" s="1" a="1"/>
  <c r="AH67" i="4" s="1"/>
  <c r="AC66" i="4"/>
  <c r="AJ66" i="4" s="1" a="1"/>
  <c r="AJ66" i="4" s="1"/>
  <c r="AA75" i="4"/>
  <c r="AH75" i="4" s="1" a="1"/>
  <c r="AH75" i="4" s="1"/>
  <c r="AE73" i="4"/>
  <c r="AL73" i="4" s="1" a="1"/>
  <c r="AL73" i="4" s="1"/>
  <c r="Z71" i="4"/>
  <c r="AG71" i="4" s="1" a="1"/>
  <c r="AG71" i="4" s="1"/>
  <c r="AB70" i="4"/>
  <c r="AI70" i="4" s="1" a="1"/>
  <c r="AI70" i="4" s="1"/>
  <c r="AA76" i="4"/>
  <c r="AH76" i="4" s="1" a="1"/>
  <c r="AH76" i="4" s="1"/>
  <c r="Z76" i="4"/>
  <c r="AG76" i="4" s="1" a="1"/>
  <c r="AG76" i="4" s="1"/>
  <c r="Z70" i="4"/>
  <c r="AG70" i="4" s="1" a="1"/>
  <c r="AG70" i="4" s="1"/>
  <c r="AB69" i="4"/>
  <c r="AI69" i="4" s="1" a="1"/>
  <c r="AI69" i="4" s="1"/>
  <c r="AD74" i="4"/>
  <c r="AK74" i="4" s="1" a="1"/>
  <c r="AK74" i="4" s="1"/>
  <c r="AA69" i="4"/>
  <c r="AH69" i="4" s="1" a="1"/>
  <c r="AH69" i="4" s="1"/>
  <c r="AC68" i="4"/>
  <c r="AJ68" i="4" s="1" a="1"/>
  <c r="AJ68" i="4" s="1"/>
  <c r="AE67" i="4"/>
  <c r="AL67" i="4" s="1" a="1"/>
  <c r="AL67" i="4" s="1"/>
  <c r="AC74" i="4"/>
  <c r="AJ74" i="4" s="1" a="1"/>
  <c r="AJ74" i="4" s="1"/>
  <c r="Z69" i="4"/>
  <c r="AG69" i="4" s="1" a="1"/>
  <c r="AG69" i="4" s="1"/>
  <c r="AB68" i="4"/>
  <c r="AI68" i="4" s="1" a="1"/>
  <c r="AI68" i="4" s="1"/>
  <c r="AA62" i="4"/>
  <c r="AH62" i="4" s="1" a="1"/>
  <c r="AH62" i="4" s="1"/>
  <c r="AC61" i="4"/>
  <c r="AJ61" i="4" s="1" a="1"/>
  <c r="AJ61" i="4" s="1"/>
  <c r="AE66" i="4"/>
  <c r="AL66" i="4" s="1" a="1"/>
  <c r="AL66" i="4" s="1"/>
  <c r="AE65" i="4"/>
  <c r="AL65" i="4" s="1" a="1"/>
  <c r="AL65" i="4" s="1"/>
  <c r="Z65" i="4"/>
  <c r="AG65" i="4" s="1" a="1"/>
  <c r="AG65" i="4" s="1"/>
  <c r="Z64" i="4"/>
  <c r="AG64" i="4" s="1" a="1"/>
  <c r="AG64" i="4" s="1"/>
  <c r="AA59" i="4"/>
  <c r="AH59" i="4" s="1" a="1"/>
  <c r="AH59" i="4" s="1"/>
  <c r="AD63" i="4"/>
  <c r="AK63" i="4" s="1" a="1"/>
  <c r="AK63" i="4" s="1"/>
  <c r="Z59" i="4"/>
  <c r="AG59" i="4" s="1" a="1"/>
  <c r="AG59" i="4" s="1"/>
  <c r="AB58" i="4"/>
  <c r="AI58" i="4" s="1" a="1"/>
  <c r="AI58" i="4" s="1"/>
  <c r="AD57" i="4"/>
  <c r="AK57" i="4" s="1" a="1"/>
  <c r="AK57" i="4" s="1"/>
  <c r="AC63" i="4"/>
  <c r="AJ63" i="4" s="1" a="1"/>
  <c r="AJ63" i="4" s="1"/>
  <c r="AE62" i="4"/>
  <c r="AL62" i="4" s="1" a="1"/>
  <c r="AL62" i="4" s="1"/>
  <c r="AB63" i="4"/>
  <c r="AI63" i="4" s="1" a="1"/>
  <c r="AI63" i="4" s="1"/>
  <c r="Z58" i="4"/>
  <c r="AG58" i="4" s="1" a="1"/>
  <c r="AG58" i="4" s="1"/>
  <c r="AB57" i="4"/>
  <c r="AI57" i="4" s="1" a="1"/>
  <c r="AI57" i="4" s="1"/>
  <c r="Z63" i="4"/>
  <c r="AG63" i="4" s="1" a="1"/>
  <c r="AG63" i="4" s="1"/>
  <c r="AE55" i="4"/>
  <c r="AL55" i="4" s="1" a="1"/>
  <c r="AL55" i="4" s="1"/>
  <c r="AD55" i="4"/>
  <c r="AK55" i="4" s="1" a="1"/>
  <c r="AK55" i="4" s="1"/>
  <c r="AC62" i="4"/>
  <c r="AJ62" i="4" s="1" a="1"/>
  <c r="AJ62" i="4" s="1"/>
  <c r="AC55" i="4"/>
  <c r="AJ55" i="4" s="1" a="1"/>
  <c r="AJ55" i="4" s="1"/>
  <c r="AB62" i="4"/>
  <c r="AI62" i="4" s="1" a="1"/>
  <c r="AI62" i="4" s="1"/>
  <c r="AA50" i="4"/>
  <c r="AH50" i="4" s="1" a="1"/>
  <c r="AH50" i="4" s="1"/>
  <c r="AC49" i="4"/>
  <c r="AJ49" i="4" s="1" a="1"/>
  <c r="AJ49" i="4" s="1"/>
  <c r="AE61" i="4"/>
  <c r="AL61" i="4" s="1" a="1"/>
  <c r="AL61" i="4" s="1"/>
  <c r="AC57" i="4"/>
  <c r="AJ57" i="4" s="1" a="1"/>
  <c r="AJ57" i="4" s="1"/>
  <c r="AE56" i="4"/>
  <c r="AL56" i="4" s="1" a="1"/>
  <c r="AL56" i="4" s="1"/>
  <c r="AD61" i="4"/>
  <c r="AK61" i="4" s="1" a="1"/>
  <c r="AK61" i="4" s="1"/>
  <c r="AA58" i="4"/>
  <c r="AH58" i="4" s="1" a="1"/>
  <c r="AH58" i="4" s="1"/>
  <c r="AA57" i="4"/>
  <c r="AH57" i="4" s="1" a="1"/>
  <c r="AH57" i="4" s="1"/>
  <c r="AC56" i="4"/>
  <c r="AJ56" i="4" s="1" a="1"/>
  <c r="AJ56" i="4" s="1"/>
  <c r="AD53" i="4"/>
  <c r="AK53" i="4" s="1" a="1"/>
  <c r="AK53" i="4" s="1"/>
  <c r="Z49" i="4"/>
  <c r="AG49" i="4" s="1" a="1"/>
  <c r="AG49" i="4" s="1"/>
  <c r="Z57" i="4"/>
  <c r="AG57" i="4" s="1" a="1"/>
  <c r="AG57" i="4" s="1"/>
  <c r="AB56" i="4"/>
  <c r="AI56" i="4" s="1" a="1"/>
  <c r="AI56" i="4" s="1"/>
  <c r="AC53" i="4"/>
  <c r="AJ53" i="4" s="1" a="1"/>
  <c r="AJ53" i="4" s="1"/>
  <c r="AE52" i="4"/>
  <c r="AL52" i="4" s="1" a="1"/>
  <c r="AL52" i="4" s="1"/>
  <c r="AA56" i="4"/>
  <c r="AH56" i="4" s="1" a="1"/>
  <c r="AH56" i="4" s="1"/>
  <c r="AB53" i="4"/>
  <c r="AI53" i="4" s="1" a="1"/>
  <c r="AI53" i="4" s="1"/>
  <c r="AD52" i="4"/>
  <c r="AK52" i="4" s="1" a="1"/>
  <c r="AK52" i="4" s="1"/>
  <c r="AA53" i="4"/>
  <c r="AH53" i="4" s="1" a="1"/>
  <c r="AH53" i="4" s="1"/>
  <c r="AE54" i="4"/>
  <c r="AL54" i="4" s="1" a="1"/>
  <c r="AL54" i="4" s="1"/>
  <c r="AE50" i="4"/>
  <c r="AL50" i="4" s="1" a="1"/>
  <c r="AL50" i="4" s="1"/>
  <c r="AD47" i="4"/>
  <c r="AK47" i="4" s="1" a="1"/>
  <c r="AK47" i="4" s="1"/>
  <c r="AA42" i="4"/>
  <c r="AH42" i="4" s="1" a="1"/>
  <c r="AH42" i="4" s="1"/>
  <c r="AC47" i="4"/>
  <c r="AJ47" i="4" s="1" a="1"/>
  <c r="AJ47" i="4" s="1"/>
  <c r="Z42" i="4"/>
  <c r="AG42" i="4" s="1" a="1"/>
  <c r="AG42" i="4" s="1"/>
  <c r="AB41" i="4"/>
  <c r="AI41" i="4" s="1" a="1"/>
  <c r="AI41" i="4" s="1"/>
  <c r="AB48" i="4"/>
  <c r="AI48" i="4" s="1" a="1"/>
  <c r="AI48" i="4" s="1"/>
  <c r="AB47" i="4"/>
  <c r="AI47" i="4" s="1" a="1"/>
  <c r="AI47" i="4" s="1"/>
  <c r="Z53" i="4"/>
  <c r="AG53" i="4" s="1" a="1"/>
  <c r="AG53" i="4" s="1"/>
  <c r="AA48" i="4"/>
  <c r="AH48" i="4" s="1" a="1"/>
  <c r="AH48" i="4" s="1"/>
  <c r="Z47" i="4"/>
  <c r="AG47" i="4" s="1" a="1"/>
  <c r="AG47" i="4" s="1"/>
  <c r="Z48" i="4"/>
  <c r="AG48" i="4" s="1" a="1"/>
  <c r="AG48" i="4" s="1"/>
  <c r="AE46" i="4"/>
  <c r="AL46" i="4" s="1" a="1"/>
  <c r="AL46" i="4" s="1"/>
  <c r="AC45" i="4"/>
  <c r="AJ45" i="4" s="1" a="1"/>
  <c r="AJ45" i="4" s="1"/>
  <c r="AE44" i="4"/>
  <c r="AL44" i="4" s="1" a="1"/>
  <c r="AL44" i="4" s="1"/>
  <c r="AA40" i="4"/>
  <c r="AH40" i="4" s="1" a="1"/>
  <c r="AH40" i="4" s="1"/>
  <c r="AB52" i="4"/>
  <c r="AI52" i="4" s="1" a="1"/>
  <c r="AI52" i="4" s="1"/>
  <c r="AD46" i="4"/>
  <c r="AK46" i="4" s="1" a="1"/>
  <c r="AK46" i="4" s="1"/>
  <c r="AB45" i="4"/>
  <c r="AI45" i="4" s="1" a="1"/>
  <c r="AI45" i="4" s="1"/>
  <c r="Z40" i="4"/>
  <c r="AG40" i="4" s="1" a="1"/>
  <c r="AG40" i="4" s="1"/>
  <c r="AA63" i="4"/>
  <c r="AH63" i="4" s="1" a="1"/>
  <c r="AH63" i="4" s="1"/>
  <c r="AA52" i="4"/>
  <c r="AH52" i="4" s="1" a="1"/>
  <c r="AH52" i="4" s="1"/>
  <c r="AC46" i="4"/>
  <c r="AJ46" i="4" s="1" a="1"/>
  <c r="AJ46" i="4" s="1"/>
  <c r="AA45" i="4"/>
  <c r="AH45" i="4" s="1" a="1"/>
  <c r="AH45" i="4" s="1"/>
  <c r="AC44" i="4"/>
  <c r="AJ44" i="4" s="1" a="1"/>
  <c r="AJ44" i="4" s="1"/>
  <c r="AB46" i="4"/>
  <c r="AI46" i="4" s="1" a="1"/>
  <c r="AI46" i="4" s="1"/>
  <c r="Z44" i="4"/>
  <c r="AG44" i="4" s="1" a="1"/>
  <c r="AG44" i="4" s="1"/>
  <c r="AD38" i="4"/>
  <c r="AK38" i="4" s="1" a="1"/>
  <c r="AK38" i="4" s="1"/>
  <c r="Z34" i="4"/>
  <c r="AG34" i="4" s="1" a="1"/>
  <c r="AG34" i="4" s="1"/>
  <c r="AB33" i="4"/>
  <c r="AI33" i="4" s="1" a="1"/>
  <c r="AI33" i="4" s="1"/>
  <c r="AD32" i="4"/>
  <c r="AK32" i="4" s="1" a="1"/>
  <c r="AK32" i="4" s="1"/>
  <c r="AA33" i="4"/>
  <c r="AH33" i="4" s="1" a="1"/>
  <c r="AH33" i="4" s="1"/>
  <c r="AC41" i="4"/>
  <c r="AJ41" i="4" s="1" a="1"/>
  <c r="AJ41" i="4" s="1"/>
  <c r="AC43" i="4"/>
  <c r="AJ43" i="4" s="1" a="1"/>
  <c r="AJ43" i="4" s="1"/>
  <c r="AD51" i="4"/>
  <c r="AK51" i="4" s="1" a="1"/>
  <c r="AK51" i="4" s="1"/>
  <c r="AB43" i="4"/>
  <c r="AI43" i="4" s="1" a="1"/>
  <c r="AI43" i="4" s="1"/>
  <c r="AC51" i="4"/>
  <c r="AJ51" i="4" s="1" a="1"/>
  <c r="AJ51" i="4" s="1"/>
  <c r="AE42" i="4"/>
  <c r="AL42" i="4" s="1" a="1"/>
  <c r="AL42" i="4" s="1"/>
  <c r="AA36" i="4"/>
  <c r="AH36" i="4" s="1" a="1"/>
  <c r="AH36" i="4" s="1"/>
  <c r="AC35" i="4"/>
  <c r="AJ35" i="4" s="1" a="1"/>
  <c r="AJ35" i="4" s="1"/>
  <c r="AD42" i="4"/>
  <c r="AK42" i="4" s="1" a="1"/>
  <c r="AK42" i="4" s="1"/>
  <c r="AD39" i="4"/>
  <c r="AK39" i="4" s="1" a="1"/>
  <c r="AK39" i="4" s="1"/>
  <c r="Z36" i="4"/>
  <c r="AG36" i="4" s="1" a="1"/>
  <c r="AG36" i="4" s="1"/>
  <c r="AB35" i="4"/>
  <c r="AI35" i="4" s="1" a="1"/>
  <c r="AI35" i="4" s="1"/>
  <c r="AA46" i="4"/>
  <c r="AH46" i="4" s="1" a="1"/>
  <c r="AH46" i="4" s="1"/>
  <c r="AC39" i="4"/>
  <c r="AJ39" i="4" s="1" a="1"/>
  <c r="AJ39" i="4" s="1"/>
  <c r="AA35" i="4"/>
  <c r="AH35" i="4" s="1" a="1"/>
  <c r="AH35" i="4" s="1"/>
  <c r="AE38" i="4"/>
  <c r="AL38" i="4" s="1" a="1"/>
  <c r="AL38" i="4" s="1"/>
  <c r="Z29" i="4"/>
  <c r="AG29" i="4" s="1" a="1"/>
  <c r="AG29" i="4" s="1"/>
  <c r="Z46" i="4"/>
  <c r="AG46" i="4" s="1" a="1"/>
  <c r="AG46" i="4" s="1"/>
  <c r="AB39" i="4"/>
  <c r="AI39" i="4" s="1" a="1"/>
  <c r="AI39" i="4" s="1"/>
  <c r="AA39" i="4"/>
  <c r="AH39" i="4" s="1" a="1"/>
  <c r="AH39" i="4" s="1"/>
  <c r="AC34" i="4"/>
  <c r="AJ34" i="4" s="1" a="1"/>
  <c r="AJ34" i="4" s="1"/>
  <c r="AE33" i="4"/>
  <c r="AL33" i="4" s="1" a="1"/>
  <c r="AL33" i="4" s="1"/>
  <c r="AE32" i="4"/>
  <c r="AL32" i="4" s="1" a="1"/>
  <c r="AL32" i="4" s="1"/>
  <c r="AB34" i="4"/>
  <c r="AI34" i="4" s="1" a="1"/>
  <c r="AI34" i="4" s="1"/>
  <c r="AD33" i="4"/>
  <c r="AK33" i="4" s="1" a="1"/>
  <c r="AK33" i="4" s="1"/>
  <c r="AA34" i="4"/>
  <c r="AH34" i="4" s="1" a="1"/>
  <c r="AH34" i="4" s="1"/>
  <c r="AC33" i="4"/>
  <c r="AJ33" i="4" s="1" a="1"/>
  <c r="AJ33" i="4" s="1"/>
  <c r="AB29" i="4"/>
  <c r="AI29" i="4" s="1" a="1"/>
  <c r="AI29" i="4" s="1"/>
  <c r="AA27" i="4"/>
  <c r="AH27" i="4" s="1" a="1"/>
  <c r="AH27" i="4" s="1"/>
  <c r="AA25" i="4"/>
  <c r="AH25" i="4" s="1" a="1"/>
  <c r="AH25" i="4" s="1"/>
  <c r="AA29" i="4"/>
  <c r="AH29" i="4" s="1" a="1"/>
  <c r="AH29" i="4" s="1"/>
  <c r="AD26" i="4"/>
  <c r="AK26" i="4" s="1" a="1"/>
  <c r="AK26" i="4" s="1"/>
  <c r="Z21" i="4"/>
  <c r="AG21" i="4" s="1" a="1"/>
  <c r="AG21" i="4" s="1"/>
  <c r="Z14" i="4"/>
  <c r="AG14" i="4" s="1" a="1"/>
  <c r="AG14" i="4" s="1"/>
  <c r="AA13" i="4"/>
  <c r="AH13" i="4" s="1" a="1"/>
  <c r="AH13" i="4" s="1"/>
  <c r="AA44" i="4"/>
  <c r="AH44" i="4" s="1" a="1"/>
  <c r="AH44" i="4" s="1"/>
  <c r="AC26" i="4"/>
  <c r="AJ26" i="4" s="1" a="1"/>
  <c r="AJ26" i="4" s="1"/>
  <c r="AA20" i="4"/>
  <c r="AH20" i="4" s="1" a="1"/>
  <c r="AH20" i="4" s="1"/>
  <c r="AC19" i="4"/>
  <c r="AJ19" i="4" s="1" a="1"/>
  <c r="AJ19" i="4" s="1"/>
  <c r="AE18" i="4"/>
  <c r="AL18" i="4" s="1" a="1"/>
  <c r="AL18" i="4" s="1"/>
  <c r="Z13" i="4"/>
  <c r="AG13" i="4" s="1" a="1"/>
  <c r="AG13" i="4" s="1"/>
  <c r="AA12" i="4"/>
  <c r="AH12" i="4" s="1" a="1"/>
  <c r="AH12" i="4" s="1"/>
  <c r="AB11" i="4"/>
  <c r="AI11" i="4" s="1" a="1"/>
  <c r="AI11" i="4" s="1"/>
  <c r="AC10" i="4"/>
  <c r="AJ10" i="4" s="1" a="1"/>
  <c r="AJ10" i="4" s="1"/>
  <c r="AA26" i="4"/>
  <c r="AH26" i="4" s="1" a="1"/>
  <c r="AH26" i="4" s="1"/>
  <c r="Z28" i="4"/>
  <c r="AG28" i="4" s="1" a="1"/>
  <c r="AG28" i="4" s="1"/>
  <c r="Z26" i="4"/>
  <c r="AG26" i="4" s="1" a="1"/>
  <c r="AG26" i="4" s="1"/>
  <c r="AD23" i="4"/>
  <c r="AK23" i="4" s="1" a="1"/>
  <c r="AK23" i="4" s="1"/>
  <c r="Z19" i="4"/>
  <c r="AG19" i="4" s="1" a="1"/>
  <c r="AG19" i="4" s="1"/>
  <c r="AB18" i="4"/>
  <c r="AI18" i="4" s="1" a="1"/>
  <c r="AI18" i="4" s="1"/>
  <c r="AD17" i="4"/>
  <c r="AK17" i="4" s="1" a="1"/>
  <c r="AK17" i="4" s="1"/>
  <c r="AC23" i="4"/>
  <c r="AJ23" i="4" s="1" a="1"/>
  <c r="AJ23" i="4" s="1"/>
  <c r="AE22" i="4"/>
  <c r="AL22" i="4" s="1" a="1"/>
  <c r="AL22" i="4" s="1"/>
  <c r="AA18" i="4"/>
  <c r="AH18" i="4" s="1" a="1"/>
  <c r="AH18" i="4" s="1"/>
  <c r="AC17" i="4"/>
  <c r="AJ17" i="4" s="1" a="1"/>
  <c r="AJ17" i="4" s="1"/>
  <c r="AE16" i="4"/>
  <c r="AL16" i="4" s="1" a="1"/>
  <c r="AL16" i="4" s="1"/>
  <c r="Z35" i="4"/>
  <c r="AG35" i="4" s="1" a="1"/>
  <c r="AG35" i="4" s="1"/>
  <c r="AE25" i="4"/>
  <c r="AL25" i="4" s="1" a="1"/>
  <c r="AL25" i="4" s="1"/>
  <c r="AE24" i="4"/>
  <c r="AL24" i="4" s="1" a="1"/>
  <c r="AL24" i="4" s="1"/>
  <c r="Z18" i="4"/>
  <c r="AG18" i="4" s="1" a="1"/>
  <c r="AG18" i="4" s="1"/>
  <c r="AB17" i="4"/>
  <c r="AI17" i="4" s="1" a="1"/>
  <c r="AI17" i="4" s="1"/>
  <c r="AD25" i="4"/>
  <c r="AK25" i="4" s="1" a="1"/>
  <c r="AK25" i="4" s="1"/>
  <c r="AD24" i="4"/>
  <c r="AK24" i="4" s="1" a="1"/>
  <c r="AK24" i="4" s="1"/>
  <c r="AB27" i="4"/>
  <c r="AI27" i="4" s="1" a="1"/>
  <c r="AI27" i="4" s="1"/>
  <c r="AA22" i="4"/>
  <c r="AH22" i="4" s="1" a="1"/>
  <c r="AH22" i="4" s="1"/>
  <c r="AC8" i="4"/>
  <c r="AJ8" i="4" s="1" a="1"/>
  <c r="AJ8" i="4" s="1"/>
  <c r="AA6" i="4"/>
  <c r="AH6" i="4" s="1" a="1"/>
  <c r="AH6" i="4" s="1"/>
  <c r="AD14" i="4"/>
  <c r="AK14" i="4" s="1" a="1"/>
  <c r="AK14" i="4" s="1"/>
  <c r="AB8" i="4"/>
  <c r="AI8" i="4" s="1" a="1"/>
  <c r="AI8" i="4" s="1"/>
  <c r="Z10" i="4"/>
  <c r="AG10" i="4" s="1" a="1"/>
  <c r="AG10" i="4" s="1"/>
  <c r="AD21" i="4"/>
  <c r="AK21" i="4" s="1" a="1"/>
  <c r="AK21" i="4" s="1"/>
  <c r="AE20" i="4"/>
  <c r="AL20" i="4" s="1" a="1"/>
  <c r="AL20" i="4" s="1"/>
  <c r="Z17" i="4"/>
  <c r="AG17" i="4" s="1" a="1"/>
  <c r="AG17" i="4" s="1"/>
  <c r="AC14" i="4"/>
  <c r="AJ14" i="4" s="1" a="1"/>
  <c r="AJ14" i="4" s="1"/>
  <c r="AD9" i="4"/>
  <c r="AK9" i="4" s="1" a="1"/>
  <c r="AK9" i="4" s="1"/>
  <c r="AB6" i="4"/>
  <c r="AI6" i="4" s="1" a="1"/>
  <c r="AI6" i="4" s="1"/>
  <c r="AD8" i="4"/>
  <c r="AK8" i="4" s="1" a="1"/>
  <c r="AK8" i="4" s="1"/>
  <c r="Z6" i="4"/>
  <c r="AG6" i="4" s="1" a="1"/>
  <c r="AG6" i="4" s="1"/>
  <c r="AC21" i="4"/>
  <c r="AJ21" i="4" s="1" a="1"/>
  <c r="AJ21" i="4" s="1"/>
  <c r="AB16" i="4"/>
  <c r="AI16" i="4" s="1" a="1"/>
  <c r="AI16" i="4" s="1"/>
  <c r="AE13" i="4"/>
  <c r="AL13" i="4" s="1" a="1"/>
  <c r="AL13" i="4" s="1"/>
  <c r="AA9" i="4"/>
  <c r="AH9" i="4" s="1" a="1"/>
  <c r="AH9" i="4" s="1"/>
  <c r="Z8" i="4"/>
  <c r="AG8" i="4" s="1" a="1"/>
  <c r="AG8" i="4" s="1"/>
  <c r="AD7" i="4"/>
  <c r="AK7" i="4" s="1" a="1"/>
  <c r="AK7" i="4" s="1"/>
  <c r="AC7" i="4"/>
  <c r="AJ7" i="4" s="1" a="1"/>
  <c r="AJ7" i="4" s="1"/>
  <c r="AA16" i="4"/>
  <c r="AH16" i="4" s="1" a="1"/>
  <c r="AH16" i="4" s="1"/>
  <c r="AD13" i="4"/>
  <c r="AK13" i="4" s="1" a="1"/>
  <c r="AK13" i="4" s="1"/>
  <c r="Z9" i="4"/>
  <c r="AG9" i="4" s="1" a="1"/>
  <c r="AG9" i="4" s="1"/>
  <c r="AB7" i="4"/>
  <c r="AI7" i="4" s="1" a="1"/>
  <c r="AI7" i="4" s="1"/>
  <c r="AA5" i="4"/>
  <c r="AH5" i="4" s="1" a="1"/>
  <c r="AH5" i="4" s="1"/>
  <c r="AC5" i="4"/>
  <c r="AJ5" i="4" s="1" a="1"/>
  <c r="AJ5" i="4" s="1"/>
  <c r="Z23" i="4"/>
  <c r="AG23" i="4" s="1" a="1"/>
  <c r="AG23" i="4" s="1"/>
  <c r="AC29" i="4"/>
  <c r="AJ29" i="4" s="1" a="1"/>
  <c r="AJ29" i="4" s="1"/>
  <c r="AE6" i="4"/>
  <c r="AL6" i="4" s="1" a="1"/>
  <c r="AL6" i="4" s="1"/>
  <c r="AB24" i="4"/>
  <c r="AI24" i="4" s="1" a="1"/>
  <c r="AI24" i="4" s="1"/>
  <c r="AC25" i="4"/>
  <c r="AJ25" i="4" s="1" a="1"/>
  <c r="AJ25" i="4" s="1"/>
  <c r="AC15" i="4"/>
  <c r="AJ15" i="4" s="1" a="1"/>
  <c r="AJ15" i="4" s="1"/>
  <c r="AB5" i="4"/>
  <c r="AI5" i="4" s="1" a="1"/>
  <c r="AI5" i="4" s="1"/>
  <c r="AE12" i="4"/>
  <c r="AL12" i="4" s="1" a="1"/>
  <c r="AL12" i="4" s="1"/>
  <c r="AB25" i="4"/>
  <c r="AI25" i="4" s="1" a="1"/>
  <c r="AI25" i="4" s="1"/>
  <c r="AC24" i="4"/>
  <c r="AJ24" i="4" s="1" a="1"/>
  <c r="AJ24" i="4" s="1"/>
  <c r="AB15" i="4"/>
  <c r="AI15" i="4" s="1" a="1"/>
  <c r="AI15" i="4" s="1"/>
  <c r="AB22" i="4"/>
  <c r="AI22" i="4" s="1" a="1"/>
  <c r="AI22" i="4" s="1"/>
  <c r="Z16" i="4"/>
  <c r="AG16" i="4" s="1" a="1"/>
  <c r="AG16" i="4" s="1"/>
  <c r="AA14" i="4"/>
  <c r="AH14" i="4" s="1" a="1"/>
  <c r="AH14" i="4" s="1"/>
  <c r="AE30" i="4"/>
  <c r="AL30" i="4" s="1" a="1"/>
  <c r="AL30" i="4" s="1"/>
  <c r="AE9" i="4"/>
  <c r="AL9" i="4" s="1" a="1"/>
  <c r="AL9" i="4" s="1"/>
  <c r="AE11" i="4"/>
  <c r="AL11" i="4" s="1" a="1"/>
  <c r="AL11" i="4" s="1"/>
  <c r="AC20" i="4"/>
  <c r="AJ20" i="4" s="1" a="1"/>
  <c r="AJ20" i="4" s="1"/>
  <c r="AD22" i="4"/>
  <c r="AK22" i="4" s="1" a="1"/>
  <c r="AK22" i="4" s="1"/>
  <c r="AE40" i="4"/>
  <c r="AL40" i="4" s="1" a="1"/>
  <c r="AL40" i="4" s="1"/>
  <c r="AA38" i="4"/>
  <c r="AH38" i="4" s="1" a="1"/>
  <c r="AH38" i="4" s="1"/>
  <c r="Z31" i="4"/>
  <c r="AG31" i="4" s="1" a="1"/>
  <c r="AG31" i="4" s="1"/>
  <c r="Z37" i="4"/>
  <c r="AG37" i="4" s="1" a="1"/>
  <c r="AG37" i="4" s="1"/>
  <c r="AB36" i="4"/>
  <c r="AI36" i="4" s="1" a="1"/>
  <c r="AI36" i="4" s="1"/>
  <c r="AB51" i="4"/>
  <c r="AI51" i="4" s="1" a="1"/>
  <c r="AI51" i="4" s="1"/>
  <c r="AC58" i="4"/>
  <c r="AJ58" i="4" s="1" a="1"/>
  <c r="AJ58" i="4" s="1"/>
  <c r="Z62" i="4"/>
  <c r="AG62" i="4" s="1" a="1"/>
  <c r="AG62" i="4" s="1"/>
  <c r="AD71" i="4"/>
  <c r="AK71" i="4" s="1" a="1"/>
  <c r="AK71" i="4" s="1"/>
  <c r="AD66" i="4"/>
  <c r="AK66" i="4" s="1" a="1"/>
  <c r="AK66" i="4" s="1"/>
  <c r="AC78" i="4"/>
  <c r="AJ78" i="4" s="1" a="1"/>
  <c r="AJ78" i="4" s="1"/>
  <c r="AD78" i="4"/>
  <c r="AK78" i="4" s="1" a="1"/>
  <c r="AK78" i="4" s="1"/>
  <c r="Z80" i="4"/>
  <c r="AG80" i="4" s="1" a="1"/>
  <c r="AG80" i="4" s="1"/>
  <c r="AA81" i="4"/>
  <c r="AH81" i="4" s="1" a="1"/>
  <c r="AH81" i="4" s="1"/>
  <c r="AB87" i="4"/>
  <c r="AI87" i="4" s="1" a="1"/>
  <c r="AI87" i="4" s="1"/>
  <c r="AA86" i="4"/>
  <c r="AH86" i="4" s="1" a="1"/>
  <c r="AH86" i="4" s="1"/>
  <c r="AB88" i="4"/>
  <c r="AI88" i="4" s="1" a="1"/>
  <c r="AI88" i="4" s="1"/>
  <c r="AB90" i="4"/>
  <c r="AI90" i="4" s="1" a="1"/>
  <c r="AI90" i="4" s="1"/>
  <c r="AC103" i="4"/>
  <c r="AJ103" i="4" s="1" a="1"/>
  <c r="AJ103" i="4" s="1"/>
  <c r="AE100" i="4"/>
  <c r="AL100" i="4" s="1" a="1"/>
  <c r="AL100" i="4" s="1"/>
  <c r="AA8" i="4"/>
  <c r="AH8" i="4" s="1" a="1"/>
  <c r="AH8" i="4" s="1"/>
  <c r="Z20" i="4"/>
  <c r="AG20" i="4" s="1" a="1"/>
  <c r="AG20" i="4" s="1"/>
  <c r="AC11" i="4"/>
  <c r="AJ11" i="4" s="1" a="1"/>
  <c r="AJ11" i="4" s="1"/>
  <c r="AB21" i="4"/>
  <c r="AI21" i="4" s="1" a="1"/>
  <c r="AI21" i="4" s="1"/>
  <c r="AD11" i="4"/>
  <c r="AK11" i="4" s="1" a="1"/>
  <c r="AK11" i="4" s="1"/>
  <c r="AD28" i="4"/>
  <c r="AK28" i="4" s="1" a="1"/>
  <c r="AK28" i="4" s="1"/>
  <c r="AE17" i="4"/>
  <c r="AL17" i="4" s="1" a="1"/>
  <c r="AL17" i="4" s="1"/>
  <c r="AD30" i="4"/>
  <c r="AK30" i="4" s="1" a="1"/>
  <c r="AK30" i="4" s="1"/>
  <c r="AE26" i="4"/>
  <c r="AL26" i="4" s="1" a="1"/>
  <c r="AL26" i="4" s="1"/>
  <c r="AC27" i="4"/>
  <c r="AJ27" i="4" s="1" a="1"/>
  <c r="AJ27" i="4" s="1"/>
  <c r="AE43" i="4"/>
  <c r="AL43" i="4" s="1" a="1"/>
  <c r="AL43" i="4" s="1"/>
  <c r="Z45" i="4"/>
  <c r="AG45" i="4" s="1" a="1"/>
  <c r="AG45" i="4" s="1"/>
  <c r="AC48" i="4"/>
  <c r="AJ48" i="4" s="1" a="1"/>
  <c r="AJ48" i="4" s="1"/>
  <c r="AE49" i="4"/>
  <c r="AL49" i="4" s="1" a="1"/>
  <c r="AL49" i="4" s="1"/>
  <c r="AD64" i="4"/>
  <c r="AK64" i="4" s="1" a="1"/>
  <c r="AK64" i="4" s="1"/>
  <c r="AE58" i="4"/>
  <c r="AL58" i="4" s="1" a="1"/>
  <c r="AL58" i="4" s="1"/>
  <c r="AE59" i="4"/>
  <c r="AL59" i="4" s="1" a="1"/>
  <c r="AL59" i="4" s="1"/>
  <c r="Z61" i="4"/>
  <c r="AG61" i="4" s="1" a="1"/>
  <c r="AG61" i="4" s="1"/>
  <c r="AA65" i="4"/>
  <c r="AH65" i="4" s="1" a="1"/>
  <c r="AH65" i="4" s="1"/>
  <c r="AC69" i="4"/>
  <c r="AJ69" i="4" s="1" a="1"/>
  <c r="AJ69" i="4" s="1"/>
  <c r="AB74" i="4"/>
  <c r="AI74" i="4" s="1" a="1"/>
  <c r="AI74" i="4" s="1"/>
  <c r="AE84" i="4"/>
  <c r="AL84" i="4" s="1" a="1"/>
  <c r="AL84" i="4" s="1"/>
  <c r="AA91" i="4"/>
  <c r="AH91" i="4" s="1" a="1"/>
  <c r="AH91" i="4" s="1"/>
  <c r="AD101" i="4"/>
  <c r="AK101" i="4" s="1" a="1"/>
  <c r="AK101" i="4" s="1"/>
  <c r="AB102" i="4"/>
  <c r="AI102" i="4" s="1" a="1"/>
  <c r="AI102" i="4" s="1"/>
  <c r="AA96" i="4"/>
  <c r="AH96" i="4" s="1" a="1"/>
  <c r="AH96" i="4" s="1"/>
  <c r="AD96" i="4"/>
  <c r="AK96" i="4" s="1" a="1"/>
  <c r="AK96" i="4" s="1"/>
  <c r="AB9" i="4"/>
  <c r="AI9" i="4" s="1" a="1"/>
  <c r="AI9" i="4" s="1"/>
  <c r="AD20" i="4"/>
  <c r="AK20" i="4" s="1" a="1"/>
  <c r="AK20" i="4" s="1"/>
  <c r="AB23" i="4"/>
  <c r="AI23" i="4" s="1" a="1"/>
  <c r="AI23" i="4" s="1"/>
  <c r="AB32" i="4"/>
  <c r="AI32" i="4" s="1" a="1"/>
  <c r="AI32" i="4" s="1"/>
  <c r="AE37" i="4"/>
  <c r="AL37" i="4" s="1" a="1"/>
  <c r="AL37" i="4" s="1"/>
  <c r="Z30" i="4"/>
  <c r="AG30" i="4" s="1" a="1"/>
  <c r="AG30" i="4" s="1"/>
  <c r="AE29" i="4"/>
  <c r="AL29" i="4" s="1" a="1"/>
  <c r="AL29" i="4" s="1"/>
  <c r="AC42" i="4"/>
  <c r="AJ42" i="4" s="1" a="1"/>
  <c r="AJ42" i="4" s="1"/>
  <c r="AE39" i="4"/>
  <c r="AL39" i="4" s="1" a="1"/>
  <c r="AL39" i="4" s="1"/>
  <c r="AB37" i="4"/>
  <c r="AI37" i="4" s="1" a="1"/>
  <c r="AI37" i="4" s="1"/>
  <c r="AA32" i="4"/>
  <c r="AH32" i="4" s="1" a="1"/>
  <c r="AH32" i="4" s="1"/>
  <c r="AC37" i="4"/>
  <c r="AJ37" i="4" s="1" a="1"/>
  <c r="AJ37" i="4" s="1"/>
  <c r="AC54" i="4"/>
  <c r="AJ54" i="4" s="1" a="1"/>
  <c r="AJ54" i="4" s="1"/>
  <c r="AC64" i="4"/>
  <c r="AJ64" i="4" s="1" a="1"/>
  <c r="AJ64" i="4" s="1"/>
  <c r="AE57" i="4"/>
  <c r="AL57" i="4" s="1" a="1"/>
  <c r="AL57" i="4" s="1"/>
  <c r="AE63" i="4"/>
  <c r="AL63" i="4" s="1" a="1"/>
  <c r="AL63" i="4" s="1"/>
  <c r="AA66" i="4"/>
  <c r="AH66" i="4" s="1" a="1"/>
  <c r="AH66" i="4" s="1"/>
  <c r="Z73" i="4"/>
  <c r="AG73" i="4" s="1" a="1"/>
  <c r="AG73" i="4" s="1"/>
  <c r="AE70" i="4"/>
  <c r="AL70" i="4" s="1" a="1"/>
  <c r="AL70" i="4" s="1"/>
  <c r="AD76" i="4"/>
  <c r="AK76" i="4" s="1" a="1"/>
  <c r="AK76" i="4" s="1"/>
  <c r="AE82" i="4"/>
  <c r="AL82" i="4" s="1" a="1"/>
  <c r="AL82" i="4" s="1"/>
  <c r="AE76" i="4"/>
  <c r="AL76" i="4" s="1" a="1"/>
  <c r="AL76" i="4" s="1"/>
  <c r="AD79" i="4"/>
  <c r="AK79" i="4" s="1" a="1"/>
  <c r="AK79" i="4" s="1"/>
  <c r="AB86" i="4"/>
  <c r="AI86" i="4" s="1" a="1"/>
  <c r="AI86" i="4" s="1"/>
  <c r="AD84" i="4"/>
  <c r="AK84" i="4" s="1" a="1"/>
  <c r="AK84" i="4" s="1"/>
  <c r="AC85" i="4"/>
  <c r="AJ85" i="4" s="1" a="1"/>
  <c r="AJ85" i="4" s="1"/>
  <c r="Z92" i="4"/>
  <c r="AG92" i="4" s="1" a="1"/>
  <c r="AG92" i="4" s="1"/>
  <c r="AC91" i="4"/>
  <c r="AJ91" i="4" s="1" a="1"/>
  <c r="AJ91" i="4" s="1"/>
  <c r="Z103" i="4"/>
  <c r="AG103" i="4" s="1" a="1"/>
  <c r="AG103" i="4" s="1"/>
  <c r="AE7" i="4"/>
  <c r="AL7" i="4" s="1" a="1"/>
  <c r="AL7" i="4" s="1"/>
  <c r="AB19" i="4"/>
  <c r="AI19" i="4" s="1" a="1"/>
  <c r="AI19" i="4" s="1"/>
  <c r="AB67" i="4"/>
  <c r="AI67" i="4" s="1" a="1"/>
  <c r="AI67" i="4" s="1"/>
  <c r="AA21" i="4"/>
  <c r="AH21" i="4" s="1" a="1"/>
  <c r="AH21" i="4" s="1"/>
  <c r="AB26" i="4"/>
  <c r="AI26" i="4" s="1" a="1"/>
  <c r="AI26" i="4" s="1"/>
  <c r="AC22" i="4"/>
  <c r="AJ22" i="4" s="1" a="1"/>
  <c r="AJ22" i="4" s="1"/>
  <c r="AC18" i="4"/>
  <c r="AJ18" i="4" s="1" a="1"/>
  <c r="AJ18" i="4" s="1"/>
  <c r="AE10" i="4"/>
  <c r="AL10" i="4" s="1" a="1"/>
  <c r="AL10" i="4" s="1"/>
  <c r="AC28" i="4"/>
  <c r="AJ28" i="4" s="1" a="1"/>
  <c r="AJ28" i="4" s="1"/>
  <c r="AE28" i="4"/>
  <c r="AL28" i="4" s="1" a="1"/>
  <c r="AL28" i="4" s="1"/>
  <c r="AB31" i="4"/>
  <c r="AI31" i="4" s="1" a="1"/>
  <c r="AI31" i="4" s="1"/>
  <c r="AA30" i="4"/>
  <c r="AH30" i="4" s="1" a="1"/>
  <c r="AH30" i="4" s="1"/>
  <c r="Z43" i="4"/>
  <c r="AG43" i="4" s="1" a="1"/>
  <c r="AG43" i="4" s="1"/>
  <c r="Z54" i="4"/>
  <c r="AG54" i="4" s="1" a="1"/>
  <c r="AG54" i="4" s="1"/>
  <c r="AC50" i="4"/>
  <c r="AJ50" i="4" s="1" a="1"/>
  <c r="AJ50" i="4" s="1"/>
  <c r="AB64" i="4"/>
  <c r="AI64" i="4" s="1" a="1"/>
  <c r="AI64" i="4" s="1"/>
  <c r="AC59" i="4"/>
  <c r="AJ59" i="4" s="1" a="1"/>
  <c r="AJ59" i="4" s="1"/>
  <c r="AE68" i="4"/>
  <c r="AL68" i="4" s="1" a="1"/>
  <c r="AL68" i="4" s="1"/>
  <c r="AA74" i="4"/>
  <c r="AH74" i="4" s="1" a="1"/>
  <c r="AH74" i="4" s="1"/>
  <c r="AC73" i="4"/>
  <c r="AJ73" i="4" s="1" a="1"/>
  <c r="AJ73" i="4" s="1"/>
  <c r="AC86" i="4"/>
  <c r="AJ86" i="4" s="1" a="1"/>
  <c r="AJ86" i="4" s="1"/>
  <c r="AE83" i="4"/>
  <c r="AL83" i="4" s="1" a="1"/>
  <c r="AL83" i="4" s="1"/>
  <c r="AB85" i="4"/>
  <c r="AI85" i="4" s="1" a="1"/>
  <c r="AI85" i="4" s="1"/>
  <c r="AE93" i="4"/>
  <c r="AL93" i="4" s="1" a="1"/>
  <c r="AL93" i="4" s="1"/>
  <c r="AE89" i="4"/>
  <c r="AL89" i="4" s="1" a="1"/>
  <c r="AL89" i="4" s="1"/>
  <c r="AC95" i="4"/>
  <c r="AJ95" i="4" s="1" a="1"/>
  <c r="AJ95" i="4" s="1"/>
  <c r="AA28" i="4"/>
  <c r="AH28" i="4" s="1" a="1"/>
  <c r="AH28" i="4" s="1"/>
  <c r="AA11" i="4"/>
  <c r="AH11" i="4" s="1" a="1"/>
  <c r="AH11" i="4" s="1"/>
  <c r="AA19" i="4"/>
  <c r="AH19" i="4" s="1" a="1"/>
  <c r="AH19" i="4" s="1"/>
  <c r="Z27" i="4"/>
  <c r="AG27" i="4" s="1" a="1"/>
  <c r="AG27" i="4" s="1"/>
  <c r="Z11" i="4"/>
  <c r="AG11" i="4" s="1" a="1"/>
  <c r="AG11" i="4" s="1"/>
  <c r="AB12" i="4"/>
  <c r="AI12" i="4" s="1" a="1"/>
  <c r="AI12" i="4" s="1"/>
  <c r="AA23" i="4"/>
  <c r="AH23" i="4" s="1" a="1"/>
  <c r="AH23" i="4" s="1"/>
  <c r="AC12" i="4"/>
  <c r="AJ12" i="4" s="1" a="1"/>
  <c r="AJ12" i="4" s="1"/>
  <c r="AD10" i="4"/>
  <c r="AK10" i="4" s="1" a="1"/>
  <c r="AK10" i="4" s="1"/>
  <c r="AB30" i="4"/>
  <c r="AI30" i="4" s="1" a="1"/>
  <c r="AI30" i="4" s="1"/>
  <c r="AE45" i="4"/>
  <c r="AL45" i="4" s="1" a="1"/>
  <c r="AL45" i="4" s="1"/>
  <c r="AC40" i="4"/>
  <c r="AJ40" i="4" s="1" a="1"/>
  <c r="AJ40" i="4" s="1"/>
  <c r="AA49" i="4"/>
  <c r="AH49" i="4" s="1" a="1"/>
  <c r="AH49" i="4" s="1"/>
  <c r="AD44" i="4"/>
  <c r="AK44" i="4" s="1" a="1"/>
  <c r="AK44" i="4" s="1"/>
  <c r="AE48" i="4"/>
  <c r="AL48" i="4" s="1" a="1"/>
  <c r="AL48" i="4" s="1"/>
  <c r="Z60" i="4"/>
  <c r="AG60" i="4" s="1" a="1"/>
  <c r="AG60" i="4" s="1"/>
  <c r="AB60" i="4"/>
  <c r="AI60" i="4" s="1" a="1"/>
  <c r="AI60" i="4" s="1"/>
  <c r="AB59" i="4"/>
  <c r="AI59" i="4" s="1" a="1"/>
  <c r="AI59" i="4" s="1"/>
  <c r="AB65" i="4"/>
  <c r="AI65" i="4" s="1" a="1"/>
  <c r="AI65" i="4" s="1"/>
  <c r="AE64" i="4"/>
  <c r="AL64" i="4" s="1" a="1"/>
  <c r="AL64" i="4" s="1"/>
  <c r="AD69" i="4"/>
  <c r="AK69" i="4" s="1" a="1"/>
  <c r="AK69" i="4" s="1"/>
  <c r="AD77" i="4"/>
  <c r="AK77" i="4" s="1" a="1"/>
  <c r="AK77" i="4" s="1"/>
  <c r="AE78" i="4"/>
  <c r="AL78" i="4" s="1" a="1"/>
  <c r="AL78" i="4" s="1"/>
  <c r="AB77" i="4"/>
  <c r="AI77" i="4" s="1" a="1"/>
  <c r="AI77" i="4" s="1"/>
  <c r="AB89" i="4"/>
  <c r="AI89" i="4" s="1" a="1"/>
  <c r="AI89" i="4" s="1"/>
  <c r="AD87" i="4"/>
  <c r="AK87" i="4" s="1" a="1"/>
  <c r="AK87" i="4" s="1"/>
  <c r="AB81" i="4"/>
  <c r="AI81" i="4" s="1" a="1"/>
  <c r="AI81" i="4" s="1"/>
  <c r="AA102" i="4"/>
  <c r="AH102" i="4" s="1" a="1"/>
  <c r="AH102" i="4" s="1"/>
  <c r="AC90" i="4"/>
  <c r="AJ90" i="4" s="1" a="1"/>
  <c r="AJ90" i="4" s="1"/>
  <c r="AC101" i="4"/>
  <c r="AJ101" i="4" s="1" a="1"/>
  <c r="AJ101" i="4" s="1"/>
  <c r="Z5" i="4"/>
  <c r="AG5" i="4" s="1" a="1"/>
  <c r="AG5" i="4" s="1"/>
  <c r="AD6" i="4"/>
  <c r="AK6" i="4" s="1" a="1"/>
  <c r="AK6" i="4" s="1"/>
  <c r="AB28" i="4"/>
  <c r="AI28" i="4" s="1" a="1"/>
  <c r="AI28" i="4" s="1"/>
  <c r="Z24" i="4"/>
  <c r="AG24" i="4" s="1" a="1"/>
  <c r="AG24" i="4" s="1"/>
  <c r="AA24" i="4"/>
  <c r="AH24" i="4" s="1" a="1"/>
  <c r="AH24" i="4" s="1"/>
  <c r="AD12" i="4"/>
  <c r="AK12" i="4" s="1" a="1"/>
  <c r="AK12" i="4" s="1"/>
  <c r="AC31" i="4"/>
  <c r="AJ31" i="4" s="1" a="1"/>
  <c r="AJ31" i="4" s="1"/>
  <c r="AE31" i="4"/>
  <c r="AL31" i="4" s="1" a="1"/>
  <c r="AL31" i="4" s="1"/>
  <c r="AC38" i="4"/>
  <c r="AJ38" i="4" s="1" a="1"/>
  <c r="AJ38" i="4" s="1"/>
  <c r="AA31" i="4"/>
  <c r="AH31" i="4" s="1" a="1"/>
  <c r="AH31" i="4" s="1"/>
  <c r="AA37" i="4"/>
  <c r="AH37" i="4" s="1" a="1"/>
  <c r="AH37" i="4" s="1"/>
  <c r="AE47" i="4"/>
  <c r="AL47" i="4" s="1" a="1"/>
  <c r="AL47" i="4" s="1"/>
  <c r="AE41" i="4"/>
  <c r="AL41" i="4" s="1" a="1"/>
  <c r="AL41" i="4" s="1"/>
  <c r="AD48" i="4"/>
  <c r="AK48" i="4" s="1" a="1"/>
  <c r="AK48" i="4" s="1"/>
  <c r="AB50" i="4"/>
  <c r="AI50" i="4" s="1" a="1"/>
  <c r="AI50" i="4" s="1"/>
  <c r="AD50" i="4"/>
  <c r="AK50" i="4" s="1" a="1"/>
  <c r="AK50" i="4" s="1"/>
  <c r="AD58" i="4"/>
  <c r="AK58" i="4" s="1" a="1"/>
  <c r="AK58" i="4" s="1"/>
  <c r="AD60" i="4"/>
  <c r="AK60" i="4" s="1" a="1"/>
  <c r="AK60" i="4" s="1"/>
  <c r="AE60" i="4"/>
  <c r="AL60" i="4" s="1" a="1"/>
  <c r="AL60" i="4" s="1"/>
  <c r="AA64" i="4"/>
  <c r="AH64" i="4" s="1" a="1"/>
  <c r="AH64" i="4" s="1"/>
  <c r="AC70" i="4"/>
  <c r="AJ70" i="4" s="1" a="1"/>
  <c r="AJ70" i="4" s="1"/>
  <c r="AE69" i="4"/>
  <c r="AL69" i="4" s="1" a="1"/>
  <c r="AL69" i="4" s="1"/>
  <c r="AE74" i="4"/>
  <c r="AL74" i="4" s="1" a="1"/>
  <c r="AL74" i="4" s="1"/>
  <c r="AD73" i="4"/>
  <c r="AK73" i="4" s="1" a="1"/>
  <c r="AK73" i="4" s="1"/>
  <c r="Z74" i="4"/>
  <c r="AG74" i="4" s="1" a="1"/>
  <c r="AG74" i="4" s="1"/>
  <c r="AD88" i="4"/>
  <c r="AK88" i="4" s="1" a="1"/>
  <c r="AK88" i="4" s="1"/>
  <c r="AE86" i="4"/>
  <c r="AL86" i="4" s="1" a="1"/>
  <c r="AL86" i="4" s="1"/>
  <c r="AE90" i="4"/>
  <c r="AL90" i="4" s="1" a="1"/>
  <c r="AL90" i="4" s="1"/>
  <c r="AE95" i="4"/>
  <c r="AL95" i="4" s="1" a="1"/>
  <c r="AL95" i="4" s="1"/>
  <c r="AD102" i="4"/>
  <c r="AK102" i="4" s="1" a="1"/>
  <c r="AK102" i="4" s="1"/>
  <c r="AC96" i="4"/>
  <c r="AJ96" i="4" s="1" a="1"/>
  <c r="AJ96" i="4" s="1"/>
  <c r="AD97" i="4"/>
  <c r="AK97" i="4" s="1" a="1"/>
  <c r="AK97" i="4" s="1"/>
  <c r="AE94" i="4"/>
  <c r="AL94" i="4" s="1" a="1"/>
  <c r="AL94" i="4" s="1"/>
  <c r="AA10" i="4"/>
  <c r="AH10" i="4" s="1" a="1"/>
  <c r="AH10" i="4" s="1"/>
  <c r="Z7" i="4"/>
  <c r="AG7" i="4" s="1" a="1"/>
  <c r="AG7" i="4" s="1"/>
  <c r="AE5" i="4"/>
  <c r="AL5" i="4" s="1" a="1"/>
  <c r="AL5" i="4" s="1"/>
  <c r="AD15" i="4"/>
  <c r="AK15" i="4" s="1" a="1"/>
  <c r="AK15" i="4" s="1"/>
  <c r="Z12" i="4"/>
  <c r="AG12" i="4" s="1" a="1"/>
  <c r="AG12" i="4" s="1"/>
  <c r="AE8" i="4"/>
  <c r="AL8" i="4" s="1" a="1"/>
  <c r="AL8" i="4" s="1"/>
  <c r="AE21" i="4"/>
  <c r="AL21" i="4" s="1" a="1"/>
  <c r="AL21" i="4" s="1"/>
  <c r="AE14" i="4"/>
  <c r="AL14" i="4" s="1" a="1"/>
  <c r="AL14" i="4" s="1"/>
  <c r="AE19" i="4"/>
  <c r="AL19" i="4" s="1" a="1"/>
  <c r="AL19" i="4" s="1"/>
  <c r="AD31" i="4"/>
  <c r="AK31" i="4" s="1" a="1"/>
  <c r="AK31" i="4" s="1"/>
  <c r="Z32" i="4"/>
  <c r="AG32" i="4" s="1" a="1"/>
  <c r="AG32" i="4" s="1"/>
  <c r="AE34" i="4"/>
  <c r="AL34" i="4" s="1" a="1"/>
  <c r="AL34" i="4" s="1"/>
  <c r="AA43" i="4"/>
  <c r="AH43" i="4" s="1" a="1"/>
  <c r="AH43" i="4" s="1"/>
  <c r="Z33" i="4"/>
  <c r="AG33" i="4" s="1" a="1"/>
  <c r="AG33" i="4" s="1"/>
  <c r="Z41" i="4"/>
  <c r="AG41" i="4" s="1" a="1"/>
  <c r="AG41" i="4" s="1"/>
  <c r="AC52" i="4"/>
  <c r="AJ52" i="4" s="1" a="1"/>
  <c r="AJ52" i="4" s="1"/>
  <c r="AD45" i="4"/>
  <c r="AK45" i="4" s="1" a="1"/>
  <c r="AK45" i="4" s="1"/>
  <c r="AA61" i="4"/>
  <c r="AH61" i="4" s="1" a="1"/>
  <c r="AH61" i="4" s="1"/>
  <c r="AA51" i="4"/>
  <c r="AH51" i="4" s="1" a="1"/>
  <c r="AH51" i="4" s="1"/>
  <c r="AC60" i="4"/>
  <c r="AJ60" i="4" s="1" a="1"/>
  <c r="AJ60" i="4" s="1"/>
  <c r="AD54" i="4"/>
  <c r="AK54" i="4" s="1" a="1"/>
  <c r="AK54" i="4" s="1"/>
  <c r="AA70" i="4"/>
  <c r="AH70" i="4" s="1" a="1"/>
  <c r="AH70" i="4" s="1"/>
  <c r="AC71" i="4"/>
  <c r="AJ71" i="4" s="1" a="1"/>
  <c r="AJ71" i="4" s="1"/>
  <c r="Z67" i="4"/>
  <c r="AG67" i="4" s="1" a="1"/>
  <c r="AG67" i="4" s="1"/>
  <c r="AB78" i="4"/>
  <c r="AI78" i="4" s="1" a="1"/>
  <c r="AI78" i="4" s="1"/>
  <c r="AC79" i="4"/>
  <c r="AJ79" i="4" s="1" a="1"/>
  <c r="AJ79" i="4" s="1"/>
  <c r="Z82" i="4"/>
  <c r="AG82" i="4" s="1" a="1"/>
  <c r="AG82" i="4" s="1"/>
  <c r="AB103" i="4"/>
  <c r="AI103" i="4" s="1" a="1"/>
  <c r="AI103" i="4" s="1"/>
  <c r="AB13" i="4"/>
  <c r="AI13" i="4" s="1" a="1"/>
  <c r="AI13" i="4" s="1"/>
  <c r="AB14" i="4"/>
  <c r="AI14" i="4" s="1" a="1"/>
  <c r="AI14" i="4" s="1"/>
  <c r="Z22" i="4"/>
  <c r="AG22" i="4" s="1" a="1"/>
  <c r="AG22" i="4" s="1"/>
  <c r="AE15" i="4"/>
  <c r="AL15" i="4" s="1" a="1"/>
  <c r="AL15" i="4" s="1"/>
  <c r="Z25" i="4"/>
  <c r="AG25" i="4" s="1" a="1"/>
  <c r="AG25" i="4" s="1"/>
  <c r="AD27" i="4"/>
  <c r="AK27" i="4" s="1" a="1"/>
  <c r="AK27" i="4" s="1"/>
  <c r="AD34" i="4"/>
  <c r="AK34" i="4" s="1" a="1"/>
  <c r="AK34" i="4" s="1"/>
  <c r="AD43" i="4"/>
  <c r="AK43" i="4" s="1" a="1"/>
  <c r="AK43" i="4" s="1"/>
  <c r="AB49" i="4"/>
  <c r="AI49" i="4" s="1" a="1"/>
  <c r="AI49" i="4" s="1"/>
  <c r="Z51" i="4"/>
  <c r="AG51" i="4" s="1" a="1"/>
  <c r="AG51" i="4" s="1"/>
  <c r="AA55" i="4"/>
  <c r="AH55" i="4" s="1" a="1"/>
  <c r="AH55" i="4" s="1"/>
  <c r="AA60" i="4"/>
  <c r="AH60" i="4" s="1" a="1"/>
  <c r="AH60" i="4" s="1"/>
  <c r="AA71" i="4"/>
  <c r="AH71" i="4" s="1" a="1"/>
  <c r="AH71" i="4" s="1"/>
  <c r="AB71" i="4"/>
  <c r="AI71" i="4" s="1" a="1"/>
  <c r="AI71" i="4" s="1"/>
  <c r="AD70" i="4"/>
  <c r="AK70" i="4" s="1" a="1"/>
  <c r="AK70" i="4" s="1"/>
  <c r="AC80" i="4"/>
  <c r="AJ80" i="4" s="1" a="1"/>
  <c r="AJ80" i="4" s="1"/>
  <c r="AD95" i="4"/>
  <c r="AK95" i="4" s="1" a="1"/>
  <c r="AK95" i="4" s="1"/>
  <c r="Z97" i="4"/>
  <c r="AG97" i="4" s="1" a="1"/>
  <c r="AG97" i="4" s="1"/>
  <c r="AC102" i="4"/>
  <c r="AJ102" i="4" s="1" a="1"/>
  <c r="AJ102" i="4" s="1"/>
  <c r="AA97" i="4"/>
  <c r="AH97" i="4" s="1" a="1"/>
  <c r="AH97" i="4" s="1"/>
  <c r="AC97" i="4"/>
  <c r="AJ97" i="4" s="1" a="1"/>
  <c r="AJ97" i="4" s="1"/>
  <c r="AD103" i="4"/>
  <c r="AK103" i="4" s="1" a="1"/>
  <c r="AK103" i="4" s="1"/>
  <c r="AB96" i="4"/>
  <c r="AI96" i="4" s="1" a="1"/>
  <c r="AI96" i="4" s="1"/>
  <c r="AD19" i="4"/>
  <c r="AK19" i="4" s="1" a="1"/>
  <c r="AK19" i="4" s="1"/>
  <c r="AC32" i="4"/>
  <c r="AJ32" i="4" s="1" a="1"/>
  <c r="AJ32" i="4" s="1"/>
  <c r="AA54" i="4"/>
  <c r="AH54" i="4" s="1" a="1"/>
  <c r="AH54" i="4" s="1"/>
  <c r="AD56" i="4"/>
  <c r="AK56" i="4" s="1" a="1"/>
  <c r="AK56" i="4" s="1"/>
  <c r="AD62" i="4"/>
  <c r="AK62" i="4" s="1" a="1"/>
  <c r="AK62" i="4" s="1"/>
  <c r="Z56" i="4"/>
  <c r="AG56" i="4" s="1" a="1"/>
  <c r="AG56" i="4" s="1"/>
  <c r="Z72" i="4"/>
  <c r="AG72" i="4" s="1" a="1"/>
  <c r="AG72" i="4" s="1"/>
  <c r="AA72" i="4"/>
  <c r="AH72" i="4" s="1" a="1"/>
  <c r="AH72" i="4" s="1"/>
  <c r="AC65" i="4"/>
  <c r="AJ65" i="4" s="1" a="1"/>
  <c r="AJ65" i="4" s="1"/>
  <c r="AB72" i="4"/>
  <c r="AI72" i="4" s="1" a="1"/>
  <c r="AI72" i="4" s="1"/>
  <c r="AD72" i="4"/>
  <c r="AK72" i="4" s="1" a="1"/>
  <c r="AK72" i="4" s="1"/>
  <c r="AE79" i="4"/>
  <c r="AL79" i="4" s="1" a="1"/>
  <c r="AL79" i="4" s="1"/>
  <c r="AE77" i="4"/>
  <c r="AL77" i="4" s="1" a="1"/>
  <c r="AL77" i="4" s="1"/>
  <c r="Z79" i="4"/>
  <c r="AG79" i="4" s="1" a="1"/>
  <c r="AG79" i="4" s="1"/>
  <c r="AC81" i="4"/>
  <c r="AJ81" i="4" s="1" a="1"/>
  <c r="AJ81" i="4" s="1"/>
  <c r="AC77" i="4"/>
  <c r="AJ77" i="4" s="1" a="1"/>
  <c r="AJ77" i="4" s="1"/>
  <c r="AD81" i="4"/>
  <c r="AK81" i="4" s="1" a="1"/>
  <c r="AK81" i="4" s="1"/>
  <c r="Z87" i="4"/>
  <c r="AG87" i="4" s="1" a="1"/>
  <c r="AG87" i="4" s="1"/>
  <c r="AA87" i="4"/>
  <c r="AH87" i="4" s="1" a="1"/>
  <c r="AH87" i="4" s="1"/>
  <c r="Z96" i="4"/>
  <c r="AG96" i="4" s="1" a="1"/>
  <c r="AG96" i="4" s="1"/>
  <c r="Z90" i="4"/>
  <c r="AG90" i="4" s="1" a="1"/>
  <c r="AG90" i="4" s="1"/>
  <c r="AD90" i="4"/>
  <c r="AK90" i="4" s="1" a="1"/>
  <c r="AK90" i="4" s="1"/>
  <c r="Z91" i="4"/>
  <c r="AG91" i="4" s="1" a="1"/>
  <c r="AG91" i="4" s="1"/>
  <c r="AE96" i="4"/>
  <c r="AL96" i="4" s="1" a="1"/>
  <c r="AL96" i="4" s="1"/>
  <c r="AC9" i="4"/>
  <c r="AJ9" i="4" s="1" a="1"/>
  <c r="AJ9" i="4" s="1"/>
  <c r="AC6" i="4"/>
  <c r="AJ6" i="4" s="1" a="1"/>
  <c r="AJ6" i="4" s="1"/>
  <c r="AD5" i="4"/>
  <c r="AK5" i="4" s="1" a="1"/>
  <c r="AK5" i="4" s="1"/>
  <c r="AA7" i="4"/>
  <c r="AH7" i="4" s="1" a="1"/>
  <c r="AH7" i="4" s="1"/>
  <c r="Z15" i="4"/>
  <c r="AG15" i="4" s="1" a="1"/>
  <c r="AG15" i="4" s="1"/>
  <c r="AA15" i="4"/>
  <c r="AH15" i="4" s="1" a="1"/>
  <c r="AH15" i="4" s="1"/>
  <c r="AD18" i="4"/>
  <c r="AK18" i="4" s="1" a="1"/>
  <c r="AK18" i="4" s="1"/>
  <c r="AE23" i="4"/>
  <c r="AL23" i="4" s="1" a="1"/>
  <c r="AL23" i="4" s="1"/>
  <c r="AC36" i="4"/>
  <c r="AJ36" i="4" s="1" a="1"/>
  <c r="AJ36" i="4" s="1"/>
  <c r="AD36" i="4"/>
  <c r="AK36" i="4" s="1" a="1"/>
  <c r="AK36" i="4" s="1"/>
  <c r="AD29" i="4"/>
  <c r="AK29" i="4" s="1" a="1"/>
  <c r="AK29" i="4" s="1"/>
  <c r="AA41" i="4"/>
  <c r="AH41" i="4" s="1" a="1"/>
  <c r="AH41" i="4" s="1"/>
  <c r="AE35" i="4"/>
  <c r="AL35" i="4" s="1" a="1"/>
  <c r="AL35" i="4" s="1"/>
  <c r="Z39" i="4"/>
  <c r="AG39" i="4" s="1" a="1"/>
  <c r="AG39" i="4" s="1"/>
  <c r="AA47" i="4"/>
  <c r="AH47" i="4" s="1" a="1"/>
  <c r="AH47" i="4" s="1"/>
  <c r="AE53" i="4"/>
  <c r="AL53" i="4" s="1" a="1"/>
  <c r="AL53" i="4" s="1"/>
  <c r="AE51" i="4"/>
  <c r="AL51" i="4" s="1" a="1"/>
  <c r="AL51" i="4" s="1"/>
  <c r="AD67" i="4"/>
  <c r="AK67" i="4" s="1" a="1"/>
  <c r="AK67" i="4" s="1"/>
  <c r="AD82" i="4"/>
  <c r="AK82" i="4" s="1" a="1"/>
  <c r="AK82" i="4" s="1"/>
  <c r="Z93" i="4"/>
  <c r="AG93" i="4" s="1" a="1"/>
  <c r="AG93" i="4" s="1"/>
  <c r="AE101" i="4"/>
  <c r="AL101" i="4" s="1" a="1"/>
  <c r="AL101" i="4" s="1"/>
  <c r="AB91" i="4"/>
  <c r="AI91" i="4" s="1" a="1"/>
  <c r="AI91" i="4" s="1"/>
  <c r="AD93" i="4"/>
  <c r="AK93" i="4" s="1" a="1"/>
  <c r="AK93" i="4" s="1"/>
  <c r="AA98" i="4"/>
  <c r="AH98" i="4" s="1" a="1"/>
  <c r="AH98" i="4" s="1"/>
  <c r="AC16" i="4"/>
  <c r="AJ16" i="4" s="1" a="1"/>
  <c r="AJ16" i="4" s="1"/>
  <c r="Z68" i="4"/>
  <c r="AG68" i="4" s="1" a="1"/>
  <c r="AG68" i="4" s="1"/>
  <c r="AA73" i="4"/>
  <c r="AH73" i="4" s="1" a="1"/>
  <c r="AH73" i="4" s="1"/>
  <c r="Z66" i="4"/>
  <c r="AG66" i="4" s="1" a="1"/>
  <c r="AG66" i="4" s="1"/>
  <c r="AD40" i="4"/>
  <c r="AK40" i="4" s="1" a="1"/>
  <c r="AK40" i="4" s="1"/>
  <c r="AD37" i="4"/>
  <c r="AK37" i="4" s="1" a="1"/>
  <c r="AK37" i="4" s="1"/>
  <c r="AA80" i="4"/>
  <c r="AH80" i="4" s="1" a="1"/>
  <c r="AH80" i="4" s="1"/>
  <c r="AD68" i="4"/>
  <c r="AK68" i="4" s="1" a="1"/>
  <c r="AK68" i="4" s="1"/>
  <c r="AD59" i="4"/>
  <c r="AK59" i="4" s="1" a="1"/>
  <c r="AK59" i="4" s="1"/>
  <c r="AB61" i="4"/>
  <c r="AI61" i="4" s="1" a="1"/>
  <c r="AI61" i="4" s="1"/>
  <c r="AB10" i="4"/>
  <c r="AI10" i="4" s="1" a="1"/>
  <c r="AI10" i="4" s="1"/>
  <c r="AA17" i="4"/>
  <c r="AH17" i="4" s="1" a="1"/>
  <c r="AH17" i="4" s="1"/>
  <c r="AB79" i="4"/>
  <c r="AI79" i="4" s="1" a="1"/>
  <c r="AI79" i="4" s="1"/>
  <c r="AA79" i="4"/>
  <c r="AH79" i="4" s="1" a="1"/>
  <c r="AH79" i="4" s="1"/>
  <c r="AB54" i="4"/>
  <c r="AI54" i="4" s="1" a="1"/>
  <c r="AI54" i="4" s="1"/>
  <c r="AD86" i="4"/>
  <c r="AK86" i="4" s="1" a="1"/>
  <c r="AK86" i="4" s="1"/>
  <c r="AE85" i="4"/>
  <c r="AL85" i="4" s="1" a="1"/>
  <c r="AL85" i="4" s="1"/>
  <c r="Z86" i="4"/>
  <c r="AG86" i="4" s="1" a="1"/>
  <c r="AG86" i="4" s="1"/>
  <c r="AB44" i="4"/>
  <c r="AI44" i="4" s="1" a="1"/>
  <c r="AI44" i="4" s="1"/>
  <c r="AD49" i="4"/>
  <c r="AK49" i="4" s="1" a="1"/>
  <c r="AK49" i="4" s="1"/>
  <c r="AC30" i="4"/>
  <c r="AJ30" i="4" s="1" a="1"/>
  <c r="AJ30" i="4" s="1"/>
  <c r="AD16" i="4"/>
  <c r="AK16" i="4" s="1" a="1"/>
  <c r="AK16" i="4" s="1"/>
  <c r="AD100" i="4" l="1"/>
  <c r="AK100" i="4" s="1" a="1"/>
  <c r="AK100" i="4" s="1"/>
  <c r="AE99" i="4"/>
  <c r="AL99" i="4" s="1" a="1"/>
  <c r="AL99" i="4" s="1"/>
  <c r="Z102" i="4"/>
  <c r="AG102" i="4" s="1" a="1"/>
  <c r="AG102" i="4" s="1"/>
  <c r="AE36" i="4"/>
  <c r="AL36" i="4" s="1" a="1"/>
  <c r="AL36" i="4" s="1"/>
  <c r="AD35" i="4"/>
  <c r="AK35" i="4" s="1" a="1"/>
  <c r="AK35" i="4" s="1"/>
  <c r="AB66" i="4"/>
  <c r="AI66" i="4" s="1" a="1"/>
  <c r="AI66" i="4" s="1"/>
  <c r="Z99" i="4"/>
  <c r="AG99" i="4" s="1" a="1"/>
  <c r="AG99" i="4" s="1"/>
  <c r="Z38" i="4"/>
  <c r="AG38" i="4" s="1" a="1"/>
  <c r="AG38" i="4" s="1"/>
  <c r="AC92" i="4"/>
  <c r="AJ92" i="4" s="1" a="1"/>
  <c r="AJ92" i="4" s="1"/>
  <c r="AE91" i="4"/>
  <c r="AL91" i="4" s="1" a="1"/>
  <c r="AL91" i="4" s="1"/>
  <c r="AD89" i="4"/>
  <c r="AK89" i="4" s="1" a="1"/>
  <c r="AK89" i="4" s="1"/>
  <c r="AB38" i="4"/>
  <c r="AI38" i="4" s="1" a="1"/>
  <c r="AI38" i="4" s="1"/>
  <c r="AA103" i="4"/>
  <c r="AH103" i="4" s="1" a="1"/>
  <c r="AH103" i="4" s="1"/>
  <c r="AB97" i="4"/>
  <c r="AI97" i="4" s="1" a="1"/>
  <c r="AI97" i="4" s="1"/>
  <c r="AB55" i="4"/>
  <c r="AI55" i="4" s="1" a="1"/>
  <c r="AI55" i="4" s="1"/>
  <c r="AD85" i="4"/>
  <c r="AK85" i="4" s="1" a="1"/>
  <c r="AK85" i="4" s="1"/>
  <c r="AB40" i="4"/>
  <c r="AI40" i="4" s="1" a="1"/>
  <c r="AI40" i="4" s="1"/>
  <c r="Z98" i="4"/>
  <c r="AG98" i="4" s="1" a="1"/>
  <c r="AG98" i="4" s="1"/>
  <c r="AB98" i="4"/>
  <c r="AI98" i="4" s="1" a="1"/>
  <c r="AI9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<sst xmlns="http://schemas.openxmlformats.org/spreadsheetml/2006/main" count="333" uniqueCount="134">
  <si>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</si>
  <si>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</si>
  <si>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</si>
  <si>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</si>
  <si>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</si>
  <si>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</si>
  <si>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</si>
  <si>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</si>
  <si>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</si>
  <si>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</si>
  <si>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</si>
  <si>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</si>
  <si>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</si>
  <si>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</si>
  <si>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</si>
  <si>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</si>
  <si>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</si>
  <si>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</si>
  <si>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</si>
  <si>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</si>
  <si>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</si>
  <si>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</si>
  <si>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</si>
  <si>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</si>
  <si>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</si>
  <si>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</si>
  <si>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</si>
  <si>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</si>
  <si>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</si>
  <si>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</si>
  <si>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</si>
  <si>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</si>
  <si>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</si>
  <si>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</si>
  <si>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</si>
  <si>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</si>
  <si>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</si>
  <si>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</si>
  <si>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</si>
  <si>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</si>
  <si>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</si>
  <si>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</si>
  <si>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</si>
  <si>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</si>
  <si>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</si>
  <si>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</si>
  <si>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</si>
  <si>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</si>
  <si>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</si>
  <si>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</si>
  <si>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</si>
  <si>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</si>
  <si>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</si>
  <si>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</si>
  <si>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</si>
  <si>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</si>
  <si>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</si>
  <si>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</si>
  <si>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</si>
  <si>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</si>
  <si>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</si>
  <si>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</si>
  <si>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</si>
  <si>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</si>
  <si>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</si>
  <si>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</si>
  <si>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</si>
  <si>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</si>
  <si>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</si>
  <si>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</si>
  <si>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</si>
  <si>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</si>
  <si>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</si>
  <si>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</si>
  <si>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</si>
  <si>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</si>
  <si>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</si>
  <si>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</si>
  <si>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</si>
  <si>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</si>
  <si>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</si>
  <si>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</si>
  <si>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</si>
  <si>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</si>
  <si>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</si>
  <si>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</si>
  <si>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</si>
  <si>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</si>
  <si>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</si>
  <si>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</si>
  <si>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</si>
  <si>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</si>
  <si>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</si>
  <si>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</si>
  <si>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</si>
  <si>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</si>
  <si>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</si>
  <si>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</si>
  <si>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</si>
  <si>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</si>
  <si>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</si>
  <si>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</si>
  <si>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</si>
  <si>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</si>
  <si>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</si>
  <si>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</si>
  <si>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High</t>
  </si>
  <si>
    <t>Low</t>
  </si>
  <si>
    <t>Peak_Line_1</t>
  </si>
  <si>
    <t>Peak_Line_2</t>
  </si>
  <si>
    <t>Peak_Line_3</t>
  </si>
  <si>
    <t>Bottom_Line_1</t>
  </si>
  <si>
    <t>Bottom_Line_2</t>
  </si>
  <si>
    <t>Bottom_Line_3</t>
  </si>
  <si>
    <t>Slope_Peak_Line_1</t>
  </si>
  <si>
    <t>Slope_Peak_Line_2</t>
  </si>
  <si>
    <t>Slope_Peak_Line_3</t>
  </si>
  <si>
    <t>Slope_Bottom_Line_1</t>
  </si>
  <si>
    <t>Slope_Bottom_Line_2</t>
  </si>
  <si>
    <t>Slope_Bottom_Line_3</t>
  </si>
  <si>
    <t>Angle_Peak_Line_1</t>
  </si>
  <si>
    <t>Angle_Peak_Line_2</t>
  </si>
  <si>
    <t>Angle_Peak_Line_3</t>
  </si>
  <si>
    <t>H - L</t>
  </si>
  <si>
    <t>I H - Cp I</t>
  </si>
  <si>
    <t>I L - Cp I</t>
  </si>
  <si>
    <t>TR</t>
  </si>
  <si>
    <t>Avg. ATR</t>
  </si>
  <si>
    <t>Angle_Classification_P1</t>
  </si>
  <si>
    <t>Angle_Classification_P2</t>
  </si>
  <si>
    <t>Angle_Classification_P3</t>
  </si>
  <si>
    <t>Angle_Classification_B1</t>
  </si>
  <si>
    <t>Angle_Classification_B2</t>
  </si>
  <si>
    <t>Angle_Classification_B3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</si>
</sst>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164" fontId="0" fillId="0" borderId="0" xfId="0" applyNumberFormat="1"/>
    <xf numFmtId="0" fontId="18" fillId="0" borderId="0" xfId="0" applyFont="1" applyAlignment="1">
      <alignment horizontal="center"/>
    </xf>
    <xf numFmtId="0" fontId="16" fillId="34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8" fillId="0" borderId="0" xfId="0" applyNumberFormat="1" applyFont="1"/>
    <xf numFmtId="165" fontId="18" fillId="0" borderId="0" xfId="0" applyNumberFormat="1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1:AL103"/>
  <sheetViews>
    <sheetView tabSelected="1" zoomScale="70" zoomScaleNormal="70" workbookViewId="0">
      <selection activeCell="L20" sqref="L20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8" max="10" width="10.7890625" bestFit="1" customWidth="1"/>
    <col min="11" max="13" width="13.20703125" bestFit="1" customWidth="1"/>
    <col min="14" max="17" width="13.20703125" customWidth="1"/>
    <col min="18" max="18" width="2.47265625" customWidth="1"/>
    <col min="19" max="19" width="12.26171875" bestFit="1" customWidth="1"/>
    <col min="20" max="20" width="11.3671875" customWidth="1"/>
    <col min="21" max="21" width="12.26171875" bestFit="1" customWidth="1"/>
    <col min="22" max="22" width="12.3671875" bestFit="1" customWidth="1"/>
    <col min="23" max="23" width="12.26171875" customWidth="1"/>
    <col min="24" max="24" width="11.68359375" bestFit="1" customWidth="1"/>
    <col min="25" max="25" width="4.20703125" customWidth="1"/>
    <col min="26" max="26" width="11.26171875" bestFit="1" customWidth="1"/>
    <col min="27" max="28" width="12.26171875" bestFit="1" customWidth="1"/>
    <col min="29" max="29" width="11.68359375" bestFit="1" customWidth="1"/>
    <col min="30" max="30" width="11.26171875" bestFit="1" customWidth="1"/>
    <col min="31" max="31" width="11.68359375" bestFit="1" customWidth="1"/>
    <col min="32" max="32" width="4.15625" customWidth="1"/>
    <col min="33" max="33" width="15.62890625" customWidth="1"/>
    <col min="34" max="34" width="15.68359375" customWidth="1"/>
    <col min="35" max="35" width="17.15625" customWidth="1"/>
    <col min="36" max="36" width="18" customWidth="1"/>
    <col min="37" max="37" width="16.9453125" customWidth="1"/>
    <col min="38" max="38" width="17.05078125" customWidth="1"/>
    <col min="39" max="40" width="18.68359375" bestFit="1" customWidth="1"/>
    <col min="42" max="44" width="16.3671875" bestFit="1" customWidth="1"/>
    <col min="45" max="47" width="18.68359375" bestFit="1" customWidth="1"/>
    <col min="49" max="51" width="19.734375" bestFit="1" customWidth="1"/>
    <col min="52" max="54" width="19.83984375" bestFit="1" customWidth="1"/>
  </cols>
  <sheetData>
    <row r="1" spans="1:38" x14ac:dyDescent="0.55000000000000004">
      <c r="Q1" s="8" t="s">
        <v>127</v>
      </c>
    </row>
    <row r="2" spans="1:38" x14ac:dyDescent="0.55000000000000004">
      <c r="Q2" s="2">
        <f>AVERAGE(Q6:Q103)</f>
        <v>7.2744897959183583E-2</v>
      </c>
    </row>
    <row r="3" spans="1:38" s="13" customFormat="1" x14ac:dyDescent="0.55000000000000004"/>
    <row r="4" spans="1:38" ht="28.8" x14ac:dyDescent="0.55000000000000004">
      <c r="A4" s="6" t="s">
        <v>0</v>
      </c>
      <c r="B4" s="6" t="s">
        <v>104</v>
      </c>
      <c r="C4" s="6" t="s">
        <v>1</v>
      </c>
      <c r="D4" s="6" t="s">
        <v>2</v>
      </c>
      <c r="E4" s="6" t="s">
        <v>106</v>
      </c>
      <c r="F4" s="6" t="s">
        <v>107</v>
      </c>
      <c r="G4" s="6" t="s">
        <v>105</v>
      </c>
      <c r="H4" s="6" t="s">
        <v>108</v>
      </c>
      <c r="I4" s="6" t="s">
        <v>109</v>
      </c>
      <c r="J4" s="6" t="s">
        <v>110</v>
      </c>
      <c r="K4" s="6" t="s">
        <v>111</v>
      </c>
      <c r="L4" s="6" t="s">
        <v>112</v>
      </c>
      <c r="M4" s="6" t="s">
        <v>113</v>
      </c>
      <c r="N4" s="7" t="s">
        <v>123</v>
      </c>
      <c r="O4" s="7" t="s">
        <v>124</v>
      </c>
      <c r="P4" s="7" t="s">
        <v>125</v>
      </c>
      <c r="Q4" s="7" t="s">
        <v>126</v>
      </c>
      <c r="R4" s="10"/>
      <c r="S4" s="5" t="s">
        <v>114</v>
      </c>
      <c r="T4" s="5" t="s">
        <v>115</v>
      </c>
      <c r="U4" s="5" t="s">
        <v>116</v>
      </c>
      <c r="V4" s="5" t="s">
        <v>117</v>
      </c>
      <c r="W4" s="5" t="s">
        <v>118</v>
      </c>
      <c r="X4" s="5" t="s">
        <v>119</v>
      </c>
      <c r="Y4" s="9"/>
      <c r="Z4" s="5" t="s">
        <v>120</v>
      </c>
      <c r="AA4" s="5" t="s">
        <v>121</v>
      </c>
      <c r="AB4" s="5" t="s">
        <v>122</v>
      </c>
      <c r="AC4" s="5" t="s">
        <v>117</v>
      </c>
      <c r="AD4" s="5" t="s">
        <v>118</v>
      </c>
      <c r="AE4" s="5" t="s">
        <v>119</v>
      </c>
      <c r="AF4" s="9"/>
      <c r="AG4" s="4" t="s">
        <v>128</v>
      </c>
      <c r="AH4" s="4" t="s">
        <v>129</v>
      </c>
      <c r="AI4" s="4" t="s">
        <v>130</v>
      </c>
      <c r="AJ4" s="4" t="s">
        <v>131</v>
      </c>
      <c r="AK4" s="4" t="s">
        <v>132</v>
      </c>
      <c r="AL4" s="4" t="s">
        <v>133</v>
      </c>
    </row>
    <row r="5" spans="1:38" x14ac:dyDescent="0.55000000000000004">
      <c r="A5" s="1">
        <v>1</v>
      </c>
      <c r="B5" s="1" t="s">
        <v>3</v>
      </c>
      <c r="C5" s="1" t="s">
        <v>4</v>
      </c>
      <c r="D5" s="1" t="s">
        <v>103</v>
      </c>
      <c r="E5" s="1">
        <v>153.28200000000001</v>
      </c>
      <c r="F5" s="1">
        <v>153.03899999999999</v>
      </c>
      <c r="G5" s="1">
        <v>153.249</v>
      </c>
      <c r="H5" s="1">
        <v>153.03800000000001</v>
      </c>
      <c r="I5" s="1">
        <v>152.911</v>
      </c>
      <c r="J5" s="1">
        <v>153.27099999999999</v>
      </c>
      <c r="K5" s="1">
        <v>152.56</v>
      </c>
      <c r="L5" s="1">
        <v>152.60300000000001</v>
      </c>
      <c r="M5" s="1">
        <v>152.768</v>
      </c>
      <c r="N5" s="11">
        <f t="shared" ref="N5:N36" si="0">E5-F5</f>
        <v>0.24300000000002342</v>
      </c>
      <c r="O5" s="11"/>
      <c r="P5" s="11"/>
      <c r="Q5" s="11">
        <f>N5</f>
        <v>0.24300000000002342</v>
      </c>
      <c r="R5" s="1"/>
      <c r="S5" s="3">
        <f t="shared" ref="S5:X5" si="1">SLOPE(H$5:H$103,$A$5:$A$103)</f>
        <v>-2.423265306122455E-3</v>
      </c>
      <c r="T5" s="3">
        <f t="shared" si="1"/>
        <v>-3.7194805194805478E-4</v>
      </c>
      <c r="U5" s="3">
        <f t="shared" si="1"/>
        <v>-1.6402721088435472E-3</v>
      </c>
      <c r="V5" s="3">
        <f t="shared" si="1"/>
        <v>7.6471243042669956E-4</v>
      </c>
      <c r="W5" s="3">
        <f t="shared" si="1"/>
        <v>-2.3081014223875058E-4</v>
      </c>
      <c r="X5" s="3">
        <f t="shared" si="1"/>
        <v>1.5802844774273381E-3</v>
      </c>
      <c r="Y5" s="1"/>
      <c r="Z5" s="3">
        <f t="shared" ref="Z5:Z36" si="2">DEGREES(ATAN(S5/$Q$2))</f>
        <v>-1.9079214597220278</v>
      </c>
      <c r="AA5" s="3">
        <f t="shared" ref="AA5:AA36" si="3">DEGREES(ATAN(T5/$Q$2))</f>
        <v>-0.29295343676527091</v>
      </c>
      <c r="AB5" s="3">
        <f t="shared" ref="AB5:AB36" si="4">DEGREES(ATAN(U5/$Q$2))</f>
        <v>-1.2917022253843653</v>
      </c>
      <c r="AC5" s="3">
        <f t="shared" ref="AC5:AC36" si="5">DEGREES(ATAN(V5/$Q$2))</f>
        <v>0.60228527619529781</v>
      </c>
      <c r="AD5" s="3">
        <f t="shared" ref="AD5:AD36" si="6">DEGREES(ATAN(W5/$Q$2))</f>
        <v>-0.18179147971962978</v>
      </c>
      <c r="AE5" s="3">
        <f t="shared" ref="AE5:AE36" si="7">DEGREES(ATAN(X5/$Q$2))</f>
        <v>1.2444775446344229</v>
      </c>
      <c r="AF5" s="3"/>
      <c r="AG5" s="1" t="str" cm="1">
        <f t="array" ref="AG5">_xlfn.IFS(Z5&gt;3,"Strong + Slope",Z5&gt;1.5,"Moderate + Slope",Z5&gt;0.5,"Sideway + Slope",Z5&gt;=-0.5,"Sideway Flat",Z5&gt;=-1.5,"Sideway - Slope",Z5&gt;=-3,"Moderate - Slope",TRUE,"Strong - Slope")</f>
        <v>Moderate - Slope</v>
      </c>
      <c r="AH5" s="1" t="str" cm="1">
        <f t="array" ref="AH5">_xlfn.IFS(AA5&gt;3,"Strong + Slope",AA5&gt;1.5,"Moderate + Slope",AA5&gt;0.5,"Sideway + Slope",AA5&gt;=-0.5,"Sideway Flat",AA5&gt;=-1.5,"Sideway - Slope",AA5&gt;=-3,"Moderate - Slope",TRUE,"Strong - Slope")</f>
        <v>Sideway Flat</v>
      </c>
      <c r="AI5" s="1" t="str" cm="1">
        <f t="array" ref="AI5">_xlfn.IFS(AB5&gt;3,"Strong + Slope",AB5&gt;1.5,"Moderate + Slope",AB5&gt;0.5,"Sideway + Slope",AB5&gt;=-0.5,"Sideway Flat",AB5&gt;=-1.5,"Sideway - Slope",AB5&gt;=-3,"Moderate - Slope",TRUE,"Strong - Slope")</f>
        <v>Sideway - Slope</v>
      </c>
      <c r="AJ5" s="1" t="str" cm="1">
        <f t="array" ref="AJ5">_xlfn.IFS(AC5&gt;3,"Strong + Slope",AC5&gt;1.5,"Moderate + Slope",AC5&gt;0.5,"Sideway + Slope",AC5&gt;=-0.5,"Sideway Flat",AC5&gt;=-1.5,"Sideway - Slope",AC5&gt;=-3,"Moderate - Slope",TRUE,"Strong - Slope")</f>
        <v>Sideway + Slope</v>
      </c>
      <c r="AK5" s="1" t="str" cm="1">
        <f t="array" ref="AK5">_xlfn.IFS(AD5&gt;3,"Strong + Slope",AD5&gt;1.5,"Moderate + Slope",AD5&gt;0.5,"Sideway + Slope",AD5&gt;=-0.5,"Sideway Flat",AD5&gt;=-1.5,"Sideway - Slope",AD5&gt;=-3,"Moderate - Slope",TRUE,"Strong - Slope")</f>
        <v>Sideway Flat</v>
      </c>
      <c r="AL5" s="1" t="str" cm="1">
        <f t="array" ref="AL5">_xlfn.IFS(AE5&gt;3,"Strong + Slope",AE5&gt;1.5,"Moderate + Slope",AE5&gt;0.5,"Sideway + Slope",AE5&gt;=-0.5,"Sideway Flat",AE5&gt;=-1.5,"Sideway - Slope",AE5&gt;=-3,"Moderate - Slope",TRUE,"Strong - Slope")</f>
        <v>Sideway + Slope</v>
      </c>
    </row>
    <row r="6" spans="1:38" x14ac:dyDescent="0.55000000000000004">
      <c r="A6" s="1">
        <v>2</v>
      </c>
      <c r="B6" s="1" t="s">
        <v>5</v>
      </c>
      <c r="C6" s="1" t="s">
        <v>4</v>
      </c>
      <c r="D6" s="1" t="s">
        <v>103</v>
      </c>
      <c r="E6" s="1">
        <v>153.274</v>
      </c>
      <c r="F6" s="1">
        <v>153.137</v>
      </c>
      <c r="G6" s="1">
        <v>153.196</v>
      </c>
      <c r="H6" s="1">
        <v>153.036</v>
      </c>
      <c r="I6" s="1">
        <v>152.911</v>
      </c>
      <c r="J6" s="1">
        <v>153.26900000000001</v>
      </c>
      <c r="K6" s="1">
        <v>152.56100000000001</v>
      </c>
      <c r="L6" s="1">
        <v>152.60300000000001</v>
      </c>
      <c r="M6" s="1">
        <v>152.77000000000001</v>
      </c>
      <c r="N6" s="11">
        <f t="shared" si="0"/>
        <v>0.13700000000000045</v>
      </c>
      <c r="O6" s="11">
        <f t="shared" ref="O6:O37" si="8">ABS(E6-G5)</f>
        <v>2.5000000000005684E-2</v>
      </c>
      <c r="P6" s="11">
        <f t="shared" ref="P6:P37" si="9">ABS(F6-G5)</f>
        <v>0.11199999999999477</v>
      </c>
      <c r="Q6" s="11">
        <f t="shared" ref="Q6:Q37" si="10">MAX(N6:P6)</f>
        <v>0.13700000000000045</v>
      </c>
      <c r="R6" s="1"/>
      <c r="S6" s="3">
        <f t="shared" ref="S6:S37" si="11">SLOPE($H$5:$H$103,$A$5:$A$103)</f>
        <v>-2.423265306122455E-3</v>
      </c>
      <c r="T6" s="3">
        <f t="shared" ref="T6:T37" si="12">SLOPE(I$5:I$103,$A$5:$A$103)</f>
        <v>-3.7194805194805478E-4</v>
      </c>
      <c r="U6" s="3">
        <f t="shared" ref="U6:U37" si="13">SLOPE(J$5:J$103,$A$5:$A$103)</f>
        <v>-1.6402721088435472E-3</v>
      </c>
      <c r="V6" s="3">
        <f t="shared" ref="V6:V37" si="14">SLOPE(K$5:K$103,$A$5:$A$103)</f>
        <v>7.6471243042669956E-4</v>
      </c>
      <c r="W6" s="3">
        <f t="shared" ref="W6:W37" si="15">SLOPE(L$5:L$103,$A$5:$A$103)</f>
        <v>-2.3081014223875058E-4</v>
      </c>
      <c r="X6" s="3">
        <f t="shared" ref="X6:X37" si="16">SLOPE(M$5:M$103,$A$5:$A$103)</f>
        <v>1.5802844774273381E-3</v>
      </c>
      <c r="Y6" s="1"/>
      <c r="Z6" s="3">
        <f t="shared" si="2"/>
        <v>-1.9079214597220278</v>
      </c>
      <c r="AA6" s="3">
        <f t="shared" si="3"/>
        <v>-0.29295343676527091</v>
      </c>
      <c r="AB6" s="3">
        <f t="shared" si="4"/>
        <v>-1.2917022253843653</v>
      </c>
      <c r="AC6" s="3">
        <f t="shared" si="5"/>
        <v>0.60228527619529781</v>
      </c>
      <c r="AD6" s="3">
        <f t="shared" si="6"/>
        <v>-0.18179147971962978</v>
      </c>
      <c r="AE6" s="3">
        <f t="shared" si="7"/>
        <v>1.2444775446344229</v>
      </c>
      <c r="AF6" s="1"/>
      <c r="AG6" s="1" t="str" cm="1">
        <f t="array" ref="AG6">_xlfn.IFS(Z6&gt;3,"Strong + Slope",Z6&gt;1.5,"Moderate + Slope",Z6&gt;0.5,"Sideway + Slope",Z6&gt;=-0.5,"Sideway Flat",Z6&gt;=-1.5,"Sideway - Slope",Z6&gt;=-3,"Moderate - Slope",TRUE,"Strong - Slope")</f>
        <v>Moderate - Slope</v>
      </c>
      <c r="AH6" s="1" t="str" cm="1">
        <f t="array" ref="AH6">_xlfn.IFS(AA6&gt;3,"Strong + Slope",AA6&gt;1.5,"Moderate + Slope",AA6&gt;0.5,"Sideway + Slope",AA6&gt;=-0.5,"Sideway Flat",AA6&gt;=-1.5,"Sideway - Slope",AA6&gt;=-3,"Moderate - Slope",TRUE,"Strong - Slope")</f>
        <v>Sideway Flat</v>
      </c>
      <c r="AI6" s="1" t="str" cm="1">
        <f t="array" ref="AI6">_xlfn.IFS(AB6&gt;3,"Strong + Slope",AB6&gt;1.5,"Moderate + Slope",AB6&gt;0.5,"Sideway + Slope",AB6&gt;=-0.5,"Sideway Flat",AB6&gt;=-1.5,"Sideway - Slope",AB6&gt;=-3,"Moderate - Slope",TRUE,"Strong - Slope")</f>
        <v>Sideway - Slope</v>
      </c>
      <c r="AJ6" s="1" t="str" cm="1">
        <f t="array" ref="AJ6">_xlfn.IFS(AC6&gt;3,"Strong + Slope",AC6&gt;1.5,"Moderate + Slope",AC6&gt;0.5,"Sideway + Slope",AC6&gt;=-0.5,"Sideway Flat",AC6&gt;=-1.5,"Sideway - Slope",AC6&gt;=-3,"Moderate - Slope",TRUE,"Strong - Slope")</f>
        <v>Sideway + Slope</v>
      </c>
      <c r="AK6" s="1" t="str" cm="1">
        <f t="array" ref="AK6">_xlfn.IFS(AD6&gt;3,"Strong + Slope",AD6&gt;1.5,"Moderate + Slope",AD6&gt;0.5,"Sideway + Slope",AD6&gt;=-0.5,"Sideway Flat",AD6&gt;=-1.5,"Sideway - Slope",AD6&gt;=-3,"Moderate - Slope",TRUE,"Strong - Slope")</f>
        <v>Sideway Flat</v>
      </c>
      <c r="AL6" s="1" t="str" cm="1">
        <f t="array" ref="AL6">_xlfn.IFS(AE6&gt;3,"Strong + Slope",AE6&gt;1.5,"Moderate + Slope",AE6&gt;0.5,"Sideway + Slope",AE6&gt;=-0.5,"Sideway Flat",AE6&gt;=-1.5,"Sideway - Slope",AE6&gt;=-3,"Moderate - Slope",TRUE,"Strong - Slope")</f>
        <v>Sideway + Slope</v>
      </c>
    </row>
    <row r="7" spans="1:38" x14ac:dyDescent="0.55000000000000004">
      <c r="A7" s="1">
        <v>3</v>
      </c>
      <c r="B7" s="1" t="s">
        <v>6</v>
      </c>
      <c r="C7" s="1" t="s">
        <v>4</v>
      </c>
      <c r="D7" s="1" t="s">
        <v>103</v>
      </c>
      <c r="E7" s="1">
        <v>153.19800000000001</v>
      </c>
      <c r="F7" s="1">
        <v>153.02099999999999</v>
      </c>
      <c r="G7" s="1">
        <v>153.05000000000001</v>
      </c>
      <c r="H7" s="1">
        <v>153.03299999999999</v>
      </c>
      <c r="I7" s="1">
        <v>152.91</v>
      </c>
      <c r="J7" s="1">
        <v>153.268</v>
      </c>
      <c r="K7" s="1">
        <v>152.56200000000001</v>
      </c>
      <c r="L7" s="1">
        <v>152.602</v>
      </c>
      <c r="M7" s="1">
        <v>152.77099999999999</v>
      </c>
      <c r="N7" s="11">
        <f t="shared" si="0"/>
        <v>0.17700000000002092</v>
      </c>
      <c r="O7" s="11">
        <f t="shared" si="8"/>
        <v>2.0000000000095497E-3</v>
      </c>
      <c r="P7" s="11">
        <f t="shared" si="9"/>
        <v>0.17500000000001137</v>
      </c>
      <c r="Q7" s="11">
        <f t="shared" si="10"/>
        <v>0.17700000000002092</v>
      </c>
      <c r="R7" s="1"/>
      <c r="S7" s="3">
        <f t="shared" si="11"/>
        <v>-2.423265306122455E-3</v>
      </c>
      <c r="T7" s="3">
        <f t="shared" si="12"/>
        <v>-3.7194805194805478E-4</v>
      </c>
      <c r="U7" s="3">
        <f t="shared" si="13"/>
        <v>-1.6402721088435472E-3</v>
      </c>
      <c r="V7" s="3">
        <f t="shared" si="14"/>
        <v>7.6471243042669956E-4</v>
      </c>
      <c r="W7" s="3">
        <f t="shared" si="15"/>
        <v>-2.3081014223875058E-4</v>
      </c>
      <c r="X7" s="3">
        <f t="shared" si="16"/>
        <v>1.5802844774273381E-3</v>
      </c>
      <c r="Y7" s="1"/>
      <c r="Z7" s="3">
        <f t="shared" si="2"/>
        <v>-1.9079214597220278</v>
      </c>
      <c r="AA7" s="3">
        <f t="shared" si="3"/>
        <v>-0.29295343676527091</v>
      </c>
      <c r="AB7" s="3">
        <f t="shared" si="4"/>
        <v>-1.2917022253843653</v>
      </c>
      <c r="AC7" s="3">
        <f t="shared" si="5"/>
        <v>0.60228527619529781</v>
      </c>
      <c r="AD7" s="3">
        <f t="shared" si="6"/>
        <v>-0.18179147971962978</v>
      </c>
      <c r="AE7" s="3">
        <f t="shared" si="7"/>
        <v>1.2444775446344229</v>
      </c>
      <c r="AF7" s="1"/>
      <c r="AG7" s="1" t="str" cm="1">
        <f t="array" ref="AG7">_xlfn.IFS(Z7&gt;3,"Strong + Slope",Z7&gt;1.5,"Moderate + Slope",Z7&gt;0.5,"Sideway + Slope",Z7&gt;=-0.5,"Sideway Flat",Z7&gt;=-1.5,"Sideway - Slope",Z7&gt;=-3,"Moderate - Slope",TRUE,"Strong - Slope")</f>
        <v>Moderate - Slope</v>
      </c>
      <c r="AH7" s="1" t="str" cm="1">
        <f t="array" ref="AH7">_xlfn.IFS(AA7&gt;3,"Strong + Slope",AA7&gt;1.5,"Moderate + Slope",AA7&gt;0.5,"Sideway + Slope",AA7&gt;=-0.5,"Sideway Flat",AA7&gt;=-1.5,"Sideway - Slope",AA7&gt;=-3,"Moderate - Slope",TRUE,"Strong - Slope")</f>
        <v>Sideway Flat</v>
      </c>
      <c r="AI7" s="1" t="str" cm="1">
        <f t="array" ref="AI7">_xlfn.IFS(AB7&gt;3,"Strong + Slope",AB7&gt;1.5,"Moderate + Slope",AB7&gt;0.5,"Sideway + Slope",AB7&gt;=-0.5,"Sideway Flat",AB7&gt;=-1.5,"Sideway - Slope",AB7&gt;=-3,"Moderate - Slope",TRUE,"Strong - Slope")</f>
        <v>Sideway - Slope</v>
      </c>
      <c r="AJ7" s="1" t="str" cm="1">
        <f t="array" ref="AJ7">_xlfn.IFS(AC7&gt;3,"Strong + Slope",AC7&gt;1.5,"Moderate + Slope",AC7&gt;0.5,"Sideway + Slope",AC7&gt;=-0.5,"Sideway Flat",AC7&gt;=-1.5,"Sideway - Slope",AC7&gt;=-3,"Moderate - Slope",TRUE,"Strong - Slope")</f>
        <v>Sideway + Slope</v>
      </c>
      <c r="AK7" s="1" t="str" cm="1">
        <f t="array" ref="AK7">_xlfn.IFS(AD7&gt;3,"Strong + Slope",AD7&gt;1.5,"Moderate + Slope",AD7&gt;0.5,"Sideway + Slope",AD7&gt;=-0.5,"Sideway Flat",AD7&gt;=-1.5,"Sideway - Slope",AD7&gt;=-3,"Moderate - Slope",TRUE,"Strong - Slope")</f>
        <v>Sideway Flat</v>
      </c>
      <c r="AL7" s="1" t="str" cm="1">
        <f t="array" ref="AL7">_xlfn.IFS(AE7&gt;3,"Strong + Slope",AE7&gt;1.5,"Moderate + Slope",AE7&gt;0.5,"Sideway + Slope",AE7&gt;=-0.5,"Sideway Flat",AE7&gt;=-1.5,"Sideway - Slope",AE7&gt;=-3,"Moderate - Slope",TRUE,"Strong - Slope")</f>
        <v>Sideway + Slope</v>
      </c>
    </row>
    <row r="8" spans="1:38" x14ac:dyDescent="0.55000000000000004">
      <c r="A8" s="1">
        <v>4</v>
      </c>
      <c r="B8" s="1" t="s">
        <v>7</v>
      </c>
      <c r="C8" s="1" t="s">
        <v>4</v>
      </c>
      <c r="D8" s="1" t="s">
        <v>103</v>
      </c>
      <c r="E8" s="1">
        <v>153.07</v>
      </c>
      <c r="F8" s="1">
        <v>152.964</v>
      </c>
      <c r="G8" s="1">
        <v>153.06700000000001</v>
      </c>
      <c r="H8" s="1">
        <v>153.03100000000001</v>
      </c>
      <c r="I8" s="1">
        <v>152.91</v>
      </c>
      <c r="J8" s="1">
        <v>153.26599999999999</v>
      </c>
      <c r="K8" s="1">
        <v>152.56200000000001</v>
      </c>
      <c r="L8" s="1">
        <v>152.602</v>
      </c>
      <c r="M8" s="1">
        <v>152.773</v>
      </c>
      <c r="N8" s="11">
        <f t="shared" si="0"/>
        <v>0.10599999999999454</v>
      </c>
      <c r="O8" s="11">
        <f t="shared" si="8"/>
        <v>1.999999999998181E-2</v>
      </c>
      <c r="P8" s="11">
        <f t="shared" si="9"/>
        <v>8.6000000000012733E-2</v>
      </c>
      <c r="Q8" s="11">
        <f t="shared" si="10"/>
        <v>0.10599999999999454</v>
      </c>
      <c r="R8" s="1"/>
      <c r="S8" s="3">
        <f t="shared" si="11"/>
        <v>-2.423265306122455E-3</v>
      </c>
      <c r="T8" s="3">
        <f t="shared" si="12"/>
        <v>-3.7194805194805478E-4</v>
      </c>
      <c r="U8" s="3">
        <f t="shared" si="13"/>
        <v>-1.6402721088435472E-3</v>
      </c>
      <c r="V8" s="3">
        <f t="shared" si="14"/>
        <v>7.6471243042669956E-4</v>
      </c>
      <c r="W8" s="3">
        <f t="shared" si="15"/>
        <v>-2.3081014223875058E-4</v>
      </c>
      <c r="X8" s="3">
        <f t="shared" si="16"/>
        <v>1.5802844774273381E-3</v>
      </c>
      <c r="Y8" s="1"/>
      <c r="Z8" s="3">
        <f t="shared" si="2"/>
        <v>-1.9079214597220278</v>
      </c>
      <c r="AA8" s="3">
        <f t="shared" si="3"/>
        <v>-0.29295343676527091</v>
      </c>
      <c r="AB8" s="3">
        <f t="shared" si="4"/>
        <v>-1.2917022253843653</v>
      </c>
      <c r="AC8" s="3">
        <f t="shared" si="5"/>
        <v>0.60228527619529781</v>
      </c>
      <c r="AD8" s="3">
        <f t="shared" si="6"/>
        <v>-0.18179147971962978</v>
      </c>
      <c r="AE8" s="3">
        <f t="shared" si="7"/>
        <v>1.2444775446344229</v>
      </c>
      <c r="AF8" s="1"/>
      <c r="AG8" s="1" t="str" cm="1">
        <f t="array" ref="AG8">_xlfn.IFS(Z8&gt;3,"Strong + Slope",Z8&gt;1.5,"Moderate + Slope",Z8&gt;0.5,"Sideway + Slope",Z8&gt;=-0.5,"Sideway Flat",Z8&gt;=-1.5,"Sideway - Slope",Z8&gt;=-3,"Moderate - Slope",TRUE,"Strong - Slope")</f>
        <v>Moderate - Slope</v>
      </c>
      <c r="AH8" s="1" t="str" cm="1">
        <f t="array" ref="AH8">_xlfn.IFS(AA8&gt;3,"Strong + Slope",AA8&gt;1.5,"Moderate + Slope",AA8&gt;0.5,"Sideway + Slope",AA8&gt;=-0.5,"Sideway Flat",AA8&gt;=-1.5,"Sideway - Slope",AA8&gt;=-3,"Moderate - Slope",TRUE,"Strong - Slope")</f>
        <v>Sideway Flat</v>
      </c>
      <c r="AI8" s="1" t="str" cm="1">
        <f t="array" ref="AI8">_xlfn.IFS(AB8&gt;3,"Strong + Slope",AB8&gt;1.5,"Moderate + Slope",AB8&gt;0.5,"Sideway + Slope",AB8&gt;=-0.5,"Sideway Flat",AB8&gt;=-1.5,"Sideway - Slope",AB8&gt;=-3,"Moderate - Slope",TRUE,"Strong - Slope")</f>
        <v>Sideway - Slope</v>
      </c>
      <c r="AJ8" s="1" t="str" cm="1">
        <f t="array" ref="AJ8">_xlfn.IFS(AC8&gt;3,"Strong + Slope",AC8&gt;1.5,"Moderate + Slope",AC8&gt;0.5,"Sideway + Slope",AC8&gt;=-0.5,"Sideway Flat",AC8&gt;=-1.5,"Sideway - Slope",AC8&gt;=-3,"Moderate - Slope",TRUE,"Strong - Slope")</f>
        <v>Sideway + Slope</v>
      </c>
      <c r="AK8" s="1" t="str" cm="1">
        <f t="array" ref="AK8">_xlfn.IFS(AD8&gt;3,"Strong + Slope",AD8&gt;1.5,"Moderate + Slope",AD8&gt;0.5,"Sideway + Slope",AD8&gt;=-0.5,"Sideway Flat",AD8&gt;=-1.5,"Sideway - Slope",AD8&gt;=-3,"Moderate - Slope",TRUE,"Strong - Slope")</f>
        <v>Sideway Flat</v>
      </c>
      <c r="AL8" s="1" t="str" cm="1">
        <f t="array" ref="AL8">_xlfn.IFS(AE8&gt;3,"Strong + Slope",AE8&gt;1.5,"Moderate + Slope",AE8&gt;0.5,"Sideway + Slope",AE8&gt;=-0.5,"Sideway Flat",AE8&gt;=-1.5,"Sideway - Slope",AE8&gt;=-3,"Moderate - Slope",TRUE,"Strong - Slope")</f>
        <v>Sideway + Slope</v>
      </c>
    </row>
    <row r="9" spans="1:38" x14ac:dyDescent="0.55000000000000004">
      <c r="A9" s="1">
        <v>5</v>
      </c>
      <c r="B9" s="1" t="s">
        <v>8</v>
      </c>
      <c r="C9" s="1" t="s">
        <v>4</v>
      </c>
      <c r="D9" s="1" t="s">
        <v>103</v>
      </c>
      <c r="E9" s="1">
        <v>153.124</v>
      </c>
      <c r="F9" s="1">
        <v>153.005</v>
      </c>
      <c r="G9" s="1">
        <v>153.042</v>
      </c>
      <c r="H9" s="1">
        <v>153.029</v>
      </c>
      <c r="I9" s="1">
        <v>152.91</v>
      </c>
      <c r="J9" s="1">
        <v>153.26400000000001</v>
      </c>
      <c r="K9" s="1">
        <v>152.56299999999999</v>
      </c>
      <c r="L9" s="1">
        <v>152.602</v>
      </c>
      <c r="M9" s="1">
        <v>152.774</v>
      </c>
      <c r="N9" s="11">
        <f t="shared" si="0"/>
        <v>0.11899999999999977</v>
      </c>
      <c r="O9" s="11">
        <f t="shared" si="8"/>
        <v>5.6999999999987949E-2</v>
      </c>
      <c r="P9" s="11">
        <f t="shared" si="9"/>
        <v>6.2000000000011823E-2</v>
      </c>
      <c r="Q9" s="11">
        <f t="shared" si="10"/>
        <v>0.11899999999999977</v>
      </c>
      <c r="R9" s="1"/>
      <c r="S9" s="3">
        <f t="shared" si="11"/>
        <v>-2.423265306122455E-3</v>
      </c>
      <c r="T9" s="3">
        <f t="shared" si="12"/>
        <v>-3.7194805194805478E-4</v>
      </c>
      <c r="U9" s="3">
        <f t="shared" si="13"/>
        <v>-1.6402721088435472E-3</v>
      </c>
      <c r="V9" s="3">
        <f t="shared" si="14"/>
        <v>7.6471243042669956E-4</v>
      </c>
      <c r="W9" s="3">
        <f t="shared" si="15"/>
        <v>-2.3081014223875058E-4</v>
      </c>
      <c r="X9" s="3">
        <f t="shared" si="16"/>
        <v>1.5802844774273381E-3</v>
      </c>
      <c r="Y9" s="1"/>
      <c r="Z9" s="3">
        <f t="shared" si="2"/>
        <v>-1.9079214597220278</v>
      </c>
      <c r="AA9" s="3">
        <f t="shared" si="3"/>
        <v>-0.29295343676527091</v>
      </c>
      <c r="AB9" s="3">
        <f t="shared" si="4"/>
        <v>-1.2917022253843653</v>
      </c>
      <c r="AC9" s="3">
        <f t="shared" si="5"/>
        <v>0.60228527619529781</v>
      </c>
      <c r="AD9" s="3">
        <f t="shared" si="6"/>
        <v>-0.18179147971962978</v>
      </c>
      <c r="AE9" s="3">
        <f t="shared" si="7"/>
        <v>1.2444775446344229</v>
      </c>
      <c r="AF9" s="1"/>
      <c r="AG9" s="1" t="str" cm="1">
        <f t="array" ref="AG9">_xlfn.IFS(Z9&gt;3,"Strong + Slope",Z9&gt;1.5,"Moderate + Slope",Z9&gt;0.5,"Sideway + Slope",Z9&gt;=-0.5,"Sideway Flat",Z9&gt;=-1.5,"Sideway - Slope",Z9&gt;=-3,"Moderate - Slope",TRUE,"Strong - Slope")</f>
        <v>Moderate - Slope</v>
      </c>
      <c r="AH9" s="1" t="str" cm="1">
        <f t="array" ref="AH9">_xlfn.IFS(AA9&gt;3,"Strong + Slope",AA9&gt;1.5,"Moderate + Slope",AA9&gt;0.5,"Sideway + Slope",AA9&gt;=-0.5,"Sideway Flat",AA9&gt;=-1.5,"Sideway - Slope",AA9&gt;=-3,"Moderate - Slope",TRUE,"Strong - Slope")</f>
        <v>Sideway Flat</v>
      </c>
      <c r="AI9" s="1" t="str" cm="1">
        <f t="array" ref="AI9">_xlfn.IFS(AB9&gt;3,"Strong + Slope",AB9&gt;1.5,"Moderate + Slope",AB9&gt;0.5,"Sideway + Slope",AB9&gt;=-0.5,"Sideway Flat",AB9&gt;=-1.5,"Sideway - Slope",AB9&gt;=-3,"Moderate - Slope",TRUE,"Strong - Slope")</f>
        <v>Sideway - Slope</v>
      </c>
      <c r="AJ9" s="1" t="str" cm="1">
        <f t="array" ref="AJ9">_xlfn.IFS(AC9&gt;3,"Strong + Slope",AC9&gt;1.5,"Moderate + Slope",AC9&gt;0.5,"Sideway + Slope",AC9&gt;=-0.5,"Sideway Flat",AC9&gt;=-1.5,"Sideway - Slope",AC9&gt;=-3,"Moderate - Slope",TRUE,"Strong - Slope")</f>
        <v>Sideway + Slope</v>
      </c>
      <c r="AK9" s="1" t="str" cm="1">
        <f t="array" ref="AK9">_xlfn.IFS(AD9&gt;3,"Strong + Slope",AD9&gt;1.5,"Moderate + Slope",AD9&gt;0.5,"Sideway + Slope",AD9&gt;=-0.5,"Sideway Flat",AD9&gt;=-1.5,"Sideway - Slope",AD9&gt;=-3,"Moderate - Slope",TRUE,"Strong - Slope")</f>
        <v>Sideway Flat</v>
      </c>
      <c r="AL9" s="1" t="str" cm="1">
        <f t="array" ref="AL9">_xlfn.IFS(AE9&gt;3,"Strong + Slope",AE9&gt;1.5,"Moderate + Slope",AE9&gt;0.5,"Sideway + Slope",AE9&gt;=-0.5,"Sideway Flat",AE9&gt;=-1.5,"Sideway - Slope",AE9&gt;=-3,"Moderate - Slope",TRUE,"Strong - Slope")</f>
        <v>Sideway + Slope</v>
      </c>
    </row>
    <row r="10" spans="1:38" x14ac:dyDescent="0.55000000000000004">
      <c r="A10" s="1">
        <v>6</v>
      </c>
      <c r="B10" s="1" t="s">
        <v>9</v>
      </c>
      <c r="C10" s="1" t="s">
        <v>4</v>
      </c>
      <c r="D10" s="1" t="s">
        <v>103</v>
      </c>
      <c r="E10" s="1">
        <v>153.101</v>
      </c>
      <c r="F10" s="1">
        <v>153.02199999999999</v>
      </c>
      <c r="G10" s="1">
        <v>153.05000000000001</v>
      </c>
      <c r="H10" s="1">
        <v>153.02600000000001</v>
      </c>
      <c r="I10" s="1">
        <v>152.90899999999999</v>
      </c>
      <c r="J10" s="1">
        <v>153.26300000000001</v>
      </c>
      <c r="K10" s="1">
        <v>152.56399999999999</v>
      </c>
      <c r="L10" s="1">
        <v>152.602</v>
      </c>
      <c r="M10" s="1">
        <v>152.77600000000001</v>
      </c>
      <c r="N10" s="11">
        <f t="shared" si="0"/>
        <v>7.9000000000007731E-2</v>
      </c>
      <c r="O10" s="11">
        <f t="shared" si="8"/>
        <v>5.8999999999997499E-2</v>
      </c>
      <c r="P10" s="11">
        <f t="shared" si="9"/>
        <v>2.0000000000010232E-2</v>
      </c>
      <c r="Q10" s="11">
        <f t="shared" si="10"/>
        <v>7.9000000000007731E-2</v>
      </c>
      <c r="R10" s="1"/>
      <c r="S10" s="3">
        <f t="shared" si="11"/>
        <v>-2.423265306122455E-3</v>
      </c>
      <c r="T10" s="3">
        <f t="shared" si="12"/>
        <v>-3.7194805194805478E-4</v>
      </c>
      <c r="U10" s="3">
        <f t="shared" si="13"/>
        <v>-1.6402721088435472E-3</v>
      </c>
      <c r="V10" s="3">
        <f t="shared" si="14"/>
        <v>7.6471243042669956E-4</v>
      </c>
      <c r="W10" s="3">
        <f t="shared" si="15"/>
        <v>-2.3081014223875058E-4</v>
      </c>
      <c r="X10" s="3">
        <f t="shared" si="16"/>
        <v>1.5802844774273381E-3</v>
      </c>
      <c r="Y10" s="12"/>
      <c r="Z10" s="3">
        <f t="shared" si="2"/>
        <v>-1.9079214597220278</v>
      </c>
      <c r="AA10" s="3">
        <f t="shared" si="3"/>
        <v>-0.29295343676527091</v>
      </c>
      <c r="AB10" s="3">
        <f t="shared" si="4"/>
        <v>-1.2917022253843653</v>
      </c>
      <c r="AC10" s="3">
        <f t="shared" si="5"/>
        <v>0.60228527619529781</v>
      </c>
      <c r="AD10" s="3">
        <f t="shared" si="6"/>
        <v>-0.18179147971962978</v>
      </c>
      <c r="AE10" s="3">
        <f t="shared" si="7"/>
        <v>1.2444775446344229</v>
      </c>
      <c r="AF10" s="1"/>
      <c r="AG10" s="1" t="str" cm="1">
        <f t="array" ref="AG10">_xlfn.IFS(Z10&gt;3,"Strong + Slope",Z10&gt;1.5,"Moderate + Slope",Z10&gt;0.5,"Sideway + Slope",Z10&gt;=-0.5,"Sideway Flat",Z10&gt;=-1.5,"Sideway - Slope",Z10&gt;=-3,"Moderate - Slope",TRUE,"Strong - Slope")</f>
        <v>Moderate - Slope</v>
      </c>
      <c r="AH10" s="1" t="str" cm="1">
        <f t="array" ref="AH10">_xlfn.IFS(AA10&gt;3,"Strong + Slope",AA10&gt;1.5,"Moderate + Slope",AA10&gt;0.5,"Sideway + Slope",AA10&gt;=-0.5,"Sideway Flat",AA10&gt;=-1.5,"Sideway - Slope",AA10&gt;=-3,"Moderate - Slope",TRUE,"Strong - Slope")</f>
        <v>Sideway Flat</v>
      </c>
      <c r="AI10" s="1" t="str" cm="1">
        <f t="array" ref="AI10">_xlfn.IFS(AB10&gt;3,"Strong + Slope",AB10&gt;1.5,"Moderate + Slope",AB10&gt;0.5,"Sideway + Slope",AB10&gt;=-0.5,"Sideway Flat",AB10&gt;=-1.5,"Sideway - Slope",AB10&gt;=-3,"Moderate - Slope",TRUE,"Strong - Slope")</f>
        <v>Sideway - Slope</v>
      </c>
      <c r="AJ10" s="1" t="str" cm="1">
        <f t="array" ref="AJ10">_xlfn.IFS(AC10&gt;3,"Strong + Slope",AC10&gt;1.5,"Moderate + Slope",AC10&gt;0.5,"Sideway + Slope",AC10&gt;=-0.5,"Sideway Flat",AC10&gt;=-1.5,"Sideway - Slope",AC10&gt;=-3,"Moderate - Slope",TRUE,"Strong - Slope")</f>
        <v>Sideway + Slope</v>
      </c>
      <c r="AK10" s="1" t="str" cm="1">
        <f t="array" ref="AK10">_xlfn.IFS(AD10&gt;3,"Strong + Slope",AD10&gt;1.5,"Moderate + Slope",AD10&gt;0.5,"Sideway + Slope",AD10&gt;=-0.5,"Sideway Flat",AD10&gt;=-1.5,"Sideway - Slope",AD10&gt;=-3,"Moderate - Slope",TRUE,"Strong - Slope")</f>
        <v>Sideway Flat</v>
      </c>
      <c r="AL10" s="1" t="str" cm="1">
        <f t="array" ref="AL10">_xlfn.IFS(AE10&gt;3,"Strong + Slope",AE10&gt;1.5,"Moderate + Slope",AE10&gt;0.5,"Sideway + Slope",AE10&gt;=-0.5,"Sideway Flat",AE10&gt;=-1.5,"Sideway - Slope",AE10&gt;=-3,"Moderate - Slope",TRUE,"Strong - Slope")</f>
        <v>Sideway + Slope</v>
      </c>
    </row>
    <row r="11" spans="1:38" x14ac:dyDescent="0.55000000000000004">
      <c r="A11" s="1">
        <v>7</v>
      </c>
      <c r="B11" s="1" t="s">
        <v>10</v>
      </c>
      <c r="C11" s="1" t="s">
        <v>4</v>
      </c>
      <c r="D11" s="1" t="s">
        <v>103</v>
      </c>
      <c r="E11" s="1">
        <v>153.05099999999999</v>
      </c>
      <c r="F11" s="1">
        <v>152.97200000000001</v>
      </c>
      <c r="G11" s="1">
        <v>153.03299999999999</v>
      </c>
      <c r="H11" s="1">
        <v>153.024</v>
      </c>
      <c r="I11" s="1">
        <v>152.90899999999999</v>
      </c>
      <c r="J11" s="1">
        <v>153.261</v>
      </c>
      <c r="K11" s="1">
        <v>152.565</v>
      </c>
      <c r="L11" s="1">
        <v>152.602</v>
      </c>
      <c r="M11" s="1">
        <v>152.77799999999999</v>
      </c>
      <c r="N11" s="11">
        <f t="shared" si="0"/>
        <v>7.8999999999979309E-2</v>
      </c>
      <c r="O11" s="11">
        <f t="shared" si="8"/>
        <v>9.9999999997635314E-4</v>
      </c>
      <c r="P11" s="11">
        <f t="shared" si="9"/>
        <v>7.8000000000002956E-2</v>
      </c>
      <c r="Q11" s="11">
        <f t="shared" si="10"/>
        <v>7.8999999999979309E-2</v>
      </c>
      <c r="R11" s="1"/>
      <c r="S11" s="3">
        <f t="shared" si="11"/>
        <v>-2.423265306122455E-3</v>
      </c>
      <c r="T11" s="3">
        <f t="shared" si="12"/>
        <v>-3.7194805194805478E-4</v>
      </c>
      <c r="U11" s="3">
        <f t="shared" si="13"/>
        <v>-1.6402721088435472E-3</v>
      </c>
      <c r="V11" s="3">
        <f t="shared" si="14"/>
        <v>7.6471243042669956E-4</v>
      </c>
      <c r="W11" s="3">
        <f t="shared" si="15"/>
        <v>-2.3081014223875058E-4</v>
      </c>
      <c r="X11" s="3">
        <f t="shared" si="16"/>
        <v>1.5802844774273381E-3</v>
      </c>
      <c r="Y11" s="1"/>
      <c r="Z11" s="3">
        <f t="shared" si="2"/>
        <v>-1.9079214597220278</v>
      </c>
      <c r="AA11" s="3">
        <f t="shared" si="3"/>
        <v>-0.29295343676527091</v>
      </c>
      <c r="AB11" s="3">
        <f t="shared" si="4"/>
        <v>-1.2917022253843653</v>
      </c>
      <c r="AC11" s="3">
        <f t="shared" si="5"/>
        <v>0.60228527619529781</v>
      </c>
      <c r="AD11" s="3">
        <f t="shared" si="6"/>
        <v>-0.18179147971962978</v>
      </c>
      <c r="AE11" s="3">
        <f t="shared" si="7"/>
        <v>1.2444775446344229</v>
      </c>
      <c r="AF11" s="1"/>
      <c r="AG11" s="1" t="str" cm="1">
        <f t="array" ref="AG11">_xlfn.IFS(Z11&gt;3,"Strong + Slope",Z11&gt;1.5,"Moderate + Slope",Z11&gt;0.5,"Sideway + Slope",Z11&gt;=-0.5,"Sideway Flat",Z11&gt;=-1.5,"Sideway - Slope",Z11&gt;=-3,"Moderate - Slope",TRUE,"Strong - Slope")</f>
        <v>Moderate - Slope</v>
      </c>
      <c r="AH11" s="1" t="str" cm="1">
        <f t="array" ref="AH11">_xlfn.IFS(AA11&gt;3,"Strong + Slope",AA11&gt;1.5,"Moderate + Slope",AA11&gt;0.5,"Sideway + Slope",AA11&gt;=-0.5,"Sideway Flat",AA11&gt;=-1.5,"Sideway - Slope",AA11&gt;=-3,"Moderate - Slope",TRUE,"Strong - Slope")</f>
        <v>Sideway Flat</v>
      </c>
      <c r="AI11" s="1" t="str" cm="1">
        <f t="array" ref="AI11">_xlfn.IFS(AB11&gt;3,"Strong + Slope",AB11&gt;1.5,"Moderate + Slope",AB11&gt;0.5,"Sideway + Slope",AB11&gt;=-0.5,"Sideway Flat",AB11&gt;=-1.5,"Sideway - Slope",AB11&gt;=-3,"Moderate - Slope",TRUE,"Strong - Slope")</f>
        <v>Sideway - Slope</v>
      </c>
      <c r="AJ11" s="1" t="str" cm="1">
        <f t="array" ref="AJ11">_xlfn.IFS(AC11&gt;3,"Strong + Slope",AC11&gt;1.5,"Moderate + Slope",AC11&gt;0.5,"Sideway + Slope",AC11&gt;=-0.5,"Sideway Flat",AC11&gt;=-1.5,"Sideway - Slope",AC11&gt;=-3,"Moderate - Slope",TRUE,"Strong - Slope")</f>
        <v>Sideway + Slope</v>
      </c>
      <c r="AK11" s="1" t="str" cm="1">
        <f t="array" ref="AK11">_xlfn.IFS(AD11&gt;3,"Strong + Slope",AD11&gt;1.5,"Moderate + Slope",AD11&gt;0.5,"Sideway + Slope",AD11&gt;=-0.5,"Sideway Flat",AD11&gt;=-1.5,"Sideway - Slope",AD11&gt;=-3,"Moderate - Slope",TRUE,"Strong - Slope")</f>
        <v>Sideway Flat</v>
      </c>
      <c r="AL11" s="1" t="str" cm="1">
        <f t="array" ref="AL11">_xlfn.IFS(AE11&gt;3,"Strong + Slope",AE11&gt;1.5,"Moderate + Slope",AE11&gt;0.5,"Sideway + Slope",AE11&gt;=-0.5,"Sideway Flat",AE11&gt;=-1.5,"Sideway - Slope",AE11&gt;=-3,"Moderate - Slope",TRUE,"Strong - Slope")</f>
        <v>Sideway + Slope</v>
      </c>
    </row>
    <row r="12" spans="1:38" x14ac:dyDescent="0.55000000000000004">
      <c r="A12" s="1">
        <v>8</v>
      </c>
      <c r="B12" s="1" t="s">
        <v>11</v>
      </c>
      <c r="C12" s="1" t="s">
        <v>4</v>
      </c>
      <c r="D12" s="1" t="s">
        <v>103</v>
      </c>
      <c r="E12" s="1">
        <v>153.102</v>
      </c>
      <c r="F12" s="1">
        <v>152.98599999999999</v>
      </c>
      <c r="G12" s="1">
        <v>152.999</v>
      </c>
      <c r="H12" s="1">
        <v>153.02099999999999</v>
      </c>
      <c r="I12" s="1">
        <v>152.90799999999999</v>
      </c>
      <c r="J12" s="1">
        <v>153.25899999999999</v>
      </c>
      <c r="K12" s="1">
        <v>152.565</v>
      </c>
      <c r="L12" s="1">
        <v>152.601</v>
      </c>
      <c r="M12" s="1">
        <v>152.779</v>
      </c>
      <c r="N12" s="11">
        <f t="shared" si="0"/>
        <v>0.11600000000001387</v>
      </c>
      <c r="O12" s="11">
        <f t="shared" si="8"/>
        <v>6.9000000000016826E-2</v>
      </c>
      <c r="P12" s="11">
        <f t="shared" si="9"/>
        <v>4.6999999999997044E-2</v>
      </c>
      <c r="Q12" s="11">
        <f t="shared" si="10"/>
        <v>0.11600000000001387</v>
      </c>
      <c r="R12" s="1"/>
      <c r="S12" s="3">
        <f t="shared" si="11"/>
        <v>-2.423265306122455E-3</v>
      </c>
      <c r="T12" s="3">
        <f t="shared" si="12"/>
        <v>-3.7194805194805478E-4</v>
      </c>
      <c r="U12" s="3">
        <f t="shared" si="13"/>
        <v>-1.6402721088435472E-3</v>
      </c>
      <c r="V12" s="3">
        <f t="shared" si="14"/>
        <v>7.6471243042669956E-4</v>
      </c>
      <c r="W12" s="3">
        <f t="shared" si="15"/>
        <v>-2.3081014223875058E-4</v>
      </c>
      <c r="X12" s="3">
        <f t="shared" si="16"/>
        <v>1.5802844774273381E-3</v>
      </c>
      <c r="Y12" s="1"/>
      <c r="Z12" s="3">
        <f t="shared" si="2"/>
        <v>-1.9079214597220278</v>
      </c>
      <c r="AA12" s="3">
        <f t="shared" si="3"/>
        <v>-0.29295343676527091</v>
      </c>
      <c r="AB12" s="3">
        <f t="shared" si="4"/>
        <v>-1.2917022253843653</v>
      </c>
      <c r="AC12" s="3">
        <f t="shared" si="5"/>
        <v>0.60228527619529781</v>
      </c>
      <c r="AD12" s="3">
        <f t="shared" si="6"/>
        <v>-0.18179147971962978</v>
      </c>
      <c r="AE12" s="3">
        <f t="shared" si="7"/>
        <v>1.2444775446344229</v>
      </c>
      <c r="AF12" s="1"/>
      <c r="AG12" s="1" t="str" cm="1">
        <f t="array" ref="AG12">_xlfn.IFS(Z12&gt;3,"Strong + Slope",Z12&gt;1.5,"Moderate + Slope",Z12&gt;0.5,"Sideway + Slope",Z12&gt;=-0.5,"Sideway Flat",Z12&gt;=-1.5,"Sideway - Slope",Z12&gt;=-3,"Moderate - Slope",TRUE,"Strong - Slope")</f>
        <v>Moderate - Slope</v>
      </c>
      <c r="AH12" s="1" t="str" cm="1">
        <f t="array" ref="AH12">_xlfn.IFS(AA12&gt;3,"Strong + Slope",AA12&gt;1.5,"Moderate + Slope",AA12&gt;0.5,"Sideway + Slope",AA12&gt;=-0.5,"Sideway Flat",AA12&gt;=-1.5,"Sideway - Slope",AA12&gt;=-3,"Moderate - Slope",TRUE,"Strong - Slope")</f>
        <v>Sideway Flat</v>
      </c>
      <c r="AI12" s="1" t="str" cm="1">
        <f t="array" ref="AI12">_xlfn.IFS(AB12&gt;3,"Strong + Slope",AB12&gt;1.5,"Moderate + Slope",AB12&gt;0.5,"Sideway + Slope",AB12&gt;=-0.5,"Sideway Flat",AB12&gt;=-1.5,"Sideway - Slope",AB12&gt;=-3,"Moderate - Slope",TRUE,"Strong - Slope")</f>
        <v>Sideway - Slope</v>
      </c>
      <c r="AJ12" s="1" t="str" cm="1">
        <f t="array" ref="AJ12">_xlfn.IFS(AC12&gt;3,"Strong + Slope",AC12&gt;1.5,"Moderate + Slope",AC12&gt;0.5,"Sideway + Slope",AC12&gt;=-0.5,"Sideway Flat",AC12&gt;=-1.5,"Sideway - Slope",AC12&gt;=-3,"Moderate - Slope",TRUE,"Strong - Slope")</f>
        <v>Sideway + Slope</v>
      </c>
      <c r="AK12" s="1" t="str" cm="1">
        <f t="array" ref="AK12">_xlfn.IFS(AD12&gt;3,"Strong + Slope",AD12&gt;1.5,"Moderate + Slope",AD12&gt;0.5,"Sideway + Slope",AD12&gt;=-0.5,"Sideway Flat",AD12&gt;=-1.5,"Sideway - Slope",AD12&gt;=-3,"Moderate - Slope",TRUE,"Strong - Slope")</f>
        <v>Sideway Flat</v>
      </c>
      <c r="AL12" s="1" t="str" cm="1">
        <f t="array" ref="AL12">_xlfn.IFS(AE12&gt;3,"Strong + Slope",AE12&gt;1.5,"Moderate + Slope",AE12&gt;0.5,"Sideway + Slope",AE12&gt;=-0.5,"Sideway Flat",AE12&gt;=-1.5,"Sideway - Slope",AE12&gt;=-3,"Moderate - Slope",TRUE,"Strong - Slope")</f>
        <v>Sideway + Slope</v>
      </c>
    </row>
    <row r="13" spans="1:38" x14ac:dyDescent="0.55000000000000004">
      <c r="A13" s="1">
        <v>9</v>
      </c>
      <c r="B13" s="1" t="s">
        <v>12</v>
      </c>
      <c r="C13" s="1" t="s">
        <v>4</v>
      </c>
      <c r="D13" s="1" t="s">
        <v>103</v>
      </c>
      <c r="E13" s="1">
        <v>153.03399999999999</v>
      </c>
      <c r="F13" s="1">
        <v>152.96199999999999</v>
      </c>
      <c r="G13" s="1">
        <v>152.999</v>
      </c>
      <c r="H13" s="1">
        <v>153.01900000000001</v>
      </c>
      <c r="I13" s="1">
        <v>152.90799999999999</v>
      </c>
      <c r="J13" s="1">
        <v>153.25800000000001</v>
      </c>
      <c r="K13" s="1">
        <v>152.566</v>
      </c>
      <c r="L13" s="1">
        <v>152.601</v>
      </c>
      <c r="M13" s="1">
        <v>152.78100000000001</v>
      </c>
      <c r="N13" s="11">
        <f t="shared" si="0"/>
        <v>7.2000000000002728E-2</v>
      </c>
      <c r="O13" s="11">
        <f t="shared" si="8"/>
        <v>3.4999999999996589E-2</v>
      </c>
      <c r="P13" s="11">
        <f t="shared" si="9"/>
        <v>3.7000000000006139E-2</v>
      </c>
      <c r="Q13" s="11">
        <f t="shared" si="10"/>
        <v>7.2000000000002728E-2</v>
      </c>
      <c r="R13" s="1"/>
      <c r="S13" s="3">
        <f t="shared" si="11"/>
        <v>-2.423265306122455E-3</v>
      </c>
      <c r="T13" s="3">
        <f t="shared" si="12"/>
        <v>-3.7194805194805478E-4</v>
      </c>
      <c r="U13" s="3">
        <f t="shared" si="13"/>
        <v>-1.6402721088435472E-3</v>
      </c>
      <c r="V13" s="3">
        <f t="shared" si="14"/>
        <v>7.6471243042669956E-4</v>
      </c>
      <c r="W13" s="3">
        <f t="shared" si="15"/>
        <v>-2.3081014223875058E-4</v>
      </c>
      <c r="X13" s="3">
        <f t="shared" si="16"/>
        <v>1.5802844774273381E-3</v>
      </c>
      <c r="Y13" s="1"/>
      <c r="Z13" s="3">
        <f t="shared" si="2"/>
        <v>-1.9079214597220278</v>
      </c>
      <c r="AA13" s="3">
        <f t="shared" si="3"/>
        <v>-0.29295343676527091</v>
      </c>
      <c r="AB13" s="3">
        <f t="shared" si="4"/>
        <v>-1.2917022253843653</v>
      </c>
      <c r="AC13" s="3">
        <f t="shared" si="5"/>
        <v>0.60228527619529781</v>
      </c>
      <c r="AD13" s="3">
        <f t="shared" si="6"/>
        <v>-0.18179147971962978</v>
      </c>
      <c r="AE13" s="3">
        <f t="shared" si="7"/>
        <v>1.2444775446344229</v>
      </c>
      <c r="AF13" s="1"/>
      <c r="AG13" s="1" t="str" cm="1">
        <f t="array" ref="AG13">_xlfn.IFS(Z13&gt;3,"Strong + Slope",Z13&gt;1.5,"Moderate + Slope",Z13&gt;0.5,"Sideway + Slope",Z13&gt;=-0.5,"Sideway Flat",Z13&gt;=-1.5,"Sideway - Slope",Z13&gt;=-3,"Moderate - Slope",TRUE,"Strong - Slope")</f>
        <v>Moderate - Slope</v>
      </c>
      <c r="AH13" s="1" t="str" cm="1">
        <f t="array" ref="AH13">_xlfn.IFS(AA13&gt;3,"Strong + Slope",AA13&gt;1.5,"Moderate + Slope",AA13&gt;0.5,"Sideway + Slope",AA13&gt;=-0.5,"Sideway Flat",AA13&gt;=-1.5,"Sideway - Slope",AA13&gt;=-3,"Moderate - Slope",TRUE,"Strong - Slope")</f>
        <v>Sideway Flat</v>
      </c>
      <c r="AI13" s="1" t="str" cm="1">
        <f t="array" ref="AI13">_xlfn.IFS(AB13&gt;3,"Strong + Slope",AB13&gt;1.5,"Moderate + Slope",AB13&gt;0.5,"Sideway + Slope",AB13&gt;=-0.5,"Sideway Flat",AB13&gt;=-1.5,"Sideway - Slope",AB13&gt;=-3,"Moderate - Slope",TRUE,"Strong - Slope")</f>
        <v>Sideway - Slope</v>
      </c>
      <c r="AJ13" s="1" t="str" cm="1">
        <f t="array" ref="AJ13">_xlfn.IFS(AC13&gt;3,"Strong + Slope",AC13&gt;1.5,"Moderate + Slope",AC13&gt;0.5,"Sideway + Slope",AC13&gt;=-0.5,"Sideway Flat",AC13&gt;=-1.5,"Sideway - Slope",AC13&gt;=-3,"Moderate - Slope",TRUE,"Strong - Slope")</f>
        <v>Sideway + Slope</v>
      </c>
      <c r="AK13" s="1" t="str" cm="1">
        <f t="array" ref="AK13">_xlfn.IFS(AD13&gt;3,"Strong + Slope",AD13&gt;1.5,"Moderate + Slope",AD13&gt;0.5,"Sideway + Slope",AD13&gt;=-0.5,"Sideway Flat",AD13&gt;=-1.5,"Sideway - Slope",AD13&gt;=-3,"Moderate - Slope",TRUE,"Strong - Slope")</f>
        <v>Sideway Flat</v>
      </c>
      <c r="AL13" s="1" t="str" cm="1">
        <f t="array" ref="AL13">_xlfn.IFS(AE13&gt;3,"Strong + Slope",AE13&gt;1.5,"Moderate + Slope",AE13&gt;0.5,"Sideway + Slope",AE13&gt;=-0.5,"Sideway Flat",AE13&gt;=-1.5,"Sideway - Slope",AE13&gt;=-3,"Moderate - Slope",TRUE,"Strong - Slope")</f>
        <v>Sideway + Slope</v>
      </c>
    </row>
    <row r="14" spans="1:38" x14ac:dyDescent="0.55000000000000004">
      <c r="A14" s="1">
        <v>10</v>
      </c>
      <c r="B14" s="1" t="s">
        <v>13</v>
      </c>
      <c r="C14" s="1" t="s">
        <v>4</v>
      </c>
      <c r="D14" s="1" t="s">
        <v>103</v>
      </c>
      <c r="E14" s="1">
        <v>153.00399999999999</v>
      </c>
      <c r="F14" s="1">
        <v>152.82400000000001</v>
      </c>
      <c r="G14" s="1">
        <v>152.89699999999999</v>
      </c>
      <c r="H14" s="1">
        <v>153.01599999999999</v>
      </c>
      <c r="I14" s="1">
        <v>152.90799999999999</v>
      </c>
      <c r="J14" s="1">
        <v>153.256</v>
      </c>
      <c r="K14" s="1">
        <v>152.56700000000001</v>
      </c>
      <c r="L14" s="1">
        <v>152.601</v>
      </c>
      <c r="M14" s="1">
        <v>152.78200000000001</v>
      </c>
      <c r="N14" s="11">
        <f t="shared" si="0"/>
        <v>0.1799999999999784</v>
      </c>
      <c r="O14" s="11">
        <f t="shared" si="8"/>
        <v>4.9999999999954525E-3</v>
      </c>
      <c r="P14" s="11">
        <f t="shared" si="9"/>
        <v>0.17499999999998295</v>
      </c>
      <c r="Q14" s="11">
        <f t="shared" si="10"/>
        <v>0.1799999999999784</v>
      </c>
      <c r="R14" s="1"/>
      <c r="S14" s="3">
        <f t="shared" si="11"/>
        <v>-2.423265306122455E-3</v>
      </c>
      <c r="T14" s="3">
        <f t="shared" si="12"/>
        <v>-3.7194805194805478E-4</v>
      </c>
      <c r="U14" s="3">
        <f t="shared" si="13"/>
        <v>-1.6402721088435472E-3</v>
      </c>
      <c r="V14" s="3">
        <f t="shared" si="14"/>
        <v>7.6471243042669956E-4</v>
      </c>
      <c r="W14" s="3">
        <f t="shared" si="15"/>
        <v>-2.3081014223875058E-4</v>
      </c>
      <c r="X14" s="3">
        <f t="shared" si="16"/>
        <v>1.5802844774273381E-3</v>
      </c>
      <c r="Y14" s="1"/>
      <c r="Z14" s="3">
        <f t="shared" si="2"/>
        <v>-1.9079214597220278</v>
      </c>
      <c r="AA14" s="3">
        <f t="shared" si="3"/>
        <v>-0.29295343676527091</v>
      </c>
      <c r="AB14" s="3">
        <f t="shared" si="4"/>
        <v>-1.2917022253843653</v>
      </c>
      <c r="AC14" s="3">
        <f t="shared" si="5"/>
        <v>0.60228527619529781</v>
      </c>
      <c r="AD14" s="3">
        <f t="shared" si="6"/>
        <v>-0.18179147971962978</v>
      </c>
      <c r="AE14" s="3">
        <f t="shared" si="7"/>
        <v>1.2444775446344229</v>
      </c>
      <c r="AF14" s="1"/>
      <c r="AG14" s="1" t="str" cm="1">
        <f t="array" ref="AG14">_xlfn.IFS(Z14&gt;3,"Strong + Slope",Z14&gt;1.5,"Moderate + Slope",Z14&gt;0.5,"Sideway + Slope",Z14&gt;=-0.5,"Sideway Flat",Z14&gt;=-1.5,"Sideway - Slope",Z14&gt;=-3,"Moderate - Slope",TRUE,"Strong - Slope")</f>
        <v>Moderate - Slope</v>
      </c>
      <c r="AH14" s="1" t="str" cm="1">
        <f t="array" ref="AH14">_xlfn.IFS(AA14&gt;3,"Strong + Slope",AA14&gt;1.5,"Moderate + Slope",AA14&gt;0.5,"Sideway + Slope",AA14&gt;=-0.5,"Sideway Flat",AA14&gt;=-1.5,"Sideway - Slope",AA14&gt;=-3,"Moderate - Slope",TRUE,"Strong - Slope")</f>
        <v>Sideway Flat</v>
      </c>
      <c r="AI14" s="1" t="str" cm="1">
        <f t="array" ref="AI14">_xlfn.IFS(AB14&gt;3,"Strong + Slope",AB14&gt;1.5,"Moderate + Slope",AB14&gt;0.5,"Sideway + Slope",AB14&gt;=-0.5,"Sideway Flat",AB14&gt;=-1.5,"Sideway - Slope",AB14&gt;=-3,"Moderate - Slope",TRUE,"Strong - Slope")</f>
        <v>Sideway - Slope</v>
      </c>
      <c r="AJ14" s="1" t="str" cm="1">
        <f t="array" ref="AJ14">_xlfn.IFS(AC14&gt;3,"Strong + Slope",AC14&gt;1.5,"Moderate + Slope",AC14&gt;0.5,"Sideway + Slope",AC14&gt;=-0.5,"Sideway Flat",AC14&gt;=-1.5,"Sideway - Slope",AC14&gt;=-3,"Moderate - Slope",TRUE,"Strong - Slope")</f>
        <v>Sideway + Slope</v>
      </c>
      <c r="AK14" s="1" t="str" cm="1">
        <f t="array" ref="AK14">_xlfn.IFS(AD14&gt;3,"Strong + Slope",AD14&gt;1.5,"Moderate + Slope",AD14&gt;0.5,"Sideway + Slope",AD14&gt;=-0.5,"Sideway Flat",AD14&gt;=-1.5,"Sideway - Slope",AD14&gt;=-3,"Moderate - Slope",TRUE,"Strong - Slope")</f>
        <v>Sideway Flat</v>
      </c>
      <c r="AL14" s="1" t="str" cm="1">
        <f t="array" ref="AL14">_xlfn.IFS(AE14&gt;3,"Strong + Slope",AE14&gt;1.5,"Moderate + Slope",AE14&gt;0.5,"Sideway + Slope",AE14&gt;=-0.5,"Sideway Flat",AE14&gt;=-1.5,"Sideway - Slope",AE14&gt;=-3,"Moderate - Slope",TRUE,"Strong - Slope")</f>
        <v>Sideway + Slope</v>
      </c>
    </row>
    <row r="15" spans="1:38" x14ac:dyDescent="0.55000000000000004">
      <c r="A15" s="1">
        <v>11</v>
      </c>
      <c r="B15" s="1" t="s">
        <v>14</v>
      </c>
      <c r="C15" s="1" t="s">
        <v>4</v>
      </c>
      <c r="D15" s="1" t="s">
        <v>103</v>
      </c>
      <c r="E15" s="1">
        <v>152.96199999999999</v>
      </c>
      <c r="F15" s="1">
        <v>152.869</v>
      </c>
      <c r="G15" s="1">
        <v>152.91</v>
      </c>
      <c r="H15" s="1">
        <v>153.01400000000001</v>
      </c>
      <c r="I15" s="1">
        <v>152.90700000000001</v>
      </c>
      <c r="J15" s="1">
        <v>153.255</v>
      </c>
      <c r="K15" s="1">
        <v>152.56800000000001</v>
      </c>
      <c r="L15" s="1">
        <v>152.601</v>
      </c>
      <c r="M15" s="1">
        <v>152.78399999999999</v>
      </c>
      <c r="N15" s="11">
        <f t="shared" si="0"/>
        <v>9.2999999999989313E-2</v>
      </c>
      <c r="O15" s="11">
        <f t="shared" si="8"/>
        <v>6.4999999999997726E-2</v>
      </c>
      <c r="P15" s="11">
        <f t="shared" si="9"/>
        <v>2.7999999999991587E-2</v>
      </c>
      <c r="Q15" s="11">
        <f t="shared" si="10"/>
        <v>9.2999999999989313E-2</v>
      </c>
      <c r="R15" s="1"/>
      <c r="S15" s="3">
        <f t="shared" si="11"/>
        <v>-2.423265306122455E-3</v>
      </c>
      <c r="T15" s="3">
        <f t="shared" si="12"/>
        <v>-3.7194805194805478E-4</v>
      </c>
      <c r="U15" s="3">
        <f t="shared" si="13"/>
        <v>-1.6402721088435472E-3</v>
      </c>
      <c r="V15" s="3">
        <f t="shared" si="14"/>
        <v>7.6471243042669956E-4</v>
      </c>
      <c r="W15" s="3">
        <f t="shared" si="15"/>
        <v>-2.3081014223875058E-4</v>
      </c>
      <c r="X15" s="3">
        <f t="shared" si="16"/>
        <v>1.5802844774273381E-3</v>
      </c>
      <c r="Y15" s="1"/>
      <c r="Z15" s="3">
        <f t="shared" si="2"/>
        <v>-1.9079214597220278</v>
      </c>
      <c r="AA15" s="3">
        <f t="shared" si="3"/>
        <v>-0.29295343676527091</v>
      </c>
      <c r="AB15" s="3">
        <f t="shared" si="4"/>
        <v>-1.2917022253843653</v>
      </c>
      <c r="AC15" s="3">
        <f t="shared" si="5"/>
        <v>0.60228527619529781</v>
      </c>
      <c r="AD15" s="3">
        <f t="shared" si="6"/>
        <v>-0.18179147971962978</v>
      </c>
      <c r="AE15" s="3">
        <f t="shared" si="7"/>
        <v>1.2444775446344229</v>
      </c>
      <c r="AF15" s="1"/>
      <c r="AG15" s="1" t="str" cm="1">
        <f t="array" ref="AG15">_xlfn.IFS(Z15&gt;3,"Strong + Slope",Z15&gt;1.5,"Moderate + Slope",Z15&gt;0.5,"Sideway + Slope",Z15&gt;=-0.5,"Sideway Flat",Z15&gt;=-1.5,"Sideway - Slope",Z15&gt;=-3,"Moderate - Slope",TRUE,"Strong - Slope")</f>
        <v>Moderate - Slope</v>
      </c>
      <c r="AH15" s="1" t="str" cm="1">
        <f t="array" ref="AH15">_xlfn.IFS(AA15&gt;3,"Strong + Slope",AA15&gt;1.5,"Moderate + Slope",AA15&gt;0.5,"Sideway + Slope",AA15&gt;=-0.5,"Sideway Flat",AA15&gt;=-1.5,"Sideway - Slope",AA15&gt;=-3,"Moderate - Slope",TRUE,"Strong - Slope")</f>
        <v>Sideway Flat</v>
      </c>
      <c r="AI15" s="1" t="str" cm="1">
        <f t="array" ref="AI15">_xlfn.IFS(AB15&gt;3,"Strong + Slope",AB15&gt;1.5,"Moderate + Slope",AB15&gt;0.5,"Sideway + Slope",AB15&gt;=-0.5,"Sideway Flat",AB15&gt;=-1.5,"Sideway - Slope",AB15&gt;=-3,"Moderate - Slope",TRUE,"Strong - Slope")</f>
        <v>Sideway - Slope</v>
      </c>
      <c r="AJ15" s="1" t="str" cm="1">
        <f t="array" ref="AJ15">_xlfn.IFS(AC15&gt;3,"Strong + Slope",AC15&gt;1.5,"Moderate + Slope",AC15&gt;0.5,"Sideway + Slope",AC15&gt;=-0.5,"Sideway Flat",AC15&gt;=-1.5,"Sideway - Slope",AC15&gt;=-3,"Moderate - Slope",TRUE,"Strong - Slope")</f>
        <v>Sideway + Slope</v>
      </c>
      <c r="AK15" s="1" t="str" cm="1">
        <f t="array" ref="AK15">_xlfn.IFS(AD15&gt;3,"Strong + Slope",AD15&gt;1.5,"Moderate + Slope",AD15&gt;0.5,"Sideway + Slope",AD15&gt;=-0.5,"Sideway Flat",AD15&gt;=-1.5,"Sideway - Slope",AD15&gt;=-3,"Moderate - Slope",TRUE,"Strong - Slope")</f>
        <v>Sideway Flat</v>
      </c>
      <c r="AL15" s="1" t="str" cm="1">
        <f t="array" ref="AL15">_xlfn.IFS(AE15&gt;3,"Strong + Slope",AE15&gt;1.5,"Moderate + Slope",AE15&gt;0.5,"Sideway + Slope",AE15&gt;=-0.5,"Sideway Flat",AE15&gt;=-1.5,"Sideway - Slope",AE15&gt;=-3,"Moderate - Slope",TRUE,"Strong - Slope")</f>
        <v>Sideway + Slope</v>
      </c>
    </row>
    <row r="16" spans="1:38" x14ac:dyDescent="0.55000000000000004">
      <c r="A16" s="1">
        <v>12</v>
      </c>
      <c r="B16" s="1" t="s">
        <v>15</v>
      </c>
      <c r="C16" s="1" t="s">
        <v>4</v>
      </c>
      <c r="D16" s="1" t="s">
        <v>103</v>
      </c>
      <c r="E16" s="1">
        <v>152.965</v>
      </c>
      <c r="F16" s="1">
        <v>152.87700000000001</v>
      </c>
      <c r="G16" s="1">
        <v>152.87700000000001</v>
      </c>
      <c r="H16" s="1">
        <v>153.012</v>
      </c>
      <c r="I16" s="1">
        <v>152.90700000000001</v>
      </c>
      <c r="J16" s="1">
        <v>153.25299999999999</v>
      </c>
      <c r="K16" s="1">
        <v>152.56899999999999</v>
      </c>
      <c r="L16" s="1">
        <v>152.6</v>
      </c>
      <c r="M16" s="1">
        <v>152.785</v>
      </c>
      <c r="N16" s="11">
        <f t="shared" si="0"/>
        <v>8.7999999999993861E-2</v>
      </c>
      <c r="O16" s="11">
        <f t="shared" si="8"/>
        <v>5.5000000000006821E-2</v>
      </c>
      <c r="P16" s="11">
        <f t="shared" si="9"/>
        <v>3.299999999998704E-2</v>
      </c>
      <c r="Q16" s="11">
        <f t="shared" si="10"/>
        <v>8.7999999999993861E-2</v>
      </c>
      <c r="R16" s="1"/>
      <c r="S16" s="3">
        <f t="shared" si="11"/>
        <v>-2.423265306122455E-3</v>
      </c>
      <c r="T16" s="3">
        <f t="shared" si="12"/>
        <v>-3.7194805194805478E-4</v>
      </c>
      <c r="U16" s="3">
        <f t="shared" si="13"/>
        <v>-1.6402721088435472E-3</v>
      </c>
      <c r="V16" s="3">
        <f t="shared" si="14"/>
        <v>7.6471243042669956E-4</v>
      </c>
      <c r="W16" s="3">
        <f t="shared" si="15"/>
        <v>-2.3081014223875058E-4</v>
      </c>
      <c r="X16" s="3">
        <f t="shared" si="16"/>
        <v>1.5802844774273381E-3</v>
      </c>
      <c r="Y16" s="1"/>
      <c r="Z16" s="3">
        <f t="shared" si="2"/>
        <v>-1.9079214597220278</v>
      </c>
      <c r="AA16" s="3">
        <f t="shared" si="3"/>
        <v>-0.29295343676527091</v>
      </c>
      <c r="AB16" s="3">
        <f t="shared" si="4"/>
        <v>-1.2917022253843653</v>
      </c>
      <c r="AC16" s="3">
        <f t="shared" si="5"/>
        <v>0.60228527619529781</v>
      </c>
      <c r="AD16" s="3">
        <f t="shared" si="6"/>
        <v>-0.18179147971962978</v>
      </c>
      <c r="AE16" s="3">
        <f t="shared" si="7"/>
        <v>1.2444775446344229</v>
      </c>
      <c r="AF16" s="1"/>
      <c r="AG16" s="1" t="str" cm="1">
        <f t="array" ref="AG16">_xlfn.IFS(Z16&gt;3,"Strong + Slope",Z16&gt;1.5,"Moderate + Slope",Z16&gt;0.5,"Sideway + Slope",Z16&gt;=-0.5,"Sideway Flat",Z16&gt;=-1.5,"Sideway - Slope",Z16&gt;=-3,"Moderate - Slope",TRUE,"Strong - Slope")</f>
        <v>Moderate - Slope</v>
      </c>
      <c r="AH16" s="1" t="str" cm="1">
        <f t="array" ref="AH16">_xlfn.IFS(AA16&gt;3,"Strong + Slope",AA16&gt;1.5,"Moderate + Slope",AA16&gt;0.5,"Sideway + Slope",AA16&gt;=-0.5,"Sideway Flat",AA16&gt;=-1.5,"Sideway - Slope",AA16&gt;=-3,"Moderate - Slope",TRUE,"Strong - Slope")</f>
        <v>Sideway Flat</v>
      </c>
      <c r="AI16" s="1" t="str" cm="1">
        <f t="array" ref="AI16">_xlfn.IFS(AB16&gt;3,"Strong + Slope",AB16&gt;1.5,"Moderate + Slope",AB16&gt;0.5,"Sideway + Slope",AB16&gt;=-0.5,"Sideway Flat",AB16&gt;=-1.5,"Sideway - Slope",AB16&gt;=-3,"Moderate - Slope",TRUE,"Strong - Slope")</f>
        <v>Sideway - Slope</v>
      </c>
      <c r="AJ16" s="1" t="str" cm="1">
        <f t="array" ref="AJ16">_xlfn.IFS(AC16&gt;3,"Strong + Slope",AC16&gt;1.5,"Moderate + Slope",AC16&gt;0.5,"Sideway + Slope",AC16&gt;=-0.5,"Sideway Flat",AC16&gt;=-1.5,"Sideway - Slope",AC16&gt;=-3,"Moderate - Slope",TRUE,"Strong - Slope")</f>
        <v>Sideway + Slope</v>
      </c>
      <c r="AK16" s="1" t="str" cm="1">
        <f t="array" ref="AK16">_xlfn.IFS(AD16&gt;3,"Strong + Slope",AD16&gt;1.5,"Moderate + Slope",AD16&gt;0.5,"Sideway + Slope",AD16&gt;=-0.5,"Sideway Flat",AD16&gt;=-1.5,"Sideway - Slope",AD16&gt;=-3,"Moderate - Slope",TRUE,"Strong - Slope")</f>
        <v>Sideway Flat</v>
      </c>
      <c r="AL16" s="1" t="str" cm="1">
        <f t="array" ref="AL16">_xlfn.IFS(AE16&gt;3,"Strong + Slope",AE16&gt;1.5,"Moderate + Slope",AE16&gt;0.5,"Sideway + Slope",AE16&gt;=-0.5,"Sideway Flat",AE16&gt;=-1.5,"Sideway - Slope",AE16&gt;=-3,"Moderate - Slope",TRUE,"Strong - Slope")</f>
        <v>Sideway + Slope</v>
      </c>
    </row>
    <row r="17" spans="1:38" x14ac:dyDescent="0.55000000000000004">
      <c r="A17" s="1">
        <v>13</v>
      </c>
      <c r="B17" s="1" t="s">
        <v>16</v>
      </c>
      <c r="C17" s="1" t="s">
        <v>4</v>
      </c>
      <c r="D17" s="1" t="s">
        <v>103</v>
      </c>
      <c r="E17" s="1">
        <v>152.96600000000001</v>
      </c>
      <c r="F17" s="1">
        <v>152.78700000000001</v>
      </c>
      <c r="G17" s="1">
        <v>152.96600000000001</v>
      </c>
      <c r="H17" s="1">
        <v>153.00899999999999</v>
      </c>
      <c r="I17" s="1">
        <v>152.90700000000001</v>
      </c>
      <c r="J17" s="1">
        <v>153.251</v>
      </c>
      <c r="K17" s="1">
        <v>152.56899999999999</v>
      </c>
      <c r="L17" s="1">
        <v>152.6</v>
      </c>
      <c r="M17" s="1">
        <v>152.78700000000001</v>
      </c>
      <c r="N17" s="11">
        <f t="shared" si="0"/>
        <v>0.17900000000000205</v>
      </c>
      <c r="O17" s="11">
        <f t="shared" si="8"/>
        <v>8.8999999999998636E-2</v>
      </c>
      <c r="P17" s="11">
        <f t="shared" si="9"/>
        <v>9.0000000000003411E-2</v>
      </c>
      <c r="Q17" s="11">
        <f t="shared" si="10"/>
        <v>0.17900000000000205</v>
      </c>
      <c r="R17" s="1"/>
      <c r="S17" s="3">
        <f t="shared" si="11"/>
        <v>-2.423265306122455E-3</v>
      </c>
      <c r="T17" s="3">
        <f t="shared" si="12"/>
        <v>-3.7194805194805478E-4</v>
      </c>
      <c r="U17" s="3">
        <f t="shared" si="13"/>
        <v>-1.6402721088435472E-3</v>
      </c>
      <c r="V17" s="3">
        <f t="shared" si="14"/>
        <v>7.6471243042669956E-4</v>
      </c>
      <c r="W17" s="3">
        <f t="shared" si="15"/>
        <v>-2.3081014223875058E-4</v>
      </c>
      <c r="X17" s="3">
        <f t="shared" si="16"/>
        <v>1.5802844774273381E-3</v>
      </c>
      <c r="Y17" s="1"/>
      <c r="Z17" s="3">
        <f t="shared" si="2"/>
        <v>-1.9079214597220278</v>
      </c>
      <c r="AA17" s="3">
        <f t="shared" si="3"/>
        <v>-0.29295343676527091</v>
      </c>
      <c r="AB17" s="3">
        <f t="shared" si="4"/>
        <v>-1.2917022253843653</v>
      </c>
      <c r="AC17" s="3">
        <f t="shared" si="5"/>
        <v>0.60228527619529781</v>
      </c>
      <c r="AD17" s="3">
        <f t="shared" si="6"/>
        <v>-0.18179147971962978</v>
      </c>
      <c r="AE17" s="3">
        <f t="shared" si="7"/>
        <v>1.2444775446344229</v>
      </c>
      <c r="AF17" s="1"/>
      <c r="AG17" s="1" t="str" cm="1">
        <f t="array" ref="AG17">_xlfn.IFS(Z17&gt;3,"Strong + Slope",Z17&gt;1.5,"Moderate + Slope",Z17&gt;0.5,"Sideway + Slope",Z17&gt;=-0.5,"Sideway Flat",Z17&gt;=-1.5,"Sideway - Slope",Z17&gt;=-3,"Moderate - Slope",TRUE,"Strong - Slope")</f>
        <v>Moderate - Slope</v>
      </c>
      <c r="AH17" s="1" t="str" cm="1">
        <f t="array" ref="AH17">_xlfn.IFS(AA17&gt;3,"Strong + Slope",AA17&gt;1.5,"Moderate + Slope",AA17&gt;0.5,"Sideway + Slope",AA17&gt;=-0.5,"Sideway Flat",AA17&gt;=-1.5,"Sideway - Slope",AA17&gt;=-3,"Moderate - Slope",TRUE,"Strong - Slope")</f>
        <v>Sideway Flat</v>
      </c>
      <c r="AI17" s="1" t="str" cm="1">
        <f t="array" ref="AI17">_xlfn.IFS(AB17&gt;3,"Strong + Slope",AB17&gt;1.5,"Moderate + Slope",AB17&gt;0.5,"Sideway + Slope",AB17&gt;=-0.5,"Sideway Flat",AB17&gt;=-1.5,"Sideway - Slope",AB17&gt;=-3,"Moderate - Slope",TRUE,"Strong - Slope")</f>
        <v>Sideway - Slope</v>
      </c>
      <c r="AJ17" s="1" t="str" cm="1">
        <f t="array" ref="AJ17">_xlfn.IFS(AC17&gt;3,"Strong + Slope",AC17&gt;1.5,"Moderate + Slope",AC17&gt;0.5,"Sideway + Slope",AC17&gt;=-0.5,"Sideway Flat",AC17&gt;=-1.5,"Sideway - Slope",AC17&gt;=-3,"Moderate - Slope",TRUE,"Strong - Slope")</f>
        <v>Sideway + Slope</v>
      </c>
      <c r="AK17" s="1" t="str" cm="1">
        <f t="array" ref="AK17">_xlfn.IFS(AD17&gt;3,"Strong + Slope",AD17&gt;1.5,"Moderate + Slope",AD17&gt;0.5,"Sideway + Slope",AD17&gt;=-0.5,"Sideway Flat",AD17&gt;=-1.5,"Sideway - Slope",AD17&gt;=-3,"Moderate - Slope",TRUE,"Strong - Slope")</f>
        <v>Sideway Flat</v>
      </c>
      <c r="AL17" s="1" t="str" cm="1">
        <f t="array" ref="AL17">_xlfn.IFS(AE17&gt;3,"Strong + Slope",AE17&gt;1.5,"Moderate + Slope",AE17&gt;0.5,"Sideway + Slope",AE17&gt;=-0.5,"Sideway Flat",AE17&gt;=-1.5,"Sideway - Slope",AE17&gt;=-3,"Moderate - Slope",TRUE,"Strong - Slope")</f>
        <v>Sideway + Slope</v>
      </c>
    </row>
    <row r="18" spans="1:38" x14ac:dyDescent="0.55000000000000004">
      <c r="A18" s="1">
        <v>14</v>
      </c>
      <c r="B18" s="1" t="s">
        <v>17</v>
      </c>
      <c r="C18" s="1" t="s">
        <v>4</v>
      </c>
      <c r="D18" s="1" t="s">
        <v>103</v>
      </c>
      <c r="E18" s="1">
        <v>153.06700000000001</v>
      </c>
      <c r="F18" s="1">
        <v>152.964</v>
      </c>
      <c r="G18" s="1">
        <v>153.02000000000001</v>
      </c>
      <c r="H18" s="1">
        <v>153.00700000000001</v>
      </c>
      <c r="I18" s="1">
        <v>152.90600000000001</v>
      </c>
      <c r="J18" s="1">
        <v>153.25</v>
      </c>
      <c r="K18" s="1">
        <v>152.57</v>
      </c>
      <c r="L18" s="1">
        <v>152.6</v>
      </c>
      <c r="M18" s="1">
        <v>152.78899999999999</v>
      </c>
      <c r="N18" s="11">
        <f t="shared" si="0"/>
        <v>0.10300000000000864</v>
      </c>
      <c r="O18" s="11">
        <f t="shared" si="8"/>
        <v>0.10099999999999909</v>
      </c>
      <c r="P18" s="11">
        <f t="shared" si="9"/>
        <v>2.0000000000095497E-3</v>
      </c>
      <c r="Q18" s="11">
        <f t="shared" si="10"/>
        <v>0.10300000000000864</v>
      </c>
      <c r="R18" s="1"/>
      <c r="S18" s="3">
        <f t="shared" si="11"/>
        <v>-2.423265306122455E-3</v>
      </c>
      <c r="T18" s="3">
        <f t="shared" si="12"/>
        <v>-3.7194805194805478E-4</v>
      </c>
      <c r="U18" s="3">
        <f t="shared" si="13"/>
        <v>-1.6402721088435472E-3</v>
      </c>
      <c r="V18" s="3">
        <f t="shared" si="14"/>
        <v>7.6471243042669956E-4</v>
      </c>
      <c r="W18" s="3">
        <f t="shared" si="15"/>
        <v>-2.3081014223875058E-4</v>
      </c>
      <c r="X18" s="3">
        <f t="shared" si="16"/>
        <v>1.5802844774273381E-3</v>
      </c>
      <c r="Y18" s="1"/>
      <c r="Z18" s="3">
        <f t="shared" si="2"/>
        <v>-1.9079214597220278</v>
      </c>
      <c r="AA18" s="3">
        <f t="shared" si="3"/>
        <v>-0.29295343676527091</v>
      </c>
      <c r="AB18" s="3">
        <f t="shared" si="4"/>
        <v>-1.2917022253843653</v>
      </c>
      <c r="AC18" s="3">
        <f t="shared" si="5"/>
        <v>0.60228527619529781</v>
      </c>
      <c r="AD18" s="3">
        <f t="shared" si="6"/>
        <v>-0.18179147971962978</v>
      </c>
      <c r="AE18" s="3">
        <f t="shared" si="7"/>
        <v>1.2444775446344229</v>
      </c>
      <c r="AF18" s="1"/>
      <c r="AG18" s="1" t="str" cm="1">
        <f t="array" ref="AG18">_xlfn.IFS(Z18&gt;3,"Strong + Slope",Z18&gt;1.5,"Moderate + Slope",Z18&gt;0.5,"Sideway + Slope",Z18&gt;=-0.5,"Sideway Flat",Z18&gt;=-1.5,"Sideway - Slope",Z18&gt;=-3,"Moderate - Slope",TRUE,"Strong - Slope")</f>
        <v>Moderate - Slope</v>
      </c>
      <c r="AH18" s="1" t="str" cm="1">
        <f t="array" ref="AH18">_xlfn.IFS(AA18&gt;3,"Strong + Slope",AA18&gt;1.5,"Moderate + Slope",AA18&gt;0.5,"Sideway + Slope",AA18&gt;=-0.5,"Sideway Flat",AA18&gt;=-1.5,"Sideway - Slope",AA18&gt;=-3,"Moderate - Slope",TRUE,"Strong - Slope")</f>
        <v>Sideway Flat</v>
      </c>
      <c r="AI18" s="1" t="str" cm="1">
        <f t="array" ref="AI18">_xlfn.IFS(AB18&gt;3,"Strong + Slope",AB18&gt;1.5,"Moderate + Slope",AB18&gt;0.5,"Sideway + Slope",AB18&gt;=-0.5,"Sideway Flat",AB18&gt;=-1.5,"Sideway - Slope",AB18&gt;=-3,"Moderate - Slope",TRUE,"Strong - Slope")</f>
        <v>Sideway - Slope</v>
      </c>
      <c r="AJ18" s="1" t="str" cm="1">
        <f t="array" ref="AJ18">_xlfn.IFS(AC18&gt;3,"Strong + Slope",AC18&gt;1.5,"Moderate + Slope",AC18&gt;0.5,"Sideway + Slope",AC18&gt;=-0.5,"Sideway Flat",AC18&gt;=-1.5,"Sideway - Slope",AC18&gt;=-3,"Moderate - Slope",TRUE,"Strong - Slope")</f>
        <v>Sideway + Slope</v>
      </c>
      <c r="AK18" s="1" t="str" cm="1">
        <f t="array" ref="AK18">_xlfn.IFS(AD18&gt;3,"Strong + Slope",AD18&gt;1.5,"Moderate + Slope",AD18&gt;0.5,"Sideway + Slope",AD18&gt;=-0.5,"Sideway Flat",AD18&gt;=-1.5,"Sideway - Slope",AD18&gt;=-3,"Moderate - Slope",TRUE,"Strong - Slope")</f>
        <v>Sideway Flat</v>
      </c>
      <c r="AL18" s="1" t="str" cm="1">
        <f t="array" ref="AL18">_xlfn.IFS(AE18&gt;3,"Strong + Slope",AE18&gt;1.5,"Moderate + Slope",AE18&gt;0.5,"Sideway + Slope",AE18&gt;=-0.5,"Sideway Flat",AE18&gt;=-1.5,"Sideway - Slope",AE18&gt;=-3,"Moderate - Slope",TRUE,"Strong - Slope")</f>
        <v>Sideway + Slope</v>
      </c>
    </row>
    <row r="19" spans="1:38" x14ac:dyDescent="0.55000000000000004">
      <c r="A19" s="1">
        <v>15</v>
      </c>
      <c r="B19" s="1" t="s">
        <v>18</v>
      </c>
      <c r="C19" s="1" t="s">
        <v>4</v>
      </c>
      <c r="D19" s="1" t="s">
        <v>103</v>
      </c>
      <c r="E19" s="1">
        <v>153.09200000000001</v>
      </c>
      <c r="F19" s="1">
        <v>152.94</v>
      </c>
      <c r="G19" s="1">
        <v>153.04900000000001</v>
      </c>
      <c r="H19" s="1">
        <v>153.00399999999999</v>
      </c>
      <c r="I19" s="1">
        <v>152.90600000000001</v>
      </c>
      <c r="J19" s="1">
        <v>153.24799999999999</v>
      </c>
      <c r="K19" s="1">
        <v>152.571</v>
      </c>
      <c r="L19" s="1">
        <v>152.6</v>
      </c>
      <c r="M19" s="1">
        <v>152.79</v>
      </c>
      <c r="N19" s="11">
        <f t="shared" si="0"/>
        <v>0.15200000000001523</v>
      </c>
      <c r="O19" s="11">
        <f t="shared" si="8"/>
        <v>7.2000000000002728E-2</v>
      </c>
      <c r="P19" s="11">
        <f t="shared" si="9"/>
        <v>8.0000000000012506E-2</v>
      </c>
      <c r="Q19" s="11">
        <f t="shared" si="10"/>
        <v>0.15200000000001523</v>
      </c>
      <c r="R19" s="1"/>
      <c r="S19" s="3">
        <f t="shared" si="11"/>
        <v>-2.423265306122455E-3</v>
      </c>
      <c r="T19" s="3">
        <f t="shared" si="12"/>
        <v>-3.7194805194805478E-4</v>
      </c>
      <c r="U19" s="3">
        <f t="shared" si="13"/>
        <v>-1.6402721088435472E-3</v>
      </c>
      <c r="V19" s="3">
        <f t="shared" si="14"/>
        <v>7.6471243042669956E-4</v>
      </c>
      <c r="W19" s="3">
        <f t="shared" si="15"/>
        <v>-2.3081014223875058E-4</v>
      </c>
      <c r="X19" s="3">
        <f t="shared" si="16"/>
        <v>1.5802844774273381E-3</v>
      </c>
      <c r="Y19" s="1"/>
      <c r="Z19" s="3">
        <f t="shared" si="2"/>
        <v>-1.9079214597220278</v>
      </c>
      <c r="AA19" s="3">
        <f t="shared" si="3"/>
        <v>-0.29295343676527091</v>
      </c>
      <c r="AB19" s="3">
        <f t="shared" si="4"/>
        <v>-1.2917022253843653</v>
      </c>
      <c r="AC19" s="3">
        <f t="shared" si="5"/>
        <v>0.60228527619529781</v>
      </c>
      <c r="AD19" s="3">
        <f t="shared" si="6"/>
        <v>-0.18179147971962978</v>
      </c>
      <c r="AE19" s="3">
        <f t="shared" si="7"/>
        <v>1.2444775446344229</v>
      </c>
      <c r="AF19" s="1"/>
      <c r="AG19" s="1" t="str" cm="1">
        <f t="array" ref="AG19">_xlfn.IFS(Z19&gt;3,"Strong + Slope",Z19&gt;1.5,"Moderate + Slope",Z19&gt;0.5,"Sideway + Slope",Z19&gt;=-0.5,"Sideway Flat",Z19&gt;=-1.5,"Sideway - Slope",Z19&gt;=-3,"Moderate - Slope",TRUE,"Strong - Slope")</f>
        <v>Moderate - Slope</v>
      </c>
      <c r="AH19" s="1" t="str" cm="1">
        <f t="array" ref="AH19">_xlfn.IFS(AA19&gt;3,"Strong + Slope",AA19&gt;1.5,"Moderate + Slope",AA19&gt;0.5,"Sideway + Slope",AA19&gt;=-0.5,"Sideway Flat",AA19&gt;=-1.5,"Sideway - Slope",AA19&gt;=-3,"Moderate - Slope",TRUE,"Strong - Slope")</f>
        <v>Sideway Flat</v>
      </c>
      <c r="AI19" s="1" t="str" cm="1">
        <f t="array" ref="AI19">_xlfn.IFS(AB19&gt;3,"Strong + Slope",AB19&gt;1.5,"Moderate + Slope",AB19&gt;0.5,"Sideway + Slope",AB19&gt;=-0.5,"Sideway Flat",AB19&gt;=-1.5,"Sideway - Slope",AB19&gt;=-3,"Moderate - Slope",TRUE,"Strong - Slope")</f>
        <v>Sideway - Slope</v>
      </c>
      <c r="AJ19" s="1" t="str" cm="1">
        <f t="array" ref="AJ19">_xlfn.IFS(AC19&gt;3,"Strong + Slope",AC19&gt;1.5,"Moderate + Slope",AC19&gt;0.5,"Sideway + Slope",AC19&gt;=-0.5,"Sideway Flat",AC19&gt;=-1.5,"Sideway - Slope",AC19&gt;=-3,"Moderate - Slope",TRUE,"Strong - Slope")</f>
        <v>Sideway + Slope</v>
      </c>
      <c r="AK19" s="1" t="str" cm="1">
        <f t="array" ref="AK19">_xlfn.IFS(AD19&gt;3,"Strong + Slope",AD19&gt;1.5,"Moderate + Slope",AD19&gt;0.5,"Sideway + Slope",AD19&gt;=-0.5,"Sideway Flat",AD19&gt;=-1.5,"Sideway - Slope",AD19&gt;=-3,"Moderate - Slope",TRUE,"Strong - Slope")</f>
        <v>Sideway Flat</v>
      </c>
      <c r="AL19" s="1" t="str" cm="1">
        <f t="array" ref="AL19">_xlfn.IFS(AE19&gt;3,"Strong + Slope",AE19&gt;1.5,"Moderate + Slope",AE19&gt;0.5,"Sideway + Slope",AE19&gt;=-0.5,"Sideway Flat",AE19&gt;=-1.5,"Sideway - Slope",AE19&gt;=-3,"Moderate - Slope",TRUE,"Strong - Slope")</f>
        <v>Sideway + Slope</v>
      </c>
    </row>
    <row r="20" spans="1:38" x14ac:dyDescent="0.55000000000000004">
      <c r="A20" s="1">
        <v>16</v>
      </c>
      <c r="B20" s="1" t="s">
        <v>19</v>
      </c>
      <c r="C20" s="1" t="s">
        <v>4</v>
      </c>
      <c r="D20" s="1" t="s">
        <v>103</v>
      </c>
      <c r="E20" s="1">
        <v>153.08000000000001</v>
      </c>
      <c r="F20" s="1">
        <v>152.99700000000001</v>
      </c>
      <c r="G20" s="1">
        <v>153.04499999999999</v>
      </c>
      <c r="H20" s="1">
        <v>153.00200000000001</v>
      </c>
      <c r="I20" s="1">
        <v>152.905</v>
      </c>
      <c r="J20" s="1">
        <v>153.24600000000001</v>
      </c>
      <c r="K20" s="1">
        <v>152.572</v>
      </c>
      <c r="L20" s="1">
        <v>152.59899999999999</v>
      </c>
      <c r="M20" s="1">
        <v>152.792</v>
      </c>
      <c r="N20" s="11">
        <f t="shared" si="0"/>
        <v>8.2999999999998408E-2</v>
      </c>
      <c r="O20" s="11">
        <f t="shared" si="8"/>
        <v>3.1000000000005912E-2</v>
      </c>
      <c r="P20" s="11">
        <f t="shared" si="9"/>
        <v>5.1999999999992497E-2</v>
      </c>
      <c r="Q20" s="11">
        <f t="shared" si="10"/>
        <v>8.2999999999998408E-2</v>
      </c>
      <c r="R20" s="1"/>
      <c r="S20" s="3">
        <f t="shared" si="11"/>
        <v>-2.423265306122455E-3</v>
      </c>
      <c r="T20" s="3">
        <f t="shared" si="12"/>
        <v>-3.7194805194805478E-4</v>
      </c>
      <c r="U20" s="3">
        <f t="shared" si="13"/>
        <v>-1.6402721088435472E-3</v>
      </c>
      <c r="V20" s="3">
        <f t="shared" si="14"/>
        <v>7.6471243042669956E-4</v>
      </c>
      <c r="W20" s="3">
        <f t="shared" si="15"/>
        <v>-2.3081014223875058E-4</v>
      </c>
      <c r="X20" s="3">
        <f t="shared" si="16"/>
        <v>1.5802844774273381E-3</v>
      </c>
      <c r="Y20" s="1"/>
      <c r="Z20" s="3">
        <f t="shared" si="2"/>
        <v>-1.9079214597220278</v>
      </c>
      <c r="AA20" s="3">
        <f t="shared" si="3"/>
        <v>-0.29295343676527091</v>
      </c>
      <c r="AB20" s="3">
        <f t="shared" si="4"/>
        <v>-1.2917022253843653</v>
      </c>
      <c r="AC20" s="3">
        <f t="shared" si="5"/>
        <v>0.60228527619529781</v>
      </c>
      <c r="AD20" s="3">
        <f t="shared" si="6"/>
        <v>-0.18179147971962978</v>
      </c>
      <c r="AE20" s="3">
        <f t="shared" si="7"/>
        <v>1.2444775446344229</v>
      </c>
      <c r="AF20" s="1"/>
      <c r="AG20" s="1" t="str" cm="1">
        <f t="array" ref="AG20">_xlfn.IFS(Z20&gt;3,"Strong + Slope",Z20&gt;1.5,"Moderate + Slope",Z20&gt;0.5,"Sideway + Slope",Z20&gt;=-0.5,"Sideway Flat",Z20&gt;=-1.5,"Sideway - Slope",Z20&gt;=-3,"Moderate - Slope",TRUE,"Strong - Slope")</f>
        <v>Moderate - Slope</v>
      </c>
      <c r="AH20" s="1" t="str" cm="1">
        <f t="array" ref="AH20">_xlfn.IFS(AA20&gt;3,"Strong + Slope",AA20&gt;1.5,"Moderate + Slope",AA20&gt;0.5,"Sideway + Slope",AA20&gt;=-0.5,"Sideway Flat",AA20&gt;=-1.5,"Sideway - Slope",AA20&gt;=-3,"Moderate - Slope",TRUE,"Strong - Slope")</f>
        <v>Sideway Flat</v>
      </c>
      <c r="AI20" s="1" t="str" cm="1">
        <f t="array" ref="AI20">_xlfn.IFS(AB20&gt;3,"Strong + Slope",AB20&gt;1.5,"Moderate + Slope",AB20&gt;0.5,"Sideway + Slope",AB20&gt;=-0.5,"Sideway Flat",AB20&gt;=-1.5,"Sideway - Slope",AB20&gt;=-3,"Moderate - Slope",TRUE,"Strong - Slope")</f>
        <v>Sideway - Slope</v>
      </c>
      <c r="AJ20" s="1" t="str" cm="1">
        <f t="array" ref="AJ20">_xlfn.IFS(AC20&gt;3,"Strong + Slope",AC20&gt;1.5,"Moderate + Slope",AC20&gt;0.5,"Sideway + Slope",AC20&gt;=-0.5,"Sideway Flat",AC20&gt;=-1.5,"Sideway - Slope",AC20&gt;=-3,"Moderate - Slope",TRUE,"Strong - Slope")</f>
        <v>Sideway + Slope</v>
      </c>
      <c r="AK20" s="1" t="str" cm="1">
        <f t="array" ref="AK20">_xlfn.IFS(AD20&gt;3,"Strong + Slope",AD20&gt;1.5,"Moderate + Slope",AD20&gt;0.5,"Sideway + Slope",AD20&gt;=-0.5,"Sideway Flat",AD20&gt;=-1.5,"Sideway - Slope",AD20&gt;=-3,"Moderate - Slope",TRUE,"Strong - Slope")</f>
        <v>Sideway Flat</v>
      </c>
      <c r="AL20" s="1" t="str" cm="1">
        <f t="array" ref="AL20">_xlfn.IFS(AE20&gt;3,"Strong + Slope",AE20&gt;1.5,"Moderate + Slope",AE20&gt;0.5,"Sideway + Slope",AE20&gt;=-0.5,"Sideway Flat",AE20&gt;=-1.5,"Sideway - Slope",AE20&gt;=-3,"Moderate - Slope",TRUE,"Strong - Slope")</f>
        <v>Sideway + Slope</v>
      </c>
    </row>
    <row r="21" spans="1:38" x14ac:dyDescent="0.55000000000000004">
      <c r="A21" s="1">
        <v>17</v>
      </c>
      <c r="B21" s="1" t="s">
        <v>20</v>
      </c>
      <c r="C21" s="1" t="s">
        <v>4</v>
      </c>
      <c r="D21" s="1" t="s">
        <v>103</v>
      </c>
      <c r="E21" s="1">
        <v>153.09100000000001</v>
      </c>
      <c r="F21" s="1">
        <v>152.947</v>
      </c>
      <c r="G21" s="1">
        <v>152.96199999999999</v>
      </c>
      <c r="H21" s="1">
        <v>152.999</v>
      </c>
      <c r="I21" s="1">
        <v>152.905</v>
      </c>
      <c r="J21" s="1">
        <v>153.245</v>
      </c>
      <c r="K21" s="1">
        <v>152.572</v>
      </c>
      <c r="L21" s="1">
        <v>152.59899999999999</v>
      </c>
      <c r="M21" s="1">
        <v>152.79300000000001</v>
      </c>
      <c r="N21" s="11">
        <f t="shared" si="0"/>
        <v>0.14400000000000546</v>
      </c>
      <c r="O21" s="11">
        <f t="shared" si="8"/>
        <v>4.6000000000020691E-2</v>
      </c>
      <c r="P21" s="11">
        <f t="shared" si="9"/>
        <v>9.7999999999984766E-2</v>
      </c>
      <c r="Q21" s="11">
        <f t="shared" si="10"/>
        <v>0.14400000000000546</v>
      </c>
      <c r="R21" s="1"/>
      <c r="S21" s="3">
        <f t="shared" si="11"/>
        <v>-2.423265306122455E-3</v>
      </c>
      <c r="T21" s="3">
        <f t="shared" si="12"/>
        <v>-3.7194805194805478E-4</v>
      </c>
      <c r="U21" s="3">
        <f t="shared" si="13"/>
        <v>-1.6402721088435472E-3</v>
      </c>
      <c r="V21" s="3">
        <f t="shared" si="14"/>
        <v>7.6471243042669956E-4</v>
      </c>
      <c r="W21" s="3">
        <f t="shared" si="15"/>
        <v>-2.3081014223875058E-4</v>
      </c>
      <c r="X21" s="3">
        <f t="shared" si="16"/>
        <v>1.5802844774273381E-3</v>
      </c>
      <c r="Y21" s="1"/>
      <c r="Z21" s="3">
        <f t="shared" si="2"/>
        <v>-1.9079214597220278</v>
      </c>
      <c r="AA21" s="3">
        <f t="shared" si="3"/>
        <v>-0.29295343676527091</v>
      </c>
      <c r="AB21" s="3">
        <f t="shared" si="4"/>
        <v>-1.2917022253843653</v>
      </c>
      <c r="AC21" s="3">
        <f t="shared" si="5"/>
        <v>0.60228527619529781</v>
      </c>
      <c r="AD21" s="3">
        <f t="shared" si="6"/>
        <v>-0.18179147971962978</v>
      </c>
      <c r="AE21" s="3">
        <f t="shared" si="7"/>
        <v>1.2444775446344229</v>
      </c>
      <c r="AF21" s="1"/>
      <c r="AG21" s="1" t="str" cm="1">
        <f t="array" ref="AG21">_xlfn.IFS(Z21&gt;3,"Strong + Slope",Z21&gt;1.5,"Moderate + Slope",Z21&gt;0.5,"Sideway + Slope",Z21&gt;=-0.5,"Sideway Flat",Z21&gt;=-1.5,"Sideway - Slope",Z21&gt;=-3,"Moderate - Slope",TRUE,"Strong - Slope")</f>
        <v>Moderate - Slope</v>
      </c>
      <c r="AH21" s="1" t="str" cm="1">
        <f t="array" ref="AH21">_xlfn.IFS(AA21&gt;3,"Strong + Slope",AA21&gt;1.5,"Moderate + Slope",AA21&gt;0.5,"Sideway + Slope",AA21&gt;=-0.5,"Sideway Flat",AA21&gt;=-1.5,"Sideway - Slope",AA21&gt;=-3,"Moderate - Slope",TRUE,"Strong - Slope")</f>
        <v>Sideway Flat</v>
      </c>
      <c r="AI21" s="1" t="str" cm="1">
        <f t="array" ref="AI21">_xlfn.IFS(AB21&gt;3,"Strong + Slope",AB21&gt;1.5,"Moderate + Slope",AB21&gt;0.5,"Sideway + Slope",AB21&gt;=-0.5,"Sideway Flat",AB21&gt;=-1.5,"Sideway - Slope",AB21&gt;=-3,"Moderate - Slope",TRUE,"Strong - Slope")</f>
        <v>Sideway - Slope</v>
      </c>
      <c r="AJ21" s="1" t="str" cm="1">
        <f t="array" ref="AJ21">_xlfn.IFS(AC21&gt;3,"Strong + Slope",AC21&gt;1.5,"Moderate + Slope",AC21&gt;0.5,"Sideway + Slope",AC21&gt;=-0.5,"Sideway Flat",AC21&gt;=-1.5,"Sideway - Slope",AC21&gt;=-3,"Moderate - Slope",TRUE,"Strong - Slope")</f>
        <v>Sideway + Slope</v>
      </c>
      <c r="AK21" s="1" t="str" cm="1">
        <f t="array" ref="AK21">_xlfn.IFS(AD21&gt;3,"Strong + Slope",AD21&gt;1.5,"Moderate + Slope",AD21&gt;0.5,"Sideway + Slope",AD21&gt;=-0.5,"Sideway Flat",AD21&gt;=-1.5,"Sideway - Slope",AD21&gt;=-3,"Moderate - Slope",TRUE,"Strong - Slope")</f>
        <v>Sideway Flat</v>
      </c>
      <c r="AL21" s="1" t="str" cm="1">
        <f t="array" ref="AL21">_xlfn.IFS(AE21&gt;3,"Strong + Slope",AE21&gt;1.5,"Moderate + Slope",AE21&gt;0.5,"Sideway + Slope",AE21&gt;=-0.5,"Sideway Flat",AE21&gt;=-1.5,"Sideway - Slope",AE21&gt;=-3,"Moderate - Slope",TRUE,"Strong - Slope")</f>
        <v>Sideway + Slope</v>
      </c>
    </row>
    <row r="22" spans="1:38" x14ac:dyDescent="0.55000000000000004">
      <c r="A22" s="1">
        <v>18</v>
      </c>
      <c r="B22" s="1" t="s">
        <v>21</v>
      </c>
      <c r="C22" s="1" t="s">
        <v>4</v>
      </c>
      <c r="D22" s="1" t="s">
        <v>103</v>
      </c>
      <c r="E22" s="1">
        <v>153.04900000000001</v>
      </c>
      <c r="F22" s="1">
        <v>152.911</v>
      </c>
      <c r="G22" s="1">
        <v>153.04599999999999</v>
      </c>
      <c r="H22" s="1">
        <v>152.99700000000001</v>
      </c>
      <c r="I22" s="1">
        <v>152.905</v>
      </c>
      <c r="J22" s="1">
        <v>153.24299999999999</v>
      </c>
      <c r="K22" s="1">
        <v>152.57300000000001</v>
      </c>
      <c r="L22" s="1">
        <v>152.59899999999999</v>
      </c>
      <c r="M22" s="1">
        <v>152.79499999999999</v>
      </c>
      <c r="N22" s="11">
        <f t="shared" si="0"/>
        <v>0.13800000000000523</v>
      </c>
      <c r="O22" s="11">
        <f t="shared" si="8"/>
        <v>8.7000000000017508E-2</v>
      </c>
      <c r="P22" s="11">
        <f t="shared" si="9"/>
        <v>5.0999999999987722E-2</v>
      </c>
      <c r="Q22" s="11">
        <f t="shared" si="10"/>
        <v>0.13800000000000523</v>
      </c>
      <c r="R22" s="1"/>
      <c r="S22" s="3">
        <f t="shared" si="11"/>
        <v>-2.423265306122455E-3</v>
      </c>
      <c r="T22" s="3">
        <f t="shared" si="12"/>
        <v>-3.7194805194805478E-4</v>
      </c>
      <c r="U22" s="3">
        <f t="shared" si="13"/>
        <v>-1.6402721088435472E-3</v>
      </c>
      <c r="V22" s="3">
        <f t="shared" si="14"/>
        <v>7.6471243042669956E-4</v>
      </c>
      <c r="W22" s="3">
        <f t="shared" si="15"/>
        <v>-2.3081014223875058E-4</v>
      </c>
      <c r="X22" s="3">
        <f t="shared" si="16"/>
        <v>1.5802844774273381E-3</v>
      </c>
      <c r="Y22" s="1"/>
      <c r="Z22" s="3">
        <f t="shared" si="2"/>
        <v>-1.9079214597220278</v>
      </c>
      <c r="AA22" s="3">
        <f t="shared" si="3"/>
        <v>-0.29295343676527091</v>
      </c>
      <c r="AB22" s="3">
        <f t="shared" si="4"/>
        <v>-1.2917022253843653</v>
      </c>
      <c r="AC22" s="3">
        <f t="shared" si="5"/>
        <v>0.60228527619529781</v>
      </c>
      <c r="AD22" s="3">
        <f t="shared" si="6"/>
        <v>-0.18179147971962978</v>
      </c>
      <c r="AE22" s="3">
        <f t="shared" si="7"/>
        <v>1.2444775446344229</v>
      </c>
      <c r="AF22" s="1"/>
      <c r="AG22" s="1" t="str" cm="1">
        <f t="array" ref="AG22">_xlfn.IFS(Z22&gt;3,"Strong + Slope",Z22&gt;1.5,"Moderate + Slope",Z22&gt;0.5,"Sideway + Slope",Z22&gt;=-0.5,"Sideway Flat",Z22&gt;=-1.5,"Sideway - Slope",Z22&gt;=-3,"Moderate - Slope",TRUE,"Strong - Slope")</f>
        <v>Moderate - Slope</v>
      </c>
      <c r="AH22" s="1" t="str" cm="1">
        <f t="array" ref="AH22">_xlfn.IFS(AA22&gt;3,"Strong + Slope",AA22&gt;1.5,"Moderate + Slope",AA22&gt;0.5,"Sideway + Slope",AA22&gt;=-0.5,"Sideway Flat",AA22&gt;=-1.5,"Sideway - Slope",AA22&gt;=-3,"Moderate - Slope",TRUE,"Strong - Slope")</f>
        <v>Sideway Flat</v>
      </c>
      <c r="AI22" s="1" t="str" cm="1">
        <f t="array" ref="AI22">_xlfn.IFS(AB22&gt;3,"Strong + Slope",AB22&gt;1.5,"Moderate + Slope",AB22&gt;0.5,"Sideway + Slope",AB22&gt;=-0.5,"Sideway Flat",AB22&gt;=-1.5,"Sideway - Slope",AB22&gt;=-3,"Moderate - Slope",TRUE,"Strong - Slope")</f>
        <v>Sideway - Slope</v>
      </c>
      <c r="AJ22" s="1" t="str" cm="1">
        <f t="array" ref="AJ22">_xlfn.IFS(AC22&gt;3,"Strong + Slope",AC22&gt;1.5,"Moderate + Slope",AC22&gt;0.5,"Sideway + Slope",AC22&gt;=-0.5,"Sideway Flat",AC22&gt;=-1.5,"Sideway - Slope",AC22&gt;=-3,"Moderate - Slope",TRUE,"Strong - Slope")</f>
        <v>Sideway + Slope</v>
      </c>
      <c r="AK22" s="1" t="str" cm="1">
        <f t="array" ref="AK22">_xlfn.IFS(AD22&gt;3,"Strong + Slope",AD22&gt;1.5,"Moderate + Slope",AD22&gt;0.5,"Sideway + Slope",AD22&gt;=-0.5,"Sideway Flat",AD22&gt;=-1.5,"Sideway - Slope",AD22&gt;=-3,"Moderate - Slope",TRUE,"Strong - Slope")</f>
        <v>Sideway Flat</v>
      </c>
      <c r="AL22" s="1" t="str" cm="1">
        <f t="array" ref="AL22">_xlfn.IFS(AE22&gt;3,"Strong + Slope",AE22&gt;1.5,"Moderate + Slope",AE22&gt;0.5,"Sideway + Slope",AE22&gt;=-0.5,"Sideway Flat",AE22&gt;=-1.5,"Sideway - Slope",AE22&gt;=-3,"Moderate - Slope",TRUE,"Strong - Slope")</f>
        <v>Sideway + Slope</v>
      </c>
    </row>
    <row r="23" spans="1:38" x14ac:dyDescent="0.55000000000000004">
      <c r="A23" s="1">
        <v>19</v>
      </c>
      <c r="B23" s="1" t="s">
        <v>22</v>
      </c>
      <c r="C23" s="1" t="s">
        <v>4</v>
      </c>
      <c r="D23" s="1" t="s">
        <v>103</v>
      </c>
      <c r="E23" s="1">
        <v>153.15100000000001</v>
      </c>
      <c r="F23" s="1">
        <v>153.036</v>
      </c>
      <c r="G23" s="1">
        <v>153.04599999999999</v>
      </c>
      <c r="H23" s="1">
        <v>152.995</v>
      </c>
      <c r="I23" s="1">
        <v>152.904</v>
      </c>
      <c r="J23" s="1">
        <v>153.24100000000001</v>
      </c>
      <c r="K23" s="1">
        <v>152.57400000000001</v>
      </c>
      <c r="L23" s="1">
        <v>152.59899999999999</v>
      </c>
      <c r="M23" s="1">
        <v>152.79599999999999</v>
      </c>
      <c r="N23" s="11">
        <f t="shared" si="0"/>
        <v>0.11500000000000909</v>
      </c>
      <c r="O23" s="11">
        <f t="shared" si="8"/>
        <v>0.10500000000001819</v>
      </c>
      <c r="P23" s="11">
        <f t="shared" si="9"/>
        <v>9.9999999999909051E-3</v>
      </c>
      <c r="Q23" s="11">
        <f t="shared" si="10"/>
        <v>0.11500000000000909</v>
      </c>
      <c r="R23" s="1"/>
      <c r="S23" s="3">
        <f t="shared" si="11"/>
        <v>-2.423265306122455E-3</v>
      </c>
      <c r="T23" s="3">
        <f t="shared" si="12"/>
        <v>-3.7194805194805478E-4</v>
      </c>
      <c r="U23" s="3">
        <f t="shared" si="13"/>
        <v>-1.6402721088435472E-3</v>
      </c>
      <c r="V23" s="3">
        <f t="shared" si="14"/>
        <v>7.6471243042669956E-4</v>
      </c>
      <c r="W23" s="3">
        <f t="shared" si="15"/>
        <v>-2.3081014223875058E-4</v>
      </c>
      <c r="X23" s="3">
        <f t="shared" si="16"/>
        <v>1.5802844774273381E-3</v>
      </c>
      <c r="Y23" s="1"/>
      <c r="Z23" s="3">
        <f t="shared" si="2"/>
        <v>-1.9079214597220278</v>
      </c>
      <c r="AA23" s="3">
        <f t="shared" si="3"/>
        <v>-0.29295343676527091</v>
      </c>
      <c r="AB23" s="3">
        <f t="shared" si="4"/>
        <v>-1.2917022253843653</v>
      </c>
      <c r="AC23" s="3">
        <f t="shared" si="5"/>
        <v>0.60228527619529781</v>
      </c>
      <c r="AD23" s="3">
        <f t="shared" si="6"/>
        <v>-0.18179147971962978</v>
      </c>
      <c r="AE23" s="3">
        <f t="shared" si="7"/>
        <v>1.2444775446344229</v>
      </c>
      <c r="AF23" s="1"/>
      <c r="AG23" s="1" t="str" cm="1">
        <f t="array" ref="AG23">_xlfn.IFS(Z23&gt;3,"Strong + Slope",Z23&gt;1.5,"Moderate + Slope",Z23&gt;0.5,"Sideway + Slope",Z23&gt;=-0.5,"Sideway Flat",Z23&gt;=-1.5,"Sideway - Slope",Z23&gt;=-3,"Moderate - Slope",TRUE,"Strong - Slope")</f>
        <v>Moderate - Slope</v>
      </c>
      <c r="AH23" s="1" t="str" cm="1">
        <f t="array" ref="AH23">_xlfn.IFS(AA23&gt;3,"Strong + Slope",AA23&gt;1.5,"Moderate + Slope",AA23&gt;0.5,"Sideway + Slope",AA23&gt;=-0.5,"Sideway Flat",AA23&gt;=-1.5,"Sideway - Slope",AA23&gt;=-3,"Moderate - Slope",TRUE,"Strong - Slope")</f>
        <v>Sideway Flat</v>
      </c>
      <c r="AI23" s="1" t="str" cm="1">
        <f t="array" ref="AI23">_xlfn.IFS(AB23&gt;3,"Strong + Slope",AB23&gt;1.5,"Moderate + Slope",AB23&gt;0.5,"Sideway + Slope",AB23&gt;=-0.5,"Sideway Flat",AB23&gt;=-1.5,"Sideway - Slope",AB23&gt;=-3,"Moderate - Slope",TRUE,"Strong - Slope")</f>
        <v>Sideway - Slope</v>
      </c>
      <c r="AJ23" s="1" t="str" cm="1">
        <f t="array" ref="AJ23">_xlfn.IFS(AC23&gt;3,"Strong + Slope",AC23&gt;1.5,"Moderate + Slope",AC23&gt;0.5,"Sideway + Slope",AC23&gt;=-0.5,"Sideway Flat",AC23&gt;=-1.5,"Sideway - Slope",AC23&gt;=-3,"Moderate - Slope",TRUE,"Strong - Slope")</f>
        <v>Sideway + Slope</v>
      </c>
      <c r="AK23" s="1" t="str" cm="1">
        <f t="array" ref="AK23">_xlfn.IFS(AD23&gt;3,"Strong + Slope",AD23&gt;1.5,"Moderate + Slope",AD23&gt;0.5,"Sideway + Slope",AD23&gt;=-0.5,"Sideway Flat",AD23&gt;=-1.5,"Sideway - Slope",AD23&gt;=-3,"Moderate - Slope",TRUE,"Strong - Slope")</f>
        <v>Sideway Flat</v>
      </c>
      <c r="AL23" s="1" t="str" cm="1">
        <f t="array" ref="AL23">_xlfn.IFS(AE23&gt;3,"Strong + Slope",AE23&gt;1.5,"Moderate + Slope",AE23&gt;0.5,"Sideway + Slope",AE23&gt;=-0.5,"Sideway Flat",AE23&gt;=-1.5,"Sideway - Slope",AE23&gt;=-3,"Moderate - Slope",TRUE,"Strong - Slope")</f>
        <v>Sideway + Slope</v>
      </c>
    </row>
    <row r="24" spans="1:38" x14ac:dyDescent="0.55000000000000004">
      <c r="A24" s="1">
        <v>20</v>
      </c>
      <c r="B24" s="1" t="s">
        <v>23</v>
      </c>
      <c r="C24" s="1" t="s">
        <v>4</v>
      </c>
      <c r="D24" s="1" t="s">
        <v>103</v>
      </c>
      <c r="E24" s="1">
        <v>153.12899999999999</v>
      </c>
      <c r="F24" s="1">
        <v>153.00700000000001</v>
      </c>
      <c r="G24" s="1">
        <v>153.09</v>
      </c>
      <c r="H24" s="1">
        <v>152.99199999999999</v>
      </c>
      <c r="I24" s="1">
        <v>152.904</v>
      </c>
      <c r="J24" s="1">
        <v>153.24</v>
      </c>
      <c r="K24" s="1">
        <v>152.57499999999999</v>
      </c>
      <c r="L24" s="1">
        <v>152.59899999999999</v>
      </c>
      <c r="M24" s="1">
        <v>152.798</v>
      </c>
      <c r="N24" s="11">
        <f t="shared" si="0"/>
        <v>0.12199999999998568</v>
      </c>
      <c r="O24" s="11">
        <f t="shared" si="8"/>
        <v>8.2999999999998408E-2</v>
      </c>
      <c r="P24" s="11">
        <f t="shared" si="9"/>
        <v>3.8999999999987267E-2</v>
      </c>
      <c r="Q24" s="11">
        <f t="shared" si="10"/>
        <v>0.12199999999998568</v>
      </c>
      <c r="R24" s="1"/>
      <c r="S24" s="3">
        <f t="shared" si="11"/>
        <v>-2.423265306122455E-3</v>
      </c>
      <c r="T24" s="3">
        <f t="shared" si="12"/>
        <v>-3.7194805194805478E-4</v>
      </c>
      <c r="U24" s="3">
        <f t="shared" si="13"/>
        <v>-1.6402721088435472E-3</v>
      </c>
      <c r="V24" s="3">
        <f t="shared" si="14"/>
        <v>7.6471243042669956E-4</v>
      </c>
      <c r="W24" s="3">
        <f t="shared" si="15"/>
        <v>-2.3081014223875058E-4</v>
      </c>
      <c r="X24" s="3">
        <f t="shared" si="16"/>
        <v>1.5802844774273381E-3</v>
      </c>
      <c r="Y24" s="1"/>
      <c r="Z24" s="3">
        <f t="shared" si="2"/>
        <v>-1.9079214597220278</v>
      </c>
      <c r="AA24" s="3">
        <f t="shared" si="3"/>
        <v>-0.29295343676527091</v>
      </c>
      <c r="AB24" s="3">
        <f t="shared" si="4"/>
        <v>-1.2917022253843653</v>
      </c>
      <c r="AC24" s="3">
        <f t="shared" si="5"/>
        <v>0.60228527619529781</v>
      </c>
      <c r="AD24" s="3">
        <f t="shared" si="6"/>
        <v>-0.18179147971962978</v>
      </c>
      <c r="AE24" s="3">
        <f t="shared" si="7"/>
        <v>1.2444775446344229</v>
      </c>
      <c r="AF24" s="1"/>
      <c r="AG24" s="1" t="str" cm="1">
        <f t="array" ref="AG24">_xlfn.IFS(Z24&gt;3,"Strong + Slope",Z24&gt;1.5,"Moderate + Slope",Z24&gt;0.5,"Sideway + Slope",Z24&gt;=-0.5,"Sideway Flat",Z24&gt;=-1.5,"Sideway - Slope",Z24&gt;=-3,"Moderate - Slope",TRUE,"Strong - Slope")</f>
        <v>Moderate - Slope</v>
      </c>
      <c r="AH24" s="1" t="str" cm="1">
        <f t="array" ref="AH24">_xlfn.IFS(AA24&gt;3,"Strong + Slope",AA24&gt;1.5,"Moderate + Slope",AA24&gt;0.5,"Sideway + Slope",AA24&gt;=-0.5,"Sideway Flat",AA24&gt;=-1.5,"Sideway - Slope",AA24&gt;=-3,"Moderate - Slope",TRUE,"Strong - Slope")</f>
        <v>Sideway Flat</v>
      </c>
      <c r="AI24" s="1" t="str" cm="1">
        <f t="array" ref="AI24">_xlfn.IFS(AB24&gt;3,"Strong + Slope",AB24&gt;1.5,"Moderate + Slope",AB24&gt;0.5,"Sideway + Slope",AB24&gt;=-0.5,"Sideway Flat",AB24&gt;=-1.5,"Sideway - Slope",AB24&gt;=-3,"Moderate - Slope",TRUE,"Strong - Slope")</f>
        <v>Sideway - Slope</v>
      </c>
      <c r="AJ24" s="1" t="str" cm="1">
        <f t="array" ref="AJ24">_xlfn.IFS(AC24&gt;3,"Strong + Slope",AC24&gt;1.5,"Moderate + Slope",AC24&gt;0.5,"Sideway + Slope",AC24&gt;=-0.5,"Sideway Flat",AC24&gt;=-1.5,"Sideway - Slope",AC24&gt;=-3,"Moderate - Slope",TRUE,"Strong - Slope")</f>
        <v>Sideway + Slope</v>
      </c>
      <c r="AK24" s="1" t="str" cm="1">
        <f t="array" ref="AK24">_xlfn.IFS(AD24&gt;3,"Strong + Slope",AD24&gt;1.5,"Moderate + Slope",AD24&gt;0.5,"Sideway + Slope",AD24&gt;=-0.5,"Sideway Flat",AD24&gt;=-1.5,"Sideway - Slope",AD24&gt;=-3,"Moderate - Slope",TRUE,"Strong - Slope")</f>
        <v>Sideway Flat</v>
      </c>
      <c r="AL24" s="1" t="str" cm="1">
        <f t="array" ref="AL24">_xlfn.IFS(AE24&gt;3,"Strong + Slope",AE24&gt;1.5,"Moderate + Slope",AE24&gt;0.5,"Sideway + Slope",AE24&gt;=-0.5,"Sideway Flat",AE24&gt;=-1.5,"Sideway - Slope",AE24&gt;=-3,"Moderate - Slope",TRUE,"Strong - Slope")</f>
        <v>Sideway + Slope</v>
      </c>
    </row>
    <row r="25" spans="1:38" x14ac:dyDescent="0.55000000000000004">
      <c r="A25" s="1">
        <v>21</v>
      </c>
      <c r="B25" s="1" t="s">
        <v>24</v>
      </c>
      <c r="C25" s="1" t="s">
        <v>4</v>
      </c>
      <c r="D25" s="1" t="s">
        <v>103</v>
      </c>
      <c r="E25" s="1">
        <v>153.09200000000001</v>
      </c>
      <c r="F25" s="1">
        <v>152.989</v>
      </c>
      <c r="G25" s="1">
        <v>153.001</v>
      </c>
      <c r="H25" s="1">
        <v>152.99</v>
      </c>
      <c r="I25" s="1">
        <v>152.904</v>
      </c>
      <c r="J25" s="1">
        <v>153.238</v>
      </c>
      <c r="K25" s="1">
        <v>152.57499999999999</v>
      </c>
      <c r="L25" s="1">
        <v>152.59800000000001</v>
      </c>
      <c r="M25" s="1">
        <v>152.80000000000001</v>
      </c>
      <c r="N25" s="11">
        <f t="shared" si="0"/>
        <v>0.10300000000000864</v>
      </c>
      <c r="O25" s="11">
        <f t="shared" si="8"/>
        <v>2.0000000000095497E-3</v>
      </c>
      <c r="P25" s="11">
        <f t="shared" si="9"/>
        <v>0.10099999999999909</v>
      </c>
      <c r="Q25" s="11">
        <f t="shared" si="10"/>
        <v>0.10300000000000864</v>
      </c>
      <c r="R25" s="1"/>
      <c r="S25" s="3">
        <f t="shared" si="11"/>
        <v>-2.423265306122455E-3</v>
      </c>
      <c r="T25" s="3">
        <f t="shared" si="12"/>
        <v>-3.7194805194805478E-4</v>
      </c>
      <c r="U25" s="3">
        <f t="shared" si="13"/>
        <v>-1.6402721088435472E-3</v>
      </c>
      <c r="V25" s="3">
        <f t="shared" si="14"/>
        <v>7.6471243042669956E-4</v>
      </c>
      <c r="W25" s="3">
        <f t="shared" si="15"/>
        <v>-2.3081014223875058E-4</v>
      </c>
      <c r="X25" s="3">
        <f t="shared" si="16"/>
        <v>1.5802844774273381E-3</v>
      </c>
      <c r="Y25" s="1"/>
      <c r="Z25" s="3">
        <f t="shared" si="2"/>
        <v>-1.9079214597220278</v>
      </c>
      <c r="AA25" s="3">
        <f t="shared" si="3"/>
        <v>-0.29295343676527091</v>
      </c>
      <c r="AB25" s="3">
        <f t="shared" si="4"/>
        <v>-1.2917022253843653</v>
      </c>
      <c r="AC25" s="3">
        <f t="shared" si="5"/>
        <v>0.60228527619529781</v>
      </c>
      <c r="AD25" s="3">
        <f t="shared" si="6"/>
        <v>-0.18179147971962978</v>
      </c>
      <c r="AE25" s="3">
        <f t="shared" si="7"/>
        <v>1.2444775446344229</v>
      </c>
      <c r="AF25" s="1"/>
      <c r="AG25" s="1" t="str" cm="1">
        <f t="array" ref="AG25">_xlfn.IFS(Z25&gt;3,"Strong + Slope",Z25&gt;1.5,"Moderate + Slope",Z25&gt;0.5,"Sideway + Slope",Z25&gt;=-0.5,"Sideway Flat",Z25&gt;=-1.5,"Sideway - Slope",Z25&gt;=-3,"Moderate - Slope",TRUE,"Strong - Slope")</f>
        <v>Moderate - Slope</v>
      </c>
      <c r="AH25" s="1" t="str" cm="1">
        <f t="array" ref="AH25">_xlfn.IFS(AA25&gt;3,"Strong + Slope",AA25&gt;1.5,"Moderate + Slope",AA25&gt;0.5,"Sideway + Slope",AA25&gt;=-0.5,"Sideway Flat",AA25&gt;=-1.5,"Sideway - Slope",AA25&gt;=-3,"Moderate - Slope",TRUE,"Strong - Slope")</f>
        <v>Sideway Flat</v>
      </c>
      <c r="AI25" s="1" t="str" cm="1">
        <f t="array" ref="AI25">_xlfn.IFS(AB25&gt;3,"Strong + Slope",AB25&gt;1.5,"Moderate + Slope",AB25&gt;0.5,"Sideway + Slope",AB25&gt;=-0.5,"Sideway Flat",AB25&gt;=-1.5,"Sideway - Slope",AB25&gt;=-3,"Moderate - Slope",TRUE,"Strong - Slope")</f>
        <v>Sideway - Slope</v>
      </c>
      <c r="AJ25" s="1" t="str" cm="1">
        <f t="array" ref="AJ25">_xlfn.IFS(AC25&gt;3,"Strong + Slope",AC25&gt;1.5,"Moderate + Slope",AC25&gt;0.5,"Sideway + Slope",AC25&gt;=-0.5,"Sideway Flat",AC25&gt;=-1.5,"Sideway - Slope",AC25&gt;=-3,"Moderate - Slope",TRUE,"Strong - Slope")</f>
        <v>Sideway + Slope</v>
      </c>
      <c r="AK25" s="1" t="str" cm="1">
        <f t="array" ref="AK25">_xlfn.IFS(AD25&gt;3,"Strong + Slope",AD25&gt;1.5,"Moderate + Slope",AD25&gt;0.5,"Sideway + Slope",AD25&gt;=-0.5,"Sideway Flat",AD25&gt;=-1.5,"Sideway - Slope",AD25&gt;=-3,"Moderate - Slope",TRUE,"Strong - Slope")</f>
        <v>Sideway Flat</v>
      </c>
      <c r="AL25" s="1" t="str" cm="1">
        <f t="array" ref="AL25">_xlfn.IFS(AE25&gt;3,"Strong + Slope",AE25&gt;1.5,"Moderate + Slope",AE25&gt;0.5,"Sideway + Slope",AE25&gt;=-0.5,"Sideway Flat",AE25&gt;=-1.5,"Sideway - Slope",AE25&gt;=-3,"Moderate - Slope",TRUE,"Strong - Slope")</f>
        <v>Sideway + Slope</v>
      </c>
    </row>
    <row r="26" spans="1:38" x14ac:dyDescent="0.55000000000000004">
      <c r="A26" s="1">
        <v>22</v>
      </c>
      <c r="B26" s="1" t="s">
        <v>25</v>
      </c>
      <c r="C26" s="1" t="s">
        <v>4</v>
      </c>
      <c r="D26" s="1" t="s">
        <v>103</v>
      </c>
      <c r="E26" s="1">
        <v>153.05199999999999</v>
      </c>
      <c r="F26" s="1">
        <v>152.98400000000001</v>
      </c>
      <c r="G26" s="1">
        <v>153.036</v>
      </c>
      <c r="H26" s="1">
        <v>152.98699999999999</v>
      </c>
      <c r="I26" s="1">
        <v>152.90299999999999</v>
      </c>
      <c r="J26" s="1">
        <v>153.23599999999999</v>
      </c>
      <c r="K26" s="1">
        <v>152.57599999999999</v>
      </c>
      <c r="L26" s="1">
        <v>152.59800000000001</v>
      </c>
      <c r="M26" s="1">
        <v>152.80099999999999</v>
      </c>
      <c r="N26" s="11">
        <f t="shared" si="0"/>
        <v>6.7999999999983629E-2</v>
      </c>
      <c r="O26" s="11">
        <f t="shared" si="8"/>
        <v>5.0999999999987722E-2</v>
      </c>
      <c r="P26" s="11">
        <f t="shared" si="9"/>
        <v>1.6999999999995907E-2</v>
      </c>
      <c r="Q26" s="11">
        <f t="shared" si="10"/>
        <v>6.7999999999983629E-2</v>
      </c>
      <c r="R26" s="1"/>
      <c r="S26" s="3">
        <f t="shared" si="11"/>
        <v>-2.423265306122455E-3</v>
      </c>
      <c r="T26" s="3">
        <f t="shared" si="12"/>
        <v>-3.7194805194805478E-4</v>
      </c>
      <c r="U26" s="3">
        <f t="shared" si="13"/>
        <v>-1.6402721088435472E-3</v>
      </c>
      <c r="V26" s="3">
        <f t="shared" si="14"/>
        <v>7.6471243042669956E-4</v>
      </c>
      <c r="W26" s="3">
        <f t="shared" si="15"/>
        <v>-2.3081014223875058E-4</v>
      </c>
      <c r="X26" s="3">
        <f t="shared" si="16"/>
        <v>1.5802844774273381E-3</v>
      </c>
      <c r="Y26" s="1"/>
      <c r="Z26" s="3">
        <f t="shared" si="2"/>
        <v>-1.9079214597220278</v>
      </c>
      <c r="AA26" s="3">
        <f t="shared" si="3"/>
        <v>-0.29295343676527091</v>
      </c>
      <c r="AB26" s="3">
        <f t="shared" si="4"/>
        <v>-1.2917022253843653</v>
      </c>
      <c r="AC26" s="3">
        <f t="shared" si="5"/>
        <v>0.60228527619529781</v>
      </c>
      <c r="AD26" s="3">
        <f t="shared" si="6"/>
        <v>-0.18179147971962978</v>
      </c>
      <c r="AE26" s="3">
        <f t="shared" si="7"/>
        <v>1.2444775446344229</v>
      </c>
      <c r="AF26" s="1"/>
      <c r="AG26" s="1" t="str" cm="1">
        <f t="array" ref="AG26">_xlfn.IFS(Z26&gt;3,"Strong + Slope",Z26&gt;1.5,"Moderate + Slope",Z26&gt;0.5,"Sideway + Slope",Z26&gt;=-0.5,"Sideway Flat",Z26&gt;=-1.5,"Sideway - Slope",Z26&gt;=-3,"Moderate - Slope",TRUE,"Strong - Slope")</f>
        <v>Moderate - Slope</v>
      </c>
      <c r="AH26" s="1" t="str" cm="1">
        <f t="array" ref="AH26">_xlfn.IFS(AA26&gt;3,"Strong + Slope",AA26&gt;1.5,"Moderate + Slope",AA26&gt;0.5,"Sideway + Slope",AA26&gt;=-0.5,"Sideway Flat",AA26&gt;=-1.5,"Sideway - Slope",AA26&gt;=-3,"Moderate - Slope",TRUE,"Strong - Slope")</f>
        <v>Sideway Flat</v>
      </c>
      <c r="AI26" s="1" t="str" cm="1">
        <f t="array" ref="AI26">_xlfn.IFS(AB26&gt;3,"Strong + Slope",AB26&gt;1.5,"Moderate + Slope",AB26&gt;0.5,"Sideway + Slope",AB26&gt;=-0.5,"Sideway Flat",AB26&gt;=-1.5,"Sideway - Slope",AB26&gt;=-3,"Moderate - Slope",TRUE,"Strong - Slope")</f>
        <v>Sideway - Slope</v>
      </c>
      <c r="AJ26" s="1" t="str" cm="1">
        <f t="array" ref="AJ26">_xlfn.IFS(AC26&gt;3,"Strong + Slope",AC26&gt;1.5,"Moderate + Slope",AC26&gt;0.5,"Sideway + Slope",AC26&gt;=-0.5,"Sideway Flat",AC26&gt;=-1.5,"Sideway - Slope",AC26&gt;=-3,"Moderate - Slope",TRUE,"Strong - Slope")</f>
        <v>Sideway + Slope</v>
      </c>
      <c r="AK26" s="1" t="str" cm="1">
        <f t="array" ref="AK26">_xlfn.IFS(AD26&gt;3,"Strong + Slope",AD26&gt;1.5,"Moderate + Slope",AD26&gt;0.5,"Sideway + Slope",AD26&gt;=-0.5,"Sideway Flat",AD26&gt;=-1.5,"Sideway - Slope",AD26&gt;=-3,"Moderate - Slope",TRUE,"Strong - Slope")</f>
        <v>Sideway Flat</v>
      </c>
      <c r="AL26" s="1" t="str" cm="1">
        <f t="array" ref="AL26">_xlfn.IFS(AE26&gt;3,"Strong + Slope",AE26&gt;1.5,"Moderate + Slope",AE26&gt;0.5,"Sideway + Slope",AE26&gt;=-0.5,"Sideway Flat",AE26&gt;=-1.5,"Sideway - Slope",AE26&gt;=-3,"Moderate - Slope",TRUE,"Strong - Slope")</f>
        <v>Sideway + Slope</v>
      </c>
    </row>
    <row r="27" spans="1:38" x14ac:dyDescent="0.55000000000000004">
      <c r="A27" s="1">
        <v>23</v>
      </c>
      <c r="B27" s="1" t="s">
        <v>26</v>
      </c>
      <c r="C27" s="1" t="s">
        <v>4</v>
      </c>
      <c r="D27" s="1" t="s">
        <v>103</v>
      </c>
      <c r="E27" s="1">
        <v>153.13</v>
      </c>
      <c r="F27" s="1">
        <v>153.03200000000001</v>
      </c>
      <c r="G27" s="1">
        <v>153.07499999999999</v>
      </c>
      <c r="H27" s="1">
        <v>152.98500000000001</v>
      </c>
      <c r="I27" s="1">
        <v>152.90299999999999</v>
      </c>
      <c r="J27" s="1">
        <v>153.23500000000001</v>
      </c>
      <c r="K27" s="1">
        <v>152.577</v>
      </c>
      <c r="L27" s="1">
        <v>152.59800000000001</v>
      </c>
      <c r="M27" s="1">
        <v>152.803</v>
      </c>
      <c r="N27" s="11">
        <f t="shared" si="0"/>
        <v>9.7999999999984766E-2</v>
      </c>
      <c r="O27" s="11">
        <f t="shared" si="8"/>
        <v>9.3999999999994088E-2</v>
      </c>
      <c r="P27" s="11">
        <f t="shared" si="9"/>
        <v>3.9999999999906777E-3</v>
      </c>
      <c r="Q27" s="11">
        <f t="shared" si="10"/>
        <v>9.7999999999984766E-2</v>
      </c>
      <c r="R27" s="1"/>
      <c r="S27" s="3">
        <f t="shared" si="11"/>
        <v>-2.423265306122455E-3</v>
      </c>
      <c r="T27" s="3">
        <f t="shared" si="12"/>
        <v>-3.7194805194805478E-4</v>
      </c>
      <c r="U27" s="3">
        <f t="shared" si="13"/>
        <v>-1.6402721088435472E-3</v>
      </c>
      <c r="V27" s="3">
        <f t="shared" si="14"/>
        <v>7.6471243042669956E-4</v>
      </c>
      <c r="W27" s="3">
        <f t="shared" si="15"/>
        <v>-2.3081014223875058E-4</v>
      </c>
      <c r="X27" s="3">
        <f t="shared" si="16"/>
        <v>1.5802844774273381E-3</v>
      </c>
      <c r="Y27" s="1"/>
      <c r="Z27" s="3">
        <f t="shared" si="2"/>
        <v>-1.9079214597220278</v>
      </c>
      <c r="AA27" s="3">
        <f t="shared" si="3"/>
        <v>-0.29295343676527091</v>
      </c>
      <c r="AB27" s="3">
        <f t="shared" si="4"/>
        <v>-1.2917022253843653</v>
      </c>
      <c r="AC27" s="3">
        <f t="shared" si="5"/>
        <v>0.60228527619529781</v>
      </c>
      <c r="AD27" s="3">
        <f t="shared" si="6"/>
        <v>-0.18179147971962978</v>
      </c>
      <c r="AE27" s="3">
        <f t="shared" si="7"/>
        <v>1.2444775446344229</v>
      </c>
      <c r="AF27" s="1"/>
      <c r="AG27" s="1" t="str" cm="1">
        <f t="array" ref="AG27">_xlfn.IFS(Z27&gt;3,"Strong + Slope",Z27&gt;1.5,"Moderate + Slope",Z27&gt;0.5,"Sideway + Slope",Z27&gt;=-0.5,"Sideway Flat",Z27&gt;=-1.5,"Sideway - Slope",Z27&gt;=-3,"Moderate - Slope",TRUE,"Strong - Slope")</f>
        <v>Moderate - Slope</v>
      </c>
      <c r="AH27" s="1" t="str" cm="1">
        <f t="array" ref="AH27">_xlfn.IFS(AA27&gt;3,"Strong + Slope",AA27&gt;1.5,"Moderate + Slope",AA27&gt;0.5,"Sideway + Slope",AA27&gt;=-0.5,"Sideway Flat",AA27&gt;=-1.5,"Sideway - Slope",AA27&gt;=-3,"Moderate - Slope",TRUE,"Strong - Slope")</f>
        <v>Sideway Flat</v>
      </c>
      <c r="AI27" s="1" t="str" cm="1">
        <f t="array" ref="AI27">_xlfn.IFS(AB27&gt;3,"Strong + Slope",AB27&gt;1.5,"Moderate + Slope",AB27&gt;0.5,"Sideway + Slope",AB27&gt;=-0.5,"Sideway Flat",AB27&gt;=-1.5,"Sideway - Slope",AB27&gt;=-3,"Moderate - Slope",TRUE,"Strong - Slope")</f>
        <v>Sideway - Slope</v>
      </c>
      <c r="AJ27" s="1" t="str" cm="1">
        <f t="array" ref="AJ27">_xlfn.IFS(AC27&gt;3,"Strong + Slope",AC27&gt;1.5,"Moderate + Slope",AC27&gt;0.5,"Sideway + Slope",AC27&gt;=-0.5,"Sideway Flat",AC27&gt;=-1.5,"Sideway - Slope",AC27&gt;=-3,"Moderate - Slope",TRUE,"Strong - Slope")</f>
        <v>Sideway + Slope</v>
      </c>
      <c r="AK27" s="1" t="str" cm="1">
        <f t="array" ref="AK27">_xlfn.IFS(AD27&gt;3,"Strong + Slope",AD27&gt;1.5,"Moderate + Slope",AD27&gt;0.5,"Sideway + Slope",AD27&gt;=-0.5,"Sideway Flat",AD27&gt;=-1.5,"Sideway - Slope",AD27&gt;=-3,"Moderate - Slope",TRUE,"Strong - Slope")</f>
        <v>Sideway Flat</v>
      </c>
      <c r="AL27" s="1" t="str" cm="1">
        <f t="array" ref="AL27">_xlfn.IFS(AE27&gt;3,"Strong + Slope",AE27&gt;1.5,"Moderate + Slope",AE27&gt;0.5,"Sideway + Slope",AE27&gt;=-0.5,"Sideway Flat",AE27&gt;=-1.5,"Sideway - Slope",AE27&gt;=-3,"Moderate - Slope",TRUE,"Strong - Slope")</f>
        <v>Sideway + Slope</v>
      </c>
    </row>
    <row r="28" spans="1:38" x14ac:dyDescent="0.55000000000000004">
      <c r="A28" s="1">
        <v>24</v>
      </c>
      <c r="B28" s="1" t="s">
        <v>27</v>
      </c>
      <c r="C28" s="1" t="s">
        <v>4</v>
      </c>
      <c r="D28" s="1" t="s">
        <v>103</v>
      </c>
      <c r="E28" s="1">
        <v>153.09700000000001</v>
      </c>
      <c r="F28" s="1">
        <v>153.06200000000001</v>
      </c>
      <c r="G28" s="1">
        <v>153.072</v>
      </c>
      <c r="H28" s="1">
        <v>152.983</v>
      </c>
      <c r="I28" s="1">
        <v>152.90299999999999</v>
      </c>
      <c r="J28" s="1">
        <v>153.233</v>
      </c>
      <c r="K28" s="1">
        <v>152.578</v>
      </c>
      <c r="L28" s="1">
        <v>152.59800000000001</v>
      </c>
      <c r="M28" s="1">
        <v>152.804</v>
      </c>
      <c r="N28" s="11">
        <f t="shared" si="0"/>
        <v>3.4999999999996589E-2</v>
      </c>
      <c r="O28" s="11">
        <f t="shared" si="8"/>
        <v>2.2000000000019782E-2</v>
      </c>
      <c r="P28" s="11">
        <f t="shared" si="9"/>
        <v>1.2999999999976808E-2</v>
      </c>
      <c r="Q28" s="11">
        <f t="shared" si="10"/>
        <v>3.4999999999996589E-2</v>
      </c>
      <c r="R28" s="1"/>
      <c r="S28" s="3">
        <f t="shared" si="11"/>
        <v>-2.423265306122455E-3</v>
      </c>
      <c r="T28" s="3">
        <f t="shared" si="12"/>
        <v>-3.7194805194805478E-4</v>
      </c>
      <c r="U28" s="3">
        <f t="shared" si="13"/>
        <v>-1.6402721088435472E-3</v>
      </c>
      <c r="V28" s="3">
        <f t="shared" si="14"/>
        <v>7.6471243042669956E-4</v>
      </c>
      <c r="W28" s="3">
        <f t="shared" si="15"/>
        <v>-2.3081014223875058E-4</v>
      </c>
      <c r="X28" s="3">
        <f t="shared" si="16"/>
        <v>1.5802844774273381E-3</v>
      </c>
      <c r="Y28" s="1"/>
      <c r="Z28" s="3">
        <f t="shared" si="2"/>
        <v>-1.9079214597220278</v>
      </c>
      <c r="AA28" s="3">
        <f t="shared" si="3"/>
        <v>-0.29295343676527091</v>
      </c>
      <c r="AB28" s="3">
        <f t="shared" si="4"/>
        <v>-1.2917022253843653</v>
      </c>
      <c r="AC28" s="3">
        <f t="shared" si="5"/>
        <v>0.60228527619529781</v>
      </c>
      <c r="AD28" s="3">
        <f t="shared" si="6"/>
        <v>-0.18179147971962978</v>
      </c>
      <c r="AE28" s="3">
        <f t="shared" si="7"/>
        <v>1.2444775446344229</v>
      </c>
      <c r="AF28" s="1"/>
      <c r="AG28" s="1" t="str" cm="1">
        <f t="array" ref="AG28">_xlfn.IFS(Z28&gt;3,"Strong + Slope",Z28&gt;1.5,"Moderate + Slope",Z28&gt;0.5,"Sideway + Slope",Z28&gt;=-0.5,"Sideway Flat",Z28&gt;=-1.5,"Sideway - Slope",Z28&gt;=-3,"Moderate - Slope",TRUE,"Strong - Slope")</f>
        <v>Moderate - Slope</v>
      </c>
      <c r="AH28" s="1" t="str" cm="1">
        <f t="array" ref="AH28">_xlfn.IFS(AA28&gt;3,"Strong + Slope",AA28&gt;1.5,"Moderate + Slope",AA28&gt;0.5,"Sideway + Slope",AA28&gt;=-0.5,"Sideway Flat",AA28&gt;=-1.5,"Sideway - Slope",AA28&gt;=-3,"Moderate - Slope",TRUE,"Strong - Slope")</f>
        <v>Sideway Flat</v>
      </c>
      <c r="AI28" s="1" t="str" cm="1">
        <f t="array" ref="AI28">_xlfn.IFS(AB28&gt;3,"Strong + Slope",AB28&gt;1.5,"Moderate + Slope",AB28&gt;0.5,"Sideway + Slope",AB28&gt;=-0.5,"Sideway Flat",AB28&gt;=-1.5,"Sideway - Slope",AB28&gt;=-3,"Moderate - Slope",TRUE,"Strong - Slope")</f>
        <v>Sideway - Slope</v>
      </c>
      <c r="AJ28" s="1" t="str" cm="1">
        <f t="array" ref="AJ28">_xlfn.IFS(AC28&gt;3,"Strong + Slope",AC28&gt;1.5,"Moderate + Slope",AC28&gt;0.5,"Sideway + Slope",AC28&gt;=-0.5,"Sideway Flat",AC28&gt;=-1.5,"Sideway - Slope",AC28&gt;=-3,"Moderate - Slope",TRUE,"Strong - Slope")</f>
        <v>Sideway + Slope</v>
      </c>
      <c r="AK28" s="1" t="str" cm="1">
        <f t="array" ref="AK28">_xlfn.IFS(AD28&gt;3,"Strong + Slope",AD28&gt;1.5,"Moderate + Slope",AD28&gt;0.5,"Sideway + Slope",AD28&gt;=-0.5,"Sideway Flat",AD28&gt;=-1.5,"Sideway - Slope",AD28&gt;=-3,"Moderate - Slope",TRUE,"Strong - Slope")</f>
        <v>Sideway Flat</v>
      </c>
      <c r="AL28" s="1" t="str" cm="1">
        <f t="array" ref="AL28">_xlfn.IFS(AE28&gt;3,"Strong + Slope",AE28&gt;1.5,"Moderate + Slope",AE28&gt;0.5,"Sideway + Slope",AE28&gt;=-0.5,"Sideway Flat",AE28&gt;=-1.5,"Sideway - Slope",AE28&gt;=-3,"Moderate - Slope",TRUE,"Strong - Slope")</f>
        <v>Sideway + Slope</v>
      </c>
    </row>
    <row r="29" spans="1:38" x14ac:dyDescent="0.55000000000000004">
      <c r="A29" s="1">
        <v>25</v>
      </c>
      <c r="B29" s="1" t="s">
        <v>28</v>
      </c>
      <c r="C29" s="1" t="s">
        <v>4</v>
      </c>
      <c r="D29" s="1" t="s">
        <v>103</v>
      </c>
      <c r="E29" s="1">
        <v>153.07400000000001</v>
      </c>
      <c r="F29" s="1">
        <v>152.946</v>
      </c>
      <c r="G29" s="1">
        <v>152.95099999999999</v>
      </c>
      <c r="H29" s="1">
        <v>152.97999999999999</v>
      </c>
      <c r="I29" s="1">
        <v>152.90199999999999</v>
      </c>
      <c r="J29" s="1">
        <v>153.232</v>
      </c>
      <c r="K29" s="1">
        <v>152.578</v>
      </c>
      <c r="L29" s="1">
        <v>152.59700000000001</v>
      </c>
      <c r="M29" s="1">
        <v>152.80600000000001</v>
      </c>
      <c r="N29" s="11">
        <f t="shared" si="0"/>
        <v>0.12800000000001432</v>
      </c>
      <c r="O29" s="11">
        <f t="shared" si="8"/>
        <v>2.0000000000095497E-3</v>
      </c>
      <c r="P29" s="11">
        <f t="shared" si="9"/>
        <v>0.12600000000000477</v>
      </c>
      <c r="Q29" s="11">
        <f t="shared" si="10"/>
        <v>0.12800000000001432</v>
      </c>
      <c r="R29" s="1"/>
      <c r="S29" s="3">
        <f t="shared" si="11"/>
        <v>-2.423265306122455E-3</v>
      </c>
      <c r="T29" s="3">
        <f t="shared" si="12"/>
        <v>-3.7194805194805478E-4</v>
      </c>
      <c r="U29" s="3">
        <f t="shared" si="13"/>
        <v>-1.6402721088435472E-3</v>
      </c>
      <c r="V29" s="3">
        <f t="shared" si="14"/>
        <v>7.6471243042669956E-4</v>
      </c>
      <c r="W29" s="3">
        <f t="shared" si="15"/>
        <v>-2.3081014223875058E-4</v>
      </c>
      <c r="X29" s="3">
        <f t="shared" si="16"/>
        <v>1.5802844774273381E-3</v>
      </c>
      <c r="Y29" s="1"/>
      <c r="Z29" s="3">
        <f t="shared" si="2"/>
        <v>-1.9079214597220278</v>
      </c>
      <c r="AA29" s="3">
        <f t="shared" si="3"/>
        <v>-0.29295343676527091</v>
      </c>
      <c r="AB29" s="3">
        <f t="shared" si="4"/>
        <v>-1.2917022253843653</v>
      </c>
      <c r="AC29" s="3">
        <f t="shared" si="5"/>
        <v>0.60228527619529781</v>
      </c>
      <c r="AD29" s="3">
        <f t="shared" si="6"/>
        <v>-0.18179147971962978</v>
      </c>
      <c r="AE29" s="3">
        <f t="shared" si="7"/>
        <v>1.2444775446344229</v>
      </c>
      <c r="AF29" s="1"/>
      <c r="AG29" s="1" t="str" cm="1">
        <f t="array" ref="AG29">_xlfn.IFS(Z29&gt;3,"Strong + Slope",Z29&gt;1.5,"Moderate + Slope",Z29&gt;0.5,"Sideway + Slope",Z29&gt;=-0.5,"Sideway Flat",Z29&gt;=-1.5,"Sideway - Slope",Z29&gt;=-3,"Moderate - Slope",TRUE,"Strong - Slope")</f>
        <v>Moderate - Slope</v>
      </c>
      <c r="AH29" s="1" t="str" cm="1">
        <f t="array" ref="AH29">_xlfn.IFS(AA29&gt;3,"Strong + Slope",AA29&gt;1.5,"Moderate + Slope",AA29&gt;0.5,"Sideway + Slope",AA29&gt;=-0.5,"Sideway Flat",AA29&gt;=-1.5,"Sideway - Slope",AA29&gt;=-3,"Moderate - Slope",TRUE,"Strong - Slope")</f>
        <v>Sideway Flat</v>
      </c>
      <c r="AI29" s="1" t="str" cm="1">
        <f t="array" ref="AI29">_xlfn.IFS(AB29&gt;3,"Strong + Slope",AB29&gt;1.5,"Moderate + Slope",AB29&gt;0.5,"Sideway + Slope",AB29&gt;=-0.5,"Sideway Flat",AB29&gt;=-1.5,"Sideway - Slope",AB29&gt;=-3,"Moderate - Slope",TRUE,"Strong - Slope")</f>
        <v>Sideway - Slope</v>
      </c>
      <c r="AJ29" s="1" t="str" cm="1">
        <f t="array" ref="AJ29">_xlfn.IFS(AC29&gt;3,"Strong + Slope",AC29&gt;1.5,"Moderate + Slope",AC29&gt;0.5,"Sideway + Slope",AC29&gt;=-0.5,"Sideway Flat",AC29&gt;=-1.5,"Sideway - Slope",AC29&gt;=-3,"Moderate - Slope",TRUE,"Strong - Slope")</f>
        <v>Sideway + Slope</v>
      </c>
      <c r="AK29" s="1" t="str" cm="1">
        <f t="array" ref="AK29">_xlfn.IFS(AD29&gt;3,"Strong + Slope",AD29&gt;1.5,"Moderate + Slope",AD29&gt;0.5,"Sideway + Slope",AD29&gt;=-0.5,"Sideway Flat",AD29&gt;=-1.5,"Sideway - Slope",AD29&gt;=-3,"Moderate - Slope",TRUE,"Strong - Slope")</f>
        <v>Sideway Flat</v>
      </c>
      <c r="AL29" s="1" t="str" cm="1">
        <f t="array" ref="AL29">_xlfn.IFS(AE29&gt;3,"Strong + Slope",AE29&gt;1.5,"Moderate + Slope",AE29&gt;0.5,"Sideway + Slope",AE29&gt;=-0.5,"Sideway Flat",AE29&gt;=-1.5,"Sideway - Slope",AE29&gt;=-3,"Moderate - Slope",TRUE,"Strong - Slope")</f>
        <v>Sideway + Slope</v>
      </c>
    </row>
    <row r="30" spans="1:38" x14ac:dyDescent="0.55000000000000004">
      <c r="A30" s="1">
        <v>26</v>
      </c>
      <c r="B30" s="1" t="s">
        <v>29</v>
      </c>
      <c r="C30" s="1" t="s">
        <v>4</v>
      </c>
      <c r="D30" s="1" t="s">
        <v>103</v>
      </c>
      <c r="E30" s="1">
        <v>152.96899999999999</v>
      </c>
      <c r="F30" s="1">
        <v>152.916</v>
      </c>
      <c r="G30" s="1">
        <v>152.94800000000001</v>
      </c>
      <c r="H30" s="1">
        <v>152.97800000000001</v>
      </c>
      <c r="I30" s="1">
        <v>152.90199999999999</v>
      </c>
      <c r="J30" s="1">
        <v>153.22999999999999</v>
      </c>
      <c r="K30" s="1">
        <v>152.57900000000001</v>
      </c>
      <c r="L30" s="1">
        <v>152.59700000000001</v>
      </c>
      <c r="M30" s="1">
        <v>152.80799999999999</v>
      </c>
      <c r="N30" s="11">
        <f t="shared" si="0"/>
        <v>5.2999999999997272E-2</v>
      </c>
      <c r="O30" s="11">
        <f t="shared" si="8"/>
        <v>1.8000000000000682E-2</v>
      </c>
      <c r="P30" s="11">
        <f t="shared" si="9"/>
        <v>3.4999999999996589E-2</v>
      </c>
      <c r="Q30" s="11">
        <f t="shared" si="10"/>
        <v>5.2999999999997272E-2</v>
      </c>
      <c r="R30" s="1"/>
      <c r="S30" s="3">
        <f t="shared" si="11"/>
        <v>-2.423265306122455E-3</v>
      </c>
      <c r="T30" s="3">
        <f t="shared" si="12"/>
        <v>-3.7194805194805478E-4</v>
      </c>
      <c r="U30" s="3">
        <f t="shared" si="13"/>
        <v>-1.6402721088435472E-3</v>
      </c>
      <c r="V30" s="3">
        <f t="shared" si="14"/>
        <v>7.6471243042669956E-4</v>
      </c>
      <c r="W30" s="3">
        <f t="shared" si="15"/>
        <v>-2.3081014223875058E-4</v>
      </c>
      <c r="X30" s="3">
        <f t="shared" si="16"/>
        <v>1.5802844774273381E-3</v>
      </c>
      <c r="Y30" s="1"/>
      <c r="Z30" s="3">
        <f t="shared" si="2"/>
        <v>-1.9079214597220278</v>
      </c>
      <c r="AA30" s="3">
        <f t="shared" si="3"/>
        <v>-0.29295343676527091</v>
      </c>
      <c r="AB30" s="3">
        <f t="shared" si="4"/>
        <v>-1.2917022253843653</v>
      </c>
      <c r="AC30" s="3">
        <f t="shared" si="5"/>
        <v>0.60228527619529781</v>
      </c>
      <c r="AD30" s="3">
        <f t="shared" si="6"/>
        <v>-0.18179147971962978</v>
      </c>
      <c r="AE30" s="3">
        <f t="shared" si="7"/>
        <v>1.2444775446344229</v>
      </c>
      <c r="AF30" s="1"/>
      <c r="AG30" s="1" t="str" cm="1">
        <f t="array" ref="AG30">_xlfn.IFS(Z30&gt;3,"Strong + Slope",Z30&gt;1.5,"Moderate + Slope",Z30&gt;0.5,"Sideway + Slope",Z30&gt;=-0.5,"Sideway Flat",Z30&gt;=-1.5,"Sideway - Slope",Z30&gt;=-3,"Moderate - Slope",TRUE,"Strong - Slope")</f>
        <v>Moderate - Slope</v>
      </c>
      <c r="AH30" s="1" t="str" cm="1">
        <f t="array" ref="AH30">_xlfn.IFS(AA30&gt;3,"Strong + Slope",AA30&gt;1.5,"Moderate + Slope",AA30&gt;0.5,"Sideway + Slope",AA30&gt;=-0.5,"Sideway Flat",AA30&gt;=-1.5,"Sideway - Slope",AA30&gt;=-3,"Moderate - Slope",TRUE,"Strong - Slope")</f>
        <v>Sideway Flat</v>
      </c>
      <c r="AI30" s="1" t="str" cm="1">
        <f t="array" ref="AI30">_xlfn.IFS(AB30&gt;3,"Strong + Slope",AB30&gt;1.5,"Moderate + Slope",AB30&gt;0.5,"Sideway + Slope",AB30&gt;=-0.5,"Sideway Flat",AB30&gt;=-1.5,"Sideway - Slope",AB30&gt;=-3,"Moderate - Slope",TRUE,"Strong - Slope")</f>
        <v>Sideway - Slope</v>
      </c>
      <c r="AJ30" s="1" t="str" cm="1">
        <f t="array" ref="AJ30">_xlfn.IFS(AC30&gt;3,"Strong + Slope",AC30&gt;1.5,"Moderate + Slope",AC30&gt;0.5,"Sideway + Slope",AC30&gt;=-0.5,"Sideway Flat",AC30&gt;=-1.5,"Sideway - Slope",AC30&gt;=-3,"Moderate - Slope",TRUE,"Strong - Slope")</f>
        <v>Sideway + Slope</v>
      </c>
      <c r="AK30" s="1" t="str" cm="1">
        <f t="array" ref="AK30">_xlfn.IFS(AD30&gt;3,"Strong + Slope",AD30&gt;1.5,"Moderate + Slope",AD30&gt;0.5,"Sideway + Slope",AD30&gt;=-0.5,"Sideway Flat",AD30&gt;=-1.5,"Sideway - Slope",AD30&gt;=-3,"Moderate - Slope",TRUE,"Strong - Slope")</f>
        <v>Sideway Flat</v>
      </c>
      <c r="AL30" s="1" t="str" cm="1">
        <f t="array" ref="AL30">_xlfn.IFS(AE30&gt;3,"Strong + Slope",AE30&gt;1.5,"Moderate + Slope",AE30&gt;0.5,"Sideway + Slope",AE30&gt;=-0.5,"Sideway Flat",AE30&gt;=-1.5,"Sideway - Slope",AE30&gt;=-3,"Moderate - Slope",TRUE,"Strong - Slope")</f>
        <v>Sideway + Slope</v>
      </c>
    </row>
    <row r="31" spans="1:38" x14ac:dyDescent="0.55000000000000004">
      <c r="A31" s="1">
        <v>27</v>
      </c>
      <c r="B31" s="1" t="s">
        <v>30</v>
      </c>
      <c r="C31" s="1" t="s">
        <v>4</v>
      </c>
      <c r="D31" s="1" t="s">
        <v>103</v>
      </c>
      <c r="E31" s="1">
        <v>153.13200000000001</v>
      </c>
      <c r="F31" s="1">
        <v>152.90700000000001</v>
      </c>
      <c r="G31" s="1">
        <v>153.006</v>
      </c>
      <c r="H31" s="1">
        <v>152.97499999999999</v>
      </c>
      <c r="I31" s="1">
        <v>152.90100000000001</v>
      </c>
      <c r="J31" s="1">
        <v>153.22800000000001</v>
      </c>
      <c r="K31" s="1">
        <v>152.58000000000001</v>
      </c>
      <c r="L31" s="1">
        <v>152.59700000000001</v>
      </c>
      <c r="M31" s="1">
        <v>152.809</v>
      </c>
      <c r="N31" s="11">
        <f t="shared" si="0"/>
        <v>0.22499999999999432</v>
      </c>
      <c r="O31" s="11">
        <f t="shared" si="8"/>
        <v>0.1839999999999975</v>
      </c>
      <c r="P31" s="11">
        <f t="shared" si="9"/>
        <v>4.0999999999996817E-2</v>
      </c>
      <c r="Q31" s="11">
        <f t="shared" si="10"/>
        <v>0.22499999999999432</v>
      </c>
      <c r="R31" s="1"/>
      <c r="S31" s="3">
        <f t="shared" si="11"/>
        <v>-2.423265306122455E-3</v>
      </c>
      <c r="T31" s="3">
        <f t="shared" si="12"/>
        <v>-3.7194805194805478E-4</v>
      </c>
      <c r="U31" s="3">
        <f t="shared" si="13"/>
        <v>-1.6402721088435472E-3</v>
      </c>
      <c r="V31" s="3">
        <f t="shared" si="14"/>
        <v>7.6471243042669956E-4</v>
      </c>
      <c r="W31" s="3">
        <f t="shared" si="15"/>
        <v>-2.3081014223875058E-4</v>
      </c>
      <c r="X31" s="3">
        <f t="shared" si="16"/>
        <v>1.5802844774273381E-3</v>
      </c>
      <c r="Y31" s="1"/>
      <c r="Z31" s="3">
        <f t="shared" si="2"/>
        <v>-1.9079214597220278</v>
      </c>
      <c r="AA31" s="3">
        <f t="shared" si="3"/>
        <v>-0.29295343676527091</v>
      </c>
      <c r="AB31" s="3">
        <f t="shared" si="4"/>
        <v>-1.2917022253843653</v>
      </c>
      <c r="AC31" s="3">
        <f t="shared" si="5"/>
        <v>0.60228527619529781</v>
      </c>
      <c r="AD31" s="3">
        <f t="shared" si="6"/>
        <v>-0.18179147971962978</v>
      </c>
      <c r="AE31" s="3">
        <f t="shared" si="7"/>
        <v>1.2444775446344229</v>
      </c>
      <c r="AF31" s="1"/>
      <c r="AG31" s="1" t="str" cm="1">
        <f t="array" ref="AG31">_xlfn.IFS(Z31&gt;3,"Strong + Slope",Z31&gt;1.5,"Moderate + Slope",Z31&gt;0.5,"Sideway + Slope",Z31&gt;=-0.5,"Sideway Flat",Z31&gt;=-1.5,"Sideway - Slope",Z31&gt;=-3,"Moderate - Slope",TRUE,"Strong - Slope")</f>
        <v>Moderate - Slope</v>
      </c>
      <c r="AH31" s="1" t="str" cm="1">
        <f t="array" ref="AH31">_xlfn.IFS(AA31&gt;3,"Strong + Slope",AA31&gt;1.5,"Moderate + Slope",AA31&gt;0.5,"Sideway + Slope",AA31&gt;=-0.5,"Sideway Flat",AA31&gt;=-1.5,"Sideway - Slope",AA31&gt;=-3,"Moderate - Slope",TRUE,"Strong - Slope")</f>
        <v>Sideway Flat</v>
      </c>
      <c r="AI31" s="1" t="str" cm="1">
        <f t="array" ref="AI31">_xlfn.IFS(AB31&gt;3,"Strong + Slope",AB31&gt;1.5,"Moderate + Slope",AB31&gt;0.5,"Sideway + Slope",AB31&gt;=-0.5,"Sideway Flat",AB31&gt;=-1.5,"Sideway - Slope",AB31&gt;=-3,"Moderate - Slope",TRUE,"Strong - Slope")</f>
        <v>Sideway - Slope</v>
      </c>
      <c r="AJ31" s="1" t="str" cm="1">
        <f t="array" ref="AJ31">_xlfn.IFS(AC31&gt;3,"Strong + Slope",AC31&gt;1.5,"Moderate + Slope",AC31&gt;0.5,"Sideway + Slope",AC31&gt;=-0.5,"Sideway Flat",AC31&gt;=-1.5,"Sideway - Slope",AC31&gt;=-3,"Moderate - Slope",TRUE,"Strong - Slope")</f>
        <v>Sideway + Slope</v>
      </c>
      <c r="AK31" s="1" t="str" cm="1">
        <f t="array" ref="AK31">_xlfn.IFS(AD31&gt;3,"Strong + Slope",AD31&gt;1.5,"Moderate + Slope",AD31&gt;0.5,"Sideway + Slope",AD31&gt;=-0.5,"Sideway Flat",AD31&gt;=-1.5,"Sideway - Slope",AD31&gt;=-3,"Moderate - Slope",TRUE,"Strong - Slope")</f>
        <v>Sideway Flat</v>
      </c>
      <c r="AL31" s="1" t="str" cm="1">
        <f t="array" ref="AL31">_xlfn.IFS(AE31&gt;3,"Strong + Slope",AE31&gt;1.5,"Moderate + Slope",AE31&gt;0.5,"Sideway + Slope",AE31&gt;=-0.5,"Sideway Flat",AE31&gt;=-1.5,"Sideway - Slope",AE31&gt;=-3,"Moderate - Slope",TRUE,"Strong - Slope")</f>
        <v>Sideway + Slope</v>
      </c>
    </row>
    <row r="32" spans="1:38" x14ac:dyDescent="0.55000000000000004">
      <c r="A32" s="1">
        <v>28</v>
      </c>
      <c r="B32" s="1" t="s">
        <v>31</v>
      </c>
      <c r="C32" s="1" t="s">
        <v>4</v>
      </c>
      <c r="D32" s="1" t="s">
        <v>103</v>
      </c>
      <c r="E32" s="1">
        <v>153.13499999999999</v>
      </c>
      <c r="F32" s="1">
        <v>152.99700000000001</v>
      </c>
      <c r="G32" s="1">
        <v>153.13200000000001</v>
      </c>
      <c r="H32" s="1">
        <v>152.97300000000001</v>
      </c>
      <c r="I32" s="1">
        <v>152.90100000000001</v>
      </c>
      <c r="J32" s="1">
        <v>153.227</v>
      </c>
      <c r="K32" s="1">
        <v>152.58099999999999</v>
      </c>
      <c r="L32" s="1">
        <v>152.59700000000001</v>
      </c>
      <c r="M32" s="1">
        <v>152.81100000000001</v>
      </c>
      <c r="N32" s="11">
        <f t="shared" si="0"/>
        <v>0.13799999999997681</v>
      </c>
      <c r="O32" s="11">
        <f t="shared" si="8"/>
        <v>0.12899999999999068</v>
      </c>
      <c r="P32" s="11">
        <f t="shared" si="9"/>
        <v>8.9999999999861302E-3</v>
      </c>
      <c r="Q32" s="11">
        <f t="shared" si="10"/>
        <v>0.13799999999997681</v>
      </c>
      <c r="R32" s="1"/>
      <c r="S32" s="3">
        <f t="shared" si="11"/>
        <v>-2.423265306122455E-3</v>
      </c>
      <c r="T32" s="3">
        <f t="shared" si="12"/>
        <v>-3.7194805194805478E-4</v>
      </c>
      <c r="U32" s="3">
        <f t="shared" si="13"/>
        <v>-1.6402721088435472E-3</v>
      </c>
      <c r="V32" s="3">
        <f t="shared" si="14"/>
        <v>7.6471243042669956E-4</v>
      </c>
      <c r="W32" s="3">
        <f t="shared" si="15"/>
        <v>-2.3081014223875058E-4</v>
      </c>
      <c r="X32" s="3">
        <f t="shared" si="16"/>
        <v>1.5802844774273381E-3</v>
      </c>
      <c r="Y32" s="1"/>
      <c r="Z32" s="3">
        <f t="shared" si="2"/>
        <v>-1.9079214597220278</v>
      </c>
      <c r="AA32" s="3">
        <f t="shared" si="3"/>
        <v>-0.29295343676527091</v>
      </c>
      <c r="AB32" s="3">
        <f t="shared" si="4"/>
        <v>-1.2917022253843653</v>
      </c>
      <c r="AC32" s="3">
        <f t="shared" si="5"/>
        <v>0.60228527619529781</v>
      </c>
      <c r="AD32" s="3">
        <f t="shared" si="6"/>
        <v>-0.18179147971962978</v>
      </c>
      <c r="AE32" s="3">
        <f t="shared" si="7"/>
        <v>1.2444775446344229</v>
      </c>
      <c r="AF32" s="1"/>
      <c r="AG32" s="1" t="str" cm="1">
        <f t="array" ref="AG32">_xlfn.IFS(Z32&gt;3,"Strong + Slope",Z32&gt;1.5,"Moderate + Slope",Z32&gt;0.5,"Sideway + Slope",Z32&gt;=-0.5,"Sideway Flat",Z32&gt;=-1.5,"Sideway - Slope",Z32&gt;=-3,"Moderate - Slope",TRUE,"Strong - Slope")</f>
        <v>Moderate - Slope</v>
      </c>
      <c r="AH32" s="1" t="str" cm="1">
        <f t="array" ref="AH32">_xlfn.IFS(AA32&gt;3,"Strong + Slope",AA32&gt;1.5,"Moderate + Slope",AA32&gt;0.5,"Sideway + Slope",AA32&gt;=-0.5,"Sideway Flat",AA32&gt;=-1.5,"Sideway - Slope",AA32&gt;=-3,"Moderate - Slope",TRUE,"Strong - Slope")</f>
        <v>Sideway Flat</v>
      </c>
      <c r="AI32" s="1" t="str" cm="1">
        <f t="array" ref="AI32">_xlfn.IFS(AB32&gt;3,"Strong + Slope",AB32&gt;1.5,"Moderate + Slope",AB32&gt;0.5,"Sideway + Slope",AB32&gt;=-0.5,"Sideway Flat",AB32&gt;=-1.5,"Sideway - Slope",AB32&gt;=-3,"Moderate - Slope",TRUE,"Strong - Slope")</f>
        <v>Sideway - Slope</v>
      </c>
      <c r="AJ32" s="1" t="str" cm="1">
        <f t="array" ref="AJ32">_xlfn.IFS(AC32&gt;3,"Strong + Slope",AC32&gt;1.5,"Moderate + Slope",AC32&gt;0.5,"Sideway + Slope",AC32&gt;=-0.5,"Sideway Flat",AC32&gt;=-1.5,"Sideway - Slope",AC32&gt;=-3,"Moderate - Slope",TRUE,"Strong - Slope")</f>
        <v>Sideway + Slope</v>
      </c>
      <c r="AK32" s="1" t="str" cm="1">
        <f t="array" ref="AK32">_xlfn.IFS(AD32&gt;3,"Strong + Slope",AD32&gt;1.5,"Moderate + Slope",AD32&gt;0.5,"Sideway + Slope",AD32&gt;=-0.5,"Sideway Flat",AD32&gt;=-1.5,"Sideway - Slope",AD32&gt;=-3,"Moderate - Slope",TRUE,"Strong - Slope")</f>
        <v>Sideway Flat</v>
      </c>
      <c r="AL32" s="1" t="str" cm="1">
        <f t="array" ref="AL32">_xlfn.IFS(AE32&gt;3,"Strong + Slope",AE32&gt;1.5,"Moderate + Slope",AE32&gt;0.5,"Sideway + Slope",AE32&gt;=-0.5,"Sideway Flat",AE32&gt;=-1.5,"Sideway - Slope",AE32&gt;=-3,"Moderate - Slope",TRUE,"Strong - Slope")</f>
        <v>Sideway + Slope</v>
      </c>
    </row>
    <row r="33" spans="1:38" x14ac:dyDescent="0.55000000000000004">
      <c r="A33" s="1">
        <v>29</v>
      </c>
      <c r="B33" s="1" t="s">
        <v>32</v>
      </c>
      <c r="C33" s="1" t="s">
        <v>4</v>
      </c>
      <c r="D33" s="1" t="s">
        <v>103</v>
      </c>
      <c r="E33" s="1">
        <v>153.22499999999999</v>
      </c>
      <c r="F33" s="1">
        <v>153.12799999999999</v>
      </c>
      <c r="G33" s="1">
        <v>153.16499999999999</v>
      </c>
      <c r="H33" s="1">
        <v>152.97</v>
      </c>
      <c r="I33" s="1">
        <v>152.90100000000001</v>
      </c>
      <c r="J33" s="1">
        <v>153.22499999999999</v>
      </c>
      <c r="K33" s="1">
        <v>152.58199999999999</v>
      </c>
      <c r="L33" s="1">
        <v>152.596</v>
      </c>
      <c r="M33" s="1">
        <v>152.81200000000001</v>
      </c>
      <c r="N33" s="11">
        <f t="shared" si="0"/>
        <v>9.7000000000008413E-2</v>
      </c>
      <c r="O33" s="11">
        <f t="shared" si="8"/>
        <v>9.2999999999989313E-2</v>
      </c>
      <c r="P33" s="11">
        <f t="shared" si="9"/>
        <v>4.0000000000190994E-3</v>
      </c>
      <c r="Q33" s="11">
        <f t="shared" si="10"/>
        <v>9.7000000000008413E-2</v>
      </c>
      <c r="R33" s="1"/>
      <c r="S33" s="3">
        <f t="shared" si="11"/>
        <v>-2.423265306122455E-3</v>
      </c>
      <c r="T33" s="3">
        <f t="shared" si="12"/>
        <v>-3.7194805194805478E-4</v>
      </c>
      <c r="U33" s="3">
        <f t="shared" si="13"/>
        <v>-1.6402721088435472E-3</v>
      </c>
      <c r="V33" s="3">
        <f t="shared" si="14"/>
        <v>7.6471243042669956E-4</v>
      </c>
      <c r="W33" s="3">
        <f t="shared" si="15"/>
        <v>-2.3081014223875058E-4</v>
      </c>
      <c r="X33" s="3">
        <f t="shared" si="16"/>
        <v>1.5802844774273381E-3</v>
      </c>
      <c r="Y33" s="1"/>
      <c r="Z33" s="3">
        <f t="shared" si="2"/>
        <v>-1.9079214597220278</v>
      </c>
      <c r="AA33" s="3">
        <f t="shared" si="3"/>
        <v>-0.29295343676527091</v>
      </c>
      <c r="AB33" s="3">
        <f t="shared" si="4"/>
        <v>-1.2917022253843653</v>
      </c>
      <c r="AC33" s="3">
        <f t="shared" si="5"/>
        <v>0.60228527619529781</v>
      </c>
      <c r="AD33" s="3">
        <f t="shared" si="6"/>
        <v>-0.18179147971962978</v>
      </c>
      <c r="AE33" s="3">
        <f t="shared" si="7"/>
        <v>1.2444775446344229</v>
      </c>
      <c r="AF33" s="1"/>
      <c r="AG33" s="1" t="str" cm="1">
        <f t="array" ref="AG33">_xlfn.IFS(Z33&gt;3,"Strong + Slope",Z33&gt;1.5,"Moderate + Slope",Z33&gt;0.5,"Sideway + Slope",Z33&gt;=-0.5,"Sideway Flat",Z33&gt;=-1.5,"Sideway - Slope",Z33&gt;=-3,"Moderate - Slope",TRUE,"Strong - Slope")</f>
        <v>Moderate - Slope</v>
      </c>
      <c r="AH33" s="1" t="str" cm="1">
        <f t="array" ref="AH33">_xlfn.IFS(AA33&gt;3,"Strong + Slope",AA33&gt;1.5,"Moderate + Slope",AA33&gt;0.5,"Sideway + Slope",AA33&gt;=-0.5,"Sideway Flat",AA33&gt;=-1.5,"Sideway - Slope",AA33&gt;=-3,"Moderate - Slope",TRUE,"Strong - Slope")</f>
        <v>Sideway Flat</v>
      </c>
      <c r="AI33" s="1" t="str" cm="1">
        <f t="array" ref="AI33">_xlfn.IFS(AB33&gt;3,"Strong + Slope",AB33&gt;1.5,"Moderate + Slope",AB33&gt;0.5,"Sideway + Slope",AB33&gt;=-0.5,"Sideway Flat",AB33&gt;=-1.5,"Sideway - Slope",AB33&gt;=-3,"Moderate - Slope",TRUE,"Strong - Slope")</f>
        <v>Sideway - Slope</v>
      </c>
      <c r="AJ33" s="1" t="str" cm="1">
        <f t="array" ref="AJ33">_xlfn.IFS(AC33&gt;3,"Strong + Slope",AC33&gt;1.5,"Moderate + Slope",AC33&gt;0.5,"Sideway + Slope",AC33&gt;=-0.5,"Sideway Flat",AC33&gt;=-1.5,"Sideway - Slope",AC33&gt;=-3,"Moderate - Slope",TRUE,"Strong - Slope")</f>
        <v>Sideway + Slope</v>
      </c>
      <c r="AK33" s="1" t="str" cm="1">
        <f t="array" ref="AK33">_xlfn.IFS(AD33&gt;3,"Strong + Slope",AD33&gt;1.5,"Moderate + Slope",AD33&gt;0.5,"Sideway + Slope",AD33&gt;=-0.5,"Sideway Flat",AD33&gt;=-1.5,"Sideway - Slope",AD33&gt;=-3,"Moderate - Slope",TRUE,"Strong - Slope")</f>
        <v>Sideway Flat</v>
      </c>
      <c r="AL33" s="1" t="str" cm="1">
        <f t="array" ref="AL33">_xlfn.IFS(AE33&gt;3,"Strong + Slope",AE33&gt;1.5,"Moderate + Slope",AE33&gt;0.5,"Sideway + Slope",AE33&gt;=-0.5,"Sideway Flat",AE33&gt;=-1.5,"Sideway - Slope",AE33&gt;=-3,"Moderate - Slope",TRUE,"Strong - Slope")</f>
        <v>Sideway + Slope</v>
      </c>
    </row>
    <row r="34" spans="1:38" x14ac:dyDescent="0.55000000000000004">
      <c r="A34" s="1">
        <v>30</v>
      </c>
      <c r="B34" s="1" t="s">
        <v>33</v>
      </c>
      <c r="C34" s="1" t="s">
        <v>4</v>
      </c>
      <c r="D34" s="1" t="s">
        <v>103</v>
      </c>
      <c r="E34" s="1">
        <v>153.166</v>
      </c>
      <c r="F34" s="1">
        <v>153.07499999999999</v>
      </c>
      <c r="G34" s="1">
        <v>153.161</v>
      </c>
      <c r="H34" s="1">
        <v>152.96799999999999</v>
      </c>
      <c r="I34" s="1">
        <v>152.9</v>
      </c>
      <c r="J34" s="1">
        <v>153.22300000000001</v>
      </c>
      <c r="K34" s="1">
        <v>152.58199999999999</v>
      </c>
      <c r="L34" s="1">
        <v>152.596</v>
      </c>
      <c r="M34" s="1">
        <v>152.81399999999999</v>
      </c>
      <c r="N34" s="11">
        <f t="shared" si="0"/>
        <v>9.1000000000008185E-2</v>
      </c>
      <c r="O34" s="11">
        <f t="shared" si="8"/>
        <v>1.0000000000047748E-3</v>
      </c>
      <c r="P34" s="11">
        <f t="shared" si="9"/>
        <v>9.0000000000003411E-2</v>
      </c>
      <c r="Q34" s="11">
        <f t="shared" si="10"/>
        <v>9.1000000000008185E-2</v>
      </c>
      <c r="R34" s="1"/>
      <c r="S34" s="3">
        <f t="shared" si="11"/>
        <v>-2.423265306122455E-3</v>
      </c>
      <c r="T34" s="3">
        <f t="shared" si="12"/>
        <v>-3.7194805194805478E-4</v>
      </c>
      <c r="U34" s="3">
        <f t="shared" si="13"/>
        <v>-1.6402721088435472E-3</v>
      </c>
      <c r="V34" s="3">
        <f t="shared" si="14"/>
        <v>7.6471243042669956E-4</v>
      </c>
      <c r="W34" s="3">
        <f t="shared" si="15"/>
        <v>-2.3081014223875058E-4</v>
      </c>
      <c r="X34" s="3">
        <f t="shared" si="16"/>
        <v>1.5802844774273381E-3</v>
      </c>
      <c r="Y34" s="1"/>
      <c r="Z34" s="3">
        <f t="shared" si="2"/>
        <v>-1.9079214597220278</v>
      </c>
      <c r="AA34" s="3">
        <f t="shared" si="3"/>
        <v>-0.29295343676527091</v>
      </c>
      <c r="AB34" s="3">
        <f t="shared" si="4"/>
        <v>-1.2917022253843653</v>
      </c>
      <c r="AC34" s="3">
        <f t="shared" si="5"/>
        <v>0.60228527619529781</v>
      </c>
      <c r="AD34" s="3">
        <f t="shared" si="6"/>
        <v>-0.18179147971962978</v>
      </c>
      <c r="AE34" s="3">
        <f t="shared" si="7"/>
        <v>1.2444775446344229</v>
      </c>
      <c r="AF34" s="1"/>
      <c r="AG34" s="1" t="str" cm="1">
        <f t="array" ref="AG34">_xlfn.IFS(Z34&gt;3,"Strong + Slope",Z34&gt;1.5,"Moderate + Slope",Z34&gt;0.5,"Sideway + Slope",Z34&gt;=-0.5,"Sideway Flat",Z34&gt;=-1.5,"Sideway - Slope",Z34&gt;=-3,"Moderate - Slope",TRUE,"Strong - Slope")</f>
        <v>Moderate - Slope</v>
      </c>
      <c r="AH34" s="1" t="str" cm="1">
        <f t="array" ref="AH34">_xlfn.IFS(AA34&gt;3,"Strong + Slope",AA34&gt;1.5,"Moderate + Slope",AA34&gt;0.5,"Sideway + Slope",AA34&gt;=-0.5,"Sideway Flat",AA34&gt;=-1.5,"Sideway - Slope",AA34&gt;=-3,"Moderate - Slope",TRUE,"Strong - Slope")</f>
        <v>Sideway Flat</v>
      </c>
      <c r="AI34" s="1" t="str" cm="1">
        <f t="array" ref="AI34">_xlfn.IFS(AB34&gt;3,"Strong + Slope",AB34&gt;1.5,"Moderate + Slope",AB34&gt;0.5,"Sideway + Slope",AB34&gt;=-0.5,"Sideway Flat",AB34&gt;=-1.5,"Sideway - Slope",AB34&gt;=-3,"Moderate - Slope",TRUE,"Strong - Slope")</f>
        <v>Sideway - Slope</v>
      </c>
      <c r="AJ34" s="1" t="str" cm="1">
        <f t="array" ref="AJ34">_xlfn.IFS(AC34&gt;3,"Strong + Slope",AC34&gt;1.5,"Moderate + Slope",AC34&gt;0.5,"Sideway + Slope",AC34&gt;=-0.5,"Sideway Flat",AC34&gt;=-1.5,"Sideway - Slope",AC34&gt;=-3,"Moderate - Slope",TRUE,"Strong - Slope")</f>
        <v>Sideway + Slope</v>
      </c>
      <c r="AK34" s="1" t="str" cm="1">
        <f t="array" ref="AK34">_xlfn.IFS(AD34&gt;3,"Strong + Slope",AD34&gt;1.5,"Moderate + Slope",AD34&gt;0.5,"Sideway + Slope",AD34&gt;=-0.5,"Sideway Flat",AD34&gt;=-1.5,"Sideway - Slope",AD34&gt;=-3,"Moderate - Slope",TRUE,"Strong - Slope")</f>
        <v>Sideway Flat</v>
      </c>
      <c r="AL34" s="1" t="str" cm="1">
        <f t="array" ref="AL34">_xlfn.IFS(AE34&gt;3,"Strong + Slope",AE34&gt;1.5,"Moderate + Slope",AE34&gt;0.5,"Sideway + Slope",AE34&gt;=-0.5,"Sideway Flat",AE34&gt;=-1.5,"Sideway - Slope",AE34&gt;=-3,"Moderate - Slope",TRUE,"Strong - Slope")</f>
        <v>Sideway + Slope</v>
      </c>
    </row>
    <row r="35" spans="1:38" x14ac:dyDescent="0.55000000000000004">
      <c r="A35" s="1">
        <v>31</v>
      </c>
      <c r="B35" s="1" t="s">
        <v>34</v>
      </c>
      <c r="C35" s="1" t="s">
        <v>4</v>
      </c>
      <c r="D35" s="1" t="s">
        <v>103</v>
      </c>
      <c r="E35" s="1">
        <v>153.17400000000001</v>
      </c>
      <c r="F35" s="1">
        <v>153.053</v>
      </c>
      <c r="G35" s="1">
        <v>153.053</v>
      </c>
      <c r="H35" s="1">
        <v>152.96600000000001</v>
      </c>
      <c r="I35" s="1">
        <v>152.9</v>
      </c>
      <c r="J35" s="1">
        <v>153.22200000000001</v>
      </c>
      <c r="K35" s="1">
        <v>152.583</v>
      </c>
      <c r="L35" s="1">
        <v>152.596</v>
      </c>
      <c r="M35" s="1">
        <v>152.815</v>
      </c>
      <c r="N35" s="11">
        <f t="shared" si="0"/>
        <v>0.12100000000000932</v>
      </c>
      <c r="O35" s="11">
        <f t="shared" si="8"/>
        <v>1.300000000000523E-2</v>
      </c>
      <c r="P35" s="11">
        <f t="shared" si="9"/>
        <v>0.10800000000000409</v>
      </c>
      <c r="Q35" s="11">
        <f t="shared" si="10"/>
        <v>0.12100000000000932</v>
      </c>
      <c r="R35" s="1"/>
      <c r="S35" s="3">
        <f t="shared" si="11"/>
        <v>-2.423265306122455E-3</v>
      </c>
      <c r="T35" s="3">
        <f t="shared" si="12"/>
        <v>-3.7194805194805478E-4</v>
      </c>
      <c r="U35" s="3">
        <f t="shared" si="13"/>
        <v>-1.6402721088435472E-3</v>
      </c>
      <c r="V35" s="3">
        <f t="shared" si="14"/>
        <v>7.6471243042669956E-4</v>
      </c>
      <c r="W35" s="3">
        <f t="shared" si="15"/>
        <v>-2.3081014223875058E-4</v>
      </c>
      <c r="X35" s="3">
        <f t="shared" si="16"/>
        <v>1.5802844774273381E-3</v>
      </c>
      <c r="Y35" s="1"/>
      <c r="Z35" s="3">
        <f t="shared" si="2"/>
        <v>-1.9079214597220278</v>
      </c>
      <c r="AA35" s="3">
        <f t="shared" si="3"/>
        <v>-0.29295343676527091</v>
      </c>
      <c r="AB35" s="3">
        <f t="shared" si="4"/>
        <v>-1.2917022253843653</v>
      </c>
      <c r="AC35" s="3">
        <f t="shared" si="5"/>
        <v>0.60228527619529781</v>
      </c>
      <c r="AD35" s="3">
        <f t="shared" si="6"/>
        <v>-0.18179147971962978</v>
      </c>
      <c r="AE35" s="3">
        <f t="shared" si="7"/>
        <v>1.2444775446344229</v>
      </c>
      <c r="AF35" s="1"/>
      <c r="AG35" s="1" t="str" cm="1">
        <f t="array" ref="AG35">_xlfn.IFS(Z35&gt;3,"Strong + Slope",Z35&gt;1.5,"Moderate + Slope",Z35&gt;0.5,"Sideway + Slope",Z35&gt;=-0.5,"Sideway Flat",Z35&gt;=-1.5,"Sideway - Slope",Z35&gt;=-3,"Moderate - Slope",TRUE,"Strong - Slope")</f>
        <v>Moderate - Slope</v>
      </c>
      <c r="AH35" s="1" t="str" cm="1">
        <f t="array" ref="AH35">_xlfn.IFS(AA35&gt;3,"Strong + Slope",AA35&gt;1.5,"Moderate + Slope",AA35&gt;0.5,"Sideway + Slope",AA35&gt;=-0.5,"Sideway Flat",AA35&gt;=-1.5,"Sideway - Slope",AA35&gt;=-3,"Moderate - Slope",TRUE,"Strong - Slope")</f>
        <v>Sideway Flat</v>
      </c>
      <c r="AI35" s="1" t="str" cm="1">
        <f t="array" ref="AI35">_xlfn.IFS(AB35&gt;3,"Strong + Slope",AB35&gt;1.5,"Moderate + Slope",AB35&gt;0.5,"Sideway + Slope",AB35&gt;=-0.5,"Sideway Flat",AB35&gt;=-1.5,"Sideway - Slope",AB35&gt;=-3,"Moderate - Slope",TRUE,"Strong - Slope")</f>
        <v>Sideway - Slope</v>
      </c>
      <c r="AJ35" s="1" t="str" cm="1">
        <f t="array" ref="AJ35">_xlfn.IFS(AC35&gt;3,"Strong + Slope",AC35&gt;1.5,"Moderate + Slope",AC35&gt;0.5,"Sideway + Slope",AC35&gt;=-0.5,"Sideway Flat",AC35&gt;=-1.5,"Sideway - Slope",AC35&gt;=-3,"Moderate - Slope",TRUE,"Strong - Slope")</f>
        <v>Sideway + Slope</v>
      </c>
      <c r="AK35" s="1" t="str" cm="1">
        <f t="array" ref="AK35">_xlfn.IFS(AD35&gt;3,"Strong + Slope",AD35&gt;1.5,"Moderate + Slope",AD35&gt;0.5,"Sideway + Slope",AD35&gt;=-0.5,"Sideway Flat",AD35&gt;=-1.5,"Sideway - Slope",AD35&gt;=-3,"Moderate - Slope",TRUE,"Strong - Slope")</f>
        <v>Sideway Flat</v>
      </c>
      <c r="AL35" s="1" t="str" cm="1">
        <f t="array" ref="AL35">_xlfn.IFS(AE35&gt;3,"Strong + Slope",AE35&gt;1.5,"Moderate + Slope",AE35&gt;0.5,"Sideway + Slope",AE35&gt;=-0.5,"Sideway Flat",AE35&gt;=-1.5,"Sideway - Slope",AE35&gt;=-3,"Moderate - Slope",TRUE,"Strong - Slope")</f>
        <v>Sideway + Slope</v>
      </c>
    </row>
    <row r="36" spans="1:38" x14ac:dyDescent="0.55000000000000004">
      <c r="A36" s="1">
        <v>32</v>
      </c>
      <c r="B36" s="1" t="s">
        <v>35</v>
      </c>
      <c r="C36" s="1" t="s">
        <v>4</v>
      </c>
      <c r="D36" s="1" t="s">
        <v>103</v>
      </c>
      <c r="E36" s="1">
        <v>153.09399999999999</v>
      </c>
      <c r="F36" s="1">
        <v>153.05199999999999</v>
      </c>
      <c r="G36" s="1">
        <v>153.05699999999999</v>
      </c>
      <c r="H36" s="1">
        <v>152.96299999999999</v>
      </c>
      <c r="I36" s="1">
        <v>152.9</v>
      </c>
      <c r="J36" s="1">
        <v>153.22</v>
      </c>
      <c r="K36" s="1">
        <v>152.584</v>
      </c>
      <c r="L36" s="1">
        <v>152.596</v>
      </c>
      <c r="M36" s="1">
        <v>152.81700000000001</v>
      </c>
      <c r="N36" s="11">
        <f t="shared" si="0"/>
        <v>4.2000000000001592E-2</v>
      </c>
      <c r="O36" s="11">
        <f t="shared" si="8"/>
        <v>4.0999999999996817E-2</v>
      </c>
      <c r="P36" s="11">
        <f t="shared" si="9"/>
        <v>1.0000000000047748E-3</v>
      </c>
      <c r="Q36" s="11">
        <f t="shared" si="10"/>
        <v>4.2000000000001592E-2</v>
      </c>
      <c r="R36" s="1"/>
      <c r="S36" s="3">
        <f t="shared" si="11"/>
        <v>-2.423265306122455E-3</v>
      </c>
      <c r="T36" s="3">
        <f t="shared" si="12"/>
        <v>-3.7194805194805478E-4</v>
      </c>
      <c r="U36" s="3">
        <f t="shared" si="13"/>
        <v>-1.6402721088435472E-3</v>
      </c>
      <c r="V36" s="3">
        <f t="shared" si="14"/>
        <v>7.6471243042669956E-4</v>
      </c>
      <c r="W36" s="3">
        <f t="shared" si="15"/>
        <v>-2.3081014223875058E-4</v>
      </c>
      <c r="X36" s="3">
        <f t="shared" si="16"/>
        <v>1.5802844774273381E-3</v>
      </c>
      <c r="Y36" s="1"/>
      <c r="Z36" s="3">
        <f t="shared" si="2"/>
        <v>-1.9079214597220278</v>
      </c>
      <c r="AA36" s="3">
        <f t="shared" si="3"/>
        <v>-0.29295343676527091</v>
      </c>
      <c r="AB36" s="3">
        <f t="shared" si="4"/>
        <v>-1.2917022253843653</v>
      </c>
      <c r="AC36" s="3">
        <f t="shared" si="5"/>
        <v>0.60228527619529781</v>
      </c>
      <c r="AD36" s="3">
        <f t="shared" si="6"/>
        <v>-0.18179147971962978</v>
      </c>
      <c r="AE36" s="3">
        <f t="shared" si="7"/>
        <v>1.2444775446344229</v>
      </c>
      <c r="AF36" s="1"/>
      <c r="AG36" s="1" t="str" cm="1">
        <f t="array" ref="AG36">_xlfn.IFS(Z36&gt;3,"Strong + Slope",Z36&gt;1.5,"Moderate + Slope",Z36&gt;0.5,"Sideway + Slope",Z36&gt;=-0.5,"Sideway Flat",Z36&gt;=-1.5,"Sideway - Slope",Z36&gt;=-3,"Moderate - Slope",TRUE,"Strong - Slope")</f>
        <v>Moderate - Slope</v>
      </c>
      <c r="AH36" s="1" t="str" cm="1">
        <f t="array" ref="AH36">_xlfn.IFS(AA36&gt;3,"Strong + Slope",AA36&gt;1.5,"Moderate + Slope",AA36&gt;0.5,"Sideway + Slope",AA36&gt;=-0.5,"Sideway Flat",AA36&gt;=-1.5,"Sideway - Slope",AA36&gt;=-3,"Moderate - Slope",TRUE,"Strong - Slope")</f>
        <v>Sideway Flat</v>
      </c>
      <c r="AI36" s="1" t="str" cm="1">
        <f t="array" ref="AI36">_xlfn.IFS(AB36&gt;3,"Strong + Slope",AB36&gt;1.5,"Moderate + Slope",AB36&gt;0.5,"Sideway + Slope",AB36&gt;=-0.5,"Sideway Flat",AB36&gt;=-1.5,"Sideway - Slope",AB36&gt;=-3,"Moderate - Slope",TRUE,"Strong - Slope")</f>
        <v>Sideway - Slope</v>
      </c>
      <c r="AJ36" s="1" t="str" cm="1">
        <f t="array" ref="AJ36">_xlfn.IFS(AC36&gt;3,"Strong + Slope",AC36&gt;1.5,"Moderate + Slope",AC36&gt;0.5,"Sideway + Slope",AC36&gt;=-0.5,"Sideway Flat",AC36&gt;=-1.5,"Sideway - Slope",AC36&gt;=-3,"Moderate - Slope",TRUE,"Strong - Slope")</f>
        <v>Sideway + Slope</v>
      </c>
      <c r="AK36" s="1" t="str" cm="1">
        <f t="array" ref="AK36">_xlfn.IFS(AD36&gt;3,"Strong + Slope",AD36&gt;1.5,"Moderate + Slope",AD36&gt;0.5,"Sideway + Slope",AD36&gt;=-0.5,"Sideway Flat",AD36&gt;=-1.5,"Sideway - Slope",AD36&gt;=-3,"Moderate - Slope",TRUE,"Strong - Slope")</f>
        <v>Sideway Flat</v>
      </c>
      <c r="AL36" s="1" t="str" cm="1">
        <f t="array" ref="AL36">_xlfn.IFS(AE36&gt;3,"Strong + Slope",AE36&gt;1.5,"Moderate + Slope",AE36&gt;0.5,"Sideway + Slope",AE36&gt;=-0.5,"Sideway Flat",AE36&gt;=-1.5,"Sideway - Slope",AE36&gt;=-3,"Moderate - Slope",TRUE,"Strong - Slope")</f>
        <v>Sideway + Slope</v>
      </c>
    </row>
    <row r="37" spans="1:38" x14ac:dyDescent="0.55000000000000004">
      <c r="A37" s="1">
        <v>33</v>
      </c>
      <c r="B37" s="1" t="s">
        <v>36</v>
      </c>
      <c r="C37" s="1" t="s">
        <v>4</v>
      </c>
      <c r="D37" s="1" t="s">
        <v>103</v>
      </c>
      <c r="E37" s="1">
        <v>153.05799999999999</v>
      </c>
      <c r="F37" s="1">
        <v>152.87200000000001</v>
      </c>
      <c r="G37" s="1">
        <v>152.89500000000001</v>
      </c>
      <c r="H37" s="1">
        <v>152.96100000000001</v>
      </c>
      <c r="I37" s="1">
        <v>152.899</v>
      </c>
      <c r="J37" s="1">
        <v>153.21799999999999</v>
      </c>
      <c r="K37" s="1">
        <v>152.58500000000001</v>
      </c>
      <c r="L37" s="1">
        <v>152.596</v>
      </c>
      <c r="M37" s="1">
        <v>152.81899999999999</v>
      </c>
      <c r="N37" s="11">
        <f t="shared" ref="N37:N68" si="17">E37-F37</f>
        <v>0.18599999999997863</v>
      </c>
      <c r="O37" s="11">
        <f t="shared" si="8"/>
        <v>1.0000000000047748E-3</v>
      </c>
      <c r="P37" s="11">
        <f t="shared" si="9"/>
        <v>0.18499999999997385</v>
      </c>
      <c r="Q37" s="11">
        <f t="shared" si="10"/>
        <v>0.18599999999997863</v>
      </c>
      <c r="R37" s="1"/>
      <c r="S37" s="3">
        <f t="shared" si="11"/>
        <v>-2.423265306122455E-3</v>
      </c>
      <c r="T37" s="3">
        <f t="shared" si="12"/>
        <v>-3.7194805194805478E-4</v>
      </c>
      <c r="U37" s="3">
        <f t="shared" si="13"/>
        <v>-1.6402721088435472E-3</v>
      </c>
      <c r="V37" s="3">
        <f t="shared" si="14"/>
        <v>7.6471243042669956E-4</v>
      </c>
      <c r="W37" s="3">
        <f t="shared" si="15"/>
        <v>-2.3081014223875058E-4</v>
      </c>
      <c r="X37" s="3">
        <f t="shared" si="16"/>
        <v>1.5802844774273381E-3</v>
      </c>
      <c r="Y37" s="1"/>
      <c r="Z37" s="3">
        <f t="shared" ref="Z37:Z68" si="18">DEGREES(ATAN(S37/$Q$2))</f>
        <v>-1.9079214597220278</v>
      </c>
      <c r="AA37" s="3">
        <f t="shared" ref="AA37:AA68" si="19">DEGREES(ATAN(T37/$Q$2))</f>
        <v>-0.29295343676527091</v>
      </c>
      <c r="AB37" s="3">
        <f t="shared" ref="AB37:AB68" si="20">DEGREES(ATAN(U37/$Q$2))</f>
        <v>-1.2917022253843653</v>
      </c>
      <c r="AC37" s="3">
        <f t="shared" ref="AC37:AC68" si="21">DEGREES(ATAN(V37/$Q$2))</f>
        <v>0.60228527619529781</v>
      </c>
      <c r="AD37" s="3">
        <f t="shared" ref="AD37:AD68" si="22">DEGREES(ATAN(W37/$Q$2))</f>
        <v>-0.18179147971962978</v>
      </c>
      <c r="AE37" s="3">
        <f t="shared" ref="AE37:AE68" si="23">DEGREES(ATAN(X37/$Q$2))</f>
        <v>1.2444775446344229</v>
      </c>
      <c r="AF37" s="1"/>
      <c r="AG37" s="1" t="str" cm="1">
        <f t="array" ref="AG37">_xlfn.IFS(Z37&gt;3,"Strong + Slope",Z37&gt;1.5,"Moderate + Slope",Z37&gt;0.5,"Sideway + Slope",Z37&gt;=-0.5,"Sideway Flat",Z37&gt;=-1.5,"Sideway - Slope",Z37&gt;=-3,"Moderate - Slope",TRUE,"Strong - Slope")</f>
        <v>Moderate - Slope</v>
      </c>
      <c r="AH37" s="1" t="str" cm="1">
        <f t="array" ref="AH37">_xlfn.IFS(AA37&gt;3,"Strong + Slope",AA37&gt;1.5,"Moderate + Slope",AA37&gt;0.5,"Sideway + Slope",AA37&gt;=-0.5,"Sideway Flat",AA37&gt;=-1.5,"Sideway - Slope",AA37&gt;=-3,"Moderate - Slope",TRUE,"Strong - Slope")</f>
        <v>Sideway Flat</v>
      </c>
      <c r="AI37" s="1" t="str" cm="1">
        <f t="array" ref="AI37">_xlfn.IFS(AB37&gt;3,"Strong + Slope",AB37&gt;1.5,"Moderate + Slope",AB37&gt;0.5,"Sideway + Slope",AB37&gt;=-0.5,"Sideway Flat",AB37&gt;=-1.5,"Sideway - Slope",AB37&gt;=-3,"Moderate - Slope",TRUE,"Strong - Slope")</f>
        <v>Sideway - Slope</v>
      </c>
      <c r="AJ37" s="1" t="str" cm="1">
        <f t="array" ref="AJ37">_xlfn.IFS(AC37&gt;3,"Strong + Slope",AC37&gt;1.5,"Moderate + Slope",AC37&gt;0.5,"Sideway + Slope",AC37&gt;=-0.5,"Sideway Flat",AC37&gt;=-1.5,"Sideway - Slope",AC37&gt;=-3,"Moderate - Slope",TRUE,"Strong - Slope")</f>
        <v>Sideway + Slope</v>
      </c>
      <c r="AK37" s="1" t="str" cm="1">
        <f t="array" ref="AK37">_xlfn.IFS(AD37&gt;3,"Strong + Slope",AD37&gt;1.5,"Moderate + Slope",AD37&gt;0.5,"Sideway + Slope",AD37&gt;=-0.5,"Sideway Flat",AD37&gt;=-1.5,"Sideway - Slope",AD37&gt;=-3,"Moderate - Slope",TRUE,"Strong - Slope")</f>
        <v>Sideway Flat</v>
      </c>
      <c r="AL37" s="1" t="str" cm="1">
        <f t="array" ref="AL37">_xlfn.IFS(AE37&gt;3,"Strong + Slope",AE37&gt;1.5,"Moderate + Slope",AE37&gt;0.5,"Sideway + Slope",AE37&gt;=-0.5,"Sideway Flat",AE37&gt;=-1.5,"Sideway - Slope",AE37&gt;=-3,"Moderate - Slope",TRUE,"Strong - Slope")</f>
        <v>Sideway + Slope</v>
      </c>
    </row>
    <row r="38" spans="1:38" x14ac:dyDescent="0.55000000000000004">
      <c r="A38" s="1">
        <v>34</v>
      </c>
      <c r="B38" s="1" t="s">
        <v>37</v>
      </c>
      <c r="C38" s="1" t="s">
        <v>4</v>
      </c>
      <c r="D38" s="1" t="s">
        <v>103</v>
      </c>
      <c r="E38" s="1">
        <v>152.90299999999999</v>
      </c>
      <c r="F38" s="1">
        <v>152.815</v>
      </c>
      <c r="G38" s="1">
        <v>152.87</v>
      </c>
      <c r="H38" s="1">
        <v>152.958</v>
      </c>
      <c r="I38" s="1">
        <v>152.899</v>
      </c>
      <c r="J38" s="1">
        <v>153.21700000000001</v>
      </c>
      <c r="K38" s="1">
        <v>152.58500000000001</v>
      </c>
      <c r="L38" s="1">
        <v>152.595</v>
      </c>
      <c r="M38" s="1">
        <v>152.82</v>
      </c>
      <c r="N38" s="11">
        <f t="shared" si="17"/>
        <v>8.7999999999993861E-2</v>
      </c>
      <c r="O38" s="11">
        <f t="shared" ref="O38:O69" si="24">ABS(E38-G37)</f>
        <v>7.9999999999813554E-3</v>
      </c>
      <c r="P38" s="11">
        <f t="shared" ref="P38:P69" si="25">ABS(F38-G37)</f>
        <v>8.0000000000012506E-2</v>
      </c>
      <c r="Q38" s="11">
        <f t="shared" ref="Q38:Q69" si="26">MAX(N38:P38)</f>
        <v>8.7999999999993861E-2</v>
      </c>
      <c r="R38" s="1"/>
      <c r="S38" s="3">
        <f t="shared" ref="S38:S69" si="27">SLOPE($H$5:$H$103,$A$5:$A$103)</f>
        <v>-2.423265306122455E-3</v>
      </c>
      <c r="T38" s="3">
        <f t="shared" ref="T38:T69" si="28">SLOPE(I$5:I$103,$A$5:$A$103)</f>
        <v>-3.7194805194805478E-4</v>
      </c>
      <c r="U38" s="3">
        <f t="shared" ref="U38:U69" si="29">SLOPE(J$5:J$103,$A$5:$A$103)</f>
        <v>-1.6402721088435472E-3</v>
      </c>
      <c r="V38" s="3">
        <f t="shared" ref="V38:V69" si="30">SLOPE(K$5:K$103,$A$5:$A$103)</f>
        <v>7.6471243042669956E-4</v>
      </c>
      <c r="W38" s="3">
        <f t="shared" ref="W38:W69" si="31">SLOPE(L$5:L$103,$A$5:$A$103)</f>
        <v>-2.3081014223875058E-4</v>
      </c>
      <c r="X38" s="3">
        <f t="shared" ref="X38:X69" si="32">SLOPE(M$5:M$103,$A$5:$A$103)</f>
        <v>1.5802844774273381E-3</v>
      </c>
      <c r="Y38" s="1"/>
      <c r="Z38" s="3">
        <f t="shared" si="18"/>
        <v>-1.9079214597220278</v>
      </c>
      <c r="AA38" s="3">
        <f t="shared" si="19"/>
        <v>-0.29295343676527091</v>
      </c>
      <c r="AB38" s="3">
        <f t="shared" si="20"/>
        <v>-1.2917022253843653</v>
      </c>
      <c r="AC38" s="3">
        <f t="shared" si="21"/>
        <v>0.60228527619529781</v>
      </c>
      <c r="AD38" s="3">
        <f t="shared" si="22"/>
        <v>-0.18179147971962978</v>
      </c>
      <c r="AE38" s="3">
        <f t="shared" si="23"/>
        <v>1.2444775446344229</v>
      </c>
      <c r="AF38" s="1"/>
      <c r="AG38" s="1" t="str" cm="1">
        <f t="array" ref="AG38">_xlfn.IFS(Z38&gt;3,"Strong + Slope",Z38&gt;1.5,"Moderate + Slope",Z38&gt;0.5,"Sideway + Slope",Z38&gt;=-0.5,"Sideway Flat",Z38&gt;=-1.5,"Sideway - Slope",Z38&gt;=-3,"Moderate - Slope",TRUE,"Strong - Slope")</f>
        <v>Moderate - Slope</v>
      </c>
      <c r="AH38" s="1" t="str" cm="1">
        <f t="array" ref="AH38">_xlfn.IFS(AA38&gt;3,"Strong + Slope",AA38&gt;1.5,"Moderate + Slope",AA38&gt;0.5,"Sideway + Slope",AA38&gt;=-0.5,"Sideway Flat",AA38&gt;=-1.5,"Sideway - Slope",AA38&gt;=-3,"Moderate - Slope",TRUE,"Strong - Slope")</f>
        <v>Sideway Flat</v>
      </c>
      <c r="AI38" s="1" t="str" cm="1">
        <f t="array" ref="AI38">_xlfn.IFS(AB38&gt;3,"Strong + Slope",AB38&gt;1.5,"Moderate + Slope",AB38&gt;0.5,"Sideway + Slope",AB38&gt;=-0.5,"Sideway Flat",AB38&gt;=-1.5,"Sideway - Slope",AB38&gt;=-3,"Moderate - Slope",TRUE,"Strong - Slope")</f>
        <v>Sideway - Slope</v>
      </c>
      <c r="AJ38" s="1" t="str" cm="1">
        <f t="array" ref="AJ38">_xlfn.IFS(AC38&gt;3,"Strong + Slope",AC38&gt;1.5,"Moderate + Slope",AC38&gt;0.5,"Sideway + Slope",AC38&gt;=-0.5,"Sideway Flat",AC38&gt;=-1.5,"Sideway - Slope",AC38&gt;=-3,"Moderate - Slope",TRUE,"Strong - Slope")</f>
        <v>Sideway + Slope</v>
      </c>
      <c r="AK38" s="1" t="str" cm="1">
        <f t="array" ref="AK38">_xlfn.IFS(AD38&gt;3,"Strong + Slope",AD38&gt;1.5,"Moderate + Slope",AD38&gt;0.5,"Sideway + Slope",AD38&gt;=-0.5,"Sideway Flat",AD38&gt;=-1.5,"Sideway - Slope",AD38&gt;=-3,"Moderate - Slope",TRUE,"Strong - Slope")</f>
        <v>Sideway Flat</v>
      </c>
      <c r="AL38" s="1" t="str" cm="1">
        <f t="array" ref="AL38">_xlfn.IFS(AE38&gt;3,"Strong + Slope",AE38&gt;1.5,"Moderate + Slope",AE38&gt;0.5,"Sideway + Slope",AE38&gt;=-0.5,"Sideway Flat",AE38&gt;=-1.5,"Sideway - Slope",AE38&gt;=-3,"Moderate - Slope",TRUE,"Strong - Slope")</f>
        <v>Sideway + Slope</v>
      </c>
    </row>
    <row r="39" spans="1:38" x14ac:dyDescent="0.55000000000000004">
      <c r="A39" s="1">
        <v>35</v>
      </c>
      <c r="B39" s="1" t="s">
        <v>38</v>
      </c>
      <c r="C39" s="1" t="s">
        <v>4</v>
      </c>
      <c r="D39" s="1" t="s">
        <v>103</v>
      </c>
      <c r="E39" s="1">
        <v>152.881</v>
      </c>
      <c r="F39" s="1">
        <v>152.80099999999999</v>
      </c>
      <c r="G39" s="1">
        <v>152.86199999999999</v>
      </c>
      <c r="H39" s="1">
        <v>152.95599999999999</v>
      </c>
      <c r="I39" s="1">
        <v>152.898</v>
      </c>
      <c r="J39" s="1">
        <v>153.215</v>
      </c>
      <c r="K39" s="1">
        <v>152.58600000000001</v>
      </c>
      <c r="L39" s="1">
        <v>152.595</v>
      </c>
      <c r="M39" s="1">
        <v>152.822</v>
      </c>
      <c r="N39" s="11">
        <f t="shared" si="17"/>
        <v>8.0000000000012506E-2</v>
      </c>
      <c r="O39" s="11">
        <f t="shared" si="24"/>
        <v>1.099999999999568E-2</v>
      </c>
      <c r="P39" s="11">
        <f t="shared" si="25"/>
        <v>6.9000000000016826E-2</v>
      </c>
      <c r="Q39" s="11">
        <f t="shared" si="26"/>
        <v>8.0000000000012506E-2</v>
      </c>
      <c r="R39" s="1"/>
      <c r="S39" s="3">
        <f t="shared" si="27"/>
        <v>-2.423265306122455E-3</v>
      </c>
      <c r="T39" s="3">
        <f t="shared" si="28"/>
        <v>-3.7194805194805478E-4</v>
      </c>
      <c r="U39" s="3">
        <f t="shared" si="29"/>
        <v>-1.6402721088435472E-3</v>
      </c>
      <c r="V39" s="3">
        <f t="shared" si="30"/>
        <v>7.6471243042669956E-4</v>
      </c>
      <c r="W39" s="3">
        <f t="shared" si="31"/>
        <v>-2.3081014223875058E-4</v>
      </c>
      <c r="X39" s="3">
        <f t="shared" si="32"/>
        <v>1.5802844774273381E-3</v>
      </c>
      <c r="Y39" s="1"/>
      <c r="Z39" s="3">
        <f t="shared" si="18"/>
        <v>-1.9079214597220278</v>
      </c>
      <c r="AA39" s="3">
        <f t="shared" si="19"/>
        <v>-0.29295343676527091</v>
      </c>
      <c r="AB39" s="3">
        <f t="shared" si="20"/>
        <v>-1.2917022253843653</v>
      </c>
      <c r="AC39" s="3">
        <f t="shared" si="21"/>
        <v>0.60228527619529781</v>
      </c>
      <c r="AD39" s="3">
        <f t="shared" si="22"/>
        <v>-0.18179147971962978</v>
      </c>
      <c r="AE39" s="3">
        <f t="shared" si="23"/>
        <v>1.2444775446344229</v>
      </c>
      <c r="AF39" s="1"/>
      <c r="AG39" s="1" t="str" cm="1">
        <f t="array" ref="AG39">_xlfn.IFS(Z39&gt;3,"Strong + Slope",Z39&gt;1.5,"Moderate + Slope",Z39&gt;0.5,"Sideway + Slope",Z39&gt;=-0.5,"Sideway Flat",Z39&gt;=-1.5,"Sideway - Slope",Z39&gt;=-3,"Moderate - Slope",TRUE,"Strong - Slope")</f>
        <v>Moderate - Slope</v>
      </c>
      <c r="AH39" s="1" t="str" cm="1">
        <f t="array" ref="AH39">_xlfn.IFS(AA39&gt;3,"Strong + Slope",AA39&gt;1.5,"Moderate + Slope",AA39&gt;0.5,"Sideway + Slope",AA39&gt;=-0.5,"Sideway Flat",AA39&gt;=-1.5,"Sideway - Slope",AA39&gt;=-3,"Moderate - Slope",TRUE,"Strong - Slope")</f>
        <v>Sideway Flat</v>
      </c>
      <c r="AI39" s="1" t="str" cm="1">
        <f t="array" ref="AI39">_xlfn.IFS(AB39&gt;3,"Strong + Slope",AB39&gt;1.5,"Moderate + Slope",AB39&gt;0.5,"Sideway + Slope",AB39&gt;=-0.5,"Sideway Flat",AB39&gt;=-1.5,"Sideway - Slope",AB39&gt;=-3,"Moderate - Slope",TRUE,"Strong - Slope")</f>
        <v>Sideway - Slope</v>
      </c>
      <c r="AJ39" s="1" t="str" cm="1">
        <f t="array" ref="AJ39">_xlfn.IFS(AC39&gt;3,"Strong + Slope",AC39&gt;1.5,"Moderate + Slope",AC39&gt;0.5,"Sideway + Slope",AC39&gt;=-0.5,"Sideway Flat",AC39&gt;=-1.5,"Sideway - Slope",AC39&gt;=-3,"Moderate - Slope",TRUE,"Strong - Slope")</f>
        <v>Sideway + Slope</v>
      </c>
      <c r="AK39" s="1" t="str" cm="1">
        <f t="array" ref="AK39">_xlfn.IFS(AD39&gt;3,"Strong + Slope",AD39&gt;1.5,"Moderate + Slope",AD39&gt;0.5,"Sideway + Slope",AD39&gt;=-0.5,"Sideway Flat",AD39&gt;=-1.5,"Sideway - Slope",AD39&gt;=-3,"Moderate - Slope",TRUE,"Strong - Slope")</f>
        <v>Sideway Flat</v>
      </c>
      <c r="AL39" s="1" t="str" cm="1">
        <f t="array" ref="AL39">_xlfn.IFS(AE39&gt;3,"Strong + Slope",AE39&gt;1.5,"Moderate + Slope",AE39&gt;0.5,"Sideway + Slope",AE39&gt;=-0.5,"Sideway Flat",AE39&gt;=-1.5,"Sideway - Slope",AE39&gt;=-3,"Moderate - Slope",TRUE,"Strong - Slope")</f>
        <v>Sideway + Slope</v>
      </c>
    </row>
    <row r="40" spans="1:38" x14ac:dyDescent="0.55000000000000004">
      <c r="A40" s="1">
        <v>36</v>
      </c>
      <c r="B40" s="1" t="s">
        <v>39</v>
      </c>
      <c r="C40" s="1" t="s">
        <v>4</v>
      </c>
      <c r="D40" s="1" t="s">
        <v>103</v>
      </c>
      <c r="E40" s="1">
        <v>152.90799999999999</v>
      </c>
      <c r="F40" s="1">
        <v>152.83500000000001</v>
      </c>
      <c r="G40" s="1">
        <v>152.89400000000001</v>
      </c>
      <c r="H40" s="1">
        <v>152.953</v>
      </c>
      <c r="I40" s="1">
        <v>152.898</v>
      </c>
      <c r="J40" s="1">
        <v>153.214</v>
      </c>
      <c r="K40" s="1">
        <v>152.58699999999999</v>
      </c>
      <c r="L40" s="1">
        <v>152.595</v>
      </c>
      <c r="M40" s="1">
        <v>152.82300000000001</v>
      </c>
      <c r="N40" s="11">
        <f t="shared" si="17"/>
        <v>7.2999999999979082E-2</v>
      </c>
      <c r="O40" s="11">
        <f t="shared" si="24"/>
        <v>4.5999999999992269E-2</v>
      </c>
      <c r="P40" s="11">
        <f t="shared" si="25"/>
        <v>2.6999999999986812E-2</v>
      </c>
      <c r="Q40" s="11">
        <f t="shared" si="26"/>
        <v>7.2999999999979082E-2</v>
      </c>
      <c r="R40" s="1"/>
      <c r="S40" s="3">
        <f t="shared" si="27"/>
        <v>-2.423265306122455E-3</v>
      </c>
      <c r="T40" s="3">
        <f t="shared" si="28"/>
        <v>-3.7194805194805478E-4</v>
      </c>
      <c r="U40" s="3">
        <f t="shared" si="29"/>
        <v>-1.6402721088435472E-3</v>
      </c>
      <c r="V40" s="3">
        <f t="shared" si="30"/>
        <v>7.6471243042669956E-4</v>
      </c>
      <c r="W40" s="3">
        <f t="shared" si="31"/>
        <v>-2.3081014223875058E-4</v>
      </c>
      <c r="X40" s="3">
        <f t="shared" si="32"/>
        <v>1.5802844774273381E-3</v>
      </c>
      <c r="Y40" s="1"/>
      <c r="Z40" s="3">
        <f t="shared" si="18"/>
        <v>-1.9079214597220278</v>
      </c>
      <c r="AA40" s="3">
        <f t="shared" si="19"/>
        <v>-0.29295343676527091</v>
      </c>
      <c r="AB40" s="3">
        <f t="shared" si="20"/>
        <v>-1.2917022253843653</v>
      </c>
      <c r="AC40" s="3">
        <f t="shared" si="21"/>
        <v>0.60228527619529781</v>
      </c>
      <c r="AD40" s="3">
        <f t="shared" si="22"/>
        <v>-0.18179147971962978</v>
      </c>
      <c r="AE40" s="3">
        <f t="shared" si="23"/>
        <v>1.2444775446344229</v>
      </c>
      <c r="AF40" s="1"/>
      <c r="AG40" s="1" t="str" cm="1">
        <f t="array" ref="AG40">_xlfn.IFS(Z40&gt;3,"Strong + Slope",Z40&gt;1.5,"Moderate + Slope",Z40&gt;0.5,"Sideway + Slope",Z40&gt;=-0.5,"Sideway Flat",Z40&gt;=-1.5,"Sideway - Slope",Z40&gt;=-3,"Moderate - Slope",TRUE,"Strong - Slope")</f>
        <v>Moderate - Slope</v>
      </c>
      <c r="AH40" s="1" t="str" cm="1">
        <f t="array" ref="AH40">_xlfn.IFS(AA40&gt;3,"Strong + Slope",AA40&gt;1.5,"Moderate + Slope",AA40&gt;0.5,"Sideway + Slope",AA40&gt;=-0.5,"Sideway Flat",AA40&gt;=-1.5,"Sideway - Slope",AA40&gt;=-3,"Moderate - Slope",TRUE,"Strong - Slope")</f>
        <v>Sideway Flat</v>
      </c>
      <c r="AI40" s="1" t="str" cm="1">
        <f t="array" ref="AI40">_xlfn.IFS(AB40&gt;3,"Strong + Slope",AB40&gt;1.5,"Moderate + Slope",AB40&gt;0.5,"Sideway + Slope",AB40&gt;=-0.5,"Sideway Flat",AB40&gt;=-1.5,"Sideway - Slope",AB40&gt;=-3,"Moderate - Slope",TRUE,"Strong - Slope")</f>
        <v>Sideway - Slope</v>
      </c>
      <c r="AJ40" s="1" t="str" cm="1">
        <f t="array" ref="AJ40">_xlfn.IFS(AC40&gt;3,"Strong + Slope",AC40&gt;1.5,"Moderate + Slope",AC40&gt;0.5,"Sideway + Slope",AC40&gt;=-0.5,"Sideway Flat",AC40&gt;=-1.5,"Sideway - Slope",AC40&gt;=-3,"Moderate - Slope",TRUE,"Strong - Slope")</f>
        <v>Sideway + Slope</v>
      </c>
      <c r="AK40" s="1" t="str" cm="1">
        <f t="array" ref="AK40">_xlfn.IFS(AD40&gt;3,"Strong + Slope",AD40&gt;1.5,"Moderate + Slope",AD40&gt;0.5,"Sideway + Slope",AD40&gt;=-0.5,"Sideway Flat",AD40&gt;=-1.5,"Sideway - Slope",AD40&gt;=-3,"Moderate - Slope",TRUE,"Strong - Slope")</f>
        <v>Sideway Flat</v>
      </c>
      <c r="AL40" s="1" t="str" cm="1">
        <f t="array" ref="AL40">_xlfn.IFS(AE40&gt;3,"Strong + Slope",AE40&gt;1.5,"Moderate + Slope",AE40&gt;0.5,"Sideway + Slope",AE40&gt;=-0.5,"Sideway Flat",AE40&gt;=-1.5,"Sideway - Slope",AE40&gt;=-3,"Moderate - Slope",TRUE,"Strong - Slope")</f>
        <v>Sideway + Slope</v>
      </c>
    </row>
    <row r="41" spans="1:38" x14ac:dyDescent="0.55000000000000004">
      <c r="A41" s="1">
        <v>37</v>
      </c>
      <c r="B41" s="1" t="s">
        <v>40</v>
      </c>
      <c r="C41" s="1" t="s">
        <v>4</v>
      </c>
      <c r="D41" s="1" t="s">
        <v>103</v>
      </c>
      <c r="E41" s="1">
        <v>152.90600000000001</v>
      </c>
      <c r="F41" s="1">
        <v>152.804</v>
      </c>
      <c r="G41" s="1">
        <v>152.80699999999999</v>
      </c>
      <c r="H41" s="1">
        <v>152.95099999999999</v>
      </c>
      <c r="I41" s="1">
        <v>152.898</v>
      </c>
      <c r="J41" s="1">
        <v>153.21199999999999</v>
      </c>
      <c r="K41" s="1">
        <v>152.58799999999999</v>
      </c>
      <c r="L41" s="1">
        <v>152.595</v>
      </c>
      <c r="M41" s="1">
        <v>152.82499999999999</v>
      </c>
      <c r="N41" s="11">
        <f t="shared" si="17"/>
        <v>0.10200000000000387</v>
      </c>
      <c r="O41" s="11">
        <f t="shared" si="24"/>
        <v>1.2000000000000455E-2</v>
      </c>
      <c r="P41" s="11">
        <f t="shared" si="25"/>
        <v>9.0000000000003411E-2</v>
      </c>
      <c r="Q41" s="11">
        <f t="shared" si="26"/>
        <v>0.10200000000000387</v>
      </c>
      <c r="R41" s="1"/>
      <c r="S41" s="3">
        <f t="shared" si="27"/>
        <v>-2.423265306122455E-3</v>
      </c>
      <c r="T41" s="3">
        <f t="shared" si="28"/>
        <v>-3.7194805194805478E-4</v>
      </c>
      <c r="U41" s="3">
        <f t="shared" si="29"/>
        <v>-1.6402721088435472E-3</v>
      </c>
      <c r="V41" s="3">
        <f t="shared" si="30"/>
        <v>7.6471243042669956E-4</v>
      </c>
      <c r="W41" s="3">
        <f t="shared" si="31"/>
        <v>-2.3081014223875058E-4</v>
      </c>
      <c r="X41" s="3">
        <f t="shared" si="32"/>
        <v>1.5802844774273381E-3</v>
      </c>
      <c r="Y41" s="1"/>
      <c r="Z41" s="3">
        <f t="shared" si="18"/>
        <v>-1.9079214597220278</v>
      </c>
      <c r="AA41" s="3">
        <f t="shared" si="19"/>
        <v>-0.29295343676527091</v>
      </c>
      <c r="AB41" s="3">
        <f t="shared" si="20"/>
        <v>-1.2917022253843653</v>
      </c>
      <c r="AC41" s="3">
        <f t="shared" si="21"/>
        <v>0.60228527619529781</v>
      </c>
      <c r="AD41" s="3">
        <f t="shared" si="22"/>
        <v>-0.18179147971962978</v>
      </c>
      <c r="AE41" s="3">
        <f t="shared" si="23"/>
        <v>1.2444775446344229</v>
      </c>
      <c r="AF41" s="1"/>
      <c r="AG41" s="1" t="str" cm="1">
        <f t="array" ref="AG41">_xlfn.IFS(Z41&gt;3,"Strong + Slope",Z41&gt;1.5,"Moderate + Slope",Z41&gt;0.5,"Sideway + Slope",Z41&gt;=-0.5,"Sideway Flat",Z41&gt;=-1.5,"Sideway - Slope",Z41&gt;=-3,"Moderate - Slope",TRUE,"Strong - Slope")</f>
        <v>Moderate - Slope</v>
      </c>
      <c r="AH41" s="1" t="str" cm="1">
        <f t="array" ref="AH41">_xlfn.IFS(AA41&gt;3,"Strong + Slope",AA41&gt;1.5,"Moderate + Slope",AA41&gt;0.5,"Sideway + Slope",AA41&gt;=-0.5,"Sideway Flat",AA41&gt;=-1.5,"Sideway - Slope",AA41&gt;=-3,"Moderate - Slope",TRUE,"Strong - Slope")</f>
        <v>Sideway Flat</v>
      </c>
      <c r="AI41" s="1" t="str" cm="1">
        <f t="array" ref="AI41">_xlfn.IFS(AB41&gt;3,"Strong + Slope",AB41&gt;1.5,"Moderate + Slope",AB41&gt;0.5,"Sideway + Slope",AB41&gt;=-0.5,"Sideway Flat",AB41&gt;=-1.5,"Sideway - Slope",AB41&gt;=-3,"Moderate - Slope",TRUE,"Strong - Slope")</f>
        <v>Sideway - Slope</v>
      </c>
      <c r="AJ41" s="1" t="str" cm="1">
        <f t="array" ref="AJ41">_xlfn.IFS(AC41&gt;3,"Strong + Slope",AC41&gt;1.5,"Moderate + Slope",AC41&gt;0.5,"Sideway + Slope",AC41&gt;=-0.5,"Sideway Flat",AC41&gt;=-1.5,"Sideway - Slope",AC41&gt;=-3,"Moderate - Slope",TRUE,"Strong - Slope")</f>
        <v>Sideway + Slope</v>
      </c>
      <c r="AK41" s="1" t="str" cm="1">
        <f t="array" ref="AK41">_xlfn.IFS(AD41&gt;3,"Strong + Slope",AD41&gt;1.5,"Moderate + Slope",AD41&gt;0.5,"Sideway + Slope",AD41&gt;=-0.5,"Sideway Flat",AD41&gt;=-1.5,"Sideway - Slope",AD41&gt;=-3,"Moderate - Slope",TRUE,"Strong - Slope")</f>
        <v>Sideway Flat</v>
      </c>
      <c r="AL41" s="1" t="str" cm="1">
        <f t="array" ref="AL41">_xlfn.IFS(AE41&gt;3,"Strong + Slope",AE41&gt;1.5,"Moderate + Slope",AE41&gt;0.5,"Sideway + Slope",AE41&gt;=-0.5,"Sideway Flat",AE41&gt;=-1.5,"Sideway - Slope",AE41&gt;=-3,"Moderate - Slope",TRUE,"Strong - Slope")</f>
        <v>Sideway + Slope</v>
      </c>
    </row>
    <row r="42" spans="1:38" x14ac:dyDescent="0.55000000000000004">
      <c r="A42" s="1">
        <v>38</v>
      </c>
      <c r="B42" s="1" t="s">
        <v>41</v>
      </c>
      <c r="C42" s="1" t="s">
        <v>4</v>
      </c>
      <c r="D42" s="1" t="s">
        <v>103</v>
      </c>
      <c r="E42" s="1">
        <v>152.87299999999999</v>
      </c>
      <c r="F42" s="1">
        <v>152.79</v>
      </c>
      <c r="G42" s="1">
        <v>152.81700000000001</v>
      </c>
      <c r="H42" s="1">
        <v>152.94900000000001</v>
      </c>
      <c r="I42" s="1">
        <v>152.89699999999999</v>
      </c>
      <c r="J42" s="1">
        <v>153.21</v>
      </c>
      <c r="K42" s="1">
        <v>152.58799999999999</v>
      </c>
      <c r="L42" s="1">
        <v>152.59399999999999</v>
      </c>
      <c r="M42" s="1">
        <v>152.827</v>
      </c>
      <c r="N42" s="11">
        <f t="shared" si="17"/>
        <v>8.2999999999998408E-2</v>
      </c>
      <c r="O42" s="11">
        <f t="shared" si="24"/>
        <v>6.6000000000002501E-2</v>
      </c>
      <c r="P42" s="11">
        <f t="shared" si="25"/>
        <v>1.6999999999995907E-2</v>
      </c>
      <c r="Q42" s="11">
        <f t="shared" si="26"/>
        <v>8.2999999999998408E-2</v>
      </c>
      <c r="R42" s="1"/>
      <c r="S42" s="3">
        <f t="shared" si="27"/>
        <v>-2.423265306122455E-3</v>
      </c>
      <c r="T42" s="3">
        <f t="shared" si="28"/>
        <v>-3.7194805194805478E-4</v>
      </c>
      <c r="U42" s="3">
        <f t="shared" si="29"/>
        <v>-1.6402721088435472E-3</v>
      </c>
      <c r="V42" s="3">
        <f t="shared" si="30"/>
        <v>7.6471243042669956E-4</v>
      </c>
      <c r="W42" s="3">
        <f t="shared" si="31"/>
        <v>-2.3081014223875058E-4</v>
      </c>
      <c r="X42" s="3">
        <f t="shared" si="32"/>
        <v>1.5802844774273381E-3</v>
      </c>
      <c r="Y42" s="1"/>
      <c r="Z42" s="3">
        <f t="shared" si="18"/>
        <v>-1.9079214597220278</v>
      </c>
      <c r="AA42" s="3">
        <f t="shared" si="19"/>
        <v>-0.29295343676527091</v>
      </c>
      <c r="AB42" s="3">
        <f t="shared" si="20"/>
        <v>-1.2917022253843653</v>
      </c>
      <c r="AC42" s="3">
        <f t="shared" si="21"/>
        <v>0.60228527619529781</v>
      </c>
      <c r="AD42" s="3">
        <f t="shared" si="22"/>
        <v>-0.18179147971962978</v>
      </c>
      <c r="AE42" s="3">
        <f t="shared" si="23"/>
        <v>1.2444775446344229</v>
      </c>
      <c r="AF42" s="1"/>
      <c r="AG42" s="1" t="str" cm="1">
        <f t="array" ref="AG42">_xlfn.IFS(Z42&gt;3,"Strong + Slope",Z42&gt;1.5,"Moderate + Slope",Z42&gt;0.5,"Sideway + Slope",Z42&gt;=-0.5,"Sideway Flat",Z42&gt;=-1.5,"Sideway - Slope",Z42&gt;=-3,"Moderate - Slope",TRUE,"Strong - Slope")</f>
        <v>Moderate - Slope</v>
      </c>
      <c r="AH42" s="1" t="str" cm="1">
        <f t="array" ref="AH42">_xlfn.IFS(AA42&gt;3,"Strong + Slope",AA42&gt;1.5,"Moderate + Slope",AA42&gt;0.5,"Sideway + Slope",AA42&gt;=-0.5,"Sideway Flat",AA42&gt;=-1.5,"Sideway - Slope",AA42&gt;=-3,"Moderate - Slope",TRUE,"Strong - Slope")</f>
        <v>Sideway Flat</v>
      </c>
      <c r="AI42" s="1" t="str" cm="1">
        <f t="array" ref="AI42">_xlfn.IFS(AB42&gt;3,"Strong + Slope",AB42&gt;1.5,"Moderate + Slope",AB42&gt;0.5,"Sideway + Slope",AB42&gt;=-0.5,"Sideway Flat",AB42&gt;=-1.5,"Sideway - Slope",AB42&gt;=-3,"Moderate - Slope",TRUE,"Strong - Slope")</f>
        <v>Sideway - Slope</v>
      </c>
      <c r="AJ42" s="1" t="str" cm="1">
        <f t="array" ref="AJ42">_xlfn.IFS(AC42&gt;3,"Strong + Slope",AC42&gt;1.5,"Moderate + Slope",AC42&gt;0.5,"Sideway + Slope",AC42&gt;=-0.5,"Sideway Flat",AC42&gt;=-1.5,"Sideway - Slope",AC42&gt;=-3,"Moderate - Slope",TRUE,"Strong - Slope")</f>
        <v>Sideway + Slope</v>
      </c>
      <c r="AK42" s="1" t="str" cm="1">
        <f t="array" ref="AK42">_xlfn.IFS(AD42&gt;3,"Strong + Slope",AD42&gt;1.5,"Moderate + Slope",AD42&gt;0.5,"Sideway + Slope",AD42&gt;=-0.5,"Sideway Flat",AD42&gt;=-1.5,"Sideway - Slope",AD42&gt;=-3,"Moderate - Slope",TRUE,"Strong - Slope")</f>
        <v>Sideway Flat</v>
      </c>
      <c r="AL42" s="1" t="str" cm="1">
        <f t="array" ref="AL42">_xlfn.IFS(AE42&gt;3,"Strong + Slope",AE42&gt;1.5,"Moderate + Slope",AE42&gt;0.5,"Sideway + Slope",AE42&gt;=-0.5,"Sideway Flat",AE42&gt;=-1.5,"Sideway - Slope",AE42&gt;=-3,"Moderate - Slope",TRUE,"Strong - Slope")</f>
        <v>Sideway + Slope</v>
      </c>
    </row>
    <row r="43" spans="1:38" x14ac:dyDescent="0.55000000000000004">
      <c r="A43" s="1">
        <v>39</v>
      </c>
      <c r="B43" s="1" t="s">
        <v>42</v>
      </c>
      <c r="C43" s="1" t="s">
        <v>4</v>
      </c>
      <c r="D43" s="1" t="s">
        <v>103</v>
      </c>
      <c r="E43" s="1">
        <v>152.83699999999999</v>
      </c>
      <c r="F43" s="1">
        <v>152.74700000000001</v>
      </c>
      <c r="G43" s="1">
        <v>152.77000000000001</v>
      </c>
      <c r="H43" s="1">
        <v>152.946</v>
      </c>
      <c r="I43" s="1">
        <v>152.89699999999999</v>
      </c>
      <c r="J43" s="1">
        <v>153.209</v>
      </c>
      <c r="K43" s="1">
        <v>152.589</v>
      </c>
      <c r="L43" s="1">
        <v>152.59399999999999</v>
      </c>
      <c r="M43" s="1">
        <v>152.828</v>
      </c>
      <c r="N43" s="11">
        <f t="shared" si="17"/>
        <v>8.9999999999974989E-2</v>
      </c>
      <c r="O43" s="11">
        <f t="shared" si="24"/>
        <v>1.999999999998181E-2</v>
      </c>
      <c r="P43" s="11">
        <f t="shared" si="25"/>
        <v>6.9999999999993179E-2</v>
      </c>
      <c r="Q43" s="11">
        <f t="shared" si="26"/>
        <v>8.9999999999974989E-2</v>
      </c>
      <c r="R43" s="1"/>
      <c r="S43" s="3">
        <f t="shared" si="27"/>
        <v>-2.423265306122455E-3</v>
      </c>
      <c r="T43" s="3">
        <f t="shared" si="28"/>
        <v>-3.7194805194805478E-4</v>
      </c>
      <c r="U43" s="3">
        <f t="shared" si="29"/>
        <v>-1.6402721088435472E-3</v>
      </c>
      <c r="V43" s="3">
        <f t="shared" si="30"/>
        <v>7.6471243042669956E-4</v>
      </c>
      <c r="W43" s="3">
        <f t="shared" si="31"/>
        <v>-2.3081014223875058E-4</v>
      </c>
      <c r="X43" s="3">
        <f t="shared" si="32"/>
        <v>1.5802844774273381E-3</v>
      </c>
      <c r="Y43" s="1"/>
      <c r="Z43" s="3">
        <f t="shared" si="18"/>
        <v>-1.9079214597220278</v>
      </c>
      <c r="AA43" s="3">
        <f t="shared" si="19"/>
        <v>-0.29295343676527091</v>
      </c>
      <c r="AB43" s="3">
        <f t="shared" si="20"/>
        <v>-1.2917022253843653</v>
      </c>
      <c r="AC43" s="3">
        <f t="shared" si="21"/>
        <v>0.60228527619529781</v>
      </c>
      <c r="AD43" s="3">
        <f t="shared" si="22"/>
        <v>-0.18179147971962978</v>
      </c>
      <c r="AE43" s="3">
        <f t="shared" si="23"/>
        <v>1.2444775446344229</v>
      </c>
      <c r="AF43" s="1"/>
      <c r="AG43" s="1" t="str" cm="1">
        <f t="array" ref="AG43">_xlfn.IFS(Z43&gt;3,"Strong + Slope",Z43&gt;1.5,"Moderate + Slope",Z43&gt;0.5,"Sideway + Slope",Z43&gt;=-0.5,"Sideway Flat",Z43&gt;=-1.5,"Sideway - Slope",Z43&gt;=-3,"Moderate - Slope",TRUE,"Strong - Slope")</f>
        <v>Moderate - Slope</v>
      </c>
      <c r="AH43" s="1" t="str" cm="1">
        <f t="array" ref="AH43">_xlfn.IFS(AA43&gt;3,"Strong + Slope",AA43&gt;1.5,"Moderate + Slope",AA43&gt;0.5,"Sideway + Slope",AA43&gt;=-0.5,"Sideway Flat",AA43&gt;=-1.5,"Sideway - Slope",AA43&gt;=-3,"Moderate - Slope",TRUE,"Strong - Slope")</f>
        <v>Sideway Flat</v>
      </c>
      <c r="AI43" s="1" t="str" cm="1">
        <f t="array" ref="AI43">_xlfn.IFS(AB43&gt;3,"Strong + Slope",AB43&gt;1.5,"Moderate + Slope",AB43&gt;0.5,"Sideway + Slope",AB43&gt;=-0.5,"Sideway Flat",AB43&gt;=-1.5,"Sideway - Slope",AB43&gt;=-3,"Moderate - Slope",TRUE,"Strong - Slope")</f>
        <v>Sideway - Slope</v>
      </c>
      <c r="AJ43" s="1" t="str" cm="1">
        <f t="array" ref="AJ43">_xlfn.IFS(AC43&gt;3,"Strong + Slope",AC43&gt;1.5,"Moderate + Slope",AC43&gt;0.5,"Sideway + Slope",AC43&gt;=-0.5,"Sideway Flat",AC43&gt;=-1.5,"Sideway - Slope",AC43&gt;=-3,"Moderate - Slope",TRUE,"Strong - Slope")</f>
        <v>Sideway + Slope</v>
      </c>
      <c r="AK43" s="1" t="str" cm="1">
        <f t="array" ref="AK43">_xlfn.IFS(AD43&gt;3,"Strong + Slope",AD43&gt;1.5,"Moderate + Slope",AD43&gt;0.5,"Sideway + Slope",AD43&gt;=-0.5,"Sideway Flat",AD43&gt;=-1.5,"Sideway - Slope",AD43&gt;=-3,"Moderate - Slope",TRUE,"Strong - Slope")</f>
        <v>Sideway Flat</v>
      </c>
      <c r="AL43" s="1" t="str" cm="1">
        <f t="array" ref="AL43">_xlfn.IFS(AE43&gt;3,"Strong + Slope",AE43&gt;1.5,"Moderate + Slope",AE43&gt;0.5,"Sideway + Slope",AE43&gt;=-0.5,"Sideway Flat",AE43&gt;=-1.5,"Sideway - Slope",AE43&gt;=-3,"Moderate - Slope",TRUE,"Strong - Slope")</f>
        <v>Sideway + Slope</v>
      </c>
    </row>
    <row r="44" spans="1:38" x14ac:dyDescent="0.55000000000000004">
      <c r="A44" s="1">
        <v>40</v>
      </c>
      <c r="B44" s="1" t="s">
        <v>43</v>
      </c>
      <c r="C44" s="1" t="s">
        <v>4</v>
      </c>
      <c r="D44" s="1" t="s">
        <v>103</v>
      </c>
      <c r="E44" s="1">
        <v>152.791</v>
      </c>
      <c r="F44" s="1">
        <v>152.74199999999999</v>
      </c>
      <c r="G44" s="1">
        <v>152.79</v>
      </c>
      <c r="H44" s="1">
        <v>152.94399999999999</v>
      </c>
      <c r="I44" s="1">
        <v>152.89699999999999</v>
      </c>
      <c r="J44" s="1">
        <v>153.20699999999999</v>
      </c>
      <c r="K44" s="1">
        <v>152.59</v>
      </c>
      <c r="L44" s="1">
        <v>152.59399999999999</v>
      </c>
      <c r="M44" s="1">
        <v>152.83000000000001</v>
      </c>
      <c r="N44" s="11">
        <f t="shared" si="17"/>
        <v>4.9000000000006594E-2</v>
      </c>
      <c r="O44" s="11">
        <f t="shared" si="24"/>
        <v>2.0999999999986585E-2</v>
      </c>
      <c r="P44" s="11">
        <f t="shared" si="25"/>
        <v>2.8000000000020009E-2</v>
      </c>
      <c r="Q44" s="11">
        <f t="shared" si="26"/>
        <v>4.9000000000006594E-2</v>
      </c>
      <c r="R44" s="1"/>
      <c r="S44" s="3">
        <f t="shared" si="27"/>
        <v>-2.423265306122455E-3</v>
      </c>
      <c r="T44" s="3">
        <f t="shared" si="28"/>
        <v>-3.7194805194805478E-4</v>
      </c>
      <c r="U44" s="3">
        <f t="shared" si="29"/>
        <v>-1.6402721088435472E-3</v>
      </c>
      <c r="V44" s="3">
        <f t="shared" si="30"/>
        <v>7.6471243042669956E-4</v>
      </c>
      <c r="W44" s="3">
        <f t="shared" si="31"/>
        <v>-2.3081014223875058E-4</v>
      </c>
      <c r="X44" s="3">
        <f t="shared" si="32"/>
        <v>1.5802844774273381E-3</v>
      </c>
      <c r="Y44" s="1"/>
      <c r="Z44" s="3">
        <f t="shared" si="18"/>
        <v>-1.9079214597220278</v>
      </c>
      <c r="AA44" s="3">
        <f t="shared" si="19"/>
        <v>-0.29295343676527091</v>
      </c>
      <c r="AB44" s="3">
        <f t="shared" si="20"/>
        <v>-1.2917022253843653</v>
      </c>
      <c r="AC44" s="3">
        <f t="shared" si="21"/>
        <v>0.60228527619529781</v>
      </c>
      <c r="AD44" s="3">
        <f t="shared" si="22"/>
        <v>-0.18179147971962978</v>
      </c>
      <c r="AE44" s="3">
        <f t="shared" si="23"/>
        <v>1.2444775446344229</v>
      </c>
      <c r="AF44" s="1"/>
      <c r="AG44" s="1" t="str" cm="1">
        <f t="array" ref="AG44">_xlfn.IFS(Z44&gt;3,"Strong + Slope",Z44&gt;1.5,"Moderate + Slope",Z44&gt;0.5,"Sideway + Slope",Z44&gt;=-0.5,"Sideway Flat",Z44&gt;=-1.5,"Sideway - Slope",Z44&gt;=-3,"Moderate - Slope",TRUE,"Strong - Slope")</f>
        <v>Moderate - Slope</v>
      </c>
      <c r="AH44" s="1" t="str" cm="1">
        <f t="array" ref="AH44">_xlfn.IFS(AA44&gt;3,"Strong + Slope",AA44&gt;1.5,"Moderate + Slope",AA44&gt;0.5,"Sideway + Slope",AA44&gt;=-0.5,"Sideway Flat",AA44&gt;=-1.5,"Sideway - Slope",AA44&gt;=-3,"Moderate - Slope",TRUE,"Strong - Slope")</f>
        <v>Sideway Flat</v>
      </c>
      <c r="AI44" s="1" t="str" cm="1">
        <f t="array" ref="AI44">_xlfn.IFS(AB44&gt;3,"Strong + Slope",AB44&gt;1.5,"Moderate + Slope",AB44&gt;0.5,"Sideway + Slope",AB44&gt;=-0.5,"Sideway Flat",AB44&gt;=-1.5,"Sideway - Slope",AB44&gt;=-3,"Moderate - Slope",TRUE,"Strong - Slope")</f>
        <v>Sideway - Slope</v>
      </c>
      <c r="AJ44" s="1" t="str" cm="1">
        <f t="array" ref="AJ44">_xlfn.IFS(AC44&gt;3,"Strong + Slope",AC44&gt;1.5,"Moderate + Slope",AC44&gt;0.5,"Sideway + Slope",AC44&gt;=-0.5,"Sideway Flat",AC44&gt;=-1.5,"Sideway - Slope",AC44&gt;=-3,"Moderate - Slope",TRUE,"Strong - Slope")</f>
        <v>Sideway + Slope</v>
      </c>
      <c r="AK44" s="1" t="str" cm="1">
        <f t="array" ref="AK44">_xlfn.IFS(AD44&gt;3,"Strong + Slope",AD44&gt;1.5,"Moderate + Slope",AD44&gt;0.5,"Sideway + Slope",AD44&gt;=-0.5,"Sideway Flat",AD44&gt;=-1.5,"Sideway - Slope",AD44&gt;=-3,"Moderate - Slope",TRUE,"Strong - Slope")</f>
        <v>Sideway Flat</v>
      </c>
      <c r="AL44" s="1" t="str" cm="1">
        <f t="array" ref="AL44">_xlfn.IFS(AE44&gt;3,"Strong + Slope",AE44&gt;1.5,"Moderate + Slope",AE44&gt;0.5,"Sideway + Slope",AE44&gt;=-0.5,"Sideway Flat",AE44&gt;=-1.5,"Sideway - Slope",AE44&gt;=-3,"Moderate - Slope",TRUE,"Strong - Slope")</f>
        <v>Sideway + Slope</v>
      </c>
    </row>
    <row r="45" spans="1:38" x14ac:dyDescent="0.55000000000000004">
      <c r="A45" s="1">
        <v>41</v>
      </c>
      <c r="B45" s="1" t="s">
        <v>44</v>
      </c>
      <c r="C45" s="1" t="s">
        <v>4</v>
      </c>
      <c r="D45" s="1" t="s">
        <v>103</v>
      </c>
      <c r="E45" s="1">
        <v>152.79900000000001</v>
      </c>
      <c r="F45" s="1">
        <v>152.76599999999999</v>
      </c>
      <c r="G45" s="1">
        <v>152.78899999999999</v>
      </c>
      <c r="H45" s="1">
        <v>152.941</v>
      </c>
      <c r="I45" s="1">
        <v>152.89599999999999</v>
      </c>
      <c r="J45" s="1">
        <v>153.20500000000001</v>
      </c>
      <c r="K45" s="1">
        <v>152.59100000000001</v>
      </c>
      <c r="L45" s="1">
        <v>152.59399999999999</v>
      </c>
      <c r="M45" s="1">
        <v>152.83099999999999</v>
      </c>
      <c r="N45" s="11">
        <f t="shared" si="17"/>
        <v>3.3000000000015461E-2</v>
      </c>
      <c r="O45" s="11">
        <f t="shared" si="24"/>
        <v>9.0000000000145519E-3</v>
      </c>
      <c r="P45" s="11">
        <f t="shared" si="25"/>
        <v>2.4000000000000909E-2</v>
      </c>
      <c r="Q45" s="11">
        <f t="shared" si="26"/>
        <v>3.3000000000015461E-2</v>
      </c>
      <c r="R45" s="1"/>
      <c r="S45" s="3">
        <f t="shared" si="27"/>
        <v>-2.423265306122455E-3</v>
      </c>
      <c r="T45" s="3">
        <f t="shared" si="28"/>
        <v>-3.7194805194805478E-4</v>
      </c>
      <c r="U45" s="3">
        <f t="shared" si="29"/>
        <v>-1.6402721088435472E-3</v>
      </c>
      <c r="V45" s="3">
        <f t="shared" si="30"/>
        <v>7.6471243042669956E-4</v>
      </c>
      <c r="W45" s="3">
        <f t="shared" si="31"/>
        <v>-2.3081014223875058E-4</v>
      </c>
      <c r="X45" s="3">
        <f t="shared" si="32"/>
        <v>1.5802844774273381E-3</v>
      </c>
      <c r="Y45" s="1"/>
      <c r="Z45" s="3">
        <f t="shared" si="18"/>
        <v>-1.9079214597220278</v>
      </c>
      <c r="AA45" s="3">
        <f t="shared" si="19"/>
        <v>-0.29295343676527091</v>
      </c>
      <c r="AB45" s="3">
        <f t="shared" si="20"/>
        <v>-1.2917022253843653</v>
      </c>
      <c r="AC45" s="3">
        <f t="shared" si="21"/>
        <v>0.60228527619529781</v>
      </c>
      <c r="AD45" s="3">
        <f t="shared" si="22"/>
        <v>-0.18179147971962978</v>
      </c>
      <c r="AE45" s="3">
        <f t="shared" si="23"/>
        <v>1.2444775446344229</v>
      </c>
      <c r="AF45" s="1"/>
      <c r="AG45" s="1" t="str" cm="1">
        <f t="array" ref="AG45">_xlfn.IFS(Z45&gt;3,"Strong + Slope",Z45&gt;1.5,"Moderate + Slope",Z45&gt;0.5,"Sideway + Slope",Z45&gt;=-0.5,"Sideway Flat",Z45&gt;=-1.5,"Sideway - Slope",Z45&gt;=-3,"Moderate - Slope",TRUE,"Strong - Slope")</f>
        <v>Moderate - Slope</v>
      </c>
      <c r="AH45" s="1" t="str" cm="1">
        <f t="array" ref="AH45">_xlfn.IFS(AA45&gt;3,"Strong + Slope",AA45&gt;1.5,"Moderate + Slope",AA45&gt;0.5,"Sideway + Slope",AA45&gt;=-0.5,"Sideway Flat",AA45&gt;=-1.5,"Sideway - Slope",AA45&gt;=-3,"Moderate - Slope",TRUE,"Strong - Slope")</f>
        <v>Sideway Flat</v>
      </c>
      <c r="AI45" s="1" t="str" cm="1">
        <f t="array" ref="AI45">_xlfn.IFS(AB45&gt;3,"Strong + Slope",AB45&gt;1.5,"Moderate + Slope",AB45&gt;0.5,"Sideway + Slope",AB45&gt;=-0.5,"Sideway Flat",AB45&gt;=-1.5,"Sideway - Slope",AB45&gt;=-3,"Moderate - Slope",TRUE,"Strong - Slope")</f>
        <v>Sideway - Slope</v>
      </c>
      <c r="AJ45" s="1" t="str" cm="1">
        <f t="array" ref="AJ45">_xlfn.IFS(AC45&gt;3,"Strong + Slope",AC45&gt;1.5,"Moderate + Slope",AC45&gt;0.5,"Sideway + Slope",AC45&gt;=-0.5,"Sideway Flat",AC45&gt;=-1.5,"Sideway - Slope",AC45&gt;=-3,"Moderate - Slope",TRUE,"Strong - Slope")</f>
        <v>Sideway + Slope</v>
      </c>
      <c r="AK45" s="1" t="str" cm="1">
        <f t="array" ref="AK45">_xlfn.IFS(AD45&gt;3,"Strong + Slope",AD45&gt;1.5,"Moderate + Slope",AD45&gt;0.5,"Sideway + Slope",AD45&gt;=-0.5,"Sideway Flat",AD45&gt;=-1.5,"Sideway - Slope",AD45&gt;=-3,"Moderate - Slope",TRUE,"Strong - Slope")</f>
        <v>Sideway Flat</v>
      </c>
      <c r="AL45" s="1" t="str" cm="1">
        <f t="array" ref="AL45">_xlfn.IFS(AE45&gt;3,"Strong + Slope",AE45&gt;1.5,"Moderate + Slope",AE45&gt;0.5,"Sideway + Slope",AE45&gt;=-0.5,"Sideway Flat",AE45&gt;=-1.5,"Sideway - Slope",AE45&gt;=-3,"Moderate - Slope",TRUE,"Strong - Slope")</f>
        <v>Sideway + Slope</v>
      </c>
    </row>
    <row r="46" spans="1:38" x14ac:dyDescent="0.55000000000000004">
      <c r="A46" s="1">
        <v>42</v>
      </c>
      <c r="B46" s="1" t="s">
        <v>45</v>
      </c>
      <c r="C46" s="1" t="s">
        <v>4</v>
      </c>
      <c r="D46" s="1" t="s">
        <v>103</v>
      </c>
      <c r="E46" s="1">
        <v>152.79599999999999</v>
      </c>
      <c r="F46" s="1">
        <v>152.72999999999999</v>
      </c>
      <c r="G46" s="1">
        <v>152.75</v>
      </c>
      <c r="H46" s="1">
        <v>152.93899999999999</v>
      </c>
      <c r="I46" s="1">
        <v>152.89599999999999</v>
      </c>
      <c r="J46" s="1">
        <v>153.20400000000001</v>
      </c>
      <c r="K46" s="1">
        <v>152.59100000000001</v>
      </c>
      <c r="L46" s="1">
        <v>152.59299999999999</v>
      </c>
      <c r="M46" s="1">
        <v>152.833</v>
      </c>
      <c r="N46" s="11">
        <f t="shared" si="17"/>
        <v>6.6000000000002501E-2</v>
      </c>
      <c r="O46" s="11">
        <f t="shared" si="24"/>
        <v>7.0000000000050022E-3</v>
      </c>
      <c r="P46" s="11">
        <f t="shared" si="25"/>
        <v>5.8999999999997499E-2</v>
      </c>
      <c r="Q46" s="11">
        <f t="shared" si="26"/>
        <v>6.6000000000002501E-2</v>
      </c>
      <c r="R46" s="1"/>
      <c r="S46" s="3">
        <f t="shared" si="27"/>
        <v>-2.423265306122455E-3</v>
      </c>
      <c r="T46" s="3">
        <f t="shared" si="28"/>
        <v>-3.7194805194805478E-4</v>
      </c>
      <c r="U46" s="3">
        <f t="shared" si="29"/>
        <v>-1.6402721088435472E-3</v>
      </c>
      <c r="V46" s="3">
        <f t="shared" si="30"/>
        <v>7.6471243042669956E-4</v>
      </c>
      <c r="W46" s="3">
        <f t="shared" si="31"/>
        <v>-2.3081014223875058E-4</v>
      </c>
      <c r="X46" s="3">
        <f t="shared" si="32"/>
        <v>1.5802844774273381E-3</v>
      </c>
      <c r="Y46" s="1"/>
      <c r="Z46" s="3">
        <f t="shared" si="18"/>
        <v>-1.9079214597220278</v>
      </c>
      <c r="AA46" s="3">
        <f t="shared" si="19"/>
        <v>-0.29295343676527091</v>
      </c>
      <c r="AB46" s="3">
        <f t="shared" si="20"/>
        <v>-1.2917022253843653</v>
      </c>
      <c r="AC46" s="3">
        <f t="shared" si="21"/>
        <v>0.60228527619529781</v>
      </c>
      <c r="AD46" s="3">
        <f t="shared" si="22"/>
        <v>-0.18179147971962978</v>
      </c>
      <c r="AE46" s="3">
        <f t="shared" si="23"/>
        <v>1.2444775446344229</v>
      </c>
      <c r="AF46" s="1"/>
      <c r="AG46" s="1" t="str" cm="1">
        <f t="array" ref="AG46">_xlfn.IFS(Z46&gt;3,"Strong + Slope",Z46&gt;1.5,"Moderate + Slope",Z46&gt;0.5,"Sideway + Slope",Z46&gt;=-0.5,"Sideway Flat",Z46&gt;=-1.5,"Sideway - Slope",Z46&gt;=-3,"Moderate - Slope",TRUE,"Strong - Slope")</f>
        <v>Moderate - Slope</v>
      </c>
      <c r="AH46" s="1" t="str" cm="1">
        <f t="array" ref="AH46">_xlfn.IFS(AA46&gt;3,"Strong + Slope",AA46&gt;1.5,"Moderate + Slope",AA46&gt;0.5,"Sideway + Slope",AA46&gt;=-0.5,"Sideway Flat",AA46&gt;=-1.5,"Sideway - Slope",AA46&gt;=-3,"Moderate - Slope",TRUE,"Strong - Slope")</f>
        <v>Sideway Flat</v>
      </c>
      <c r="AI46" s="1" t="str" cm="1">
        <f t="array" ref="AI46">_xlfn.IFS(AB46&gt;3,"Strong + Slope",AB46&gt;1.5,"Moderate + Slope",AB46&gt;0.5,"Sideway + Slope",AB46&gt;=-0.5,"Sideway Flat",AB46&gt;=-1.5,"Sideway - Slope",AB46&gt;=-3,"Moderate - Slope",TRUE,"Strong - Slope")</f>
        <v>Sideway - Slope</v>
      </c>
      <c r="AJ46" s="1" t="str" cm="1">
        <f t="array" ref="AJ46">_xlfn.IFS(AC46&gt;3,"Strong + Slope",AC46&gt;1.5,"Moderate + Slope",AC46&gt;0.5,"Sideway + Slope",AC46&gt;=-0.5,"Sideway Flat",AC46&gt;=-1.5,"Sideway - Slope",AC46&gt;=-3,"Moderate - Slope",TRUE,"Strong - Slope")</f>
        <v>Sideway + Slope</v>
      </c>
      <c r="AK46" s="1" t="str" cm="1">
        <f t="array" ref="AK46">_xlfn.IFS(AD46&gt;3,"Strong + Slope",AD46&gt;1.5,"Moderate + Slope",AD46&gt;0.5,"Sideway + Slope",AD46&gt;=-0.5,"Sideway Flat",AD46&gt;=-1.5,"Sideway - Slope",AD46&gt;=-3,"Moderate - Slope",TRUE,"Strong - Slope")</f>
        <v>Sideway Flat</v>
      </c>
      <c r="AL46" s="1" t="str" cm="1">
        <f t="array" ref="AL46">_xlfn.IFS(AE46&gt;3,"Strong + Slope",AE46&gt;1.5,"Moderate + Slope",AE46&gt;0.5,"Sideway + Slope",AE46&gt;=-0.5,"Sideway Flat",AE46&gt;=-1.5,"Sideway - Slope",AE46&gt;=-3,"Moderate - Slope",TRUE,"Strong - Slope")</f>
        <v>Sideway + Slope</v>
      </c>
    </row>
    <row r="47" spans="1:38" x14ac:dyDescent="0.55000000000000004">
      <c r="A47" s="1">
        <v>43</v>
      </c>
      <c r="B47" s="1" t="s">
        <v>46</v>
      </c>
      <c r="C47" s="1" t="s">
        <v>4</v>
      </c>
      <c r="D47" s="1" t="s">
        <v>103</v>
      </c>
      <c r="E47" s="1">
        <v>152.745</v>
      </c>
      <c r="F47" s="1">
        <v>152.6</v>
      </c>
      <c r="G47" s="1">
        <v>152.661</v>
      </c>
      <c r="H47" s="1">
        <v>152.93600000000001</v>
      </c>
      <c r="I47" s="1">
        <v>152.89500000000001</v>
      </c>
      <c r="J47" s="1">
        <v>153.202</v>
      </c>
      <c r="K47" s="1">
        <v>152.59200000000001</v>
      </c>
      <c r="L47" s="1">
        <v>152.59299999999999</v>
      </c>
      <c r="M47" s="1">
        <v>152.834</v>
      </c>
      <c r="N47" s="11">
        <f t="shared" si="17"/>
        <v>0.14500000000001023</v>
      </c>
      <c r="O47" s="11">
        <f t="shared" si="24"/>
        <v>4.9999999999954525E-3</v>
      </c>
      <c r="P47" s="11">
        <f t="shared" si="25"/>
        <v>0.15000000000000568</v>
      </c>
      <c r="Q47" s="11">
        <f t="shared" si="26"/>
        <v>0.15000000000000568</v>
      </c>
      <c r="R47" s="1"/>
      <c r="S47" s="3">
        <f t="shared" si="27"/>
        <v>-2.423265306122455E-3</v>
      </c>
      <c r="T47" s="3">
        <f t="shared" si="28"/>
        <v>-3.7194805194805478E-4</v>
      </c>
      <c r="U47" s="3">
        <f t="shared" si="29"/>
        <v>-1.6402721088435472E-3</v>
      </c>
      <c r="V47" s="3">
        <f t="shared" si="30"/>
        <v>7.6471243042669956E-4</v>
      </c>
      <c r="W47" s="3">
        <f t="shared" si="31"/>
        <v>-2.3081014223875058E-4</v>
      </c>
      <c r="X47" s="3">
        <f t="shared" si="32"/>
        <v>1.5802844774273381E-3</v>
      </c>
      <c r="Y47" s="1"/>
      <c r="Z47" s="3">
        <f t="shared" si="18"/>
        <v>-1.9079214597220278</v>
      </c>
      <c r="AA47" s="3">
        <f t="shared" si="19"/>
        <v>-0.29295343676527091</v>
      </c>
      <c r="AB47" s="3">
        <f t="shared" si="20"/>
        <v>-1.2917022253843653</v>
      </c>
      <c r="AC47" s="3">
        <f t="shared" si="21"/>
        <v>0.60228527619529781</v>
      </c>
      <c r="AD47" s="3">
        <f t="shared" si="22"/>
        <v>-0.18179147971962978</v>
      </c>
      <c r="AE47" s="3">
        <f t="shared" si="23"/>
        <v>1.2444775446344229</v>
      </c>
      <c r="AF47" s="1"/>
      <c r="AG47" s="1" t="str" cm="1">
        <f t="array" ref="AG47">_xlfn.IFS(Z47&gt;3,"Strong + Slope",Z47&gt;1.5,"Moderate + Slope",Z47&gt;0.5,"Sideway + Slope",Z47&gt;=-0.5,"Sideway Flat",Z47&gt;=-1.5,"Sideway - Slope",Z47&gt;=-3,"Moderate - Slope",TRUE,"Strong - Slope")</f>
        <v>Moderate - Slope</v>
      </c>
      <c r="AH47" s="1" t="str" cm="1">
        <f t="array" ref="AH47">_xlfn.IFS(AA47&gt;3,"Strong + Slope",AA47&gt;1.5,"Moderate + Slope",AA47&gt;0.5,"Sideway + Slope",AA47&gt;=-0.5,"Sideway Flat",AA47&gt;=-1.5,"Sideway - Slope",AA47&gt;=-3,"Moderate - Slope",TRUE,"Strong - Slope")</f>
        <v>Sideway Flat</v>
      </c>
      <c r="AI47" s="1" t="str" cm="1">
        <f t="array" ref="AI47">_xlfn.IFS(AB47&gt;3,"Strong + Slope",AB47&gt;1.5,"Moderate + Slope",AB47&gt;0.5,"Sideway + Slope",AB47&gt;=-0.5,"Sideway Flat",AB47&gt;=-1.5,"Sideway - Slope",AB47&gt;=-3,"Moderate - Slope",TRUE,"Strong - Slope")</f>
        <v>Sideway - Slope</v>
      </c>
      <c r="AJ47" s="1" t="str" cm="1">
        <f t="array" ref="AJ47">_xlfn.IFS(AC47&gt;3,"Strong + Slope",AC47&gt;1.5,"Moderate + Slope",AC47&gt;0.5,"Sideway + Slope",AC47&gt;=-0.5,"Sideway Flat",AC47&gt;=-1.5,"Sideway - Slope",AC47&gt;=-3,"Moderate - Slope",TRUE,"Strong - Slope")</f>
        <v>Sideway + Slope</v>
      </c>
      <c r="AK47" s="1" t="str" cm="1">
        <f t="array" ref="AK47">_xlfn.IFS(AD47&gt;3,"Strong + Slope",AD47&gt;1.5,"Moderate + Slope",AD47&gt;0.5,"Sideway + Slope",AD47&gt;=-0.5,"Sideway Flat",AD47&gt;=-1.5,"Sideway - Slope",AD47&gt;=-3,"Moderate - Slope",TRUE,"Strong - Slope")</f>
        <v>Sideway Flat</v>
      </c>
      <c r="AL47" s="1" t="str" cm="1">
        <f t="array" ref="AL47">_xlfn.IFS(AE47&gt;3,"Strong + Slope",AE47&gt;1.5,"Moderate + Slope",AE47&gt;0.5,"Sideway + Slope",AE47&gt;=-0.5,"Sideway Flat",AE47&gt;=-1.5,"Sideway - Slope",AE47&gt;=-3,"Moderate - Slope",TRUE,"Strong - Slope")</f>
        <v>Sideway + Slope</v>
      </c>
    </row>
    <row r="48" spans="1:38" x14ac:dyDescent="0.55000000000000004">
      <c r="A48" s="1">
        <v>44</v>
      </c>
      <c r="B48" s="1" t="s">
        <v>47</v>
      </c>
      <c r="C48" s="1" t="s">
        <v>4</v>
      </c>
      <c r="D48" s="1" t="s">
        <v>103</v>
      </c>
      <c r="E48" s="1">
        <v>152.68100000000001</v>
      </c>
      <c r="F48" s="1">
        <v>152.59299999999999</v>
      </c>
      <c r="G48" s="1">
        <v>152.672</v>
      </c>
      <c r="H48" s="1">
        <v>152.934</v>
      </c>
      <c r="I48" s="1">
        <v>152.89500000000001</v>
      </c>
      <c r="J48" s="1">
        <v>153.19999999999999</v>
      </c>
      <c r="K48" s="1">
        <v>152.59299999999999</v>
      </c>
      <c r="L48" s="1">
        <v>152.59299999999999</v>
      </c>
      <c r="M48" s="1">
        <v>152.83600000000001</v>
      </c>
      <c r="N48" s="11">
        <f t="shared" si="17"/>
        <v>8.8000000000022283E-2</v>
      </c>
      <c r="O48" s="11">
        <f t="shared" si="24"/>
        <v>2.0000000000010232E-2</v>
      </c>
      <c r="P48" s="11">
        <f t="shared" si="25"/>
        <v>6.8000000000012051E-2</v>
      </c>
      <c r="Q48" s="11">
        <f t="shared" si="26"/>
        <v>8.8000000000022283E-2</v>
      </c>
      <c r="R48" s="1"/>
      <c r="S48" s="3">
        <f t="shared" si="27"/>
        <v>-2.423265306122455E-3</v>
      </c>
      <c r="T48" s="3">
        <f t="shared" si="28"/>
        <v>-3.7194805194805478E-4</v>
      </c>
      <c r="U48" s="3">
        <f t="shared" si="29"/>
        <v>-1.6402721088435472E-3</v>
      </c>
      <c r="V48" s="3">
        <f t="shared" si="30"/>
        <v>7.6471243042669956E-4</v>
      </c>
      <c r="W48" s="3">
        <f t="shared" si="31"/>
        <v>-2.3081014223875058E-4</v>
      </c>
      <c r="X48" s="3">
        <f t="shared" si="32"/>
        <v>1.5802844774273381E-3</v>
      </c>
      <c r="Y48" s="1"/>
      <c r="Z48" s="3">
        <f t="shared" si="18"/>
        <v>-1.9079214597220278</v>
      </c>
      <c r="AA48" s="3">
        <f t="shared" si="19"/>
        <v>-0.29295343676527091</v>
      </c>
      <c r="AB48" s="3">
        <f t="shared" si="20"/>
        <v>-1.2917022253843653</v>
      </c>
      <c r="AC48" s="3">
        <f t="shared" si="21"/>
        <v>0.60228527619529781</v>
      </c>
      <c r="AD48" s="3">
        <f t="shared" si="22"/>
        <v>-0.18179147971962978</v>
      </c>
      <c r="AE48" s="3">
        <f t="shared" si="23"/>
        <v>1.2444775446344229</v>
      </c>
      <c r="AF48" s="1"/>
      <c r="AG48" s="1" t="str" cm="1">
        <f t="array" ref="AG48">_xlfn.IFS(Z48&gt;3,"Strong + Slope",Z48&gt;1.5,"Moderate + Slope",Z48&gt;0.5,"Sideway + Slope",Z48&gt;=-0.5,"Sideway Flat",Z48&gt;=-1.5,"Sideway - Slope",Z48&gt;=-3,"Moderate - Slope",TRUE,"Strong - Slope")</f>
        <v>Moderate - Slope</v>
      </c>
      <c r="AH48" s="1" t="str" cm="1">
        <f t="array" ref="AH48">_xlfn.IFS(AA48&gt;3,"Strong + Slope",AA48&gt;1.5,"Moderate + Slope",AA48&gt;0.5,"Sideway + Slope",AA48&gt;=-0.5,"Sideway Flat",AA48&gt;=-1.5,"Sideway - Slope",AA48&gt;=-3,"Moderate - Slope",TRUE,"Strong - Slope")</f>
        <v>Sideway Flat</v>
      </c>
      <c r="AI48" s="1" t="str" cm="1">
        <f t="array" ref="AI48">_xlfn.IFS(AB48&gt;3,"Strong + Slope",AB48&gt;1.5,"Moderate + Slope",AB48&gt;0.5,"Sideway + Slope",AB48&gt;=-0.5,"Sideway Flat",AB48&gt;=-1.5,"Sideway - Slope",AB48&gt;=-3,"Moderate - Slope",TRUE,"Strong - Slope")</f>
        <v>Sideway - Slope</v>
      </c>
      <c r="AJ48" s="1" t="str" cm="1">
        <f t="array" ref="AJ48">_xlfn.IFS(AC48&gt;3,"Strong + Slope",AC48&gt;1.5,"Moderate + Slope",AC48&gt;0.5,"Sideway + Slope",AC48&gt;=-0.5,"Sideway Flat",AC48&gt;=-1.5,"Sideway - Slope",AC48&gt;=-3,"Moderate - Slope",TRUE,"Strong - Slope")</f>
        <v>Sideway + Slope</v>
      </c>
      <c r="AK48" s="1" t="str" cm="1">
        <f t="array" ref="AK48">_xlfn.IFS(AD48&gt;3,"Strong + Slope",AD48&gt;1.5,"Moderate + Slope",AD48&gt;0.5,"Sideway + Slope",AD48&gt;=-0.5,"Sideway Flat",AD48&gt;=-1.5,"Sideway - Slope",AD48&gt;=-3,"Moderate - Slope",TRUE,"Strong - Slope")</f>
        <v>Sideway Flat</v>
      </c>
      <c r="AL48" s="1" t="str" cm="1">
        <f t="array" ref="AL48">_xlfn.IFS(AE48&gt;3,"Strong + Slope",AE48&gt;1.5,"Moderate + Slope",AE48&gt;0.5,"Sideway + Slope",AE48&gt;=-0.5,"Sideway Flat",AE48&gt;=-1.5,"Sideway - Slope",AE48&gt;=-3,"Moderate - Slope",TRUE,"Strong - Slope")</f>
        <v>Sideway + Slope</v>
      </c>
    </row>
    <row r="49" spans="1:38" x14ac:dyDescent="0.55000000000000004">
      <c r="A49" s="1">
        <v>45</v>
      </c>
      <c r="B49" s="1" t="s">
        <v>48</v>
      </c>
      <c r="C49" s="1" t="s">
        <v>4</v>
      </c>
      <c r="D49" s="1" t="s">
        <v>103</v>
      </c>
      <c r="E49" s="1">
        <v>152.74299999999999</v>
      </c>
      <c r="F49" s="1">
        <v>152.66499999999999</v>
      </c>
      <c r="G49" s="1">
        <v>152.738</v>
      </c>
      <c r="H49" s="1">
        <v>152.93199999999999</v>
      </c>
      <c r="I49" s="1">
        <v>152.89500000000001</v>
      </c>
      <c r="J49" s="1">
        <v>153.19900000000001</v>
      </c>
      <c r="K49" s="1">
        <v>152.59399999999999</v>
      </c>
      <c r="L49" s="1">
        <v>152.59299999999999</v>
      </c>
      <c r="M49" s="1">
        <v>152.83799999999999</v>
      </c>
      <c r="N49" s="11">
        <f t="shared" si="17"/>
        <v>7.8000000000002956E-2</v>
      </c>
      <c r="O49" s="11">
        <f t="shared" si="24"/>
        <v>7.0999999999997954E-2</v>
      </c>
      <c r="P49" s="11">
        <f t="shared" si="25"/>
        <v>7.0000000000050022E-3</v>
      </c>
      <c r="Q49" s="11">
        <f t="shared" si="26"/>
        <v>7.8000000000002956E-2</v>
      </c>
      <c r="R49" s="1"/>
      <c r="S49" s="3">
        <f t="shared" si="27"/>
        <v>-2.423265306122455E-3</v>
      </c>
      <c r="T49" s="3">
        <f t="shared" si="28"/>
        <v>-3.7194805194805478E-4</v>
      </c>
      <c r="U49" s="3">
        <f t="shared" si="29"/>
        <v>-1.6402721088435472E-3</v>
      </c>
      <c r="V49" s="3">
        <f t="shared" si="30"/>
        <v>7.6471243042669956E-4</v>
      </c>
      <c r="W49" s="3">
        <f t="shared" si="31"/>
        <v>-2.3081014223875058E-4</v>
      </c>
      <c r="X49" s="3">
        <f t="shared" si="32"/>
        <v>1.5802844774273381E-3</v>
      </c>
      <c r="Y49" s="1"/>
      <c r="Z49" s="3">
        <f t="shared" si="18"/>
        <v>-1.9079214597220278</v>
      </c>
      <c r="AA49" s="3">
        <f t="shared" si="19"/>
        <v>-0.29295343676527091</v>
      </c>
      <c r="AB49" s="3">
        <f t="shared" si="20"/>
        <v>-1.2917022253843653</v>
      </c>
      <c r="AC49" s="3">
        <f t="shared" si="21"/>
        <v>0.60228527619529781</v>
      </c>
      <c r="AD49" s="3">
        <f t="shared" si="22"/>
        <v>-0.18179147971962978</v>
      </c>
      <c r="AE49" s="3">
        <f t="shared" si="23"/>
        <v>1.2444775446344229</v>
      </c>
      <c r="AF49" s="1"/>
      <c r="AG49" s="1" t="str" cm="1">
        <f t="array" ref="AG49">_xlfn.IFS(Z49&gt;3,"Strong + Slope",Z49&gt;1.5,"Moderate + Slope",Z49&gt;0.5,"Sideway + Slope",Z49&gt;=-0.5,"Sideway Flat",Z49&gt;=-1.5,"Sideway - Slope",Z49&gt;=-3,"Moderate - Slope",TRUE,"Strong - Slope")</f>
        <v>Moderate - Slope</v>
      </c>
      <c r="AH49" s="1" t="str" cm="1">
        <f t="array" ref="AH49">_xlfn.IFS(AA49&gt;3,"Strong + Slope",AA49&gt;1.5,"Moderate + Slope",AA49&gt;0.5,"Sideway + Slope",AA49&gt;=-0.5,"Sideway Flat",AA49&gt;=-1.5,"Sideway - Slope",AA49&gt;=-3,"Moderate - Slope",TRUE,"Strong - Slope")</f>
        <v>Sideway Flat</v>
      </c>
      <c r="AI49" s="1" t="str" cm="1">
        <f t="array" ref="AI49">_xlfn.IFS(AB49&gt;3,"Strong + Slope",AB49&gt;1.5,"Moderate + Slope",AB49&gt;0.5,"Sideway + Slope",AB49&gt;=-0.5,"Sideway Flat",AB49&gt;=-1.5,"Sideway - Slope",AB49&gt;=-3,"Moderate - Slope",TRUE,"Strong - Slope")</f>
        <v>Sideway - Slope</v>
      </c>
      <c r="AJ49" s="1" t="str" cm="1">
        <f t="array" ref="AJ49">_xlfn.IFS(AC49&gt;3,"Strong + Slope",AC49&gt;1.5,"Moderate + Slope",AC49&gt;0.5,"Sideway + Slope",AC49&gt;=-0.5,"Sideway Flat",AC49&gt;=-1.5,"Sideway - Slope",AC49&gt;=-3,"Moderate - Slope",TRUE,"Strong - Slope")</f>
        <v>Sideway + Slope</v>
      </c>
      <c r="AK49" s="1" t="str" cm="1">
        <f t="array" ref="AK49">_xlfn.IFS(AD49&gt;3,"Strong + Slope",AD49&gt;1.5,"Moderate + Slope",AD49&gt;0.5,"Sideway + Slope",AD49&gt;=-0.5,"Sideway Flat",AD49&gt;=-1.5,"Sideway - Slope",AD49&gt;=-3,"Moderate - Slope",TRUE,"Strong - Slope")</f>
        <v>Sideway Flat</v>
      </c>
      <c r="AL49" s="1" t="str" cm="1">
        <f t="array" ref="AL49">_xlfn.IFS(AE49&gt;3,"Strong + Slope",AE49&gt;1.5,"Moderate + Slope",AE49&gt;0.5,"Sideway + Slope",AE49&gt;=-0.5,"Sideway Flat",AE49&gt;=-1.5,"Sideway - Slope",AE49&gt;=-3,"Moderate - Slope",TRUE,"Strong - Slope")</f>
        <v>Sideway + Slope</v>
      </c>
    </row>
    <row r="50" spans="1:38" x14ac:dyDescent="0.55000000000000004">
      <c r="A50" s="1">
        <v>46</v>
      </c>
      <c r="B50" s="1" t="s">
        <v>49</v>
      </c>
      <c r="C50" s="1" t="s">
        <v>4</v>
      </c>
      <c r="D50" s="1" t="s">
        <v>103</v>
      </c>
      <c r="E50" s="1">
        <v>152.74299999999999</v>
      </c>
      <c r="F50" s="1">
        <v>152.69800000000001</v>
      </c>
      <c r="G50" s="1">
        <v>152.69800000000001</v>
      </c>
      <c r="H50" s="1">
        <v>152.929</v>
      </c>
      <c r="I50" s="1">
        <v>152.89400000000001</v>
      </c>
      <c r="J50" s="1">
        <v>153.197</v>
      </c>
      <c r="K50" s="1">
        <v>152.595</v>
      </c>
      <c r="L50" s="1">
        <v>152.59299999999999</v>
      </c>
      <c r="M50" s="1">
        <v>152.839</v>
      </c>
      <c r="N50" s="11">
        <f t="shared" si="17"/>
        <v>4.4999999999987494E-2</v>
      </c>
      <c r="O50" s="11">
        <f t="shared" si="24"/>
        <v>4.9999999999954525E-3</v>
      </c>
      <c r="P50" s="11">
        <f t="shared" si="25"/>
        <v>3.9999999999992042E-2</v>
      </c>
      <c r="Q50" s="11">
        <f t="shared" si="26"/>
        <v>4.4999999999987494E-2</v>
      </c>
      <c r="R50" s="1"/>
      <c r="S50" s="3">
        <f t="shared" si="27"/>
        <v>-2.423265306122455E-3</v>
      </c>
      <c r="T50" s="3">
        <f t="shared" si="28"/>
        <v>-3.7194805194805478E-4</v>
      </c>
      <c r="U50" s="3">
        <f t="shared" si="29"/>
        <v>-1.6402721088435472E-3</v>
      </c>
      <c r="V50" s="3">
        <f t="shared" si="30"/>
        <v>7.6471243042669956E-4</v>
      </c>
      <c r="W50" s="3">
        <f t="shared" si="31"/>
        <v>-2.3081014223875058E-4</v>
      </c>
      <c r="X50" s="3">
        <f t="shared" si="32"/>
        <v>1.5802844774273381E-3</v>
      </c>
      <c r="Y50" s="1"/>
      <c r="Z50" s="3">
        <f t="shared" si="18"/>
        <v>-1.9079214597220278</v>
      </c>
      <c r="AA50" s="3">
        <f t="shared" si="19"/>
        <v>-0.29295343676527091</v>
      </c>
      <c r="AB50" s="3">
        <f t="shared" si="20"/>
        <v>-1.2917022253843653</v>
      </c>
      <c r="AC50" s="3">
        <f t="shared" si="21"/>
        <v>0.60228527619529781</v>
      </c>
      <c r="AD50" s="3">
        <f t="shared" si="22"/>
        <v>-0.18179147971962978</v>
      </c>
      <c r="AE50" s="3">
        <f t="shared" si="23"/>
        <v>1.2444775446344229</v>
      </c>
      <c r="AF50" s="1"/>
      <c r="AG50" s="1" t="str" cm="1">
        <f t="array" ref="AG50">_xlfn.IFS(Z50&gt;3,"Strong + Slope",Z50&gt;1.5,"Moderate + Slope",Z50&gt;0.5,"Sideway + Slope",Z50&gt;=-0.5,"Sideway Flat",Z50&gt;=-1.5,"Sideway - Slope",Z50&gt;=-3,"Moderate - Slope",TRUE,"Strong - Slope")</f>
        <v>Moderate - Slope</v>
      </c>
      <c r="AH50" s="1" t="str" cm="1">
        <f t="array" ref="AH50">_xlfn.IFS(AA50&gt;3,"Strong + Slope",AA50&gt;1.5,"Moderate + Slope",AA50&gt;0.5,"Sideway + Slope",AA50&gt;=-0.5,"Sideway Flat",AA50&gt;=-1.5,"Sideway - Slope",AA50&gt;=-3,"Moderate - Slope",TRUE,"Strong - Slope")</f>
        <v>Sideway Flat</v>
      </c>
      <c r="AI50" s="1" t="str" cm="1">
        <f t="array" ref="AI50">_xlfn.IFS(AB50&gt;3,"Strong + Slope",AB50&gt;1.5,"Moderate + Slope",AB50&gt;0.5,"Sideway + Slope",AB50&gt;=-0.5,"Sideway Flat",AB50&gt;=-1.5,"Sideway - Slope",AB50&gt;=-3,"Moderate - Slope",TRUE,"Strong - Slope")</f>
        <v>Sideway - Slope</v>
      </c>
      <c r="AJ50" s="1" t="str" cm="1">
        <f t="array" ref="AJ50">_xlfn.IFS(AC50&gt;3,"Strong + Slope",AC50&gt;1.5,"Moderate + Slope",AC50&gt;0.5,"Sideway + Slope",AC50&gt;=-0.5,"Sideway Flat",AC50&gt;=-1.5,"Sideway - Slope",AC50&gt;=-3,"Moderate - Slope",TRUE,"Strong - Slope")</f>
        <v>Sideway + Slope</v>
      </c>
      <c r="AK50" s="1" t="str" cm="1">
        <f t="array" ref="AK50">_xlfn.IFS(AD50&gt;3,"Strong + Slope",AD50&gt;1.5,"Moderate + Slope",AD50&gt;0.5,"Sideway + Slope",AD50&gt;=-0.5,"Sideway Flat",AD50&gt;=-1.5,"Sideway - Slope",AD50&gt;=-3,"Moderate - Slope",TRUE,"Strong - Slope")</f>
        <v>Sideway Flat</v>
      </c>
      <c r="AL50" s="1" t="str" cm="1">
        <f t="array" ref="AL50">_xlfn.IFS(AE50&gt;3,"Strong + Slope",AE50&gt;1.5,"Moderate + Slope",AE50&gt;0.5,"Sideway + Slope",AE50&gt;=-0.5,"Sideway Flat",AE50&gt;=-1.5,"Sideway - Slope",AE50&gt;=-3,"Moderate - Slope",TRUE,"Strong - Slope")</f>
        <v>Sideway + Slope</v>
      </c>
    </row>
    <row r="51" spans="1:38" x14ac:dyDescent="0.55000000000000004">
      <c r="A51" s="1">
        <v>47</v>
      </c>
      <c r="B51" s="1" t="s">
        <v>50</v>
      </c>
      <c r="C51" s="1" t="s">
        <v>4</v>
      </c>
      <c r="D51" s="1" t="s">
        <v>103</v>
      </c>
      <c r="E51" s="1">
        <v>152.81899999999999</v>
      </c>
      <c r="F51" s="1">
        <v>152.69800000000001</v>
      </c>
      <c r="G51" s="1">
        <v>152.81299999999999</v>
      </c>
      <c r="H51" s="1">
        <v>152.92699999999999</v>
      </c>
      <c r="I51" s="1">
        <v>152.89400000000001</v>
      </c>
      <c r="J51" s="1">
        <v>153.19499999999999</v>
      </c>
      <c r="K51" s="1">
        <v>152.595</v>
      </c>
      <c r="L51" s="1">
        <v>152.59200000000001</v>
      </c>
      <c r="M51" s="1">
        <v>152.84100000000001</v>
      </c>
      <c r="N51" s="11">
        <f t="shared" si="17"/>
        <v>0.1209999999999809</v>
      </c>
      <c r="O51" s="11">
        <f t="shared" si="24"/>
        <v>0.1209999999999809</v>
      </c>
      <c r="P51" s="11">
        <f t="shared" si="25"/>
        <v>0</v>
      </c>
      <c r="Q51" s="11">
        <f t="shared" si="26"/>
        <v>0.1209999999999809</v>
      </c>
      <c r="R51" s="1"/>
      <c r="S51" s="3">
        <f t="shared" si="27"/>
        <v>-2.423265306122455E-3</v>
      </c>
      <c r="T51" s="3">
        <f t="shared" si="28"/>
        <v>-3.7194805194805478E-4</v>
      </c>
      <c r="U51" s="3">
        <f t="shared" si="29"/>
        <v>-1.6402721088435472E-3</v>
      </c>
      <c r="V51" s="3">
        <f t="shared" si="30"/>
        <v>7.6471243042669956E-4</v>
      </c>
      <c r="W51" s="3">
        <f t="shared" si="31"/>
        <v>-2.3081014223875058E-4</v>
      </c>
      <c r="X51" s="3">
        <f t="shared" si="32"/>
        <v>1.5802844774273381E-3</v>
      </c>
      <c r="Y51" s="1"/>
      <c r="Z51" s="3">
        <f t="shared" si="18"/>
        <v>-1.9079214597220278</v>
      </c>
      <c r="AA51" s="3">
        <f t="shared" si="19"/>
        <v>-0.29295343676527091</v>
      </c>
      <c r="AB51" s="3">
        <f t="shared" si="20"/>
        <v>-1.2917022253843653</v>
      </c>
      <c r="AC51" s="3">
        <f t="shared" si="21"/>
        <v>0.60228527619529781</v>
      </c>
      <c r="AD51" s="3">
        <f t="shared" si="22"/>
        <v>-0.18179147971962978</v>
      </c>
      <c r="AE51" s="3">
        <f t="shared" si="23"/>
        <v>1.2444775446344229</v>
      </c>
      <c r="AF51" s="1"/>
      <c r="AG51" s="1" t="str" cm="1">
        <f t="array" ref="AG51">_xlfn.IFS(Z51&gt;3,"Strong + Slope",Z51&gt;1.5,"Moderate + Slope",Z51&gt;0.5,"Sideway + Slope",Z51&gt;=-0.5,"Sideway Flat",Z51&gt;=-1.5,"Sideway - Slope",Z51&gt;=-3,"Moderate - Slope",TRUE,"Strong - Slope")</f>
        <v>Moderate - Slope</v>
      </c>
      <c r="AH51" s="1" t="str" cm="1">
        <f t="array" ref="AH51">_xlfn.IFS(AA51&gt;3,"Strong + Slope",AA51&gt;1.5,"Moderate + Slope",AA51&gt;0.5,"Sideway + Slope",AA51&gt;=-0.5,"Sideway Flat",AA51&gt;=-1.5,"Sideway - Slope",AA51&gt;=-3,"Moderate - Slope",TRUE,"Strong - Slope")</f>
        <v>Sideway Flat</v>
      </c>
      <c r="AI51" s="1" t="str" cm="1">
        <f t="array" ref="AI51">_xlfn.IFS(AB51&gt;3,"Strong + Slope",AB51&gt;1.5,"Moderate + Slope",AB51&gt;0.5,"Sideway + Slope",AB51&gt;=-0.5,"Sideway Flat",AB51&gt;=-1.5,"Sideway - Slope",AB51&gt;=-3,"Moderate - Slope",TRUE,"Strong - Slope")</f>
        <v>Sideway - Slope</v>
      </c>
      <c r="AJ51" s="1" t="str" cm="1">
        <f t="array" ref="AJ51">_xlfn.IFS(AC51&gt;3,"Strong + Slope",AC51&gt;1.5,"Moderate + Slope",AC51&gt;0.5,"Sideway + Slope",AC51&gt;=-0.5,"Sideway Flat",AC51&gt;=-1.5,"Sideway - Slope",AC51&gt;=-3,"Moderate - Slope",TRUE,"Strong - Slope")</f>
        <v>Sideway + Slope</v>
      </c>
      <c r="AK51" s="1" t="str" cm="1">
        <f t="array" ref="AK51">_xlfn.IFS(AD51&gt;3,"Strong + Slope",AD51&gt;1.5,"Moderate + Slope",AD51&gt;0.5,"Sideway + Slope",AD51&gt;=-0.5,"Sideway Flat",AD51&gt;=-1.5,"Sideway - Slope",AD51&gt;=-3,"Moderate - Slope",TRUE,"Strong - Slope")</f>
        <v>Sideway Flat</v>
      </c>
      <c r="AL51" s="1" t="str" cm="1">
        <f t="array" ref="AL51">_xlfn.IFS(AE51&gt;3,"Strong + Slope",AE51&gt;1.5,"Moderate + Slope",AE51&gt;0.5,"Sideway + Slope",AE51&gt;=-0.5,"Sideway Flat",AE51&gt;=-1.5,"Sideway - Slope",AE51&gt;=-3,"Moderate - Slope",TRUE,"Strong - Slope")</f>
        <v>Sideway + Slope</v>
      </c>
    </row>
    <row r="52" spans="1:38" x14ac:dyDescent="0.55000000000000004">
      <c r="A52" s="1">
        <v>48</v>
      </c>
      <c r="B52" s="1" t="s">
        <v>51</v>
      </c>
      <c r="C52" s="1" t="s">
        <v>4</v>
      </c>
      <c r="D52" s="1" t="s">
        <v>103</v>
      </c>
      <c r="E52" s="1">
        <v>152.82300000000001</v>
      </c>
      <c r="F52" s="1">
        <v>152.78899999999999</v>
      </c>
      <c r="G52" s="1">
        <v>152.81899999999999</v>
      </c>
      <c r="H52" s="1">
        <v>152.92400000000001</v>
      </c>
      <c r="I52" s="1">
        <v>152.89400000000001</v>
      </c>
      <c r="J52" s="1">
        <v>153.19399999999999</v>
      </c>
      <c r="K52" s="1">
        <v>152.596</v>
      </c>
      <c r="L52" s="1">
        <v>152.59200000000001</v>
      </c>
      <c r="M52" s="1">
        <v>152.84200000000001</v>
      </c>
      <c r="N52" s="11">
        <f t="shared" si="17"/>
        <v>3.4000000000020236E-2</v>
      </c>
      <c r="O52" s="11">
        <f t="shared" si="24"/>
        <v>1.0000000000019327E-2</v>
      </c>
      <c r="P52" s="11">
        <f t="shared" si="25"/>
        <v>2.4000000000000909E-2</v>
      </c>
      <c r="Q52" s="11">
        <f t="shared" si="26"/>
        <v>3.4000000000020236E-2</v>
      </c>
      <c r="R52" s="1"/>
      <c r="S52" s="3">
        <f t="shared" si="27"/>
        <v>-2.423265306122455E-3</v>
      </c>
      <c r="T52" s="3">
        <f t="shared" si="28"/>
        <v>-3.7194805194805478E-4</v>
      </c>
      <c r="U52" s="3">
        <f t="shared" si="29"/>
        <v>-1.6402721088435472E-3</v>
      </c>
      <c r="V52" s="3">
        <f t="shared" si="30"/>
        <v>7.6471243042669956E-4</v>
      </c>
      <c r="W52" s="3">
        <f t="shared" si="31"/>
        <v>-2.3081014223875058E-4</v>
      </c>
      <c r="X52" s="3">
        <f t="shared" si="32"/>
        <v>1.5802844774273381E-3</v>
      </c>
      <c r="Y52" s="1"/>
      <c r="Z52" s="3">
        <f t="shared" si="18"/>
        <v>-1.9079214597220278</v>
      </c>
      <c r="AA52" s="3">
        <f t="shared" si="19"/>
        <v>-0.29295343676527091</v>
      </c>
      <c r="AB52" s="3">
        <f t="shared" si="20"/>
        <v>-1.2917022253843653</v>
      </c>
      <c r="AC52" s="3">
        <f t="shared" si="21"/>
        <v>0.60228527619529781</v>
      </c>
      <c r="AD52" s="3">
        <f t="shared" si="22"/>
        <v>-0.18179147971962978</v>
      </c>
      <c r="AE52" s="3">
        <f t="shared" si="23"/>
        <v>1.2444775446344229</v>
      </c>
      <c r="AF52" s="1"/>
      <c r="AG52" s="1" t="str" cm="1">
        <f t="array" ref="AG52">_xlfn.IFS(Z52&gt;3,"Strong + Slope",Z52&gt;1.5,"Moderate + Slope",Z52&gt;0.5,"Sideway + Slope",Z52&gt;=-0.5,"Sideway Flat",Z52&gt;=-1.5,"Sideway - Slope",Z52&gt;=-3,"Moderate - Slope",TRUE,"Strong - Slope")</f>
        <v>Moderate - Slope</v>
      </c>
      <c r="AH52" s="1" t="str" cm="1">
        <f t="array" ref="AH52">_xlfn.IFS(AA52&gt;3,"Strong + Slope",AA52&gt;1.5,"Moderate + Slope",AA52&gt;0.5,"Sideway + Slope",AA52&gt;=-0.5,"Sideway Flat",AA52&gt;=-1.5,"Sideway - Slope",AA52&gt;=-3,"Moderate - Slope",TRUE,"Strong - Slope")</f>
        <v>Sideway Flat</v>
      </c>
      <c r="AI52" s="1" t="str" cm="1">
        <f t="array" ref="AI52">_xlfn.IFS(AB52&gt;3,"Strong + Slope",AB52&gt;1.5,"Moderate + Slope",AB52&gt;0.5,"Sideway + Slope",AB52&gt;=-0.5,"Sideway Flat",AB52&gt;=-1.5,"Sideway - Slope",AB52&gt;=-3,"Moderate - Slope",TRUE,"Strong - Slope")</f>
        <v>Sideway - Slope</v>
      </c>
      <c r="AJ52" s="1" t="str" cm="1">
        <f t="array" ref="AJ52">_xlfn.IFS(AC52&gt;3,"Strong + Slope",AC52&gt;1.5,"Moderate + Slope",AC52&gt;0.5,"Sideway + Slope",AC52&gt;=-0.5,"Sideway Flat",AC52&gt;=-1.5,"Sideway - Slope",AC52&gt;=-3,"Moderate - Slope",TRUE,"Strong - Slope")</f>
        <v>Sideway + Slope</v>
      </c>
      <c r="AK52" s="1" t="str" cm="1">
        <f t="array" ref="AK52">_xlfn.IFS(AD52&gt;3,"Strong + Slope",AD52&gt;1.5,"Moderate + Slope",AD52&gt;0.5,"Sideway + Slope",AD52&gt;=-0.5,"Sideway Flat",AD52&gt;=-1.5,"Sideway - Slope",AD52&gt;=-3,"Moderate - Slope",TRUE,"Strong - Slope")</f>
        <v>Sideway Flat</v>
      </c>
      <c r="AL52" s="1" t="str" cm="1">
        <f t="array" ref="AL52">_xlfn.IFS(AE52&gt;3,"Strong + Slope",AE52&gt;1.5,"Moderate + Slope",AE52&gt;0.5,"Sideway + Slope",AE52&gt;=-0.5,"Sideway Flat",AE52&gt;=-1.5,"Sideway - Slope",AE52&gt;=-3,"Moderate - Slope",TRUE,"Strong - Slope")</f>
        <v>Sideway + Slope</v>
      </c>
    </row>
    <row r="53" spans="1:38" x14ac:dyDescent="0.55000000000000004">
      <c r="A53" s="1">
        <v>49</v>
      </c>
      <c r="B53" s="1" t="s">
        <v>52</v>
      </c>
      <c r="C53" s="1" t="s">
        <v>4</v>
      </c>
      <c r="D53" s="1" t="s">
        <v>103</v>
      </c>
      <c r="E53" s="1">
        <v>152.87100000000001</v>
      </c>
      <c r="F53" s="1">
        <v>152.798</v>
      </c>
      <c r="G53" s="1">
        <v>152.816</v>
      </c>
      <c r="H53" s="1">
        <v>152.922</v>
      </c>
      <c r="I53" s="1">
        <v>152.893</v>
      </c>
      <c r="J53" s="1">
        <v>153.19200000000001</v>
      </c>
      <c r="K53" s="1">
        <v>152.59700000000001</v>
      </c>
      <c r="L53" s="1">
        <v>152.59200000000001</v>
      </c>
      <c r="M53" s="1">
        <v>152.84399999999999</v>
      </c>
      <c r="N53" s="11">
        <f t="shared" si="17"/>
        <v>7.3000000000007503E-2</v>
      </c>
      <c r="O53" s="11">
        <f t="shared" si="24"/>
        <v>5.2000000000020918E-2</v>
      </c>
      <c r="P53" s="11">
        <f t="shared" si="25"/>
        <v>2.0999999999986585E-2</v>
      </c>
      <c r="Q53" s="11">
        <f t="shared" si="26"/>
        <v>7.3000000000007503E-2</v>
      </c>
      <c r="R53" s="1"/>
      <c r="S53" s="3">
        <f t="shared" si="27"/>
        <v>-2.423265306122455E-3</v>
      </c>
      <c r="T53" s="3">
        <f t="shared" si="28"/>
        <v>-3.7194805194805478E-4</v>
      </c>
      <c r="U53" s="3">
        <f t="shared" si="29"/>
        <v>-1.6402721088435472E-3</v>
      </c>
      <c r="V53" s="3">
        <f t="shared" si="30"/>
        <v>7.6471243042669956E-4</v>
      </c>
      <c r="W53" s="3">
        <f t="shared" si="31"/>
        <v>-2.3081014223875058E-4</v>
      </c>
      <c r="X53" s="3">
        <f t="shared" si="32"/>
        <v>1.5802844774273381E-3</v>
      </c>
      <c r="Y53" s="1"/>
      <c r="Z53" s="3">
        <f t="shared" si="18"/>
        <v>-1.9079214597220278</v>
      </c>
      <c r="AA53" s="3">
        <f t="shared" si="19"/>
        <v>-0.29295343676527091</v>
      </c>
      <c r="AB53" s="3">
        <f t="shared" si="20"/>
        <v>-1.2917022253843653</v>
      </c>
      <c r="AC53" s="3">
        <f t="shared" si="21"/>
        <v>0.60228527619529781</v>
      </c>
      <c r="AD53" s="3">
        <f t="shared" si="22"/>
        <v>-0.18179147971962978</v>
      </c>
      <c r="AE53" s="3">
        <f t="shared" si="23"/>
        <v>1.2444775446344229</v>
      </c>
      <c r="AF53" s="1"/>
      <c r="AG53" s="1" t="str" cm="1">
        <f t="array" ref="AG53">_xlfn.IFS(Z53&gt;3,"Strong + Slope",Z53&gt;1.5,"Moderate + Slope",Z53&gt;0.5,"Sideway + Slope",Z53&gt;=-0.5,"Sideway Flat",Z53&gt;=-1.5,"Sideway - Slope",Z53&gt;=-3,"Moderate - Slope",TRUE,"Strong - Slope")</f>
        <v>Moderate - Slope</v>
      </c>
      <c r="AH53" s="1" t="str" cm="1">
        <f t="array" ref="AH53">_xlfn.IFS(AA53&gt;3,"Strong + Slope",AA53&gt;1.5,"Moderate + Slope",AA53&gt;0.5,"Sideway + Slope",AA53&gt;=-0.5,"Sideway Flat",AA53&gt;=-1.5,"Sideway - Slope",AA53&gt;=-3,"Moderate - Slope",TRUE,"Strong - Slope")</f>
        <v>Sideway Flat</v>
      </c>
      <c r="AI53" s="1" t="str" cm="1">
        <f t="array" ref="AI53">_xlfn.IFS(AB53&gt;3,"Strong + Slope",AB53&gt;1.5,"Moderate + Slope",AB53&gt;0.5,"Sideway + Slope",AB53&gt;=-0.5,"Sideway Flat",AB53&gt;=-1.5,"Sideway - Slope",AB53&gt;=-3,"Moderate - Slope",TRUE,"Strong - Slope")</f>
        <v>Sideway - Slope</v>
      </c>
      <c r="AJ53" s="1" t="str" cm="1">
        <f t="array" ref="AJ53">_xlfn.IFS(AC53&gt;3,"Strong + Slope",AC53&gt;1.5,"Moderate + Slope",AC53&gt;0.5,"Sideway + Slope",AC53&gt;=-0.5,"Sideway Flat",AC53&gt;=-1.5,"Sideway - Slope",AC53&gt;=-3,"Moderate - Slope",TRUE,"Strong - Slope")</f>
        <v>Sideway + Slope</v>
      </c>
      <c r="AK53" s="1" t="str" cm="1">
        <f t="array" ref="AK53">_xlfn.IFS(AD53&gt;3,"Strong + Slope",AD53&gt;1.5,"Moderate + Slope",AD53&gt;0.5,"Sideway + Slope",AD53&gt;=-0.5,"Sideway Flat",AD53&gt;=-1.5,"Sideway - Slope",AD53&gt;=-3,"Moderate - Slope",TRUE,"Strong - Slope")</f>
        <v>Sideway Flat</v>
      </c>
      <c r="AL53" s="1" t="str" cm="1">
        <f t="array" ref="AL53">_xlfn.IFS(AE53&gt;3,"Strong + Slope",AE53&gt;1.5,"Moderate + Slope",AE53&gt;0.5,"Sideway + Slope",AE53&gt;=-0.5,"Sideway Flat",AE53&gt;=-1.5,"Sideway - Slope",AE53&gt;=-3,"Moderate - Slope",TRUE,"Strong - Slope")</f>
        <v>Sideway + Slope</v>
      </c>
    </row>
    <row r="54" spans="1:38" x14ac:dyDescent="0.55000000000000004">
      <c r="A54" s="1">
        <v>50</v>
      </c>
      <c r="B54" s="1" t="s">
        <v>53</v>
      </c>
      <c r="C54" s="1" t="s">
        <v>4</v>
      </c>
      <c r="D54" s="1" t="s">
        <v>103</v>
      </c>
      <c r="E54" s="1">
        <v>152.83199999999999</v>
      </c>
      <c r="F54" s="1">
        <v>152.773</v>
      </c>
      <c r="G54" s="1">
        <v>152.82499999999999</v>
      </c>
      <c r="H54" s="1">
        <v>152.91999999999999</v>
      </c>
      <c r="I54" s="1">
        <v>152.893</v>
      </c>
      <c r="J54" s="1">
        <v>153.191</v>
      </c>
      <c r="K54" s="1">
        <v>152.59800000000001</v>
      </c>
      <c r="L54" s="1">
        <v>152.59200000000001</v>
      </c>
      <c r="M54" s="1">
        <v>152.845</v>
      </c>
      <c r="N54" s="11">
        <f t="shared" si="17"/>
        <v>5.8999999999997499E-2</v>
      </c>
      <c r="O54" s="11">
        <f t="shared" si="24"/>
        <v>1.5999999999991132E-2</v>
      </c>
      <c r="P54" s="11">
        <f t="shared" si="25"/>
        <v>4.3000000000006366E-2</v>
      </c>
      <c r="Q54" s="11">
        <f t="shared" si="26"/>
        <v>5.8999999999997499E-2</v>
      </c>
      <c r="R54" s="1"/>
      <c r="S54" s="3">
        <f t="shared" si="27"/>
        <v>-2.423265306122455E-3</v>
      </c>
      <c r="T54" s="3">
        <f t="shared" si="28"/>
        <v>-3.7194805194805478E-4</v>
      </c>
      <c r="U54" s="3">
        <f t="shared" si="29"/>
        <v>-1.6402721088435472E-3</v>
      </c>
      <c r="V54" s="3">
        <f t="shared" si="30"/>
        <v>7.6471243042669956E-4</v>
      </c>
      <c r="W54" s="3">
        <f t="shared" si="31"/>
        <v>-2.3081014223875058E-4</v>
      </c>
      <c r="X54" s="3">
        <f t="shared" si="32"/>
        <v>1.5802844774273381E-3</v>
      </c>
      <c r="Y54" s="1"/>
      <c r="Z54" s="3">
        <f t="shared" si="18"/>
        <v>-1.9079214597220278</v>
      </c>
      <c r="AA54" s="3">
        <f t="shared" si="19"/>
        <v>-0.29295343676527091</v>
      </c>
      <c r="AB54" s="3">
        <f t="shared" si="20"/>
        <v>-1.2917022253843653</v>
      </c>
      <c r="AC54" s="3">
        <f t="shared" si="21"/>
        <v>0.60228527619529781</v>
      </c>
      <c r="AD54" s="3">
        <f t="shared" si="22"/>
        <v>-0.18179147971962978</v>
      </c>
      <c r="AE54" s="3">
        <f t="shared" si="23"/>
        <v>1.2444775446344229</v>
      </c>
      <c r="AF54" s="1"/>
      <c r="AG54" s="1" t="str" cm="1">
        <f t="array" ref="AG54">_xlfn.IFS(Z54&gt;3,"Strong + Slope",Z54&gt;1.5,"Moderate + Slope",Z54&gt;0.5,"Sideway + Slope",Z54&gt;=-0.5,"Sideway Flat",Z54&gt;=-1.5,"Sideway - Slope",Z54&gt;=-3,"Moderate - Slope",TRUE,"Strong - Slope")</f>
        <v>Moderate - Slope</v>
      </c>
      <c r="AH54" s="1" t="str" cm="1">
        <f t="array" ref="AH54">_xlfn.IFS(AA54&gt;3,"Strong + Slope",AA54&gt;1.5,"Moderate + Slope",AA54&gt;0.5,"Sideway + Slope",AA54&gt;=-0.5,"Sideway Flat",AA54&gt;=-1.5,"Sideway - Slope",AA54&gt;=-3,"Moderate - Slope",TRUE,"Strong - Slope")</f>
        <v>Sideway Flat</v>
      </c>
      <c r="AI54" s="1" t="str" cm="1">
        <f t="array" ref="AI54">_xlfn.IFS(AB54&gt;3,"Strong + Slope",AB54&gt;1.5,"Moderate + Slope",AB54&gt;0.5,"Sideway + Slope",AB54&gt;=-0.5,"Sideway Flat",AB54&gt;=-1.5,"Sideway - Slope",AB54&gt;=-3,"Moderate - Slope",TRUE,"Strong - Slope")</f>
        <v>Sideway - Slope</v>
      </c>
      <c r="AJ54" s="1" t="str" cm="1">
        <f t="array" ref="AJ54">_xlfn.IFS(AC54&gt;3,"Strong + Slope",AC54&gt;1.5,"Moderate + Slope",AC54&gt;0.5,"Sideway + Slope",AC54&gt;=-0.5,"Sideway Flat",AC54&gt;=-1.5,"Sideway - Slope",AC54&gt;=-3,"Moderate - Slope",TRUE,"Strong - Slope")</f>
        <v>Sideway + Slope</v>
      </c>
      <c r="AK54" s="1" t="str" cm="1">
        <f t="array" ref="AK54">_xlfn.IFS(AD54&gt;3,"Strong + Slope",AD54&gt;1.5,"Moderate + Slope",AD54&gt;0.5,"Sideway + Slope",AD54&gt;=-0.5,"Sideway Flat",AD54&gt;=-1.5,"Sideway - Slope",AD54&gt;=-3,"Moderate - Slope",TRUE,"Strong - Slope")</f>
        <v>Sideway Flat</v>
      </c>
      <c r="AL54" s="1" t="str" cm="1">
        <f t="array" ref="AL54">_xlfn.IFS(AE54&gt;3,"Strong + Slope",AE54&gt;1.5,"Moderate + Slope",AE54&gt;0.5,"Sideway + Slope",AE54&gt;=-0.5,"Sideway Flat",AE54&gt;=-1.5,"Sideway - Slope",AE54&gt;=-3,"Moderate - Slope",TRUE,"Strong - Slope")</f>
        <v>Sideway + Slope</v>
      </c>
    </row>
    <row r="55" spans="1:38" x14ac:dyDescent="0.55000000000000004">
      <c r="A55" s="1">
        <v>51</v>
      </c>
      <c r="B55" s="1" t="s">
        <v>54</v>
      </c>
      <c r="C55" s="1" t="s">
        <v>4</v>
      </c>
      <c r="D55" s="1" t="s">
        <v>103</v>
      </c>
      <c r="E55" s="1">
        <v>152.833</v>
      </c>
      <c r="F55" s="1">
        <v>152.71799999999999</v>
      </c>
      <c r="G55" s="1">
        <v>152.75299999999999</v>
      </c>
      <c r="H55" s="1">
        <v>152.917</v>
      </c>
      <c r="I55" s="1">
        <v>152.892</v>
      </c>
      <c r="J55" s="1">
        <v>153.18899999999999</v>
      </c>
      <c r="K55" s="1">
        <v>152.59800000000001</v>
      </c>
      <c r="L55" s="1">
        <v>152.59100000000001</v>
      </c>
      <c r="M55" s="1">
        <v>152.84700000000001</v>
      </c>
      <c r="N55" s="11">
        <f t="shared" si="17"/>
        <v>0.11500000000000909</v>
      </c>
      <c r="O55" s="11">
        <f t="shared" si="24"/>
        <v>8.0000000000097771E-3</v>
      </c>
      <c r="P55" s="11">
        <f t="shared" si="25"/>
        <v>0.10699999999999932</v>
      </c>
      <c r="Q55" s="11">
        <f t="shared" si="26"/>
        <v>0.11500000000000909</v>
      </c>
      <c r="R55" s="1"/>
      <c r="S55" s="3">
        <f t="shared" si="27"/>
        <v>-2.423265306122455E-3</v>
      </c>
      <c r="T55" s="3">
        <f t="shared" si="28"/>
        <v>-3.7194805194805478E-4</v>
      </c>
      <c r="U55" s="3">
        <f t="shared" si="29"/>
        <v>-1.6402721088435472E-3</v>
      </c>
      <c r="V55" s="3">
        <f t="shared" si="30"/>
        <v>7.6471243042669956E-4</v>
      </c>
      <c r="W55" s="3">
        <f t="shared" si="31"/>
        <v>-2.3081014223875058E-4</v>
      </c>
      <c r="X55" s="3">
        <f t="shared" si="32"/>
        <v>1.5802844774273381E-3</v>
      </c>
      <c r="Y55" s="1"/>
      <c r="Z55" s="3">
        <f t="shared" si="18"/>
        <v>-1.9079214597220278</v>
      </c>
      <c r="AA55" s="3">
        <f t="shared" si="19"/>
        <v>-0.29295343676527091</v>
      </c>
      <c r="AB55" s="3">
        <f t="shared" si="20"/>
        <v>-1.2917022253843653</v>
      </c>
      <c r="AC55" s="3">
        <f t="shared" si="21"/>
        <v>0.60228527619529781</v>
      </c>
      <c r="AD55" s="3">
        <f t="shared" si="22"/>
        <v>-0.18179147971962978</v>
      </c>
      <c r="AE55" s="3">
        <f t="shared" si="23"/>
        <v>1.2444775446344229</v>
      </c>
      <c r="AF55" s="1"/>
      <c r="AG55" s="1" t="str" cm="1">
        <f t="array" ref="AG55">_xlfn.IFS(Z55&gt;3,"Strong + Slope",Z55&gt;1.5,"Moderate + Slope",Z55&gt;0.5,"Sideway + Slope",Z55&gt;=-0.5,"Sideway Flat",Z55&gt;=-1.5,"Sideway - Slope",Z55&gt;=-3,"Moderate - Slope",TRUE,"Strong - Slope")</f>
        <v>Moderate - Slope</v>
      </c>
      <c r="AH55" s="1" t="str" cm="1">
        <f t="array" ref="AH55">_xlfn.IFS(AA55&gt;3,"Strong + Slope",AA55&gt;1.5,"Moderate + Slope",AA55&gt;0.5,"Sideway + Slope",AA55&gt;=-0.5,"Sideway Flat",AA55&gt;=-1.5,"Sideway - Slope",AA55&gt;=-3,"Moderate - Slope",TRUE,"Strong - Slope")</f>
        <v>Sideway Flat</v>
      </c>
      <c r="AI55" s="1" t="str" cm="1">
        <f t="array" ref="AI55">_xlfn.IFS(AB55&gt;3,"Strong + Slope",AB55&gt;1.5,"Moderate + Slope",AB55&gt;0.5,"Sideway + Slope",AB55&gt;=-0.5,"Sideway Flat",AB55&gt;=-1.5,"Sideway - Slope",AB55&gt;=-3,"Moderate - Slope",TRUE,"Strong - Slope")</f>
        <v>Sideway - Slope</v>
      </c>
      <c r="AJ55" s="1" t="str" cm="1">
        <f t="array" ref="AJ55">_xlfn.IFS(AC55&gt;3,"Strong + Slope",AC55&gt;1.5,"Moderate + Slope",AC55&gt;0.5,"Sideway + Slope",AC55&gt;=-0.5,"Sideway Flat",AC55&gt;=-1.5,"Sideway - Slope",AC55&gt;=-3,"Moderate - Slope",TRUE,"Strong - Slope")</f>
        <v>Sideway + Slope</v>
      </c>
      <c r="AK55" s="1" t="str" cm="1">
        <f t="array" ref="AK55">_xlfn.IFS(AD55&gt;3,"Strong + Slope",AD55&gt;1.5,"Moderate + Slope",AD55&gt;0.5,"Sideway + Slope",AD55&gt;=-0.5,"Sideway Flat",AD55&gt;=-1.5,"Sideway - Slope",AD55&gt;=-3,"Moderate - Slope",TRUE,"Strong - Slope")</f>
        <v>Sideway Flat</v>
      </c>
      <c r="AL55" s="1" t="str" cm="1">
        <f t="array" ref="AL55">_xlfn.IFS(AE55&gt;3,"Strong + Slope",AE55&gt;1.5,"Moderate + Slope",AE55&gt;0.5,"Sideway + Slope",AE55&gt;=-0.5,"Sideway Flat",AE55&gt;=-1.5,"Sideway - Slope",AE55&gt;=-3,"Moderate - Slope",TRUE,"Strong - Slope")</f>
        <v>Sideway + Slope</v>
      </c>
    </row>
    <row r="56" spans="1:38" x14ac:dyDescent="0.55000000000000004">
      <c r="A56" s="1">
        <v>52</v>
      </c>
      <c r="B56" s="1" t="s">
        <v>55</v>
      </c>
      <c r="C56" s="1" t="s">
        <v>4</v>
      </c>
      <c r="D56" s="1" t="s">
        <v>103</v>
      </c>
      <c r="E56" s="1">
        <v>152.827</v>
      </c>
      <c r="F56" s="1">
        <v>152.74700000000001</v>
      </c>
      <c r="G56" s="1">
        <v>152.80600000000001</v>
      </c>
      <c r="H56" s="1">
        <v>152.91499999999999</v>
      </c>
      <c r="I56" s="1">
        <v>152.892</v>
      </c>
      <c r="J56" s="1">
        <v>153.18700000000001</v>
      </c>
      <c r="K56" s="1">
        <v>152.59899999999999</v>
      </c>
      <c r="L56" s="1">
        <v>152.59100000000001</v>
      </c>
      <c r="M56" s="1">
        <v>152.84899999999999</v>
      </c>
      <c r="N56" s="11">
        <f t="shared" si="17"/>
        <v>7.9999999999984084E-2</v>
      </c>
      <c r="O56" s="11">
        <f t="shared" si="24"/>
        <v>7.4000000000012278E-2</v>
      </c>
      <c r="P56" s="11">
        <f t="shared" si="25"/>
        <v>5.9999999999718057E-3</v>
      </c>
      <c r="Q56" s="11">
        <f t="shared" si="26"/>
        <v>7.9999999999984084E-2</v>
      </c>
      <c r="R56" s="1"/>
      <c r="S56" s="3">
        <f t="shared" si="27"/>
        <v>-2.423265306122455E-3</v>
      </c>
      <c r="T56" s="3">
        <f t="shared" si="28"/>
        <v>-3.7194805194805478E-4</v>
      </c>
      <c r="U56" s="3">
        <f t="shared" si="29"/>
        <v>-1.6402721088435472E-3</v>
      </c>
      <c r="V56" s="3">
        <f t="shared" si="30"/>
        <v>7.6471243042669956E-4</v>
      </c>
      <c r="W56" s="3">
        <f t="shared" si="31"/>
        <v>-2.3081014223875058E-4</v>
      </c>
      <c r="X56" s="3">
        <f t="shared" si="32"/>
        <v>1.5802844774273381E-3</v>
      </c>
      <c r="Y56" s="1"/>
      <c r="Z56" s="3">
        <f t="shared" si="18"/>
        <v>-1.9079214597220278</v>
      </c>
      <c r="AA56" s="3">
        <f t="shared" si="19"/>
        <v>-0.29295343676527091</v>
      </c>
      <c r="AB56" s="3">
        <f t="shared" si="20"/>
        <v>-1.2917022253843653</v>
      </c>
      <c r="AC56" s="3">
        <f t="shared" si="21"/>
        <v>0.60228527619529781</v>
      </c>
      <c r="AD56" s="3">
        <f t="shared" si="22"/>
        <v>-0.18179147971962978</v>
      </c>
      <c r="AE56" s="3">
        <f t="shared" si="23"/>
        <v>1.2444775446344229</v>
      </c>
      <c r="AF56" s="1"/>
      <c r="AG56" s="1" t="str" cm="1">
        <f t="array" ref="AG56">_xlfn.IFS(Z56&gt;3,"Strong + Slope",Z56&gt;1.5,"Moderate + Slope",Z56&gt;0.5,"Sideway + Slope",Z56&gt;=-0.5,"Sideway Flat",Z56&gt;=-1.5,"Sideway - Slope",Z56&gt;=-3,"Moderate - Slope",TRUE,"Strong - Slope")</f>
        <v>Moderate - Slope</v>
      </c>
      <c r="AH56" s="1" t="str" cm="1">
        <f t="array" ref="AH56">_xlfn.IFS(AA56&gt;3,"Strong + Slope",AA56&gt;1.5,"Moderate + Slope",AA56&gt;0.5,"Sideway + Slope",AA56&gt;=-0.5,"Sideway Flat",AA56&gt;=-1.5,"Sideway - Slope",AA56&gt;=-3,"Moderate - Slope",TRUE,"Strong - Slope")</f>
        <v>Sideway Flat</v>
      </c>
      <c r="AI56" s="1" t="str" cm="1">
        <f t="array" ref="AI56">_xlfn.IFS(AB56&gt;3,"Strong + Slope",AB56&gt;1.5,"Moderate + Slope",AB56&gt;0.5,"Sideway + Slope",AB56&gt;=-0.5,"Sideway Flat",AB56&gt;=-1.5,"Sideway - Slope",AB56&gt;=-3,"Moderate - Slope",TRUE,"Strong - Slope")</f>
        <v>Sideway - Slope</v>
      </c>
      <c r="AJ56" s="1" t="str" cm="1">
        <f t="array" ref="AJ56">_xlfn.IFS(AC56&gt;3,"Strong + Slope",AC56&gt;1.5,"Moderate + Slope",AC56&gt;0.5,"Sideway + Slope",AC56&gt;=-0.5,"Sideway Flat",AC56&gt;=-1.5,"Sideway - Slope",AC56&gt;=-3,"Moderate - Slope",TRUE,"Strong - Slope")</f>
        <v>Sideway + Slope</v>
      </c>
      <c r="AK56" s="1" t="str" cm="1">
        <f t="array" ref="AK56">_xlfn.IFS(AD56&gt;3,"Strong + Slope",AD56&gt;1.5,"Moderate + Slope",AD56&gt;0.5,"Sideway + Slope",AD56&gt;=-0.5,"Sideway Flat",AD56&gt;=-1.5,"Sideway - Slope",AD56&gt;=-3,"Moderate - Slope",TRUE,"Strong - Slope")</f>
        <v>Sideway Flat</v>
      </c>
      <c r="AL56" s="1" t="str" cm="1">
        <f t="array" ref="AL56">_xlfn.IFS(AE56&gt;3,"Strong + Slope",AE56&gt;1.5,"Moderate + Slope",AE56&gt;0.5,"Sideway + Slope",AE56&gt;=-0.5,"Sideway Flat",AE56&gt;=-1.5,"Sideway - Slope",AE56&gt;=-3,"Moderate - Slope",TRUE,"Strong - Slope")</f>
        <v>Sideway + Slope</v>
      </c>
    </row>
    <row r="57" spans="1:38" x14ac:dyDescent="0.55000000000000004">
      <c r="A57" s="1">
        <v>53</v>
      </c>
      <c r="B57" s="1" t="s">
        <v>56</v>
      </c>
      <c r="C57" s="1" t="s">
        <v>4</v>
      </c>
      <c r="D57" s="1" t="s">
        <v>103</v>
      </c>
      <c r="E57" s="1">
        <v>152.82400000000001</v>
      </c>
      <c r="F57" s="1">
        <v>152.761</v>
      </c>
      <c r="G57" s="1">
        <v>152.78800000000001</v>
      </c>
      <c r="H57" s="1">
        <v>152.91200000000001</v>
      </c>
      <c r="I57" s="1">
        <v>152.892</v>
      </c>
      <c r="J57" s="1">
        <v>153.18600000000001</v>
      </c>
      <c r="K57" s="1">
        <v>152.6</v>
      </c>
      <c r="L57" s="1">
        <v>152.59100000000001</v>
      </c>
      <c r="M57" s="1">
        <v>152.85</v>
      </c>
      <c r="N57" s="11">
        <f t="shared" si="17"/>
        <v>6.3000000000016598E-2</v>
      </c>
      <c r="O57" s="11">
        <f t="shared" si="24"/>
        <v>1.8000000000000682E-2</v>
      </c>
      <c r="P57" s="11">
        <f t="shared" si="25"/>
        <v>4.5000000000015916E-2</v>
      </c>
      <c r="Q57" s="11">
        <f t="shared" si="26"/>
        <v>6.3000000000016598E-2</v>
      </c>
      <c r="R57" s="1"/>
      <c r="S57" s="3">
        <f t="shared" si="27"/>
        <v>-2.423265306122455E-3</v>
      </c>
      <c r="T57" s="3">
        <f t="shared" si="28"/>
        <v>-3.7194805194805478E-4</v>
      </c>
      <c r="U57" s="3">
        <f t="shared" si="29"/>
        <v>-1.6402721088435472E-3</v>
      </c>
      <c r="V57" s="3">
        <f t="shared" si="30"/>
        <v>7.6471243042669956E-4</v>
      </c>
      <c r="W57" s="3">
        <f t="shared" si="31"/>
        <v>-2.3081014223875058E-4</v>
      </c>
      <c r="X57" s="3">
        <f t="shared" si="32"/>
        <v>1.5802844774273381E-3</v>
      </c>
      <c r="Y57" s="1"/>
      <c r="Z57" s="3">
        <f t="shared" si="18"/>
        <v>-1.9079214597220278</v>
      </c>
      <c r="AA57" s="3">
        <f t="shared" si="19"/>
        <v>-0.29295343676527091</v>
      </c>
      <c r="AB57" s="3">
        <f t="shared" si="20"/>
        <v>-1.2917022253843653</v>
      </c>
      <c r="AC57" s="3">
        <f t="shared" si="21"/>
        <v>0.60228527619529781</v>
      </c>
      <c r="AD57" s="3">
        <f t="shared" si="22"/>
        <v>-0.18179147971962978</v>
      </c>
      <c r="AE57" s="3">
        <f t="shared" si="23"/>
        <v>1.2444775446344229</v>
      </c>
      <c r="AF57" s="1"/>
      <c r="AG57" s="1" t="str" cm="1">
        <f t="array" ref="AG57">_xlfn.IFS(Z57&gt;3,"Strong + Slope",Z57&gt;1.5,"Moderate + Slope",Z57&gt;0.5,"Sideway + Slope",Z57&gt;=-0.5,"Sideway Flat",Z57&gt;=-1.5,"Sideway - Slope",Z57&gt;=-3,"Moderate - Slope",TRUE,"Strong - Slope")</f>
        <v>Moderate - Slope</v>
      </c>
      <c r="AH57" s="1" t="str" cm="1">
        <f t="array" ref="AH57">_xlfn.IFS(AA57&gt;3,"Strong + Slope",AA57&gt;1.5,"Moderate + Slope",AA57&gt;0.5,"Sideway + Slope",AA57&gt;=-0.5,"Sideway Flat",AA57&gt;=-1.5,"Sideway - Slope",AA57&gt;=-3,"Moderate - Slope",TRUE,"Strong - Slope")</f>
        <v>Sideway Flat</v>
      </c>
      <c r="AI57" s="1" t="str" cm="1">
        <f t="array" ref="AI57">_xlfn.IFS(AB57&gt;3,"Strong + Slope",AB57&gt;1.5,"Moderate + Slope",AB57&gt;0.5,"Sideway + Slope",AB57&gt;=-0.5,"Sideway Flat",AB57&gt;=-1.5,"Sideway - Slope",AB57&gt;=-3,"Moderate - Slope",TRUE,"Strong - Slope")</f>
        <v>Sideway - Slope</v>
      </c>
      <c r="AJ57" s="1" t="str" cm="1">
        <f t="array" ref="AJ57">_xlfn.IFS(AC57&gt;3,"Strong + Slope",AC57&gt;1.5,"Moderate + Slope",AC57&gt;0.5,"Sideway + Slope",AC57&gt;=-0.5,"Sideway Flat",AC57&gt;=-1.5,"Sideway - Slope",AC57&gt;=-3,"Moderate - Slope",TRUE,"Strong - Slope")</f>
        <v>Sideway + Slope</v>
      </c>
      <c r="AK57" s="1" t="str" cm="1">
        <f t="array" ref="AK57">_xlfn.IFS(AD57&gt;3,"Strong + Slope",AD57&gt;1.5,"Moderate + Slope",AD57&gt;0.5,"Sideway + Slope",AD57&gt;=-0.5,"Sideway Flat",AD57&gt;=-1.5,"Sideway - Slope",AD57&gt;=-3,"Moderate - Slope",TRUE,"Strong - Slope")</f>
        <v>Sideway Flat</v>
      </c>
      <c r="AL57" s="1" t="str" cm="1">
        <f t="array" ref="AL57">_xlfn.IFS(AE57&gt;3,"Strong + Slope",AE57&gt;1.5,"Moderate + Slope",AE57&gt;0.5,"Sideway + Slope",AE57&gt;=-0.5,"Sideway Flat",AE57&gt;=-1.5,"Sideway - Slope",AE57&gt;=-3,"Moderate - Slope",TRUE,"Strong - Slope")</f>
        <v>Sideway + Slope</v>
      </c>
    </row>
    <row r="58" spans="1:38" x14ac:dyDescent="0.55000000000000004">
      <c r="A58" s="1">
        <v>54</v>
      </c>
      <c r="B58" s="1" t="s">
        <v>57</v>
      </c>
      <c r="C58" s="1" t="s">
        <v>4</v>
      </c>
      <c r="D58" s="1" t="s">
        <v>103</v>
      </c>
      <c r="E58" s="1">
        <v>152.82599999999999</v>
      </c>
      <c r="F58" s="1">
        <v>152.768</v>
      </c>
      <c r="G58" s="1">
        <v>152.81399999999999</v>
      </c>
      <c r="H58" s="1">
        <v>152.91</v>
      </c>
      <c r="I58" s="1">
        <v>152.89099999999999</v>
      </c>
      <c r="J58" s="1">
        <v>153.184</v>
      </c>
      <c r="K58" s="1">
        <v>152.601</v>
      </c>
      <c r="L58" s="1">
        <v>152.59100000000001</v>
      </c>
      <c r="M58" s="1">
        <v>152.852</v>
      </c>
      <c r="N58" s="11">
        <f t="shared" si="17"/>
        <v>5.7999999999992724E-2</v>
      </c>
      <c r="O58" s="11">
        <f t="shared" si="24"/>
        <v>3.7999999999982492E-2</v>
      </c>
      <c r="P58" s="11">
        <f t="shared" si="25"/>
        <v>2.0000000000010232E-2</v>
      </c>
      <c r="Q58" s="11">
        <f t="shared" si="26"/>
        <v>5.7999999999992724E-2</v>
      </c>
      <c r="R58" s="1"/>
      <c r="S58" s="3">
        <f t="shared" si="27"/>
        <v>-2.423265306122455E-3</v>
      </c>
      <c r="T58" s="3">
        <f t="shared" si="28"/>
        <v>-3.7194805194805478E-4</v>
      </c>
      <c r="U58" s="3">
        <f t="shared" si="29"/>
        <v>-1.6402721088435472E-3</v>
      </c>
      <c r="V58" s="3">
        <f t="shared" si="30"/>
        <v>7.6471243042669956E-4</v>
      </c>
      <c r="W58" s="3">
        <f t="shared" si="31"/>
        <v>-2.3081014223875058E-4</v>
      </c>
      <c r="X58" s="3">
        <f t="shared" si="32"/>
        <v>1.5802844774273381E-3</v>
      </c>
      <c r="Y58" s="1"/>
      <c r="Z58" s="3">
        <f t="shared" si="18"/>
        <v>-1.9079214597220278</v>
      </c>
      <c r="AA58" s="3">
        <f t="shared" si="19"/>
        <v>-0.29295343676527091</v>
      </c>
      <c r="AB58" s="3">
        <f t="shared" si="20"/>
        <v>-1.2917022253843653</v>
      </c>
      <c r="AC58" s="3">
        <f t="shared" si="21"/>
        <v>0.60228527619529781</v>
      </c>
      <c r="AD58" s="3">
        <f t="shared" si="22"/>
        <v>-0.18179147971962978</v>
      </c>
      <c r="AE58" s="3">
        <f t="shared" si="23"/>
        <v>1.2444775446344229</v>
      </c>
      <c r="AF58" s="1"/>
      <c r="AG58" s="1" t="str" cm="1">
        <f t="array" ref="AG58">_xlfn.IFS(Z58&gt;3,"Strong + Slope",Z58&gt;1.5,"Moderate + Slope",Z58&gt;0.5,"Sideway + Slope",Z58&gt;=-0.5,"Sideway Flat",Z58&gt;=-1.5,"Sideway - Slope",Z58&gt;=-3,"Moderate - Slope",TRUE,"Strong - Slope")</f>
        <v>Moderate - Slope</v>
      </c>
      <c r="AH58" s="1" t="str" cm="1">
        <f t="array" ref="AH58">_xlfn.IFS(AA58&gt;3,"Strong + Slope",AA58&gt;1.5,"Moderate + Slope",AA58&gt;0.5,"Sideway + Slope",AA58&gt;=-0.5,"Sideway Flat",AA58&gt;=-1.5,"Sideway - Slope",AA58&gt;=-3,"Moderate - Slope",TRUE,"Strong - Slope")</f>
        <v>Sideway Flat</v>
      </c>
      <c r="AI58" s="1" t="str" cm="1">
        <f t="array" ref="AI58">_xlfn.IFS(AB58&gt;3,"Strong + Slope",AB58&gt;1.5,"Moderate + Slope",AB58&gt;0.5,"Sideway + Slope",AB58&gt;=-0.5,"Sideway Flat",AB58&gt;=-1.5,"Sideway - Slope",AB58&gt;=-3,"Moderate - Slope",TRUE,"Strong - Slope")</f>
        <v>Sideway - Slope</v>
      </c>
      <c r="AJ58" s="1" t="str" cm="1">
        <f t="array" ref="AJ58">_xlfn.IFS(AC58&gt;3,"Strong + Slope",AC58&gt;1.5,"Moderate + Slope",AC58&gt;0.5,"Sideway + Slope",AC58&gt;=-0.5,"Sideway Flat",AC58&gt;=-1.5,"Sideway - Slope",AC58&gt;=-3,"Moderate - Slope",TRUE,"Strong - Slope")</f>
        <v>Sideway + Slope</v>
      </c>
      <c r="AK58" s="1" t="str" cm="1">
        <f t="array" ref="AK58">_xlfn.IFS(AD58&gt;3,"Strong + Slope",AD58&gt;1.5,"Moderate + Slope",AD58&gt;0.5,"Sideway + Slope",AD58&gt;=-0.5,"Sideway Flat",AD58&gt;=-1.5,"Sideway - Slope",AD58&gt;=-3,"Moderate - Slope",TRUE,"Strong - Slope")</f>
        <v>Sideway Flat</v>
      </c>
      <c r="AL58" s="1" t="str" cm="1">
        <f t="array" ref="AL58">_xlfn.IFS(AE58&gt;3,"Strong + Slope",AE58&gt;1.5,"Moderate + Slope",AE58&gt;0.5,"Sideway + Slope",AE58&gt;=-0.5,"Sideway Flat",AE58&gt;=-1.5,"Sideway - Slope",AE58&gt;=-3,"Moderate - Slope",TRUE,"Strong - Slope")</f>
        <v>Sideway + Slope</v>
      </c>
    </row>
    <row r="59" spans="1:38" x14ac:dyDescent="0.55000000000000004">
      <c r="A59" s="1">
        <v>55</v>
      </c>
      <c r="B59" s="1" t="s">
        <v>58</v>
      </c>
      <c r="C59" s="1" t="s">
        <v>4</v>
      </c>
      <c r="D59" s="1" t="s">
        <v>103</v>
      </c>
      <c r="E59" s="1">
        <v>152.82400000000001</v>
      </c>
      <c r="F59" s="1">
        <v>152.797</v>
      </c>
      <c r="G59" s="1">
        <v>152.803</v>
      </c>
      <c r="H59" s="1">
        <v>152.90700000000001</v>
      </c>
      <c r="I59" s="1">
        <v>152.89099999999999</v>
      </c>
      <c r="J59" s="1">
        <v>153.18199999999999</v>
      </c>
      <c r="K59" s="1">
        <v>152.601</v>
      </c>
      <c r="L59" s="1">
        <v>152.59</v>
      </c>
      <c r="M59" s="1">
        <v>152.85300000000001</v>
      </c>
      <c r="N59" s="11">
        <f t="shared" si="17"/>
        <v>2.7000000000015234E-2</v>
      </c>
      <c r="O59" s="11">
        <f t="shared" si="24"/>
        <v>1.0000000000019327E-2</v>
      </c>
      <c r="P59" s="11">
        <f t="shared" si="25"/>
        <v>1.6999999999995907E-2</v>
      </c>
      <c r="Q59" s="11">
        <f t="shared" si="26"/>
        <v>2.7000000000015234E-2</v>
      </c>
      <c r="R59" s="1"/>
      <c r="S59" s="3">
        <f t="shared" si="27"/>
        <v>-2.423265306122455E-3</v>
      </c>
      <c r="T59" s="3">
        <f t="shared" si="28"/>
        <v>-3.7194805194805478E-4</v>
      </c>
      <c r="U59" s="3">
        <f t="shared" si="29"/>
        <v>-1.6402721088435472E-3</v>
      </c>
      <c r="V59" s="3">
        <f t="shared" si="30"/>
        <v>7.6471243042669956E-4</v>
      </c>
      <c r="W59" s="3">
        <f t="shared" si="31"/>
        <v>-2.3081014223875058E-4</v>
      </c>
      <c r="X59" s="3">
        <f t="shared" si="32"/>
        <v>1.5802844774273381E-3</v>
      </c>
      <c r="Y59" s="1"/>
      <c r="Z59" s="3">
        <f t="shared" si="18"/>
        <v>-1.9079214597220278</v>
      </c>
      <c r="AA59" s="3">
        <f t="shared" si="19"/>
        <v>-0.29295343676527091</v>
      </c>
      <c r="AB59" s="3">
        <f t="shared" si="20"/>
        <v>-1.2917022253843653</v>
      </c>
      <c r="AC59" s="3">
        <f t="shared" si="21"/>
        <v>0.60228527619529781</v>
      </c>
      <c r="AD59" s="3">
        <f t="shared" si="22"/>
        <v>-0.18179147971962978</v>
      </c>
      <c r="AE59" s="3">
        <f t="shared" si="23"/>
        <v>1.2444775446344229</v>
      </c>
      <c r="AF59" s="1"/>
      <c r="AG59" s="1" t="str" cm="1">
        <f t="array" ref="AG59">_xlfn.IFS(Z59&gt;3,"Strong + Slope",Z59&gt;1.5,"Moderate + Slope",Z59&gt;0.5,"Sideway + Slope",Z59&gt;=-0.5,"Sideway Flat",Z59&gt;=-1.5,"Sideway - Slope",Z59&gt;=-3,"Moderate - Slope",TRUE,"Strong - Slope")</f>
        <v>Moderate - Slope</v>
      </c>
      <c r="AH59" s="1" t="str" cm="1">
        <f t="array" ref="AH59">_xlfn.IFS(AA59&gt;3,"Strong + Slope",AA59&gt;1.5,"Moderate + Slope",AA59&gt;0.5,"Sideway + Slope",AA59&gt;=-0.5,"Sideway Flat",AA59&gt;=-1.5,"Sideway - Slope",AA59&gt;=-3,"Moderate - Slope",TRUE,"Strong - Slope")</f>
        <v>Sideway Flat</v>
      </c>
      <c r="AI59" s="1" t="str" cm="1">
        <f t="array" ref="AI59">_xlfn.IFS(AB59&gt;3,"Strong + Slope",AB59&gt;1.5,"Moderate + Slope",AB59&gt;0.5,"Sideway + Slope",AB59&gt;=-0.5,"Sideway Flat",AB59&gt;=-1.5,"Sideway - Slope",AB59&gt;=-3,"Moderate - Slope",TRUE,"Strong - Slope")</f>
        <v>Sideway - Slope</v>
      </c>
      <c r="AJ59" s="1" t="str" cm="1">
        <f t="array" ref="AJ59">_xlfn.IFS(AC59&gt;3,"Strong + Slope",AC59&gt;1.5,"Moderate + Slope",AC59&gt;0.5,"Sideway + Slope",AC59&gt;=-0.5,"Sideway Flat",AC59&gt;=-1.5,"Sideway - Slope",AC59&gt;=-3,"Moderate - Slope",TRUE,"Strong - Slope")</f>
        <v>Sideway + Slope</v>
      </c>
      <c r="AK59" s="1" t="str" cm="1">
        <f t="array" ref="AK59">_xlfn.IFS(AD59&gt;3,"Strong + Slope",AD59&gt;1.5,"Moderate + Slope",AD59&gt;0.5,"Sideway + Slope",AD59&gt;=-0.5,"Sideway Flat",AD59&gt;=-1.5,"Sideway - Slope",AD59&gt;=-3,"Moderate - Slope",TRUE,"Strong - Slope")</f>
        <v>Sideway Flat</v>
      </c>
      <c r="AL59" s="1" t="str" cm="1">
        <f t="array" ref="AL59">_xlfn.IFS(AE59&gt;3,"Strong + Slope",AE59&gt;1.5,"Moderate + Slope",AE59&gt;0.5,"Sideway + Slope",AE59&gt;=-0.5,"Sideway Flat",AE59&gt;=-1.5,"Sideway - Slope",AE59&gt;=-3,"Moderate - Slope",TRUE,"Strong - Slope")</f>
        <v>Sideway + Slope</v>
      </c>
    </row>
    <row r="60" spans="1:38" x14ac:dyDescent="0.55000000000000004">
      <c r="A60" s="1">
        <v>56</v>
      </c>
      <c r="B60" s="1" t="s">
        <v>59</v>
      </c>
      <c r="C60" s="1" t="s">
        <v>4</v>
      </c>
      <c r="D60" s="1" t="s">
        <v>103</v>
      </c>
      <c r="E60" s="1">
        <v>152.84899999999999</v>
      </c>
      <c r="F60" s="1">
        <v>152.80099999999999</v>
      </c>
      <c r="G60" s="1">
        <v>152.83799999999999</v>
      </c>
      <c r="H60" s="1">
        <v>152.905</v>
      </c>
      <c r="I60" s="1">
        <v>152.89099999999999</v>
      </c>
      <c r="J60" s="1">
        <v>153.18100000000001</v>
      </c>
      <c r="K60" s="1">
        <v>152.602</v>
      </c>
      <c r="L60" s="1">
        <v>152.59</v>
      </c>
      <c r="M60" s="1">
        <v>152.85499999999999</v>
      </c>
      <c r="N60" s="11">
        <f t="shared" si="17"/>
        <v>4.8000000000001819E-2</v>
      </c>
      <c r="O60" s="11">
        <f t="shared" si="24"/>
        <v>4.5999999999992269E-2</v>
      </c>
      <c r="P60" s="11">
        <f t="shared" si="25"/>
        <v>2.0000000000095497E-3</v>
      </c>
      <c r="Q60" s="11">
        <f t="shared" si="26"/>
        <v>4.8000000000001819E-2</v>
      </c>
      <c r="R60" s="1"/>
      <c r="S60" s="3">
        <f t="shared" si="27"/>
        <v>-2.423265306122455E-3</v>
      </c>
      <c r="T60" s="3">
        <f t="shared" si="28"/>
        <v>-3.7194805194805478E-4</v>
      </c>
      <c r="U60" s="3">
        <f t="shared" si="29"/>
        <v>-1.6402721088435472E-3</v>
      </c>
      <c r="V60" s="3">
        <f t="shared" si="30"/>
        <v>7.6471243042669956E-4</v>
      </c>
      <c r="W60" s="3">
        <f t="shared" si="31"/>
        <v>-2.3081014223875058E-4</v>
      </c>
      <c r="X60" s="3">
        <f t="shared" si="32"/>
        <v>1.5802844774273381E-3</v>
      </c>
      <c r="Y60" s="1"/>
      <c r="Z60" s="3">
        <f t="shared" si="18"/>
        <v>-1.9079214597220278</v>
      </c>
      <c r="AA60" s="3">
        <f t="shared" si="19"/>
        <v>-0.29295343676527091</v>
      </c>
      <c r="AB60" s="3">
        <f t="shared" si="20"/>
        <v>-1.2917022253843653</v>
      </c>
      <c r="AC60" s="3">
        <f t="shared" si="21"/>
        <v>0.60228527619529781</v>
      </c>
      <c r="AD60" s="3">
        <f t="shared" si="22"/>
        <v>-0.18179147971962978</v>
      </c>
      <c r="AE60" s="3">
        <f t="shared" si="23"/>
        <v>1.2444775446344229</v>
      </c>
      <c r="AF60" s="1"/>
      <c r="AG60" s="1" t="str" cm="1">
        <f t="array" ref="AG60">_xlfn.IFS(Z60&gt;3,"Strong + Slope",Z60&gt;1.5,"Moderate + Slope",Z60&gt;0.5,"Sideway + Slope",Z60&gt;=-0.5,"Sideway Flat",Z60&gt;=-1.5,"Sideway - Slope",Z60&gt;=-3,"Moderate - Slope",TRUE,"Strong - Slope")</f>
        <v>Moderate - Slope</v>
      </c>
      <c r="AH60" s="1" t="str" cm="1">
        <f t="array" ref="AH60">_xlfn.IFS(AA60&gt;3,"Strong + Slope",AA60&gt;1.5,"Moderate + Slope",AA60&gt;0.5,"Sideway + Slope",AA60&gt;=-0.5,"Sideway Flat",AA60&gt;=-1.5,"Sideway - Slope",AA60&gt;=-3,"Moderate - Slope",TRUE,"Strong - Slope")</f>
        <v>Sideway Flat</v>
      </c>
      <c r="AI60" s="1" t="str" cm="1">
        <f t="array" ref="AI60">_xlfn.IFS(AB60&gt;3,"Strong + Slope",AB60&gt;1.5,"Moderate + Slope",AB60&gt;0.5,"Sideway + Slope",AB60&gt;=-0.5,"Sideway Flat",AB60&gt;=-1.5,"Sideway - Slope",AB60&gt;=-3,"Moderate - Slope",TRUE,"Strong - Slope")</f>
        <v>Sideway - Slope</v>
      </c>
      <c r="AJ60" s="1" t="str" cm="1">
        <f t="array" ref="AJ60">_xlfn.IFS(AC60&gt;3,"Strong + Slope",AC60&gt;1.5,"Moderate + Slope",AC60&gt;0.5,"Sideway + Slope",AC60&gt;=-0.5,"Sideway Flat",AC60&gt;=-1.5,"Sideway - Slope",AC60&gt;=-3,"Moderate - Slope",TRUE,"Strong - Slope")</f>
        <v>Sideway + Slope</v>
      </c>
      <c r="AK60" s="1" t="str" cm="1">
        <f t="array" ref="AK60">_xlfn.IFS(AD60&gt;3,"Strong + Slope",AD60&gt;1.5,"Moderate + Slope",AD60&gt;0.5,"Sideway + Slope",AD60&gt;=-0.5,"Sideway Flat",AD60&gt;=-1.5,"Sideway - Slope",AD60&gt;=-3,"Moderate - Slope",TRUE,"Strong - Slope")</f>
        <v>Sideway Flat</v>
      </c>
      <c r="AL60" s="1" t="str" cm="1">
        <f t="array" ref="AL60">_xlfn.IFS(AE60&gt;3,"Strong + Slope",AE60&gt;1.5,"Moderate + Slope",AE60&gt;0.5,"Sideway + Slope",AE60&gt;=-0.5,"Sideway Flat",AE60&gt;=-1.5,"Sideway - Slope",AE60&gt;=-3,"Moderate - Slope",TRUE,"Strong - Slope")</f>
        <v>Sideway + Slope</v>
      </c>
    </row>
    <row r="61" spans="1:38" x14ac:dyDescent="0.55000000000000004">
      <c r="A61" s="1">
        <v>57</v>
      </c>
      <c r="B61" s="1" t="s">
        <v>60</v>
      </c>
      <c r="C61" s="1" t="s">
        <v>4</v>
      </c>
      <c r="D61" s="1" t="s">
        <v>103</v>
      </c>
      <c r="E61" s="1">
        <v>152.87299999999999</v>
      </c>
      <c r="F61" s="1">
        <v>152.83799999999999</v>
      </c>
      <c r="G61" s="1">
        <v>152.864</v>
      </c>
      <c r="H61" s="1">
        <v>152.90299999999999</v>
      </c>
      <c r="I61" s="1">
        <v>152.88999999999999</v>
      </c>
      <c r="J61" s="1">
        <v>153.179</v>
      </c>
      <c r="K61" s="1">
        <v>152.60300000000001</v>
      </c>
      <c r="L61" s="1">
        <v>152.59</v>
      </c>
      <c r="M61" s="1">
        <v>152.857</v>
      </c>
      <c r="N61" s="11">
        <f t="shared" si="17"/>
        <v>3.4999999999996589E-2</v>
      </c>
      <c r="O61" s="11">
        <f t="shared" si="24"/>
        <v>3.4999999999996589E-2</v>
      </c>
      <c r="P61" s="11">
        <f t="shared" si="25"/>
        <v>0</v>
      </c>
      <c r="Q61" s="11">
        <f t="shared" si="26"/>
        <v>3.4999999999996589E-2</v>
      </c>
      <c r="R61" s="1"/>
      <c r="S61" s="3">
        <f t="shared" si="27"/>
        <v>-2.423265306122455E-3</v>
      </c>
      <c r="T61" s="3">
        <f t="shared" si="28"/>
        <v>-3.7194805194805478E-4</v>
      </c>
      <c r="U61" s="3">
        <f t="shared" si="29"/>
        <v>-1.6402721088435472E-3</v>
      </c>
      <c r="V61" s="3">
        <f t="shared" si="30"/>
        <v>7.6471243042669956E-4</v>
      </c>
      <c r="W61" s="3">
        <f t="shared" si="31"/>
        <v>-2.3081014223875058E-4</v>
      </c>
      <c r="X61" s="3">
        <f t="shared" si="32"/>
        <v>1.5802844774273381E-3</v>
      </c>
      <c r="Y61" s="1"/>
      <c r="Z61" s="3">
        <f t="shared" si="18"/>
        <v>-1.9079214597220278</v>
      </c>
      <c r="AA61" s="3">
        <f t="shared" si="19"/>
        <v>-0.29295343676527091</v>
      </c>
      <c r="AB61" s="3">
        <f t="shared" si="20"/>
        <v>-1.2917022253843653</v>
      </c>
      <c r="AC61" s="3">
        <f t="shared" si="21"/>
        <v>0.60228527619529781</v>
      </c>
      <c r="AD61" s="3">
        <f t="shared" si="22"/>
        <v>-0.18179147971962978</v>
      </c>
      <c r="AE61" s="3">
        <f t="shared" si="23"/>
        <v>1.2444775446344229</v>
      </c>
      <c r="AF61" s="1"/>
      <c r="AG61" s="1" t="str" cm="1">
        <f t="array" ref="AG61">_xlfn.IFS(Z61&gt;3,"Strong + Slope",Z61&gt;1.5,"Moderate + Slope",Z61&gt;0.5,"Sideway + Slope",Z61&gt;=-0.5,"Sideway Flat",Z61&gt;=-1.5,"Sideway - Slope",Z61&gt;=-3,"Moderate - Slope",TRUE,"Strong - Slope")</f>
        <v>Moderate - Slope</v>
      </c>
      <c r="AH61" s="1" t="str" cm="1">
        <f t="array" ref="AH61">_xlfn.IFS(AA61&gt;3,"Strong + Slope",AA61&gt;1.5,"Moderate + Slope",AA61&gt;0.5,"Sideway + Slope",AA61&gt;=-0.5,"Sideway Flat",AA61&gt;=-1.5,"Sideway - Slope",AA61&gt;=-3,"Moderate - Slope",TRUE,"Strong - Slope")</f>
        <v>Sideway Flat</v>
      </c>
      <c r="AI61" s="1" t="str" cm="1">
        <f t="array" ref="AI61">_xlfn.IFS(AB61&gt;3,"Strong + Slope",AB61&gt;1.5,"Moderate + Slope",AB61&gt;0.5,"Sideway + Slope",AB61&gt;=-0.5,"Sideway Flat",AB61&gt;=-1.5,"Sideway - Slope",AB61&gt;=-3,"Moderate - Slope",TRUE,"Strong - Slope")</f>
        <v>Sideway - Slope</v>
      </c>
      <c r="AJ61" s="1" t="str" cm="1">
        <f t="array" ref="AJ61">_xlfn.IFS(AC61&gt;3,"Strong + Slope",AC61&gt;1.5,"Moderate + Slope",AC61&gt;0.5,"Sideway + Slope",AC61&gt;=-0.5,"Sideway Flat",AC61&gt;=-1.5,"Sideway - Slope",AC61&gt;=-3,"Moderate - Slope",TRUE,"Strong - Slope")</f>
        <v>Sideway + Slope</v>
      </c>
      <c r="AK61" s="1" t="str" cm="1">
        <f t="array" ref="AK61">_xlfn.IFS(AD61&gt;3,"Strong + Slope",AD61&gt;1.5,"Moderate + Slope",AD61&gt;0.5,"Sideway + Slope",AD61&gt;=-0.5,"Sideway Flat",AD61&gt;=-1.5,"Sideway - Slope",AD61&gt;=-3,"Moderate - Slope",TRUE,"Strong - Slope")</f>
        <v>Sideway Flat</v>
      </c>
      <c r="AL61" s="1" t="str" cm="1">
        <f t="array" ref="AL61">_xlfn.IFS(AE61&gt;3,"Strong + Slope",AE61&gt;1.5,"Moderate + Slope",AE61&gt;0.5,"Sideway + Slope",AE61&gt;=-0.5,"Sideway Flat",AE61&gt;=-1.5,"Sideway - Slope",AE61&gt;=-3,"Moderate - Slope",TRUE,"Strong - Slope")</f>
        <v>Sideway + Slope</v>
      </c>
    </row>
    <row r="62" spans="1:38" x14ac:dyDescent="0.55000000000000004">
      <c r="A62" s="1">
        <v>58</v>
      </c>
      <c r="B62" s="1" t="s">
        <v>61</v>
      </c>
      <c r="C62" s="1" t="s">
        <v>4</v>
      </c>
      <c r="D62" s="1" t="s">
        <v>103</v>
      </c>
      <c r="E62" s="1">
        <v>152.86500000000001</v>
      </c>
      <c r="F62" s="1">
        <v>152.81200000000001</v>
      </c>
      <c r="G62" s="1">
        <v>152.81299999999999</v>
      </c>
      <c r="H62" s="1">
        <v>152.9</v>
      </c>
      <c r="I62" s="1">
        <v>152.88999999999999</v>
      </c>
      <c r="J62" s="1">
        <v>153.17699999999999</v>
      </c>
      <c r="K62" s="1">
        <v>152.60400000000001</v>
      </c>
      <c r="L62" s="1">
        <v>152.59</v>
      </c>
      <c r="M62" s="1">
        <v>152.858</v>
      </c>
      <c r="N62" s="11">
        <f t="shared" si="17"/>
        <v>5.2999999999997272E-2</v>
      </c>
      <c r="O62" s="11">
        <f t="shared" si="24"/>
        <v>1.0000000000047748E-3</v>
      </c>
      <c r="P62" s="11">
        <f t="shared" si="25"/>
        <v>5.1999999999992497E-2</v>
      </c>
      <c r="Q62" s="11">
        <f t="shared" si="26"/>
        <v>5.2999999999997272E-2</v>
      </c>
      <c r="R62" s="1"/>
      <c r="S62" s="3">
        <f t="shared" si="27"/>
        <v>-2.423265306122455E-3</v>
      </c>
      <c r="T62" s="3">
        <f t="shared" si="28"/>
        <v>-3.7194805194805478E-4</v>
      </c>
      <c r="U62" s="3">
        <f t="shared" si="29"/>
        <v>-1.6402721088435472E-3</v>
      </c>
      <c r="V62" s="3">
        <f t="shared" si="30"/>
        <v>7.6471243042669956E-4</v>
      </c>
      <c r="W62" s="3">
        <f t="shared" si="31"/>
        <v>-2.3081014223875058E-4</v>
      </c>
      <c r="X62" s="3">
        <f t="shared" si="32"/>
        <v>1.5802844774273381E-3</v>
      </c>
      <c r="Y62" s="1"/>
      <c r="Z62" s="3">
        <f t="shared" si="18"/>
        <v>-1.9079214597220278</v>
      </c>
      <c r="AA62" s="3">
        <f t="shared" si="19"/>
        <v>-0.29295343676527091</v>
      </c>
      <c r="AB62" s="3">
        <f t="shared" si="20"/>
        <v>-1.2917022253843653</v>
      </c>
      <c r="AC62" s="3">
        <f t="shared" si="21"/>
        <v>0.60228527619529781</v>
      </c>
      <c r="AD62" s="3">
        <f t="shared" si="22"/>
        <v>-0.18179147971962978</v>
      </c>
      <c r="AE62" s="3">
        <f t="shared" si="23"/>
        <v>1.2444775446344229</v>
      </c>
      <c r="AF62" s="1"/>
      <c r="AG62" s="1" t="str" cm="1">
        <f t="array" ref="AG62">_xlfn.IFS(Z62&gt;3,"Strong + Slope",Z62&gt;1.5,"Moderate + Slope",Z62&gt;0.5,"Sideway + Slope",Z62&gt;=-0.5,"Sideway Flat",Z62&gt;=-1.5,"Sideway - Slope",Z62&gt;=-3,"Moderate - Slope",TRUE,"Strong - Slope")</f>
        <v>Moderate - Slope</v>
      </c>
      <c r="AH62" s="1" t="str" cm="1">
        <f t="array" ref="AH62">_xlfn.IFS(AA62&gt;3,"Strong + Slope",AA62&gt;1.5,"Moderate + Slope",AA62&gt;0.5,"Sideway + Slope",AA62&gt;=-0.5,"Sideway Flat",AA62&gt;=-1.5,"Sideway - Slope",AA62&gt;=-3,"Moderate - Slope",TRUE,"Strong - Slope")</f>
        <v>Sideway Flat</v>
      </c>
      <c r="AI62" s="1" t="str" cm="1">
        <f t="array" ref="AI62">_xlfn.IFS(AB62&gt;3,"Strong + Slope",AB62&gt;1.5,"Moderate + Slope",AB62&gt;0.5,"Sideway + Slope",AB62&gt;=-0.5,"Sideway Flat",AB62&gt;=-1.5,"Sideway - Slope",AB62&gt;=-3,"Moderate - Slope",TRUE,"Strong - Slope")</f>
        <v>Sideway - Slope</v>
      </c>
      <c r="AJ62" s="1" t="str" cm="1">
        <f t="array" ref="AJ62">_xlfn.IFS(AC62&gt;3,"Strong + Slope",AC62&gt;1.5,"Moderate + Slope",AC62&gt;0.5,"Sideway + Slope",AC62&gt;=-0.5,"Sideway Flat",AC62&gt;=-1.5,"Sideway - Slope",AC62&gt;=-3,"Moderate - Slope",TRUE,"Strong - Slope")</f>
        <v>Sideway + Slope</v>
      </c>
      <c r="AK62" s="1" t="str" cm="1">
        <f t="array" ref="AK62">_xlfn.IFS(AD62&gt;3,"Strong + Slope",AD62&gt;1.5,"Moderate + Slope",AD62&gt;0.5,"Sideway + Slope",AD62&gt;=-0.5,"Sideway Flat",AD62&gt;=-1.5,"Sideway - Slope",AD62&gt;=-3,"Moderate - Slope",TRUE,"Strong - Slope")</f>
        <v>Sideway Flat</v>
      </c>
      <c r="AL62" s="1" t="str" cm="1">
        <f t="array" ref="AL62">_xlfn.IFS(AE62&gt;3,"Strong + Slope",AE62&gt;1.5,"Moderate + Slope",AE62&gt;0.5,"Sideway + Slope",AE62&gt;=-0.5,"Sideway Flat",AE62&gt;=-1.5,"Sideway - Slope",AE62&gt;=-3,"Moderate - Slope",TRUE,"Strong - Slope")</f>
        <v>Sideway + Slope</v>
      </c>
    </row>
    <row r="63" spans="1:38" x14ac:dyDescent="0.55000000000000004">
      <c r="A63" s="1">
        <v>59</v>
      </c>
      <c r="B63" s="1" t="s">
        <v>62</v>
      </c>
      <c r="C63" s="1" t="s">
        <v>4</v>
      </c>
      <c r="D63" s="1" t="s">
        <v>103</v>
      </c>
      <c r="E63" s="1">
        <v>152.82300000000001</v>
      </c>
      <c r="F63" s="1">
        <v>152.80500000000001</v>
      </c>
      <c r="G63" s="1">
        <v>152.81200000000001</v>
      </c>
      <c r="H63" s="1">
        <v>152.898</v>
      </c>
      <c r="I63" s="1">
        <v>152.88900000000001</v>
      </c>
      <c r="J63" s="1">
        <v>153.17599999999999</v>
      </c>
      <c r="K63" s="1">
        <v>152.60400000000001</v>
      </c>
      <c r="L63" s="1">
        <v>152.59</v>
      </c>
      <c r="M63" s="1">
        <v>152.86000000000001</v>
      </c>
      <c r="N63" s="11">
        <f t="shared" si="17"/>
        <v>1.8000000000000682E-2</v>
      </c>
      <c r="O63" s="11">
        <f t="shared" si="24"/>
        <v>1.0000000000019327E-2</v>
      </c>
      <c r="P63" s="11">
        <f t="shared" si="25"/>
        <v>7.9999999999813554E-3</v>
      </c>
      <c r="Q63" s="11">
        <f t="shared" si="26"/>
        <v>1.8000000000000682E-2</v>
      </c>
      <c r="R63" s="1"/>
      <c r="S63" s="3">
        <f t="shared" si="27"/>
        <v>-2.423265306122455E-3</v>
      </c>
      <c r="T63" s="3">
        <f t="shared" si="28"/>
        <v>-3.7194805194805478E-4</v>
      </c>
      <c r="U63" s="3">
        <f t="shared" si="29"/>
        <v>-1.6402721088435472E-3</v>
      </c>
      <c r="V63" s="3">
        <f t="shared" si="30"/>
        <v>7.6471243042669956E-4</v>
      </c>
      <c r="W63" s="3">
        <f t="shared" si="31"/>
        <v>-2.3081014223875058E-4</v>
      </c>
      <c r="X63" s="3">
        <f t="shared" si="32"/>
        <v>1.5802844774273381E-3</v>
      </c>
      <c r="Y63" s="1"/>
      <c r="Z63" s="3">
        <f t="shared" si="18"/>
        <v>-1.9079214597220278</v>
      </c>
      <c r="AA63" s="3">
        <f t="shared" si="19"/>
        <v>-0.29295343676527091</v>
      </c>
      <c r="AB63" s="3">
        <f t="shared" si="20"/>
        <v>-1.2917022253843653</v>
      </c>
      <c r="AC63" s="3">
        <f t="shared" si="21"/>
        <v>0.60228527619529781</v>
      </c>
      <c r="AD63" s="3">
        <f t="shared" si="22"/>
        <v>-0.18179147971962978</v>
      </c>
      <c r="AE63" s="3">
        <f t="shared" si="23"/>
        <v>1.2444775446344229</v>
      </c>
      <c r="AF63" s="1"/>
      <c r="AG63" s="1" t="str" cm="1">
        <f t="array" ref="AG63">_xlfn.IFS(Z63&gt;3,"Strong + Slope",Z63&gt;1.5,"Moderate + Slope",Z63&gt;0.5,"Sideway + Slope",Z63&gt;=-0.5,"Sideway Flat",Z63&gt;=-1.5,"Sideway - Slope",Z63&gt;=-3,"Moderate - Slope",TRUE,"Strong - Slope")</f>
        <v>Moderate - Slope</v>
      </c>
      <c r="AH63" s="1" t="str" cm="1">
        <f t="array" ref="AH63">_xlfn.IFS(AA63&gt;3,"Strong + Slope",AA63&gt;1.5,"Moderate + Slope",AA63&gt;0.5,"Sideway + Slope",AA63&gt;=-0.5,"Sideway Flat",AA63&gt;=-1.5,"Sideway - Slope",AA63&gt;=-3,"Moderate - Slope",TRUE,"Strong - Slope")</f>
        <v>Sideway Flat</v>
      </c>
      <c r="AI63" s="1" t="str" cm="1">
        <f t="array" ref="AI63">_xlfn.IFS(AB63&gt;3,"Strong + Slope",AB63&gt;1.5,"Moderate + Slope",AB63&gt;0.5,"Sideway + Slope",AB63&gt;=-0.5,"Sideway Flat",AB63&gt;=-1.5,"Sideway - Slope",AB63&gt;=-3,"Moderate - Slope",TRUE,"Strong - Slope")</f>
        <v>Sideway - Slope</v>
      </c>
      <c r="AJ63" s="1" t="str" cm="1">
        <f t="array" ref="AJ63">_xlfn.IFS(AC63&gt;3,"Strong + Slope",AC63&gt;1.5,"Moderate + Slope",AC63&gt;0.5,"Sideway + Slope",AC63&gt;=-0.5,"Sideway Flat",AC63&gt;=-1.5,"Sideway - Slope",AC63&gt;=-3,"Moderate - Slope",TRUE,"Strong - Slope")</f>
        <v>Sideway + Slope</v>
      </c>
      <c r="AK63" s="1" t="str" cm="1">
        <f t="array" ref="AK63">_xlfn.IFS(AD63&gt;3,"Strong + Slope",AD63&gt;1.5,"Moderate + Slope",AD63&gt;0.5,"Sideway + Slope",AD63&gt;=-0.5,"Sideway Flat",AD63&gt;=-1.5,"Sideway - Slope",AD63&gt;=-3,"Moderate - Slope",TRUE,"Strong - Slope")</f>
        <v>Sideway Flat</v>
      </c>
      <c r="AL63" s="1" t="str" cm="1">
        <f t="array" ref="AL63">_xlfn.IFS(AE63&gt;3,"Strong + Slope",AE63&gt;1.5,"Moderate + Slope",AE63&gt;0.5,"Sideway + Slope",AE63&gt;=-0.5,"Sideway Flat",AE63&gt;=-1.5,"Sideway - Slope",AE63&gt;=-3,"Moderate - Slope",TRUE,"Strong - Slope")</f>
        <v>Sideway + Slope</v>
      </c>
    </row>
    <row r="64" spans="1:38" x14ac:dyDescent="0.55000000000000004">
      <c r="A64" s="1">
        <v>60</v>
      </c>
      <c r="B64" s="1" t="s">
        <v>63</v>
      </c>
      <c r="C64" s="1" t="s">
        <v>4</v>
      </c>
      <c r="D64" s="1" t="s">
        <v>103</v>
      </c>
      <c r="E64" s="1">
        <v>152.85900000000001</v>
      </c>
      <c r="F64" s="1">
        <v>152.81100000000001</v>
      </c>
      <c r="G64" s="1">
        <v>152.84700000000001</v>
      </c>
      <c r="H64" s="1">
        <v>152.89500000000001</v>
      </c>
      <c r="I64" s="1">
        <v>152.88900000000001</v>
      </c>
      <c r="J64" s="1">
        <v>153.17400000000001</v>
      </c>
      <c r="K64" s="1">
        <v>152.60499999999999</v>
      </c>
      <c r="L64" s="1">
        <v>152.589</v>
      </c>
      <c r="M64" s="1">
        <v>152.86099999999999</v>
      </c>
      <c r="N64" s="11">
        <f t="shared" si="17"/>
        <v>4.8000000000001819E-2</v>
      </c>
      <c r="O64" s="11">
        <f t="shared" si="24"/>
        <v>4.6999999999997044E-2</v>
      </c>
      <c r="P64" s="11">
        <f t="shared" si="25"/>
        <v>1.0000000000047748E-3</v>
      </c>
      <c r="Q64" s="11">
        <f t="shared" si="26"/>
        <v>4.8000000000001819E-2</v>
      </c>
      <c r="R64" s="1"/>
      <c r="S64" s="3">
        <f t="shared" si="27"/>
        <v>-2.423265306122455E-3</v>
      </c>
      <c r="T64" s="3">
        <f t="shared" si="28"/>
        <v>-3.7194805194805478E-4</v>
      </c>
      <c r="U64" s="3">
        <f t="shared" si="29"/>
        <v>-1.6402721088435472E-3</v>
      </c>
      <c r="V64" s="3">
        <f t="shared" si="30"/>
        <v>7.6471243042669956E-4</v>
      </c>
      <c r="W64" s="3">
        <f t="shared" si="31"/>
        <v>-2.3081014223875058E-4</v>
      </c>
      <c r="X64" s="3">
        <f t="shared" si="32"/>
        <v>1.5802844774273381E-3</v>
      </c>
      <c r="Y64" s="1"/>
      <c r="Z64" s="3">
        <f t="shared" si="18"/>
        <v>-1.9079214597220278</v>
      </c>
      <c r="AA64" s="3">
        <f t="shared" si="19"/>
        <v>-0.29295343676527091</v>
      </c>
      <c r="AB64" s="3">
        <f t="shared" si="20"/>
        <v>-1.2917022253843653</v>
      </c>
      <c r="AC64" s="3">
        <f t="shared" si="21"/>
        <v>0.60228527619529781</v>
      </c>
      <c r="AD64" s="3">
        <f t="shared" si="22"/>
        <v>-0.18179147971962978</v>
      </c>
      <c r="AE64" s="3">
        <f t="shared" si="23"/>
        <v>1.2444775446344229</v>
      </c>
      <c r="AF64" s="1"/>
      <c r="AG64" s="1" t="str" cm="1">
        <f t="array" ref="AG64">_xlfn.IFS(Z64&gt;3,"Strong + Slope",Z64&gt;1.5,"Moderate + Slope",Z64&gt;0.5,"Sideway + Slope",Z64&gt;=-0.5,"Sideway Flat",Z64&gt;=-1.5,"Sideway - Slope",Z64&gt;=-3,"Moderate - Slope",TRUE,"Strong - Slope")</f>
        <v>Moderate - Slope</v>
      </c>
      <c r="AH64" s="1" t="str" cm="1">
        <f t="array" ref="AH64">_xlfn.IFS(AA64&gt;3,"Strong + Slope",AA64&gt;1.5,"Moderate + Slope",AA64&gt;0.5,"Sideway + Slope",AA64&gt;=-0.5,"Sideway Flat",AA64&gt;=-1.5,"Sideway - Slope",AA64&gt;=-3,"Moderate - Slope",TRUE,"Strong - Slope")</f>
        <v>Sideway Flat</v>
      </c>
      <c r="AI64" s="1" t="str" cm="1">
        <f t="array" ref="AI64">_xlfn.IFS(AB64&gt;3,"Strong + Slope",AB64&gt;1.5,"Moderate + Slope",AB64&gt;0.5,"Sideway + Slope",AB64&gt;=-0.5,"Sideway Flat",AB64&gt;=-1.5,"Sideway - Slope",AB64&gt;=-3,"Moderate - Slope",TRUE,"Strong - Slope")</f>
        <v>Sideway - Slope</v>
      </c>
      <c r="AJ64" s="1" t="str" cm="1">
        <f t="array" ref="AJ64">_xlfn.IFS(AC64&gt;3,"Strong + Slope",AC64&gt;1.5,"Moderate + Slope",AC64&gt;0.5,"Sideway + Slope",AC64&gt;=-0.5,"Sideway Flat",AC64&gt;=-1.5,"Sideway - Slope",AC64&gt;=-3,"Moderate - Slope",TRUE,"Strong - Slope")</f>
        <v>Sideway + Slope</v>
      </c>
      <c r="AK64" s="1" t="str" cm="1">
        <f t="array" ref="AK64">_xlfn.IFS(AD64&gt;3,"Strong + Slope",AD64&gt;1.5,"Moderate + Slope",AD64&gt;0.5,"Sideway + Slope",AD64&gt;=-0.5,"Sideway Flat",AD64&gt;=-1.5,"Sideway - Slope",AD64&gt;=-3,"Moderate - Slope",TRUE,"Strong - Slope")</f>
        <v>Sideway Flat</v>
      </c>
      <c r="AL64" s="1" t="str" cm="1">
        <f t="array" ref="AL64">_xlfn.IFS(AE64&gt;3,"Strong + Slope",AE64&gt;1.5,"Moderate + Slope",AE64&gt;0.5,"Sideway + Slope",AE64&gt;=-0.5,"Sideway Flat",AE64&gt;=-1.5,"Sideway - Slope",AE64&gt;=-3,"Moderate - Slope",TRUE,"Strong - Slope")</f>
        <v>Sideway + Slope</v>
      </c>
    </row>
    <row r="65" spans="1:38" x14ac:dyDescent="0.55000000000000004">
      <c r="A65" s="1">
        <v>61</v>
      </c>
      <c r="B65" s="1" t="s">
        <v>64</v>
      </c>
      <c r="C65" s="1" t="s">
        <v>4</v>
      </c>
      <c r="D65" s="1" t="s">
        <v>103</v>
      </c>
      <c r="E65" s="1">
        <v>152.84899999999999</v>
      </c>
      <c r="F65" s="1">
        <v>152.803</v>
      </c>
      <c r="G65" s="1">
        <v>152.803</v>
      </c>
      <c r="H65" s="1">
        <v>152.893</v>
      </c>
      <c r="I65" s="1">
        <v>152.88900000000001</v>
      </c>
      <c r="J65" s="1">
        <v>153.173</v>
      </c>
      <c r="K65" s="1">
        <v>152.60599999999999</v>
      </c>
      <c r="L65" s="1">
        <v>152.589</v>
      </c>
      <c r="M65" s="1">
        <v>152.863</v>
      </c>
      <c r="N65" s="11">
        <f t="shared" si="17"/>
        <v>4.5999999999992269E-2</v>
      </c>
      <c r="O65" s="11">
        <f t="shared" si="24"/>
        <v>1.999999999981128E-3</v>
      </c>
      <c r="P65" s="11">
        <f t="shared" si="25"/>
        <v>4.4000000000011141E-2</v>
      </c>
      <c r="Q65" s="11">
        <f t="shared" si="26"/>
        <v>4.5999999999992269E-2</v>
      </c>
      <c r="R65" s="1"/>
      <c r="S65" s="3">
        <f t="shared" si="27"/>
        <v>-2.423265306122455E-3</v>
      </c>
      <c r="T65" s="3">
        <f t="shared" si="28"/>
        <v>-3.7194805194805478E-4</v>
      </c>
      <c r="U65" s="3">
        <f t="shared" si="29"/>
        <v>-1.6402721088435472E-3</v>
      </c>
      <c r="V65" s="3">
        <f t="shared" si="30"/>
        <v>7.6471243042669956E-4</v>
      </c>
      <c r="W65" s="3">
        <f t="shared" si="31"/>
        <v>-2.3081014223875058E-4</v>
      </c>
      <c r="X65" s="3">
        <f t="shared" si="32"/>
        <v>1.5802844774273381E-3</v>
      </c>
      <c r="Y65" s="1"/>
      <c r="Z65" s="3">
        <f t="shared" si="18"/>
        <v>-1.9079214597220278</v>
      </c>
      <c r="AA65" s="3">
        <f t="shared" si="19"/>
        <v>-0.29295343676527091</v>
      </c>
      <c r="AB65" s="3">
        <f t="shared" si="20"/>
        <v>-1.2917022253843653</v>
      </c>
      <c r="AC65" s="3">
        <f t="shared" si="21"/>
        <v>0.60228527619529781</v>
      </c>
      <c r="AD65" s="3">
        <f t="shared" si="22"/>
        <v>-0.18179147971962978</v>
      </c>
      <c r="AE65" s="3">
        <f t="shared" si="23"/>
        <v>1.2444775446344229</v>
      </c>
      <c r="AF65" s="1"/>
      <c r="AG65" s="1" t="str" cm="1">
        <f t="array" ref="AG65">_xlfn.IFS(Z65&gt;3,"Strong + Slope",Z65&gt;1.5,"Moderate + Slope",Z65&gt;0.5,"Sideway + Slope",Z65&gt;=-0.5,"Sideway Flat",Z65&gt;=-1.5,"Sideway - Slope",Z65&gt;=-3,"Moderate - Slope",TRUE,"Strong - Slope")</f>
        <v>Moderate - Slope</v>
      </c>
      <c r="AH65" s="1" t="str" cm="1">
        <f t="array" ref="AH65">_xlfn.IFS(AA65&gt;3,"Strong + Slope",AA65&gt;1.5,"Moderate + Slope",AA65&gt;0.5,"Sideway + Slope",AA65&gt;=-0.5,"Sideway Flat",AA65&gt;=-1.5,"Sideway - Slope",AA65&gt;=-3,"Moderate - Slope",TRUE,"Strong - Slope")</f>
        <v>Sideway Flat</v>
      </c>
      <c r="AI65" s="1" t="str" cm="1">
        <f t="array" ref="AI65">_xlfn.IFS(AB65&gt;3,"Strong + Slope",AB65&gt;1.5,"Moderate + Slope",AB65&gt;0.5,"Sideway + Slope",AB65&gt;=-0.5,"Sideway Flat",AB65&gt;=-1.5,"Sideway - Slope",AB65&gt;=-3,"Moderate - Slope",TRUE,"Strong - Slope")</f>
        <v>Sideway - Slope</v>
      </c>
      <c r="AJ65" s="1" t="str" cm="1">
        <f t="array" ref="AJ65">_xlfn.IFS(AC65&gt;3,"Strong + Slope",AC65&gt;1.5,"Moderate + Slope",AC65&gt;0.5,"Sideway + Slope",AC65&gt;=-0.5,"Sideway Flat",AC65&gt;=-1.5,"Sideway - Slope",AC65&gt;=-3,"Moderate - Slope",TRUE,"Strong - Slope")</f>
        <v>Sideway + Slope</v>
      </c>
      <c r="AK65" s="1" t="str" cm="1">
        <f t="array" ref="AK65">_xlfn.IFS(AD65&gt;3,"Strong + Slope",AD65&gt;1.5,"Moderate + Slope",AD65&gt;0.5,"Sideway + Slope",AD65&gt;=-0.5,"Sideway Flat",AD65&gt;=-1.5,"Sideway - Slope",AD65&gt;=-3,"Moderate - Slope",TRUE,"Strong - Slope")</f>
        <v>Sideway Flat</v>
      </c>
      <c r="AL65" s="1" t="str" cm="1">
        <f t="array" ref="AL65">_xlfn.IFS(AE65&gt;3,"Strong + Slope",AE65&gt;1.5,"Moderate + Slope",AE65&gt;0.5,"Sideway + Slope",AE65&gt;=-0.5,"Sideway Flat",AE65&gt;=-1.5,"Sideway - Slope",AE65&gt;=-3,"Moderate - Slope",TRUE,"Strong - Slope")</f>
        <v>Sideway + Slope</v>
      </c>
    </row>
    <row r="66" spans="1:38" x14ac:dyDescent="0.55000000000000004">
      <c r="A66" s="1">
        <v>62</v>
      </c>
      <c r="B66" s="1" t="s">
        <v>65</v>
      </c>
      <c r="C66" s="1" t="s">
        <v>4</v>
      </c>
      <c r="D66" s="1" t="s">
        <v>103</v>
      </c>
      <c r="E66" s="1">
        <v>152.84</v>
      </c>
      <c r="F66" s="1">
        <v>152.803</v>
      </c>
      <c r="G66" s="1">
        <v>152.84</v>
      </c>
      <c r="H66" s="1">
        <v>152.88999999999999</v>
      </c>
      <c r="I66" s="1">
        <v>152.88800000000001</v>
      </c>
      <c r="J66" s="1">
        <v>153.17099999999999</v>
      </c>
      <c r="K66" s="1">
        <v>152.607</v>
      </c>
      <c r="L66" s="1">
        <v>152.589</v>
      </c>
      <c r="M66" s="1">
        <v>152.864</v>
      </c>
      <c r="N66" s="11">
        <f t="shared" si="17"/>
        <v>3.7000000000006139E-2</v>
      </c>
      <c r="O66" s="11">
        <f t="shared" si="24"/>
        <v>3.7000000000006139E-2</v>
      </c>
      <c r="P66" s="11">
        <f t="shared" si="25"/>
        <v>0</v>
      </c>
      <c r="Q66" s="11">
        <f t="shared" si="26"/>
        <v>3.7000000000006139E-2</v>
      </c>
      <c r="R66" s="1"/>
      <c r="S66" s="3">
        <f t="shared" si="27"/>
        <v>-2.423265306122455E-3</v>
      </c>
      <c r="T66" s="3">
        <f t="shared" si="28"/>
        <v>-3.7194805194805478E-4</v>
      </c>
      <c r="U66" s="3">
        <f t="shared" si="29"/>
        <v>-1.6402721088435472E-3</v>
      </c>
      <c r="V66" s="3">
        <f t="shared" si="30"/>
        <v>7.6471243042669956E-4</v>
      </c>
      <c r="W66" s="3">
        <f t="shared" si="31"/>
        <v>-2.3081014223875058E-4</v>
      </c>
      <c r="X66" s="3">
        <f t="shared" si="32"/>
        <v>1.5802844774273381E-3</v>
      </c>
      <c r="Y66" s="1"/>
      <c r="Z66" s="3">
        <f t="shared" si="18"/>
        <v>-1.9079214597220278</v>
      </c>
      <c r="AA66" s="3">
        <f t="shared" si="19"/>
        <v>-0.29295343676527091</v>
      </c>
      <c r="AB66" s="3">
        <f t="shared" si="20"/>
        <v>-1.2917022253843653</v>
      </c>
      <c r="AC66" s="3">
        <f t="shared" si="21"/>
        <v>0.60228527619529781</v>
      </c>
      <c r="AD66" s="3">
        <f t="shared" si="22"/>
        <v>-0.18179147971962978</v>
      </c>
      <c r="AE66" s="3">
        <f t="shared" si="23"/>
        <v>1.2444775446344229</v>
      </c>
      <c r="AF66" s="1"/>
      <c r="AG66" s="1" t="str" cm="1">
        <f t="array" ref="AG66">_xlfn.IFS(Z66&gt;3,"Strong + Slope",Z66&gt;1.5,"Moderate + Slope",Z66&gt;0.5,"Sideway + Slope",Z66&gt;=-0.5,"Sideway Flat",Z66&gt;=-1.5,"Sideway - Slope",Z66&gt;=-3,"Moderate - Slope",TRUE,"Strong - Slope")</f>
        <v>Moderate - Slope</v>
      </c>
      <c r="AH66" s="1" t="str" cm="1">
        <f t="array" ref="AH66">_xlfn.IFS(AA66&gt;3,"Strong + Slope",AA66&gt;1.5,"Moderate + Slope",AA66&gt;0.5,"Sideway + Slope",AA66&gt;=-0.5,"Sideway Flat",AA66&gt;=-1.5,"Sideway - Slope",AA66&gt;=-3,"Moderate - Slope",TRUE,"Strong - Slope")</f>
        <v>Sideway Flat</v>
      </c>
      <c r="AI66" s="1" t="str" cm="1">
        <f t="array" ref="AI66">_xlfn.IFS(AB66&gt;3,"Strong + Slope",AB66&gt;1.5,"Moderate + Slope",AB66&gt;0.5,"Sideway + Slope",AB66&gt;=-0.5,"Sideway Flat",AB66&gt;=-1.5,"Sideway - Slope",AB66&gt;=-3,"Moderate - Slope",TRUE,"Strong - Slope")</f>
        <v>Sideway - Slope</v>
      </c>
      <c r="AJ66" s="1" t="str" cm="1">
        <f t="array" ref="AJ66">_xlfn.IFS(AC66&gt;3,"Strong + Slope",AC66&gt;1.5,"Moderate + Slope",AC66&gt;0.5,"Sideway + Slope",AC66&gt;=-0.5,"Sideway Flat",AC66&gt;=-1.5,"Sideway - Slope",AC66&gt;=-3,"Moderate - Slope",TRUE,"Strong - Slope")</f>
        <v>Sideway + Slope</v>
      </c>
      <c r="AK66" s="1" t="str" cm="1">
        <f t="array" ref="AK66">_xlfn.IFS(AD66&gt;3,"Strong + Slope",AD66&gt;1.5,"Moderate + Slope",AD66&gt;0.5,"Sideway + Slope",AD66&gt;=-0.5,"Sideway Flat",AD66&gt;=-1.5,"Sideway - Slope",AD66&gt;=-3,"Moderate - Slope",TRUE,"Strong - Slope")</f>
        <v>Sideway Flat</v>
      </c>
      <c r="AL66" s="1" t="str" cm="1">
        <f t="array" ref="AL66">_xlfn.IFS(AE66&gt;3,"Strong + Slope",AE66&gt;1.5,"Moderate + Slope",AE66&gt;0.5,"Sideway + Slope",AE66&gt;=-0.5,"Sideway Flat",AE66&gt;=-1.5,"Sideway - Slope",AE66&gt;=-3,"Moderate - Slope",TRUE,"Strong - Slope")</f>
        <v>Sideway + Slope</v>
      </c>
    </row>
    <row r="67" spans="1:38" x14ac:dyDescent="0.55000000000000004">
      <c r="A67" s="1">
        <v>63</v>
      </c>
      <c r="B67" s="1" t="s">
        <v>66</v>
      </c>
      <c r="C67" s="1" t="s">
        <v>4</v>
      </c>
      <c r="D67" s="1" t="s">
        <v>103</v>
      </c>
      <c r="E67" s="1">
        <v>152.88800000000001</v>
      </c>
      <c r="F67" s="1">
        <v>152.83600000000001</v>
      </c>
      <c r="G67" s="1">
        <v>152.874</v>
      </c>
      <c r="H67" s="1">
        <v>152.88800000000001</v>
      </c>
      <c r="I67" s="1">
        <v>152.88800000000001</v>
      </c>
      <c r="J67" s="1">
        <v>153.16900000000001</v>
      </c>
      <c r="K67" s="1">
        <v>152.608</v>
      </c>
      <c r="L67" s="1">
        <v>152.589</v>
      </c>
      <c r="M67" s="1">
        <v>152.86600000000001</v>
      </c>
      <c r="N67" s="11">
        <f t="shared" si="17"/>
        <v>5.1999999999992497E-2</v>
      </c>
      <c r="O67" s="11">
        <f t="shared" si="24"/>
        <v>4.8000000000001819E-2</v>
      </c>
      <c r="P67" s="11">
        <f t="shared" si="25"/>
        <v>3.9999999999906777E-3</v>
      </c>
      <c r="Q67" s="11">
        <f t="shared" si="26"/>
        <v>5.1999999999992497E-2</v>
      </c>
      <c r="R67" s="1"/>
      <c r="S67" s="3">
        <f t="shared" si="27"/>
        <v>-2.423265306122455E-3</v>
      </c>
      <c r="T67" s="3">
        <f t="shared" si="28"/>
        <v>-3.7194805194805478E-4</v>
      </c>
      <c r="U67" s="3">
        <f t="shared" si="29"/>
        <v>-1.6402721088435472E-3</v>
      </c>
      <c r="V67" s="3">
        <f t="shared" si="30"/>
        <v>7.6471243042669956E-4</v>
      </c>
      <c r="W67" s="3">
        <f t="shared" si="31"/>
        <v>-2.3081014223875058E-4</v>
      </c>
      <c r="X67" s="3">
        <f t="shared" si="32"/>
        <v>1.5802844774273381E-3</v>
      </c>
      <c r="Y67" s="1"/>
      <c r="Z67" s="3">
        <f t="shared" si="18"/>
        <v>-1.9079214597220278</v>
      </c>
      <c r="AA67" s="3">
        <f t="shared" si="19"/>
        <v>-0.29295343676527091</v>
      </c>
      <c r="AB67" s="3">
        <f t="shared" si="20"/>
        <v>-1.2917022253843653</v>
      </c>
      <c r="AC67" s="3">
        <f t="shared" si="21"/>
        <v>0.60228527619529781</v>
      </c>
      <c r="AD67" s="3">
        <f t="shared" si="22"/>
        <v>-0.18179147971962978</v>
      </c>
      <c r="AE67" s="3">
        <f t="shared" si="23"/>
        <v>1.2444775446344229</v>
      </c>
      <c r="AF67" s="1"/>
      <c r="AG67" s="1" t="str" cm="1">
        <f t="array" ref="AG67">_xlfn.IFS(Z67&gt;3,"Strong + Slope",Z67&gt;1.5,"Moderate + Slope",Z67&gt;0.5,"Sideway + Slope",Z67&gt;=-0.5,"Sideway Flat",Z67&gt;=-1.5,"Sideway - Slope",Z67&gt;=-3,"Moderate - Slope",TRUE,"Strong - Slope")</f>
        <v>Moderate - Slope</v>
      </c>
      <c r="AH67" s="1" t="str" cm="1">
        <f t="array" ref="AH67">_xlfn.IFS(AA67&gt;3,"Strong + Slope",AA67&gt;1.5,"Moderate + Slope",AA67&gt;0.5,"Sideway + Slope",AA67&gt;=-0.5,"Sideway Flat",AA67&gt;=-1.5,"Sideway - Slope",AA67&gt;=-3,"Moderate - Slope",TRUE,"Strong - Slope")</f>
        <v>Sideway Flat</v>
      </c>
      <c r="AI67" s="1" t="str" cm="1">
        <f t="array" ref="AI67">_xlfn.IFS(AB67&gt;3,"Strong + Slope",AB67&gt;1.5,"Moderate + Slope",AB67&gt;0.5,"Sideway + Slope",AB67&gt;=-0.5,"Sideway Flat",AB67&gt;=-1.5,"Sideway - Slope",AB67&gt;=-3,"Moderate - Slope",TRUE,"Strong - Slope")</f>
        <v>Sideway - Slope</v>
      </c>
      <c r="AJ67" s="1" t="str" cm="1">
        <f t="array" ref="AJ67">_xlfn.IFS(AC67&gt;3,"Strong + Slope",AC67&gt;1.5,"Moderate + Slope",AC67&gt;0.5,"Sideway + Slope",AC67&gt;=-0.5,"Sideway Flat",AC67&gt;=-1.5,"Sideway - Slope",AC67&gt;=-3,"Moderate - Slope",TRUE,"Strong - Slope")</f>
        <v>Sideway + Slope</v>
      </c>
      <c r="AK67" s="1" t="str" cm="1">
        <f t="array" ref="AK67">_xlfn.IFS(AD67&gt;3,"Strong + Slope",AD67&gt;1.5,"Moderate + Slope",AD67&gt;0.5,"Sideway + Slope",AD67&gt;=-0.5,"Sideway Flat",AD67&gt;=-1.5,"Sideway - Slope",AD67&gt;=-3,"Moderate - Slope",TRUE,"Strong - Slope")</f>
        <v>Sideway Flat</v>
      </c>
      <c r="AL67" s="1" t="str" cm="1">
        <f t="array" ref="AL67">_xlfn.IFS(AE67&gt;3,"Strong + Slope",AE67&gt;1.5,"Moderate + Slope",AE67&gt;0.5,"Sideway + Slope",AE67&gt;=-0.5,"Sideway Flat",AE67&gt;=-1.5,"Sideway - Slope",AE67&gt;=-3,"Moderate - Slope",TRUE,"Strong - Slope")</f>
        <v>Sideway + Slope</v>
      </c>
    </row>
    <row r="68" spans="1:38" x14ac:dyDescent="0.55000000000000004">
      <c r="A68" s="1">
        <v>64</v>
      </c>
      <c r="B68" s="1" t="s">
        <v>67</v>
      </c>
      <c r="C68" s="1" t="s">
        <v>4</v>
      </c>
      <c r="D68" s="1" t="s">
        <v>103</v>
      </c>
      <c r="E68" s="1">
        <v>152.876</v>
      </c>
      <c r="F68" s="1">
        <v>152.81899999999999</v>
      </c>
      <c r="G68" s="1">
        <v>152.83099999999999</v>
      </c>
      <c r="H68" s="1">
        <v>152.886</v>
      </c>
      <c r="I68" s="1">
        <v>152.88800000000001</v>
      </c>
      <c r="J68" s="1">
        <v>153.16800000000001</v>
      </c>
      <c r="K68" s="1">
        <v>152.608</v>
      </c>
      <c r="L68" s="1">
        <v>152.58799999999999</v>
      </c>
      <c r="M68" s="1">
        <v>152.86799999999999</v>
      </c>
      <c r="N68" s="11">
        <f t="shared" si="17"/>
        <v>5.7000000000016371E-2</v>
      </c>
      <c r="O68" s="11">
        <f t="shared" si="24"/>
        <v>2.0000000000095497E-3</v>
      </c>
      <c r="P68" s="11">
        <f t="shared" si="25"/>
        <v>5.5000000000006821E-2</v>
      </c>
      <c r="Q68" s="11">
        <f t="shared" si="26"/>
        <v>5.7000000000016371E-2</v>
      </c>
      <c r="R68" s="1"/>
      <c r="S68" s="3">
        <f t="shared" si="27"/>
        <v>-2.423265306122455E-3</v>
      </c>
      <c r="T68" s="3">
        <f t="shared" si="28"/>
        <v>-3.7194805194805478E-4</v>
      </c>
      <c r="U68" s="3">
        <f t="shared" si="29"/>
        <v>-1.6402721088435472E-3</v>
      </c>
      <c r="V68" s="3">
        <f t="shared" si="30"/>
        <v>7.6471243042669956E-4</v>
      </c>
      <c r="W68" s="3">
        <f t="shared" si="31"/>
        <v>-2.3081014223875058E-4</v>
      </c>
      <c r="X68" s="3">
        <f t="shared" si="32"/>
        <v>1.5802844774273381E-3</v>
      </c>
      <c r="Y68" s="1"/>
      <c r="Z68" s="3">
        <f t="shared" si="18"/>
        <v>-1.9079214597220278</v>
      </c>
      <c r="AA68" s="3">
        <f t="shared" si="19"/>
        <v>-0.29295343676527091</v>
      </c>
      <c r="AB68" s="3">
        <f t="shared" si="20"/>
        <v>-1.2917022253843653</v>
      </c>
      <c r="AC68" s="3">
        <f t="shared" si="21"/>
        <v>0.60228527619529781</v>
      </c>
      <c r="AD68" s="3">
        <f t="shared" si="22"/>
        <v>-0.18179147971962978</v>
      </c>
      <c r="AE68" s="3">
        <f t="shared" si="23"/>
        <v>1.2444775446344229</v>
      </c>
      <c r="AF68" s="1"/>
      <c r="AG68" s="1" t="str" cm="1">
        <f t="array" ref="AG68">_xlfn.IFS(Z68&gt;3,"Strong + Slope",Z68&gt;1.5,"Moderate + Slope",Z68&gt;0.5,"Sideway + Slope",Z68&gt;=-0.5,"Sideway Flat",Z68&gt;=-1.5,"Sideway - Slope",Z68&gt;=-3,"Moderate - Slope",TRUE,"Strong - Slope")</f>
        <v>Moderate - Slope</v>
      </c>
      <c r="AH68" s="1" t="str" cm="1">
        <f t="array" ref="AH68">_xlfn.IFS(AA68&gt;3,"Strong + Slope",AA68&gt;1.5,"Moderate + Slope",AA68&gt;0.5,"Sideway + Slope",AA68&gt;=-0.5,"Sideway Flat",AA68&gt;=-1.5,"Sideway - Slope",AA68&gt;=-3,"Moderate - Slope",TRUE,"Strong - Slope")</f>
        <v>Sideway Flat</v>
      </c>
      <c r="AI68" s="1" t="str" cm="1">
        <f t="array" ref="AI68">_xlfn.IFS(AB68&gt;3,"Strong + Slope",AB68&gt;1.5,"Moderate + Slope",AB68&gt;0.5,"Sideway + Slope",AB68&gt;=-0.5,"Sideway Flat",AB68&gt;=-1.5,"Sideway - Slope",AB68&gt;=-3,"Moderate - Slope",TRUE,"Strong - Slope")</f>
        <v>Sideway - Slope</v>
      </c>
      <c r="AJ68" s="1" t="str" cm="1">
        <f t="array" ref="AJ68">_xlfn.IFS(AC68&gt;3,"Strong + Slope",AC68&gt;1.5,"Moderate + Slope",AC68&gt;0.5,"Sideway + Slope",AC68&gt;=-0.5,"Sideway Flat",AC68&gt;=-1.5,"Sideway - Slope",AC68&gt;=-3,"Moderate - Slope",TRUE,"Strong - Slope")</f>
        <v>Sideway + Slope</v>
      </c>
      <c r="AK68" s="1" t="str" cm="1">
        <f t="array" ref="AK68">_xlfn.IFS(AD68&gt;3,"Strong + Slope",AD68&gt;1.5,"Moderate + Slope",AD68&gt;0.5,"Sideway + Slope",AD68&gt;=-0.5,"Sideway Flat",AD68&gt;=-1.5,"Sideway - Slope",AD68&gt;=-3,"Moderate - Slope",TRUE,"Strong - Slope")</f>
        <v>Sideway Flat</v>
      </c>
      <c r="AL68" s="1" t="str" cm="1">
        <f t="array" ref="AL68">_xlfn.IFS(AE68&gt;3,"Strong + Slope",AE68&gt;1.5,"Moderate + Slope",AE68&gt;0.5,"Sideway + Slope",AE68&gt;=-0.5,"Sideway Flat",AE68&gt;=-1.5,"Sideway - Slope",AE68&gt;=-3,"Moderate - Slope",TRUE,"Strong - Slope")</f>
        <v>Sideway + Slope</v>
      </c>
    </row>
    <row r="69" spans="1:38" x14ac:dyDescent="0.55000000000000004">
      <c r="A69" s="1">
        <v>65</v>
      </c>
      <c r="B69" s="1" t="s">
        <v>68</v>
      </c>
      <c r="C69" s="1" t="s">
        <v>4</v>
      </c>
      <c r="D69" s="1" t="s">
        <v>103</v>
      </c>
      <c r="E69" s="1">
        <v>152.85599999999999</v>
      </c>
      <c r="F69" s="1">
        <v>152.816</v>
      </c>
      <c r="G69" s="1">
        <v>152.84399999999999</v>
      </c>
      <c r="H69" s="1">
        <v>152.88300000000001</v>
      </c>
      <c r="I69" s="1">
        <v>152.887</v>
      </c>
      <c r="J69" s="1">
        <v>153.166</v>
      </c>
      <c r="K69" s="1">
        <v>152.60900000000001</v>
      </c>
      <c r="L69" s="1">
        <v>152.58799999999999</v>
      </c>
      <c r="M69" s="1">
        <v>152.869</v>
      </c>
      <c r="N69" s="11">
        <f t="shared" ref="N69:N103" si="33">E69-F69</f>
        <v>3.9999999999992042E-2</v>
      </c>
      <c r="O69" s="11">
        <f t="shared" si="24"/>
        <v>2.5000000000005684E-2</v>
      </c>
      <c r="P69" s="11">
        <f t="shared" si="25"/>
        <v>1.4999999999986358E-2</v>
      </c>
      <c r="Q69" s="11">
        <f t="shared" si="26"/>
        <v>3.9999999999992042E-2</v>
      </c>
      <c r="R69" s="1"/>
      <c r="S69" s="3">
        <f t="shared" si="27"/>
        <v>-2.423265306122455E-3</v>
      </c>
      <c r="T69" s="3">
        <f t="shared" si="28"/>
        <v>-3.7194805194805478E-4</v>
      </c>
      <c r="U69" s="3">
        <f t="shared" si="29"/>
        <v>-1.6402721088435472E-3</v>
      </c>
      <c r="V69" s="3">
        <f t="shared" si="30"/>
        <v>7.6471243042669956E-4</v>
      </c>
      <c r="W69" s="3">
        <f t="shared" si="31"/>
        <v>-2.3081014223875058E-4</v>
      </c>
      <c r="X69" s="3">
        <f t="shared" si="32"/>
        <v>1.5802844774273381E-3</v>
      </c>
      <c r="Y69" s="1"/>
      <c r="Z69" s="3">
        <f t="shared" ref="Z69:Z103" si="34">DEGREES(ATAN(S69/$Q$2))</f>
        <v>-1.9079214597220278</v>
      </c>
      <c r="AA69" s="3">
        <f t="shared" ref="AA69:AA103" si="35">DEGREES(ATAN(T69/$Q$2))</f>
        <v>-0.29295343676527091</v>
      </c>
      <c r="AB69" s="3">
        <f t="shared" ref="AB69:AB103" si="36">DEGREES(ATAN(U69/$Q$2))</f>
        <v>-1.2917022253843653</v>
      </c>
      <c r="AC69" s="3">
        <f t="shared" ref="AC69:AC103" si="37">DEGREES(ATAN(V69/$Q$2))</f>
        <v>0.60228527619529781</v>
      </c>
      <c r="AD69" s="3">
        <f t="shared" ref="AD69:AD103" si="38">DEGREES(ATAN(W69/$Q$2))</f>
        <v>-0.18179147971962978</v>
      </c>
      <c r="AE69" s="3">
        <f t="shared" ref="AE69:AE103" si="39">DEGREES(ATAN(X69/$Q$2))</f>
        <v>1.2444775446344229</v>
      </c>
      <c r="AF69" s="1"/>
      <c r="AG69" s="1" t="str" cm="1">
        <f t="array" ref="AG69">_xlfn.IFS(Z69&gt;3,"Strong + Slope",Z69&gt;1.5,"Moderate + Slope",Z69&gt;0.5,"Sideway + Slope",Z69&gt;=-0.5,"Sideway Flat",Z69&gt;=-1.5,"Sideway - Slope",Z69&gt;=-3,"Moderate - Slope",TRUE,"Strong - Slope")</f>
        <v>Moderate - Slope</v>
      </c>
      <c r="AH69" s="1" t="str" cm="1">
        <f t="array" ref="AH69">_xlfn.IFS(AA69&gt;3,"Strong + Slope",AA69&gt;1.5,"Moderate + Slope",AA69&gt;0.5,"Sideway + Slope",AA69&gt;=-0.5,"Sideway Flat",AA69&gt;=-1.5,"Sideway - Slope",AA69&gt;=-3,"Moderate - Slope",TRUE,"Strong - Slope")</f>
        <v>Sideway Flat</v>
      </c>
      <c r="AI69" s="1" t="str" cm="1">
        <f t="array" ref="AI69">_xlfn.IFS(AB69&gt;3,"Strong + Slope",AB69&gt;1.5,"Moderate + Slope",AB69&gt;0.5,"Sideway + Slope",AB69&gt;=-0.5,"Sideway Flat",AB69&gt;=-1.5,"Sideway - Slope",AB69&gt;=-3,"Moderate - Slope",TRUE,"Strong - Slope")</f>
        <v>Sideway - Slope</v>
      </c>
      <c r="AJ69" s="1" t="str" cm="1">
        <f t="array" ref="AJ69">_xlfn.IFS(AC69&gt;3,"Strong + Slope",AC69&gt;1.5,"Moderate + Slope",AC69&gt;0.5,"Sideway + Slope",AC69&gt;=-0.5,"Sideway Flat",AC69&gt;=-1.5,"Sideway - Slope",AC69&gt;=-3,"Moderate - Slope",TRUE,"Strong - Slope")</f>
        <v>Sideway + Slope</v>
      </c>
      <c r="AK69" s="1" t="str" cm="1">
        <f t="array" ref="AK69">_xlfn.IFS(AD69&gt;3,"Strong + Slope",AD69&gt;1.5,"Moderate + Slope",AD69&gt;0.5,"Sideway + Slope",AD69&gt;=-0.5,"Sideway Flat",AD69&gt;=-1.5,"Sideway - Slope",AD69&gt;=-3,"Moderate - Slope",TRUE,"Strong - Slope")</f>
        <v>Sideway Flat</v>
      </c>
      <c r="AL69" s="1" t="str" cm="1">
        <f t="array" ref="AL69">_xlfn.IFS(AE69&gt;3,"Strong + Slope",AE69&gt;1.5,"Moderate + Slope",AE69&gt;0.5,"Sideway + Slope",AE69&gt;=-0.5,"Sideway Flat",AE69&gt;=-1.5,"Sideway - Slope",AE69&gt;=-3,"Moderate - Slope",TRUE,"Strong - Slope")</f>
        <v>Sideway + Slope</v>
      </c>
    </row>
    <row r="70" spans="1:38" x14ac:dyDescent="0.55000000000000004">
      <c r="A70" s="1">
        <v>66</v>
      </c>
      <c r="B70" s="1" t="s">
        <v>69</v>
      </c>
      <c r="C70" s="1" t="s">
        <v>4</v>
      </c>
      <c r="D70" s="1" t="s">
        <v>103</v>
      </c>
      <c r="E70" s="1">
        <v>152.85300000000001</v>
      </c>
      <c r="F70" s="1">
        <v>152.798</v>
      </c>
      <c r="G70" s="1">
        <v>152.81</v>
      </c>
      <c r="H70" s="1">
        <v>152.881</v>
      </c>
      <c r="I70" s="1">
        <v>152.887</v>
      </c>
      <c r="J70" s="1">
        <v>153.16399999999999</v>
      </c>
      <c r="K70" s="1">
        <v>152.61000000000001</v>
      </c>
      <c r="L70" s="1">
        <v>152.58799999999999</v>
      </c>
      <c r="M70" s="1">
        <v>152.87100000000001</v>
      </c>
      <c r="N70" s="11">
        <f t="shared" si="33"/>
        <v>5.5000000000006821E-2</v>
      </c>
      <c r="O70" s="11">
        <f t="shared" ref="O70:O103" si="40">ABS(E70-G69)</f>
        <v>9.0000000000145519E-3</v>
      </c>
      <c r="P70" s="11">
        <f t="shared" ref="P70:P103" si="41">ABS(F70-G69)</f>
        <v>4.5999999999992269E-2</v>
      </c>
      <c r="Q70" s="11">
        <f t="shared" ref="Q70:Q101" si="42">MAX(N70:P70)</f>
        <v>5.5000000000006821E-2</v>
      </c>
      <c r="R70" s="1"/>
      <c r="S70" s="3">
        <f t="shared" ref="S70:S103" si="43">SLOPE($H$5:$H$103,$A$5:$A$103)</f>
        <v>-2.423265306122455E-3</v>
      </c>
      <c r="T70" s="3">
        <f t="shared" ref="T70:T103" si="44">SLOPE(I$5:I$103,$A$5:$A$103)</f>
        <v>-3.7194805194805478E-4</v>
      </c>
      <c r="U70" s="3">
        <f t="shared" ref="U70:U103" si="45">SLOPE(J$5:J$103,$A$5:$A$103)</f>
        <v>-1.6402721088435472E-3</v>
      </c>
      <c r="V70" s="3">
        <f t="shared" ref="V70:V103" si="46">SLOPE(K$5:K$103,$A$5:$A$103)</f>
        <v>7.6471243042669956E-4</v>
      </c>
      <c r="W70" s="3">
        <f t="shared" ref="W70:W103" si="47">SLOPE(L$5:L$103,$A$5:$A$103)</f>
        <v>-2.3081014223875058E-4</v>
      </c>
      <c r="X70" s="3">
        <f t="shared" ref="X70:X103" si="48">SLOPE(M$5:M$103,$A$5:$A$103)</f>
        <v>1.5802844774273381E-3</v>
      </c>
      <c r="Y70" s="1"/>
      <c r="Z70" s="3">
        <f t="shared" si="34"/>
        <v>-1.9079214597220278</v>
      </c>
      <c r="AA70" s="3">
        <f t="shared" si="35"/>
        <v>-0.29295343676527091</v>
      </c>
      <c r="AB70" s="3">
        <f t="shared" si="36"/>
        <v>-1.2917022253843653</v>
      </c>
      <c r="AC70" s="3">
        <f t="shared" si="37"/>
        <v>0.60228527619529781</v>
      </c>
      <c r="AD70" s="3">
        <f t="shared" si="38"/>
        <v>-0.18179147971962978</v>
      </c>
      <c r="AE70" s="3">
        <f t="shared" si="39"/>
        <v>1.2444775446344229</v>
      </c>
      <c r="AF70" s="1"/>
      <c r="AG70" s="1" t="str" cm="1">
        <f t="array" ref="AG70">_xlfn.IFS(Z70&gt;3,"Strong + Slope",Z70&gt;1.5,"Moderate + Slope",Z70&gt;0.5,"Sideway + Slope",Z70&gt;=-0.5,"Sideway Flat",Z70&gt;=-1.5,"Sideway - Slope",Z70&gt;=-3,"Moderate - Slope",TRUE,"Strong - Slope")</f>
        <v>Moderate - Slope</v>
      </c>
      <c r="AH70" s="1" t="str" cm="1">
        <f t="array" ref="AH70">_xlfn.IFS(AA70&gt;3,"Strong + Slope",AA70&gt;1.5,"Moderate + Slope",AA70&gt;0.5,"Sideway + Slope",AA70&gt;=-0.5,"Sideway Flat",AA70&gt;=-1.5,"Sideway - Slope",AA70&gt;=-3,"Moderate - Slope",TRUE,"Strong - Slope")</f>
        <v>Sideway Flat</v>
      </c>
      <c r="AI70" s="1" t="str" cm="1">
        <f t="array" ref="AI70">_xlfn.IFS(AB70&gt;3,"Strong + Slope",AB70&gt;1.5,"Moderate + Slope",AB70&gt;0.5,"Sideway + Slope",AB70&gt;=-0.5,"Sideway Flat",AB70&gt;=-1.5,"Sideway - Slope",AB70&gt;=-3,"Moderate - Slope",TRUE,"Strong - Slope")</f>
        <v>Sideway - Slope</v>
      </c>
      <c r="AJ70" s="1" t="str" cm="1">
        <f t="array" ref="AJ70">_xlfn.IFS(AC70&gt;3,"Strong + Slope",AC70&gt;1.5,"Moderate + Slope",AC70&gt;0.5,"Sideway + Slope",AC70&gt;=-0.5,"Sideway Flat",AC70&gt;=-1.5,"Sideway - Slope",AC70&gt;=-3,"Moderate - Slope",TRUE,"Strong - Slope")</f>
        <v>Sideway + Slope</v>
      </c>
      <c r="AK70" s="1" t="str" cm="1">
        <f t="array" ref="AK70">_xlfn.IFS(AD70&gt;3,"Strong + Slope",AD70&gt;1.5,"Moderate + Slope",AD70&gt;0.5,"Sideway + Slope",AD70&gt;=-0.5,"Sideway Flat",AD70&gt;=-1.5,"Sideway - Slope",AD70&gt;=-3,"Moderate - Slope",TRUE,"Strong - Slope")</f>
        <v>Sideway Flat</v>
      </c>
      <c r="AL70" s="1" t="str" cm="1">
        <f t="array" ref="AL70">_xlfn.IFS(AE70&gt;3,"Strong + Slope",AE70&gt;1.5,"Moderate + Slope",AE70&gt;0.5,"Sideway + Slope",AE70&gt;=-0.5,"Sideway Flat",AE70&gt;=-1.5,"Sideway - Slope",AE70&gt;=-3,"Moderate - Slope",TRUE,"Strong - Slope")</f>
        <v>Sideway + Slope</v>
      </c>
    </row>
    <row r="71" spans="1:38" x14ac:dyDescent="0.55000000000000004">
      <c r="A71" s="1">
        <v>67</v>
      </c>
      <c r="B71" s="1" t="s">
        <v>70</v>
      </c>
      <c r="C71" s="1" t="s">
        <v>4</v>
      </c>
      <c r="D71" s="1" t="s">
        <v>103</v>
      </c>
      <c r="E71" s="1">
        <v>152.815</v>
      </c>
      <c r="F71" s="1">
        <v>152.80000000000001</v>
      </c>
      <c r="G71" s="1">
        <v>152.809</v>
      </c>
      <c r="H71" s="1">
        <v>152.87799999999999</v>
      </c>
      <c r="I71" s="1">
        <v>152.887</v>
      </c>
      <c r="J71" s="1">
        <v>153.16300000000001</v>
      </c>
      <c r="K71" s="1">
        <v>152.61099999999999</v>
      </c>
      <c r="L71" s="1">
        <v>152.58799999999999</v>
      </c>
      <c r="M71" s="1">
        <v>152.87200000000001</v>
      </c>
      <c r="N71" s="11">
        <f t="shared" si="33"/>
        <v>1.4999999999986358E-2</v>
      </c>
      <c r="O71" s="11">
        <f t="shared" si="40"/>
        <v>4.9999999999954525E-3</v>
      </c>
      <c r="P71" s="11">
        <f t="shared" si="41"/>
        <v>9.9999999999909051E-3</v>
      </c>
      <c r="Q71" s="11">
        <f t="shared" si="42"/>
        <v>1.4999999999986358E-2</v>
      </c>
      <c r="R71" s="1"/>
      <c r="S71" s="3">
        <f t="shared" si="43"/>
        <v>-2.423265306122455E-3</v>
      </c>
      <c r="T71" s="3">
        <f t="shared" si="44"/>
        <v>-3.7194805194805478E-4</v>
      </c>
      <c r="U71" s="3">
        <f t="shared" si="45"/>
        <v>-1.6402721088435472E-3</v>
      </c>
      <c r="V71" s="3">
        <f t="shared" si="46"/>
        <v>7.6471243042669956E-4</v>
      </c>
      <c r="W71" s="3">
        <f t="shared" si="47"/>
        <v>-2.3081014223875058E-4</v>
      </c>
      <c r="X71" s="3">
        <f t="shared" si="48"/>
        <v>1.5802844774273381E-3</v>
      </c>
      <c r="Y71" s="1"/>
      <c r="Z71" s="3">
        <f t="shared" si="34"/>
        <v>-1.9079214597220278</v>
      </c>
      <c r="AA71" s="3">
        <f t="shared" si="35"/>
        <v>-0.29295343676527091</v>
      </c>
      <c r="AB71" s="3">
        <f t="shared" si="36"/>
        <v>-1.2917022253843653</v>
      </c>
      <c r="AC71" s="3">
        <f t="shared" si="37"/>
        <v>0.60228527619529781</v>
      </c>
      <c r="AD71" s="3">
        <f t="shared" si="38"/>
        <v>-0.18179147971962978</v>
      </c>
      <c r="AE71" s="3">
        <f t="shared" si="39"/>
        <v>1.2444775446344229</v>
      </c>
      <c r="AF71" s="1"/>
      <c r="AG71" s="1" t="str" cm="1">
        <f t="array" ref="AG71">_xlfn.IFS(Z71&gt;3,"Strong + Slope",Z71&gt;1.5,"Moderate + Slope",Z71&gt;0.5,"Sideway + Slope",Z71&gt;=-0.5,"Sideway Flat",Z71&gt;=-1.5,"Sideway - Slope",Z71&gt;=-3,"Moderate - Slope",TRUE,"Strong - Slope")</f>
        <v>Moderate - Slope</v>
      </c>
      <c r="AH71" s="1" t="str" cm="1">
        <f t="array" ref="AH71">_xlfn.IFS(AA71&gt;3,"Strong + Slope",AA71&gt;1.5,"Moderate + Slope",AA71&gt;0.5,"Sideway + Slope",AA71&gt;=-0.5,"Sideway Flat",AA71&gt;=-1.5,"Sideway - Slope",AA71&gt;=-3,"Moderate - Slope",TRUE,"Strong - Slope")</f>
        <v>Sideway Flat</v>
      </c>
      <c r="AI71" s="1" t="str" cm="1">
        <f t="array" ref="AI71">_xlfn.IFS(AB71&gt;3,"Strong + Slope",AB71&gt;1.5,"Moderate + Slope",AB71&gt;0.5,"Sideway + Slope",AB71&gt;=-0.5,"Sideway Flat",AB71&gt;=-1.5,"Sideway - Slope",AB71&gt;=-3,"Moderate - Slope",TRUE,"Strong - Slope")</f>
        <v>Sideway - Slope</v>
      </c>
      <c r="AJ71" s="1" t="str" cm="1">
        <f t="array" ref="AJ71">_xlfn.IFS(AC71&gt;3,"Strong + Slope",AC71&gt;1.5,"Moderate + Slope",AC71&gt;0.5,"Sideway + Slope",AC71&gt;=-0.5,"Sideway Flat",AC71&gt;=-1.5,"Sideway - Slope",AC71&gt;=-3,"Moderate - Slope",TRUE,"Strong - Slope")</f>
        <v>Sideway + Slope</v>
      </c>
      <c r="AK71" s="1" t="str" cm="1">
        <f t="array" ref="AK71">_xlfn.IFS(AD71&gt;3,"Strong + Slope",AD71&gt;1.5,"Moderate + Slope",AD71&gt;0.5,"Sideway + Slope",AD71&gt;=-0.5,"Sideway Flat",AD71&gt;=-1.5,"Sideway - Slope",AD71&gt;=-3,"Moderate - Slope",TRUE,"Strong - Slope")</f>
        <v>Sideway Flat</v>
      </c>
      <c r="AL71" s="1" t="str" cm="1">
        <f t="array" ref="AL71">_xlfn.IFS(AE71&gt;3,"Strong + Slope",AE71&gt;1.5,"Moderate + Slope",AE71&gt;0.5,"Sideway + Slope",AE71&gt;=-0.5,"Sideway Flat",AE71&gt;=-1.5,"Sideway - Slope",AE71&gt;=-3,"Moderate - Slope",TRUE,"Strong - Slope")</f>
        <v>Sideway + Slope</v>
      </c>
    </row>
    <row r="72" spans="1:38" x14ac:dyDescent="0.55000000000000004">
      <c r="A72" s="1">
        <v>68</v>
      </c>
      <c r="B72" s="1" t="s">
        <v>71</v>
      </c>
      <c r="C72" s="1" t="s">
        <v>4</v>
      </c>
      <c r="D72" s="1" t="s">
        <v>103</v>
      </c>
      <c r="E72" s="1">
        <v>152.82300000000001</v>
      </c>
      <c r="F72" s="1">
        <v>152.809</v>
      </c>
      <c r="G72" s="1">
        <v>152.81299999999999</v>
      </c>
      <c r="H72" s="1">
        <v>152.876</v>
      </c>
      <c r="I72" s="1">
        <v>152.886</v>
      </c>
      <c r="J72" s="1">
        <v>153.161</v>
      </c>
      <c r="K72" s="1">
        <v>152.61099999999999</v>
      </c>
      <c r="L72" s="1">
        <v>152.58699999999999</v>
      </c>
      <c r="M72" s="1">
        <v>152.874</v>
      </c>
      <c r="N72" s="11">
        <f t="shared" si="33"/>
        <v>1.4000000000010004E-2</v>
      </c>
      <c r="O72" s="11">
        <f t="shared" si="40"/>
        <v>1.4000000000010004E-2</v>
      </c>
      <c r="P72" s="11">
        <f t="shared" si="41"/>
        <v>0</v>
      </c>
      <c r="Q72" s="11">
        <f t="shared" si="42"/>
        <v>1.4000000000010004E-2</v>
      </c>
      <c r="R72" s="1"/>
      <c r="S72" s="3">
        <f t="shared" si="43"/>
        <v>-2.423265306122455E-3</v>
      </c>
      <c r="T72" s="3">
        <f t="shared" si="44"/>
        <v>-3.7194805194805478E-4</v>
      </c>
      <c r="U72" s="3">
        <f t="shared" si="45"/>
        <v>-1.6402721088435472E-3</v>
      </c>
      <c r="V72" s="3">
        <f t="shared" si="46"/>
        <v>7.6471243042669956E-4</v>
      </c>
      <c r="W72" s="3">
        <f t="shared" si="47"/>
        <v>-2.3081014223875058E-4</v>
      </c>
      <c r="X72" s="3">
        <f t="shared" si="48"/>
        <v>1.5802844774273381E-3</v>
      </c>
      <c r="Y72" s="1"/>
      <c r="Z72" s="3">
        <f t="shared" si="34"/>
        <v>-1.9079214597220278</v>
      </c>
      <c r="AA72" s="3">
        <f t="shared" si="35"/>
        <v>-0.29295343676527091</v>
      </c>
      <c r="AB72" s="3">
        <f t="shared" si="36"/>
        <v>-1.2917022253843653</v>
      </c>
      <c r="AC72" s="3">
        <f t="shared" si="37"/>
        <v>0.60228527619529781</v>
      </c>
      <c r="AD72" s="3">
        <f t="shared" si="38"/>
        <v>-0.18179147971962978</v>
      </c>
      <c r="AE72" s="3">
        <f t="shared" si="39"/>
        <v>1.2444775446344229</v>
      </c>
      <c r="AF72" s="1"/>
      <c r="AG72" s="1" t="str" cm="1">
        <f t="array" ref="AG72">_xlfn.IFS(Z72&gt;3,"Strong + Slope",Z72&gt;1.5,"Moderate + Slope",Z72&gt;0.5,"Sideway + Slope",Z72&gt;=-0.5,"Sideway Flat",Z72&gt;=-1.5,"Sideway - Slope",Z72&gt;=-3,"Moderate - Slope",TRUE,"Strong - Slope")</f>
        <v>Moderate - Slope</v>
      </c>
      <c r="AH72" s="1" t="str" cm="1">
        <f t="array" ref="AH72">_xlfn.IFS(AA72&gt;3,"Strong + Slope",AA72&gt;1.5,"Moderate + Slope",AA72&gt;0.5,"Sideway + Slope",AA72&gt;=-0.5,"Sideway Flat",AA72&gt;=-1.5,"Sideway - Slope",AA72&gt;=-3,"Moderate - Slope",TRUE,"Strong - Slope")</f>
        <v>Sideway Flat</v>
      </c>
      <c r="AI72" s="1" t="str" cm="1">
        <f t="array" ref="AI72">_xlfn.IFS(AB72&gt;3,"Strong + Slope",AB72&gt;1.5,"Moderate + Slope",AB72&gt;0.5,"Sideway + Slope",AB72&gt;=-0.5,"Sideway Flat",AB72&gt;=-1.5,"Sideway - Slope",AB72&gt;=-3,"Moderate - Slope",TRUE,"Strong - Slope")</f>
        <v>Sideway - Slope</v>
      </c>
      <c r="AJ72" s="1" t="str" cm="1">
        <f t="array" ref="AJ72">_xlfn.IFS(AC72&gt;3,"Strong + Slope",AC72&gt;1.5,"Moderate + Slope",AC72&gt;0.5,"Sideway + Slope",AC72&gt;=-0.5,"Sideway Flat",AC72&gt;=-1.5,"Sideway - Slope",AC72&gt;=-3,"Moderate - Slope",TRUE,"Strong - Slope")</f>
        <v>Sideway + Slope</v>
      </c>
      <c r="AK72" s="1" t="str" cm="1">
        <f t="array" ref="AK72">_xlfn.IFS(AD72&gt;3,"Strong + Slope",AD72&gt;1.5,"Moderate + Slope",AD72&gt;0.5,"Sideway + Slope",AD72&gt;=-0.5,"Sideway Flat",AD72&gt;=-1.5,"Sideway - Slope",AD72&gt;=-3,"Moderate - Slope",TRUE,"Strong - Slope")</f>
        <v>Sideway Flat</v>
      </c>
      <c r="AL72" s="1" t="str" cm="1">
        <f t="array" ref="AL72">_xlfn.IFS(AE72&gt;3,"Strong + Slope",AE72&gt;1.5,"Moderate + Slope",AE72&gt;0.5,"Sideway + Slope",AE72&gt;=-0.5,"Sideway Flat",AE72&gt;=-1.5,"Sideway - Slope",AE72&gt;=-3,"Moderate - Slope",TRUE,"Strong - Slope")</f>
        <v>Sideway + Slope</v>
      </c>
    </row>
    <row r="73" spans="1:38" x14ac:dyDescent="0.55000000000000004">
      <c r="A73" s="1">
        <v>69</v>
      </c>
      <c r="B73" s="1" t="s">
        <v>72</v>
      </c>
      <c r="C73" s="1" t="s">
        <v>4</v>
      </c>
      <c r="D73" s="1" t="s">
        <v>103</v>
      </c>
      <c r="E73" s="1">
        <v>152.815</v>
      </c>
      <c r="F73" s="1">
        <v>152.76599999999999</v>
      </c>
      <c r="G73" s="1">
        <v>152.779</v>
      </c>
      <c r="H73" s="1">
        <v>152.87299999999999</v>
      </c>
      <c r="I73" s="1">
        <v>152.886</v>
      </c>
      <c r="J73" s="1">
        <v>153.15899999999999</v>
      </c>
      <c r="K73" s="1">
        <v>152.61199999999999</v>
      </c>
      <c r="L73" s="1">
        <v>152.58699999999999</v>
      </c>
      <c r="M73" s="1">
        <v>152.876</v>
      </c>
      <c r="N73" s="11">
        <f t="shared" si="33"/>
        <v>4.9000000000006594E-2</v>
      </c>
      <c r="O73" s="11">
        <f t="shared" si="40"/>
        <v>2.0000000000095497E-3</v>
      </c>
      <c r="P73" s="11">
        <f t="shared" si="41"/>
        <v>4.6999999999997044E-2</v>
      </c>
      <c r="Q73" s="11">
        <f t="shared" si="42"/>
        <v>4.9000000000006594E-2</v>
      </c>
      <c r="R73" s="1"/>
      <c r="S73" s="3">
        <f t="shared" si="43"/>
        <v>-2.423265306122455E-3</v>
      </c>
      <c r="T73" s="3">
        <f t="shared" si="44"/>
        <v>-3.7194805194805478E-4</v>
      </c>
      <c r="U73" s="3">
        <f t="shared" si="45"/>
        <v>-1.6402721088435472E-3</v>
      </c>
      <c r="V73" s="3">
        <f t="shared" si="46"/>
        <v>7.6471243042669956E-4</v>
      </c>
      <c r="W73" s="3">
        <f t="shared" si="47"/>
        <v>-2.3081014223875058E-4</v>
      </c>
      <c r="X73" s="3">
        <f t="shared" si="48"/>
        <v>1.5802844774273381E-3</v>
      </c>
      <c r="Y73" s="1"/>
      <c r="Z73" s="3">
        <f t="shared" si="34"/>
        <v>-1.9079214597220278</v>
      </c>
      <c r="AA73" s="3">
        <f t="shared" si="35"/>
        <v>-0.29295343676527091</v>
      </c>
      <c r="AB73" s="3">
        <f t="shared" si="36"/>
        <v>-1.2917022253843653</v>
      </c>
      <c r="AC73" s="3">
        <f t="shared" si="37"/>
        <v>0.60228527619529781</v>
      </c>
      <c r="AD73" s="3">
        <f t="shared" si="38"/>
        <v>-0.18179147971962978</v>
      </c>
      <c r="AE73" s="3">
        <f t="shared" si="39"/>
        <v>1.2444775446344229</v>
      </c>
      <c r="AF73" s="1"/>
      <c r="AG73" s="1" t="str" cm="1">
        <f t="array" ref="AG73">_xlfn.IFS(Z73&gt;3,"Strong + Slope",Z73&gt;1.5,"Moderate + Slope",Z73&gt;0.5,"Sideway + Slope",Z73&gt;=-0.5,"Sideway Flat",Z73&gt;=-1.5,"Sideway - Slope",Z73&gt;=-3,"Moderate - Slope",TRUE,"Strong - Slope")</f>
        <v>Moderate - Slope</v>
      </c>
      <c r="AH73" s="1" t="str" cm="1">
        <f t="array" ref="AH73">_xlfn.IFS(AA73&gt;3,"Strong + Slope",AA73&gt;1.5,"Moderate + Slope",AA73&gt;0.5,"Sideway + Slope",AA73&gt;=-0.5,"Sideway Flat",AA73&gt;=-1.5,"Sideway - Slope",AA73&gt;=-3,"Moderate - Slope",TRUE,"Strong - Slope")</f>
        <v>Sideway Flat</v>
      </c>
      <c r="AI73" s="1" t="str" cm="1">
        <f t="array" ref="AI73">_xlfn.IFS(AB73&gt;3,"Strong + Slope",AB73&gt;1.5,"Moderate + Slope",AB73&gt;0.5,"Sideway + Slope",AB73&gt;=-0.5,"Sideway Flat",AB73&gt;=-1.5,"Sideway - Slope",AB73&gt;=-3,"Moderate - Slope",TRUE,"Strong - Slope")</f>
        <v>Sideway - Slope</v>
      </c>
      <c r="AJ73" s="1" t="str" cm="1">
        <f t="array" ref="AJ73">_xlfn.IFS(AC73&gt;3,"Strong + Slope",AC73&gt;1.5,"Moderate + Slope",AC73&gt;0.5,"Sideway + Slope",AC73&gt;=-0.5,"Sideway Flat",AC73&gt;=-1.5,"Sideway - Slope",AC73&gt;=-3,"Moderate - Slope",TRUE,"Strong - Slope")</f>
        <v>Sideway + Slope</v>
      </c>
      <c r="AK73" s="1" t="str" cm="1">
        <f t="array" ref="AK73">_xlfn.IFS(AD73&gt;3,"Strong + Slope",AD73&gt;1.5,"Moderate + Slope",AD73&gt;0.5,"Sideway + Slope",AD73&gt;=-0.5,"Sideway Flat",AD73&gt;=-1.5,"Sideway - Slope",AD73&gt;=-3,"Moderate - Slope",TRUE,"Strong - Slope")</f>
        <v>Sideway Flat</v>
      </c>
      <c r="AL73" s="1" t="str" cm="1">
        <f t="array" ref="AL73">_xlfn.IFS(AE73&gt;3,"Strong + Slope",AE73&gt;1.5,"Moderate + Slope",AE73&gt;0.5,"Sideway + Slope",AE73&gt;=-0.5,"Sideway Flat",AE73&gt;=-1.5,"Sideway - Slope",AE73&gt;=-3,"Moderate - Slope",TRUE,"Strong - Slope")</f>
        <v>Sideway + Slope</v>
      </c>
    </row>
    <row r="74" spans="1:38" x14ac:dyDescent="0.55000000000000004">
      <c r="A74" s="1">
        <v>70</v>
      </c>
      <c r="B74" s="1" t="s">
        <v>73</v>
      </c>
      <c r="C74" s="1" t="s">
        <v>4</v>
      </c>
      <c r="D74" s="1" t="s">
        <v>103</v>
      </c>
      <c r="E74" s="1">
        <v>152.79</v>
      </c>
      <c r="F74" s="1">
        <v>152.76599999999999</v>
      </c>
      <c r="G74" s="1">
        <v>152.76900000000001</v>
      </c>
      <c r="H74" s="1">
        <v>152.87100000000001</v>
      </c>
      <c r="I74" s="1">
        <v>152.88499999999999</v>
      </c>
      <c r="J74" s="1">
        <v>153.15799999999999</v>
      </c>
      <c r="K74" s="1">
        <v>152.613</v>
      </c>
      <c r="L74" s="1">
        <v>152.58699999999999</v>
      </c>
      <c r="M74" s="1">
        <v>152.87700000000001</v>
      </c>
      <c r="N74" s="11">
        <f t="shared" si="33"/>
        <v>2.4000000000000909E-2</v>
      </c>
      <c r="O74" s="11">
        <f t="shared" si="40"/>
        <v>1.099999999999568E-2</v>
      </c>
      <c r="P74" s="11">
        <f t="shared" si="41"/>
        <v>1.300000000000523E-2</v>
      </c>
      <c r="Q74" s="11">
        <f t="shared" si="42"/>
        <v>2.4000000000000909E-2</v>
      </c>
      <c r="R74" s="1"/>
      <c r="S74" s="3">
        <f t="shared" si="43"/>
        <v>-2.423265306122455E-3</v>
      </c>
      <c r="T74" s="3">
        <f t="shared" si="44"/>
        <v>-3.7194805194805478E-4</v>
      </c>
      <c r="U74" s="3">
        <f t="shared" si="45"/>
        <v>-1.6402721088435472E-3</v>
      </c>
      <c r="V74" s="3">
        <f t="shared" si="46"/>
        <v>7.6471243042669956E-4</v>
      </c>
      <c r="W74" s="3">
        <f t="shared" si="47"/>
        <v>-2.3081014223875058E-4</v>
      </c>
      <c r="X74" s="3">
        <f t="shared" si="48"/>
        <v>1.5802844774273381E-3</v>
      </c>
      <c r="Y74" s="1"/>
      <c r="Z74" s="3">
        <f t="shared" si="34"/>
        <v>-1.9079214597220278</v>
      </c>
      <c r="AA74" s="3">
        <f t="shared" si="35"/>
        <v>-0.29295343676527091</v>
      </c>
      <c r="AB74" s="3">
        <f t="shared" si="36"/>
        <v>-1.2917022253843653</v>
      </c>
      <c r="AC74" s="3">
        <f t="shared" si="37"/>
        <v>0.60228527619529781</v>
      </c>
      <c r="AD74" s="3">
        <f t="shared" si="38"/>
        <v>-0.18179147971962978</v>
      </c>
      <c r="AE74" s="3">
        <f t="shared" si="39"/>
        <v>1.2444775446344229</v>
      </c>
      <c r="AF74" s="1"/>
      <c r="AG74" s="1" t="str" cm="1">
        <f t="array" ref="AG74">_xlfn.IFS(Z74&gt;3,"Strong + Slope",Z74&gt;1.5,"Moderate + Slope",Z74&gt;0.5,"Sideway + Slope",Z74&gt;=-0.5,"Sideway Flat",Z74&gt;=-1.5,"Sideway - Slope",Z74&gt;=-3,"Moderate - Slope",TRUE,"Strong - Slope")</f>
        <v>Moderate - Slope</v>
      </c>
      <c r="AH74" s="1" t="str" cm="1">
        <f t="array" ref="AH74">_xlfn.IFS(AA74&gt;3,"Strong + Slope",AA74&gt;1.5,"Moderate + Slope",AA74&gt;0.5,"Sideway + Slope",AA74&gt;=-0.5,"Sideway Flat",AA74&gt;=-1.5,"Sideway - Slope",AA74&gt;=-3,"Moderate - Slope",TRUE,"Strong - Slope")</f>
        <v>Sideway Flat</v>
      </c>
      <c r="AI74" s="1" t="str" cm="1">
        <f t="array" ref="AI74">_xlfn.IFS(AB74&gt;3,"Strong + Slope",AB74&gt;1.5,"Moderate + Slope",AB74&gt;0.5,"Sideway + Slope",AB74&gt;=-0.5,"Sideway Flat",AB74&gt;=-1.5,"Sideway - Slope",AB74&gt;=-3,"Moderate - Slope",TRUE,"Strong - Slope")</f>
        <v>Sideway - Slope</v>
      </c>
      <c r="AJ74" s="1" t="str" cm="1">
        <f t="array" ref="AJ74">_xlfn.IFS(AC74&gt;3,"Strong + Slope",AC74&gt;1.5,"Moderate + Slope",AC74&gt;0.5,"Sideway + Slope",AC74&gt;=-0.5,"Sideway Flat",AC74&gt;=-1.5,"Sideway - Slope",AC74&gt;=-3,"Moderate - Slope",TRUE,"Strong - Slope")</f>
        <v>Sideway + Slope</v>
      </c>
      <c r="AK74" s="1" t="str" cm="1">
        <f t="array" ref="AK74">_xlfn.IFS(AD74&gt;3,"Strong + Slope",AD74&gt;1.5,"Moderate + Slope",AD74&gt;0.5,"Sideway + Slope",AD74&gt;=-0.5,"Sideway Flat",AD74&gt;=-1.5,"Sideway - Slope",AD74&gt;=-3,"Moderate - Slope",TRUE,"Strong - Slope")</f>
        <v>Sideway Flat</v>
      </c>
      <c r="AL74" s="1" t="str" cm="1">
        <f t="array" ref="AL74">_xlfn.IFS(AE74&gt;3,"Strong + Slope",AE74&gt;1.5,"Moderate + Slope",AE74&gt;0.5,"Sideway + Slope",AE74&gt;=-0.5,"Sideway Flat",AE74&gt;=-1.5,"Sideway - Slope",AE74&gt;=-3,"Moderate - Slope",TRUE,"Strong - Slope")</f>
        <v>Sideway + Slope</v>
      </c>
    </row>
    <row r="75" spans="1:38" x14ac:dyDescent="0.55000000000000004">
      <c r="A75" s="1">
        <v>71</v>
      </c>
      <c r="B75" s="1" t="s">
        <v>74</v>
      </c>
      <c r="C75" s="1" t="s">
        <v>4</v>
      </c>
      <c r="D75" s="1" t="s">
        <v>103</v>
      </c>
      <c r="E75" s="1">
        <v>152.792</v>
      </c>
      <c r="F75" s="1">
        <v>152.74199999999999</v>
      </c>
      <c r="G75" s="1">
        <v>152.74299999999999</v>
      </c>
      <c r="H75" s="1">
        <v>152.869</v>
      </c>
      <c r="I75" s="1">
        <v>152.88499999999999</v>
      </c>
      <c r="J75" s="1">
        <v>153.15600000000001</v>
      </c>
      <c r="K75" s="1">
        <v>152.614</v>
      </c>
      <c r="L75" s="1">
        <v>152.58699999999999</v>
      </c>
      <c r="M75" s="1">
        <v>152.87899999999999</v>
      </c>
      <c r="N75" s="11">
        <f t="shared" si="33"/>
        <v>5.0000000000011369E-2</v>
      </c>
      <c r="O75" s="11">
        <f t="shared" si="40"/>
        <v>2.2999999999996135E-2</v>
      </c>
      <c r="P75" s="11">
        <f t="shared" si="41"/>
        <v>2.7000000000015234E-2</v>
      </c>
      <c r="Q75" s="11">
        <f t="shared" si="42"/>
        <v>5.0000000000011369E-2</v>
      </c>
      <c r="R75" s="1"/>
      <c r="S75" s="3">
        <f t="shared" si="43"/>
        <v>-2.423265306122455E-3</v>
      </c>
      <c r="T75" s="3">
        <f t="shared" si="44"/>
        <v>-3.7194805194805478E-4</v>
      </c>
      <c r="U75" s="3">
        <f t="shared" si="45"/>
        <v>-1.6402721088435472E-3</v>
      </c>
      <c r="V75" s="3">
        <f t="shared" si="46"/>
        <v>7.6471243042669956E-4</v>
      </c>
      <c r="W75" s="3">
        <f t="shared" si="47"/>
        <v>-2.3081014223875058E-4</v>
      </c>
      <c r="X75" s="3">
        <f t="shared" si="48"/>
        <v>1.5802844774273381E-3</v>
      </c>
      <c r="Y75" s="1"/>
      <c r="Z75" s="3">
        <f t="shared" si="34"/>
        <v>-1.9079214597220278</v>
      </c>
      <c r="AA75" s="3">
        <f t="shared" si="35"/>
        <v>-0.29295343676527091</v>
      </c>
      <c r="AB75" s="3">
        <f t="shared" si="36"/>
        <v>-1.2917022253843653</v>
      </c>
      <c r="AC75" s="3">
        <f t="shared" si="37"/>
        <v>0.60228527619529781</v>
      </c>
      <c r="AD75" s="3">
        <f t="shared" si="38"/>
        <v>-0.18179147971962978</v>
      </c>
      <c r="AE75" s="3">
        <f t="shared" si="39"/>
        <v>1.2444775446344229</v>
      </c>
      <c r="AF75" s="1"/>
      <c r="AG75" s="1" t="str" cm="1">
        <f t="array" ref="AG75">_xlfn.IFS(Z75&gt;3,"Strong + Slope",Z75&gt;1.5,"Moderate + Slope",Z75&gt;0.5,"Sideway + Slope",Z75&gt;=-0.5,"Sideway Flat",Z75&gt;=-1.5,"Sideway - Slope",Z75&gt;=-3,"Moderate - Slope",TRUE,"Strong - Slope")</f>
        <v>Moderate - Slope</v>
      </c>
      <c r="AH75" s="1" t="str" cm="1">
        <f t="array" ref="AH75">_xlfn.IFS(AA75&gt;3,"Strong + Slope",AA75&gt;1.5,"Moderate + Slope",AA75&gt;0.5,"Sideway + Slope",AA75&gt;=-0.5,"Sideway Flat",AA75&gt;=-1.5,"Sideway - Slope",AA75&gt;=-3,"Moderate - Slope",TRUE,"Strong - Slope")</f>
        <v>Sideway Flat</v>
      </c>
      <c r="AI75" s="1" t="str" cm="1">
        <f t="array" ref="AI75">_xlfn.IFS(AB75&gt;3,"Strong + Slope",AB75&gt;1.5,"Moderate + Slope",AB75&gt;0.5,"Sideway + Slope",AB75&gt;=-0.5,"Sideway Flat",AB75&gt;=-1.5,"Sideway - Slope",AB75&gt;=-3,"Moderate - Slope",TRUE,"Strong - Slope")</f>
        <v>Sideway - Slope</v>
      </c>
      <c r="AJ75" s="1" t="str" cm="1">
        <f t="array" ref="AJ75">_xlfn.IFS(AC75&gt;3,"Strong + Slope",AC75&gt;1.5,"Moderate + Slope",AC75&gt;0.5,"Sideway + Slope",AC75&gt;=-0.5,"Sideway Flat",AC75&gt;=-1.5,"Sideway - Slope",AC75&gt;=-3,"Moderate - Slope",TRUE,"Strong - Slope")</f>
        <v>Sideway + Slope</v>
      </c>
      <c r="AK75" s="1" t="str" cm="1">
        <f t="array" ref="AK75">_xlfn.IFS(AD75&gt;3,"Strong + Slope",AD75&gt;1.5,"Moderate + Slope",AD75&gt;0.5,"Sideway + Slope",AD75&gt;=-0.5,"Sideway Flat",AD75&gt;=-1.5,"Sideway - Slope",AD75&gt;=-3,"Moderate - Slope",TRUE,"Strong - Slope")</f>
        <v>Sideway Flat</v>
      </c>
      <c r="AL75" s="1" t="str" cm="1">
        <f t="array" ref="AL75">_xlfn.IFS(AE75&gt;3,"Strong + Slope",AE75&gt;1.5,"Moderate + Slope",AE75&gt;0.5,"Sideway + Slope",AE75&gt;=-0.5,"Sideway Flat",AE75&gt;=-1.5,"Sideway - Slope",AE75&gt;=-3,"Moderate - Slope",TRUE,"Strong - Slope")</f>
        <v>Sideway + Slope</v>
      </c>
    </row>
    <row r="76" spans="1:38" x14ac:dyDescent="0.55000000000000004">
      <c r="A76" s="1">
        <v>72</v>
      </c>
      <c r="B76" s="1" t="s">
        <v>75</v>
      </c>
      <c r="C76" s="1" t="s">
        <v>4</v>
      </c>
      <c r="D76" s="1" t="s">
        <v>103</v>
      </c>
      <c r="E76" s="1">
        <v>152.76499999999999</v>
      </c>
      <c r="F76" s="1">
        <v>152.72999999999999</v>
      </c>
      <c r="G76" s="1">
        <v>152.75399999999999</v>
      </c>
      <c r="H76" s="1">
        <v>152.86600000000001</v>
      </c>
      <c r="I76" s="1">
        <v>152.88499999999999</v>
      </c>
      <c r="J76" s="1">
        <v>153.154</v>
      </c>
      <c r="K76" s="1">
        <v>152.614</v>
      </c>
      <c r="L76" s="1">
        <v>152.58699999999999</v>
      </c>
      <c r="M76" s="1">
        <v>152.88</v>
      </c>
      <c r="N76" s="11">
        <f t="shared" si="33"/>
        <v>3.4999999999996589E-2</v>
      </c>
      <c r="O76" s="11">
        <f t="shared" si="40"/>
        <v>2.199999999999136E-2</v>
      </c>
      <c r="P76" s="11">
        <f t="shared" si="41"/>
        <v>1.300000000000523E-2</v>
      </c>
      <c r="Q76" s="11">
        <f t="shared" si="42"/>
        <v>3.4999999999996589E-2</v>
      </c>
      <c r="R76" s="1"/>
      <c r="S76" s="3">
        <f t="shared" si="43"/>
        <v>-2.423265306122455E-3</v>
      </c>
      <c r="T76" s="3">
        <f t="shared" si="44"/>
        <v>-3.7194805194805478E-4</v>
      </c>
      <c r="U76" s="3">
        <f t="shared" si="45"/>
        <v>-1.6402721088435472E-3</v>
      </c>
      <c r="V76" s="3">
        <f t="shared" si="46"/>
        <v>7.6471243042669956E-4</v>
      </c>
      <c r="W76" s="3">
        <f t="shared" si="47"/>
        <v>-2.3081014223875058E-4</v>
      </c>
      <c r="X76" s="3">
        <f t="shared" si="48"/>
        <v>1.5802844774273381E-3</v>
      </c>
      <c r="Y76" s="1"/>
      <c r="Z76" s="3">
        <f t="shared" si="34"/>
        <v>-1.9079214597220278</v>
      </c>
      <c r="AA76" s="3">
        <f t="shared" si="35"/>
        <v>-0.29295343676527091</v>
      </c>
      <c r="AB76" s="3">
        <f t="shared" si="36"/>
        <v>-1.2917022253843653</v>
      </c>
      <c r="AC76" s="3">
        <f t="shared" si="37"/>
        <v>0.60228527619529781</v>
      </c>
      <c r="AD76" s="3">
        <f t="shared" si="38"/>
        <v>-0.18179147971962978</v>
      </c>
      <c r="AE76" s="3">
        <f t="shared" si="39"/>
        <v>1.2444775446344229</v>
      </c>
      <c r="AF76" s="1"/>
      <c r="AG76" s="1" t="str" cm="1">
        <f t="array" ref="AG76">_xlfn.IFS(Z76&gt;3,"Strong + Slope",Z76&gt;1.5,"Moderate + Slope",Z76&gt;0.5,"Sideway + Slope",Z76&gt;=-0.5,"Sideway Flat",Z76&gt;=-1.5,"Sideway - Slope",Z76&gt;=-3,"Moderate - Slope",TRUE,"Strong - Slope")</f>
        <v>Moderate - Slope</v>
      </c>
      <c r="AH76" s="1" t="str" cm="1">
        <f t="array" ref="AH76">_xlfn.IFS(AA76&gt;3,"Strong + Slope",AA76&gt;1.5,"Moderate + Slope",AA76&gt;0.5,"Sideway + Slope",AA76&gt;=-0.5,"Sideway Flat",AA76&gt;=-1.5,"Sideway - Slope",AA76&gt;=-3,"Moderate - Slope",TRUE,"Strong - Slope")</f>
        <v>Sideway Flat</v>
      </c>
      <c r="AI76" s="1" t="str" cm="1">
        <f t="array" ref="AI76">_xlfn.IFS(AB76&gt;3,"Strong + Slope",AB76&gt;1.5,"Moderate + Slope",AB76&gt;0.5,"Sideway + Slope",AB76&gt;=-0.5,"Sideway Flat",AB76&gt;=-1.5,"Sideway - Slope",AB76&gt;=-3,"Moderate - Slope",TRUE,"Strong - Slope")</f>
        <v>Sideway - Slope</v>
      </c>
      <c r="AJ76" s="1" t="str" cm="1">
        <f t="array" ref="AJ76">_xlfn.IFS(AC76&gt;3,"Strong + Slope",AC76&gt;1.5,"Moderate + Slope",AC76&gt;0.5,"Sideway + Slope",AC76&gt;=-0.5,"Sideway Flat",AC76&gt;=-1.5,"Sideway - Slope",AC76&gt;=-3,"Moderate - Slope",TRUE,"Strong - Slope")</f>
        <v>Sideway + Slope</v>
      </c>
      <c r="AK76" s="1" t="str" cm="1">
        <f t="array" ref="AK76">_xlfn.IFS(AD76&gt;3,"Strong + Slope",AD76&gt;1.5,"Moderate + Slope",AD76&gt;0.5,"Sideway + Slope",AD76&gt;=-0.5,"Sideway Flat",AD76&gt;=-1.5,"Sideway - Slope",AD76&gt;=-3,"Moderate - Slope",TRUE,"Strong - Slope")</f>
        <v>Sideway Flat</v>
      </c>
      <c r="AL76" s="1" t="str" cm="1">
        <f t="array" ref="AL76">_xlfn.IFS(AE76&gt;3,"Strong + Slope",AE76&gt;1.5,"Moderate + Slope",AE76&gt;0.5,"Sideway + Slope",AE76&gt;=-0.5,"Sideway Flat",AE76&gt;=-1.5,"Sideway - Slope",AE76&gt;=-3,"Moderate - Slope",TRUE,"Strong - Slope")</f>
        <v>Sideway + Slope</v>
      </c>
    </row>
    <row r="77" spans="1:38" x14ac:dyDescent="0.55000000000000004">
      <c r="A77" s="1">
        <v>73</v>
      </c>
      <c r="B77" s="1" t="s">
        <v>76</v>
      </c>
      <c r="C77" s="1" t="s">
        <v>4</v>
      </c>
      <c r="D77" s="1" t="s">
        <v>103</v>
      </c>
      <c r="E77" s="1">
        <v>152.762</v>
      </c>
      <c r="F77" s="1">
        <v>152.733</v>
      </c>
      <c r="G77" s="1">
        <v>152.73599999999999</v>
      </c>
      <c r="H77" s="1">
        <v>152.864</v>
      </c>
      <c r="I77" s="1">
        <v>152.88399999999999</v>
      </c>
      <c r="J77" s="1">
        <v>153.15299999999999</v>
      </c>
      <c r="K77" s="1">
        <v>152.61500000000001</v>
      </c>
      <c r="L77" s="1">
        <v>152.58600000000001</v>
      </c>
      <c r="M77" s="1">
        <v>152.88200000000001</v>
      </c>
      <c r="N77" s="11">
        <f t="shared" si="33"/>
        <v>2.8999999999996362E-2</v>
      </c>
      <c r="O77" s="11">
        <f t="shared" si="40"/>
        <v>8.0000000000097771E-3</v>
      </c>
      <c r="P77" s="11">
        <f t="shared" si="41"/>
        <v>2.0999999999986585E-2</v>
      </c>
      <c r="Q77" s="11">
        <f t="shared" si="42"/>
        <v>2.8999999999996362E-2</v>
      </c>
      <c r="R77" s="1"/>
      <c r="S77" s="3">
        <f t="shared" si="43"/>
        <v>-2.423265306122455E-3</v>
      </c>
      <c r="T77" s="3">
        <f t="shared" si="44"/>
        <v>-3.7194805194805478E-4</v>
      </c>
      <c r="U77" s="3">
        <f t="shared" si="45"/>
        <v>-1.6402721088435472E-3</v>
      </c>
      <c r="V77" s="3">
        <f t="shared" si="46"/>
        <v>7.6471243042669956E-4</v>
      </c>
      <c r="W77" s="3">
        <f t="shared" si="47"/>
        <v>-2.3081014223875058E-4</v>
      </c>
      <c r="X77" s="3">
        <f t="shared" si="48"/>
        <v>1.5802844774273381E-3</v>
      </c>
      <c r="Y77" s="1"/>
      <c r="Z77" s="3">
        <f t="shared" si="34"/>
        <v>-1.9079214597220278</v>
      </c>
      <c r="AA77" s="3">
        <f t="shared" si="35"/>
        <v>-0.29295343676527091</v>
      </c>
      <c r="AB77" s="3">
        <f t="shared" si="36"/>
        <v>-1.2917022253843653</v>
      </c>
      <c r="AC77" s="3">
        <f t="shared" si="37"/>
        <v>0.60228527619529781</v>
      </c>
      <c r="AD77" s="3">
        <f t="shared" si="38"/>
        <v>-0.18179147971962978</v>
      </c>
      <c r="AE77" s="3">
        <f t="shared" si="39"/>
        <v>1.2444775446344229</v>
      </c>
      <c r="AF77" s="1"/>
      <c r="AG77" s="1" t="str" cm="1">
        <f t="array" ref="AG77">_xlfn.IFS(Z77&gt;3,"Strong + Slope",Z77&gt;1.5,"Moderate + Slope",Z77&gt;0.5,"Sideway + Slope",Z77&gt;=-0.5,"Sideway Flat",Z77&gt;=-1.5,"Sideway - Slope",Z77&gt;=-3,"Moderate - Slope",TRUE,"Strong - Slope")</f>
        <v>Moderate - Slope</v>
      </c>
      <c r="AH77" s="1" t="str" cm="1">
        <f t="array" ref="AH77">_xlfn.IFS(AA77&gt;3,"Strong + Slope",AA77&gt;1.5,"Moderate + Slope",AA77&gt;0.5,"Sideway + Slope",AA77&gt;=-0.5,"Sideway Flat",AA77&gt;=-1.5,"Sideway - Slope",AA77&gt;=-3,"Moderate - Slope",TRUE,"Strong - Slope")</f>
        <v>Sideway Flat</v>
      </c>
      <c r="AI77" s="1" t="str" cm="1">
        <f t="array" ref="AI77">_xlfn.IFS(AB77&gt;3,"Strong + Slope",AB77&gt;1.5,"Moderate + Slope",AB77&gt;0.5,"Sideway + Slope",AB77&gt;=-0.5,"Sideway Flat",AB77&gt;=-1.5,"Sideway - Slope",AB77&gt;=-3,"Moderate - Slope",TRUE,"Strong - Slope")</f>
        <v>Sideway - Slope</v>
      </c>
      <c r="AJ77" s="1" t="str" cm="1">
        <f t="array" ref="AJ77">_xlfn.IFS(AC77&gt;3,"Strong + Slope",AC77&gt;1.5,"Moderate + Slope",AC77&gt;0.5,"Sideway + Slope",AC77&gt;=-0.5,"Sideway Flat",AC77&gt;=-1.5,"Sideway - Slope",AC77&gt;=-3,"Moderate - Slope",TRUE,"Strong - Slope")</f>
        <v>Sideway + Slope</v>
      </c>
      <c r="AK77" s="1" t="str" cm="1">
        <f t="array" ref="AK77">_xlfn.IFS(AD77&gt;3,"Strong + Slope",AD77&gt;1.5,"Moderate + Slope",AD77&gt;0.5,"Sideway + Slope",AD77&gt;=-0.5,"Sideway Flat",AD77&gt;=-1.5,"Sideway - Slope",AD77&gt;=-3,"Moderate - Slope",TRUE,"Strong - Slope")</f>
        <v>Sideway Flat</v>
      </c>
      <c r="AL77" s="1" t="str" cm="1">
        <f t="array" ref="AL77">_xlfn.IFS(AE77&gt;3,"Strong + Slope",AE77&gt;1.5,"Moderate + Slope",AE77&gt;0.5,"Sideway + Slope",AE77&gt;=-0.5,"Sideway Flat",AE77&gt;=-1.5,"Sideway - Slope",AE77&gt;=-3,"Moderate - Slope",TRUE,"Strong - Slope")</f>
        <v>Sideway + Slope</v>
      </c>
    </row>
    <row r="78" spans="1:38" x14ac:dyDescent="0.55000000000000004">
      <c r="A78" s="1">
        <v>74</v>
      </c>
      <c r="B78" s="1" t="s">
        <v>77</v>
      </c>
      <c r="C78" s="1" t="s">
        <v>4</v>
      </c>
      <c r="D78" s="1" t="s">
        <v>103</v>
      </c>
      <c r="E78" s="1">
        <v>152.76300000000001</v>
      </c>
      <c r="F78" s="1">
        <v>152.732</v>
      </c>
      <c r="G78" s="1">
        <v>152.76300000000001</v>
      </c>
      <c r="H78" s="1">
        <v>152.86099999999999</v>
      </c>
      <c r="I78" s="1">
        <v>152.88399999999999</v>
      </c>
      <c r="J78" s="1">
        <v>153.15100000000001</v>
      </c>
      <c r="K78" s="1">
        <v>152.61600000000001</v>
      </c>
      <c r="L78" s="1">
        <v>152.58600000000001</v>
      </c>
      <c r="M78" s="1">
        <v>152.88300000000001</v>
      </c>
      <c r="N78" s="11">
        <f t="shared" si="33"/>
        <v>3.1000000000005912E-2</v>
      </c>
      <c r="O78" s="11">
        <f t="shared" si="40"/>
        <v>2.7000000000015234E-2</v>
      </c>
      <c r="P78" s="11">
        <f t="shared" si="41"/>
        <v>3.9999999999906777E-3</v>
      </c>
      <c r="Q78" s="11">
        <f t="shared" si="42"/>
        <v>3.1000000000005912E-2</v>
      </c>
      <c r="R78" s="1"/>
      <c r="S78" s="3">
        <f t="shared" si="43"/>
        <v>-2.423265306122455E-3</v>
      </c>
      <c r="T78" s="3">
        <f t="shared" si="44"/>
        <v>-3.7194805194805478E-4</v>
      </c>
      <c r="U78" s="3">
        <f t="shared" si="45"/>
        <v>-1.6402721088435472E-3</v>
      </c>
      <c r="V78" s="3">
        <f t="shared" si="46"/>
        <v>7.6471243042669956E-4</v>
      </c>
      <c r="W78" s="3">
        <f t="shared" si="47"/>
        <v>-2.3081014223875058E-4</v>
      </c>
      <c r="X78" s="3">
        <f t="shared" si="48"/>
        <v>1.5802844774273381E-3</v>
      </c>
      <c r="Y78" s="1"/>
      <c r="Z78" s="3">
        <f t="shared" si="34"/>
        <v>-1.9079214597220278</v>
      </c>
      <c r="AA78" s="3">
        <f t="shared" si="35"/>
        <v>-0.29295343676527091</v>
      </c>
      <c r="AB78" s="3">
        <f t="shared" si="36"/>
        <v>-1.2917022253843653</v>
      </c>
      <c r="AC78" s="3">
        <f t="shared" si="37"/>
        <v>0.60228527619529781</v>
      </c>
      <c r="AD78" s="3">
        <f t="shared" si="38"/>
        <v>-0.18179147971962978</v>
      </c>
      <c r="AE78" s="3">
        <f t="shared" si="39"/>
        <v>1.2444775446344229</v>
      </c>
      <c r="AF78" s="1"/>
      <c r="AG78" s="1" t="str" cm="1">
        <f t="array" ref="AG78">_xlfn.IFS(Z78&gt;3,"Strong + Slope",Z78&gt;1.5,"Moderate + Slope",Z78&gt;0.5,"Sideway + Slope",Z78&gt;=-0.5,"Sideway Flat",Z78&gt;=-1.5,"Sideway - Slope",Z78&gt;=-3,"Moderate - Slope",TRUE,"Strong - Slope")</f>
        <v>Moderate - Slope</v>
      </c>
      <c r="AH78" s="1" t="str" cm="1">
        <f t="array" ref="AH78">_xlfn.IFS(AA78&gt;3,"Strong + Slope",AA78&gt;1.5,"Moderate + Slope",AA78&gt;0.5,"Sideway + Slope",AA78&gt;=-0.5,"Sideway Flat",AA78&gt;=-1.5,"Sideway - Slope",AA78&gt;=-3,"Moderate - Slope",TRUE,"Strong - Slope")</f>
        <v>Sideway Flat</v>
      </c>
      <c r="AI78" s="1" t="str" cm="1">
        <f t="array" ref="AI78">_xlfn.IFS(AB78&gt;3,"Strong + Slope",AB78&gt;1.5,"Moderate + Slope",AB78&gt;0.5,"Sideway + Slope",AB78&gt;=-0.5,"Sideway Flat",AB78&gt;=-1.5,"Sideway - Slope",AB78&gt;=-3,"Moderate - Slope",TRUE,"Strong - Slope")</f>
        <v>Sideway - Slope</v>
      </c>
      <c r="AJ78" s="1" t="str" cm="1">
        <f t="array" ref="AJ78">_xlfn.IFS(AC78&gt;3,"Strong + Slope",AC78&gt;1.5,"Moderate + Slope",AC78&gt;0.5,"Sideway + Slope",AC78&gt;=-0.5,"Sideway Flat",AC78&gt;=-1.5,"Sideway - Slope",AC78&gt;=-3,"Moderate - Slope",TRUE,"Strong - Slope")</f>
        <v>Sideway + Slope</v>
      </c>
      <c r="AK78" s="1" t="str" cm="1">
        <f t="array" ref="AK78">_xlfn.IFS(AD78&gt;3,"Strong + Slope",AD78&gt;1.5,"Moderate + Slope",AD78&gt;0.5,"Sideway + Slope",AD78&gt;=-0.5,"Sideway Flat",AD78&gt;=-1.5,"Sideway - Slope",AD78&gt;=-3,"Moderate - Slope",TRUE,"Strong - Slope")</f>
        <v>Sideway Flat</v>
      </c>
      <c r="AL78" s="1" t="str" cm="1">
        <f t="array" ref="AL78">_xlfn.IFS(AE78&gt;3,"Strong + Slope",AE78&gt;1.5,"Moderate + Slope",AE78&gt;0.5,"Sideway + Slope",AE78&gt;=-0.5,"Sideway Flat",AE78&gt;=-1.5,"Sideway - Slope",AE78&gt;=-3,"Moderate - Slope",TRUE,"Strong - Slope")</f>
        <v>Sideway + Slope</v>
      </c>
    </row>
    <row r="79" spans="1:38" x14ac:dyDescent="0.55000000000000004">
      <c r="A79" s="1">
        <v>75</v>
      </c>
      <c r="B79" s="1" t="s">
        <v>78</v>
      </c>
      <c r="C79" s="1" t="s">
        <v>4</v>
      </c>
      <c r="D79" s="1" t="s">
        <v>103</v>
      </c>
      <c r="E79" s="1">
        <v>152.78700000000001</v>
      </c>
      <c r="F79" s="1">
        <v>152.75700000000001</v>
      </c>
      <c r="G79" s="1">
        <v>152.77000000000001</v>
      </c>
      <c r="H79" s="1">
        <v>152.85900000000001</v>
      </c>
      <c r="I79" s="1">
        <v>152.88399999999999</v>
      </c>
      <c r="J79" s="1">
        <v>153.15</v>
      </c>
      <c r="K79" s="1">
        <v>152.61699999999999</v>
      </c>
      <c r="L79" s="1">
        <v>152.58600000000001</v>
      </c>
      <c r="M79" s="1">
        <v>152.88499999999999</v>
      </c>
      <c r="N79" s="11">
        <f t="shared" si="33"/>
        <v>3.0000000000001137E-2</v>
      </c>
      <c r="O79" s="11">
        <f t="shared" si="40"/>
        <v>2.4000000000000909E-2</v>
      </c>
      <c r="P79" s="11">
        <f t="shared" si="41"/>
        <v>6.0000000000002274E-3</v>
      </c>
      <c r="Q79" s="11">
        <f t="shared" si="42"/>
        <v>3.0000000000001137E-2</v>
      </c>
      <c r="R79" s="1"/>
      <c r="S79" s="3">
        <f t="shared" si="43"/>
        <v>-2.423265306122455E-3</v>
      </c>
      <c r="T79" s="3">
        <f t="shared" si="44"/>
        <v>-3.7194805194805478E-4</v>
      </c>
      <c r="U79" s="3">
        <f t="shared" si="45"/>
        <v>-1.6402721088435472E-3</v>
      </c>
      <c r="V79" s="3">
        <f t="shared" si="46"/>
        <v>7.6471243042669956E-4</v>
      </c>
      <c r="W79" s="3">
        <f t="shared" si="47"/>
        <v>-2.3081014223875058E-4</v>
      </c>
      <c r="X79" s="3">
        <f t="shared" si="48"/>
        <v>1.5802844774273381E-3</v>
      </c>
      <c r="Y79" s="1"/>
      <c r="Z79" s="3">
        <f t="shared" si="34"/>
        <v>-1.9079214597220278</v>
      </c>
      <c r="AA79" s="3">
        <f t="shared" si="35"/>
        <v>-0.29295343676527091</v>
      </c>
      <c r="AB79" s="3">
        <f t="shared" si="36"/>
        <v>-1.2917022253843653</v>
      </c>
      <c r="AC79" s="3">
        <f t="shared" si="37"/>
        <v>0.60228527619529781</v>
      </c>
      <c r="AD79" s="3">
        <f t="shared" si="38"/>
        <v>-0.18179147971962978</v>
      </c>
      <c r="AE79" s="3">
        <f t="shared" si="39"/>
        <v>1.2444775446344229</v>
      </c>
      <c r="AF79" s="1"/>
      <c r="AG79" s="1" t="str" cm="1">
        <f t="array" ref="AG79">_xlfn.IFS(Z79&gt;3,"Strong + Slope",Z79&gt;1.5,"Moderate + Slope",Z79&gt;0.5,"Sideway + Slope",Z79&gt;=-0.5,"Sideway Flat",Z79&gt;=-1.5,"Sideway - Slope",Z79&gt;=-3,"Moderate - Slope",TRUE,"Strong - Slope")</f>
        <v>Moderate - Slope</v>
      </c>
      <c r="AH79" s="1" t="str" cm="1">
        <f t="array" ref="AH79">_xlfn.IFS(AA79&gt;3,"Strong + Slope",AA79&gt;1.5,"Moderate + Slope",AA79&gt;0.5,"Sideway + Slope",AA79&gt;=-0.5,"Sideway Flat",AA79&gt;=-1.5,"Sideway - Slope",AA79&gt;=-3,"Moderate - Slope",TRUE,"Strong - Slope")</f>
        <v>Sideway Flat</v>
      </c>
      <c r="AI79" s="1" t="str" cm="1">
        <f t="array" ref="AI79">_xlfn.IFS(AB79&gt;3,"Strong + Slope",AB79&gt;1.5,"Moderate + Slope",AB79&gt;0.5,"Sideway + Slope",AB79&gt;=-0.5,"Sideway Flat",AB79&gt;=-1.5,"Sideway - Slope",AB79&gt;=-3,"Moderate - Slope",TRUE,"Strong - Slope")</f>
        <v>Sideway - Slope</v>
      </c>
      <c r="AJ79" s="1" t="str" cm="1">
        <f t="array" ref="AJ79">_xlfn.IFS(AC79&gt;3,"Strong + Slope",AC79&gt;1.5,"Moderate + Slope",AC79&gt;0.5,"Sideway + Slope",AC79&gt;=-0.5,"Sideway Flat",AC79&gt;=-1.5,"Sideway - Slope",AC79&gt;=-3,"Moderate - Slope",TRUE,"Strong - Slope")</f>
        <v>Sideway + Slope</v>
      </c>
      <c r="AK79" s="1" t="str" cm="1">
        <f t="array" ref="AK79">_xlfn.IFS(AD79&gt;3,"Strong + Slope",AD79&gt;1.5,"Moderate + Slope",AD79&gt;0.5,"Sideway + Slope",AD79&gt;=-0.5,"Sideway Flat",AD79&gt;=-1.5,"Sideway - Slope",AD79&gt;=-3,"Moderate - Slope",TRUE,"Strong - Slope")</f>
        <v>Sideway Flat</v>
      </c>
      <c r="AL79" s="1" t="str" cm="1">
        <f t="array" ref="AL79">_xlfn.IFS(AE79&gt;3,"Strong + Slope",AE79&gt;1.5,"Moderate + Slope",AE79&gt;0.5,"Sideway + Slope",AE79&gt;=-0.5,"Sideway Flat",AE79&gt;=-1.5,"Sideway - Slope",AE79&gt;=-3,"Moderate - Slope",TRUE,"Strong - Slope")</f>
        <v>Sideway + Slope</v>
      </c>
    </row>
    <row r="80" spans="1:38" x14ac:dyDescent="0.55000000000000004">
      <c r="A80" s="1">
        <v>76</v>
      </c>
      <c r="B80" s="1" t="s">
        <v>79</v>
      </c>
      <c r="C80" s="1" t="s">
        <v>4</v>
      </c>
      <c r="D80" s="1" t="s">
        <v>103</v>
      </c>
      <c r="E80" s="1">
        <v>152.78100000000001</v>
      </c>
      <c r="F80" s="1">
        <v>152.74700000000001</v>
      </c>
      <c r="G80" s="1">
        <v>152.77699999999999</v>
      </c>
      <c r="H80" s="1">
        <v>152.85599999999999</v>
      </c>
      <c r="I80" s="1">
        <v>152.88300000000001</v>
      </c>
      <c r="J80" s="1">
        <v>153.148</v>
      </c>
      <c r="K80" s="1">
        <v>152.61699999999999</v>
      </c>
      <c r="L80" s="1">
        <v>152.58600000000001</v>
      </c>
      <c r="M80" s="1">
        <v>152.887</v>
      </c>
      <c r="N80" s="11">
        <f t="shared" si="33"/>
        <v>3.3999999999991815E-2</v>
      </c>
      <c r="O80" s="11">
        <f t="shared" si="40"/>
        <v>1.099999999999568E-2</v>
      </c>
      <c r="P80" s="11">
        <f t="shared" si="41"/>
        <v>2.2999999999996135E-2</v>
      </c>
      <c r="Q80" s="11">
        <f t="shared" si="42"/>
        <v>3.3999999999991815E-2</v>
      </c>
      <c r="R80" s="1"/>
      <c r="S80" s="3">
        <f t="shared" si="43"/>
        <v>-2.423265306122455E-3</v>
      </c>
      <c r="T80" s="3">
        <f t="shared" si="44"/>
        <v>-3.7194805194805478E-4</v>
      </c>
      <c r="U80" s="3">
        <f t="shared" si="45"/>
        <v>-1.6402721088435472E-3</v>
      </c>
      <c r="V80" s="3">
        <f t="shared" si="46"/>
        <v>7.6471243042669956E-4</v>
      </c>
      <c r="W80" s="3">
        <f t="shared" si="47"/>
        <v>-2.3081014223875058E-4</v>
      </c>
      <c r="X80" s="3">
        <f t="shared" si="48"/>
        <v>1.5802844774273381E-3</v>
      </c>
      <c r="Y80" s="1"/>
      <c r="Z80" s="3">
        <f t="shared" si="34"/>
        <v>-1.9079214597220278</v>
      </c>
      <c r="AA80" s="3">
        <f t="shared" si="35"/>
        <v>-0.29295343676527091</v>
      </c>
      <c r="AB80" s="3">
        <f t="shared" si="36"/>
        <v>-1.2917022253843653</v>
      </c>
      <c r="AC80" s="3">
        <f t="shared" si="37"/>
        <v>0.60228527619529781</v>
      </c>
      <c r="AD80" s="3">
        <f t="shared" si="38"/>
        <v>-0.18179147971962978</v>
      </c>
      <c r="AE80" s="3">
        <f t="shared" si="39"/>
        <v>1.2444775446344229</v>
      </c>
      <c r="AF80" s="1"/>
      <c r="AG80" s="1" t="str" cm="1">
        <f t="array" ref="AG80">_xlfn.IFS(Z80&gt;3,"Strong + Slope",Z80&gt;1.5,"Moderate + Slope",Z80&gt;0.5,"Sideway + Slope",Z80&gt;=-0.5,"Sideway Flat",Z80&gt;=-1.5,"Sideway - Slope",Z80&gt;=-3,"Moderate - Slope",TRUE,"Strong - Slope")</f>
        <v>Moderate - Slope</v>
      </c>
      <c r="AH80" s="1" t="str" cm="1">
        <f t="array" ref="AH80">_xlfn.IFS(AA80&gt;3,"Strong + Slope",AA80&gt;1.5,"Moderate + Slope",AA80&gt;0.5,"Sideway + Slope",AA80&gt;=-0.5,"Sideway Flat",AA80&gt;=-1.5,"Sideway - Slope",AA80&gt;=-3,"Moderate - Slope",TRUE,"Strong - Slope")</f>
        <v>Sideway Flat</v>
      </c>
      <c r="AI80" s="1" t="str" cm="1">
        <f t="array" ref="AI80">_xlfn.IFS(AB80&gt;3,"Strong + Slope",AB80&gt;1.5,"Moderate + Slope",AB80&gt;0.5,"Sideway + Slope",AB80&gt;=-0.5,"Sideway Flat",AB80&gt;=-1.5,"Sideway - Slope",AB80&gt;=-3,"Moderate - Slope",TRUE,"Strong - Slope")</f>
        <v>Sideway - Slope</v>
      </c>
      <c r="AJ80" s="1" t="str" cm="1">
        <f t="array" ref="AJ80">_xlfn.IFS(AC80&gt;3,"Strong + Slope",AC80&gt;1.5,"Moderate + Slope",AC80&gt;0.5,"Sideway + Slope",AC80&gt;=-0.5,"Sideway Flat",AC80&gt;=-1.5,"Sideway - Slope",AC80&gt;=-3,"Moderate - Slope",TRUE,"Strong - Slope")</f>
        <v>Sideway + Slope</v>
      </c>
      <c r="AK80" s="1" t="str" cm="1">
        <f t="array" ref="AK80">_xlfn.IFS(AD80&gt;3,"Strong + Slope",AD80&gt;1.5,"Moderate + Slope",AD80&gt;0.5,"Sideway + Slope",AD80&gt;=-0.5,"Sideway Flat",AD80&gt;=-1.5,"Sideway - Slope",AD80&gt;=-3,"Moderate - Slope",TRUE,"Strong - Slope")</f>
        <v>Sideway Flat</v>
      </c>
      <c r="AL80" s="1" t="str" cm="1">
        <f t="array" ref="AL80">_xlfn.IFS(AE80&gt;3,"Strong + Slope",AE80&gt;1.5,"Moderate + Slope",AE80&gt;0.5,"Sideway + Slope",AE80&gt;=-0.5,"Sideway Flat",AE80&gt;=-1.5,"Sideway - Slope",AE80&gt;=-3,"Moderate - Slope",TRUE,"Strong - Slope")</f>
        <v>Sideway + Slope</v>
      </c>
    </row>
    <row r="81" spans="1:38" x14ac:dyDescent="0.55000000000000004">
      <c r="A81" s="1">
        <v>77</v>
      </c>
      <c r="B81" s="1" t="s">
        <v>80</v>
      </c>
      <c r="C81" s="1" t="s">
        <v>4</v>
      </c>
      <c r="D81" s="1" t="s">
        <v>103</v>
      </c>
      <c r="E81" s="1">
        <v>152.83600000000001</v>
      </c>
      <c r="F81" s="1">
        <v>152.77699999999999</v>
      </c>
      <c r="G81" s="1">
        <v>152.80099999999999</v>
      </c>
      <c r="H81" s="1">
        <v>152.85400000000001</v>
      </c>
      <c r="I81" s="1">
        <v>152.88300000000001</v>
      </c>
      <c r="J81" s="1">
        <v>153.14599999999999</v>
      </c>
      <c r="K81" s="1">
        <v>152.61799999999999</v>
      </c>
      <c r="L81" s="1">
        <v>152.58500000000001</v>
      </c>
      <c r="M81" s="1">
        <v>152.88800000000001</v>
      </c>
      <c r="N81" s="11">
        <f t="shared" si="33"/>
        <v>5.9000000000025921E-2</v>
      </c>
      <c r="O81" s="11">
        <f t="shared" si="40"/>
        <v>5.9000000000025921E-2</v>
      </c>
      <c r="P81" s="11">
        <f t="shared" si="41"/>
        <v>0</v>
      </c>
      <c r="Q81" s="11">
        <f t="shared" si="42"/>
        <v>5.9000000000025921E-2</v>
      </c>
      <c r="R81" s="1"/>
      <c r="S81" s="3">
        <f t="shared" si="43"/>
        <v>-2.423265306122455E-3</v>
      </c>
      <c r="T81" s="3">
        <f t="shared" si="44"/>
        <v>-3.7194805194805478E-4</v>
      </c>
      <c r="U81" s="3">
        <f t="shared" si="45"/>
        <v>-1.6402721088435472E-3</v>
      </c>
      <c r="V81" s="3">
        <f t="shared" si="46"/>
        <v>7.6471243042669956E-4</v>
      </c>
      <c r="W81" s="3">
        <f t="shared" si="47"/>
        <v>-2.3081014223875058E-4</v>
      </c>
      <c r="X81" s="3">
        <f t="shared" si="48"/>
        <v>1.5802844774273381E-3</v>
      </c>
      <c r="Y81" s="1"/>
      <c r="Z81" s="3">
        <f t="shared" si="34"/>
        <v>-1.9079214597220278</v>
      </c>
      <c r="AA81" s="3">
        <f t="shared" si="35"/>
        <v>-0.29295343676527091</v>
      </c>
      <c r="AB81" s="3">
        <f t="shared" si="36"/>
        <v>-1.2917022253843653</v>
      </c>
      <c r="AC81" s="3">
        <f t="shared" si="37"/>
        <v>0.60228527619529781</v>
      </c>
      <c r="AD81" s="3">
        <f t="shared" si="38"/>
        <v>-0.18179147971962978</v>
      </c>
      <c r="AE81" s="3">
        <f t="shared" si="39"/>
        <v>1.2444775446344229</v>
      </c>
      <c r="AF81" s="1"/>
      <c r="AG81" s="1" t="str" cm="1">
        <f t="array" ref="AG81">_xlfn.IFS(Z81&gt;3,"Strong + Slope",Z81&gt;1.5,"Moderate + Slope",Z81&gt;0.5,"Sideway + Slope",Z81&gt;=-0.5,"Sideway Flat",Z81&gt;=-1.5,"Sideway - Slope",Z81&gt;=-3,"Moderate - Slope",TRUE,"Strong - Slope")</f>
        <v>Moderate - Slope</v>
      </c>
      <c r="AH81" s="1" t="str" cm="1">
        <f t="array" ref="AH81">_xlfn.IFS(AA81&gt;3,"Strong + Slope",AA81&gt;1.5,"Moderate + Slope",AA81&gt;0.5,"Sideway + Slope",AA81&gt;=-0.5,"Sideway Flat",AA81&gt;=-1.5,"Sideway - Slope",AA81&gt;=-3,"Moderate - Slope",TRUE,"Strong - Slope")</f>
        <v>Sideway Flat</v>
      </c>
      <c r="AI81" s="1" t="str" cm="1">
        <f t="array" ref="AI81">_xlfn.IFS(AB81&gt;3,"Strong + Slope",AB81&gt;1.5,"Moderate + Slope",AB81&gt;0.5,"Sideway + Slope",AB81&gt;=-0.5,"Sideway Flat",AB81&gt;=-1.5,"Sideway - Slope",AB81&gt;=-3,"Moderate - Slope",TRUE,"Strong - Slope")</f>
        <v>Sideway - Slope</v>
      </c>
      <c r="AJ81" s="1" t="str" cm="1">
        <f t="array" ref="AJ81">_xlfn.IFS(AC81&gt;3,"Strong + Slope",AC81&gt;1.5,"Moderate + Slope",AC81&gt;0.5,"Sideway + Slope",AC81&gt;=-0.5,"Sideway Flat",AC81&gt;=-1.5,"Sideway - Slope",AC81&gt;=-3,"Moderate - Slope",TRUE,"Strong - Slope")</f>
        <v>Sideway + Slope</v>
      </c>
      <c r="AK81" s="1" t="str" cm="1">
        <f t="array" ref="AK81">_xlfn.IFS(AD81&gt;3,"Strong + Slope",AD81&gt;1.5,"Moderate + Slope",AD81&gt;0.5,"Sideway + Slope",AD81&gt;=-0.5,"Sideway Flat",AD81&gt;=-1.5,"Sideway - Slope",AD81&gt;=-3,"Moderate - Slope",TRUE,"Strong - Slope")</f>
        <v>Sideway Flat</v>
      </c>
      <c r="AL81" s="1" t="str" cm="1">
        <f t="array" ref="AL81">_xlfn.IFS(AE81&gt;3,"Strong + Slope",AE81&gt;1.5,"Moderate + Slope",AE81&gt;0.5,"Sideway + Slope",AE81&gt;=-0.5,"Sideway Flat",AE81&gt;=-1.5,"Sideway - Slope",AE81&gt;=-3,"Moderate - Slope",TRUE,"Strong - Slope")</f>
        <v>Sideway + Slope</v>
      </c>
    </row>
    <row r="82" spans="1:38" x14ac:dyDescent="0.55000000000000004">
      <c r="A82" s="1">
        <v>78</v>
      </c>
      <c r="B82" s="1" t="s">
        <v>81</v>
      </c>
      <c r="C82" s="1" t="s">
        <v>4</v>
      </c>
      <c r="D82" s="1" t="s">
        <v>103</v>
      </c>
      <c r="E82" s="1">
        <v>152.815</v>
      </c>
      <c r="F82" s="1">
        <v>152.80099999999999</v>
      </c>
      <c r="G82" s="1">
        <v>152.81200000000001</v>
      </c>
      <c r="H82" s="1">
        <v>152.852</v>
      </c>
      <c r="I82" s="1">
        <v>152.88200000000001</v>
      </c>
      <c r="J82" s="1">
        <v>153.14500000000001</v>
      </c>
      <c r="K82" s="1">
        <v>152.619</v>
      </c>
      <c r="L82" s="1">
        <v>152.58500000000001</v>
      </c>
      <c r="M82" s="1">
        <v>152.88999999999999</v>
      </c>
      <c r="N82" s="11">
        <f t="shared" si="33"/>
        <v>1.4000000000010004E-2</v>
      </c>
      <c r="O82" s="11">
        <f t="shared" si="40"/>
        <v>1.4000000000010004E-2</v>
      </c>
      <c r="P82" s="11">
        <f t="shared" si="41"/>
        <v>0</v>
      </c>
      <c r="Q82" s="11">
        <f t="shared" si="42"/>
        <v>1.4000000000010004E-2</v>
      </c>
      <c r="R82" s="1"/>
      <c r="S82" s="3">
        <f t="shared" si="43"/>
        <v>-2.423265306122455E-3</v>
      </c>
      <c r="T82" s="3">
        <f t="shared" si="44"/>
        <v>-3.7194805194805478E-4</v>
      </c>
      <c r="U82" s="3">
        <f t="shared" si="45"/>
        <v>-1.6402721088435472E-3</v>
      </c>
      <c r="V82" s="3">
        <f t="shared" si="46"/>
        <v>7.6471243042669956E-4</v>
      </c>
      <c r="W82" s="3">
        <f t="shared" si="47"/>
        <v>-2.3081014223875058E-4</v>
      </c>
      <c r="X82" s="3">
        <f t="shared" si="48"/>
        <v>1.5802844774273381E-3</v>
      </c>
      <c r="Y82" s="1"/>
      <c r="Z82" s="3">
        <f t="shared" si="34"/>
        <v>-1.9079214597220278</v>
      </c>
      <c r="AA82" s="3">
        <f t="shared" si="35"/>
        <v>-0.29295343676527091</v>
      </c>
      <c r="AB82" s="3">
        <f t="shared" si="36"/>
        <v>-1.2917022253843653</v>
      </c>
      <c r="AC82" s="3">
        <f t="shared" si="37"/>
        <v>0.60228527619529781</v>
      </c>
      <c r="AD82" s="3">
        <f t="shared" si="38"/>
        <v>-0.18179147971962978</v>
      </c>
      <c r="AE82" s="3">
        <f t="shared" si="39"/>
        <v>1.2444775446344229</v>
      </c>
      <c r="AF82" s="1"/>
      <c r="AG82" s="1" t="str" cm="1">
        <f t="array" ref="AG82">_xlfn.IFS(Z82&gt;3,"Strong + Slope",Z82&gt;1.5,"Moderate + Slope",Z82&gt;0.5,"Sideway + Slope",Z82&gt;=-0.5,"Sideway Flat",Z82&gt;=-1.5,"Sideway - Slope",Z82&gt;=-3,"Moderate - Slope",TRUE,"Strong - Slope")</f>
        <v>Moderate - Slope</v>
      </c>
      <c r="AH82" s="1" t="str" cm="1">
        <f t="array" ref="AH82">_xlfn.IFS(AA82&gt;3,"Strong + Slope",AA82&gt;1.5,"Moderate + Slope",AA82&gt;0.5,"Sideway + Slope",AA82&gt;=-0.5,"Sideway Flat",AA82&gt;=-1.5,"Sideway - Slope",AA82&gt;=-3,"Moderate - Slope",TRUE,"Strong - Slope")</f>
        <v>Sideway Flat</v>
      </c>
      <c r="AI82" s="1" t="str" cm="1">
        <f t="array" ref="AI82">_xlfn.IFS(AB82&gt;3,"Strong + Slope",AB82&gt;1.5,"Moderate + Slope",AB82&gt;0.5,"Sideway + Slope",AB82&gt;=-0.5,"Sideway Flat",AB82&gt;=-1.5,"Sideway - Slope",AB82&gt;=-3,"Moderate - Slope",TRUE,"Strong - Slope")</f>
        <v>Sideway - Slope</v>
      </c>
      <c r="AJ82" s="1" t="str" cm="1">
        <f t="array" ref="AJ82">_xlfn.IFS(AC82&gt;3,"Strong + Slope",AC82&gt;1.5,"Moderate + Slope",AC82&gt;0.5,"Sideway + Slope",AC82&gt;=-0.5,"Sideway Flat",AC82&gt;=-1.5,"Sideway - Slope",AC82&gt;=-3,"Moderate - Slope",TRUE,"Strong - Slope")</f>
        <v>Sideway + Slope</v>
      </c>
      <c r="AK82" s="1" t="str" cm="1">
        <f t="array" ref="AK82">_xlfn.IFS(AD82&gt;3,"Strong + Slope",AD82&gt;1.5,"Moderate + Slope",AD82&gt;0.5,"Sideway + Slope",AD82&gt;=-0.5,"Sideway Flat",AD82&gt;=-1.5,"Sideway - Slope",AD82&gt;=-3,"Moderate - Slope",TRUE,"Strong - Slope")</f>
        <v>Sideway Flat</v>
      </c>
      <c r="AL82" s="1" t="str" cm="1">
        <f t="array" ref="AL82">_xlfn.IFS(AE82&gt;3,"Strong + Slope",AE82&gt;1.5,"Moderate + Slope",AE82&gt;0.5,"Sideway + Slope",AE82&gt;=-0.5,"Sideway Flat",AE82&gt;=-1.5,"Sideway - Slope",AE82&gt;=-3,"Moderate - Slope",TRUE,"Strong - Slope")</f>
        <v>Sideway + Slope</v>
      </c>
    </row>
    <row r="83" spans="1:38" x14ac:dyDescent="0.55000000000000004">
      <c r="A83" s="1">
        <v>79</v>
      </c>
      <c r="B83" s="1" t="s">
        <v>82</v>
      </c>
      <c r="C83" s="1" t="s">
        <v>4</v>
      </c>
      <c r="D83" s="1" t="s">
        <v>103</v>
      </c>
      <c r="E83" s="1">
        <v>152.81899999999999</v>
      </c>
      <c r="F83" s="1">
        <v>152.786</v>
      </c>
      <c r="G83" s="1">
        <v>152.786</v>
      </c>
      <c r="H83" s="1">
        <v>152.84899999999999</v>
      </c>
      <c r="I83" s="1">
        <v>152.88200000000001</v>
      </c>
      <c r="J83" s="1">
        <v>153.143</v>
      </c>
      <c r="K83" s="1">
        <v>152.62</v>
      </c>
      <c r="L83" s="1">
        <v>152.58500000000001</v>
      </c>
      <c r="M83" s="1">
        <v>152.89099999999999</v>
      </c>
      <c r="N83" s="11">
        <f t="shared" si="33"/>
        <v>3.299999999998704E-2</v>
      </c>
      <c r="O83" s="11">
        <f t="shared" si="40"/>
        <v>6.9999999999765805E-3</v>
      </c>
      <c r="P83" s="11">
        <f t="shared" si="41"/>
        <v>2.6000000000010459E-2</v>
      </c>
      <c r="Q83" s="11">
        <f t="shared" si="42"/>
        <v>3.299999999998704E-2</v>
      </c>
      <c r="R83" s="1"/>
      <c r="S83" s="3">
        <f t="shared" si="43"/>
        <v>-2.423265306122455E-3</v>
      </c>
      <c r="T83" s="3">
        <f t="shared" si="44"/>
        <v>-3.7194805194805478E-4</v>
      </c>
      <c r="U83" s="3">
        <f t="shared" si="45"/>
        <v>-1.6402721088435472E-3</v>
      </c>
      <c r="V83" s="3">
        <f t="shared" si="46"/>
        <v>7.6471243042669956E-4</v>
      </c>
      <c r="W83" s="3">
        <f t="shared" si="47"/>
        <v>-2.3081014223875058E-4</v>
      </c>
      <c r="X83" s="3">
        <f t="shared" si="48"/>
        <v>1.5802844774273381E-3</v>
      </c>
      <c r="Y83" s="1"/>
      <c r="Z83" s="3">
        <f t="shared" si="34"/>
        <v>-1.9079214597220278</v>
      </c>
      <c r="AA83" s="3">
        <f t="shared" si="35"/>
        <v>-0.29295343676527091</v>
      </c>
      <c r="AB83" s="3">
        <f t="shared" si="36"/>
        <v>-1.2917022253843653</v>
      </c>
      <c r="AC83" s="3">
        <f t="shared" si="37"/>
        <v>0.60228527619529781</v>
      </c>
      <c r="AD83" s="3">
        <f t="shared" si="38"/>
        <v>-0.18179147971962978</v>
      </c>
      <c r="AE83" s="3">
        <f t="shared" si="39"/>
        <v>1.2444775446344229</v>
      </c>
      <c r="AF83" s="1"/>
      <c r="AG83" s="1" t="str" cm="1">
        <f t="array" ref="AG83">_xlfn.IFS(Z83&gt;3,"Strong + Slope",Z83&gt;1.5,"Moderate + Slope",Z83&gt;0.5,"Sideway + Slope",Z83&gt;=-0.5,"Sideway Flat",Z83&gt;=-1.5,"Sideway - Slope",Z83&gt;=-3,"Moderate - Slope",TRUE,"Strong - Slope")</f>
        <v>Moderate - Slope</v>
      </c>
      <c r="AH83" s="1" t="str" cm="1">
        <f t="array" ref="AH83">_xlfn.IFS(AA83&gt;3,"Strong + Slope",AA83&gt;1.5,"Moderate + Slope",AA83&gt;0.5,"Sideway + Slope",AA83&gt;=-0.5,"Sideway Flat",AA83&gt;=-1.5,"Sideway - Slope",AA83&gt;=-3,"Moderate - Slope",TRUE,"Strong - Slope")</f>
        <v>Sideway Flat</v>
      </c>
      <c r="AI83" s="1" t="str" cm="1">
        <f t="array" ref="AI83">_xlfn.IFS(AB83&gt;3,"Strong + Slope",AB83&gt;1.5,"Moderate + Slope",AB83&gt;0.5,"Sideway + Slope",AB83&gt;=-0.5,"Sideway Flat",AB83&gt;=-1.5,"Sideway - Slope",AB83&gt;=-3,"Moderate - Slope",TRUE,"Strong - Slope")</f>
        <v>Sideway - Slope</v>
      </c>
      <c r="AJ83" s="1" t="str" cm="1">
        <f t="array" ref="AJ83">_xlfn.IFS(AC83&gt;3,"Strong + Slope",AC83&gt;1.5,"Moderate + Slope",AC83&gt;0.5,"Sideway + Slope",AC83&gt;=-0.5,"Sideway Flat",AC83&gt;=-1.5,"Sideway - Slope",AC83&gt;=-3,"Moderate - Slope",TRUE,"Strong - Slope")</f>
        <v>Sideway + Slope</v>
      </c>
      <c r="AK83" s="1" t="str" cm="1">
        <f t="array" ref="AK83">_xlfn.IFS(AD83&gt;3,"Strong + Slope",AD83&gt;1.5,"Moderate + Slope",AD83&gt;0.5,"Sideway + Slope",AD83&gt;=-0.5,"Sideway Flat",AD83&gt;=-1.5,"Sideway - Slope",AD83&gt;=-3,"Moderate - Slope",TRUE,"Strong - Slope")</f>
        <v>Sideway Flat</v>
      </c>
      <c r="AL83" s="1" t="str" cm="1">
        <f t="array" ref="AL83">_xlfn.IFS(AE83&gt;3,"Strong + Slope",AE83&gt;1.5,"Moderate + Slope",AE83&gt;0.5,"Sideway + Slope",AE83&gt;=-0.5,"Sideway Flat",AE83&gt;=-1.5,"Sideway - Slope",AE83&gt;=-3,"Moderate - Slope",TRUE,"Strong - Slope")</f>
        <v>Sideway + Slope</v>
      </c>
    </row>
    <row r="84" spans="1:38" x14ac:dyDescent="0.55000000000000004">
      <c r="A84" s="1">
        <v>80</v>
      </c>
      <c r="B84" s="1" t="s">
        <v>83</v>
      </c>
      <c r="C84" s="1" t="s">
        <v>4</v>
      </c>
      <c r="D84" s="1" t="s">
        <v>103</v>
      </c>
      <c r="E84" s="1">
        <v>152.816</v>
      </c>
      <c r="F84" s="1">
        <v>152.786</v>
      </c>
      <c r="G84" s="1">
        <v>152.81399999999999</v>
      </c>
      <c r="H84" s="1">
        <v>152.84700000000001</v>
      </c>
      <c r="I84" s="1">
        <v>152.88200000000001</v>
      </c>
      <c r="J84" s="1">
        <v>153.14099999999999</v>
      </c>
      <c r="K84" s="1">
        <v>152.62100000000001</v>
      </c>
      <c r="L84" s="1">
        <v>152.58500000000001</v>
      </c>
      <c r="M84" s="1">
        <v>152.893</v>
      </c>
      <c r="N84" s="11">
        <f t="shared" si="33"/>
        <v>3.0000000000001137E-2</v>
      </c>
      <c r="O84" s="11">
        <f t="shared" si="40"/>
        <v>3.0000000000001137E-2</v>
      </c>
      <c r="P84" s="11">
        <f t="shared" si="41"/>
        <v>0</v>
      </c>
      <c r="Q84" s="11">
        <f t="shared" si="42"/>
        <v>3.0000000000001137E-2</v>
      </c>
      <c r="R84" s="1"/>
      <c r="S84" s="3">
        <f t="shared" si="43"/>
        <v>-2.423265306122455E-3</v>
      </c>
      <c r="T84" s="3">
        <f t="shared" si="44"/>
        <v>-3.7194805194805478E-4</v>
      </c>
      <c r="U84" s="3">
        <f t="shared" si="45"/>
        <v>-1.6402721088435472E-3</v>
      </c>
      <c r="V84" s="3">
        <f t="shared" si="46"/>
        <v>7.6471243042669956E-4</v>
      </c>
      <c r="W84" s="3">
        <f t="shared" si="47"/>
        <v>-2.3081014223875058E-4</v>
      </c>
      <c r="X84" s="3">
        <f t="shared" si="48"/>
        <v>1.5802844774273381E-3</v>
      </c>
      <c r="Y84" s="1"/>
      <c r="Z84" s="3">
        <f t="shared" si="34"/>
        <v>-1.9079214597220278</v>
      </c>
      <c r="AA84" s="3">
        <f t="shared" si="35"/>
        <v>-0.29295343676527091</v>
      </c>
      <c r="AB84" s="3">
        <f t="shared" si="36"/>
        <v>-1.2917022253843653</v>
      </c>
      <c r="AC84" s="3">
        <f t="shared" si="37"/>
        <v>0.60228527619529781</v>
      </c>
      <c r="AD84" s="3">
        <f t="shared" si="38"/>
        <v>-0.18179147971962978</v>
      </c>
      <c r="AE84" s="3">
        <f t="shared" si="39"/>
        <v>1.2444775446344229</v>
      </c>
      <c r="AF84" s="1"/>
      <c r="AG84" s="1" t="str" cm="1">
        <f t="array" ref="AG84">_xlfn.IFS(Z84&gt;3,"Strong + Slope",Z84&gt;1.5,"Moderate + Slope",Z84&gt;0.5,"Sideway + Slope",Z84&gt;=-0.5,"Sideway Flat",Z84&gt;=-1.5,"Sideway - Slope",Z84&gt;=-3,"Moderate - Slope",TRUE,"Strong - Slope")</f>
        <v>Moderate - Slope</v>
      </c>
      <c r="AH84" s="1" t="str" cm="1">
        <f t="array" ref="AH84">_xlfn.IFS(AA84&gt;3,"Strong + Slope",AA84&gt;1.5,"Moderate + Slope",AA84&gt;0.5,"Sideway + Slope",AA84&gt;=-0.5,"Sideway Flat",AA84&gt;=-1.5,"Sideway - Slope",AA84&gt;=-3,"Moderate - Slope",TRUE,"Strong - Slope")</f>
        <v>Sideway Flat</v>
      </c>
      <c r="AI84" s="1" t="str" cm="1">
        <f t="array" ref="AI84">_xlfn.IFS(AB84&gt;3,"Strong + Slope",AB84&gt;1.5,"Moderate + Slope",AB84&gt;0.5,"Sideway + Slope",AB84&gt;=-0.5,"Sideway Flat",AB84&gt;=-1.5,"Sideway - Slope",AB84&gt;=-3,"Moderate - Slope",TRUE,"Strong - Slope")</f>
        <v>Sideway - Slope</v>
      </c>
      <c r="AJ84" s="1" t="str" cm="1">
        <f t="array" ref="AJ84">_xlfn.IFS(AC84&gt;3,"Strong + Slope",AC84&gt;1.5,"Moderate + Slope",AC84&gt;0.5,"Sideway + Slope",AC84&gt;=-0.5,"Sideway Flat",AC84&gt;=-1.5,"Sideway - Slope",AC84&gt;=-3,"Moderate - Slope",TRUE,"Strong - Slope")</f>
        <v>Sideway + Slope</v>
      </c>
      <c r="AK84" s="1" t="str" cm="1">
        <f t="array" ref="AK84">_xlfn.IFS(AD84&gt;3,"Strong + Slope",AD84&gt;1.5,"Moderate + Slope",AD84&gt;0.5,"Sideway + Slope",AD84&gt;=-0.5,"Sideway Flat",AD84&gt;=-1.5,"Sideway - Slope",AD84&gt;=-3,"Moderate - Slope",TRUE,"Strong - Slope")</f>
        <v>Sideway Flat</v>
      </c>
      <c r="AL84" s="1" t="str" cm="1">
        <f t="array" ref="AL84">_xlfn.IFS(AE84&gt;3,"Strong + Slope",AE84&gt;1.5,"Moderate + Slope",AE84&gt;0.5,"Sideway + Slope",AE84&gt;=-0.5,"Sideway Flat",AE84&gt;=-1.5,"Sideway - Slope",AE84&gt;=-3,"Moderate - Slope",TRUE,"Strong - Slope")</f>
        <v>Sideway + Slope</v>
      </c>
    </row>
    <row r="85" spans="1:38" x14ac:dyDescent="0.55000000000000004">
      <c r="A85" s="1">
        <v>81</v>
      </c>
      <c r="B85" s="1" t="s">
        <v>84</v>
      </c>
      <c r="C85" s="1" t="s">
        <v>4</v>
      </c>
      <c r="D85" s="1" t="s">
        <v>103</v>
      </c>
      <c r="E85" s="1">
        <v>152.81800000000001</v>
      </c>
      <c r="F85" s="1">
        <v>152.78700000000001</v>
      </c>
      <c r="G85" s="1">
        <v>152.78700000000001</v>
      </c>
      <c r="H85" s="1">
        <v>152.84399999999999</v>
      </c>
      <c r="I85" s="1">
        <v>152.881</v>
      </c>
      <c r="J85" s="1">
        <v>153.13999999999999</v>
      </c>
      <c r="K85" s="1">
        <v>152.62100000000001</v>
      </c>
      <c r="L85" s="1">
        <v>152.584</v>
      </c>
      <c r="M85" s="1">
        <v>152.89400000000001</v>
      </c>
      <c r="N85" s="11">
        <f t="shared" si="33"/>
        <v>3.1000000000005912E-2</v>
      </c>
      <c r="O85" s="11">
        <f t="shared" si="40"/>
        <v>4.0000000000190994E-3</v>
      </c>
      <c r="P85" s="11">
        <f t="shared" si="41"/>
        <v>2.6999999999986812E-2</v>
      </c>
      <c r="Q85" s="11">
        <f t="shared" si="42"/>
        <v>3.1000000000005912E-2</v>
      </c>
      <c r="R85" s="1"/>
      <c r="S85" s="3">
        <f t="shared" si="43"/>
        <v>-2.423265306122455E-3</v>
      </c>
      <c r="T85" s="3">
        <f t="shared" si="44"/>
        <v>-3.7194805194805478E-4</v>
      </c>
      <c r="U85" s="3">
        <f t="shared" si="45"/>
        <v>-1.6402721088435472E-3</v>
      </c>
      <c r="V85" s="3">
        <f t="shared" si="46"/>
        <v>7.6471243042669956E-4</v>
      </c>
      <c r="W85" s="3">
        <f t="shared" si="47"/>
        <v>-2.3081014223875058E-4</v>
      </c>
      <c r="X85" s="3">
        <f t="shared" si="48"/>
        <v>1.5802844774273381E-3</v>
      </c>
      <c r="Y85" s="1"/>
      <c r="Z85" s="3">
        <f t="shared" si="34"/>
        <v>-1.9079214597220278</v>
      </c>
      <c r="AA85" s="3">
        <f t="shared" si="35"/>
        <v>-0.29295343676527091</v>
      </c>
      <c r="AB85" s="3">
        <f t="shared" si="36"/>
        <v>-1.2917022253843653</v>
      </c>
      <c r="AC85" s="3">
        <f t="shared" si="37"/>
        <v>0.60228527619529781</v>
      </c>
      <c r="AD85" s="3">
        <f t="shared" si="38"/>
        <v>-0.18179147971962978</v>
      </c>
      <c r="AE85" s="3">
        <f t="shared" si="39"/>
        <v>1.2444775446344229</v>
      </c>
      <c r="AF85" s="1"/>
      <c r="AG85" s="1" t="str" cm="1">
        <f t="array" ref="AG85">_xlfn.IFS(Z85&gt;3,"Strong + Slope",Z85&gt;1.5,"Moderate + Slope",Z85&gt;0.5,"Sideway + Slope",Z85&gt;=-0.5,"Sideway Flat",Z85&gt;=-1.5,"Sideway - Slope",Z85&gt;=-3,"Moderate - Slope",TRUE,"Strong - Slope")</f>
        <v>Moderate - Slope</v>
      </c>
      <c r="AH85" s="1" t="str" cm="1">
        <f t="array" ref="AH85">_xlfn.IFS(AA85&gt;3,"Strong + Slope",AA85&gt;1.5,"Moderate + Slope",AA85&gt;0.5,"Sideway + Slope",AA85&gt;=-0.5,"Sideway Flat",AA85&gt;=-1.5,"Sideway - Slope",AA85&gt;=-3,"Moderate - Slope",TRUE,"Strong - Slope")</f>
        <v>Sideway Flat</v>
      </c>
      <c r="AI85" s="1" t="str" cm="1">
        <f t="array" ref="AI85">_xlfn.IFS(AB85&gt;3,"Strong + Slope",AB85&gt;1.5,"Moderate + Slope",AB85&gt;0.5,"Sideway + Slope",AB85&gt;=-0.5,"Sideway Flat",AB85&gt;=-1.5,"Sideway - Slope",AB85&gt;=-3,"Moderate - Slope",TRUE,"Strong - Slope")</f>
        <v>Sideway - Slope</v>
      </c>
      <c r="AJ85" s="1" t="str" cm="1">
        <f t="array" ref="AJ85">_xlfn.IFS(AC85&gt;3,"Strong + Slope",AC85&gt;1.5,"Moderate + Slope",AC85&gt;0.5,"Sideway + Slope",AC85&gt;=-0.5,"Sideway Flat",AC85&gt;=-1.5,"Sideway - Slope",AC85&gt;=-3,"Moderate - Slope",TRUE,"Strong - Slope")</f>
        <v>Sideway + Slope</v>
      </c>
      <c r="AK85" s="1" t="str" cm="1">
        <f t="array" ref="AK85">_xlfn.IFS(AD85&gt;3,"Strong + Slope",AD85&gt;1.5,"Moderate + Slope",AD85&gt;0.5,"Sideway + Slope",AD85&gt;=-0.5,"Sideway Flat",AD85&gt;=-1.5,"Sideway - Slope",AD85&gt;=-3,"Moderate - Slope",TRUE,"Strong - Slope")</f>
        <v>Sideway Flat</v>
      </c>
      <c r="AL85" s="1" t="str" cm="1">
        <f t="array" ref="AL85">_xlfn.IFS(AE85&gt;3,"Strong + Slope",AE85&gt;1.5,"Moderate + Slope",AE85&gt;0.5,"Sideway + Slope",AE85&gt;=-0.5,"Sideway Flat",AE85&gt;=-1.5,"Sideway - Slope",AE85&gt;=-3,"Moderate - Slope",TRUE,"Strong - Slope")</f>
        <v>Sideway + Slope</v>
      </c>
    </row>
    <row r="86" spans="1:38" x14ac:dyDescent="0.55000000000000004">
      <c r="A86" s="1">
        <v>82</v>
      </c>
      <c r="B86" s="1" t="s">
        <v>85</v>
      </c>
      <c r="C86" s="1" t="s">
        <v>4</v>
      </c>
      <c r="D86" s="1" t="s">
        <v>103</v>
      </c>
      <c r="E86" s="1">
        <v>152.79</v>
      </c>
      <c r="F86" s="1">
        <v>152.71899999999999</v>
      </c>
      <c r="G86" s="1">
        <v>152.72999999999999</v>
      </c>
      <c r="H86" s="1">
        <v>152.84200000000001</v>
      </c>
      <c r="I86" s="1">
        <v>152.881</v>
      </c>
      <c r="J86" s="1">
        <v>153.13800000000001</v>
      </c>
      <c r="K86" s="1">
        <v>152.62200000000001</v>
      </c>
      <c r="L86" s="1">
        <v>152.584</v>
      </c>
      <c r="M86" s="1">
        <v>152.89599999999999</v>
      </c>
      <c r="N86" s="11">
        <f t="shared" si="33"/>
        <v>7.0999999999997954E-2</v>
      </c>
      <c r="O86" s="11">
        <f t="shared" si="40"/>
        <v>2.9999999999859028E-3</v>
      </c>
      <c r="P86" s="11">
        <f t="shared" si="41"/>
        <v>6.8000000000012051E-2</v>
      </c>
      <c r="Q86" s="11">
        <f t="shared" si="42"/>
        <v>7.0999999999997954E-2</v>
      </c>
      <c r="R86" s="1"/>
      <c r="S86" s="3">
        <f t="shared" si="43"/>
        <v>-2.423265306122455E-3</v>
      </c>
      <c r="T86" s="3">
        <f t="shared" si="44"/>
        <v>-3.7194805194805478E-4</v>
      </c>
      <c r="U86" s="3">
        <f t="shared" si="45"/>
        <v>-1.6402721088435472E-3</v>
      </c>
      <c r="V86" s="3">
        <f t="shared" si="46"/>
        <v>7.6471243042669956E-4</v>
      </c>
      <c r="W86" s="3">
        <f t="shared" si="47"/>
        <v>-2.3081014223875058E-4</v>
      </c>
      <c r="X86" s="3">
        <f t="shared" si="48"/>
        <v>1.5802844774273381E-3</v>
      </c>
      <c r="Y86" s="1"/>
      <c r="Z86" s="3">
        <f t="shared" si="34"/>
        <v>-1.9079214597220278</v>
      </c>
      <c r="AA86" s="3">
        <f t="shared" si="35"/>
        <v>-0.29295343676527091</v>
      </c>
      <c r="AB86" s="3">
        <f t="shared" si="36"/>
        <v>-1.2917022253843653</v>
      </c>
      <c r="AC86" s="3">
        <f t="shared" si="37"/>
        <v>0.60228527619529781</v>
      </c>
      <c r="AD86" s="3">
        <f t="shared" si="38"/>
        <v>-0.18179147971962978</v>
      </c>
      <c r="AE86" s="3">
        <f t="shared" si="39"/>
        <v>1.2444775446344229</v>
      </c>
      <c r="AF86" s="1"/>
      <c r="AG86" s="1" t="str" cm="1">
        <f t="array" ref="AG86">_xlfn.IFS(Z86&gt;3,"Strong + Slope",Z86&gt;1.5,"Moderate + Slope",Z86&gt;0.5,"Sideway + Slope",Z86&gt;=-0.5,"Sideway Flat",Z86&gt;=-1.5,"Sideway - Slope",Z86&gt;=-3,"Moderate - Slope",TRUE,"Strong - Slope")</f>
        <v>Moderate - Slope</v>
      </c>
      <c r="AH86" s="1" t="str" cm="1">
        <f t="array" ref="AH86">_xlfn.IFS(AA86&gt;3,"Strong + Slope",AA86&gt;1.5,"Moderate + Slope",AA86&gt;0.5,"Sideway + Slope",AA86&gt;=-0.5,"Sideway Flat",AA86&gt;=-1.5,"Sideway - Slope",AA86&gt;=-3,"Moderate - Slope",TRUE,"Strong - Slope")</f>
        <v>Sideway Flat</v>
      </c>
      <c r="AI86" s="1" t="str" cm="1">
        <f t="array" ref="AI86">_xlfn.IFS(AB86&gt;3,"Strong + Slope",AB86&gt;1.5,"Moderate + Slope",AB86&gt;0.5,"Sideway + Slope",AB86&gt;=-0.5,"Sideway Flat",AB86&gt;=-1.5,"Sideway - Slope",AB86&gt;=-3,"Moderate - Slope",TRUE,"Strong - Slope")</f>
        <v>Sideway - Slope</v>
      </c>
      <c r="AJ86" s="1" t="str" cm="1">
        <f t="array" ref="AJ86">_xlfn.IFS(AC86&gt;3,"Strong + Slope",AC86&gt;1.5,"Moderate + Slope",AC86&gt;0.5,"Sideway + Slope",AC86&gt;=-0.5,"Sideway Flat",AC86&gt;=-1.5,"Sideway - Slope",AC86&gt;=-3,"Moderate - Slope",TRUE,"Strong - Slope")</f>
        <v>Sideway + Slope</v>
      </c>
      <c r="AK86" s="1" t="str" cm="1">
        <f t="array" ref="AK86">_xlfn.IFS(AD86&gt;3,"Strong + Slope",AD86&gt;1.5,"Moderate + Slope",AD86&gt;0.5,"Sideway + Slope",AD86&gt;=-0.5,"Sideway Flat",AD86&gt;=-1.5,"Sideway - Slope",AD86&gt;=-3,"Moderate - Slope",TRUE,"Strong - Slope")</f>
        <v>Sideway Flat</v>
      </c>
      <c r="AL86" s="1" t="str" cm="1">
        <f t="array" ref="AL86">_xlfn.IFS(AE86&gt;3,"Strong + Slope",AE86&gt;1.5,"Moderate + Slope",AE86&gt;0.5,"Sideway + Slope",AE86&gt;=-0.5,"Sideway Flat",AE86&gt;=-1.5,"Sideway - Slope",AE86&gt;=-3,"Moderate - Slope",TRUE,"Strong - Slope")</f>
        <v>Sideway + Slope</v>
      </c>
    </row>
    <row r="87" spans="1:38" x14ac:dyDescent="0.55000000000000004">
      <c r="A87" s="1">
        <v>83</v>
      </c>
      <c r="B87" s="1" t="s">
        <v>86</v>
      </c>
      <c r="C87" s="1" t="s">
        <v>4</v>
      </c>
      <c r="D87" s="1" t="s">
        <v>103</v>
      </c>
      <c r="E87" s="1">
        <v>152.73699999999999</v>
      </c>
      <c r="F87" s="1">
        <v>152.702</v>
      </c>
      <c r="G87" s="1">
        <v>152.72800000000001</v>
      </c>
      <c r="H87" s="1">
        <v>152.84</v>
      </c>
      <c r="I87" s="1">
        <v>152.881</v>
      </c>
      <c r="J87" s="1">
        <v>153.136</v>
      </c>
      <c r="K87" s="1">
        <v>152.62299999999999</v>
      </c>
      <c r="L87" s="1">
        <v>152.584</v>
      </c>
      <c r="M87" s="1">
        <v>152.898</v>
      </c>
      <c r="N87" s="11">
        <f t="shared" si="33"/>
        <v>3.4999999999996589E-2</v>
      </c>
      <c r="O87" s="11">
        <f t="shared" si="40"/>
        <v>7.0000000000050022E-3</v>
      </c>
      <c r="P87" s="11">
        <f t="shared" si="41"/>
        <v>2.7999999999991587E-2</v>
      </c>
      <c r="Q87" s="11">
        <f t="shared" si="42"/>
        <v>3.4999999999996589E-2</v>
      </c>
      <c r="R87" s="1"/>
      <c r="S87" s="3">
        <f t="shared" si="43"/>
        <v>-2.423265306122455E-3</v>
      </c>
      <c r="T87" s="3">
        <f t="shared" si="44"/>
        <v>-3.7194805194805478E-4</v>
      </c>
      <c r="U87" s="3">
        <f t="shared" si="45"/>
        <v>-1.6402721088435472E-3</v>
      </c>
      <c r="V87" s="3">
        <f t="shared" si="46"/>
        <v>7.6471243042669956E-4</v>
      </c>
      <c r="W87" s="3">
        <f t="shared" si="47"/>
        <v>-2.3081014223875058E-4</v>
      </c>
      <c r="X87" s="3">
        <f t="shared" si="48"/>
        <v>1.5802844774273381E-3</v>
      </c>
      <c r="Y87" s="1"/>
      <c r="Z87" s="3">
        <f t="shared" si="34"/>
        <v>-1.9079214597220278</v>
      </c>
      <c r="AA87" s="3">
        <f t="shared" si="35"/>
        <v>-0.29295343676527091</v>
      </c>
      <c r="AB87" s="3">
        <f t="shared" si="36"/>
        <v>-1.2917022253843653</v>
      </c>
      <c r="AC87" s="3">
        <f t="shared" si="37"/>
        <v>0.60228527619529781</v>
      </c>
      <c r="AD87" s="3">
        <f t="shared" si="38"/>
        <v>-0.18179147971962978</v>
      </c>
      <c r="AE87" s="3">
        <f t="shared" si="39"/>
        <v>1.2444775446344229</v>
      </c>
      <c r="AF87" s="1"/>
      <c r="AG87" s="1" t="str" cm="1">
        <f t="array" ref="AG87">_xlfn.IFS(Z87&gt;3,"Strong + Slope",Z87&gt;1.5,"Moderate + Slope",Z87&gt;0.5,"Sideway + Slope",Z87&gt;=-0.5,"Sideway Flat",Z87&gt;=-1.5,"Sideway - Slope",Z87&gt;=-3,"Moderate - Slope",TRUE,"Strong - Slope")</f>
        <v>Moderate - Slope</v>
      </c>
      <c r="AH87" s="1" t="str" cm="1">
        <f t="array" ref="AH87">_xlfn.IFS(AA87&gt;3,"Strong + Slope",AA87&gt;1.5,"Moderate + Slope",AA87&gt;0.5,"Sideway + Slope",AA87&gt;=-0.5,"Sideway Flat",AA87&gt;=-1.5,"Sideway - Slope",AA87&gt;=-3,"Moderate - Slope",TRUE,"Strong - Slope")</f>
        <v>Sideway Flat</v>
      </c>
      <c r="AI87" s="1" t="str" cm="1">
        <f t="array" ref="AI87">_xlfn.IFS(AB87&gt;3,"Strong + Slope",AB87&gt;1.5,"Moderate + Slope",AB87&gt;0.5,"Sideway + Slope",AB87&gt;=-0.5,"Sideway Flat",AB87&gt;=-1.5,"Sideway - Slope",AB87&gt;=-3,"Moderate - Slope",TRUE,"Strong - Slope")</f>
        <v>Sideway - Slope</v>
      </c>
      <c r="AJ87" s="1" t="str" cm="1">
        <f t="array" ref="AJ87">_xlfn.IFS(AC87&gt;3,"Strong + Slope",AC87&gt;1.5,"Moderate + Slope",AC87&gt;0.5,"Sideway + Slope",AC87&gt;=-0.5,"Sideway Flat",AC87&gt;=-1.5,"Sideway - Slope",AC87&gt;=-3,"Moderate - Slope",TRUE,"Strong - Slope")</f>
        <v>Sideway + Slope</v>
      </c>
      <c r="AK87" s="1" t="str" cm="1">
        <f t="array" ref="AK87">_xlfn.IFS(AD87&gt;3,"Strong + Slope",AD87&gt;1.5,"Moderate + Slope",AD87&gt;0.5,"Sideway + Slope",AD87&gt;=-0.5,"Sideway Flat",AD87&gt;=-1.5,"Sideway - Slope",AD87&gt;=-3,"Moderate - Slope",TRUE,"Strong - Slope")</f>
        <v>Sideway Flat</v>
      </c>
      <c r="AL87" s="1" t="str" cm="1">
        <f t="array" ref="AL87">_xlfn.IFS(AE87&gt;3,"Strong + Slope",AE87&gt;1.5,"Moderate + Slope",AE87&gt;0.5,"Sideway + Slope",AE87&gt;=-0.5,"Sideway Flat",AE87&gt;=-1.5,"Sideway - Slope",AE87&gt;=-3,"Moderate - Slope",TRUE,"Strong - Slope")</f>
        <v>Sideway + Slope</v>
      </c>
    </row>
    <row r="88" spans="1:38" x14ac:dyDescent="0.55000000000000004">
      <c r="A88" s="1">
        <v>84</v>
      </c>
      <c r="B88" s="1" t="s">
        <v>87</v>
      </c>
      <c r="C88" s="1" t="s">
        <v>4</v>
      </c>
      <c r="D88" s="1" t="s">
        <v>103</v>
      </c>
      <c r="E88" s="1">
        <v>152.75299999999999</v>
      </c>
      <c r="F88" s="1">
        <v>152.71700000000001</v>
      </c>
      <c r="G88" s="1">
        <v>152.72900000000001</v>
      </c>
      <c r="H88" s="1">
        <v>152.83699999999999</v>
      </c>
      <c r="I88" s="1">
        <v>152.88</v>
      </c>
      <c r="J88" s="1">
        <v>153.13499999999999</v>
      </c>
      <c r="K88" s="1">
        <v>152.624</v>
      </c>
      <c r="L88" s="1">
        <v>152.584</v>
      </c>
      <c r="M88" s="1">
        <v>152.899</v>
      </c>
      <c r="N88" s="11">
        <f t="shared" si="33"/>
        <v>3.5999999999972943E-2</v>
      </c>
      <c r="O88" s="11">
        <f t="shared" si="40"/>
        <v>2.4999999999977263E-2</v>
      </c>
      <c r="P88" s="11">
        <f t="shared" si="41"/>
        <v>1.099999999999568E-2</v>
      </c>
      <c r="Q88" s="11">
        <f t="shared" si="42"/>
        <v>3.5999999999972943E-2</v>
      </c>
      <c r="R88" s="1"/>
      <c r="S88" s="3">
        <f t="shared" si="43"/>
        <v>-2.423265306122455E-3</v>
      </c>
      <c r="T88" s="3">
        <f t="shared" si="44"/>
        <v>-3.7194805194805478E-4</v>
      </c>
      <c r="U88" s="3">
        <f t="shared" si="45"/>
        <v>-1.6402721088435472E-3</v>
      </c>
      <c r="V88" s="3">
        <f t="shared" si="46"/>
        <v>7.6471243042669956E-4</v>
      </c>
      <c r="W88" s="3">
        <f t="shared" si="47"/>
        <v>-2.3081014223875058E-4</v>
      </c>
      <c r="X88" s="3">
        <f t="shared" si="48"/>
        <v>1.5802844774273381E-3</v>
      </c>
      <c r="Y88" s="1"/>
      <c r="Z88" s="3">
        <f t="shared" si="34"/>
        <v>-1.9079214597220278</v>
      </c>
      <c r="AA88" s="3">
        <f t="shared" si="35"/>
        <v>-0.29295343676527091</v>
      </c>
      <c r="AB88" s="3">
        <f t="shared" si="36"/>
        <v>-1.2917022253843653</v>
      </c>
      <c r="AC88" s="3">
        <f t="shared" si="37"/>
        <v>0.60228527619529781</v>
      </c>
      <c r="AD88" s="3">
        <f t="shared" si="38"/>
        <v>-0.18179147971962978</v>
      </c>
      <c r="AE88" s="3">
        <f t="shared" si="39"/>
        <v>1.2444775446344229</v>
      </c>
      <c r="AF88" s="1"/>
      <c r="AG88" s="1" t="str" cm="1">
        <f t="array" ref="AG88">_xlfn.IFS(Z88&gt;3,"Strong + Slope",Z88&gt;1.5,"Moderate + Slope",Z88&gt;0.5,"Sideway + Slope",Z88&gt;=-0.5,"Sideway Flat",Z88&gt;=-1.5,"Sideway - Slope",Z88&gt;=-3,"Moderate - Slope",TRUE,"Strong - Slope")</f>
        <v>Moderate - Slope</v>
      </c>
      <c r="AH88" s="1" t="str" cm="1">
        <f t="array" ref="AH88">_xlfn.IFS(AA88&gt;3,"Strong + Slope",AA88&gt;1.5,"Moderate + Slope",AA88&gt;0.5,"Sideway + Slope",AA88&gt;=-0.5,"Sideway Flat",AA88&gt;=-1.5,"Sideway - Slope",AA88&gt;=-3,"Moderate - Slope",TRUE,"Strong - Slope")</f>
        <v>Sideway Flat</v>
      </c>
      <c r="AI88" s="1" t="str" cm="1">
        <f t="array" ref="AI88">_xlfn.IFS(AB88&gt;3,"Strong + Slope",AB88&gt;1.5,"Moderate + Slope",AB88&gt;0.5,"Sideway + Slope",AB88&gt;=-0.5,"Sideway Flat",AB88&gt;=-1.5,"Sideway - Slope",AB88&gt;=-3,"Moderate - Slope",TRUE,"Strong - Slope")</f>
        <v>Sideway - Slope</v>
      </c>
      <c r="AJ88" s="1" t="str" cm="1">
        <f t="array" ref="AJ88">_xlfn.IFS(AC88&gt;3,"Strong + Slope",AC88&gt;1.5,"Moderate + Slope",AC88&gt;0.5,"Sideway + Slope",AC88&gt;=-0.5,"Sideway Flat",AC88&gt;=-1.5,"Sideway - Slope",AC88&gt;=-3,"Moderate - Slope",TRUE,"Strong - Slope")</f>
        <v>Sideway + Slope</v>
      </c>
      <c r="AK88" s="1" t="str" cm="1">
        <f t="array" ref="AK88">_xlfn.IFS(AD88&gt;3,"Strong + Slope",AD88&gt;1.5,"Moderate + Slope",AD88&gt;0.5,"Sideway + Slope",AD88&gt;=-0.5,"Sideway Flat",AD88&gt;=-1.5,"Sideway - Slope",AD88&gt;=-3,"Moderate - Slope",TRUE,"Strong - Slope")</f>
        <v>Sideway Flat</v>
      </c>
      <c r="AL88" s="1" t="str" cm="1">
        <f t="array" ref="AL88">_xlfn.IFS(AE88&gt;3,"Strong + Slope",AE88&gt;1.5,"Moderate + Slope",AE88&gt;0.5,"Sideway + Slope",AE88&gt;=-0.5,"Sideway Flat",AE88&gt;=-1.5,"Sideway - Slope",AE88&gt;=-3,"Moderate - Slope",TRUE,"Strong - Slope")</f>
        <v>Sideway + Slope</v>
      </c>
    </row>
    <row r="89" spans="1:38" x14ac:dyDescent="0.55000000000000004">
      <c r="A89" s="1">
        <v>85</v>
      </c>
      <c r="B89" s="1" t="s">
        <v>88</v>
      </c>
      <c r="C89" s="1" t="s">
        <v>4</v>
      </c>
      <c r="D89" s="1" t="s">
        <v>103</v>
      </c>
      <c r="E89" s="1">
        <v>152.749</v>
      </c>
      <c r="F89" s="1">
        <v>152.726</v>
      </c>
      <c r="G89" s="1">
        <v>152.74600000000001</v>
      </c>
      <c r="H89" s="1">
        <v>152.83500000000001</v>
      </c>
      <c r="I89" s="1">
        <v>152.88</v>
      </c>
      <c r="J89" s="1">
        <v>153.13300000000001</v>
      </c>
      <c r="K89" s="1">
        <v>152.624</v>
      </c>
      <c r="L89" s="1">
        <v>152.584</v>
      </c>
      <c r="M89" s="1">
        <v>152.90100000000001</v>
      </c>
      <c r="N89" s="11">
        <f t="shared" si="33"/>
        <v>2.2999999999996135E-2</v>
      </c>
      <c r="O89" s="11">
        <f t="shared" si="40"/>
        <v>1.999999999998181E-2</v>
      </c>
      <c r="P89" s="11">
        <f t="shared" si="41"/>
        <v>3.0000000000143245E-3</v>
      </c>
      <c r="Q89" s="11">
        <f t="shared" si="42"/>
        <v>2.2999999999996135E-2</v>
      </c>
      <c r="R89" s="1"/>
      <c r="S89" s="3">
        <f t="shared" si="43"/>
        <v>-2.423265306122455E-3</v>
      </c>
      <c r="T89" s="3">
        <f t="shared" si="44"/>
        <v>-3.7194805194805478E-4</v>
      </c>
      <c r="U89" s="3">
        <f t="shared" si="45"/>
        <v>-1.6402721088435472E-3</v>
      </c>
      <c r="V89" s="3">
        <f t="shared" si="46"/>
        <v>7.6471243042669956E-4</v>
      </c>
      <c r="W89" s="3">
        <f t="shared" si="47"/>
        <v>-2.3081014223875058E-4</v>
      </c>
      <c r="X89" s="3">
        <f t="shared" si="48"/>
        <v>1.5802844774273381E-3</v>
      </c>
      <c r="Y89" s="1"/>
      <c r="Z89" s="3">
        <f t="shared" si="34"/>
        <v>-1.9079214597220278</v>
      </c>
      <c r="AA89" s="3">
        <f t="shared" si="35"/>
        <v>-0.29295343676527091</v>
      </c>
      <c r="AB89" s="3">
        <f t="shared" si="36"/>
        <v>-1.2917022253843653</v>
      </c>
      <c r="AC89" s="3">
        <f t="shared" si="37"/>
        <v>0.60228527619529781</v>
      </c>
      <c r="AD89" s="3">
        <f t="shared" si="38"/>
        <v>-0.18179147971962978</v>
      </c>
      <c r="AE89" s="3">
        <f t="shared" si="39"/>
        <v>1.2444775446344229</v>
      </c>
      <c r="AF89" s="1"/>
      <c r="AG89" s="1" t="str" cm="1">
        <f t="array" ref="AG89">_xlfn.IFS(Z89&gt;3,"Strong + Slope",Z89&gt;1.5,"Moderate + Slope",Z89&gt;0.5,"Sideway + Slope",Z89&gt;=-0.5,"Sideway Flat",Z89&gt;=-1.5,"Sideway - Slope",Z89&gt;=-3,"Moderate - Slope",TRUE,"Strong - Slope")</f>
        <v>Moderate - Slope</v>
      </c>
      <c r="AH89" s="1" t="str" cm="1">
        <f t="array" ref="AH89">_xlfn.IFS(AA89&gt;3,"Strong + Slope",AA89&gt;1.5,"Moderate + Slope",AA89&gt;0.5,"Sideway + Slope",AA89&gt;=-0.5,"Sideway Flat",AA89&gt;=-1.5,"Sideway - Slope",AA89&gt;=-3,"Moderate - Slope",TRUE,"Strong - Slope")</f>
        <v>Sideway Flat</v>
      </c>
      <c r="AI89" s="1" t="str" cm="1">
        <f t="array" ref="AI89">_xlfn.IFS(AB89&gt;3,"Strong + Slope",AB89&gt;1.5,"Moderate + Slope",AB89&gt;0.5,"Sideway + Slope",AB89&gt;=-0.5,"Sideway Flat",AB89&gt;=-1.5,"Sideway - Slope",AB89&gt;=-3,"Moderate - Slope",TRUE,"Strong - Slope")</f>
        <v>Sideway - Slope</v>
      </c>
      <c r="AJ89" s="1" t="str" cm="1">
        <f t="array" ref="AJ89">_xlfn.IFS(AC89&gt;3,"Strong + Slope",AC89&gt;1.5,"Moderate + Slope",AC89&gt;0.5,"Sideway + Slope",AC89&gt;=-0.5,"Sideway Flat",AC89&gt;=-1.5,"Sideway - Slope",AC89&gt;=-3,"Moderate - Slope",TRUE,"Strong - Slope")</f>
        <v>Sideway + Slope</v>
      </c>
      <c r="AK89" s="1" t="str" cm="1">
        <f t="array" ref="AK89">_xlfn.IFS(AD89&gt;3,"Strong + Slope",AD89&gt;1.5,"Moderate + Slope",AD89&gt;0.5,"Sideway + Slope",AD89&gt;=-0.5,"Sideway Flat",AD89&gt;=-1.5,"Sideway - Slope",AD89&gt;=-3,"Moderate - Slope",TRUE,"Strong - Slope")</f>
        <v>Sideway Flat</v>
      </c>
      <c r="AL89" s="1" t="str" cm="1">
        <f t="array" ref="AL89">_xlfn.IFS(AE89&gt;3,"Strong + Slope",AE89&gt;1.5,"Moderate + Slope",AE89&gt;0.5,"Sideway + Slope",AE89&gt;=-0.5,"Sideway Flat",AE89&gt;=-1.5,"Sideway - Slope",AE89&gt;=-3,"Moderate - Slope",TRUE,"Strong - Slope")</f>
        <v>Sideway + Slope</v>
      </c>
    </row>
    <row r="90" spans="1:38" x14ac:dyDescent="0.55000000000000004">
      <c r="A90" s="1">
        <v>86</v>
      </c>
      <c r="B90" s="1" t="s">
        <v>89</v>
      </c>
      <c r="C90" s="1" t="s">
        <v>4</v>
      </c>
      <c r="D90" s="1" t="s">
        <v>103</v>
      </c>
      <c r="E90" s="1">
        <v>152.79</v>
      </c>
      <c r="F90" s="1">
        <v>152.74100000000001</v>
      </c>
      <c r="G90" s="1">
        <v>152.74199999999999</v>
      </c>
      <c r="H90" s="1">
        <v>152.83199999999999</v>
      </c>
      <c r="I90" s="1">
        <v>152.87899999999999</v>
      </c>
      <c r="J90" s="1">
        <v>153.13200000000001</v>
      </c>
      <c r="K90" s="1">
        <v>152.625</v>
      </c>
      <c r="L90" s="1">
        <v>152.583</v>
      </c>
      <c r="M90" s="1">
        <v>152.90199999999999</v>
      </c>
      <c r="N90" s="11">
        <f t="shared" si="33"/>
        <v>4.8999999999978172E-2</v>
      </c>
      <c r="O90" s="11">
        <f t="shared" si="40"/>
        <v>4.399999999998272E-2</v>
      </c>
      <c r="P90" s="11">
        <f t="shared" si="41"/>
        <v>4.9999999999954525E-3</v>
      </c>
      <c r="Q90" s="11">
        <f t="shared" si="42"/>
        <v>4.8999999999978172E-2</v>
      </c>
      <c r="R90" s="1"/>
      <c r="S90" s="3">
        <f t="shared" si="43"/>
        <v>-2.423265306122455E-3</v>
      </c>
      <c r="T90" s="3">
        <f t="shared" si="44"/>
        <v>-3.7194805194805478E-4</v>
      </c>
      <c r="U90" s="3">
        <f t="shared" si="45"/>
        <v>-1.6402721088435472E-3</v>
      </c>
      <c r="V90" s="3">
        <f t="shared" si="46"/>
        <v>7.6471243042669956E-4</v>
      </c>
      <c r="W90" s="3">
        <f t="shared" si="47"/>
        <v>-2.3081014223875058E-4</v>
      </c>
      <c r="X90" s="3">
        <f t="shared" si="48"/>
        <v>1.5802844774273381E-3</v>
      </c>
      <c r="Y90" s="1"/>
      <c r="Z90" s="3">
        <f t="shared" si="34"/>
        <v>-1.9079214597220278</v>
      </c>
      <c r="AA90" s="3">
        <f t="shared" si="35"/>
        <v>-0.29295343676527091</v>
      </c>
      <c r="AB90" s="3">
        <f t="shared" si="36"/>
        <v>-1.2917022253843653</v>
      </c>
      <c r="AC90" s="3">
        <f t="shared" si="37"/>
        <v>0.60228527619529781</v>
      </c>
      <c r="AD90" s="3">
        <f t="shared" si="38"/>
        <v>-0.18179147971962978</v>
      </c>
      <c r="AE90" s="3">
        <f t="shared" si="39"/>
        <v>1.2444775446344229</v>
      </c>
      <c r="AF90" s="1"/>
      <c r="AG90" s="1" t="str" cm="1">
        <f t="array" ref="AG90">_xlfn.IFS(Z90&gt;3,"Strong + Slope",Z90&gt;1.5,"Moderate + Slope",Z90&gt;0.5,"Sideway + Slope",Z90&gt;=-0.5,"Sideway Flat",Z90&gt;=-1.5,"Sideway - Slope",Z90&gt;=-3,"Moderate - Slope",TRUE,"Strong - Slope")</f>
        <v>Moderate - Slope</v>
      </c>
      <c r="AH90" s="1" t="str" cm="1">
        <f t="array" ref="AH90">_xlfn.IFS(AA90&gt;3,"Strong + Slope",AA90&gt;1.5,"Moderate + Slope",AA90&gt;0.5,"Sideway + Slope",AA90&gt;=-0.5,"Sideway Flat",AA90&gt;=-1.5,"Sideway - Slope",AA90&gt;=-3,"Moderate - Slope",TRUE,"Strong - Slope")</f>
        <v>Sideway Flat</v>
      </c>
      <c r="AI90" s="1" t="str" cm="1">
        <f t="array" ref="AI90">_xlfn.IFS(AB90&gt;3,"Strong + Slope",AB90&gt;1.5,"Moderate + Slope",AB90&gt;0.5,"Sideway + Slope",AB90&gt;=-0.5,"Sideway Flat",AB90&gt;=-1.5,"Sideway - Slope",AB90&gt;=-3,"Moderate - Slope",TRUE,"Strong - Slope")</f>
        <v>Sideway - Slope</v>
      </c>
      <c r="AJ90" s="1" t="str" cm="1">
        <f t="array" ref="AJ90">_xlfn.IFS(AC90&gt;3,"Strong + Slope",AC90&gt;1.5,"Moderate + Slope",AC90&gt;0.5,"Sideway + Slope",AC90&gt;=-0.5,"Sideway Flat",AC90&gt;=-1.5,"Sideway - Slope",AC90&gt;=-3,"Moderate - Slope",TRUE,"Strong - Slope")</f>
        <v>Sideway + Slope</v>
      </c>
      <c r="AK90" s="1" t="str" cm="1">
        <f t="array" ref="AK90">_xlfn.IFS(AD90&gt;3,"Strong + Slope",AD90&gt;1.5,"Moderate + Slope",AD90&gt;0.5,"Sideway + Slope",AD90&gt;=-0.5,"Sideway Flat",AD90&gt;=-1.5,"Sideway - Slope",AD90&gt;=-3,"Moderate - Slope",TRUE,"Strong - Slope")</f>
        <v>Sideway Flat</v>
      </c>
      <c r="AL90" s="1" t="str" cm="1">
        <f t="array" ref="AL90">_xlfn.IFS(AE90&gt;3,"Strong + Slope",AE90&gt;1.5,"Moderate + Slope",AE90&gt;0.5,"Sideway + Slope",AE90&gt;=-0.5,"Sideway Flat",AE90&gt;=-1.5,"Sideway - Slope",AE90&gt;=-3,"Moderate - Slope",TRUE,"Strong - Slope")</f>
        <v>Sideway + Slope</v>
      </c>
    </row>
    <row r="91" spans="1:38" x14ac:dyDescent="0.55000000000000004">
      <c r="A91" s="1">
        <v>87</v>
      </c>
      <c r="B91" s="1" t="s">
        <v>90</v>
      </c>
      <c r="C91" s="1" t="s">
        <v>4</v>
      </c>
      <c r="D91" s="1" t="s">
        <v>103</v>
      </c>
      <c r="E91" s="1">
        <v>152.75299999999999</v>
      </c>
      <c r="F91" s="1">
        <v>152.70599999999999</v>
      </c>
      <c r="G91" s="1">
        <v>152.70599999999999</v>
      </c>
      <c r="H91" s="1">
        <v>152.83000000000001</v>
      </c>
      <c r="I91" s="1">
        <v>152.87899999999999</v>
      </c>
      <c r="J91" s="1">
        <v>153.13</v>
      </c>
      <c r="K91" s="1">
        <v>152.626</v>
      </c>
      <c r="L91" s="1">
        <v>152.583</v>
      </c>
      <c r="M91" s="1">
        <v>152.904</v>
      </c>
      <c r="N91" s="11">
        <f t="shared" si="33"/>
        <v>4.6999999999997044E-2</v>
      </c>
      <c r="O91" s="11">
        <f t="shared" si="40"/>
        <v>1.099999999999568E-2</v>
      </c>
      <c r="P91" s="11">
        <f t="shared" si="41"/>
        <v>3.6000000000001364E-2</v>
      </c>
      <c r="Q91" s="11">
        <f t="shared" si="42"/>
        <v>4.6999999999997044E-2</v>
      </c>
      <c r="R91" s="1"/>
      <c r="S91" s="3">
        <f t="shared" si="43"/>
        <v>-2.423265306122455E-3</v>
      </c>
      <c r="T91" s="3">
        <f t="shared" si="44"/>
        <v>-3.7194805194805478E-4</v>
      </c>
      <c r="U91" s="3">
        <f t="shared" si="45"/>
        <v>-1.6402721088435472E-3</v>
      </c>
      <c r="V91" s="3">
        <f t="shared" si="46"/>
        <v>7.6471243042669956E-4</v>
      </c>
      <c r="W91" s="3">
        <f t="shared" si="47"/>
        <v>-2.3081014223875058E-4</v>
      </c>
      <c r="X91" s="3">
        <f t="shared" si="48"/>
        <v>1.5802844774273381E-3</v>
      </c>
      <c r="Y91" s="1"/>
      <c r="Z91" s="3">
        <f t="shared" si="34"/>
        <v>-1.9079214597220278</v>
      </c>
      <c r="AA91" s="3">
        <f t="shared" si="35"/>
        <v>-0.29295343676527091</v>
      </c>
      <c r="AB91" s="3">
        <f t="shared" si="36"/>
        <v>-1.2917022253843653</v>
      </c>
      <c r="AC91" s="3">
        <f t="shared" si="37"/>
        <v>0.60228527619529781</v>
      </c>
      <c r="AD91" s="3">
        <f t="shared" si="38"/>
        <v>-0.18179147971962978</v>
      </c>
      <c r="AE91" s="3">
        <f t="shared" si="39"/>
        <v>1.2444775446344229</v>
      </c>
      <c r="AF91" s="1"/>
      <c r="AG91" s="1" t="str" cm="1">
        <f t="array" ref="AG91">_xlfn.IFS(Z91&gt;3,"Strong + Slope",Z91&gt;1.5,"Moderate + Slope",Z91&gt;0.5,"Sideway + Slope",Z91&gt;=-0.5,"Sideway Flat",Z91&gt;=-1.5,"Sideway - Slope",Z91&gt;=-3,"Moderate - Slope",TRUE,"Strong - Slope")</f>
        <v>Moderate - Slope</v>
      </c>
      <c r="AH91" s="1" t="str" cm="1">
        <f t="array" ref="AH91">_xlfn.IFS(AA91&gt;3,"Strong + Slope",AA91&gt;1.5,"Moderate + Slope",AA91&gt;0.5,"Sideway + Slope",AA91&gt;=-0.5,"Sideway Flat",AA91&gt;=-1.5,"Sideway - Slope",AA91&gt;=-3,"Moderate - Slope",TRUE,"Strong - Slope")</f>
        <v>Sideway Flat</v>
      </c>
      <c r="AI91" s="1" t="str" cm="1">
        <f t="array" ref="AI91">_xlfn.IFS(AB91&gt;3,"Strong + Slope",AB91&gt;1.5,"Moderate + Slope",AB91&gt;0.5,"Sideway + Slope",AB91&gt;=-0.5,"Sideway Flat",AB91&gt;=-1.5,"Sideway - Slope",AB91&gt;=-3,"Moderate - Slope",TRUE,"Strong - Slope")</f>
        <v>Sideway - Slope</v>
      </c>
      <c r="AJ91" s="1" t="str" cm="1">
        <f t="array" ref="AJ91">_xlfn.IFS(AC91&gt;3,"Strong + Slope",AC91&gt;1.5,"Moderate + Slope",AC91&gt;0.5,"Sideway + Slope",AC91&gt;=-0.5,"Sideway Flat",AC91&gt;=-1.5,"Sideway - Slope",AC91&gt;=-3,"Moderate - Slope",TRUE,"Strong - Slope")</f>
        <v>Sideway + Slope</v>
      </c>
      <c r="AK91" s="1" t="str" cm="1">
        <f t="array" ref="AK91">_xlfn.IFS(AD91&gt;3,"Strong + Slope",AD91&gt;1.5,"Moderate + Slope",AD91&gt;0.5,"Sideway + Slope",AD91&gt;=-0.5,"Sideway Flat",AD91&gt;=-1.5,"Sideway - Slope",AD91&gt;=-3,"Moderate - Slope",TRUE,"Strong - Slope")</f>
        <v>Sideway Flat</v>
      </c>
      <c r="AL91" s="1" t="str" cm="1">
        <f t="array" ref="AL91">_xlfn.IFS(AE91&gt;3,"Strong + Slope",AE91&gt;1.5,"Moderate + Slope",AE91&gt;0.5,"Sideway + Slope",AE91&gt;=-0.5,"Sideway Flat",AE91&gt;=-1.5,"Sideway - Slope",AE91&gt;=-3,"Moderate - Slope",TRUE,"Strong - Slope")</f>
        <v>Sideway + Slope</v>
      </c>
    </row>
    <row r="92" spans="1:38" x14ac:dyDescent="0.55000000000000004">
      <c r="A92" s="1">
        <v>88</v>
      </c>
      <c r="B92" s="1" t="s">
        <v>91</v>
      </c>
      <c r="C92" s="1" t="s">
        <v>4</v>
      </c>
      <c r="D92" s="1" t="s">
        <v>103</v>
      </c>
      <c r="E92" s="1">
        <v>152.773</v>
      </c>
      <c r="F92" s="1">
        <v>152.66499999999999</v>
      </c>
      <c r="G92" s="1">
        <v>152.75700000000001</v>
      </c>
      <c r="H92" s="1">
        <v>152.827</v>
      </c>
      <c r="I92" s="1">
        <v>152.87899999999999</v>
      </c>
      <c r="J92" s="1">
        <v>153.12799999999999</v>
      </c>
      <c r="K92" s="1">
        <v>152.62700000000001</v>
      </c>
      <c r="L92" s="1">
        <v>152.583</v>
      </c>
      <c r="M92" s="1">
        <v>152.90600000000001</v>
      </c>
      <c r="N92" s="11">
        <f t="shared" si="33"/>
        <v>0.10800000000000409</v>
      </c>
      <c r="O92" s="11">
        <f t="shared" si="40"/>
        <v>6.7000000000007276E-2</v>
      </c>
      <c r="P92" s="11">
        <f t="shared" si="41"/>
        <v>4.0999999999996817E-2</v>
      </c>
      <c r="Q92" s="11">
        <f t="shared" si="42"/>
        <v>0.10800000000000409</v>
      </c>
      <c r="R92" s="1"/>
      <c r="S92" s="3">
        <f t="shared" si="43"/>
        <v>-2.423265306122455E-3</v>
      </c>
      <c r="T92" s="3">
        <f t="shared" si="44"/>
        <v>-3.7194805194805478E-4</v>
      </c>
      <c r="U92" s="3">
        <f t="shared" si="45"/>
        <v>-1.6402721088435472E-3</v>
      </c>
      <c r="V92" s="3">
        <f t="shared" si="46"/>
        <v>7.6471243042669956E-4</v>
      </c>
      <c r="W92" s="3">
        <f t="shared" si="47"/>
        <v>-2.3081014223875058E-4</v>
      </c>
      <c r="X92" s="3">
        <f t="shared" si="48"/>
        <v>1.5802844774273381E-3</v>
      </c>
      <c r="Y92" s="1"/>
      <c r="Z92" s="3">
        <f t="shared" si="34"/>
        <v>-1.9079214597220278</v>
      </c>
      <c r="AA92" s="3">
        <f t="shared" si="35"/>
        <v>-0.29295343676527091</v>
      </c>
      <c r="AB92" s="3">
        <f t="shared" si="36"/>
        <v>-1.2917022253843653</v>
      </c>
      <c r="AC92" s="3">
        <f t="shared" si="37"/>
        <v>0.60228527619529781</v>
      </c>
      <c r="AD92" s="3">
        <f t="shared" si="38"/>
        <v>-0.18179147971962978</v>
      </c>
      <c r="AE92" s="3">
        <f t="shared" si="39"/>
        <v>1.2444775446344229</v>
      </c>
      <c r="AF92" s="1"/>
      <c r="AG92" s="1" t="str" cm="1">
        <f t="array" ref="AG92">_xlfn.IFS(Z92&gt;3,"Strong + Slope",Z92&gt;1.5,"Moderate + Slope",Z92&gt;0.5,"Sideway + Slope",Z92&gt;=-0.5,"Sideway Flat",Z92&gt;=-1.5,"Sideway - Slope",Z92&gt;=-3,"Moderate - Slope",TRUE,"Strong - Slope")</f>
        <v>Moderate - Slope</v>
      </c>
      <c r="AH92" s="1" t="str" cm="1">
        <f t="array" ref="AH92">_xlfn.IFS(AA92&gt;3,"Strong + Slope",AA92&gt;1.5,"Moderate + Slope",AA92&gt;0.5,"Sideway + Slope",AA92&gt;=-0.5,"Sideway Flat",AA92&gt;=-1.5,"Sideway - Slope",AA92&gt;=-3,"Moderate - Slope",TRUE,"Strong - Slope")</f>
        <v>Sideway Flat</v>
      </c>
      <c r="AI92" s="1" t="str" cm="1">
        <f t="array" ref="AI92">_xlfn.IFS(AB92&gt;3,"Strong + Slope",AB92&gt;1.5,"Moderate + Slope",AB92&gt;0.5,"Sideway + Slope",AB92&gt;=-0.5,"Sideway Flat",AB92&gt;=-1.5,"Sideway - Slope",AB92&gt;=-3,"Moderate - Slope",TRUE,"Strong - Slope")</f>
        <v>Sideway - Slope</v>
      </c>
      <c r="AJ92" s="1" t="str" cm="1">
        <f t="array" ref="AJ92">_xlfn.IFS(AC92&gt;3,"Strong + Slope",AC92&gt;1.5,"Moderate + Slope",AC92&gt;0.5,"Sideway + Slope",AC92&gt;=-0.5,"Sideway Flat",AC92&gt;=-1.5,"Sideway - Slope",AC92&gt;=-3,"Moderate - Slope",TRUE,"Strong - Slope")</f>
        <v>Sideway + Slope</v>
      </c>
      <c r="AK92" s="1" t="str" cm="1">
        <f t="array" ref="AK92">_xlfn.IFS(AD92&gt;3,"Strong + Slope",AD92&gt;1.5,"Moderate + Slope",AD92&gt;0.5,"Sideway + Slope",AD92&gt;=-0.5,"Sideway Flat",AD92&gt;=-1.5,"Sideway - Slope",AD92&gt;=-3,"Moderate - Slope",TRUE,"Strong - Slope")</f>
        <v>Sideway Flat</v>
      </c>
      <c r="AL92" s="1" t="str" cm="1">
        <f t="array" ref="AL92">_xlfn.IFS(AE92&gt;3,"Strong + Slope",AE92&gt;1.5,"Moderate + Slope",AE92&gt;0.5,"Sideway + Slope",AE92&gt;=-0.5,"Sideway Flat",AE92&gt;=-1.5,"Sideway - Slope",AE92&gt;=-3,"Moderate - Slope",TRUE,"Strong - Slope")</f>
        <v>Sideway + Slope</v>
      </c>
    </row>
    <row r="93" spans="1:38" x14ac:dyDescent="0.55000000000000004">
      <c r="A93" s="1">
        <v>89</v>
      </c>
      <c r="B93" s="1" t="s">
        <v>92</v>
      </c>
      <c r="C93" s="1" t="s">
        <v>4</v>
      </c>
      <c r="D93" s="1" t="s">
        <v>103</v>
      </c>
      <c r="E93" s="1">
        <v>152.762</v>
      </c>
      <c r="F93" s="1">
        <v>152.63999999999999</v>
      </c>
      <c r="G93" s="1">
        <v>152.649</v>
      </c>
      <c r="H93" s="1">
        <v>152.82499999999999</v>
      </c>
      <c r="I93" s="1">
        <v>152.87799999999999</v>
      </c>
      <c r="J93" s="1">
        <v>153.12700000000001</v>
      </c>
      <c r="K93" s="1">
        <v>152.62700000000001</v>
      </c>
      <c r="L93" s="1">
        <v>152.583</v>
      </c>
      <c r="M93" s="1">
        <v>152.90700000000001</v>
      </c>
      <c r="N93" s="11">
        <f t="shared" si="33"/>
        <v>0.1220000000000141</v>
      </c>
      <c r="O93" s="11">
        <f t="shared" si="40"/>
        <v>4.9999999999954525E-3</v>
      </c>
      <c r="P93" s="11">
        <f t="shared" si="41"/>
        <v>0.11700000000001864</v>
      </c>
      <c r="Q93" s="11">
        <f t="shared" si="42"/>
        <v>0.1220000000000141</v>
      </c>
      <c r="R93" s="1"/>
      <c r="S93" s="3">
        <f t="shared" si="43"/>
        <v>-2.423265306122455E-3</v>
      </c>
      <c r="T93" s="3">
        <f t="shared" si="44"/>
        <v>-3.7194805194805478E-4</v>
      </c>
      <c r="U93" s="3">
        <f t="shared" si="45"/>
        <v>-1.6402721088435472E-3</v>
      </c>
      <c r="V93" s="3">
        <f t="shared" si="46"/>
        <v>7.6471243042669956E-4</v>
      </c>
      <c r="W93" s="3">
        <f t="shared" si="47"/>
        <v>-2.3081014223875058E-4</v>
      </c>
      <c r="X93" s="3">
        <f t="shared" si="48"/>
        <v>1.5802844774273381E-3</v>
      </c>
      <c r="Y93" s="1"/>
      <c r="Z93" s="3">
        <f t="shared" si="34"/>
        <v>-1.9079214597220278</v>
      </c>
      <c r="AA93" s="3">
        <f t="shared" si="35"/>
        <v>-0.29295343676527091</v>
      </c>
      <c r="AB93" s="3">
        <f t="shared" si="36"/>
        <v>-1.2917022253843653</v>
      </c>
      <c r="AC93" s="3">
        <f t="shared" si="37"/>
        <v>0.60228527619529781</v>
      </c>
      <c r="AD93" s="3">
        <f t="shared" si="38"/>
        <v>-0.18179147971962978</v>
      </c>
      <c r="AE93" s="3">
        <f t="shared" si="39"/>
        <v>1.2444775446344229</v>
      </c>
      <c r="AF93" s="1"/>
      <c r="AG93" s="1" t="str" cm="1">
        <f t="array" ref="AG93">_xlfn.IFS(Z93&gt;3,"Strong + Slope",Z93&gt;1.5,"Moderate + Slope",Z93&gt;0.5,"Sideway + Slope",Z93&gt;=-0.5,"Sideway Flat",Z93&gt;=-1.5,"Sideway - Slope",Z93&gt;=-3,"Moderate - Slope",TRUE,"Strong - Slope")</f>
        <v>Moderate - Slope</v>
      </c>
      <c r="AH93" s="1" t="str" cm="1">
        <f t="array" ref="AH93">_xlfn.IFS(AA93&gt;3,"Strong + Slope",AA93&gt;1.5,"Moderate + Slope",AA93&gt;0.5,"Sideway + Slope",AA93&gt;=-0.5,"Sideway Flat",AA93&gt;=-1.5,"Sideway - Slope",AA93&gt;=-3,"Moderate - Slope",TRUE,"Strong - Slope")</f>
        <v>Sideway Flat</v>
      </c>
      <c r="AI93" s="1" t="str" cm="1">
        <f t="array" ref="AI93">_xlfn.IFS(AB93&gt;3,"Strong + Slope",AB93&gt;1.5,"Moderate + Slope",AB93&gt;0.5,"Sideway + Slope",AB93&gt;=-0.5,"Sideway Flat",AB93&gt;=-1.5,"Sideway - Slope",AB93&gt;=-3,"Moderate - Slope",TRUE,"Strong - Slope")</f>
        <v>Sideway - Slope</v>
      </c>
      <c r="AJ93" s="1" t="str" cm="1">
        <f t="array" ref="AJ93">_xlfn.IFS(AC93&gt;3,"Strong + Slope",AC93&gt;1.5,"Moderate + Slope",AC93&gt;0.5,"Sideway + Slope",AC93&gt;=-0.5,"Sideway Flat",AC93&gt;=-1.5,"Sideway - Slope",AC93&gt;=-3,"Moderate - Slope",TRUE,"Strong - Slope")</f>
        <v>Sideway + Slope</v>
      </c>
      <c r="AK93" s="1" t="str" cm="1">
        <f t="array" ref="AK93">_xlfn.IFS(AD93&gt;3,"Strong + Slope",AD93&gt;1.5,"Moderate + Slope",AD93&gt;0.5,"Sideway + Slope",AD93&gt;=-0.5,"Sideway Flat",AD93&gt;=-1.5,"Sideway - Slope",AD93&gt;=-3,"Moderate - Slope",TRUE,"Strong - Slope")</f>
        <v>Sideway Flat</v>
      </c>
      <c r="AL93" s="1" t="str" cm="1">
        <f t="array" ref="AL93">_xlfn.IFS(AE93&gt;3,"Strong + Slope",AE93&gt;1.5,"Moderate + Slope",AE93&gt;0.5,"Sideway + Slope",AE93&gt;=-0.5,"Sideway Flat",AE93&gt;=-1.5,"Sideway - Slope",AE93&gt;=-3,"Moderate - Slope",TRUE,"Strong - Slope")</f>
        <v>Sideway + Slope</v>
      </c>
    </row>
    <row r="94" spans="1:38" x14ac:dyDescent="0.55000000000000004">
      <c r="A94" s="1">
        <v>90</v>
      </c>
      <c r="B94" s="1" t="s">
        <v>93</v>
      </c>
      <c r="C94" s="1" t="s">
        <v>4</v>
      </c>
      <c r="D94" s="1" t="s">
        <v>103</v>
      </c>
      <c r="E94" s="1">
        <v>152.66</v>
      </c>
      <c r="F94" s="1">
        <v>152.626</v>
      </c>
      <c r="G94" s="1">
        <v>152.648</v>
      </c>
      <c r="H94" s="1">
        <v>152.82300000000001</v>
      </c>
      <c r="I94" s="1">
        <v>152.87799999999999</v>
      </c>
      <c r="J94" s="1">
        <v>153.125</v>
      </c>
      <c r="K94" s="1">
        <v>152.62799999999999</v>
      </c>
      <c r="L94" s="1">
        <v>152.58199999999999</v>
      </c>
      <c r="M94" s="1">
        <v>152.90899999999999</v>
      </c>
      <c r="N94" s="11">
        <f t="shared" si="33"/>
        <v>3.3999999999991815E-2</v>
      </c>
      <c r="O94" s="11">
        <f t="shared" si="40"/>
        <v>1.099999999999568E-2</v>
      </c>
      <c r="P94" s="11">
        <f t="shared" si="41"/>
        <v>2.2999999999996135E-2</v>
      </c>
      <c r="Q94" s="11">
        <f t="shared" si="42"/>
        <v>3.3999999999991815E-2</v>
      </c>
      <c r="R94" s="1"/>
      <c r="S94" s="3">
        <f t="shared" si="43"/>
        <v>-2.423265306122455E-3</v>
      </c>
      <c r="T94" s="3">
        <f t="shared" si="44"/>
        <v>-3.7194805194805478E-4</v>
      </c>
      <c r="U94" s="3">
        <f t="shared" si="45"/>
        <v>-1.6402721088435472E-3</v>
      </c>
      <c r="V94" s="3">
        <f t="shared" si="46"/>
        <v>7.6471243042669956E-4</v>
      </c>
      <c r="W94" s="3">
        <f t="shared" si="47"/>
        <v>-2.3081014223875058E-4</v>
      </c>
      <c r="X94" s="3">
        <f t="shared" si="48"/>
        <v>1.5802844774273381E-3</v>
      </c>
      <c r="Y94" s="1"/>
      <c r="Z94" s="3">
        <f t="shared" si="34"/>
        <v>-1.9079214597220278</v>
      </c>
      <c r="AA94" s="3">
        <f t="shared" si="35"/>
        <v>-0.29295343676527091</v>
      </c>
      <c r="AB94" s="3">
        <f t="shared" si="36"/>
        <v>-1.2917022253843653</v>
      </c>
      <c r="AC94" s="3">
        <f t="shared" si="37"/>
        <v>0.60228527619529781</v>
      </c>
      <c r="AD94" s="3">
        <f t="shared" si="38"/>
        <v>-0.18179147971962978</v>
      </c>
      <c r="AE94" s="3">
        <f t="shared" si="39"/>
        <v>1.2444775446344229</v>
      </c>
      <c r="AF94" s="1"/>
      <c r="AG94" s="1" t="str" cm="1">
        <f t="array" ref="AG94">_xlfn.IFS(Z94&gt;3,"Strong + Slope",Z94&gt;1.5,"Moderate + Slope",Z94&gt;0.5,"Sideway + Slope",Z94&gt;=-0.5,"Sideway Flat",Z94&gt;=-1.5,"Sideway - Slope",Z94&gt;=-3,"Moderate - Slope",TRUE,"Strong - Slope")</f>
        <v>Moderate - Slope</v>
      </c>
      <c r="AH94" s="1" t="str" cm="1">
        <f t="array" ref="AH94">_xlfn.IFS(AA94&gt;3,"Strong + Slope",AA94&gt;1.5,"Moderate + Slope",AA94&gt;0.5,"Sideway + Slope",AA94&gt;=-0.5,"Sideway Flat",AA94&gt;=-1.5,"Sideway - Slope",AA94&gt;=-3,"Moderate - Slope",TRUE,"Strong - Slope")</f>
        <v>Sideway Flat</v>
      </c>
      <c r="AI94" s="1" t="str" cm="1">
        <f t="array" ref="AI94">_xlfn.IFS(AB94&gt;3,"Strong + Slope",AB94&gt;1.5,"Moderate + Slope",AB94&gt;0.5,"Sideway + Slope",AB94&gt;=-0.5,"Sideway Flat",AB94&gt;=-1.5,"Sideway - Slope",AB94&gt;=-3,"Moderate - Slope",TRUE,"Strong - Slope")</f>
        <v>Sideway - Slope</v>
      </c>
      <c r="AJ94" s="1" t="str" cm="1">
        <f t="array" ref="AJ94">_xlfn.IFS(AC94&gt;3,"Strong + Slope",AC94&gt;1.5,"Moderate + Slope",AC94&gt;0.5,"Sideway + Slope",AC94&gt;=-0.5,"Sideway Flat",AC94&gt;=-1.5,"Sideway - Slope",AC94&gt;=-3,"Moderate - Slope",TRUE,"Strong - Slope")</f>
        <v>Sideway + Slope</v>
      </c>
      <c r="AK94" s="1" t="str" cm="1">
        <f t="array" ref="AK94">_xlfn.IFS(AD94&gt;3,"Strong + Slope",AD94&gt;1.5,"Moderate + Slope",AD94&gt;0.5,"Sideway + Slope",AD94&gt;=-0.5,"Sideway Flat",AD94&gt;=-1.5,"Sideway - Slope",AD94&gt;=-3,"Moderate - Slope",TRUE,"Strong - Slope")</f>
        <v>Sideway Flat</v>
      </c>
      <c r="AL94" s="1" t="str" cm="1">
        <f t="array" ref="AL94">_xlfn.IFS(AE94&gt;3,"Strong + Slope",AE94&gt;1.5,"Moderate + Slope",AE94&gt;0.5,"Sideway + Slope",AE94&gt;=-0.5,"Sideway Flat",AE94&gt;=-1.5,"Sideway - Slope",AE94&gt;=-3,"Moderate - Slope",TRUE,"Strong - Slope")</f>
        <v>Sideway + Slope</v>
      </c>
    </row>
    <row r="95" spans="1:38" x14ac:dyDescent="0.55000000000000004">
      <c r="A95" s="1">
        <v>91</v>
      </c>
      <c r="B95" s="1" t="s">
        <v>94</v>
      </c>
      <c r="C95" s="1" t="s">
        <v>4</v>
      </c>
      <c r="D95" s="1" t="s">
        <v>103</v>
      </c>
      <c r="E95" s="1">
        <v>152.69200000000001</v>
      </c>
      <c r="F95" s="1">
        <v>152.648</v>
      </c>
      <c r="G95" s="1">
        <v>152.67599999999999</v>
      </c>
      <c r="H95" s="1">
        <v>152.82</v>
      </c>
      <c r="I95" s="1">
        <v>152.87799999999999</v>
      </c>
      <c r="J95" s="1">
        <v>153.12299999999999</v>
      </c>
      <c r="K95" s="1">
        <v>152.62899999999999</v>
      </c>
      <c r="L95" s="1">
        <v>152.58199999999999</v>
      </c>
      <c r="M95" s="1">
        <v>152.91</v>
      </c>
      <c r="N95" s="11">
        <f t="shared" si="33"/>
        <v>4.4000000000011141E-2</v>
      </c>
      <c r="O95" s="11">
        <f t="shared" si="40"/>
        <v>4.4000000000011141E-2</v>
      </c>
      <c r="P95" s="11">
        <f t="shared" si="41"/>
        <v>0</v>
      </c>
      <c r="Q95" s="11">
        <f t="shared" si="42"/>
        <v>4.4000000000011141E-2</v>
      </c>
      <c r="R95" s="1"/>
      <c r="S95" s="3">
        <f t="shared" si="43"/>
        <v>-2.423265306122455E-3</v>
      </c>
      <c r="T95" s="3">
        <f t="shared" si="44"/>
        <v>-3.7194805194805478E-4</v>
      </c>
      <c r="U95" s="3">
        <f t="shared" si="45"/>
        <v>-1.6402721088435472E-3</v>
      </c>
      <c r="V95" s="3">
        <f t="shared" si="46"/>
        <v>7.6471243042669956E-4</v>
      </c>
      <c r="W95" s="3">
        <f t="shared" si="47"/>
        <v>-2.3081014223875058E-4</v>
      </c>
      <c r="X95" s="3">
        <f t="shared" si="48"/>
        <v>1.5802844774273381E-3</v>
      </c>
      <c r="Y95" s="1"/>
      <c r="Z95" s="3">
        <f t="shared" si="34"/>
        <v>-1.9079214597220278</v>
      </c>
      <c r="AA95" s="3">
        <f t="shared" si="35"/>
        <v>-0.29295343676527091</v>
      </c>
      <c r="AB95" s="3">
        <f t="shared" si="36"/>
        <v>-1.2917022253843653</v>
      </c>
      <c r="AC95" s="3">
        <f t="shared" si="37"/>
        <v>0.60228527619529781</v>
      </c>
      <c r="AD95" s="3">
        <f t="shared" si="38"/>
        <v>-0.18179147971962978</v>
      </c>
      <c r="AE95" s="3">
        <f t="shared" si="39"/>
        <v>1.2444775446344229</v>
      </c>
      <c r="AF95" s="1"/>
      <c r="AG95" s="1" t="str" cm="1">
        <f t="array" ref="AG95">_xlfn.IFS(Z95&gt;3,"Strong + Slope",Z95&gt;1.5,"Moderate + Slope",Z95&gt;0.5,"Sideway + Slope",Z95&gt;=-0.5,"Sideway Flat",Z95&gt;=-1.5,"Sideway - Slope",Z95&gt;=-3,"Moderate - Slope",TRUE,"Strong - Slope")</f>
        <v>Moderate - Slope</v>
      </c>
      <c r="AH95" s="1" t="str" cm="1">
        <f t="array" ref="AH95">_xlfn.IFS(AA95&gt;3,"Strong + Slope",AA95&gt;1.5,"Moderate + Slope",AA95&gt;0.5,"Sideway + Slope",AA95&gt;=-0.5,"Sideway Flat",AA95&gt;=-1.5,"Sideway - Slope",AA95&gt;=-3,"Moderate - Slope",TRUE,"Strong - Slope")</f>
        <v>Sideway Flat</v>
      </c>
      <c r="AI95" s="1" t="str" cm="1">
        <f t="array" ref="AI95">_xlfn.IFS(AB95&gt;3,"Strong + Slope",AB95&gt;1.5,"Moderate + Slope",AB95&gt;0.5,"Sideway + Slope",AB95&gt;=-0.5,"Sideway Flat",AB95&gt;=-1.5,"Sideway - Slope",AB95&gt;=-3,"Moderate - Slope",TRUE,"Strong - Slope")</f>
        <v>Sideway - Slope</v>
      </c>
      <c r="AJ95" s="1" t="str" cm="1">
        <f t="array" ref="AJ95">_xlfn.IFS(AC95&gt;3,"Strong + Slope",AC95&gt;1.5,"Moderate + Slope",AC95&gt;0.5,"Sideway + Slope",AC95&gt;=-0.5,"Sideway Flat",AC95&gt;=-1.5,"Sideway - Slope",AC95&gt;=-3,"Moderate - Slope",TRUE,"Strong - Slope")</f>
        <v>Sideway + Slope</v>
      </c>
      <c r="AK95" s="1" t="str" cm="1">
        <f t="array" ref="AK95">_xlfn.IFS(AD95&gt;3,"Strong + Slope",AD95&gt;1.5,"Moderate + Slope",AD95&gt;0.5,"Sideway + Slope",AD95&gt;=-0.5,"Sideway Flat",AD95&gt;=-1.5,"Sideway - Slope",AD95&gt;=-3,"Moderate - Slope",TRUE,"Strong - Slope")</f>
        <v>Sideway Flat</v>
      </c>
      <c r="AL95" s="1" t="str" cm="1">
        <f t="array" ref="AL95">_xlfn.IFS(AE95&gt;3,"Strong + Slope",AE95&gt;1.5,"Moderate + Slope",AE95&gt;0.5,"Sideway + Slope",AE95&gt;=-0.5,"Sideway Flat",AE95&gt;=-1.5,"Sideway - Slope",AE95&gt;=-3,"Moderate - Slope",TRUE,"Strong - Slope")</f>
        <v>Sideway + Slope</v>
      </c>
    </row>
    <row r="96" spans="1:38" x14ac:dyDescent="0.55000000000000004">
      <c r="A96" s="1">
        <v>92</v>
      </c>
      <c r="B96" s="1" t="s">
        <v>95</v>
      </c>
      <c r="C96" s="1" t="s">
        <v>4</v>
      </c>
      <c r="D96" s="1" t="s">
        <v>103</v>
      </c>
      <c r="E96" s="1">
        <v>152.67599999999999</v>
      </c>
      <c r="F96" s="1">
        <v>152.636</v>
      </c>
      <c r="G96" s="1">
        <v>152.642</v>
      </c>
      <c r="H96" s="1">
        <v>152.81800000000001</v>
      </c>
      <c r="I96" s="1">
        <v>152.87700000000001</v>
      </c>
      <c r="J96" s="1">
        <v>153.12200000000001</v>
      </c>
      <c r="K96" s="1">
        <v>152.63</v>
      </c>
      <c r="L96" s="1">
        <v>152.58199999999999</v>
      </c>
      <c r="M96" s="1">
        <v>152.91200000000001</v>
      </c>
      <c r="N96" s="11">
        <f t="shared" si="33"/>
        <v>3.9999999999992042E-2</v>
      </c>
      <c r="O96" s="11">
        <f t="shared" si="40"/>
        <v>0</v>
      </c>
      <c r="P96" s="11">
        <f t="shared" si="41"/>
        <v>3.9999999999992042E-2</v>
      </c>
      <c r="Q96" s="11">
        <f t="shared" si="42"/>
        <v>3.9999999999992042E-2</v>
      </c>
      <c r="R96" s="1"/>
      <c r="S96" s="3">
        <f t="shared" si="43"/>
        <v>-2.423265306122455E-3</v>
      </c>
      <c r="T96" s="3">
        <f t="shared" si="44"/>
        <v>-3.7194805194805478E-4</v>
      </c>
      <c r="U96" s="3">
        <f t="shared" si="45"/>
        <v>-1.6402721088435472E-3</v>
      </c>
      <c r="V96" s="3">
        <f t="shared" si="46"/>
        <v>7.6471243042669956E-4</v>
      </c>
      <c r="W96" s="3">
        <f t="shared" si="47"/>
        <v>-2.3081014223875058E-4</v>
      </c>
      <c r="X96" s="3">
        <f t="shared" si="48"/>
        <v>1.5802844774273381E-3</v>
      </c>
      <c r="Y96" s="1"/>
      <c r="Z96" s="3">
        <f t="shared" si="34"/>
        <v>-1.9079214597220278</v>
      </c>
      <c r="AA96" s="3">
        <f t="shared" si="35"/>
        <v>-0.29295343676527091</v>
      </c>
      <c r="AB96" s="3">
        <f t="shared" si="36"/>
        <v>-1.2917022253843653</v>
      </c>
      <c r="AC96" s="3">
        <f t="shared" si="37"/>
        <v>0.60228527619529781</v>
      </c>
      <c r="AD96" s="3">
        <f t="shared" si="38"/>
        <v>-0.18179147971962978</v>
      </c>
      <c r="AE96" s="3">
        <f t="shared" si="39"/>
        <v>1.2444775446344229</v>
      </c>
      <c r="AF96" s="1"/>
      <c r="AG96" s="1" t="str" cm="1">
        <f t="array" ref="AG96">_xlfn.IFS(Z96&gt;3,"Strong + Slope",Z96&gt;1.5,"Moderate + Slope",Z96&gt;0.5,"Sideway + Slope",Z96&gt;=-0.5,"Sideway Flat",Z96&gt;=-1.5,"Sideway - Slope",Z96&gt;=-3,"Moderate - Slope",TRUE,"Strong - Slope")</f>
        <v>Moderate - Slope</v>
      </c>
      <c r="AH96" s="1" t="str" cm="1">
        <f t="array" ref="AH96">_xlfn.IFS(AA96&gt;3,"Strong + Slope",AA96&gt;1.5,"Moderate + Slope",AA96&gt;0.5,"Sideway + Slope",AA96&gt;=-0.5,"Sideway Flat",AA96&gt;=-1.5,"Sideway - Slope",AA96&gt;=-3,"Moderate - Slope",TRUE,"Strong - Slope")</f>
        <v>Sideway Flat</v>
      </c>
      <c r="AI96" s="1" t="str" cm="1">
        <f t="array" ref="AI96">_xlfn.IFS(AB96&gt;3,"Strong + Slope",AB96&gt;1.5,"Moderate + Slope",AB96&gt;0.5,"Sideway + Slope",AB96&gt;=-0.5,"Sideway Flat",AB96&gt;=-1.5,"Sideway - Slope",AB96&gt;=-3,"Moderate - Slope",TRUE,"Strong - Slope")</f>
        <v>Sideway - Slope</v>
      </c>
      <c r="AJ96" s="1" t="str" cm="1">
        <f t="array" ref="AJ96">_xlfn.IFS(AC96&gt;3,"Strong + Slope",AC96&gt;1.5,"Moderate + Slope",AC96&gt;0.5,"Sideway + Slope",AC96&gt;=-0.5,"Sideway Flat",AC96&gt;=-1.5,"Sideway - Slope",AC96&gt;=-3,"Moderate - Slope",TRUE,"Strong - Slope")</f>
        <v>Sideway + Slope</v>
      </c>
      <c r="AK96" s="1" t="str" cm="1">
        <f t="array" ref="AK96">_xlfn.IFS(AD96&gt;3,"Strong + Slope",AD96&gt;1.5,"Moderate + Slope",AD96&gt;0.5,"Sideway + Slope",AD96&gt;=-0.5,"Sideway Flat",AD96&gt;=-1.5,"Sideway - Slope",AD96&gt;=-3,"Moderate - Slope",TRUE,"Strong - Slope")</f>
        <v>Sideway Flat</v>
      </c>
      <c r="AL96" s="1" t="str" cm="1">
        <f t="array" ref="AL96">_xlfn.IFS(AE96&gt;3,"Strong + Slope",AE96&gt;1.5,"Moderate + Slope",AE96&gt;0.5,"Sideway + Slope",AE96&gt;=-0.5,"Sideway Flat",AE96&gt;=-1.5,"Sideway - Slope",AE96&gt;=-3,"Moderate - Slope",TRUE,"Strong - Slope")</f>
        <v>Sideway + Slope</v>
      </c>
    </row>
    <row r="97" spans="1:38" x14ac:dyDescent="0.55000000000000004">
      <c r="A97" s="1">
        <v>93</v>
      </c>
      <c r="B97" s="1" t="s">
        <v>96</v>
      </c>
      <c r="C97" s="1" t="s">
        <v>4</v>
      </c>
      <c r="D97" s="1" t="s">
        <v>103</v>
      </c>
      <c r="E97" s="1">
        <v>152.66200000000001</v>
      </c>
      <c r="F97" s="1">
        <v>152.636</v>
      </c>
      <c r="G97" s="1">
        <v>152.64500000000001</v>
      </c>
      <c r="H97" s="1">
        <v>152.815</v>
      </c>
      <c r="I97" s="1">
        <v>152.87700000000001</v>
      </c>
      <c r="J97" s="1">
        <v>153.12</v>
      </c>
      <c r="K97" s="1">
        <v>152.63</v>
      </c>
      <c r="L97" s="1">
        <v>152.58199999999999</v>
      </c>
      <c r="M97" s="1">
        <v>152.91300000000001</v>
      </c>
      <c r="N97" s="11">
        <f t="shared" si="33"/>
        <v>2.6000000000010459E-2</v>
      </c>
      <c r="O97" s="11">
        <f t="shared" si="40"/>
        <v>2.0000000000010232E-2</v>
      </c>
      <c r="P97" s="11">
        <f t="shared" si="41"/>
        <v>6.0000000000002274E-3</v>
      </c>
      <c r="Q97" s="11">
        <f t="shared" si="42"/>
        <v>2.6000000000010459E-2</v>
      </c>
      <c r="R97" s="1"/>
      <c r="S97" s="3">
        <f t="shared" si="43"/>
        <v>-2.423265306122455E-3</v>
      </c>
      <c r="T97" s="3">
        <f t="shared" si="44"/>
        <v>-3.7194805194805478E-4</v>
      </c>
      <c r="U97" s="3">
        <f t="shared" si="45"/>
        <v>-1.6402721088435472E-3</v>
      </c>
      <c r="V97" s="3">
        <f t="shared" si="46"/>
        <v>7.6471243042669956E-4</v>
      </c>
      <c r="W97" s="3">
        <f t="shared" si="47"/>
        <v>-2.3081014223875058E-4</v>
      </c>
      <c r="X97" s="3">
        <f t="shared" si="48"/>
        <v>1.5802844774273381E-3</v>
      </c>
      <c r="Y97" s="1"/>
      <c r="Z97" s="3">
        <f t="shared" si="34"/>
        <v>-1.9079214597220278</v>
      </c>
      <c r="AA97" s="3">
        <f t="shared" si="35"/>
        <v>-0.29295343676527091</v>
      </c>
      <c r="AB97" s="3">
        <f t="shared" si="36"/>
        <v>-1.2917022253843653</v>
      </c>
      <c r="AC97" s="3">
        <f t="shared" si="37"/>
        <v>0.60228527619529781</v>
      </c>
      <c r="AD97" s="3">
        <f t="shared" si="38"/>
        <v>-0.18179147971962978</v>
      </c>
      <c r="AE97" s="3">
        <f t="shared" si="39"/>
        <v>1.2444775446344229</v>
      </c>
      <c r="AF97" s="1"/>
      <c r="AG97" s="1" t="str" cm="1">
        <f t="array" ref="AG97">_xlfn.IFS(Z97&gt;3,"Strong + Slope",Z97&gt;1.5,"Moderate + Slope",Z97&gt;0.5,"Sideway + Slope",Z97&gt;=-0.5,"Sideway Flat",Z97&gt;=-1.5,"Sideway - Slope",Z97&gt;=-3,"Moderate - Slope",TRUE,"Strong - Slope")</f>
        <v>Moderate - Slope</v>
      </c>
      <c r="AH97" s="1" t="str" cm="1">
        <f t="array" ref="AH97">_xlfn.IFS(AA97&gt;3,"Strong + Slope",AA97&gt;1.5,"Moderate + Slope",AA97&gt;0.5,"Sideway + Slope",AA97&gt;=-0.5,"Sideway Flat",AA97&gt;=-1.5,"Sideway - Slope",AA97&gt;=-3,"Moderate - Slope",TRUE,"Strong - Slope")</f>
        <v>Sideway Flat</v>
      </c>
      <c r="AI97" s="1" t="str" cm="1">
        <f t="array" ref="AI97">_xlfn.IFS(AB97&gt;3,"Strong + Slope",AB97&gt;1.5,"Moderate + Slope",AB97&gt;0.5,"Sideway + Slope",AB97&gt;=-0.5,"Sideway Flat",AB97&gt;=-1.5,"Sideway - Slope",AB97&gt;=-3,"Moderate - Slope",TRUE,"Strong - Slope")</f>
        <v>Sideway - Slope</v>
      </c>
      <c r="AJ97" s="1" t="str" cm="1">
        <f t="array" ref="AJ97">_xlfn.IFS(AC97&gt;3,"Strong + Slope",AC97&gt;1.5,"Moderate + Slope",AC97&gt;0.5,"Sideway + Slope",AC97&gt;=-0.5,"Sideway Flat",AC97&gt;=-1.5,"Sideway - Slope",AC97&gt;=-3,"Moderate - Slope",TRUE,"Strong - Slope")</f>
        <v>Sideway + Slope</v>
      </c>
      <c r="AK97" s="1" t="str" cm="1">
        <f t="array" ref="AK97">_xlfn.IFS(AD97&gt;3,"Strong + Slope",AD97&gt;1.5,"Moderate + Slope",AD97&gt;0.5,"Sideway + Slope",AD97&gt;=-0.5,"Sideway Flat",AD97&gt;=-1.5,"Sideway - Slope",AD97&gt;=-3,"Moderate - Slope",TRUE,"Strong - Slope")</f>
        <v>Sideway Flat</v>
      </c>
      <c r="AL97" s="1" t="str" cm="1">
        <f t="array" ref="AL97">_xlfn.IFS(AE97&gt;3,"Strong + Slope",AE97&gt;1.5,"Moderate + Slope",AE97&gt;0.5,"Sideway + Slope",AE97&gt;=-0.5,"Sideway Flat",AE97&gt;=-1.5,"Sideway - Slope",AE97&gt;=-3,"Moderate - Slope",TRUE,"Strong - Slope")</f>
        <v>Sideway + Slope</v>
      </c>
    </row>
    <row r="98" spans="1:38" x14ac:dyDescent="0.55000000000000004">
      <c r="A98" s="1">
        <v>94</v>
      </c>
      <c r="B98" s="1" t="s">
        <v>97</v>
      </c>
      <c r="C98" s="1" t="s">
        <v>4</v>
      </c>
      <c r="D98" s="1" t="s">
        <v>103</v>
      </c>
      <c r="E98" s="1">
        <v>152.655</v>
      </c>
      <c r="F98" s="1">
        <v>152.63200000000001</v>
      </c>
      <c r="G98" s="1">
        <v>152.65</v>
      </c>
      <c r="H98" s="1">
        <v>152.81299999999999</v>
      </c>
      <c r="I98" s="1">
        <v>152.876</v>
      </c>
      <c r="J98" s="1">
        <v>153.11799999999999</v>
      </c>
      <c r="K98" s="1">
        <v>152.631</v>
      </c>
      <c r="L98" s="1">
        <v>152.58099999999999</v>
      </c>
      <c r="M98" s="1">
        <v>152.91499999999999</v>
      </c>
      <c r="N98" s="11">
        <f t="shared" si="33"/>
        <v>2.2999999999996135E-2</v>
      </c>
      <c r="O98" s="11">
        <f t="shared" si="40"/>
        <v>9.9999999999909051E-3</v>
      </c>
      <c r="P98" s="11">
        <f t="shared" si="41"/>
        <v>1.300000000000523E-2</v>
      </c>
      <c r="Q98" s="11">
        <f t="shared" si="42"/>
        <v>2.2999999999996135E-2</v>
      </c>
      <c r="R98" s="1"/>
      <c r="S98" s="3">
        <f t="shared" si="43"/>
        <v>-2.423265306122455E-3</v>
      </c>
      <c r="T98" s="3">
        <f t="shared" si="44"/>
        <v>-3.7194805194805478E-4</v>
      </c>
      <c r="U98" s="3">
        <f t="shared" si="45"/>
        <v>-1.6402721088435472E-3</v>
      </c>
      <c r="V98" s="3">
        <f t="shared" si="46"/>
        <v>7.6471243042669956E-4</v>
      </c>
      <c r="W98" s="3">
        <f t="shared" si="47"/>
        <v>-2.3081014223875058E-4</v>
      </c>
      <c r="X98" s="3">
        <f t="shared" si="48"/>
        <v>1.5802844774273381E-3</v>
      </c>
      <c r="Y98" s="1"/>
      <c r="Z98" s="3">
        <f t="shared" si="34"/>
        <v>-1.9079214597220278</v>
      </c>
      <c r="AA98" s="3">
        <f t="shared" si="35"/>
        <v>-0.29295343676527091</v>
      </c>
      <c r="AB98" s="3">
        <f t="shared" si="36"/>
        <v>-1.2917022253843653</v>
      </c>
      <c r="AC98" s="3">
        <f t="shared" si="37"/>
        <v>0.60228527619529781</v>
      </c>
      <c r="AD98" s="3">
        <f t="shared" si="38"/>
        <v>-0.18179147971962978</v>
      </c>
      <c r="AE98" s="3">
        <f t="shared" si="39"/>
        <v>1.2444775446344229</v>
      </c>
      <c r="AF98" s="1"/>
      <c r="AG98" s="1" t="str" cm="1">
        <f t="array" ref="AG98">_xlfn.IFS(Z98&gt;3,"Strong + Slope",Z98&gt;1.5,"Moderate + Slope",Z98&gt;0.5,"Sideway + Slope",Z98&gt;=-0.5,"Sideway Flat",Z98&gt;=-1.5,"Sideway - Slope",Z98&gt;=-3,"Moderate - Slope",TRUE,"Strong - Slope")</f>
        <v>Moderate - Slope</v>
      </c>
      <c r="AH98" s="1" t="str" cm="1">
        <f t="array" ref="AH98">_xlfn.IFS(AA98&gt;3,"Strong + Slope",AA98&gt;1.5,"Moderate + Slope",AA98&gt;0.5,"Sideway + Slope",AA98&gt;=-0.5,"Sideway Flat",AA98&gt;=-1.5,"Sideway - Slope",AA98&gt;=-3,"Moderate - Slope",TRUE,"Strong - Slope")</f>
        <v>Sideway Flat</v>
      </c>
      <c r="AI98" s="1" t="str" cm="1">
        <f t="array" ref="AI98">_xlfn.IFS(AB98&gt;3,"Strong + Slope",AB98&gt;1.5,"Moderate + Slope",AB98&gt;0.5,"Sideway + Slope",AB98&gt;=-0.5,"Sideway Flat",AB98&gt;=-1.5,"Sideway - Slope",AB98&gt;=-3,"Moderate - Slope",TRUE,"Strong - Slope")</f>
        <v>Sideway - Slope</v>
      </c>
      <c r="AJ98" s="1" t="str" cm="1">
        <f t="array" ref="AJ98">_xlfn.IFS(AC98&gt;3,"Strong + Slope",AC98&gt;1.5,"Moderate + Slope",AC98&gt;0.5,"Sideway + Slope",AC98&gt;=-0.5,"Sideway Flat",AC98&gt;=-1.5,"Sideway - Slope",AC98&gt;=-3,"Moderate - Slope",TRUE,"Strong - Slope")</f>
        <v>Sideway + Slope</v>
      </c>
      <c r="AK98" s="1" t="str" cm="1">
        <f t="array" ref="AK98">_xlfn.IFS(AD98&gt;3,"Strong + Slope",AD98&gt;1.5,"Moderate + Slope",AD98&gt;0.5,"Sideway + Slope",AD98&gt;=-0.5,"Sideway Flat",AD98&gt;=-1.5,"Sideway - Slope",AD98&gt;=-3,"Moderate - Slope",TRUE,"Strong - Slope")</f>
        <v>Sideway Flat</v>
      </c>
      <c r="AL98" s="1" t="str" cm="1">
        <f t="array" ref="AL98">_xlfn.IFS(AE98&gt;3,"Strong + Slope",AE98&gt;1.5,"Moderate + Slope",AE98&gt;0.5,"Sideway + Slope",AE98&gt;=-0.5,"Sideway Flat",AE98&gt;=-1.5,"Sideway - Slope",AE98&gt;=-3,"Moderate - Slope",TRUE,"Strong - Slope")</f>
        <v>Sideway + Slope</v>
      </c>
    </row>
    <row r="99" spans="1:38" x14ac:dyDescent="0.55000000000000004">
      <c r="A99" s="1">
        <v>95</v>
      </c>
      <c r="B99" s="1" t="s">
        <v>98</v>
      </c>
      <c r="C99" s="1" t="s">
        <v>4</v>
      </c>
      <c r="D99" s="1" t="s">
        <v>103</v>
      </c>
      <c r="E99" s="1">
        <v>152.702</v>
      </c>
      <c r="F99" s="1">
        <v>152.65199999999999</v>
      </c>
      <c r="G99" s="1">
        <v>152.69999999999999</v>
      </c>
      <c r="H99" s="1">
        <v>152.81</v>
      </c>
      <c r="I99" s="1">
        <v>152.876</v>
      </c>
      <c r="J99" s="1">
        <v>153.11699999999999</v>
      </c>
      <c r="K99" s="1">
        <v>152.63200000000001</v>
      </c>
      <c r="L99" s="1">
        <v>152.58099999999999</v>
      </c>
      <c r="M99" s="1">
        <v>152.917</v>
      </c>
      <c r="N99" s="11">
        <f t="shared" si="33"/>
        <v>5.0000000000011369E-2</v>
      </c>
      <c r="O99" s="11">
        <f t="shared" si="40"/>
        <v>5.1999999999992497E-2</v>
      </c>
      <c r="P99" s="11">
        <f t="shared" si="41"/>
        <v>1.999999999981128E-3</v>
      </c>
      <c r="Q99" s="11">
        <f t="shared" si="42"/>
        <v>5.1999999999992497E-2</v>
      </c>
      <c r="R99" s="1"/>
      <c r="S99" s="3">
        <f t="shared" si="43"/>
        <v>-2.423265306122455E-3</v>
      </c>
      <c r="T99" s="3">
        <f t="shared" si="44"/>
        <v>-3.7194805194805478E-4</v>
      </c>
      <c r="U99" s="3">
        <f t="shared" si="45"/>
        <v>-1.6402721088435472E-3</v>
      </c>
      <c r="V99" s="3">
        <f t="shared" si="46"/>
        <v>7.6471243042669956E-4</v>
      </c>
      <c r="W99" s="3">
        <f t="shared" si="47"/>
        <v>-2.3081014223875058E-4</v>
      </c>
      <c r="X99" s="3">
        <f t="shared" si="48"/>
        <v>1.5802844774273381E-3</v>
      </c>
      <c r="Y99" s="1"/>
      <c r="Z99" s="3">
        <f t="shared" si="34"/>
        <v>-1.9079214597220278</v>
      </c>
      <c r="AA99" s="3">
        <f t="shared" si="35"/>
        <v>-0.29295343676527091</v>
      </c>
      <c r="AB99" s="3">
        <f t="shared" si="36"/>
        <v>-1.2917022253843653</v>
      </c>
      <c r="AC99" s="3">
        <f t="shared" si="37"/>
        <v>0.60228527619529781</v>
      </c>
      <c r="AD99" s="3">
        <f t="shared" si="38"/>
        <v>-0.18179147971962978</v>
      </c>
      <c r="AE99" s="3">
        <f t="shared" si="39"/>
        <v>1.2444775446344229</v>
      </c>
      <c r="AF99" s="1"/>
      <c r="AG99" s="1" t="str" cm="1">
        <f t="array" ref="AG99">_xlfn.IFS(Z99&gt;3,"Strong + Slope",Z99&gt;1.5,"Moderate + Slope",Z99&gt;0.5,"Sideway + Slope",Z99&gt;=-0.5,"Sideway Flat",Z99&gt;=-1.5,"Sideway - Slope",Z99&gt;=-3,"Moderate - Slope",TRUE,"Strong - Slope")</f>
        <v>Moderate - Slope</v>
      </c>
      <c r="AH99" s="1" t="str" cm="1">
        <f t="array" ref="AH99">_xlfn.IFS(AA99&gt;3,"Strong + Slope",AA99&gt;1.5,"Moderate + Slope",AA99&gt;0.5,"Sideway + Slope",AA99&gt;=-0.5,"Sideway Flat",AA99&gt;=-1.5,"Sideway - Slope",AA99&gt;=-3,"Moderate - Slope",TRUE,"Strong - Slope")</f>
        <v>Sideway Flat</v>
      </c>
      <c r="AI99" s="1" t="str" cm="1">
        <f t="array" ref="AI99">_xlfn.IFS(AB99&gt;3,"Strong + Slope",AB99&gt;1.5,"Moderate + Slope",AB99&gt;0.5,"Sideway + Slope",AB99&gt;=-0.5,"Sideway Flat",AB99&gt;=-1.5,"Sideway - Slope",AB99&gt;=-3,"Moderate - Slope",TRUE,"Strong - Slope")</f>
        <v>Sideway - Slope</v>
      </c>
      <c r="AJ99" s="1" t="str" cm="1">
        <f t="array" ref="AJ99">_xlfn.IFS(AC99&gt;3,"Strong + Slope",AC99&gt;1.5,"Moderate + Slope",AC99&gt;0.5,"Sideway + Slope",AC99&gt;=-0.5,"Sideway Flat",AC99&gt;=-1.5,"Sideway - Slope",AC99&gt;=-3,"Moderate - Slope",TRUE,"Strong - Slope")</f>
        <v>Sideway + Slope</v>
      </c>
      <c r="AK99" s="1" t="str" cm="1">
        <f t="array" ref="AK99">_xlfn.IFS(AD99&gt;3,"Strong + Slope",AD99&gt;1.5,"Moderate + Slope",AD99&gt;0.5,"Sideway + Slope",AD99&gt;=-0.5,"Sideway Flat",AD99&gt;=-1.5,"Sideway - Slope",AD99&gt;=-3,"Moderate - Slope",TRUE,"Strong - Slope")</f>
        <v>Sideway Flat</v>
      </c>
      <c r="AL99" s="1" t="str" cm="1">
        <f t="array" ref="AL99">_xlfn.IFS(AE99&gt;3,"Strong + Slope",AE99&gt;1.5,"Moderate + Slope",AE99&gt;0.5,"Sideway + Slope",AE99&gt;=-0.5,"Sideway Flat",AE99&gt;=-1.5,"Sideway - Slope",AE99&gt;=-3,"Moderate - Slope",TRUE,"Strong - Slope")</f>
        <v>Sideway + Slope</v>
      </c>
    </row>
    <row r="100" spans="1:38" x14ac:dyDescent="0.55000000000000004">
      <c r="A100" s="1">
        <v>96</v>
      </c>
      <c r="B100" s="1" t="s">
        <v>99</v>
      </c>
      <c r="C100" s="1" t="s">
        <v>4</v>
      </c>
      <c r="D100" s="1" t="s">
        <v>103</v>
      </c>
      <c r="E100" s="1">
        <v>152.726</v>
      </c>
      <c r="F100" s="1">
        <v>152.68799999999999</v>
      </c>
      <c r="G100" s="1">
        <v>152.72200000000001</v>
      </c>
      <c r="H100" s="1">
        <v>152.80799999999999</v>
      </c>
      <c r="I100" s="1">
        <v>152.876</v>
      </c>
      <c r="J100" s="1">
        <v>153.11500000000001</v>
      </c>
      <c r="K100" s="1">
        <v>152.63300000000001</v>
      </c>
      <c r="L100" s="1">
        <v>152.58099999999999</v>
      </c>
      <c r="M100" s="1">
        <v>152.91800000000001</v>
      </c>
      <c r="N100" s="11">
        <f t="shared" si="33"/>
        <v>3.8000000000010914E-2</v>
      </c>
      <c r="O100" s="11">
        <f t="shared" si="40"/>
        <v>2.6000000000010459E-2</v>
      </c>
      <c r="P100" s="11">
        <f t="shared" si="41"/>
        <v>1.2000000000000455E-2</v>
      </c>
      <c r="Q100" s="11">
        <f t="shared" si="42"/>
        <v>3.8000000000010914E-2</v>
      </c>
      <c r="R100" s="1"/>
      <c r="S100" s="3">
        <f t="shared" si="43"/>
        <v>-2.423265306122455E-3</v>
      </c>
      <c r="T100" s="3">
        <f t="shared" si="44"/>
        <v>-3.7194805194805478E-4</v>
      </c>
      <c r="U100" s="3">
        <f t="shared" si="45"/>
        <v>-1.6402721088435472E-3</v>
      </c>
      <c r="V100" s="3">
        <f t="shared" si="46"/>
        <v>7.6471243042669956E-4</v>
      </c>
      <c r="W100" s="3">
        <f t="shared" si="47"/>
        <v>-2.3081014223875058E-4</v>
      </c>
      <c r="X100" s="3">
        <f t="shared" si="48"/>
        <v>1.5802844774273381E-3</v>
      </c>
      <c r="Y100" s="1"/>
      <c r="Z100" s="3">
        <f t="shared" si="34"/>
        <v>-1.9079214597220278</v>
      </c>
      <c r="AA100" s="3">
        <f t="shared" si="35"/>
        <v>-0.29295343676527091</v>
      </c>
      <c r="AB100" s="3">
        <f t="shared" si="36"/>
        <v>-1.2917022253843653</v>
      </c>
      <c r="AC100" s="3">
        <f t="shared" si="37"/>
        <v>0.60228527619529781</v>
      </c>
      <c r="AD100" s="3">
        <f t="shared" si="38"/>
        <v>-0.18179147971962978</v>
      </c>
      <c r="AE100" s="3">
        <f t="shared" si="39"/>
        <v>1.2444775446344229</v>
      </c>
      <c r="AF100" s="1"/>
      <c r="AG100" s="1" t="str" cm="1">
        <f t="array" ref="AG100">_xlfn.IFS(Z100&gt;3,"Strong + Slope",Z100&gt;1.5,"Moderate + Slope",Z100&gt;0.5,"Sideway + Slope",Z100&gt;=-0.5,"Sideway Flat",Z100&gt;=-1.5,"Sideway - Slope",Z100&gt;=-3,"Moderate - Slope",TRUE,"Strong - Slope")</f>
        <v>Moderate - Slope</v>
      </c>
      <c r="AH100" s="1" t="str" cm="1">
        <f t="array" ref="AH100">_xlfn.IFS(AA100&gt;3,"Strong + Slope",AA100&gt;1.5,"Moderate + Slope",AA100&gt;0.5,"Sideway + Slope",AA100&gt;=-0.5,"Sideway Flat",AA100&gt;=-1.5,"Sideway - Slope",AA100&gt;=-3,"Moderate - Slope",TRUE,"Strong - Slope")</f>
        <v>Sideway Flat</v>
      </c>
      <c r="AI100" s="1" t="str" cm="1">
        <f t="array" ref="AI100">_xlfn.IFS(AB100&gt;3,"Strong + Slope",AB100&gt;1.5,"Moderate + Slope",AB100&gt;0.5,"Sideway + Slope",AB100&gt;=-0.5,"Sideway Flat",AB100&gt;=-1.5,"Sideway - Slope",AB100&gt;=-3,"Moderate - Slope",TRUE,"Strong - Slope")</f>
        <v>Sideway - Slope</v>
      </c>
      <c r="AJ100" s="1" t="str" cm="1">
        <f t="array" ref="AJ100">_xlfn.IFS(AC100&gt;3,"Strong + Slope",AC100&gt;1.5,"Moderate + Slope",AC100&gt;0.5,"Sideway + Slope",AC100&gt;=-0.5,"Sideway Flat",AC100&gt;=-1.5,"Sideway - Slope",AC100&gt;=-3,"Moderate - Slope",TRUE,"Strong - Slope")</f>
        <v>Sideway + Slope</v>
      </c>
      <c r="AK100" s="1" t="str" cm="1">
        <f t="array" ref="AK100">_xlfn.IFS(AD100&gt;3,"Strong + Slope",AD100&gt;1.5,"Moderate + Slope",AD100&gt;0.5,"Sideway + Slope",AD100&gt;=-0.5,"Sideway Flat",AD100&gt;=-1.5,"Sideway - Slope",AD100&gt;=-3,"Moderate - Slope",TRUE,"Strong - Slope")</f>
        <v>Sideway Flat</v>
      </c>
      <c r="AL100" s="1" t="str" cm="1">
        <f t="array" ref="AL100">_xlfn.IFS(AE100&gt;3,"Strong + Slope",AE100&gt;1.5,"Moderate + Slope",AE100&gt;0.5,"Sideway + Slope",AE100&gt;=-0.5,"Sideway Flat",AE100&gt;=-1.5,"Sideway - Slope",AE100&gt;=-3,"Moderate - Slope",TRUE,"Strong - Slope")</f>
        <v>Sideway + Slope</v>
      </c>
    </row>
    <row r="101" spans="1:38" x14ac:dyDescent="0.55000000000000004">
      <c r="A101" s="1">
        <v>97</v>
      </c>
      <c r="B101" s="1" t="s">
        <v>100</v>
      </c>
      <c r="C101" s="1" t="s">
        <v>4</v>
      </c>
      <c r="D101" s="1" t="s">
        <v>103</v>
      </c>
      <c r="E101" s="1">
        <v>152.72200000000001</v>
      </c>
      <c r="F101" s="1">
        <v>152.69200000000001</v>
      </c>
      <c r="G101" s="1">
        <v>152.69200000000001</v>
      </c>
      <c r="H101" s="1">
        <v>152.80600000000001</v>
      </c>
      <c r="I101" s="1">
        <v>152.875</v>
      </c>
      <c r="J101" s="1">
        <v>153.113</v>
      </c>
      <c r="K101" s="1">
        <v>152.63399999999999</v>
      </c>
      <c r="L101" s="1">
        <v>152.58099999999999</v>
      </c>
      <c r="M101" s="1">
        <v>152.91999999999999</v>
      </c>
      <c r="N101" s="11">
        <f t="shared" si="33"/>
        <v>3.0000000000001137E-2</v>
      </c>
      <c r="O101" s="11">
        <f t="shared" si="40"/>
        <v>0</v>
      </c>
      <c r="P101" s="11">
        <f t="shared" si="41"/>
        <v>3.0000000000001137E-2</v>
      </c>
      <c r="Q101" s="11">
        <f t="shared" si="42"/>
        <v>3.0000000000001137E-2</v>
      </c>
      <c r="R101" s="1"/>
      <c r="S101" s="3">
        <f t="shared" si="43"/>
        <v>-2.423265306122455E-3</v>
      </c>
      <c r="T101" s="3">
        <f t="shared" si="44"/>
        <v>-3.7194805194805478E-4</v>
      </c>
      <c r="U101" s="3">
        <f t="shared" si="45"/>
        <v>-1.6402721088435472E-3</v>
      </c>
      <c r="V101" s="3">
        <f t="shared" si="46"/>
        <v>7.6471243042669956E-4</v>
      </c>
      <c r="W101" s="3">
        <f t="shared" si="47"/>
        <v>-2.3081014223875058E-4</v>
      </c>
      <c r="X101" s="3">
        <f t="shared" si="48"/>
        <v>1.5802844774273381E-3</v>
      </c>
      <c r="Y101" s="1"/>
      <c r="Z101" s="3">
        <f t="shared" si="34"/>
        <v>-1.9079214597220278</v>
      </c>
      <c r="AA101" s="3">
        <f t="shared" si="35"/>
        <v>-0.29295343676527091</v>
      </c>
      <c r="AB101" s="3">
        <f t="shared" si="36"/>
        <v>-1.2917022253843653</v>
      </c>
      <c r="AC101" s="3">
        <f t="shared" si="37"/>
        <v>0.60228527619529781</v>
      </c>
      <c r="AD101" s="3">
        <f t="shared" si="38"/>
        <v>-0.18179147971962978</v>
      </c>
      <c r="AE101" s="3">
        <f t="shared" si="39"/>
        <v>1.2444775446344229</v>
      </c>
      <c r="AF101" s="1"/>
      <c r="AG101" s="1" t="str" cm="1">
        <f t="array" ref="AG101">_xlfn.IFS(Z101&gt;3,"Strong + Slope",Z101&gt;1.5,"Moderate + Slope",Z101&gt;0.5,"Sideway + Slope",Z101&gt;=-0.5,"Sideway Flat",Z101&gt;=-1.5,"Sideway - Slope",Z101&gt;=-3,"Moderate - Slope",TRUE,"Strong - Slope")</f>
        <v>Moderate - Slope</v>
      </c>
      <c r="AH101" s="1" t="str" cm="1">
        <f t="array" ref="AH101">_xlfn.IFS(AA101&gt;3,"Strong + Slope",AA101&gt;1.5,"Moderate + Slope",AA101&gt;0.5,"Sideway + Slope",AA101&gt;=-0.5,"Sideway Flat",AA101&gt;=-1.5,"Sideway - Slope",AA101&gt;=-3,"Moderate - Slope",TRUE,"Strong - Slope")</f>
        <v>Sideway Flat</v>
      </c>
      <c r="AI101" s="1" t="str" cm="1">
        <f t="array" ref="AI101">_xlfn.IFS(AB101&gt;3,"Strong + Slope",AB101&gt;1.5,"Moderate + Slope",AB101&gt;0.5,"Sideway + Slope",AB101&gt;=-0.5,"Sideway Flat",AB101&gt;=-1.5,"Sideway - Slope",AB101&gt;=-3,"Moderate - Slope",TRUE,"Strong - Slope")</f>
        <v>Sideway - Slope</v>
      </c>
      <c r="AJ101" s="1" t="str" cm="1">
        <f t="array" ref="AJ101">_xlfn.IFS(AC101&gt;3,"Strong + Slope",AC101&gt;1.5,"Moderate + Slope",AC101&gt;0.5,"Sideway + Slope",AC101&gt;=-0.5,"Sideway Flat",AC101&gt;=-1.5,"Sideway - Slope",AC101&gt;=-3,"Moderate - Slope",TRUE,"Strong - Slope")</f>
        <v>Sideway + Slope</v>
      </c>
      <c r="AK101" s="1" t="str" cm="1">
        <f t="array" ref="AK101">_xlfn.IFS(AD101&gt;3,"Strong + Slope",AD101&gt;1.5,"Moderate + Slope",AD101&gt;0.5,"Sideway + Slope",AD101&gt;=-0.5,"Sideway Flat",AD101&gt;=-1.5,"Sideway - Slope",AD101&gt;=-3,"Moderate - Slope",TRUE,"Strong - Slope")</f>
        <v>Sideway Flat</v>
      </c>
      <c r="AL101" s="1" t="str" cm="1">
        <f t="array" ref="AL101">_xlfn.IFS(AE101&gt;3,"Strong + Slope",AE101&gt;1.5,"Moderate + Slope",AE101&gt;0.5,"Sideway + Slope",AE101&gt;=-0.5,"Sideway Flat",AE101&gt;=-1.5,"Sideway - Slope",AE101&gt;=-3,"Moderate - Slope",TRUE,"Strong - Slope")</f>
        <v>Sideway + Slope</v>
      </c>
    </row>
    <row r="102" spans="1:38" x14ac:dyDescent="0.55000000000000004">
      <c r="A102" s="1">
        <v>98</v>
      </c>
      <c r="B102" s="1" t="s">
        <v>101</v>
      </c>
      <c r="C102" s="1" t="s">
        <v>4</v>
      </c>
      <c r="D102" s="1" t="s">
        <v>103</v>
      </c>
      <c r="E102" s="1">
        <v>152.72999999999999</v>
      </c>
      <c r="F102" s="1">
        <v>152.69200000000001</v>
      </c>
      <c r="G102" s="1">
        <v>152.727</v>
      </c>
      <c r="H102" s="1">
        <v>152.803</v>
      </c>
      <c r="I102" s="1">
        <v>152.875</v>
      </c>
      <c r="J102" s="1">
        <v>153.11199999999999</v>
      </c>
      <c r="K102" s="1">
        <v>152.63399999999999</v>
      </c>
      <c r="L102" s="1">
        <v>152.58099999999999</v>
      </c>
      <c r="M102" s="1">
        <v>152.92099999999999</v>
      </c>
      <c r="N102" s="11">
        <f t="shared" si="33"/>
        <v>3.7999999999982492E-2</v>
      </c>
      <c r="O102" s="11">
        <f t="shared" si="40"/>
        <v>3.7999999999982492E-2</v>
      </c>
      <c r="P102" s="11">
        <f t="shared" si="41"/>
        <v>0</v>
      </c>
      <c r="Q102" s="11">
        <f t="shared" ref="Q102:Q103" si="49">MAX(N102:P102)</f>
        <v>3.7999999999982492E-2</v>
      </c>
      <c r="R102" s="1"/>
      <c r="S102" s="3">
        <f t="shared" si="43"/>
        <v>-2.423265306122455E-3</v>
      </c>
      <c r="T102" s="3">
        <f t="shared" si="44"/>
        <v>-3.7194805194805478E-4</v>
      </c>
      <c r="U102" s="3">
        <f t="shared" si="45"/>
        <v>-1.6402721088435472E-3</v>
      </c>
      <c r="V102" s="3">
        <f t="shared" si="46"/>
        <v>7.6471243042669956E-4</v>
      </c>
      <c r="W102" s="3">
        <f t="shared" si="47"/>
        <v>-2.3081014223875058E-4</v>
      </c>
      <c r="X102" s="3">
        <f t="shared" si="48"/>
        <v>1.5802844774273381E-3</v>
      </c>
      <c r="Y102" s="1"/>
      <c r="Z102" s="3">
        <f t="shared" si="34"/>
        <v>-1.9079214597220278</v>
      </c>
      <c r="AA102" s="3">
        <f t="shared" si="35"/>
        <v>-0.29295343676527091</v>
      </c>
      <c r="AB102" s="3">
        <f t="shared" si="36"/>
        <v>-1.2917022253843653</v>
      </c>
      <c r="AC102" s="3">
        <f t="shared" si="37"/>
        <v>0.60228527619529781</v>
      </c>
      <c r="AD102" s="3">
        <f t="shared" si="38"/>
        <v>-0.18179147971962978</v>
      </c>
      <c r="AE102" s="3">
        <f t="shared" si="39"/>
        <v>1.2444775446344229</v>
      </c>
      <c r="AF102" s="1"/>
      <c r="AG102" s="1" t="str" cm="1">
        <f t="array" ref="AG102">_xlfn.IFS(Z102&gt;3,"Strong + Slope",Z102&gt;1.5,"Moderate + Slope",Z102&gt;0.5,"Sideway + Slope",Z102&gt;=-0.5,"Sideway Flat",Z102&gt;=-1.5,"Sideway - Slope",Z102&gt;=-3,"Moderate - Slope",TRUE,"Strong - Slope")</f>
        <v>Moderate - Slope</v>
      </c>
      <c r="AH102" s="1" t="str" cm="1">
        <f t="array" ref="AH102">_xlfn.IFS(AA102&gt;3,"Strong + Slope",AA102&gt;1.5,"Moderate + Slope",AA102&gt;0.5,"Sideway + Slope",AA102&gt;=-0.5,"Sideway Flat",AA102&gt;=-1.5,"Sideway - Slope",AA102&gt;=-3,"Moderate - Slope",TRUE,"Strong - Slope")</f>
        <v>Sideway Flat</v>
      </c>
      <c r="AI102" s="1" t="str" cm="1">
        <f t="array" ref="AI102">_xlfn.IFS(AB102&gt;3,"Strong + Slope",AB102&gt;1.5,"Moderate + Slope",AB102&gt;0.5,"Sideway + Slope",AB102&gt;=-0.5,"Sideway Flat",AB102&gt;=-1.5,"Sideway - Slope",AB102&gt;=-3,"Moderate - Slope",TRUE,"Strong - Slope")</f>
        <v>Sideway - Slope</v>
      </c>
      <c r="AJ102" s="1" t="str" cm="1">
        <f t="array" ref="AJ102">_xlfn.IFS(AC102&gt;3,"Strong + Slope",AC102&gt;1.5,"Moderate + Slope",AC102&gt;0.5,"Sideway + Slope",AC102&gt;=-0.5,"Sideway Flat",AC102&gt;=-1.5,"Sideway - Slope",AC102&gt;=-3,"Moderate - Slope",TRUE,"Strong - Slope")</f>
        <v>Sideway + Slope</v>
      </c>
      <c r="AK102" s="1" t="str" cm="1">
        <f t="array" ref="AK102">_xlfn.IFS(AD102&gt;3,"Strong + Slope",AD102&gt;1.5,"Moderate + Slope",AD102&gt;0.5,"Sideway + Slope",AD102&gt;=-0.5,"Sideway Flat",AD102&gt;=-1.5,"Sideway - Slope",AD102&gt;=-3,"Moderate - Slope",TRUE,"Strong - Slope")</f>
        <v>Sideway Flat</v>
      </c>
      <c r="AL102" s="1" t="str" cm="1">
        <f t="array" ref="AL102">_xlfn.IFS(AE102&gt;3,"Strong + Slope",AE102&gt;1.5,"Moderate + Slope",AE102&gt;0.5,"Sideway + Slope",AE102&gt;=-0.5,"Sideway Flat",AE102&gt;=-1.5,"Sideway - Slope",AE102&gt;=-3,"Moderate - Slope",TRUE,"Strong - Slope")</f>
        <v>Sideway + Slope</v>
      </c>
    </row>
    <row r="103" spans="1:38" x14ac:dyDescent="0.55000000000000004">
      <c r="A103" s="1">
        <v>99</v>
      </c>
      <c r="B103" s="1" t="s">
        <v>102</v>
      </c>
      <c r="C103" s="1" t="s">
        <v>4</v>
      </c>
      <c r="D103" s="1" t="s">
        <v>103</v>
      </c>
      <c r="E103" s="1">
        <v>152.72499999999999</v>
      </c>
      <c r="F103" s="1">
        <v>152.703</v>
      </c>
      <c r="G103" s="1">
        <v>152.71199999999999</v>
      </c>
      <c r="H103" s="1">
        <v>152.80099999999999</v>
      </c>
      <c r="I103" s="1">
        <v>152.875</v>
      </c>
      <c r="J103" s="1">
        <v>153.11000000000001</v>
      </c>
      <c r="K103" s="1">
        <v>152.63499999999999</v>
      </c>
      <c r="L103" s="1">
        <v>152.58000000000001</v>
      </c>
      <c r="M103" s="1">
        <v>152.923</v>
      </c>
      <c r="N103" s="11">
        <f t="shared" si="33"/>
        <v>2.199999999999136E-2</v>
      </c>
      <c r="O103" s="11">
        <f t="shared" si="40"/>
        <v>2.0000000000095497E-3</v>
      </c>
      <c r="P103" s="11">
        <f t="shared" si="41"/>
        <v>2.4000000000000909E-2</v>
      </c>
      <c r="Q103" s="11">
        <f t="shared" si="49"/>
        <v>2.4000000000000909E-2</v>
      </c>
      <c r="R103" s="1"/>
      <c r="S103" s="3">
        <f t="shared" si="43"/>
        <v>-2.423265306122455E-3</v>
      </c>
      <c r="T103" s="3">
        <f t="shared" si="44"/>
        <v>-3.7194805194805478E-4</v>
      </c>
      <c r="U103" s="3">
        <f t="shared" si="45"/>
        <v>-1.6402721088435472E-3</v>
      </c>
      <c r="V103" s="3">
        <f t="shared" si="46"/>
        <v>7.6471243042669956E-4</v>
      </c>
      <c r="W103" s="3">
        <f t="shared" si="47"/>
        <v>-2.3081014223875058E-4</v>
      </c>
      <c r="X103" s="3">
        <f t="shared" si="48"/>
        <v>1.5802844774273381E-3</v>
      </c>
      <c r="Y103" s="1"/>
      <c r="Z103" s="3">
        <f t="shared" si="34"/>
        <v>-1.9079214597220278</v>
      </c>
      <c r="AA103" s="3">
        <f t="shared" si="35"/>
        <v>-0.29295343676527091</v>
      </c>
      <c r="AB103" s="3">
        <f t="shared" si="36"/>
        <v>-1.2917022253843653</v>
      </c>
      <c r="AC103" s="3">
        <f t="shared" si="37"/>
        <v>0.60228527619529781</v>
      </c>
      <c r="AD103" s="3">
        <f t="shared" si="38"/>
        <v>-0.18179147971962978</v>
      </c>
      <c r="AE103" s="3">
        <f t="shared" si="39"/>
        <v>1.2444775446344229</v>
      </c>
      <c r="AF103" s="1"/>
      <c r="AG103" s="1" t="str" cm="1">
        <f t="array" ref="AG103">_xlfn.IFS(Z103&gt;3,"Strong + Slope",Z103&gt;1.5,"Moderate + Slope",Z103&gt;0.5,"Sideway + Slope",Z103&gt;=-0.5,"Sideway Flat",Z103&gt;=-1.5,"Sideway - Slope",Z103&gt;=-3,"Moderate - Slope",TRUE,"Strong - Slope")</f>
        <v>Moderate - Slope</v>
      </c>
      <c r="AH103" s="1" t="str" cm="1">
        <f t="array" ref="AH103">_xlfn.IFS(AA103&gt;3,"Strong + Slope",AA103&gt;1.5,"Moderate + Slope",AA103&gt;0.5,"Sideway + Slope",AA103&gt;=-0.5,"Sideway Flat",AA103&gt;=-1.5,"Sideway - Slope",AA103&gt;=-3,"Moderate - Slope",TRUE,"Strong - Slope")</f>
        <v>Sideway Flat</v>
      </c>
      <c r="AI103" s="1" t="str" cm="1">
        <f t="array" ref="AI103">_xlfn.IFS(AB103&gt;3,"Strong + Slope",AB103&gt;1.5,"Moderate + Slope",AB103&gt;0.5,"Sideway + Slope",AB103&gt;=-0.5,"Sideway Flat",AB103&gt;=-1.5,"Sideway - Slope",AB103&gt;=-3,"Moderate - Slope",TRUE,"Strong - Slope")</f>
        <v>Sideway - Slope</v>
      </c>
      <c r="AJ103" s="1" t="str" cm="1">
        <f t="array" ref="AJ103">_xlfn.IFS(AC103&gt;3,"Strong + Slope",AC103&gt;1.5,"Moderate + Slope",AC103&gt;0.5,"Sideway + Slope",AC103&gt;=-0.5,"Sideway Flat",AC103&gt;=-1.5,"Sideway - Slope",AC103&gt;=-3,"Moderate - Slope",TRUE,"Strong - Slope")</f>
        <v>Sideway + Slope</v>
      </c>
      <c r="AK103" s="1" t="str" cm="1">
        <f t="array" ref="AK103">_xlfn.IFS(AD103&gt;3,"Strong + Slope",AD103&gt;1.5,"Moderate + Slope",AD103&gt;0.5,"Sideway + Slope",AD103&gt;=-0.5,"Sideway Flat",AD103&gt;=-1.5,"Sideway - Slope",AD103&gt;=-3,"Moderate - Slope",TRUE,"Strong - Slope")</f>
        <v>Sideway Flat</v>
      </c>
      <c r="AL103" s="1" t="str" cm="1">
        <f t="array" ref="AL103">_xlfn.IFS(AE103&gt;3,"Strong + Slope",AE103&gt;1.5,"Moderate + Slope",AE103&gt;0.5,"Sideway + Slope",AE103&gt;=-0.5,"Sideway Flat",AE103&gt;=-1.5,"Sideway - Slope",AE103&gt;=-3,"Moderate - Slope",TRUE,"Strong - Slope")</f>
        <v>Sideway + Slope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Angle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2026-02-23T08:42:47Z</dcterms:modified>
</cp:coreProperties>
</file>