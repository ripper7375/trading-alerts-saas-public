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F028DF38-0B90-4760-83C5-E5264550249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pike Distribution Volum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6" i="4" l="1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5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S103" i="4"/>
  <c r="O103" i="4"/>
  <c r="L103" i="4"/>
  <c r="K103" i="4"/>
  <c r="S102" i="4"/>
  <c r="O102" i="4"/>
  <c r="L102" i="4"/>
  <c r="K102" i="4"/>
  <c r="S101" i="4"/>
  <c r="O101" i="4"/>
  <c r="L101" i="4"/>
  <c r="K101" i="4"/>
  <c r="S100" i="4"/>
  <c r="O100" i="4"/>
  <c r="L100" i="4"/>
  <c r="K100" i="4"/>
  <c r="S99" i="4"/>
  <c r="O99" i="4"/>
  <c r="L99" i="4"/>
  <c r="K99" i="4"/>
  <c r="S98" i="4"/>
  <c r="O98" i="4"/>
  <c r="L98" i="4"/>
  <c r="K98" i="4"/>
  <c r="S97" i="4"/>
  <c r="O97" i="4"/>
  <c r="L97" i="4"/>
  <c r="K97" i="4"/>
  <c r="S96" i="4"/>
  <c r="O96" i="4"/>
  <c r="L96" i="4"/>
  <c r="K96" i="4"/>
  <c r="S95" i="4"/>
  <c r="O95" i="4"/>
  <c r="L95" i="4"/>
  <c r="K95" i="4"/>
  <c r="S94" i="4"/>
  <c r="O94" i="4"/>
  <c r="L94" i="4"/>
  <c r="K94" i="4"/>
  <c r="S93" i="4"/>
  <c r="O93" i="4"/>
  <c r="L93" i="4"/>
  <c r="K93" i="4"/>
  <c r="S92" i="4"/>
  <c r="O92" i="4"/>
  <c r="L92" i="4"/>
  <c r="K92" i="4"/>
  <c r="S91" i="4"/>
  <c r="O91" i="4"/>
  <c r="L91" i="4"/>
  <c r="K91" i="4"/>
  <c r="S90" i="4"/>
  <c r="O90" i="4"/>
  <c r="L90" i="4"/>
  <c r="K90" i="4"/>
  <c r="S89" i="4"/>
  <c r="O89" i="4"/>
  <c r="L89" i="4"/>
  <c r="K89" i="4"/>
  <c r="S88" i="4"/>
  <c r="O88" i="4"/>
  <c r="L88" i="4"/>
  <c r="K88" i="4"/>
  <c r="S87" i="4"/>
  <c r="O87" i="4"/>
  <c r="L87" i="4"/>
  <c r="K87" i="4"/>
  <c r="S86" i="4"/>
  <c r="O86" i="4"/>
  <c r="L86" i="4"/>
  <c r="K86" i="4"/>
  <c r="S85" i="4"/>
  <c r="O85" i="4"/>
  <c r="L85" i="4"/>
  <c r="K85" i="4"/>
  <c r="S84" i="4"/>
  <c r="O84" i="4"/>
  <c r="L84" i="4"/>
  <c r="K84" i="4"/>
  <c r="S83" i="4"/>
  <c r="O83" i="4"/>
  <c r="L83" i="4"/>
  <c r="K83" i="4"/>
  <c r="S82" i="4"/>
  <c r="O82" i="4"/>
  <c r="L82" i="4"/>
  <c r="K82" i="4"/>
  <c r="S81" i="4"/>
  <c r="O81" i="4"/>
  <c r="L81" i="4"/>
  <c r="K81" i="4"/>
  <c r="S80" i="4"/>
  <c r="O80" i="4"/>
  <c r="L80" i="4"/>
  <c r="K80" i="4"/>
  <c r="S79" i="4"/>
  <c r="O79" i="4"/>
  <c r="L79" i="4"/>
  <c r="K79" i="4"/>
  <c r="S78" i="4"/>
  <c r="O78" i="4"/>
  <c r="L78" i="4"/>
  <c r="K78" i="4"/>
  <c r="S77" i="4"/>
  <c r="O77" i="4"/>
  <c r="L77" i="4"/>
  <c r="K77" i="4"/>
  <c r="S76" i="4"/>
  <c r="O76" i="4"/>
  <c r="L76" i="4"/>
  <c r="K76" i="4"/>
  <c r="S75" i="4"/>
  <c r="O75" i="4"/>
  <c r="L75" i="4"/>
  <c r="K75" i="4"/>
  <c r="S74" i="4"/>
  <c r="O74" i="4"/>
  <c r="L74" i="4"/>
  <c r="K74" i="4"/>
  <c r="S73" i="4"/>
  <c r="O73" i="4"/>
  <c r="L73" i="4"/>
  <c r="K73" i="4"/>
  <c r="S72" i="4"/>
  <c r="O72" i="4"/>
  <c r="L72" i="4"/>
  <c r="K72" i="4"/>
  <c r="S71" i="4"/>
  <c r="O71" i="4"/>
  <c r="L71" i="4"/>
  <c r="K71" i="4"/>
  <c r="S70" i="4"/>
  <c r="O70" i="4"/>
  <c r="L70" i="4"/>
  <c r="K70" i="4"/>
  <c r="S69" i="4"/>
  <c r="O69" i="4"/>
  <c r="L69" i="4"/>
  <c r="K69" i="4"/>
  <c r="S68" i="4"/>
  <c r="O68" i="4"/>
  <c r="L68" i="4"/>
  <c r="K68" i="4"/>
  <c r="S67" i="4"/>
  <c r="O67" i="4"/>
  <c r="L67" i="4"/>
  <c r="K67" i="4"/>
  <c r="S66" i="4"/>
  <c r="O66" i="4"/>
  <c r="L66" i="4"/>
  <c r="K66" i="4"/>
  <c r="S65" i="4"/>
  <c r="O65" i="4"/>
  <c r="L65" i="4"/>
  <c r="K65" i="4"/>
  <c r="S64" i="4"/>
  <c r="O64" i="4"/>
  <c r="L64" i="4"/>
  <c r="K64" i="4"/>
  <c r="S63" i="4"/>
  <c r="O63" i="4"/>
  <c r="L63" i="4"/>
  <c r="K63" i="4"/>
  <c r="S62" i="4"/>
  <c r="O62" i="4"/>
  <c r="L62" i="4"/>
  <c r="K62" i="4"/>
  <c r="S61" i="4"/>
  <c r="O61" i="4"/>
  <c r="L61" i="4"/>
  <c r="K61" i="4"/>
  <c r="S60" i="4"/>
  <c r="O60" i="4"/>
  <c r="L60" i="4"/>
  <c r="K60" i="4"/>
  <c r="S59" i="4"/>
  <c r="O59" i="4"/>
  <c r="L59" i="4"/>
  <c r="K59" i="4"/>
  <c r="S58" i="4"/>
  <c r="O58" i="4"/>
  <c r="L58" i="4"/>
  <c r="K58" i="4"/>
  <c r="S57" i="4"/>
  <c r="O57" i="4"/>
  <c r="L57" i="4"/>
  <c r="K57" i="4"/>
  <c r="S56" i="4"/>
  <c r="O56" i="4"/>
  <c r="L56" i="4"/>
  <c r="K56" i="4"/>
  <c r="S55" i="4"/>
  <c r="O55" i="4"/>
  <c r="L55" i="4"/>
  <c r="K55" i="4"/>
  <c r="S54" i="4"/>
  <c r="O54" i="4"/>
  <c r="L54" i="4"/>
  <c r="K54" i="4"/>
  <c r="S53" i="4"/>
  <c r="O53" i="4"/>
  <c r="L53" i="4"/>
  <c r="K53" i="4"/>
  <c r="S52" i="4"/>
  <c r="O52" i="4"/>
  <c r="L52" i="4"/>
  <c r="K52" i="4"/>
  <c r="S51" i="4"/>
  <c r="O51" i="4"/>
  <c r="L51" i="4"/>
  <c r="K51" i="4"/>
  <c r="S50" i="4"/>
  <c r="O50" i="4"/>
  <c r="L50" i="4"/>
  <c r="K50" i="4"/>
  <c r="S49" i="4"/>
  <c r="O49" i="4"/>
  <c r="L49" i="4"/>
  <c r="K49" i="4"/>
  <c r="S48" i="4"/>
  <c r="O48" i="4"/>
  <c r="L48" i="4"/>
  <c r="K48" i="4"/>
  <c r="S47" i="4"/>
  <c r="O47" i="4"/>
  <c r="L47" i="4"/>
  <c r="K47" i="4"/>
  <c r="S46" i="4"/>
  <c r="O46" i="4"/>
  <c r="L46" i="4"/>
  <c r="K46" i="4"/>
  <c r="S45" i="4"/>
  <c r="O45" i="4"/>
  <c r="L45" i="4"/>
  <c r="K45" i="4"/>
  <c r="S44" i="4"/>
  <c r="O44" i="4"/>
  <c r="L44" i="4"/>
  <c r="K44" i="4"/>
  <c r="S43" i="4"/>
  <c r="O43" i="4"/>
  <c r="L43" i="4"/>
  <c r="K43" i="4"/>
  <c r="S42" i="4"/>
  <c r="O42" i="4"/>
  <c r="L42" i="4"/>
  <c r="K42" i="4"/>
  <c r="S41" i="4"/>
  <c r="O41" i="4"/>
  <c r="L41" i="4"/>
  <c r="K41" i="4"/>
  <c r="S40" i="4"/>
  <c r="O40" i="4"/>
  <c r="L40" i="4"/>
  <c r="K40" i="4"/>
  <c r="S39" i="4"/>
  <c r="O39" i="4"/>
  <c r="L39" i="4"/>
  <c r="K39" i="4"/>
  <c r="S38" i="4"/>
  <c r="O38" i="4"/>
  <c r="L38" i="4"/>
  <c r="K38" i="4"/>
  <c r="S37" i="4"/>
  <c r="O37" i="4"/>
  <c r="L37" i="4"/>
  <c r="K37" i="4"/>
  <c r="S36" i="4"/>
  <c r="O36" i="4"/>
  <c r="L36" i="4"/>
  <c r="K36" i="4"/>
  <c r="S35" i="4"/>
  <c r="O35" i="4"/>
  <c r="L35" i="4"/>
  <c r="K35" i="4"/>
  <c r="S34" i="4"/>
  <c r="O34" i="4"/>
  <c r="L34" i="4"/>
  <c r="K34" i="4"/>
  <c r="S33" i="4"/>
  <c r="O33" i="4"/>
  <c r="L33" i="4"/>
  <c r="K33" i="4"/>
  <c r="S32" i="4"/>
  <c r="O32" i="4"/>
  <c r="L32" i="4"/>
  <c r="K32" i="4"/>
  <c r="S31" i="4"/>
  <c r="O31" i="4"/>
  <c r="L31" i="4"/>
  <c r="K31" i="4"/>
  <c r="S30" i="4"/>
  <c r="O30" i="4"/>
  <c r="L30" i="4"/>
  <c r="K30" i="4"/>
  <c r="S29" i="4"/>
  <c r="O29" i="4"/>
  <c r="L29" i="4"/>
  <c r="K29" i="4"/>
  <c r="S28" i="4"/>
  <c r="O28" i="4"/>
  <c r="L28" i="4"/>
  <c r="K28" i="4"/>
  <c r="S27" i="4"/>
  <c r="O27" i="4"/>
  <c r="L27" i="4"/>
  <c r="K27" i="4"/>
  <c r="S26" i="4"/>
  <c r="O26" i="4"/>
  <c r="L26" i="4"/>
  <c r="K26" i="4"/>
  <c r="S25" i="4"/>
  <c r="O25" i="4"/>
  <c r="L25" i="4"/>
  <c r="K25" i="4"/>
  <c r="S24" i="4"/>
  <c r="O24" i="4"/>
  <c r="L24" i="4"/>
  <c r="K24" i="4"/>
  <c r="S23" i="4"/>
  <c r="O23" i="4"/>
  <c r="L23" i="4"/>
  <c r="K23" i="4"/>
  <c r="S22" i="4"/>
  <c r="O22" i="4"/>
  <c r="L22" i="4"/>
  <c r="K22" i="4"/>
  <c r="S21" i="4"/>
  <c r="O21" i="4"/>
  <c r="L21" i="4"/>
  <c r="K21" i="4"/>
  <c r="S20" i="4"/>
  <c r="O20" i="4"/>
  <c r="L20" i="4"/>
  <c r="K20" i="4"/>
  <c r="S19" i="4"/>
  <c r="O19" i="4"/>
  <c r="L19" i="4"/>
  <c r="K19" i="4"/>
  <c r="S18" i="4"/>
  <c r="O18" i="4"/>
  <c r="L18" i="4"/>
  <c r="K18" i="4"/>
  <c r="S17" i="4"/>
  <c r="O17" i="4"/>
  <c r="L17" i="4"/>
  <c r="K17" i="4"/>
  <c r="S16" i="4"/>
  <c r="O16" i="4"/>
  <c r="L16" i="4"/>
  <c r="K16" i="4"/>
  <c r="S15" i="4"/>
  <c r="O15" i="4"/>
  <c r="L15" i="4"/>
  <c r="K15" i="4"/>
  <c r="S14" i="4"/>
  <c r="O14" i="4"/>
  <c r="L14" i="4"/>
  <c r="K14" i="4"/>
  <c r="S13" i="4"/>
  <c r="O13" i="4"/>
  <c r="L13" i="4"/>
  <c r="K13" i="4"/>
  <c r="S12" i="4"/>
  <c r="O12" i="4"/>
  <c r="L12" i="4"/>
  <c r="K12" i="4"/>
  <c r="S11" i="4"/>
  <c r="O11" i="4"/>
  <c r="L11" i="4"/>
  <c r="K11" i="4"/>
  <c r="S10" i="4"/>
  <c r="O10" i="4"/>
  <c r="L10" i="4"/>
  <c r="K10" i="4"/>
  <c r="S9" i="4"/>
  <c r="O9" i="4"/>
  <c r="L9" i="4"/>
  <c r="K9" i="4"/>
  <c r="S8" i="4"/>
  <c r="O8" i="4"/>
  <c r="L8" i="4"/>
  <c r="K8" i="4"/>
  <c r="S7" i="4"/>
  <c r="O7" i="4"/>
  <c r="L7" i="4"/>
  <c r="K7" i="4"/>
  <c r="S6" i="4"/>
  <c r="O6" i="4"/>
  <c r="L6" i="4"/>
  <c r="K6" i="4"/>
  <c r="S5" i="4"/>
  <c r="O5" i="4"/>
  <c r="L5" i="4"/>
  <c r="K5" i="4"/>
  <c r="T5" i="4" l="1"/>
  <c r="T9" i="4"/>
  <c r="P5" i="4"/>
  <c r="T16" i="4"/>
  <c r="T22" i="4"/>
  <c r="T7" i="4"/>
  <c r="P17" i="4"/>
  <c r="P12" i="4"/>
  <c r="P23" i="4"/>
  <c r="P6" i="4"/>
  <c r="P8" i="4"/>
  <c r="T6" i="4"/>
  <c r="T8" i="4"/>
  <c r="P58" i="4"/>
  <c r="P22" i="4"/>
  <c r="T21" i="4"/>
  <c r="T25" i="4"/>
  <c r="T26" i="4"/>
  <c r="T14" i="4"/>
  <c r="T23" i="4"/>
  <c r="P7" i="4"/>
  <c r="P101" i="4"/>
  <c r="P95" i="4"/>
  <c r="P89" i="4"/>
  <c r="P85" i="4"/>
  <c r="P83" i="4"/>
  <c r="P82" i="4"/>
  <c r="P76" i="4"/>
  <c r="P79" i="4"/>
  <c r="P84" i="4"/>
  <c r="P69" i="4"/>
  <c r="P73" i="4"/>
  <c r="P68" i="4"/>
  <c r="P74" i="4"/>
  <c r="P57" i="4"/>
  <c r="P63" i="4"/>
  <c r="P62" i="4"/>
  <c r="P56" i="4"/>
  <c r="P61" i="4"/>
  <c r="P55" i="4"/>
  <c r="P59" i="4"/>
  <c r="P53" i="4"/>
  <c r="P52" i="4"/>
  <c r="P46" i="4"/>
  <c r="P43" i="4"/>
  <c r="P42" i="4"/>
  <c r="P49" i="4"/>
  <c r="P47" i="4"/>
  <c r="P40" i="4"/>
  <c r="P32" i="4"/>
  <c r="P30" i="4"/>
  <c r="P29" i="4"/>
  <c r="P35" i="4"/>
  <c r="P21" i="4"/>
  <c r="P15" i="4"/>
  <c r="P14" i="4"/>
  <c r="P24" i="4"/>
  <c r="P26" i="4"/>
  <c r="P19" i="4"/>
  <c r="P28" i="4"/>
  <c r="P45" i="4"/>
  <c r="P9" i="4"/>
  <c r="P10" i="4"/>
  <c r="P20" i="4"/>
  <c r="P13" i="4"/>
  <c r="T15" i="4"/>
  <c r="P16" i="4"/>
  <c r="P18" i="4"/>
  <c r="T20" i="4"/>
  <c r="T103" i="4"/>
  <c r="T97" i="4"/>
  <c r="T99" i="4"/>
  <c r="T98" i="4"/>
  <c r="T95" i="4"/>
  <c r="T89" i="4"/>
  <c r="T100" i="4"/>
  <c r="T94" i="4"/>
  <c r="T91" i="4"/>
  <c r="T85" i="4"/>
  <c r="T87" i="4"/>
  <c r="T93" i="4"/>
  <c r="T74" i="4"/>
  <c r="T80" i="4"/>
  <c r="T82" i="4"/>
  <c r="T66" i="4"/>
  <c r="T71" i="4"/>
  <c r="T65" i="4"/>
  <c r="T75" i="4"/>
  <c r="T70" i="4"/>
  <c r="T64" i="4"/>
  <c r="T63" i="4"/>
  <c r="T62" i="4"/>
  <c r="T56" i="4"/>
  <c r="T40" i="4"/>
  <c r="T47" i="4"/>
  <c r="T33" i="4"/>
  <c r="T53" i="4"/>
  <c r="T32" i="4"/>
  <c r="T37" i="4"/>
  <c r="T43" i="4"/>
  <c r="T31" i="4"/>
  <c r="T12" i="4"/>
  <c r="T19" i="4"/>
  <c r="T11" i="4"/>
  <c r="T27" i="4"/>
  <c r="T17" i="4"/>
  <c r="T10" i="4"/>
  <c r="P11" i="4"/>
  <c r="T13" i="4"/>
  <c r="T18" i="4"/>
  <c r="P27" i="4"/>
  <c r="T29" i="4"/>
  <c r="P37" i="4"/>
  <c r="T28" i="4"/>
  <c r="T38" i="4"/>
  <c r="P33" i="4"/>
  <c r="T24" i="4"/>
  <c r="P25" i="4"/>
  <c r="P31" i="4"/>
  <c r="P34" i="4"/>
  <c r="T34" i="4"/>
  <c r="P36" i="4"/>
  <c r="T36" i="4"/>
  <c r="T35" i="4"/>
  <c r="P39" i="4"/>
  <c r="T30" i="4"/>
  <c r="P41" i="4"/>
  <c r="T50" i="4"/>
  <c r="T41" i="4"/>
  <c r="P44" i="4"/>
  <c r="T45" i="4"/>
  <c r="T48" i="4"/>
  <c r="T44" i="4"/>
  <c r="T52" i="4"/>
  <c r="T42" i="4"/>
  <c r="T46" i="4"/>
  <c r="P38" i="4"/>
  <c r="T39" i="4"/>
  <c r="T54" i="4"/>
  <c r="T49" i="4"/>
  <c r="P51" i="4"/>
  <c r="T51" i="4"/>
  <c r="P48" i="4"/>
  <c r="T59" i="4"/>
  <c r="T61" i="4"/>
  <c r="P50" i="4"/>
  <c r="P54" i="4"/>
  <c r="T57" i="4"/>
  <c r="P64" i="4"/>
  <c r="P66" i="4"/>
  <c r="T55" i="4"/>
  <c r="P60" i="4"/>
  <c r="T60" i="4"/>
  <c r="T58" i="4"/>
  <c r="P67" i="4"/>
  <c r="T67" i="4"/>
  <c r="T68" i="4"/>
  <c r="T69" i="4"/>
  <c r="P70" i="4"/>
  <c r="P65" i="4"/>
  <c r="P71" i="4"/>
  <c r="P72" i="4"/>
  <c r="T72" i="4"/>
  <c r="T78" i="4"/>
  <c r="P75" i="4"/>
  <c r="T76" i="4"/>
  <c r="T79" i="4"/>
  <c r="P77" i="4"/>
  <c r="T73" i="4"/>
  <c r="T77" i="4"/>
  <c r="P78" i="4"/>
  <c r="P80" i="4"/>
  <c r="P86" i="4"/>
  <c r="T88" i="4"/>
  <c r="P81" i="4"/>
  <c r="T86" i="4"/>
  <c r="T81" i="4"/>
  <c r="T84" i="4"/>
  <c r="T83" i="4"/>
  <c r="P93" i="4"/>
  <c r="P87" i="4"/>
  <c r="T92" i="4"/>
  <c r="P94" i="4"/>
  <c r="P96" i="4"/>
  <c r="P91" i="4"/>
  <c r="P102" i="4"/>
  <c r="P88" i="4"/>
  <c r="P90" i="4"/>
  <c r="T90" i="4"/>
  <c r="P97" i="4"/>
  <c r="P98" i="4"/>
  <c r="P100" i="4"/>
  <c r="P99" i="4"/>
  <c r="P92" i="4"/>
  <c r="P103" i="4"/>
  <c r="T101" i="4"/>
  <c r="T102" i="4"/>
  <c r="T96" i="4"/>
  <c r="Q78" i="4" l="1"/>
  <c r="Q58" i="4"/>
  <c r="Q100" i="4"/>
  <c r="Q97" i="4"/>
  <c r="Q15" i="4"/>
  <c r="Q52" i="4"/>
  <c r="Q69" i="4"/>
  <c r="Q7" i="4"/>
  <c r="Q21" i="4"/>
  <c r="Q53" i="4"/>
  <c r="Q84" i="4"/>
  <c r="Q65" i="4"/>
  <c r="Q103" i="4"/>
  <c r="Q91" i="4"/>
  <c r="Q102" i="4"/>
  <c r="Q18" i="4"/>
  <c r="Q48" i="4"/>
  <c r="Q11" i="4"/>
  <c r="Q75" i="4"/>
  <c r="Q41" i="4"/>
  <c r="Q35" i="4"/>
  <c r="Q59" i="4"/>
  <c r="Q79" i="4"/>
  <c r="Q92" i="4"/>
  <c r="Q90" i="4"/>
  <c r="Q50" i="4"/>
  <c r="Q34" i="4"/>
  <c r="Q25" i="4"/>
  <c r="Q20" i="4"/>
  <c r="Q45" i="4"/>
  <c r="Q29" i="4"/>
  <c r="Q55" i="4"/>
  <c r="Q76" i="4"/>
  <c r="Q22" i="4"/>
  <c r="Q23" i="4"/>
  <c r="Q94" i="4"/>
  <c r="Q71" i="4"/>
  <c r="Q66" i="4"/>
  <c r="Q38" i="4"/>
  <c r="Q30" i="4"/>
  <c r="Q61" i="4"/>
  <c r="Q82" i="4"/>
  <c r="Q17" i="4"/>
  <c r="Q81" i="4"/>
  <c r="Q60" i="4"/>
  <c r="Q64" i="4"/>
  <c r="Q54" i="4"/>
  <c r="Q51" i="4"/>
  <c r="Q39" i="4"/>
  <c r="Q31" i="4"/>
  <c r="Q13" i="4"/>
  <c r="Q32" i="4"/>
  <c r="Q56" i="4"/>
  <c r="Q83" i="4"/>
  <c r="Q5" i="4"/>
  <c r="Q99" i="4"/>
  <c r="Q88" i="4"/>
  <c r="Q87" i="4"/>
  <c r="Q77" i="4"/>
  <c r="Q67" i="4"/>
  <c r="Q40" i="4"/>
  <c r="Q62" i="4"/>
  <c r="Q85" i="4"/>
  <c r="Q93" i="4"/>
  <c r="Q80" i="4"/>
  <c r="Q37" i="4"/>
  <c r="Q28" i="4"/>
  <c r="Q47" i="4"/>
  <c r="Q63" i="4"/>
  <c r="Q89" i="4"/>
  <c r="Q12" i="4"/>
  <c r="Q70" i="4"/>
  <c r="Q16" i="4"/>
  <c r="Q19" i="4"/>
  <c r="Q49" i="4"/>
  <c r="Q57" i="4"/>
  <c r="Q95" i="4"/>
  <c r="Q44" i="4"/>
  <c r="Q10" i="4"/>
  <c r="Q26" i="4"/>
  <c r="Q42" i="4"/>
  <c r="Q74" i="4"/>
  <c r="Q101" i="4"/>
  <c r="Q8" i="4"/>
  <c r="Q86" i="4"/>
  <c r="Q72" i="4"/>
  <c r="Q33" i="4"/>
  <c r="Q24" i="4"/>
  <c r="Q43" i="4"/>
  <c r="Q68" i="4"/>
  <c r="Q98" i="4"/>
  <c r="Q96" i="4"/>
  <c r="Q36" i="4"/>
  <c r="Q27" i="4"/>
  <c r="Q9" i="4"/>
  <c r="Q14" i="4"/>
  <c r="Q46" i="4"/>
  <c r="Q73" i="4"/>
  <c r="Q6" i="4"/>
</calcChain>
</file>

<file path=xl/sharedStrings.xml><?xml version="1.0" encoding="utf-8"?>
<sst xmlns="http://schemas.openxmlformats.org/spreadsheetml/2006/main" count="315" uniqueCount="119">
  <si>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</si>
  <si>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</si>
  <si>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</si>
  <si>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</si>
  <si>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</si>
  <si>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</si>
  <si>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</si>
  <si>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</si>
  <si>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</si>
  <si>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</si>
  <si>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</si>
  <si>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</si>
  <si>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</si>
  <si>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</si>
  <si>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</si>
  <si>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</si>
  <si>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</si>
  <si>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</si>
  <si>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</si>
  <si>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</si>
  <si>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</si>
  <si>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</si>
  <si>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</si>
  <si>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</si>
  <si>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</si>
  <si>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</si>
  <si>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</si>
  <si>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</si>
  <si>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</si>
  <si>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</si>
  <si>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</si>
  <si>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</si>
  <si>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</si>
  <si>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</si>
  <si>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</si>
  <si>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</si>
  <si>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</si>
  <si>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</si>
  <si>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</si>
  <si>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</si>
  <si>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</si>
  <si>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</si>
  <si>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</si>
  <si>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</si>
  <si>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</si>
  <si>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</si>
  <si>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</si>
  <si>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</si>
  <si>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</si>
  <si>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</si>
  <si>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</si>
  <si>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</si>
  <si>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</si>
  <si>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</si>
  <si>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</si>
  <si>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</si>
  <si>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</si>
  <si>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</si>
  <si>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</si>
  <si>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</si>
  <si>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</si>
  <si>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</si>
  <si>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</si>
  <si>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</si>
  <si>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</si>
  <si>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</si>
  <si>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</si>
  <si>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</si>
  <si>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</si>
  <si>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</si>
  <si>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</si>
  <si>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</si>
  <si>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</si>
  <si>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</si>
  <si>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</si>
  <si>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</si>
  <si>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</si>
  <si>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</si>
  <si>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</si>
  <si>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</si>
  <si>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</si>
  <si>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</si>
  <si>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</si>
  <si>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</si>
  <si>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</si>
  <si>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</si>
  <si>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</si>
  <si>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</si>
  <si>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</si>
  <si>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</si>
  <si>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</si>
  <si>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</si>
  <si>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</si>
  <si>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</si>
  <si>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</si>
  <si>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</si>
  <si>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</si>
  <si>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</si>
  <si>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</si>
  <si>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</si>
  <si>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</si>
  <si>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</si>
  <si>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</si>
  <si>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</si>
  <si>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</si>
  <si>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High</t>
  </si>
  <si>
    <t>Low</t>
  </si>
  <si>
    <t>dual_tema_high</t>
  </si>
  <si>
    <t>dual_tema_low</t>
  </si>
  <si>
    <t>Tema_Band</t>
  </si>
  <si>
    <t>Z-Score of Tema_Band</t>
  </si>
  <si>
    <t>Volume</t>
  </si>
  <si>
    <t>Z-Score of Volume</t>
  </si>
  <si>
    <t>High Volume Detection</t>
  </si>
  <si>
    <t>Price Distribution Detection</t>
  </si>
  <si>
    <t>Bullish Spike</t>
  </si>
  <si>
    <t>Bearish Spike</t>
  </si>
  <si>
    <t>Spike Detection</t>
  </si>
  <si>
    <t>Volatility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</si>
</sst>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16" fillId="34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3:V104"/>
  <sheetViews>
    <sheetView tabSelected="1" zoomScale="70" zoomScaleNormal="70" workbookViewId="0">
      <selection activeCell="V18" sqref="V18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8" max="8" width="10.15625" customWidth="1"/>
    <col min="9" max="9" width="9.734375" customWidth="1"/>
    <col min="10" max="10" width="5.68359375" customWidth="1"/>
    <col min="11" max="13" width="11.89453125" customWidth="1"/>
    <col min="14" max="14" width="3.05078125" customWidth="1"/>
    <col min="15" max="15" width="11.89453125" customWidth="1"/>
    <col min="16" max="16" width="13.89453125" customWidth="1"/>
    <col min="17" max="17" width="16.20703125" customWidth="1"/>
    <col min="18" max="18" width="2.9453125" customWidth="1"/>
    <col min="19" max="19" width="15.62890625" bestFit="1" customWidth="1"/>
    <col min="20" max="20" width="16.3125" bestFit="1" customWidth="1"/>
    <col min="21" max="21" width="2.7890625" customWidth="1"/>
    <col min="22" max="24" width="18.68359375" bestFit="1" customWidth="1"/>
    <col min="26" max="28" width="16.3671875" bestFit="1" customWidth="1"/>
    <col min="29" max="31" width="18.68359375" bestFit="1" customWidth="1"/>
    <col min="33" max="35" width="19.734375" bestFit="1" customWidth="1"/>
    <col min="36" max="38" width="19.83984375" bestFit="1" customWidth="1"/>
  </cols>
  <sheetData>
    <row r="3" spans="1:22" x14ac:dyDescent="0.5500000000000000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2" ht="28.8" x14ac:dyDescent="0.55000000000000004">
      <c r="A4" s="7" t="s">
        <v>0</v>
      </c>
      <c r="B4" s="7" t="s">
        <v>104</v>
      </c>
      <c r="C4" s="7" t="s">
        <v>1</v>
      </c>
      <c r="D4" s="7" t="s">
        <v>2</v>
      </c>
      <c r="E4" s="7" t="s">
        <v>105</v>
      </c>
      <c r="F4" s="7" t="s">
        <v>106</v>
      </c>
      <c r="G4" s="7" t="s">
        <v>111</v>
      </c>
      <c r="H4" s="9" t="s">
        <v>107</v>
      </c>
      <c r="I4" s="9" t="s">
        <v>108</v>
      </c>
      <c r="J4" s="10"/>
      <c r="K4" s="8" t="s">
        <v>115</v>
      </c>
      <c r="L4" s="8" t="s">
        <v>116</v>
      </c>
      <c r="M4" s="5" t="s">
        <v>117</v>
      </c>
      <c r="N4" s="10"/>
      <c r="O4" s="6" t="s">
        <v>109</v>
      </c>
      <c r="P4" s="6" t="s">
        <v>110</v>
      </c>
      <c r="Q4" s="5" t="s">
        <v>114</v>
      </c>
      <c r="S4" s="8" t="s">
        <v>112</v>
      </c>
      <c r="T4" s="5" t="s">
        <v>113</v>
      </c>
      <c r="V4" s="5" t="s">
        <v>118</v>
      </c>
    </row>
    <row r="5" spans="1:22" x14ac:dyDescent="0.55000000000000004">
      <c r="A5">
        <v>1</v>
      </c>
      <c r="B5" t="s">
        <v>3</v>
      </c>
      <c r="C5" t="s">
        <v>4</v>
      </c>
      <c r="D5" t="s">
        <v>103</v>
      </c>
      <c r="E5">
        <v>153.28200000000001</v>
      </c>
      <c r="F5">
        <v>153.03899999999999</v>
      </c>
      <c r="G5">
        <v>580</v>
      </c>
      <c r="H5">
        <v>153.23599999999999</v>
      </c>
      <c r="I5">
        <v>152.99700000000001</v>
      </c>
      <c r="J5" s="1"/>
      <c r="K5" s="1" t="str">
        <f>IF(F5&gt;H5,"Bullish Spike","-----")</f>
        <v>-----</v>
      </c>
      <c r="L5" s="1" t="str">
        <f>IF(E5&lt;I5,"Bearish Spike","-----")</f>
        <v>-----</v>
      </c>
      <c r="M5" s="1" t="str">
        <f>IF(F5&gt;H5,"Bullish Spike",IF(E5&lt;I5,"Bearish Spike","-----"))</f>
        <v>-----</v>
      </c>
      <c r="N5" s="1"/>
      <c r="O5" s="2">
        <f>H5-I5</f>
        <v>0.2389999999999759</v>
      </c>
      <c r="P5" s="1">
        <f>STANDARDIZE(O5,AVERAGE($O$5:$O$103),_xlfn.STDEV.P($O$5:$O$103))</f>
        <v>3.7618020209194327</v>
      </c>
      <c r="Q5" s="3" t="str">
        <f>IF(P5&gt;=PERCENTILE($P$5:$P$103,90%),"Price Distribution","-----")</f>
        <v>Price Distribution</v>
      </c>
      <c r="R5" s="1"/>
      <c r="S5">
        <f>STANDARDIZE(G5,AVERAGE($G$5:$G$103),_xlfn.STDEV.P($G$5:$G$103))</f>
        <v>1.8814452505804058</v>
      </c>
      <c r="T5" s="1" t="str">
        <f>IF(S5&gt;=PERCENTILE($S$5:$S$103,90%),"High Volume","-----")</f>
        <v>High Volume</v>
      </c>
      <c r="V5" s="1" t="str">
        <f>IF(OR(M5&lt;&gt;"-----",Q5&lt;&gt;"-----",T5&lt;&gt;"-----"),"High Volatility","-----")</f>
        <v>High Volatility</v>
      </c>
    </row>
    <row r="6" spans="1:22" x14ac:dyDescent="0.55000000000000004">
      <c r="A6">
        <v>2</v>
      </c>
      <c r="B6" t="s">
        <v>5</v>
      </c>
      <c r="C6" t="s">
        <v>4</v>
      </c>
      <c r="D6" t="s">
        <v>103</v>
      </c>
      <c r="E6">
        <v>153.274</v>
      </c>
      <c r="F6">
        <v>153.137</v>
      </c>
      <c r="G6">
        <v>593</v>
      </c>
      <c r="H6">
        <v>153.249</v>
      </c>
      <c r="I6">
        <v>153.04300000000001</v>
      </c>
      <c r="J6" s="1"/>
      <c r="K6" s="1" t="str">
        <f>IF(F6&gt;H6,"Bullish Spike","-----")</f>
        <v>-----</v>
      </c>
      <c r="L6" s="1" t="str">
        <f>IF(E6&lt;I6,"Bearish Spike","-----")</f>
        <v>-----</v>
      </c>
      <c r="M6" s="1" t="str">
        <f t="shared" ref="M6:M69" si="0">IF(F6&gt;H6,"Bullish Spike",IF(E6&lt;I6,"Bearish Spike","-----"))</f>
        <v>-----</v>
      </c>
      <c r="N6" s="1"/>
      <c r="O6" s="2">
        <f>H6-I6</f>
        <v>0.20599999999998886</v>
      </c>
      <c r="P6" s="1">
        <f t="shared" ref="P6:P69" si="1">STANDARDIZE(O6,AVERAGE($O$5:$O$103),_xlfn.STDEV.P($O$5:$O$103))</f>
        <v>3.0012470854444073</v>
      </c>
      <c r="Q6" s="3" t="str">
        <f t="shared" ref="Q6:Q69" si="2">IF(P6&gt;=PERCENTILE($P$5:$P$103,90%),"Price Distribution","-----")</f>
        <v>Price Distribution</v>
      </c>
      <c r="R6" s="1"/>
      <c r="S6">
        <f>STANDARDIZE(G6,AVERAGE($G$5:$G$103),_xlfn.STDEV.P($G$5:$G$103))</f>
        <v>1.9653359115247304</v>
      </c>
      <c r="T6" s="1" t="str">
        <f t="shared" ref="T6:T69" si="3">IF(S6&gt;=PERCENTILE($S$5:$S$103,90%),"High Volume","-----")</f>
        <v>High Volume</v>
      </c>
      <c r="V6" s="1" t="str">
        <f t="shared" ref="V6:V69" si="4">IF(OR(M6&lt;&gt;"-----",Q6&lt;&gt;"-----",T6&lt;&gt;"-----"),"High Volatility","-----")</f>
        <v>High Volatility</v>
      </c>
    </row>
    <row r="7" spans="1:22" x14ac:dyDescent="0.55000000000000004">
      <c r="A7">
        <v>3</v>
      </c>
      <c r="B7" t="s">
        <v>6</v>
      </c>
      <c r="C7" t="s">
        <v>4</v>
      </c>
      <c r="D7" t="s">
        <v>103</v>
      </c>
      <c r="E7">
        <v>153.19800000000001</v>
      </c>
      <c r="F7">
        <v>153.02099999999999</v>
      </c>
      <c r="G7">
        <v>563</v>
      </c>
      <c r="H7">
        <v>153.221</v>
      </c>
      <c r="I7">
        <v>153.01900000000001</v>
      </c>
      <c r="J7" s="1"/>
      <c r="K7" s="1" t="str">
        <f>IF(F7&gt;H7,"Bullish Spike","-----")</f>
        <v>-----</v>
      </c>
      <c r="L7" s="1" t="str">
        <f>IF(E7&lt;I7,"Bearish Spike","-----")</f>
        <v>-----</v>
      </c>
      <c r="M7" s="1" t="str">
        <f t="shared" si="0"/>
        <v>-----</v>
      </c>
      <c r="N7" s="1"/>
      <c r="O7" s="2">
        <f>H7-I7</f>
        <v>0.20199999999999818</v>
      </c>
      <c r="P7" s="1">
        <f t="shared" si="1"/>
        <v>2.9090586084173102</v>
      </c>
      <c r="Q7" s="3" t="str">
        <f t="shared" si="2"/>
        <v>Price Distribution</v>
      </c>
      <c r="R7" s="1"/>
      <c r="S7">
        <f>STANDARDIZE(G7,AVERAGE($G$5:$G$103),_xlfn.STDEV.P($G$5:$G$103))</f>
        <v>1.7717420785762892</v>
      </c>
      <c r="T7" s="1" t="str">
        <f t="shared" si="3"/>
        <v>High Volume</v>
      </c>
      <c r="V7" s="1" t="str">
        <f t="shared" si="4"/>
        <v>High Volatility</v>
      </c>
    </row>
    <row r="8" spans="1:22" x14ac:dyDescent="0.55000000000000004">
      <c r="A8">
        <v>4</v>
      </c>
      <c r="B8" t="s">
        <v>7</v>
      </c>
      <c r="C8" t="s">
        <v>4</v>
      </c>
      <c r="D8" t="s">
        <v>103</v>
      </c>
      <c r="E8">
        <v>153.07</v>
      </c>
      <c r="F8">
        <v>152.964</v>
      </c>
      <c r="G8">
        <v>544</v>
      </c>
      <c r="H8">
        <v>153.14099999999999</v>
      </c>
      <c r="I8">
        <v>152.97900000000001</v>
      </c>
      <c r="J8" s="1"/>
      <c r="K8" s="1" t="str">
        <f>IF(F8&gt;H8,"Bullish Spike","-----")</f>
        <v>-----</v>
      </c>
      <c r="L8" s="1" t="str">
        <f>IF(E8&lt;I8,"Bearish Spike","-----")</f>
        <v>-----</v>
      </c>
      <c r="M8" s="1" t="str">
        <f t="shared" si="0"/>
        <v>-----</v>
      </c>
      <c r="N8" s="1"/>
      <c r="O8" s="2">
        <f>H8-I8</f>
        <v>0.16199999999997772</v>
      </c>
      <c r="P8" s="1">
        <f t="shared" si="1"/>
        <v>1.9871738381437187</v>
      </c>
      <c r="Q8" s="3" t="str">
        <f t="shared" si="2"/>
        <v>Price Distribution</v>
      </c>
      <c r="R8" s="1"/>
      <c r="S8">
        <f>STANDARDIZE(G8,AVERAGE($G$5:$G$103),_xlfn.STDEV.P($G$5:$G$103))</f>
        <v>1.6491326510422764</v>
      </c>
      <c r="T8" s="1" t="str">
        <f t="shared" si="3"/>
        <v>High Volume</v>
      </c>
      <c r="V8" s="1" t="str">
        <f t="shared" si="4"/>
        <v>High Volatility</v>
      </c>
    </row>
    <row r="9" spans="1:22" x14ac:dyDescent="0.55000000000000004">
      <c r="A9">
        <v>5</v>
      </c>
      <c r="B9" t="s">
        <v>8</v>
      </c>
      <c r="C9" t="s">
        <v>4</v>
      </c>
      <c r="D9" t="s">
        <v>103</v>
      </c>
      <c r="E9">
        <v>153.124</v>
      </c>
      <c r="F9">
        <v>153.005</v>
      </c>
      <c r="G9">
        <v>569</v>
      </c>
      <c r="H9">
        <v>153.119</v>
      </c>
      <c r="I9">
        <v>152.976</v>
      </c>
      <c r="J9" s="1"/>
      <c r="K9" s="1" t="str">
        <f>IF(F9&gt;H9,"Bullish Spike","-----")</f>
        <v>-----</v>
      </c>
      <c r="L9" s="1" t="str">
        <f>IF(E9&lt;I9,"Bearish Spike","-----")</f>
        <v>-----</v>
      </c>
      <c r="M9" s="1" t="str">
        <f t="shared" si="0"/>
        <v>-----</v>
      </c>
      <c r="N9" s="1"/>
      <c r="O9" s="2">
        <f>H9-I9</f>
        <v>0.14300000000000068</v>
      </c>
      <c r="P9" s="1">
        <f t="shared" si="1"/>
        <v>1.5492785722645159</v>
      </c>
      <c r="Q9" s="3" t="str">
        <f t="shared" si="2"/>
        <v>Price Distribution</v>
      </c>
      <c r="R9" s="1"/>
      <c r="S9">
        <f>STANDARDIZE(G9,AVERAGE($G$5:$G$103),_xlfn.STDEV.P($G$5:$G$103))</f>
        <v>1.8104608451659774</v>
      </c>
      <c r="T9" s="1" t="str">
        <f t="shared" si="3"/>
        <v>High Volume</v>
      </c>
      <c r="V9" s="1" t="str">
        <f t="shared" si="4"/>
        <v>High Volatility</v>
      </c>
    </row>
    <row r="10" spans="1:22" x14ac:dyDescent="0.55000000000000004">
      <c r="A10">
        <v>6</v>
      </c>
      <c r="B10" t="s">
        <v>9</v>
      </c>
      <c r="C10" t="s">
        <v>4</v>
      </c>
      <c r="D10" t="s">
        <v>103</v>
      </c>
      <c r="E10">
        <v>153.101</v>
      </c>
      <c r="F10">
        <v>153.02199999999999</v>
      </c>
      <c r="G10">
        <v>426</v>
      </c>
      <c r="H10">
        <v>153.096</v>
      </c>
      <c r="I10">
        <v>152.98500000000001</v>
      </c>
      <c r="J10" s="1"/>
      <c r="K10" s="1" t="str">
        <f>IF(F10&gt;H10,"Bullish Spike","-----")</f>
        <v>-----</v>
      </c>
      <c r="L10" s="1" t="str">
        <f>IF(E10&lt;I10,"Bearish Spike","-----")</f>
        <v>-----</v>
      </c>
      <c r="M10" s="1" t="str">
        <f t="shared" si="0"/>
        <v>-----</v>
      </c>
      <c r="N10" s="1"/>
      <c r="O10" s="2">
        <f>H10-I10</f>
        <v>0.11099999999999</v>
      </c>
      <c r="P10" s="1">
        <f t="shared" si="1"/>
        <v>0.81177075604577364</v>
      </c>
      <c r="Q10" s="3" t="str">
        <f t="shared" si="2"/>
        <v>-----</v>
      </c>
      <c r="R10" s="1"/>
      <c r="S10">
        <f>STANDARDIZE(G10,AVERAGE($G$5:$G$103),_xlfn.STDEV.P($G$5:$G$103))</f>
        <v>0.88766357477840785</v>
      </c>
      <c r="T10" s="1" t="str">
        <f t="shared" si="3"/>
        <v>-----</v>
      </c>
      <c r="V10" s="1" t="str">
        <f t="shared" si="4"/>
        <v>-----</v>
      </c>
    </row>
    <row r="11" spans="1:22" x14ac:dyDescent="0.55000000000000004">
      <c r="A11">
        <v>7</v>
      </c>
      <c r="B11" t="s">
        <v>10</v>
      </c>
      <c r="C11" t="s">
        <v>4</v>
      </c>
      <c r="D11" t="s">
        <v>103</v>
      </c>
      <c r="E11">
        <v>153.05099999999999</v>
      </c>
      <c r="F11">
        <v>152.97200000000001</v>
      </c>
      <c r="G11">
        <v>431</v>
      </c>
      <c r="H11">
        <v>153.06</v>
      </c>
      <c r="I11">
        <v>152.97</v>
      </c>
      <c r="J11" s="1"/>
      <c r="K11" s="1" t="str">
        <f>IF(F11&gt;H11,"Bullish Spike","-----")</f>
        <v>-----</v>
      </c>
      <c r="L11" s="1" t="str">
        <f>IF(E11&lt;I11,"Bearish Spike","-----")</f>
        <v>-----</v>
      </c>
      <c r="M11" s="1" t="str">
        <f t="shared" si="0"/>
        <v>-----</v>
      </c>
      <c r="N11" s="1"/>
      <c r="O11" s="2">
        <f>H11-I11</f>
        <v>9.0000000000003411E-2</v>
      </c>
      <c r="P11" s="1">
        <f t="shared" si="1"/>
        <v>0.32778125165269489</v>
      </c>
      <c r="Q11" s="3" t="str">
        <f t="shared" si="2"/>
        <v>-----</v>
      </c>
      <c r="R11" s="1"/>
      <c r="S11">
        <f>STANDARDIZE(G11,AVERAGE($G$5:$G$103),_xlfn.STDEV.P($G$5:$G$103))</f>
        <v>0.91992921360314805</v>
      </c>
      <c r="T11" s="1" t="str">
        <f t="shared" si="3"/>
        <v>-----</v>
      </c>
      <c r="V11" s="1" t="str">
        <f t="shared" si="4"/>
        <v>-----</v>
      </c>
    </row>
    <row r="12" spans="1:22" x14ac:dyDescent="0.55000000000000004">
      <c r="A12">
        <v>8</v>
      </c>
      <c r="B12" t="s">
        <v>11</v>
      </c>
      <c r="C12" t="s">
        <v>4</v>
      </c>
      <c r="D12" t="s">
        <v>103</v>
      </c>
      <c r="E12">
        <v>153.102</v>
      </c>
      <c r="F12">
        <v>152.98599999999999</v>
      </c>
      <c r="G12">
        <v>436</v>
      </c>
      <c r="H12">
        <v>153.06399999999999</v>
      </c>
      <c r="I12">
        <v>152.96899999999999</v>
      </c>
      <c r="J12" s="1"/>
      <c r="K12" s="1" t="str">
        <f>IF(F12&gt;H12,"Bullish Spike","-----")</f>
        <v>-----</v>
      </c>
      <c r="L12" s="1" t="str">
        <f>IF(E12&lt;I12,"Bearish Spike","-----")</f>
        <v>-----</v>
      </c>
      <c r="M12" s="1" t="str">
        <f t="shared" si="0"/>
        <v>-----</v>
      </c>
      <c r="N12" s="1"/>
      <c r="O12" s="2">
        <f>H12-I12</f>
        <v>9.4999999999998863E-2</v>
      </c>
      <c r="P12" s="1">
        <f t="shared" si="1"/>
        <v>0.44301684793673007</v>
      </c>
      <c r="Q12" s="3" t="str">
        <f t="shared" si="2"/>
        <v>-----</v>
      </c>
      <c r="R12" s="1"/>
      <c r="S12">
        <f>STANDARDIZE(G12,AVERAGE($G$5:$G$103),_xlfn.STDEV.P($G$5:$G$103))</f>
        <v>0.95219485242788826</v>
      </c>
      <c r="T12" s="1" t="str">
        <f t="shared" si="3"/>
        <v>-----</v>
      </c>
      <c r="V12" s="1" t="str">
        <f t="shared" si="4"/>
        <v>-----</v>
      </c>
    </row>
    <row r="13" spans="1:22" x14ac:dyDescent="0.55000000000000004">
      <c r="A13">
        <v>9</v>
      </c>
      <c r="B13" t="s">
        <v>12</v>
      </c>
      <c r="C13" t="s">
        <v>4</v>
      </c>
      <c r="D13" t="s">
        <v>103</v>
      </c>
      <c r="E13">
        <v>153.03399999999999</v>
      </c>
      <c r="F13">
        <v>152.96199999999999</v>
      </c>
      <c r="G13">
        <v>510</v>
      </c>
      <c r="H13">
        <v>153.03700000000001</v>
      </c>
      <c r="I13">
        <v>152.958</v>
      </c>
      <c r="J13" s="1"/>
      <c r="K13" s="1" t="str">
        <f>IF(F13&gt;H13,"Bullish Spike","-----")</f>
        <v>-----</v>
      </c>
      <c r="L13" s="1" t="str">
        <f>IF(E13&lt;I13,"Bearish Spike","-----")</f>
        <v>-----</v>
      </c>
      <c r="M13" s="1" t="str">
        <f t="shared" si="0"/>
        <v>-----</v>
      </c>
      <c r="N13" s="1"/>
      <c r="O13" s="2">
        <f>H13-I13</f>
        <v>7.9000000000007731E-2</v>
      </c>
      <c r="P13" s="1">
        <f t="shared" si="1"/>
        <v>7.4262939827686447E-2</v>
      </c>
      <c r="Q13" s="3" t="str">
        <f t="shared" si="2"/>
        <v>-----</v>
      </c>
      <c r="R13" s="1"/>
      <c r="S13">
        <f>STANDARDIZE(G13,AVERAGE($G$5:$G$103),_xlfn.STDEV.P($G$5:$G$103))</f>
        <v>1.4297263070340431</v>
      </c>
      <c r="T13" s="1" t="str">
        <f t="shared" si="3"/>
        <v>-----</v>
      </c>
      <c r="V13" s="1" t="str">
        <f t="shared" si="4"/>
        <v>-----</v>
      </c>
    </row>
    <row r="14" spans="1:22" x14ac:dyDescent="0.55000000000000004">
      <c r="A14">
        <v>10</v>
      </c>
      <c r="B14" t="s">
        <v>13</v>
      </c>
      <c r="C14" t="s">
        <v>4</v>
      </c>
      <c r="D14" t="s">
        <v>103</v>
      </c>
      <c r="E14">
        <v>153.00399999999999</v>
      </c>
      <c r="F14">
        <v>152.82400000000001</v>
      </c>
      <c r="G14">
        <v>482</v>
      </c>
      <c r="H14">
        <v>153.00800000000001</v>
      </c>
      <c r="I14">
        <v>152.886</v>
      </c>
      <c r="J14" s="1"/>
      <c r="K14" s="1" t="str">
        <f>IF(F14&gt;H14,"Bullish Spike","-----")</f>
        <v>-----</v>
      </c>
      <c r="L14" s="1" t="str">
        <f>IF(E14&lt;I14,"Bearish Spike","-----")</f>
        <v>-----</v>
      </c>
      <c r="M14" s="1" t="str">
        <f t="shared" si="0"/>
        <v>-----</v>
      </c>
      <c r="N14" s="1"/>
      <c r="O14" s="2">
        <f>H14-I14</f>
        <v>0.1220000000000141</v>
      </c>
      <c r="P14" s="1">
        <f t="shared" si="1"/>
        <v>1.0652890678714371</v>
      </c>
      <c r="Q14" s="3" t="str">
        <f t="shared" si="2"/>
        <v>-----</v>
      </c>
      <c r="R14" s="1"/>
      <c r="S14">
        <f>STANDARDIZE(G14,AVERAGE($G$5:$G$103),_xlfn.STDEV.P($G$5:$G$103))</f>
        <v>1.2490387296154981</v>
      </c>
      <c r="T14" s="1" t="str">
        <f t="shared" si="3"/>
        <v>-----</v>
      </c>
      <c r="V14" s="1" t="str">
        <f t="shared" si="4"/>
        <v>-----</v>
      </c>
    </row>
    <row r="15" spans="1:22" x14ac:dyDescent="0.55000000000000004">
      <c r="A15">
        <v>11</v>
      </c>
      <c r="B15" t="s">
        <v>14</v>
      </c>
      <c r="C15" t="s">
        <v>4</v>
      </c>
      <c r="D15" t="s">
        <v>103</v>
      </c>
      <c r="E15">
        <v>152.96199999999999</v>
      </c>
      <c r="F15">
        <v>152.869</v>
      </c>
      <c r="G15">
        <v>535</v>
      </c>
      <c r="H15">
        <v>152.971</v>
      </c>
      <c r="I15">
        <v>152.864</v>
      </c>
      <c r="J15" s="1"/>
      <c r="K15" s="1" t="str">
        <f>IF(F15&gt;H15,"Bullish Spike","-----")</f>
        <v>-----</v>
      </c>
      <c r="L15" s="1" t="str">
        <f>IF(E15&lt;I15,"Bearish Spike","-----")</f>
        <v>-----</v>
      </c>
      <c r="M15" s="1" t="str">
        <f t="shared" si="0"/>
        <v>-----</v>
      </c>
      <c r="N15" s="1"/>
      <c r="O15" s="2">
        <f>H15-I15</f>
        <v>0.10699999999999932</v>
      </c>
      <c r="P15" s="1">
        <f t="shared" si="1"/>
        <v>0.71958227901867655</v>
      </c>
      <c r="Q15" s="3" t="str">
        <f t="shared" si="2"/>
        <v>-----</v>
      </c>
      <c r="R15" s="1"/>
      <c r="S15">
        <f>STANDARDIZE(G15,AVERAGE($G$5:$G$103),_xlfn.STDEV.P($G$5:$G$103))</f>
        <v>1.5910545011577442</v>
      </c>
      <c r="T15" s="1" t="str">
        <f t="shared" si="3"/>
        <v>-----</v>
      </c>
      <c r="V15" s="1" t="str">
        <f t="shared" si="4"/>
        <v>-----</v>
      </c>
    </row>
    <row r="16" spans="1:22" x14ac:dyDescent="0.55000000000000004">
      <c r="A16">
        <v>12</v>
      </c>
      <c r="B16" t="s">
        <v>15</v>
      </c>
      <c r="C16" t="s">
        <v>4</v>
      </c>
      <c r="D16" t="s">
        <v>103</v>
      </c>
      <c r="E16">
        <v>152.965</v>
      </c>
      <c r="F16">
        <v>152.87700000000001</v>
      </c>
      <c r="G16">
        <v>518</v>
      </c>
      <c r="H16">
        <v>152.953</v>
      </c>
      <c r="I16">
        <v>152.857</v>
      </c>
      <c r="J16" s="1"/>
      <c r="K16" s="1" t="str">
        <f>IF(F16&gt;H16,"Bullish Spike","-----")</f>
        <v>-----</v>
      </c>
      <c r="L16" s="1" t="str">
        <f>IF(E16&lt;I16,"Bearish Spike","-----")</f>
        <v>-----</v>
      </c>
      <c r="M16" s="1" t="str">
        <f t="shared" si="0"/>
        <v>-----</v>
      </c>
      <c r="N16" s="1"/>
      <c r="O16" s="2">
        <f>H16-I16</f>
        <v>9.6000000000003638E-2</v>
      </c>
      <c r="P16" s="1">
        <f t="shared" si="1"/>
        <v>0.4660639671936681</v>
      </c>
      <c r="Q16" s="3" t="str">
        <f t="shared" si="2"/>
        <v>-----</v>
      </c>
      <c r="R16" s="1"/>
      <c r="S16">
        <f>STANDARDIZE(G16,AVERAGE($G$5:$G$103),_xlfn.STDEV.P($G$5:$G$103))</f>
        <v>1.4813513291536275</v>
      </c>
      <c r="T16" s="1" t="str">
        <f t="shared" si="3"/>
        <v>-----</v>
      </c>
      <c r="V16" s="1" t="str">
        <f t="shared" si="4"/>
        <v>-----</v>
      </c>
    </row>
    <row r="17" spans="1:22" x14ac:dyDescent="0.55000000000000004">
      <c r="A17">
        <v>13</v>
      </c>
      <c r="B17" t="s">
        <v>16</v>
      </c>
      <c r="C17" t="s">
        <v>4</v>
      </c>
      <c r="D17" t="s">
        <v>103</v>
      </c>
      <c r="E17">
        <v>152.96600000000001</v>
      </c>
      <c r="F17">
        <v>152.78700000000001</v>
      </c>
      <c r="G17">
        <v>630</v>
      </c>
      <c r="H17">
        <v>152.94399999999999</v>
      </c>
      <c r="I17">
        <v>152.81200000000001</v>
      </c>
      <c r="J17" s="1"/>
      <c r="K17" s="1" t="str">
        <f>IF(F17&gt;H17,"Bullish Spike","-----")</f>
        <v>-----</v>
      </c>
      <c r="L17" s="1" t="str">
        <f>IF(E17&lt;I17,"Bearish Spike","-----")</f>
        <v>-----</v>
      </c>
      <c r="M17" s="1" t="str">
        <f t="shared" si="0"/>
        <v>-----</v>
      </c>
      <c r="N17" s="1"/>
      <c r="O17" s="2">
        <f>H17-I17</f>
        <v>0.13199999999997658</v>
      </c>
      <c r="P17" s="1">
        <f t="shared" si="1"/>
        <v>1.2957602604388525</v>
      </c>
      <c r="Q17" s="3" t="str">
        <f t="shared" si="2"/>
        <v>Price Distribution</v>
      </c>
      <c r="R17" s="1"/>
      <c r="S17">
        <f>STANDARDIZE(G17,AVERAGE($G$5:$G$103),_xlfn.STDEV.P($G$5:$G$103))</f>
        <v>2.2041016388278076</v>
      </c>
      <c r="T17" s="1" t="str">
        <f t="shared" si="3"/>
        <v>High Volume</v>
      </c>
      <c r="V17" s="1" t="str">
        <f t="shared" si="4"/>
        <v>High Volatility</v>
      </c>
    </row>
    <row r="18" spans="1:22" x14ac:dyDescent="0.55000000000000004">
      <c r="A18">
        <v>14</v>
      </c>
      <c r="B18" t="s">
        <v>17</v>
      </c>
      <c r="C18" t="s">
        <v>4</v>
      </c>
      <c r="D18" t="s">
        <v>103</v>
      </c>
      <c r="E18">
        <v>153.06700000000001</v>
      </c>
      <c r="F18">
        <v>152.964</v>
      </c>
      <c r="G18">
        <v>592</v>
      </c>
      <c r="H18">
        <v>152.99100000000001</v>
      </c>
      <c r="I18">
        <v>152.87200000000001</v>
      </c>
      <c r="J18" s="1"/>
      <c r="K18" s="1" t="str">
        <f>IF(F18&gt;H18,"Bullish Spike","-----")</f>
        <v>-----</v>
      </c>
      <c r="L18" s="1" t="str">
        <f>IF(E18&lt;I18,"Bearish Spike","-----")</f>
        <v>-----</v>
      </c>
      <c r="M18" s="1" t="str">
        <f t="shared" si="0"/>
        <v>-----</v>
      </c>
      <c r="N18" s="1"/>
      <c r="O18" s="2">
        <f>H18-I18</f>
        <v>0.11899999999999977</v>
      </c>
      <c r="P18" s="1">
        <f t="shared" si="1"/>
        <v>0.99614771010062297</v>
      </c>
      <c r="Q18" s="3" t="str">
        <f t="shared" si="2"/>
        <v>-----</v>
      </c>
      <c r="R18" s="1"/>
      <c r="S18">
        <f>STANDARDIZE(G18,AVERAGE($G$5:$G$103),_xlfn.STDEV.P($G$5:$G$103))</f>
        <v>1.9588827837597824</v>
      </c>
      <c r="T18" s="1" t="str">
        <f t="shared" si="3"/>
        <v>High Volume</v>
      </c>
      <c r="V18" s="1" t="str">
        <f t="shared" si="4"/>
        <v>High Volatility</v>
      </c>
    </row>
    <row r="19" spans="1:22" x14ac:dyDescent="0.55000000000000004">
      <c r="A19">
        <v>15</v>
      </c>
      <c r="B19" t="s">
        <v>18</v>
      </c>
      <c r="C19" t="s">
        <v>4</v>
      </c>
      <c r="D19" t="s">
        <v>103</v>
      </c>
      <c r="E19">
        <v>153.09200000000001</v>
      </c>
      <c r="F19">
        <v>152.94</v>
      </c>
      <c r="G19">
        <v>583</v>
      </c>
      <c r="H19">
        <v>153.036</v>
      </c>
      <c r="I19">
        <v>152.90100000000001</v>
      </c>
      <c r="J19" s="1"/>
      <c r="K19" s="1" t="str">
        <f>IF(F19&gt;H19,"Bullish Spike","-----")</f>
        <v>-----</v>
      </c>
      <c r="L19" s="1" t="str">
        <f>IF(E19&lt;I19,"Bearish Spike","-----")</f>
        <v>-----</v>
      </c>
      <c r="M19" s="1" t="str">
        <f t="shared" si="0"/>
        <v>-----</v>
      </c>
      <c r="N19" s="1"/>
      <c r="O19" s="2">
        <f>H19-I19</f>
        <v>0.13499999999999091</v>
      </c>
      <c r="P19" s="1">
        <f t="shared" si="1"/>
        <v>1.3649016182096665</v>
      </c>
      <c r="Q19" s="3" t="str">
        <f t="shared" si="2"/>
        <v>Price Distribution</v>
      </c>
      <c r="R19" s="1"/>
      <c r="S19">
        <f>STANDARDIZE(G19,AVERAGE($G$5:$G$103),_xlfn.STDEV.P($G$5:$G$103))</f>
        <v>1.90080463387525</v>
      </c>
      <c r="T19" s="1" t="str">
        <f t="shared" si="3"/>
        <v>High Volume</v>
      </c>
      <c r="V19" s="1" t="str">
        <f t="shared" si="4"/>
        <v>High Volatility</v>
      </c>
    </row>
    <row r="20" spans="1:22" x14ac:dyDescent="0.55000000000000004">
      <c r="A20">
        <v>16</v>
      </c>
      <c r="B20" t="s">
        <v>19</v>
      </c>
      <c r="C20" t="s">
        <v>4</v>
      </c>
      <c r="D20" t="s">
        <v>103</v>
      </c>
      <c r="E20">
        <v>153.08000000000001</v>
      </c>
      <c r="F20">
        <v>152.99700000000001</v>
      </c>
      <c r="G20">
        <v>535</v>
      </c>
      <c r="H20">
        <v>153.059</v>
      </c>
      <c r="I20">
        <v>152.94800000000001</v>
      </c>
      <c r="J20" s="1"/>
      <c r="K20" s="1" t="str">
        <f>IF(F20&gt;H20,"Bullish Spike","-----")</f>
        <v>-----</v>
      </c>
      <c r="L20" s="1" t="str">
        <f>IF(E20&lt;I20,"Bearish Spike","-----")</f>
        <v>-----</v>
      </c>
      <c r="M20" s="1" t="str">
        <f t="shared" si="0"/>
        <v>-----</v>
      </c>
      <c r="N20" s="1"/>
      <c r="O20" s="2">
        <f>H20-I20</f>
        <v>0.11099999999999</v>
      </c>
      <c r="P20" s="1">
        <f t="shared" si="1"/>
        <v>0.81177075604577364</v>
      </c>
      <c r="Q20" s="3" t="str">
        <f t="shared" si="2"/>
        <v>-----</v>
      </c>
      <c r="R20" s="1"/>
      <c r="S20">
        <f>STANDARDIZE(G20,AVERAGE($G$5:$G$103),_xlfn.STDEV.P($G$5:$G$103))</f>
        <v>1.5910545011577442</v>
      </c>
      <c r="T20" s="1" t="str">
        <f t="shared" si="3"/>
        <v>-----</v>
      </c>
      <c r="V20" s="1" t="str">
        <f t="shared" si="4"/>
        <v>-----</v>
      </c>
    </row>
    <row r="21" spans="1:22" x14ac:dyDescent="0.55000000000000004">
      <c r="A21">
        <v>17</v>
      </c>
      <c r="B21" t="s">
        <v>20</v>
      </c>
      <c r="C21" t="s">
        <v>4</v>
      </c>
      <c r="D21" t="s">
        <v>103</v>
      </c>
      <c r="E21">
        <v>153.09100000000001</v>
      </c>
      <c r="F21">
        <v>152.947</v>
      </c>
      <c r="G21">
        <v>571</v>
      </c>
      <c r="H21">
        <v>153.08000000000001</v>
      </c>
      <c r="I21">
        <v>152.95400000000001</v>
      </c>
      <c r="J21" s="1"/>
      <c r="K21" s="1" t="str">
        <f>IF(F21&gt;H21,"Bullish Spike","-----")</f>
        <v>-----</v>
      </c>
      <c r="L21" s="1" t="str">
        <f>IF(E21&lt;I21,"Bearish Spike","-----")</f>
        <v>-----</v>
      </c>
      <c r="M21" s="1" t="str">
        <f t="shared" si="0"/>
        <v>-----</v>
      </c>
      <c r="N21" s="1"/>
      <c r="O21" s="2">
        <f>H21-I21</f>
        <v>0.12600000000000477</v>
      </c>
      <c r="P21" s="1">
        <f t="shared" si="1"/>
        <v>1.1574775448985342</v>
      </c>
      <c r="Q21" s="3" t="str">
        <f t="shared" si="2"/>
        <v>-----</v>
      </c>
      <c r="R21" s="1"/>
      <c r="S21">
        <f>STANDARDIZE(G21,AVERAGE($G$5:$G$103),_xlfn.STDEV.P($G$5:$G$103))</f>
        <v>1.8233671006958736</v>
      </c>
      <c r="T21" s="1" t="str">
        <f t="shared" si="3"/>
        <v>High Volume</v>
      </c>
      <c r="V21" s="1" t="str">
        <f t="shared" si="4"/>
        <v>High Volatility</v>
      </c>
    </row>
    <row r="22" spans="1:22" x14ac:dyDescent="0.55000000000000004">
      <c r="A22">
        <v>18</v>
      </c>
      <c r="B22" t="s">
        <v>21</v>
      </c>
      <c r="C22" t="s">
        <v>4</v>
      </c>
      <c r="D22" t="s">
        <v>103</v>
      </c>
      <c r="E22">
        <v>153.04900000000001</v>
      </c>
      <c r="F22">
        <v>152.911</v>
      </c>
      <c r="G22">
        <v>360</v>
      </c>
      <c r="H22">
        <v>153.072</v>
      </c>
      <c r="I22">
        <v>152.94</v>
      </c>
      <c r="J22" s="1"/>
      <c r="K22" s="1" t="str">
        <f>IF(F22&gt;H22,"Bullish Spike","-----")</f>
        <v>-----</v>
      </c>
      <c r="L22" s="1" t="str">
        <f>IF(E22&lt;I22,"Bearish Spike","-----")</f>
        <v>-----</v>
      </c>
      <c r="M22" s="1" t="str">
        <f t="shared" si="0"/>
        <v>-----</v>
      </c>
      <c r="N22" s="1"/>
      <c r="O22" s="2">
        <f>H22-I22</f>
        <v>0.132000000000005</v>
      </c>
      <c r="P22" s="1">
        <f t="shared" si="1"/>
        <v>1.2957602604395075</v>
      </c>
      <c r="Q22" s="3" t="str">
        <f t="shared" si="2"/>
        <v>Price Distribution</v>
      </c>
      <c r="R22" s="1"/>
      <c r="S22">
        <f>STANDARDIZE(G22,AVERAGE($G$5:$G$103),_xlfn.STDEV.P($G$5:$G$103))</f>
        <v>0.46175714229183734</v>
      </c>
      <c r="T22" s="1" t="str">
        <f t="shared" si="3"/>
        <v>-----</v>
      </c>
      <c r="V22" s="1" t="str">
        <f t="shared" si="4"/>
        <v>High Volatility</v>
      </c>
    </row>
    <row r="23" spans="1:22" x14ac:dyDescent="0.55000000000000004">
      <c r="A23">
        <v>19</v>
      </c>
      <c r="B23" t="s">
        <v>22</v>
      </c>
      <c r="C23" t="s">
        <v>4</v>
      </c>
      <c r="D23" t="s">
        <v>103</v>
      </c>
      <c r="E23">
        <v>153.15100000000001</v>
      </c>
      <c r="F23">
        <v>153.036</v>
      </c>
      <c r="G23">
        <v>447</v>
      </c>
      <c r="H23">
        <v>153.11600000000001</v>
      </c>
      <c r="I23">
        <v>152.99100000000001</v>
      </c>
      <c r="J23" s="1"/>
      <c r="K23" s="1" t="str">
        <f>IF(F23&gt;H23,"Bullish Spike","-----")</f>
        <v>-----</v>
      </c>
      <c r="L23" s="1" t="str">
        <f>IF(E23&lt;I23,"Bearish Spike","-----")</f>
        <v>-----</v>
      </c>
      <c r="M23" s="1" t="str">
        <f t="shared" si="0"/>
        <v>-----</v>
      </c>
      <c r="N23" s="1"/>
      <c r="O23" s="2">
        <f>H23-I23</f>
        <v>0.125</v>
      </c>
      <c r="P23" s="1">
        <f t="shared" si="1"/>
        <v>1.1344304256415962</v>
      </c>
      <c r="Q23" s="3" t="str">
        <f t="shared" si="2"/>
        <v>-----</v>
      </c>
      <c r="R23" s="1"/>
      <c r="S23">
        <f>STANDARDIZE(G23,AVERAGE($G$5:$G$103),_xlfn.STDEV.P($G$5:$G$103))</f>
        <v>1.0231792578423167</v>
      </c>
      <c r="T23" s="1" t="str">
        <f t="shared" si="3"/>
        <v>-----</v>
      </c>
      <c r="V23" s="1" t="str">
        <f t="shared" si="4"/>
        <v>-----</v>
      </c>
    </row>
    <row r="24" spans="1:22" x14ac:dyDescent="0.55000000000000004">
      <c r="A24">
        <v>20</v>
      </c>
      <c r="B24" t="s">
        <v>23</v>
      </c>
      <c r="C24" t="s">
        <v>4</v>
      </c>
      <c r="D24" t="s">
        <v>103</v>
      </c>
      <c r="E24">
        <v>153.12899999999999</v>
      </c>
      <c r="F24">
        <v>153.00700000000001</v>
      </c>
      <c r="G24">
        <v>449</v>
      </c>
      <c r="H24">
        <v>153.13300000000001</v>
      </c>
      <c r="I24">
        <v>153.00899999999999</v>
      </c>
      <c r="J24" s="1"/>
      <c r="K24" s="1" t="str">
        <f>IF(F24&gt;H24,"Bullish Spike","-----")</f>
        <v>-----</v>
      </c>
      <c r="L24" s="1" t="str">
        <f>IF(E24&lt;I24,"Bearish Spike","-----")</f>
        <v>-----</v>
      </c>
      <c r="M24" s="1" t="str">
        <f t="shared" si="0"/>
        <v>-----</v>
      </c>
      <c r="N24" s="1"/>
      <c r="O24" s="2">
        <f>H24-I24</f>
        <v>0.12400000000002365</v>
      </c>
      <c r="P24" s="1">
        <f t="shared" si="1"/>
        <v>1.1113833063853131</v>
      </c>
      <c r="Q24" s="3" t="str">
        <f t="shared" si="2"/>
        <v>-----</v>
      </c>
      <c r="R24" s="1"/>
      <c r="S24">
        <f>STANDARDIZE(G24,AVERAGE($G$5:$G$103),_xlfn.STDEV.P($G$5:$G$103))</f>
        <v>1.0360855133722129</v>
      </c>
      <c r="T24" s="1" t="str">
        <f t="shared" si="3"/>
        <v>-----</v>
      </c>
      <c r="V24" s="1" t="str">
        <f t="shared" si="4"/>
        <v>-----</v>
      </c>
    </row>
    <row r="25" spans="1:22" x14ac:dyDescent="0.55000000000000004">
      <c r="A25">
        <v>21</v>
      </c>
      <c r="B25" t="s">
        <v>24</v>
      </c>
      <c r="C25" t="s">
        <v>4</v>
      </c>
      <c r="D25" t="s">
        <v>103</v>
      </c>
      <c r="E25">
        <v>153.09200000000001</v>
      </c>
      <c r="F25">
        <v>152.989</v>
      </c>
      <c r="G25">
        <v>472</v>
      </c>
      <c r="H25">
        <v>153.124</v>
      </c>
      <c r="I25">
        <v>153.011</v>
      </c>
      <c r="J25" s="1"/>
      <c r="K25" s="1" t="str">
        <f>IF(F25&gt;H25,"Bullish Spike","-----")</f>
        <v>-----</v>
      </c>
      <c r="L25" s="1" t="str">
        <f>IF(E25&lt;I25,"Bearish Spike","-----")</f>
        <v>-----</v>
      </c>
      <c r="M25" s="1" t="str">
        <f t="shared" si="0"/>
        <v>-----</v>
      </c>
      <c r="N25" s="1"/>
      <c r="O25" s="2">
        <f>H25-I25</f>
        <v>0.11299999999999955</v>
      </c>
      <c r="P25" s="1">
        <f t="shared" si="1"/>
        <v>0.85786499455964971</v>
      </c>
      <c r="Q25" s="3" t="str">
        <f t="shared" si="2"/>
        <v>-----</v>
      </c>
      <c r="R25" s="1"/>
      <c r="S25">
        <f>STANDARDIZE(G25,AVERAGE($G$5:$G$103),_xlfn.STDEV.P($G$5:$G$103))</f>
        <v>1.1845074519660177</v>
      </c>
      <c r="T25" s="1" t="str">
        <f t="shared" si="3"/>
        <v>-----</v>
      </c>
      <c r="V25" s="1" t="str">
        <f t="shared" si="4"/>
        <v>-----</v>
      </c>
    </row>
    <row r="26" spans="1:22" x14ac:dyDescent="0.55000000000000004">
      <c r="A26">
        <v>22</v>
      </c>
      <c r="B26" t="s">
        <v>25</v>
      </c>
      <c r="C26" t="s">
        <v>4</v>
      </c>
      <c r="D26" t="s">
        <v>103</v>
      </c>
      <c r="E26">
        <v>153.05199999999999</v>
      </c>
      <c r="F26">
        <v>152.98400000000001</v>
      </c>
      <c r="G26">
        <v>451</v>
      </c>
      <c r="H26">
        <v>153.09700000000001</v>
      </c>
      <c r="I26">
        <v>153.00800000000001</v>
      </c>
      <c r="J26" s="1"/>
      <c r="K26" s="1" t="str">
        <f>IF(F26&gt;H26,"Bullish Spike","-----")</f>
        <v>-----</v>
      </c>
      <c r="L26" s="1" t="str">
        <f>IF(E26&lt;I26,"Bearish Spike","-----")</f>
        <v>-----</v>
      </c>
      <c r="M26" s="1" t="str">
        <f t="shared" si="0"/>
        <v>-----</v>
      </c>
      <c r="N26" s="1"/>
      <c r="O26" s="2">
        <f>H26-I26</f>
        <v>8.8999999999998636E-2</v>
      </c>
      <c r="P26" s="1">
        <f t="shared" si="1"/>
        <v>0.30473413239575681</v>
      </c>
      <c r="Q26" s="3" t="str">
        <f t="shared" si="2"/>
        <v>-----</v>
      </c>
      <c r="R26" s="1"/>
      <c r="S26">
        <f>STANDARDIZE(G26,AVERAGE($G$5:$G$103),_xlfn.STDEV.P($G$5:$G$103))</f>
        <v>1.0489917689021089</v>
      </c>
      <c r="T26" s="1" t="str">
        <f t="shared" si="3"/>
        <v>-----</v>
      </c>
      <c r="V26" s="1" t="str">
        <f t="shared" si="4"/>
        <v>-----</v>
      </c>
    </row>
    <row r="27" spans="1:22" x14ac:dyDescent="0.55000000000000004">
      <c r="A27">
        <v>23</v>
      </c>
      <c r="B27" t="s">
        <v>26</v>
      </c>
      <c r="C27" t="s">
        <v>4</v>
      </c>
      <c r="D27" t="s">
        <v>103</v>
      </c>
      <c r="E27">
        <v>153.13</v>
      </c>
      <c r="F27">
        <v>153.03200000000001</v>
      </c>
      <c r="G27">
        <v>395</v>
      </c>
      <c r="H27">
        <v>153.11799999999999</v>
      </c>
      <c r="I27">
        <v>153.02799999999999</v>
      </c>
      <c r="J27" s="1"/>
      <c r="K27" s="1" t="str">
        <f>IF(F27&gt;H27,"Bullish Spike","-----")</f>
        <v>-----</v>
      </c>
      <c r="L27" s="1" t="str">
        <f>IF(E27&lt;I27,"Bearish Spike","-----")</f>
        <v>-----</v>
      </c>
      <c r="M27" s="1" t="str">
        <f t="shared" si="0"/>
        <v>-----</v>
      </c>
      <c r="N27" s="1"/>
      <c r="O27" s="2">
        <f>H27-I27</f>
        <v>9.0000000000003411E-2</v>
      </c>
      <c r="P27" s="1">
        <f t="shared" si="1"/>
        <v>0.32778125165269489</v>
      </c>
      <c r="Q27" s="3" t="str">
        <f t="shared" si="2"/>
        <v>-----</v>
      </c>
      <c r="R27" s="1"/>
      <c r="S27">
        <f>STANDARDIZE(G27,AVERAGE($G$5:$G$103),_xlfn.STDEV.P($G$5:$G$103))</f>
        <v>0.68761661406501873</v>
      </c>
      <c r="T27" s="1" t="str">
        <f t="shared" si="3"/>
        <v>-----</v>
      </c>
      <c r="V27" s="1" t="str">
        <f t="shared" si="4"/>
        <v>-----</v>
      </c>
    </row>
    <row r="28" spans="1:22" x14ac:dyDescent="0.55000000000000004">
      <c r="A28">
        <v>24</v>
      </c>
      <c r="B28" t="s">
        <v>27</v>
      </c>
      <c r="C28" t="s">
        <v>4</v>
      </c>
      <c r="D28" t="s">
        <v>103</v>
      </c>
      <c r="E28">
        <v>153.09700000000001</v>
      </c>
      <c r="F28">
        <v>153.06200000000001</v>
      </c>
      <c r="G28">
        <v>323</v>
      </c>
      <c r="H28">
        <v>153.114</v>
      </c>
      <c r="I28">
        <v>153.054</v>
      </c>
      <c r="J28" s="1"/>
      <c r="K28" s="1" t="str">
        <f>IF(F28&gt;H28,"Bullish Spike","-----")</f>
        <v>-----</v>
      </c>
      <c r="L28" s="1" t="str">
        <f>IF(E28&lt;I28,"Bearish Spike","-----")</f>
        <v>-----</v>
      </c>
      <c r="M28" s="1" t="str">
        <f t="shared" si="0"/>
        <v>-----</v>
      </c>
      <c r="N28" s="1"/>
      <c r="O28" s="2">
        <f>H28-I28</f>
        <v>6.0000000000002274E-2</v>
      </c>
      <c r="P28" s="1">
        <f t="shared" si="1"/>
        <v>-0.36363232605217127</v>
      </c>
      <c r="Q28" s="3" t="str">
        <f t="shared" si="2"/>
        <v>-----</v>
      </c>
      <c r="R28" s="1"/>
      <c r="S28">
        <f>STANDARDIZE(G28,AVERAGE($G$5:$G$103),_xlfn.STDEV.P($G$5:$G$103))</f>
        <v>0.22299141498875991</v>
      </c>
      <c r="T28" s="1" t="str">
        <f t="shared" si="3"/>
        <v>-----</v>
      </c>
      <c r="V28" s="1" t="str">
        <f t="shared" si="4"/>
        <v>-----</v>
      </c>
    </row>
    <row r="29" spans="1:22" x14ac:dyDescent="0.55000000000000004">
      <c r="A29">
        <v>25</v>
      </c>
      <c r="B29" t="s">
        <v>28</v>
      </c>
      <c r="C29" t="s">
        <v>4</v>
      </c>
      <c r="D29" t="s">
        <v>103</v>
      </c>
      <c r="E29">
        <v>153.07400000000001</v>
      </c>
      <c r="F29">
        <v>152.946</v>
      </c>
      <c r="G29">
        <v>368</v>
      </c>
      <c r="H29">
        <v>153.09899999999999</v>
      </c>
      <c r="I29">
        <v>153.012</v>
      </c>
      <c r="J29" s="1"/>
      <c r="K29" s="1" t="str">
        <f>IF(F29&gt;H29,"Bullish Spike","-----")</f>
        <v>-----</v>
      </c>
      <c r="L29" s="1" t="str">
        <f>IF(E29&lt;I29,"Bearish Spike","-----")</f>
        <v>-----</v>
      </c>
      <c r="M29" s="1" t="str">
        <f t="shared" si="0"/>
        <v>-----</v>
      </c>
      <c r="N29" s="1"/>
      <c r="O29" s="2">
        <f>H29-I29</f>
        <v>8.6999999999989086E-2</v>
      </c>
      <c r="P29" s="1">
        <f t="shared" si="1"/>
        <v>0.25863989388188074</v>
      </c>
      <c r="Q29" s="3" t="str">
        <f t="shared" si="2"/>
        <v>-----</v>
      </c>
      <c r="R29" s="1"/>
      <c r="S29">
        <f>STANDARDIZE(G29,AVERAGE($G$5:$G$103),_xlfn.STDEV.P($G$5:$G$103))</f>
        <v>0.5133821644114217</v>
      </c>
      <c r="T29" s="1" t="str">
        <f t="shared" si="3"/>
        <v>-----</v>
      </c>
      <c r="V29" s="1" t="str">
        <f t="shared" si="4"/>
        <v>-----</v>
      </c>
    </row>
    <row r="30" spans="1:22" x14ac:dyDescent="0.55000000000000004">
      <c r="A30">
        <v>26</v>
      </c>
      <c r="B30" t="s">
        <v>29</v>
      </c>
      <c r="C30" t="s">
        <v>4</v>
      </c>
      <c r="D30" t="s">
        <v>103</v>
      </c>
      <c r="E30">
        <v>152.96899999999999</v>
      </c>
      <c r="F30">
        <v>152.916</v>
      </c>
      <c r="G30">
        <v>411</v>
      </c>
      <c r="H30">
        <v>153.03800000000001</v>
      </c>
      <c r="I30">
        <v>152.97</v>
      </c>
      <c r="J30" s="1"/>
      <c r="K30" s="1" t="str">
        <f>IF(F30&gt;H30,"Bullish Spike","-----")</f>
        <v>-----</v>
      </c>
      <c r="L30" s="1" t="str">
        <f>IF(E30&lt;I30,"Bearish Spike","-----")</f>
        <v>Bearish Spike</v>
      </c>
      <c r="M30" s="1" t="str">
        <f t="shared" si="0"/>
        <v>Bearish Spike</v>
      </c>
      <c r="N30" s="1"/>
      <c r="O30" s="2">
        <f>H30-I30</f>
        <v>6.8000000000012051E-2</v>
      </c>
      <c r="P30" s="1">
        <f t="shared" si="1"/>
        <v>-0.17925537199732197</v>
      </c>
      <c r="Q30" s="3" t="str">
        <f t="shared" si="2"/>
        <v>-----</v>
      </c>
      <c r="R30" s="1"/>
      <c r="S30">
        <f>STANDARDIZE(G30,AVERAGE($G$5:$G$103),_xlfn.STDEV.P($G$5:$G$103))</f>
        <v>0.79086665830418734</v>
      </c>
      <c r="T30" s="1" t="str">
        <f t="shared" si="3"/>
        <v>-----</v>
      </c>
      <c r="V30" s="1" t="str">
        <f t="shared" si="4"/>
        <v>High Volatility</v>
      </c>
    </row>
    <row r="31" spans="1:22" x14ac:dyDescent="0.55000000000000004">
      <c r="A31">
        <v>27</v>
      </c>
      <c r="B31" t="s">
        <v>30</v>
      </c>
      <c r="C31" t="s">
        <v>4</v>
      </c>
      <c r="D31" t="s">
        <v>103</v>
      </c>
      <c r="E31">
        <v>153.13200000000001</v>
      </c>
      <c r="F31">
        <v>152.90700000000001</v>
      </c>
      <c r="G31">
        <v>472</v>
      </c>
      <c r="H31">
        <v>153.07900000000001</v>
      </c>
      <c r="I31">
        <v>152.93799999999999</v>
      </c>
      <c r="J31" s="1"/>
      <c r="K31" s="1" t="str">
        <f>IF(F31&gt;H31,"Bullish Spike","-----")</f>
        <v>-----</v>
      </c>
      <c r="L31" s="1" t="str">
        <f>IF(E31&lt;I31,"Bearish Spike","-----")</f>
        <v>-----</v>
      </c>
      <c r="M31" s="1" t="str">
        <f t="shared" si="0"/>
        <v>-----</v>
      </c>
      <c r="N31" s="1"/>
      <c r="O31" s="2">
        <f>H31-I31</f>
        <v>0.14100000000001955</v>
      </c>
      <c r="P31" s="1">
        <f t="shared" si="1"/>
        <v>1.5031843337512949</v>
      </c>
      <c r="Q31" s="3" t="str">
        <f t="shared" si="2"/>
        <v>Price Distribution</v>
      </c>
      <c r="R31" s="1"/>
      <c r="S31">
        <f>STANDARDIZE(G31,AVERAGE($G$5:$G$103),_xlfn.STDEV.P($G$5:$G$103))</f>
        <v>1.1845074519660177</v>
      </c>
      <c r="T31" s="1" t="str">
        <f t="shared" si="3"/>
        <v>-----</v>
      </c>
      <c r="V31" s="1" t="str">
        <f t="shared" si="4"/>
        <v>High Volatility</v>
      </c>
    </row>
    <row r="32" spans="1:22" x14ac:dyDescent="0.55000000000000004">
      <c r="A32">
        <v>28</v>
      </c>
      <c r="B32" t="s">
        <v>31</v>
      </c>
      <c r="C32" t="s">
        <v>4</v>
      </c>
      <c r="D32" t="s">
        <v>103</v>
      </c>
      <c r="E32">
        <v>153.13499999999999</v>
      </c>
      <c r="F32">
        <v>152.99700000000001</v>
      </c>
      <c r="G32">
        <v>594</v>
      </c>
      <c r="H32">
        <v>153.107</v>
      </c>
      <c r="I32">
        <v>152.96199999999999</v>
      </c>
      <c r="J32" s="1"/>
      <c r="K32" s="1" t="str">
        <f>IF(F32&gt;H32,"Bullish Spike","-----")</f>
        <v>-----</v>
      </c>
      <c r="L32" s="1" t="str">
        <f>IF(E32&lt;I32,"Bearish Spike","-----")</f>
        <v>-----</v>
      </c>
      <c r="M32" s="1" t="str">
        <f t="shared" si="0"/>
        <v>-----</v>
      </c>
      <c r="N32" s="1"/>
      <c r="O32" s="2">
        <f>H32-I32</f>
        <v>0.14500000000001023</v>
      </c>
      <c r="P32" s="1">
        <f t="shared" si="1"/>
        <v>1.595372810778392</v>
      </c>
      <c r="Q32" s="3" t="str">
        <f t="shared" si="2"/>
        <v>Price Distribution</v>
      </c>
      <c r="R32" s="1"/>
      <c r="S32">
        <f>STANDARDIZE(G32,AVERAGE($G$5:$G$103),_xlfn.STDEV.P($G$5:$G$103))</f>
        <v>1.9717890392896784</v>
      </c>
      <c r="T32" s="1" t="str">
        <f t="shared" si="3"/>
        <v>High Volume</v>
      </c>
      <c r="V32" s="1" t="str">
        <f t="shared" si="4"/>
        <v>High Volatility</v>
      </c>
    </row>
    <row r="33" spans="1:22" x14ac:dyDescent="0.55000000000000004">
      <c r="A33">
        <v>29</v>
      </c>
      <c r="B33" t="s">
        <v>32</v>
      </c>
      <c r="C33" t="s">
        <v>4</v>
      </c>
      <c r="D33" t="s">
        <v>103</v>
      </c>
      <c r="E33">
        <v>153.22499999999999</v>
      </c>
      <c r="F33">
        <v>153.12799999999999</v>
      </c>
      <c r="G33">
        <v>468</v>
      </c>
      <c r="H33">
        <v>153.16800000000001</v>
      </c>
      <c r="I33">
        <v>153.042</v>
      </c>
      <c r="J33" s="1"/>
      <c r="K33" s="1" t="str">
        <f>IF(F33&gt;H33,"Bullish Spike","-----")</f>
        <v>-----</v>
      </c>
      <c r="L33" s="1" t="str">
        <f>IF(E33&lt;I33,"Bearish Spike","-----")</f>
        <v>-----</v>
      </c>
      <c r="M33" s="1" t="str">
        <f t="shared" si="0"/>
        <v>-----</v>
      </c>
      <c r="N33" s="1"/>
      <c r="O33" s="2">
        <f>H33-I33</f>
        <v>0.12600000000000477</v>
      </c>
      <c r="P33" s="1">
        <f t="shared" si="1"/>
        <v>1.1574775448985342</v>
      </c>
      <c r="Q33" s="3" t="str">
        <f t="shared" si="2"/>
        <v>-----</v>
      </c>
      <c r="R33" s="1"/>
      <c r="S33">
        <f>STANDARDIZE(G33,AVERAGE($G$5:$G$103),_xlfn.STDEV.P($G$5:$G$103))</f>
        <v>1.1586949409062255</v>
      </c>
      <c r="T33" s="1" t="str">
        <f t="shared" si="3"/>
        <v>-----</v>
      </c>
      <c r="V33" s="1" t="str">
        <f t="shared" si="4"/>
        <v>-----</v>
      </c>
    </row>
    <row r="34" spans="1:22" x14ac:dyDescent="0.55000000000000004">
      <c r="A34">
        <v>30</v>
      </c>
      <c r="B34" t="s">
        <v>33</v>
      </c>
      <c r="C34" t="s">
        <v>4</v>
      </c>
      <c r="D34" t="s">
        <v>103</v>
      </c>
      <c r="E34">
        <v>153.166</v>
      </c>
      <c r="F34">
        <v>153.07499999999999</v>
      </c>
      <c r="G34">
        <v>337</v>
      </c>
      <c r="H34">
        <v>153.178</v>
      </c>
      <c r="I34">
        <v>153.066</v>
      </c>
      <c r="J34" s="1"/>
      <c r="K34" s="1" t="str">
        <f>IF(F34&gt;H34,"Bullish Spike","-----")</f>
        <v>-----</v>
      </c>
      <c r="L34" s="1" t="str">
        <f>IF(E34&lt;I34,"Bearish Spike","-----")</f>
        <v>-----</v>
      </c>
      <c r="M34" s="1" t="str">
        <f t="shared" si="0"/>
        <v>-----</v>
      </c>
      <c r="N34" s="1"/>
      <c r="O34" s="2">
        <f>H34-I34</f>
        <v>0.11199999999999477</v>
      </c>
      <c r="P34" s="1">
        <f t="shared" si="1"/>
        <v>0.83481787530271168</v>
      </c>
      <c r="Q34" s="3" t="str">
        <f t="shared" si="2"/>
        <v>-----</v>
      </c>
      <c r="R34" s="1"/>
      <c r="S34">
        <f>STANDARDIZE(G34,AVERAGE($G$5:$G$103),_xlfn.STDEV.P($G$5:$G$103))</f>
        <v>0.31333520369803247</v>
      </c>
      <c r="T34" s="1" t="str">
        <f t="shared" si="3"/>
        <v>-----</v>
      </c>
      <c r="V34" s="1" t="str">
        <f t="shared" si="4"/>
        <v>-----</v>
      </c>
    </row>
    <row r="35" spans="1:22" x14ac:dyDescent="0.55000000000000004">
      <c r="A35" s="4">
        <v>31</v>
      </c>
      <c r="B35" s="4" t="s">
        <v>34</v>
      </c>
      <c r="C35" s="4" t="s">
        <v>4</v>
      </c>
      <c r="D35" s="4" t="s">
        <v>103</v>
      </c>
      <c r="E35" s="4">
        <v>153.17400000000001</v>
      </c>
      <c r="F35" s="4">
        <v>153.053</v>
      </c>
      <c r="G35" s="4">
        <v>335</v>
      </c>
      <c r="H35" s="4">
        <v>153.18600000000001</v>
      </c>
      <c r="I35" s="4">
        <v>153.07</v>
      </c>
      <c r="J35" s="1"/>
      <c r="K35" s="1" t="str">
        <f>IF(F35&gt;H35,"Bullish Spike","-----")</f>
        <v>-----</v>
      </c>
      <c r="L35" s="1" t="str">
        <f>IF(E35&lt;I35,"Bearish Spike","-----")</f>
        <v>-----</v>
      </c>
      <c r="M35" s="1" t="str">
        <f t="shared" si="0"/>
        <v>-----</v>
      </c>
      <c r="N35" s="1"/>
      <c r="O35" s="2">
        <f>H35-I35</f>
        <v>0.11600000000001387</v>
      </c>
      <c r="P35" s="1">
        <f t="shared" si="1"/>
        <v>0.92700635233046391</v>
      </c>
      <c r="Q35" s="3" t="str">
        <f t="shared" si="2"/>
        <v>-----</v>
      </c>
      <c r="R35" s="1"/>
      <c r="S35">
        <f>STANDARDIZE(G35,AVERAGE($G$5:$G$103),_xlfn.STDEV.P($G$5:$G$103))</f>
        <v>0.30042894816813637</v>
      </c>
      <c r="T35" s="1" t="str">
        <f t="shared" si="3"/>
        <v>-----</v>
      </c>
      <c r="V35" s="1" t="str">
        <f t="shared" si="4"/>
        <v>-----</v>
      </c>
    </row>
    <row r="36" spans="1:22" x14ac:dyDescent="0.55000000000000004">
      <c r="A36" s="4">
        <v>32</v>
      </c>
      <c r="B36" s="4" t="s">
        <v>35</v>
      </c>
      <c r="C36" s="4" t="s">
        <v>4</v>
      </c>
      <c r="D36" s="4" t="s">
        <v>103</v>
      </c>
      <c r="E36" s="4">
        <v>153.09399999999999</v>
      </c>
      <c r="F36" s="4">
        <v>153.05199999999999</v>
      </c>
      <c r="G36" s="4">
        <v>390</v>
      </c>
      <c r="H36" s="4">
        <v>153.15</v>
      </c>
      <c r="I36" s="4">
        <v>153.07</v>
      </c>
      <c r="J36" s="1"/>
      <c r="K36" s="1" t="str">
        <f>IF(F36&gt;H36,"Bullish Spike","-----")</f>
        <v>-----</v>
      </c>
      <c r="L36" s="1" t="str">
        <f>IF(E36&lt;I36,"Bearish Spike","-----")</f>
        <v>-----</v>
      </c>
      <c r="M36" s="1" t="str">
        <f t="shared" si="0"/>
        <v>-----</v>
      </c>
      <c r="N36" s="1"/>
      <c r="O36" s="2">
        <f>H36-I36</f>
        <v>8.0000000000012506E-2</v>
      </c>
      <c r="P36" s="1">
        <f t="shared" si="1"/>
        <v>9.7310059084624492E-2</v>
      </c>
      <c r="Q36" s="3" t="str">
        <f t="shared" si="2"/>
        <v>-----</v>
      </c>
      <c r="R36" s="1"/>
      <c r="S36">
        <f>STANDARDIZE(G36,AVERAGE($G$5:$G$103),_xlfn.STDEV.P($G$5:$G$103))</f>
        <v>0.65535097524027852</v>
      </c>
      <c r="T36" s="1" t="str">
        <f t="shared" si="3"/>
        <v>-----</v>
      </c>
      <c r="V36" s="1" t="str">
        <f t="shared" si="4"/>
        <v>-----</v>
      </c>
    </row>
    <row r="37" spans="1:22" x14ac:dyDescent="0.55000000000000004">
      <c r="A37">
        <v>33</v>
      </c>
      <c r="B37" t="s">
        <v>36</v>
      </c>
      <c r="C37" t="s">
        <v>4</v>
      </c>
      <c r="D37" t="s">
        <v>103</v>
      </c>
      <c r="E37">
        <v>153.05799999999999</v>
      </c>
      <c r="F37">
        <v>152.87200000000001</v>
      </c>
      <c r="G37">
        <v>358</v>
      </c>
      <c r="H37">
        <v>153.10900000000001</v>
      </c>
      <c r="I37">
        <v>152.98099999999999</v>
      </c>
      <c r="J37" s="1"/>
      <c r="K37" s="1" t="str">
        <f>IF(F37&gt;H37,"Bullish Spike","-----")</f>
        <v>-----</v>
      </c>
      <c r="L37" s="1" t="str">
        <f>IF(E37&lt;I37,"Bearish Spike","-----")</f>
        <v>-----</v>
      </c>
      <c r="M37" s="1" t="str">
        <f t="shared" si="0"/>
        <v>-----</v>
      </c>
      <c r="N37" s="1"/>
      <c r="O37" s="2">
        <f>H37-I37</f>
        <v>0.12800000000001432</v>
      </c>
      <c r="P37" s="1">
        <f t="shared" si="1"/>
        <v>1.2035717834124104</v>
      </c>
      <c r="Q37" s="3" t="str">
        <f t="shared" si="2"/>
        <v>-----</v>
      </c>
      <c r="R37" s="1"/>
      <c r="S37">
        <f>STANDARDIZE(G37,AVERAGE($G$5:$G$103),_xlfn.STDEV.P($G$5:$G$103))</f>
        <v>0.44885088676194129</v>
      </c>
      <c r="T37" s="1" t="str">
        <f t="shared" si="3"/>
        <v>-----</v>
      </c>
      <c r="V37" s="1" t="str">
        <f t="shared" si="4"/>
        <v>-----</v>
      </c>
    </row>
    <row r="38" spans="1:22" x14ac:dyDescent="0.55000000000000004">
      <c r="A38">
        <v>34</v>
      </c>
      <c r="B38" t="s">
        <v>37</v>
      </c>
      <c r="C38" t="s">
        <v>4</v>
      </c>
      <c r="D38" t="s">
        <v>103</v>
      </c>
      <c r="E38">
        <v>152.90299999999999</v>
      </c>
      <c r="F38">
        <v>152.815</v>
      </c>
      <c r="G38">
        <v>357</v>
      </c>
      <c r="H38">
        <v>153.006</v>
      </c>
      <c r="I38">
        <v>152.89500000000001</v>
      </c>
      <c r="J38" s="1"/>
      <c r="K38" s="1" t="str">
        <f>IF(F38&gt;H38,"Bullish Spike","-----")</f>
        <v>-----</v>
      </c>
      <c r="L38" s="1" t="str">
        <f>IF(E38&lt;I38,"Bearish Spike","-----")</f>
        <v>-----</v>
      </c>
      <c r="M38" s="1" t="str">
        <f t="shared" si="0"/>
        <v>-----</v>
      </c>
      <c r="N38" s="1"/>
      <c r="O38" s="2">
        <f>H38-I38</f>
        <v>0.11099999999999</v>
      </c>
      <c r="P38" s="1">
        <f t="shared" si="1"/>
        <v>0.81177075604577364</v>
      </c>
      <c r="Q38" s="3" t="str">
        <f t="shared" si="2"/>
        <v>-----</v>
      </c>
      <c r="R38" s="1"/>
      <c r="S38">
        <f>STANDARDIZE(G38,AVERAGE($G$5:$G$103),_xlfn.STDEV.P($G$5:$G$103))</f>
        <v>0.44239775899699324</v>
      </c>
      <c r="T38" s="1" t="str">
        <f t="shared" si="3"/>
        <v>-----</v>
      </c>
      <c r="V38" s="1" t="str">
        <f t="shared" si="4"/>
        <v>-----</v>
      </c>
    </row>
    <row r="39" spans="1:22" x14ac:dyDescent="0.55000000000000004">
      <c r="A39">
        <v>35</v>
      </c>
      <c r="B39" t="s">
        <v>38</v>
      </c>
      <c r="C39" t="s">
        <v>4</v>
      </c>
      <c r="D39" t="s">
        <v>103</v>
      </c>
      <c r="E39">
        <v>152.881</v>
      </c>
      <c r="F39">
        <v>152.80099999999999</v>
      </c>
      <c r="G39">
        <v>389</v>
      </c>
      <c r="H39">
        <v>152.93100000000001</v>
      </c>
      <c r="I39">
        <v>152.83500000000001</v>
      </c>
      <c r="J39" s="1"/>
      <c r="K39" s="1" t="str">
        <f>IF(F39&gt;H39,"Bullish Spike","-----")</f>
        <v>-----</v>
      </c>
      <c r="L39" s="1" t="str">
        <f>IF(E39&lt;I39,"Bearish Spike","-----")</f>
        <v>-----</v>
      </c>
      <c r="M39" s="1" t="str">
        <f t="shared" si="0"/>
        <v>-----</v>
      </c>
      <c r="N39" s="1"/>
      <c r="O39" s="2">
        <f>H39-I39</f>
        <v>9.6000000000003638E-2</v>
      </c>
      <c r="P39" s="1">
        <f t="shared" si="1"/>
        <v>0.4660639671936681</v>
      </c>
      <c r="Q39" s="3" t="str">
        <f t="shared" si="2"/>
        <v>-----</v>
      </c>
      <c r="R39" s="1"/>
      <c r="S39">
        <f>STANDARDIZE(G39,AVERAGE($G$5:$G$103),_xlfn.STDEV.P($G$5:$G$103))</f>
        <v>0.64889784747533041</v>
      </c>
      <c r="T39" s="1" t="str">
        <f t="shared" si="3"/>
        <v>-----</v>
      </c>
      <c r="V39" s="1" t="str">
        <f t="shared" si="4"/>
        <v>-----</v>
      </c>
    </row>
    <row r="40" spans="1:22" x14ac:dyDescent="0.55000000000000004">
      <c r="A40">
        <v>36</v>
      </c>
      <c r="B40" t="s">
        <v>39</v>
      </c>
      <c r="C40" t="s">
        <v>4</v>
      </c>
      <c r="D40" t="s">
        <v>103</v>
      </c>
      <c r="E40">
        <v>152.90799999999999</v>
      </c>
      <c r="F40">
        <v>152.83500000000001</v>
      </c>
      <c r="G40">
        <v>359</v>
      </c>
      <c r="H40">
        <v>152.899</v>
      </c>
      <c r="I40">
        <v>152.816</v>
      </c>
      <c r="J40" s="1"/>
      <c r="K40" s="1" t="str">
        <f>IF(F40&gt;H40,"Bullish Spike","-----")</f>
        <v>-----</v>
      </c>
      <c r="L40" s="1" t="str">
        <f>IF(E40&lt;I40,"Bearish Spike","-----")</f>
        <v>-----</v>
      </c>
      <c r="M40" s="1" t="str">
        <f t="shared" si="0"/>
        <v>-----</v>
      </c>
      <c r="N40" s="1"/>
      <c r="O40" s="2">
        <f>H40-I40</f>
        <v>8.2999999999998408E-2</v>
      </c>
      <c r="P40" s="1">
        <f t="shared" si="1"/>
        <v>0.1664514168547836</v>
      </c>
      <c r="Q40" s="3" t="str">
        <f t="shared" si="2"/>
        <v>-----</v>
      </c>
      <c r="R40" s="1"/>
      <c r="S40">
        <f>STANDARDIZE(G40,AVERAGE($G$5:$G$103),_xlfn.STDEV.P($G$5:$G$103))</f>
        <v>0.45530401452688929</v>
      </c>
      <c r="T40" s="1" t="str">
        <f t="shared" si="3"/>
        <v>-----</v>
      </c>
      <c r="V40" s="1" t="str">
        <f t="shared" si="4"/>
        <v>-----</v>
      </c>
    </row>
    <row r="41" spans="1:22" x14ac:dyDescent="0.55000000000000004">
      <c r="A41">
        <v>37</v>
      </c>
      <c r="B41" t="s">
        <v>40</v>
      </c>
      <c r="C41" t="s">
        <v>4</v>
      </c>
      <c r="D41" t="s">
        <v>103</v>
      </c>
      <c r="E41">
        <v>152.90600000000001</v>
      </c>
      <c r="F41">
        <v>152.804</v>
      </c>
      <c r="G41">
        <v>318</v>
      </c>
      <c r="H41">
        <v>152.88200000000001</v>
      </c>
      <c r="I41">
        <v>152.792</v>
      </c>
      <c r="J41" s="1"/>
      <c r="K41" s="1" t="str">
        <f>IF(F41&gt;H41,"Bullish Spike","-----")</f>
        <v>-----</v>
      </c>
      <c r="L41" s="1" t="str">
        <f>IF(E41&lt;I41,"Bearish Spike","-----")</f>
        <v>-----</v>
      </c>
      <c r="M41" s="1" t="str">
        <f t="shared" si="0"/>
        <v>-----</v>
      </c>
      <c r="N41" s="1"/>
      <c r="O41" s="2">
        <f>H41-I41</f>
        <v>9.0000000000003411E-2</v>
      </c>
      <c r="P41" s="1">
        <f t="shared" si="1"/>
        <v>0.32778125165269489</v>
      </c>
      <c r="Q41" s="3" t="str">
        <f t="shared" si="2"/>
        <v>-----</v>
      </c>
      <c r="R41" s="1"/>
      <c r="S41">
        <f>STANDARDIZE(G41,AVERAGE($G$5:$G$103),_xlfn.STDEV.P($G$5:$G$103))</f>
        <v>0.19072577616401973</v>
      </c>
      <c r="T41" s="1" t="str">
        <f t="shared" si="3"/>
        <v>-----</v>
      </c>
      <c r="V41" s="1" t="str">
        <f t="shared" si="4"/>
        <v>-----</v>
      </c>
    </row>
    <row r="42" spans="1:22" x14ac:dyDescent="0.55000000000000004">
      <c r="A42">
        <v>38</v>
      </c>
      <c r="B42" t="s">
        <v>41</v>
      </c>
      <c r="C42" t="s">
        <v>4</v>
      </c>
      <c r="D42" t="s">
        <v>103</v>
      </c>
      <c r="E42">
        <v>152.87299999999999</v>
      </c>
      <c r="F42">
        <v>152.79</v>
      </c>
      <c r="G42">
        <v>316</v>
      </c>
      <c r="H42">
        <v>152.858</v>
      </c>
      <c r="I42">
        <v>152.773</v>
      </c>
      <c r="J42" s="1"/>
      <c r="K42" s="1" t="str">
        <f>IF(F42&gt;H42,"Bullish Spike","-----")</f>
        <v>-----</v>
      </c>
      <c r="L42" s="1" t="str">
        <f>IF(E42&lt;I42,"Bearish Spike","-----")</f>
        <v>-----</v>
      </c>
      <c r="M42" s="1" t="str">
        <f t="shared" si="0"/>
        <v>-----</v>
      </c>
      <c r="N42" s="1"/>
      <c r="O42" s="2">
        <f>H42-I42</f>
        <v>8.5000000000007958E-2</v>
      </c>
      <c r="P42" s="1">
        <f t="shared" si="1"/>
        <v>0.21254565536865969</v>
      </c>
      <c r="Q42" s="3" t="str">
        <f t="shared" si="2"/>
        <v>-----</v>
      </c>
      <c r="R42" s="1"/>
      <c r="S42">
        <f>STANDARDIZE(G42,AVERAGE($G$5:$G$103),_xlfn.STDEV.P($G$5:$G$103))</f>
        <v>0.17781952063412365</v>
      </c>
      <c r="T42" s="1" t="str">
        <f t="shared" si="3"/>
        <v>-----</v>
      </c>
      <c r="V42" s="1" t="str">
        <f t="shared" si="4"/>
        <v>-----</v>
      </c>
    </row>
    <row r="43" spans="1:22" x14ac:dyDescent="0.55000000000000004">
      <c r="A43">
        <v>39</v>
      </c>
      <c r="B43" t="s">
        <v>42</v>
      </c>
      <c r="C43" t="s">
        <v>4</v>
      </c>
      <c r="D43" t="s">
        <v>103</v>
      </c>
      <c r="E43">
        <v>152.83699999999999</v>
      </c>
      <c r="F43">
        <v>152.74700000000001</v>
      </c>
      <c r="G43">
        <v>307</v>
      </c>
      <c r="H43">
        <v>152.828</v>
      </c>
      <c r="I43">
        <v>152.74299999999999</v>
      </c>
      <c r="J43" s="1"/>
      <c r="K43" s="1" t="str">
        <f>IF(F43&gt;H43,"Bullish Spike","-----")</f>
        <v>-----</v>
      </c>
      <c r="L43" s="1" t="str">
        <f>IF(E43&lt;I43,"Bearish Spike","-----")</f>
        <v>-----</v>
      </c>
      <c r="M43" s="1" t="str">
        <f t="shared" si="0"/>
        <v>-----</v>
      </c>
      <c r="N43" s="1"/>
      <c r="O43" s="2">
        <f>H43-I43</f>
        <v>8.5000000000007958E-2</v>
      </c>
      <c r="P43" s="1">
        <f t="shared" si="1"/>
        <v>0.21254565536865969</v>
      </c>
      <c r="Q43" s="3" t="str">
        <f t="shared" si="2"/>
        <v>-----</v>
      </c>
      <c r="R43" s="1"/>
      <c r="S43">
        <f>STANDARDIZE(G43,AVERAGE($G$5:$G$103),_xlfn.STDEV.P($G$5:$G$103))</f>
        <v>0.11974137074959131</v>
      </c>
      <c r="T43" s="1" t="str">
        <f t="shared" si="3"/>
        <v>-----</v>
      </c>
      <c r="V43" s="1" t="str">
        <f t="shared" si="4"/>
        <v>-----</v>
      </c>
    </row>
    <row r="44" spans="1:22" x14ac:dyDescent="0.55000000000000004">
      <c r="A44">
        <v>40</v>
      </c>
      <c r="B44" t="s">
        <v>43</v>
      </c>
      <c r="C44" t="s">
        <v>4</v>
      </c>
      <c r="D44" t="s">
        <v>103</v>
      </c>
      <c r="E44">
        <v>152.791</v>
      </c>
      <c r="F44">
        <v>152.74199999999999</v>
      </c>
      <c r="G44">
        <v>334</v>
      </c>
      <c r="H44">
        <v>152.791</v>
      </c>
      <c r="I44">
        <v>152.72499999999999</v>
      </c>
      <c r="J44" s="1"/>
      <c r="K44" s="1" t="str">
        <f>IF(F44&gt;H44,"Bullish Spike","-----")</f>
        <v>-----</v>
      </c>
      <c r="L44" s="1" t="str">
        <f>IF(E44&lt;I44,"Bearish Spike","-----")</f>
        <v>-----</v>
      </c>
      <c r="M44" s="1" t="str">
        <f t="shared" si="0"/>
        <v>-----</v>
      </c>
      <c r="N44" s="1"/>
      <c r="O44" s="2">
        <f>H44-I44</f>
        <v>6.6000000000002501E-2</v>
      </c>
      <c r="P44" s="1">
        <f t="shared" si="1"/>
        <v>-0.22534961051119806</v>
      </c>
      <c r="Q44" s="3" t="str">
        <f t="shared" si="2"/>
        <v>-----</v>
      </c>
      <c r="R44" s="1"/>
      <c r="S44">
        <f>STANDARDIZE(G44,AVERAGE($G$5:$G$103),_xlfn.STDEV.P($G$5:$G$103))</f>
        <v>0.29397582040318837</v>
      </c>
      <c r="T44" s="1" t="str">
        <f t="shared" si="3"/>
        <v>-----</v>
      </c>
      <c r="V44" s="1" t="str">
        <f t="shared" si="4"/>
        <v>-----</v>
      </c>
    </row>
    <row r="45" spans="1:22" x14ac:dyDescent="0.55000000000000004">
      <c r="A45">
        <v>41</v>
      </c>
      <c r="B45" t="s">
        <v>44</v>
      </c>
      <c r="C45" t="s">
        <v>4</v>
      </c>
      <c r="D45" t="s">
        <v>103</v>
      </c>
      <c r="E45">
        <v>152.79900000000001</v>
      </c>
      <c r="F45">
        <v>152.76599999999999</v>
      </c>
      <c r="G45">
        <v>254</v>
      </c>
      <c r="H45">
        <v>152.774</v>
      </c>
      <c r="I45">
        <v>152.72800000000001</v>
      </c>
      <c r="J45" s="1"/>
      <c r="K45" s="1" t="str">
        <f>IF(F45&gt;H45,"Bullish Spike","-----")</f>
        <v>-----</v>
      </c>
      <c r="L45" s="1" t="str">
        <f>IF(E45&lt;I45,"Bearish Spike","-----")</f>
        <v>-----</v>
      </c>
      <c r="M45" s="1" t="str">
        <f t="shared" si="0"/>
        <v>-----</v>
      </c>
      <c r="N45" s="1"/>
      <c r="O45" s="2">
        <f>H45-I45</f>
        <v>4.5999999999992269E-2</v>
      </c>
      <c r="P45" s="1">
        <f t="shared" si="1"/>
        <v>-0.68629199564799381</v>
      </c>
      <c r="Q45" s="3" t="str">
        <f t="shared" si="2"/>
        <v>-----</v>
      </c>
      <c r="R45" s="1"/>
      <c r="S45">
        <f>STANDARDIZE(G45,AVERAGE($G$5:$G$103),_xlfn.STDEV.P($G$5:$G$103))</f>
        <v>-0.22227440079265476</v>
      </c>
      <c r="T45" s="1" t="str">
        <f t="shared" si="3"/>
        <v>-----</v>
      </c>
      <c r="V45" s="1" t="str">
        <f t="shared" si="4"/>
        <v>-----</v>
      </c>
    </row>
    <row r="46" spans="1:22" x14ac:dyDescent="0.55000000000000004">
      <c r="A46">
        <v>42</v>
      </c>
      <c r="B46" t="s">
        <v>45</v>
      </c>
      <c r="C46" t="s">
        <v>4</v>
      </c>
      <c r="D46" t="s">
        <v>103</v>
      </c>
      <c r="E46">
        <v>152.79599999999999</v>
      </c>
      <c r="F46">
        <v>152.72999999999999</v>
      </c>
      <c r="G46">
        <v>218</v>
      </c>
      <c r="H46">
        <v>152.76599999999999</v>
      </c>
      <c r="I46">
        <v>152.715</v>
      </c>
      <c r="J46" s="1"/>
      <c r="K46" s="1" t="str">
        <f>IF(F46&gt;H46,"Bullish Spike","-----")</f>
        <v>-----</v>
      </c>
      <c r="L46" s="1" t="str">
        <f>IF(E46&lt;I46,"Bearish Spike","-----")</f>
        <v>-----</v>
      </c>
      <c r="M46" s="1" t="str">
        <f t="shared" si="0"/>
        <v>-----</v>
      </c>
      <c r="N46" s="1"/>
      <c r="O46" s="2">
        <f>H46-I46</f>
        <v>5.0999999999987722E-2</v>
      </c>
      <c r="P46" s="1">
        <f t="shared" si="1"/>
        <v>-0.57105639936395869</v>
      </c>
      <c r="Q46" s="3" t="str">
        <f t="shared" si="2"/>
        <v>-----</v>
      </c>
      <c r="R46" s="1"/>
      <c r="S46">
        <f>STANDARDIZE(G46,AVERAGE($G$5:$G$103),_xlfn.STDEV.P($G$5:$G$103))</f>
        <v>-0.45458700033078414</v>
      </c>
      <c r="T46" s="1" t="str">
        <f t="shared" si="3"/>
        <v>-----</v>
      </c>
      <c r="V46" s="1" t="str">
        <f t="shared" si="4"/>
        <v>-----</v>
      </c>
    </row>
    <row r="47" spans="1:22" x14ac:dyDescent="0.55000000000000004">
      <c r="A47">
        <v>43</v>
      </c>
      <c r="B47" t="s">
        <v>46</v>
      </c>
      <c r="C47" t="s">
        <v>4</v>
      </c>
      <c r="D47" t="s">
        <v>103</v>
      </c>
      <c r="E47">
        <v>152.745</v>
      </c>
      <c r="F47">
        <v>152.6</v>
      </c>
      <c r="G47">
        <v>278</v>
      </c>
      <c r="H47">
        <v>152.74</v>
      </c>
      <c r="I47">
        <v>152.64699999999999</v>
      </c>
      <c r="J47" s="1"/>
      <c r="K47" s="1" t="str">
        <f>IF(F47&gt;H47,"Bullish Spike","-----")</f>
        <v>-----</v>
      </c>
      <c r="L47" s="1" t="str">
        <f>IF(E47&lt;I47,"Bearish Spike","-----")</f>
        <v>-----</v>
      </c>
      <c r="M47" s="1" t="str">
        <f t="shared" si="0"/>
        <v>-----</v>
      </c>
      <c r="N47" s="1"/>
      <c r="O47" s="2">
        <f>H47-I47</f>
        <v>9.3000000000017735E-2</v>
      </c>
      <c r="P47" s="1">
        <f t="shared" si="1"/>
        <v>0.39692260942350899</v>
      </c>
      <c r="Q47" s="3" t="str">
        <f t="shared" si="2"/>
        <v>-----</v>
      </c>
      <c r="R47" s="1"/>
      <c r="S47">
        <f>STANDARDIZE(G47,AVERAGE($G$5:$G$103),_xlfn.STDEV.P($G$5:$G$103))</f>
        <v>-6.7399334433901822E-2</v>
      </c>
      <c r="T47" s="1" t="str">
        <f t="shared" si="3"/>
        <v>-----</v>
      </c>
      <c r="V47" s="1" t="str">
        <f t="shared" si="4"/>
        <v>-----</v>
      </c>
    </row>
    <row r="48" spans="1:22" x14ac:dyDescent="0.55000000000000004">
      <c r="A48">
        <v>44</v>
      </c>
      <c r="B48" t="s">
        <v>47</v>
      </c>
      <c r="C48" t="s">
        <v>4</v>
      </c>
      <c r="D48" t="s">
        <v>103</v>
      </c>
      <c r="E48">
        <v>152.68100000000001</v>
      </c>
      <c r="F48">
        <v>152.59299999999999</v>
      </c>
      <c r="G48">
        <v>258</v>
      </c>
      <c r="H48">
        <v>152.69499999999999</v>
      </c>
      <c r="I48">
        <v>152.602</v>
      </c>
      <c r="J48" s="1"/>
      <c r="K48" s="1" t="str">
        <f>IF(F48&gt;H48,"Bullish Spike","-----")</f>
        <v>-----</v>
      </c>
      <c r="L48" s="1" t="str">
        <f>IF(E48&lt;I48,"Bearish Spike","-----")</f>
        <v>-----</v>
      </c>
      <c r="M48" s="1" t="str">
        <f t="shared" si="0"/>
        <v>-----</v>
      </c>
      <c r="N48" s="1"/>
      <c r="O48" s="2">
        <f>H48-I48</f>
        <v>9.2999999999989313E-2</v>
      </c>
      <c r="P48" s="1">
        <f t="shared" si="1"/>
        <v>0.39692260942285396</v>
      </c>
      <c r="Q48" s="3" t="str">
        <f t="shared" si="2"/>
        <v>-----</v>
      </c>
      <c r="R48" s="1"/>
      <c r="S48">
        <f>STANDARDIZE(G48,AVERAGE($G$5:$G$103),_xlfn.STDEV.P($G$5:$G$103))</f>
        <v>-0.1964618897328626</v>
      </c>
      <c r="T48" s="1" t="str">
        <f t="shared" si="3"/>
        <v>-----</v>
      </c>
      <c r="V48" s="1" t="str">
        <f t="shared" si="4"/>
        <v>-----</v>
      </c>
    </row>
    <row r="49" spans="1:22" x14ac:dyDescent="0.55000000000000004">
      <c r="A49">
        <v>45</v>
      </c>
      <c r="B49" t="s">
        <v>48</v>
      </c>
      <c r="C49" t="s">
        <v>4</v>
      </c>
      <c r="D49" t="s">
        <v>103</v>
      </c>
      <c r="E49">
        <v>152.74299999999999</v>
      </c>
      <c r="F49">
        <v>152.66499999999999</v>
      </c>
      <c r="G49">
        <v>243</v>
      </c>
      <c r="H49">
        <v>152.69999999999999</v>
      </c>
      <c r="I49">
        <v>152.613</v>
      </c>
      <c r="J49" s="1"/>
      <c r="K49" s="1" t="str">
        <f>IF(F49&gt;H49,"Bullish Spike","-----")</f>
        <v>-----</v>
      </c>
      <c r="L49" s="1" t="str">
        <f>IF(E49&lt;I49,"Bearish Spike","-----")</f>
        <v>-----</v>
      </c>
      <c r="M49" s="1" t="str">
        <f t="shared" si="0"/>
        <v>-----</v>
      </c>
      <c r="N49" s="1"/>
      <c r="O49" s="2">
        <f>H49-I49</f>
        <v>8.6999999999989086E-2</v>
      </c>
      <c r="P49" s="1">
        <f t="shared" si="1"/>
        <v>0.25863989388188074</v>
      </c>
      <c r="Q49" s="3" t="str">
        <f t="shared" si="2"/>
        <v>-----</v>
      </c>
      <c r="R49" s="1"/>
      <c r="S49">
        <f>STANDARDIZE(G49,AVERAGE($G$5:$G$103),_xlfn.STDEV.P($G$5:$G$103))</f>
        <v>-0.29325880620708317</v>
      </c>
      <c r="T49" s="1" t="str">
        <f t="shared" si="3"/>
        <v>-----</v>
      </c>
      <c r="V49" s="1" t="str">
        <f t="shared" si="4"/>
        <v>-----</v>
      </c>
    </row>
    <row r="50" spans="1:22" x14ac:dyDescent="0.55000000000000004">
      <c r="A50">
        <v>46</v>
      </c>
      <c r="B50" t="s">
        <v>49</v>
      </c>
      <c r="C50" t="s">
        <v>4</v>
      </c>
      <c r="D50" t="s">
        <v>103</v>
      </c>
      <c r="E50">
        <v>152.74299999999999</v>
      </c>
      <c r="F50">
        <v>152.69800000000001</v>
      </c>
      <c r="G50">
        <v>257</v>
      </c>
      <c r="H50">
        <v>152.70699999999999</v>
      </c>
      <c r="I50">
        <v>152.63999999999999</v>
      </c>
      <c r="J50" s="1"/>
      <c r="K50" s="1" t="str">
        <f>IF(F50&gt;H50,"Bullish Spike","-----")</f>
        <v>-----</v>
      </c>
      <c r="L50" s="1" t="str">
        <f>IF(E50&lt;I50,"Bearish Spike","-----")</f>
        <v>-----</v>
      </c>
      <c r="M50" s="1" t="str">
        <f t="shared" si="0"/>
        <v>-----</v>
      </c>
      <c r="N50" s="1"/>
      <c r="O50" s="2">
        <f>H50-I50</f>
        <v>6.7000000000007276E-2</v>
      </c>
      <c r="P50" s="1">
        <f t="shared" si="1"/>
        <v>-0.20230249125426</v>
      </c>
      <c r="Q50" s="3" t="str">
        <f t="shared" si="2"/>
        <v>-----</v>
      </c>
      <c r="R50" s="1"/>
      <c r="S50">
        <f>STANDARDIZE(G50,AVERAGE($G$5:$G$103),_xlfn.STDEV.P($G$5:$G$103))</f>
        <v>-0.20291501749781063</v>
      </c>
      <c r="T50" s="1" t="str">
        <f t="shared" si="3"/>
        <v>-----</v>
      </c>
      <c r="V50" s="1" t="str">
        <f t="shared" si="4"/>
        <v>-----</v>
      </c>
    </row>
    <row r="51" spans="1:22" x14ac:dyDescent="0.55000000000000004">
      <c r="A51">
        <v>47</v>
      </c>
      <c r="B51" t="s">
        <v>50</v>
      </c>
      <c r="C51" t="s">
        <v>4</v>
      </c>
      <c r="D51" t="s">
        <v>103</v>
      </c>
      <c r="E51">
        <v>152.81899999999999</v>
      </c>
      <c r="F51">
        <v>152.69800000000001</v>
      </c>
      <c r="G51">
        <v>293</v>
      </c>
      <c r="H51">
        <v>152.751</v>
      </c>
      <c r="I51">
        <v>152.65899999999999</v>
      </c>
      <c r="J51" s="1"/>
      <c r="K51" s="1" t="str">
        <f>IF(F51&gt;H51,"Bullish Spike","-----")</f>
        <v>-----</v>
      </c>
      <c r="L51" s="1" t="str">
        <f>IF(E51&lt;I51,"Bearish Spike","-----")</f>
        <v>-----</v>
      </c>
      <c r="M51" s="1" t="str">
        <f t="shared" si="0"/>
        <v>-----</v>
      </c>
      <c r="N51" s="1"/>
      <c r="O51" s="2">
        <f>H51-I51</f>
        <v>9.200000000001296E-2</v>
      </c>
      <c r="P51" s="1">
        <f t="shared" si="1"/>
        <v>0.37387549016657096</v>
      </c>
      <c r="Q51" s="3" t="str">
        <f t="shared" si="2"/>
        <v>-----</v>
      </c>
      <c r="R51" s="1"/>
      <c r="S51">
        <f>STANDARDIZE(G51,AVERAGE($G$5:$G$103),_xlfn.STDEV.P($G$5:$G$103))</f>
        <v>2.9397582040318761E-2</v>
      </c>
      <c r="T51" s="1" t="str">
        <f t="shared" si="3"/>
        <v>-----</v>
      </c>
      <c r="V51" s="1" t="str">
        <f t="shared" si="4"/>
        <v>-----</v>
      </c>
    </row>
    <row r="52" spans="1:22" x14ac:dyDescent="0.55000000000000004">
      <c r="A52">
        <v>48</v>
      </c>
      <c r="B52" t="s">
        <v>51</v>
      </c>
      <c r="C52" t="s">
        <v>4</v>
      </c>
      <c r="D52" t="s">
        <v>103</v>
      </c>
      <c r="E52">
        <v>152.82300000000001</v>
      </c>
      <c r="F52">
        <v>152.78899999999999</v>
      </c>
      <c r="G52">
        <v>254</v>
      </c>
      <c r="H52">
        <v>152.78299999999999</v>
      </c>
      <c r="I52">
        <v>152.71799999999999</v>
      </c>
      <c r="J52" s="1"/>
      <c r="K52" s="1" t="str">
        <f>IF(F52&gt;H52,"Bullish Spike","-----")</f>
        <v>Bullish Spike</v>
      </c>
      <c r="L52" s="1" t="str">
        <f>IF(E52&lt;I52,"Bearish Spike","-----")</f>
        <v>-----</v>
      </c>
      <c r="M52" s="1" t="str">
        <f t="shared" si="0"/>
        <v>Bullish Spike</v>
      </c>
      <c r="N52" s="1"/>
      <c r="O52" s="2">
        <f>H52-I52</f>
        <v>6.4999999999997726E-2</v>
      </c>
      <c r="P52" s="1">
        <f t="shared" si="1"/>
        <v>-0.24839672976813609</v>
      </c>
      <c r="Q52" s="3" t="str">
        <f t="shared" si="2"/>
        <v>-----</v>
      </c>
      <c r="R52" s="1"/>
      <c r="S52">
        <f>STANDARDIZE(G52,AVERAGE($G$5:$G$103),_xlfn.STDEV.P($G$5:$G$103))</f>
        <v>-0.22227440079265476</v>
      </c>
      <c r="T52" s="1" t="str">
        <f t="shared" si="3"/>
        <v>-----</v>
      </c>
      <c r="V52" s="1" t="str">
        <f t="shared" si="4"/>
        <v>High Volatility</v>
      </c>
    </row>
    <row r="53" spans="1:22" x14ac:dyDescent="0.55000000000000004">
      <c r="A53">
        <v>49</v>
      </c>
      <c r="B53" t="s">
        <v>52</v>
      </c>
      <c r="C53" t="s">
        <v>4</v>
      </c>
      <c r="D53" t="s">
        <v>103</v>
      </c>
      <c r="E53">
        <v>152.87100000000001</v>
      </c>
      <c r="F53">
        <v>152.798</v>
      </c>
      <c r="G53">
        <v>263</v>
      </c>
      <c r="H53">
        <v>152.828</v>
      </c>
      <c r="I53">
        <v>152.761</v>
      </c>
      <c r="J53" s="1"/>
      <c r="K53" s="1" t="str">
        <f>IF(F53&gt;H53,"Bullish Spike","-----")</f>
        <v>-----</v>
      </c>
      <c r="L53" s="1" t="str">
        <f>IF(E53&lt;I53,"Bearish Spike","-----")</f>
        <v>-----</v>
      </c>
      <c r="M53" s="1" t="str">
        <f t="shared" si="0"/>
        <v>-----</v>
      </c>
      <c r="N53" s="1"/>
      <c r="O53" s="2">
        <f>H53-I53</f>
        <v>6.7000000000007276E-2</v>
      </c>
      <c r="P53" s="1">
        <f t="shared" si="1"/>
        <v>-0.20230249125426</v>
      </c>
      <c r="Q53" s="3" t="str">
        <f t="shared" si="2"/>
        <v>-----</v>
      </c>
      <c r="R53" s="1"/>
      <c r="S53">
        <f>STANDARDIZE(G53,AVERAGE($G$5:$G$103),_xlfn.STDEV.P($G$5:$G$103))</f>
        <v>-0.1641962509081224</v>
      </c>
      <c r="T53" s="1" t="str">
        <f t="shared" si="3"/>
        <v>-----</v>
      </c>
      <c r="V53" s="1" t="str">
        <f t="shared" si="4"/>
        <v>-----</v>
      </c>
    </row>
    <row r="54" spans="1:22" x14ac:dyDescent="0.55000000000000004">
      <c r="A54">
        <v>50</v>
      </c>
      <c r="B54" t="s">
        <v>53</v>
      </c>
      <c r="C54" t="s">
        <v>4</v>
      </c>
      <c r="D54" t="s">
        <v>103</v>
      </c>
      <c r="E54">
        <v>152.83199999999999</v>
      </c>
      <c r="F54">
        <v>152.773</v>
      </c>
      <c r="G54">
        <v>208</v>
      </c>
      <c r="H54">
        <v>152.83799999999999</v>
      </c>
      <c r="I54">
        <v>152.77600000000001</v>
      </c>
      <c r="J54" s="1"/>
      <c r="K54" s="1" t="str">
        <f>IF(F54&gt;H54,"Bullish Spike","-----")</f>
        <v>-----</v>
      </c>
      <c r="L54" s="1" t="str">
        <f>IF(E54&lt;I54,"Bearish Spike","-----")</f>
        <v>-----</v>
      </c>
      <c r="M54" s="1" t="str">
        <f t="shared" si="0"/>
        <v>-----</v>
      </c>
      <c r="N54" s="1"/>
      <c r="O54" s="2">
        <f>H54-I54</f>
        <v>6.1999999999983402E-2</v>
      </c>
      <c r="P54" s="1">
        <f t="shared" si="1"/>
        <v>-0.31753808753895024</v>
      </c>
      <c r="Q54" s="3" t="str">
        <f t="shared" si="2"/>
        <v>-----</v>
      </c>
      <c r="R54" s="1"/>
      <c r="S54">
        <f>STANDARDIZE(G54,AVERAGE($G$5:$G$103),_xlfn.STDEV.P($G$5:$G$103))</f>
        <v>-0.51911827798026455</v>
      </c>
      <c r="T54" s="1" t="str">
        <f t="shared" si="3"/>
        <v>-----</v>
      </c>
      <c r="V54" s="1" t="str">
        <f t="shared" si="4"/>
        <v>-----</v>
      </c>
    </row>
    <row r="55" spans="1:22" x14ac:dyDescent="0.55000000000000004">
      <c r="A55">
        <v>51</v>
      </c>
      <c r="B55" t="s">
        <v>54</v>
      </c>
      <c r="C55" t="s">
        <v>4</v>
      </c>
      <c r="D55" t="s">
        <v>103</v>
      </c>
      <c r="E55">
        <v>152.833</v>
      </c>
      <c r="F55">
        <v>152.71799999999999</v>
      </c>
      <c r="G55">
        <v>224</v>
      </c>
      <c r="H55">
        <v>152.84399999999999</v>
      </c>
      <c r="I55">
        <v>152.75700000000001</v>
      </c>
      <c r="J55" s="1"/>
      <c r="K55" s="1" t="str">
        <f>IF(F55&gt;H55,"Bullish Spike","-----")</f>
        <v>-----</v>
      </c>
      <c r="L55" s="1" t="str">
        <f>IF(E55&lt;I55,"Bearish Spike","-----")</f>
        <v>-----</v>
      </c>
      <c r="M55" s="1" t="str">
        <f t="shared" si="0"/>
        <v>-----</v>
      </c>
      <c r="N55" s="1"/>
      <c r="O55" s="2">
        <f>H55-I55</f>
        <v>8.6999999999989086E-2</v>
      </c>
      <c r="P55" s="1">
        <f t="shared" si="1"/>
        <v>0.25863989388188074</v>
      </c>
      <c r="Q55" s="3" t="str">
        <f t="shared" si="2"/>
        <v>-----</v>
      </c>
      <c r="R55" s="1"/>
      <c r="S55">
        <f>STANDARDIZE(G55,AVERAGE($G$5:$G$103),_xlfn.STDEV.P($G$5:$G$103))</f>
        <v>-0.41586823374109588</v>
      </c>
      <c r="T55" s="1" t="str">
        <f t="shared" si="3"/>
        <v>-----</v>
      </c>
      <c r="V55" s="1" t="str">
        <f t="shared" si="4"/>
        <v>-----</v>
      </c>
    </row>
    <row r="56" spans="1:22" x14ac:dyDescent="0.55000000000000004">
      <c r="A56">
        <v>52</v>
      </c>
      <c r="B56" t="s">
        <v>55</v>
      </c>
      <c r="C56" t="s">
        <v>4</v>
      </c>
      <c r="D56" t="s">
        <v>103</v>
      </c>
      <c r="E56">
        <v>152.827</v>
      </c>
      <c r="F56">
        <v>152.74700000000001</v>
      </c>
      <c r="G56">
        <v>208</v>
      </c>
      <c r="H56">
        <v>152.84399999999999</v>
      </c>
      <c r="I56">
        <v>152.75899999999999</v>
      </c>
      <c r="J56" s="1"/>
      <c r="K56" s="1" t="str">
        <f>IF(F56&gt;H56,"Bullish Spike","-----")</f>
        <v>-----</v>
      </c>
      <c r="L56" s="1" t="str">
        <f>IF(E56&lt;I56,"Bearish Spike","-----")</f>
        <v>-----</v>
      </c>
      <c r="M56" s="1" t="str">
        <f t="shared" si="0"/>
        <v>-----</v>
      </c>
      <c r="N56" s="1"/>
      <c r="O56" s="2">
        <f>H56-I56</f>
        <v>8.5000000000007958E-2</v>
      </c>
      <c r="P56" s="1">
        <f t="shared" si="1"/>
        <v>0.21254565536865969</v>
      </c>
      <c r="Q56" s="3" t="str">
        <f t="shared" si="2"/>
        <v>-----</v>
      </c>
      <c r="R56" s="1"/>
      <c r="S56">
        <f>STANDARDIZE(G56,AVERAGE($G$5:$G$103),_xlfn.STDEV.P($G$5:$G$103))</f>
        <v>-0.51911827798026455</v>
      </c>
      <c r="T56" s="1" t="str">
        <f t="shared" si="3"/>
        <v>-----</v>
      </c>
      <c r="V56" s="1" t="str">
        <f t="shared" si="4"/>
        <v>-----</v>
      </c>
    </row>
    <row r="57" spans="1:22" x14ac:dyDescent="0.55000000000000004">
      <c r="A57">
        <v>53</v>
      </c>
      <c r="B57" t="s">
        <v>56</v>
      </c>
      <c r="C57" t="s">
        <v>4</v>
      </c>
      <c r="D57" t="s">
        <v>103</v>
      </c>
      <c r="E57">
        <v>152.82400000000001</v>
      </c>
      <c r="F57">
        <v>152.761</v>
      </c>
      <c r="G57">
        <v>227</v>
      </c>
      <c r="H57">
        <v>152.84100000000001</v>
      </c>
      <c r="I57">
        <v>152.76599999999999</v>
      </c>
      <c r="J57" s="1"/>
      <c r="K57" s="1" t="str">
        <f>IF(F57&gt;H57,"Bullish Spike","-----")</f>
        <v>-----</v>
      </c>
      <c r="L57" s="1" t="str">
        <f>IF(E57&lt;I57,"Bearish Spike","-----")</f>
        <v>-----</v>
      </c>
      <c r="M57" s="1" t="str">
        <f t="shared" si="0"/>
        <v>-----</v>
      </c>
      <c r="N57" s="1"/>
      <c r="O57" s="2">
        <f>H57-I57</f>
        <v>7.5000000000017053E-2</v>
      </c>
      <c r="P57" s="1">
        <f t="shared" si="1"/>
        <v>-1.7925537199410691E-2</v>
      </c>
      <c r="Q57" s="3" t="str">
        <f t="shared" si="2"/>
        <v>-----</v>
      </c>
      <c r="R57" s="1"/>
      <c r="S57">
        <f>STANDARDIZE(G57,AVERAGE($G$5:$G$103),_xlfn.STDEV.P($G$5:$G$103))</f>
        <v>-0.39650885044625178</v>
      </c>
      <c r="T57" s="1" t="str">
        <f t="shared" si="3"/>
        <v>-----</v>
      </c>
      <c r="V57" s="1" t="str">
        <f t="shared" si="4"/>
        <v>-----</v>
      </c>
    </row>
    <row r="58" spans="1:22" x14ac:dyDescent="0.55000000000000004">
      <c r="A58">
        <v>54</v>
      </c>
      <c r="B58" t="s">
        <v>57</v>
      </c>
      <c r="C58" t="s">
        <v>4</v>
      </c>
      <c r="D58" t="s">
        <v>103</v>
      </c>
      <c r="E58">
        <v>152.82599999999999</v>
      </c>
      <c r="F58">
        <v>152.768</v>
      </c>
      <c r="G58">
        <v>186</v>
      </c>
      <c r="H58">
        <v>152.84</v>
      </c>
      <c r="I58">
        <v>152.773</v>
      </c>
      <c r="J58" s="1"/>
      <c r="K58" s="1" t="str">
        <f>IF(F58&gt;H58,"Bullish Spike","-----")</f>
        <v>-----</v>
      </c>
      <c r="L58" s="1" t="str">
        <f>IF(E58&lt;I58,"Bearish Spike","-----")</f>
        <v>-----</v>
      </c>
      <c r="M58" s="1" t="str">
        <f t="shared" si="0"/>
        <v>-----</v>
      </c>
      <c r="N58" s="1"/>
      <c r="O58" s="2">
        <f>H58-I58</f>
        <v>6.7000000000007276E-2</v>
      </c>
      <c r="P58" s="1">
        <f t="shared" si="1"/>
        <v>-0.20230249125426</v>
      </c>
      <c r="Q58" s="3" t="str">
        <f t="shared" si="2"/>
        <v>-----</v>
      </c>
      <c r="R58" s="1"/>
      <c r="S58">
        <f>STANDARDIZE(G58,AVERAGE($G$5:$G$103),_xlfn.STDEV.P($G$5:$G$103))</f>
        <v>-0.66108708880912137</v>
      </c>
      <c r="T58" s="1" t="str">
        <f t="shared" si="3"/>
        <v>-----</v>
      </c>
      <c r="V58" s="1" t="str">
        <f t="shared" si="4"/>
        <v>-----</v>
      </c>
    </row>
    <row r="59" spans="1:22" x14ac:dyDescent="0.55000000000000004">
      <c r="A59">
        <v>55</v>
      </c>
      <c r="B59" t="s">
        <v>58</v>
      </c>
      <c r="C59" t="s">
        <v>4</v>
      </c>
      <c r="D59" t="s">
        <v>103</v>
      </c>
      <c r="E59">
        <v>152.82400000000001</v>
      </c>
      <c r="F59">
        <v>152.797</v>
      </c>
      <c r="G59">
        <v>179</v>
      </c>
      <c r="H59">
        <v>152.83799999999999</v>
      </c>
      <c r="I59">
        <v>152.791</v>
      </c>
      <c r="J59" s="1"/>
      <c r="K59" s="1" t="str">
        <f>IF(F59&gt;H59,"Bullish Spike","-----")</f>
        <v>-----</v>
      </c>
      <c r="L59" s="1" t="str">
        <f>IF(E59&lt;I59,"Bearish Spike","-----")</f>
        <v>-----</v>
      </c>
      <c r="M59" s="1" t="str">
        <f t="shared" si="0"/>
        <v>-----</v>
      </c>
      <c r="N59" s="1"/>
      <c r="O59" s="2">
        <f>H59-I59</f>
        <v>4.6999999999997044E-2</v>
      </c>
      <c r="P59" s="1">
        <f t="shared" si="1"/>
        <v>-0.66324487639105578</v>
      </c>
      <c r="Q59" s="3" t="str">
        <f t="shared" si="2"/>
        <v>-----</v>
      </c>
      <c r="R59" s="1"/>
      <c r="S59">
        <f>STANDARDIZE(G59,AVERAGE($G$5:$G$103),_xlfn.STDEV.P($G$5:$G$103))</f>
        <v>-0.70625898316375768</v>
      </c>
      <c r="T59" s="1" t="str">
        <f t="shared" si="3"/>
        <v>-----</v>
      </c>
      <c r="V59" s="1" t="str">
        <f t="shared" si="4"/>
        <v>-----</v>
      </c>
    </row>
    <row r="60" spans="1:22" x14ac:dyDescent="0.55000000000000004">
      <c r="A60">
        <v>56</v>
      </c>
      <c r="B60" t="s">
        <v>59</v>
      </c>
      <c r="C60" t="s">
        <v>4</v>
      </c>
      <c r="D60" t="s">
        <v>103</v>
      </c>
      <c r="E60">
        <v>152.84899999999999</v>
      </c>
      <c r="F60">
        <v>152.80099999999999</v>
      </c>
      <c r="G60">
        <v>167</v>
      </c>
      <c r="H60">
        <v>152.84800000000001</v>
      </c>
      <c r="I60">
        <v>152.804</v>
      </c>
      <c r="J60" s="1"/>
      <c r="K60" s="1" t="str">
        <f>IF(F60&gt;H60,"Bullish Spike","-----")</f>
        <v>-----</v>
      </c>
      <c r="L60" s="1" t="str">
        <f>IF(E60&lt;I60,"Bearish Spike","-----")</f>
        <v>-----</v>
      </c>
      <c r="M60" s="1" t="str">
        <f t="shared" si="0"/>
        <v>-----</v>
      </c>
      <c r="N60" s="1"/>
      <c r="O60" s="2">
        <f>H60-I60</f>
        <v>4.4000000000011141E-2</v>
      </c>
      <c r="P60" s="1">
        <f t="shared" si="1"/>
        <v>-0.73238623416121484</v>
      </c>
      <c r="Q60" s="3" t="str">
        <f t="shared" si="2"/>
        <v>-----</v>
      </c>
      <c r="R60" s="1"/>
      <c r="S60">
        <f>STANDARDIZE(G60,AVERAGE($G$5:$G$103),_xlfn.STDEV.P($G$5:$G$103))</f>
        <v>-0.78369651634313409</v>
      </c>
      <c r="T60" s="1" t="str">
        <f t="shared" si="3"/>
        <v>-----</v>
      </c>
      <c r="V60" s="1" t="str">
        <f t="shared" si="4"/>
        <v>-----</v>
      </c>
    </row>
    <row r="61" spans="1:22" x14ac:dyDescent="0.55000000000000004">
      <c r="A61">
        <v>57</v>
      </c>
      <c r="B61" t="s">
        <v>60</v>
      </c>
      <c r="C61" t="s">
        <v>4</v>
      </c>
      <c r="D61" t="s">
        <v>103</v>
      </c>
      <c r="E61">
        <v>152.87299999999999</v>
      </c>
      <c r="F61">
        <v>152.83799999999999</v>
      </c>
      <c r="G61">
        <v>151</v>
      </c>
      <c r="H61">
        <v>152.86500000000001</v>
      </c>
      <c r="I61">
        <v>152.82900000000001</v>
      </c>
      <c r="J61" s="1"/>
      <c r="K61" s="1" t="str">
        <f>IF(F61&gt;H61,"Bullish Spike","-----")</f>
        <v>-----</v>
      </c>
      <c r="L61" s="1" t="str">
        <f>IF(E61&lt;I61,"Bearish Spike","-----")</f>
        <v>-----</v>
      </c>
      <c r="M61" s="1" t="str">
        <f t="shared" si="0"/>
        <v>-----</v>
      </c>
      <c r="N61" s="1"/>
      <c r="O61" s="2">
        <f>H61-I61</f>
        <v>3.6000000000001364E-2</v>
      </c>
      <c r="P61" s="1">
        <f t="shared" si="1"/>
        <v>-0.91676318821606417</v>
      </c>
      <c r="Q61" s="3" t="str">
        <f t="shared" si="2"/>
        <v>-----</v>
      </c>
      <c r="R61" s="1"/>
      <c r="S61">
        <f>STANDARDIZE(G61,AVERAGE($G$5:$G$103),_xlfn.STDEV.P($G$5:$G$103))</f>
        <v>-0.8869465605823027</v>
      </c>
      <c r="T61" s="1" t="str">
        <f t="shared" si="3"/>
        <v>-----</v>
      </c>
      <c r="V61" s="1" t="str">
        <f t="shared" si="4"/>
        <v>-----</v>
      </c>
    </row>
    <row r="62" spans="1:22" x14ac:dyDescent="0.55000000000000004">
      <c r="A62">
        <v>58</v>
      </c>
      <c r="B62" t="s">
        <v>61</v>
      </c>
      <c r="C62" t="s">
        <v>4</v>
      </c>
      <c r="D62" t="s">
        <v>103</v>
      </c>
      <c r="E62">
        <v>152.86500000000001</v>
      </c>
      <c r="F62">
        <v>152.81200000000001</v>
      </c>
      <c r="G62">
        <v>157</v>
      </c>
      <c r="H62">
        <v>152.87200000000001</v>
      </c>
      <c r="I62">
        <v>152.83000000000001</v>
      </c>
      <c r="J62" s="1"/>
      <c r="K62" s="1" t="str">
        <f>IF(F62&gt;H62,"Bullish Spike","-----")</f>
        <v>-----</v>
      </c>
      <c r="L62" s="1" t="str">
        <f>IF(E62&lt;I62,"Bearish Spike","-----")</f>
        <v>-----</v>
      </c>
      <c r="M62" s="1" t="str">
        <f t="shared" si="0"/>
        <v>-----</v>
      </c>
      <c r="N62" s="1"/>
      <c r="O62" s="2">
        <f>H62-I62</f>
        <v>4.2000000000001592E-2</v>
      </c>
      <c r="P62" s="1">
        <f t="shared" si="1"/>
        <v>-0.77848047267509102</v>
      </c>
      <c r="Q62" s="3" t="str">
        <f t="shared" si="2"/>
        <v>-----</v>
      </c>
      <c r="R62" s="1"/>
      <c r="S62">
        <f>STANDARDIZE(G62,AVERAGE($G$5:$G$103),_xlfn.STDEV.P($G$5:$G$103))</f>
        <v>-0.8482277939926145</v>
      </c>
      <c r="T62" s="1" t="str">
        <f t="shared" si="3"/>
        <v>-----</v>
      </c>
      <c r="V62" s="1" t="str">
        <f t="shared" si="4"/>
        <v>-----</v>
      </c>
    </row>
    <row r="63" spans="1:22" x14ac:dyDescent="0.55000000000000004">
      <c r="A63">
        <v>59</v>
      </c>
      <c r="B63" t="s">
        <v>62</v>
      </c>
      <c r="C63" t="s">
        <v>4</v>
      </c>
      <c r="D63" t="s">
        <v>103</v>
      </c>
      <c r="E63">
        <v>152.82300000000001</v>
      </c>
      <c r="F63">
        <v>152.80500000000001</v>
      </c>
      <c r="G63">
        <v>144</v>
      </c>
      <c r="H63">
        <v>152.85400000000001</v>
      </c>
      <c r="I63">
        <v>152.827</v>
      </c>
      <c r="J63" s="1"/>
      <c r="K63" s="1" t="str">
        <f>IF(F63&gt;H63,"Bullish Spike","-----")</f>
        <v>-----</v>
      </c>
      <c r="L63" s="1" t="str">
        <f>IF(E63&lt;I63,"Bearish Spike","-----")</f>
        <v>Bearish Spike</v>
      </c>
      <c r="M63" s="1" t="str">
        <f t="shared" si="0"/>
        <v>Bearish Spike</v>
      </c>
      <c r="N63" s="1"/>
      <c r="O63" s="2">
        <f>H63-I63</f>
        <v>2.7000000000015234E-2</v>
      </c>
      <c r="P63" s="1">
        <f t="shared" si="1"/>
        <v>-1.1241872615271966</v>
      </c>
      <c r="Q63" s="3" t="str">
        <f t="shared" si="2"/>
        <v>-----</v>
      </c>
      <c r="R63" s="1"/>
      <c r="S63">
        <f>STANDARDIZE(G63,AVERAGE($G$5:$G$103),_xlfn.STDEV.P($G$5:$G$103))</f>
        <v>-0.93211845493693901</v>
      </c>
      <c r="T63" s="1" t="str">
        <f t="shared" si="3"/>
        <v>-----</v>
      </c>
      <c r="V63" s="1" t="str">
        <f t="shared" si="4"/>
        <v>High Volatility</v>
      </c>
    </row>
    <row r="64" spans="1:22" x14ac:dyDescent="0.55000000000000004">
      <c r="A64">
        <v>60</v>
      </c>
      <c r="B64" t="s">
        <v>63</v>
      </c>
      <c r="C64" t="s">
        <v>4</v>
      </c>
      <c r="D64" t="s">
        <v>103</v>
      </c>
      <c r="E64">
        <v>152.85900000000001</v>
      </c>
      <c r="F64">
        <v>152.81100000000001</v>
      </c>
      <c r="G64">
        <v>129</v>
      </c>
      <c r="H64">
        <v>152.86000000000001</v>
      </c>
      <c r="I64">
        <v>152.82599999999999</v>
      </c>
      <c r="J64" s="1"/>
      <c r="K64" s="1" t="str">
        <f>IF(F64&gt;H64,"Bullish Spike","-----")</f>
        <v>-----</v>
      </c>
      <c r="L64" s="1" t="str">
        <f>IF(E64&lt;I64,"Bearish Spike","-----")</f>
        <v>-----</v>
      </c>
      <c r="M64" s="1" t="str">
        <f t="shared" si="0"/>
        <v>-----</v>
      </c>
      <c r="N64" s="1"/>
      <c r="O64" s="2">
        <f>H64-I64</f>
        <v>3.4000000000020236E-2</v>
      </c>
      <c r="P64" s="1">
        <f t="shared" si="1"/>
        <v>-0.96285742672928532</v>
      </c>
      <c r="Q64" s="3" t="str">
        <f t="shared" si="2"/>
        <v>-----</v>
      </c>
      <c r="R64" s="1"/>
      <c r="S64">
        <f>STANDARDIZE(G64,AVERAGE($G$5:$G$103),_xlfn.STDEV.P($G$5:$G$103))</f>
        <v>-1.0289153714111596</v>
      </c>
      <c r="T64" s="1" t="str">
        <f t="shared" si="3"/>
        <v>-----</v>
      </c>
      <c r="V64" s="1" t="str">
        <f t="shared" si="4"/>
        <v>-----</v>
      </c>
    </row>
    <row r="65" spans="1:22" x14ac:dyDescent="0.55000000000000004">
      <c r="A65">
        <v>61</v>
      </c>
      <c r="B65" t="s">
        <v>64</v>
      </c>
      <c r="C65" t="s">
        <v>4</v>
      </c>
      <c r="D65" t="s">
        <v>103</v>
      </c>
      <c r="E65">
        <v>152.84899999999999</v>
      </c>
      <c r="F65">
        <v>152.803</v>
      </c>
      <c r="G65">
        <v>151</v>
      </c>
      <c r="H65">
        <v>152.858</v>
      </c>
      <c r="I65">
        <v>152.82</v>
      </c>
      <c r="J65" s="1"/>
      <c r="K65" s="1" t="str">
        <f>IF(F65&gt;H65,"Bullish Spike","-----")</f>
        <v>-----</v>
      </c>
      <c r="L65" s="1" t="str">
        <f>IF(E65&lt;I65,"Bearish Spike","-----")</f>
        <v>-----</v>
      </c>
      <c r="M65" s="1" t="str">
        <f t="shared" si="0"/>
        <v>-----</v>
      </c>
      <c r="N65" s="1"/>
      <c r="O65" s="2">
        <f>H65-I65</f>
        <v>3.8000000000010914E-2</v>
      </c>
      <c r="P65" s="1">
        <f t="shared" si="1"/>
        <v>-0.87066894970218811</v>
      </c>
      <c r="Q65" s="3" t="str">
        <f t="shared" si="2"/>
        <v>-----</v>
      </c>
      <c r="R65" s="1"/>
      <c r="S65">
        <f>STANDARDIZE(G65,AVERAGE($G$5:$G$103),_xlfn.STDEV.P($G$5:$G$103))</f>
        <v>-0.8869465605823027</v>
      </c>
      <c r="T65" s="1" t="str">
        <f t="shared" si="3"/>
        <v>-----</v>
      </c>
      <c r="V65" s="1" t="str">
        <f t="shared" si="4"/>
        <v>-----</v>
      </c>
    </row>
    <row r="66" spans="1:22" x14ac:dyDescent="0.55000000000000004">
      <c r="A66">
        <v>62</v>
      </c>
      <c r="B66" t="s">
        <v>65</v>
      </c>
      <c r="C66" t="s">
        <v>4</v>
      </c>
      <c r="D66" t="s">
        <v>103</v>
      </c>
      <c r="E66">
        <v>152.84</v>
      </c>
      <c r="F66">
        <v>152.803</v>
      </c>
      <c r="G66">
        <v>100</v>
      </c>
      <c r="H66">
        <v>152.852</v>
      </c>
      <c r="I66">
        <v>152.816</v>
      </c>
      <c r="J66" s="1"/>
      <c r="K66" s="1" t="str">
        <f>IF(F66&gt;H66,"Bullish Spike","-----")</f>
        <v>-----</v>
      </c>
      <c r="L66" s="1" t="str">
        <f>IF(E66&lt;I66,"Bearish Spike","-----")</f>
        <v>-----</v>
      </c>
      <c r="M66" s="1" t="str">
        <f t="shared" si="0"/>
        <v>-----</v>
      </c>
      <c r="N66" s="1"/>
      <c r="O66" s="2">
        <f>H66-I66</f>
        <v>3.6000000000001364E-2</v>
      </c>
      <c r="P66" s="1">
        <f t="shared" si="1"/>
        <v>-0.91676318821606417</v>
      </c>
      <c r="Q66" s="3" t="str">
        <f t="shared" si="2"/>
        <v>-----</v>
      </c>
      <c r="R66" s="1"/>
      <c r="S66">
        <f>STANDARDIZE(G66,AVERAGE($G$5:$G$103),_xlfn.STDEV.P($G$5:$G$103))</f>
        <v>-1.2160560765946526</v>
      </c>
      <c r="T66" s="1" t="str">
        <f t="shared" si="3"/>
        <v>-----</v>
      </c>
      <c r="V66" s="1" t="str">
        <f t="shared" si="4"/>
        <v>-----</v>
      </c>
    </row>
    <row r="67" spans="1:22" x14ac:dyDescent="0.55000000000000004">
      <c r="A67">
        <v>63</v>
      </c>
      <c r="B67" t="s">
        <v>66</v>
      </c>
      <c r="C67" t="s">
        <v>4</v>
      </c>
      <c r="D67" t="s">
        <v>103</v>
      </c>
      <c r="E67">
        <v>152.88800000000001</v>
      </c>
      <c r="F67">
        <v>152.83600000000001</v>
      </c>
      <c r="G67">
        <v>172</v>
      </c>
      <c r="H67">
        <v>152.87200000000001</v>
      </c>
      <c r="I67">
        <v>152.82900000000001</v>
      </c>
      <c r="J67" s="1"/>
      <c r="K67" s="1" t="str">
        <f>IF(F67&gt;H67,"Bullish Spike","-----")</f>
        <v>-----</v>
      </c>
      <c r="L67" s="1" t="str">
        <f>IF(E67&lt;I67,"Bearish Spike","-----")</f>
        <v>-----</v>
      </c>
      <c r="M67" s="1" t="str">
        <f t="shared" si="0"/>
        <v>-----</v>
      </c>
      <c r="N67" s="1"/>
      <c r="O67" s="2">
        <f>H67-I67</f>
        <v>4.3000000000006366E-2</v>
      </c>
      <c r="P67" s="1">
        <f t="shared" si="1"/>
        <v>-0.75543335341815299</v>
      </c>
      <c r="Q67" s="3" t="str">
        <f t="shared" si="2"/>
        <v>-----</v>
      </c>
      <c r="R67" s="1"/>
      <c r="S67">
        <f>STANDARDIZE(G67,AVERAGE($G$5:$G$103),_xlfn.STDEV.P($G$5:$G$103))</f>
        <v>-0.75143087751839388</v>
      </c>
      <c r="T67" s="1" t="str">
        <f t="shared" si="3"/>
        <v>-----</v>
      </c>
      <c r="V67" s="1" t="str">
        <f t="shared" si="4"/>
        <v>-----</v>
      </c>
    </row>
    <row r="68" spans="1:22" x14ac:dyDescent="0.55000000000000004">
      <c r="A68" s="4">
        <v>64</v>
      </c>
      <c r="B68" s="4" t="s">
        <v>67</v>
      </c>
      <c r="C68" s="4" t="s">
        <v>4</v>
      </c>
      <c r="D68" s="4" t="s">
        <v>103</v>
      </c>
      <c r="E68" s="4">
        <v>152.876</v>
      </c>
      <c r="F68" s="4">
        <v>152.81899999999999</v>
      </c>
      <c r="G68" s="4">
        <v>195</v>
      </c>
      <c r="H68" s="4">
        <v>152.87700000000001</v>
      </c>
      <c r="I68" s="4">
        <v>152.828</v>
      </c>
      <c r="J68" s="1"/>
      <c r="K68" s="1" t="str">
        <f>IF(F68&gt;H68,"Bullish Spike","-----")</f>
        <v>-----</v>
      </c>
      <c r="L68" s="1" t="str">
        <f>IF(E68&lt;I68,"Bearish Spike","-----")</f>
        <v>-----</v>
      </c>
      <c r="M68" s="1" t="str">
        <f t="shared" si="0"/>
        <v>-----</v>
      </c>
      <c r="N68" s="1"/>
      <c r="O68" s="2">
        <f>H68-I68</f>
        <v>4.9000000000006594E-2</v>
      </c>
      <c r="P68" s="1">
        <f t="shared" si="1"/>
        <v>-0.61715063787717972</v>
      </c>
      <c r="Q68" s="3" t="str">
        <f t="shared" si="2"/>
        <v>-----</v>
      </c>
      <c r="R68" s="1"/>
      <c r="S68">
        <f>STANDARDIZE(G68,AVERAGE($G$5:$G$103),_xlfn.STDEV.P($G$5:$G$103))</f>
        <v>-0.60300893892458907</v>
      </c>
      <c r="T68" s="1" t="str">
        <f t="shared" si="3"/>
        <v>-----</v>
      </c>
      <c r="V68" s="1" t="str">
        <f t="shared" si="4"/>
        <v>-----</v>
      </c>
    </row>
    <row r="69" spans="1:22" x14ac:dyDescent="0.55000000000000004">
      <c r="A69" s="4">
        <v>65</v>
      </c>
      <c r="B69" s="4" t="s">
        <v>68</v>
      </c>
      <c r="C69" s="4" t="s">
        <v>4</v>
      </c>
      <c r="D69" s="4" t="s">
        <v>103</v>
      </c>
      <c r="E69" s="4">
        <v>152.85599999999999</v>
      </c>
      <c r="F69" s="4">
        <v>152.816</v>
      </c>
      <c r="G69" s="4">
        <v>180</v>
      </c>
      <c r="H69" s="4">
        <v>152.87100000000001</v>
      </c>
      <c r="I69" s="4">
        <v>152.82499999999999</v>
      </c>
      <c r="J69" s="1"/>
      <c r="K69" s="1" t="str">
        <f>IF(F69&gt;H69,"Bullish Spike","-----")</f>
        <v>-----</v>
      </c>
      <c r="L69" s="1" t="str">
        <f>IF(E69&lt;I69,"Bearish Spike","-----")</f>
        <v>-----</v>
      </c>
      <c r="M69" s="1" t="str">
        <f t="shared" si="0"/>
        <v>-----</v>
      </c>
      <c r="N69" s="1"/>
      <c r="O69" s="2">
        <f>H69-I69</f>
        <v>4.6000000000020691E-2</v>
      </c>
      <c r="P69" s="1">
        <f t="shared" si="1"/>
        <v>-0.68629199564733878</v>
      </c>
      <c r="Q69" s="3" t="str">
        <f t="shared" si="2"/>
        <v>-----</v>
      </c>
      <c r="R69" s="1"/>
      <c r="S69">
        <f>STANDARDIZE(G69,AVERAGE($G$5:$G$103),_xlfn.STDEV.P($G$5:$G$103))</f>
        <v>-0.69980585539880957</v>
      </c>
      <c r="T69" s="1" t="str">
        <f t="shared" si="3"/>
        <v>-----</v>
      </c>
      <c r="V69" s="1" t="str">
        <f t="shared" si="4"/>
        <v>-----</v>
      </c>
    </row>
    <row r="70" spans="1:22" x14ac:dyDescent="0.55000000000000004">
      <c r="A70" s="4">
        <v>66</v>
      </c>
      <c r="B70" s="4" t="s">
        <v>69</v>
      </c>
      <c r="C70" s="4" t="s">
        <v>4</v>
      </c>
      <c r="D70" s="4" t="s">
        <v>103</v>
      </c>
      <c r="E70" s="4">
        <v>152.85300000000001</v>
      </c>
      <c r="F70" s="4">
        <v>152.798</v>
      </c>
      <c r="G70" s="4">
        <v>146</v>
      </c>
      <c r="H70" s="4">
        <v>152.86500000000001</v>
      </c>
      <c r="I70" s="4">
        <v>152.81399999999999</v>
      </c>
      <c r="J70" s="1"/>
      <c r="K70" s="1" t="str">
        <f>IF(F70&gt;H70,"Bullish Spike","-----")</f>
        <v>-----</v>
      </c>
      <c r="L70" s="1" t="str">
        <f>IF(E70&lt;I70,"Bearish Spike","-----")</f>
        <v>-----</v>
      </c>
      <c r="M70" s="1" t="str">
        <f t="shared" ref="M70:M103" si="5">IF(F70&gt;H70,"Bullish Spike",IF(E70&lt;I70,"Bearish Spike","-----"))</f>
        <v>-----</v>
      </c>
      <c r="N70" s="1"/>
      <c r="O70" s="2">
        <f>H70-I70</f>
        <v>5.1000000000016144E-2</v>
      </c>
      <c r="P70" s="1">
        <f t="shared" ref="P70:P103" si="6">STANDARDIZE(O70,AVERAGE($O$5:$O$103),_xlfn.STDEV.P($O$5:$O$103))</f>
        <v>-0.57105639936330366</v>
      </c>
      <c r="Q70" s="3" t="str">
        <f t="shared" ref="Q70:Q103" si="7">IF(P70&gt;=PERCENTILE($P$5:$P$103,90%),"Price Distribution","-----")</f>
        <v>-----</v>
      </c>
      <c r="R70" s="1"/>
      <c r="S70">
        <f>STANDARDIZE(G70,AVERAGE($G$5:$G$103),_xlfn.STDEV.P($G$5:$G$103))</f>
        <v>-0.91921219940704291</v>
      </c>
      <c r="T70" s="1" t="str">
        <f t="shared" ref="T70:T103" si="8">IF(S70&gt;=PERCENTILE($S$5:$S$103,90%),"High Volume","-----")</f>
        <v>-----</v>
      </c>
      <c r="V70" s="1" t="str">
        <f t="shared" ref="V70:V103" si="9">IF(OR(M70&lt;&gt;"-----",Q70&lt;&gt;"-----",T70&lt;&gt;"-----"),"High Volatility","-----")</f>
        <v>-----</v>
      </c>
    </row>
    <row r="71" spans="1:22" x14ac:dyDescent="0.55000000000000004">
      <c r="A71">
        <v>67</v>
      </c>
      <c r="B71" t="s">
        <v>70</v>
      </c>
      <c r="C71" t="s">
        <v>4</v>
      </c>
      <c r="D71" t="s">
        <v>103</v>
      </c>
      <c r="E71">
        <v>152.815</v>
      </c>
      <c r="F71">
        <v>152.80000000000001</v>
      </c>
      <c r="G71">
        <v>149</v>
      </c>
      <c r="H71">
        <v>152.84200000000001</v>
      </c>
      <c r="I71">
        <v>152.80699999999999</v>
      </c>
      <c r="J71" s="1"/>
      <c r="K71" s="1" t="str">
        <f>IF(F71&gt;H71,"Bullish Spike","-----")</f>
        <v>-----</v>
      </c>
      <c r="L71" s="1" t="str">
        <f>IF(E71&lt;I71,"Bearish Spike","-----")</f>
        <v>-----</v>
      </c>
      <c r="M71" s="1" t="str">
        <f t="shared" si="5"/>
        <v>-----</v>
      </c>
      <c r="N71" s="1"/>
      <c r="O71" s="2">
        <f>H71-I71</f>
        <v>3.5000000000025011E-2</v>
      </c>
      <c r="P71" s="1">
        <f t="shared" si="6"/>
        <v>-0.93981030747234717</v>
      </c>
      <c r="Q71" s="3" t="str">
        <f t="shared" si="7"/>
        <v>-----</v>
      </c>
      <c r="R71" s="1"/>
      <c r="S71">
        <f>STANDARDIZE(G71,AVERAGE($G$5:$G$103),_xlfn.STDEV.P($G$5:$G$103))</f>
        <v>-0.89985281611219881</v>
      </c>
      <c r="T71" s="1" t="str">
        <f t="shared" si="8"/>
        <v>-----</v>
      </c>
      <c r="V71" s="1" t="str">
        <f t="shared" si="9"/>
        <v>-----</v>
      </c>
    </row>
    <row r="72" spans="1:22" x14ac:dyDescent="0.55000000000000004">
      <c r="A72">
        <v>68</v>
      </c>
      <c r="B72" t="s">
        <v>71</v>
      </c>
      <c r="C72" t="s">
        <v>4</v>
      </c>
      <c r="D72" t="s">
        <v>103</v>
      </c>
      <c r="E72">
        <v>152.82300000000001</v>
      </c>
      <c r="F72">
        <v>152.809</v>
      </c>
      <c r="G72">
        <v>147</v>
      </c>
      <c r="H72">
        <v>152.83099999999999</v>
      </c>
      <c r="I72">
        <v>152.80799999999999</v>
      </c>
      <c r="J72" s="1"/>
      <c r="K72" s="1" t="str">
        <f>IF(F72&gt;H72,"Bullish Spike","-----")</f>
        <v>-----</v>
      </c>
      <c r="L72" s="1" t="str">
        <f>IF(E72&lt;I72,"Bearish Spike","-----")</f>
        <v>-----</v>
      </c>
      <c r="M72" s="1" t="str">
        <f t="shared" si="5"/>
        <v>-----</v>
      </c>
      <c r="N72" s="1"/>
      <c r="O72" s="2">
        <f>H72-I72</f>
        <v>2.2999999999996135E-2</v>
      </c>
      <c r="P72" s="1">
        <f t="shared" si="6"/>
        <v>-1.2163757385549487</v>
      </c>
      <c r="Q72" s="3" t="str">
        <f t="shared" si="7"/>
        <v>-----</v>
      </c>
      <c r="R72" s="1"/>
      <c r="S72">
        <f>STANDARDIZE(G72,AVERAGE($G$5:$G$103),_xlfn.STDEV.P($G$5:$G$103))</f>
        <v>-0.91275907164209491</v>
      </c>
      <c r="T72" s="1" t="str">
        <f t="shared" si="8"/>
        <v>-----</v>
      </c>
      <c r="V72" s="1" t="str">
        <f t="shared" si="9"/>
        <v>-----</v>
      </c>
    </row>
    <row r="73" spans="1:22" x14ac:dyDescent="0.55000000000000004">
      <c r="A73">
        <v>69</v>
      </c>
      <c r="B73" t="s">
        <v>72</v>
      </c>
      <c r="C73" t="s">
        <v>4</v>
      </c>
      <c r="D73" t="s">
        <v>103</v>
      </c>
      <c r="E73">
        <v>152.815</v>
      </c>
      <c r="F73">
        <v>152.76599999999999</v>
      </c>
      <c r="G73">
        <v>167</v>
      </c>
      <c r="H73">
        <v>152.82</v>
      </c>
      <c r="I73">
        <v>152.78700000000001</v>
      </c>
      <c r="J73" s="1"/>
      <c r="K73" s="1" t="str">
        <f>IF(F73&gt;H73,"Bullish Spike","-----")</f>
        <v>-----</v>
      </c>
      <c r="L73" s="1" t="str">
        <f>IF(E73&lt;I73,"Bearish Spike","-----")</f>
        <v>-----</v>
      </c>
      <c r="M73" s="1" t="str">
        <f t="shared" si="5"/>
        <v>-----</v>
      </c>
      <c r="N73" s="1"/>
      <c r="O73" s="2">
        <f>H73-I73</f>
        <v>3.299999999998704E-2</v>
      </c>
      <c r="P73" s="1">
        <f t="shared" si="6"/>
        <v>-0.98590454598687838</v>
      </c>
      <c r="Q73" s="3" t="str">
        <f t="shared" si="7"/>
        <v>-----</v>
      </c>
      <c r="R73" s="1"/>
      <c r="S73">
        <f>STANDARDIZE(G73,AVERAGE($G$5:$G$103),_xlfn.STDEV.P($G$5:$G$103))</f>
        <v>-0.78369651634313409</v>
      </c>
      <c r="T73" s="1" t="str">
        <f t="shared" si="8"/>
        <v>-----</v>
      </c>
      <c r="V73" s="1" t="str">
        <f t="shared" si="9"/>
        <v>-----</v>
      </c>
    </row>
    <row r="74" spans="1:22" x14ac:dyDescent="0.55000000000000004">
      <c r="A74">
        <v>70</v>
      </c>
      <c r="B74" t="s">
        <v>73</v>
      </c>
      <c r="C74" t="s">
        <v>4</v>
      </c>
      <c r="D74" t="s">
        <v>103</v>
      </c>
      <c r="E74">
        <v>152.79</v>
      </c>
      <c r="F74">
        <v>152.76599999999999</v>
      </c>
      <c r="G74">
        <v>153</v>
      </c>
      <c r="H74">
        <v>152.80199999999999</v>
      </c>
      <c r="I74">
        <v>152.773</v>
      </c>
      <c r="J74" s="1"/>
      <c r="K74" s="1" t="str">
        <f>IF(F74&gt;H74,"Bullish Spike","-----")</f>
        <v>-----</v>
      </c>
      <c r="L74" s="1" t="str">
        <f>IF(E74&lt;I74,"Bearish Spike","-----")</f>
        <v>-----</v>
      </c>
      <c r="M74" s="1" t="str">
        <f t="shared" si="5"/>
        <v>-----</v>
      </c>
      <c r="N74" s="1"/>
      <c r="O74" s="2">
        <f>H74-I74</f>
        <v>2.8999999999996362E-2</v>
      </c>
      <c r="P74" s="1">
        <f t="shared" si="6"/>
        <v>-1.0780930230139756</v>
      </c>
      <c r="Q74" s="3" t="str">
        <f t="shared" si="7"/>
        <v>-----</v>
      </c>
      <c r="R74" s="1"/>
      <c r="S74">
        <f>STANDARDIZE(G74,AVERAGE($G$5:$G$103),_xlfn.STDEV.P($G$5:$G$103))</f>
        <v>-0.8740403050524066</v>
      </c>
      <c r="T74" s="1" t="str">
        <f t="shared" si="8"/>
        <v>-----</v>
      </c>
      <c r="V74" s="1" t="str">
        <f t="shared" si="9"/>
        <v>-----</v>
      </c>
    </row>
    <row r="75" spans="1:22" x14ac:dyDescent="0.55000000000000004">
      <c r="A75">
        <v>71</v>
      </c>
      <c r="B75" t="s">
        <v>74</v>
      </c>
      <c r="C75" t="s">
        <v>4</v>
      </c>
      <c r="D75" t="s">
        <v>103</v>
      </c>
      <c r="E75">
        <v>152.792</v>
      </c>
      <c r="F75">
        <v>152.74199999999999</v>
      </c>
      <c r="G75">
        <v>144</v>
      </c>
      <c r="H75">
        <v>152.792</v>
      </c>
      <c r="I75">
        <v>152.75399999999999</v>
      </c>
      <c r="J75" s="1"/>
      <c r="K75" s="1" t="str">
        <f>IF(F75&gt;H75,"Bullish Spike","-----")</f>
        <v>-----</v>
      </c>
      <c r="L75" s="1" t="str">
        <f>IF(E75&lt;I75,"Bearish Spike","-----")</f>
        <v>-----</v>
      </c>
      <c r="M75" s="1" t="str">
        <f t="shared" si="5"/>
        <v>-----</v>
      </c>
      <c r="N75" s="1"/>
      <c r="O75" s="2">
        <f>H75-I75</f>
        <v>3.8000000000010914E-2</v>
      </c>
      <c r="P75" s="1">
        <f t="shared" si="6"/>
        <v>-0.87066894970218811</v>
      </c>
      <c r="Q75" s="3" t="str">
        <f t="shared" si="7"/>
        <v>-----</v>
      </c>
      <c r="R75" s="1"/>
      <c r="S75">
        <f>STANDARDIZE(G75,AVERAGE($G$5:$G$103),_xlfn.STDEV.P($G$5:$G$103))</f>
        <v>-0.93211845493693901</v>
      </c>
      <c r="T75" s="1" t="str">
        <f t="shared" si="8"/>
        <v>-----</v>
      </c>
      <c r="V75" s="1" t="str">
        <f t="shared" si="9"/>
        <v>-----</v>
      </c>
    </row>
    <row r="76" spans="1:22" x14ac:dyDescent="0.55000000000000004">
      <c r="A76">
        <v>72</v>
      </c>
      <c r="B76" t="s">
        <v>75</v>
      </c>
      <c r="C76" t="s">
        <v>4</v>
      </c>
      <c r="D76" t="s">
        <v>103</v>
      </c>
      <c r="E76">
        <v>152.76499999999999</v>
      </c>
      <c r="F76">
        <v>152.72999999999999</v>
      </c>
      <c r="G76">
        <v>193</v>
      </c>
      <c r="H76">
        <v>152.773</v>
      </c>
      <c r="I76">
        <v>152.73599999999999</v>
      </c>
      <c r="J76" s="1"/>
      <c r="K76" s="1" t="str">
        <f>IF(F76&gt;H76,"Bullish Spike","-----")</f>
        <v>-----</v>
      </c>
      <c r="L76" s="1" t="str">
        <f>IF(E76&lt;I76,"Bearish Spike","-----")</f>
        <v>-----</v>
      </c>
      <c r="M76" s="1" t="str">
        <f t="shared" si="5"/>
        <v>-----</v>
      </c>
      <c r="N76" s="1"/>
      <c r="O76" s="2">
        <f>H76-I76</f>
        <v>3.7000000000006139E-2</v>
      </c>
      <c r="P76" s="1">
        <f t="shared" si="6"/>
        <v>-0.89371606895912614</v>
      </c>
      <c r="Q76" s="3" t="str">
        <f t="shared" si="7"/>
        <v>-----</v>
      </c>
      <c r="R76" s="1"/>
      <c r="S76">
        <f>STANDARDIZE(G76,AVERAGE($G$5:$G$103),_xlfn.STDEV.P($G$5:$G$103))</f>
        <v>-0.61591519445448506</v>
      </c>
      <c r="T76" s="1" t="str">
        <f t="shared" si="8"/>
        <v>-----</v>
      </c>
      <c r="V76" s="1" t="str">
        <f t="shared" si="9"/>
        <v>-----</v>
      </c>
    </row>
    <row r="77" spans="1:22" x14ac:dyDescent="0.55000000000000004">
      <c r="A77">
        <v>73</v>
      </c>
      <c r="B77" t="s">
        <v>76</v>
      </c>
      <c r="C77" t="s">
        <v>4</v>
      </c>
      <c r="D77" t="s">
        <v>103</v>
      </c>
      <c r="E77">
        <v>152.762</v>
      </c>
      <c r="F77">
        <v>152.733</v>
      </c>
      <c r="G77">
        <v>249</v>
      </c>
      <c r="H77">
        <v>152.761</v>
      </c>
      <c r="I77">
        <v>152.72800000000001</v>
      </c>
      <c r="J77" s="1"/>
      <c r="K77" s="1" t="str">
        <f>IF(F77&gt;H77,"Bullish Spike","-----")</f>
        <v>-----</v>
      </c>
      <c r="L77" s="1" t="str">
        <f>IF(E77&lt;I77,"Bearish Spike","-----")</f>
        <v>-----</v>
      </c>
      <c r="M77" s="1" t="str">
        <f t="shared" si="5"/>
        <v>-----</v>
      </c>
      <c r="N77" s="1"/>
      <c r="O77" s="2">
        <f>H77-I77</f>
        <v>3.299999999998704E-2</v>
      </c>
      <c r="P77" s="1">
        <f t="shared" si="6"/>
        <v>-0.98590454598687838</v>
      </c>
      <c r="Q77" s="3" t="str">
        <f t="shared" si="7"/>
        <v>-----</v>
      </c>
      <c r="R77" s="1"/>
      <c r="S77">
        <f>STANDARDIZE(G77,AVERAGE($G$5:$G$103),_xlfn.STDEV.P($G$5:$G$103))</f>
        <v>-0.25454003961739496</v>
      </c>
      <c r="T77" s="1" t="str">
        <f t="shared" si="8"/>
        <v>-----</v>
      </c>
      <c r="V77" s="1" t="str">
        <f t="shared" si="9"/>
        <v>-----</v>
      </c>
    </row>
    <row r="78" spans="1:22" x14ac:dyDescent="0.55000000000000004">
      <c r="A78">
        <v>74</v>
      </c>
      <c r="B78" t="s">
        <v>77</v>
      </c>
      <c r="C78" t="s">
        <v>4</v>
      </c>
      <c r="D78" t="s">
        <v>103</v>
      </c>
      <c r="E78">
        <v>152.76300000000001</v>
      </c>
      <c r="F78">
        <v>152.732</v>
      </c>
      <c r="G78">
        <v>176</v>
      </c>
      <c r="H78">
        <v>152.755</v>
      </c>
      <c r="I78">
        <v>152.72300000000001</v>
      </c>
      <c r="J78" s="1"/>
      <c r="K78" s="1" t="str">
        <f>IF(F78&gt;H78,"Bullish Spike","-----")</f>
        <v>-----</v>
      </c>
      <c r="L78" s="1" t="str">
        <f>IF(E78&lt;I78,"Bearish Spike","-----")</f>
        <v>-----</v>
      </c>
      <c r="M78" s="1" t="str">
        <f t="shared" si="5"/>
        <v>-----</v>
      </c>
      <c r="N78" s="1"/>
      <c r="O78" s="2">
        <f>H78-I78</f>
        <v>3.1999999999982265E-2</v>
      </c>
      <c r="P78" s="1">
        <f t="shared" si="6"/>
        <v>-1.0089516652438164</v>
      </c>
      <c r="Q78" s="3" t="str">
        <f t="shared" si="7"/>
        <v>-----</v>
      </c>
      <c r="R78" s="1"/>
      <c r="S78">
        <f>STANDARDIZE(G78,AVERAGE($G$5:$G$103),_xlfn.STDEV.P($G$5:$G$103))</f>
        <v>-0.72561836645860178</v>
      </c>
      <c r="T78" s="1" t="str">
        <f t="shared" si="8"/>
        <v>-----</v>
      </c>
      <c r="V78" s="1" t="str">
        <f t="shared" si="9"/>
        <v>-----</v>
      </c>
    </row>
    <row r="79" spans="1:22" x14ac:dyDescent="0.55000000000000004">
      <c r="A79">
        <v>75</v>
      </c>
      <c r="B79" t="s">
        <v>78</v>
      </c>
      <c r="C79" t="s">
        <v>4</v>
      </c>
      <c r="D79" t="s">
        <v>103</v>
      </c>
      <c r="E79">
        <v>152.78700000000001</v>
      </c>
      <c r="F79">
        <v>152.75700000000001</v>
      </c>
      <c r="G79">
        <v>122</v>
      </c>
      <c r="H79">
        <v>152.76400000000001</v>
      </c>
      <c r="I79">
        <v>152.733</v>
      </c>
      <c r="J79" s="1"/>
      <c r="K79" s="1" t="str">
        <f>IF(F79&gt;H79,"Bullish Spike","-----")</f>
        <v>-----</v>
      </c>
      <c r="L79" s="1" t="str">
        <f>IF(E79&lt;I79,"Bearish Spike","-----")</f>
        <v>-----</v>
      </c>
      <c r="M79" s="1" t="str">
        <f t="shared" si="5"/>
        <v>-----</v>
      </c>
      <c r="N79" s="1"/>
      <c r="O79" s="2">
        <f>H79-I79</f>
        <v>3.1000000000005912E-2</v>
      </c>
      <c r="P79" s="1">
        <f t="shared" si="6"/>
        <v>-1.0319987845000993</v>
      </c>
      <c r="Q79" s="3" t="str">
        <f t="shared" si="7"/>
        <v>-----</v>
      </c>
      <c r="R79" s="1"/>
      <c r="S79">
        <f>STANDARDIZE(G79,AVERAGE($G$5:$G$103),_xlfn.STDEV.P($G$5:$G$103))</f>
        <v>-1.0740872657657958</v>
      </c>
      <c r="T79" s="1" t="str">
        <f t="shared" si="8"/>
        <v>-----</v>
      </c>
      <c r="V79" s="1" t="str">
        <f t="shared" si="9"/>
        <v>-----</v>
      </c>
    </row>
    <row r="80" spans="1:22" x14ac:dyDescent="0.55000000000000004">
      <c r="A80">
        <v>76</v>
      </c>
      <c r="B80" t="s">
        <v>79</v>
      </c>
      <c r="C80" t="s">
        <v>4</v>
      </c>
      <c r="D80" t="s">
        <v>103</v>
      </c>
      <c r="E80">
        <v>152.78100000000001</v>
      </c>
      <c r="F80">
        <v>152.74700000000001</v>
      </c>
      <c r="G80">
        <v>234</v>
      </c>
      <c r="H80">
        <v>152.768</v>
      </c>
      <c r="I80">
        <v>152.73599999999999</v>
      </c>
      <c r="J80" s="1"/>
      <c r="K80" s="1" t="str">
        <f>IF(F80&gt;H80,"Bullish Spike","-----")</f>
        <v>-----</v>
      </c>
      <c r="L80" s="1" t="str">
        <f>IF(E80&lt;I80,"Bearish Spike","-----")</f>
        <v>-----</v>
      </c>
      <c r="M80" s="1" t="str">
        <f t="shared" si="5"/>
        <v>-----</v>
      </c>
      <c r="N80" s="1"/>
      <c r="O80" s="2">
        <f>H80-I80</f>
        <v>3.2000000000010687E-2</v>
      </c>
      <c r="P80" s="1">
        <f t="shared" si="6"/>
        <v>-1.0089516652431614</v>
      </c>
      <c r="Q80" s="3" t="str">
        <f t="shared" si="7"/>
        <v>-----</v>
      </c>
      <c r="R80" s="1"/>
      <c r="S80">
        <f>STANDARDIZE(G80,AVERAGE($G$5:$G$103),_xlfn.STDEV.P($G$5:$G$103))</f>
        <v>-0.35133695609161553</v>
      </c>
      <c r="T80" s="1" t="str">
        <f t="shared" si="8"/>
        <v>-----</v>
      </c>
      <c r="V80" s="1" t="str">
        <f t="shared" si="9"/>
        <v>-----</v>
      </c>
    </row>
    <row r="81" spans="1:22" x14ac:dyDescent="0.55000000000000004">
      <c r="A81">
        <v>77</v>
      </c>
      <c r="B81" t="s">
        <v>80</v>
      </c>
      <c r="C81" t="s">
        <v>4</v>
      </c>
      <c r="D81" t="s">
        <v>103</v>
      </c>
      <c r="E81">
        <v>152.83600000000001</v>
      </c>
      <c r="F81">
        <v>152.77699999999999</v>
      </c>
      <c r="G81">
        <v>175</v>
      </c>
      <c r="H81">
        <v>152.798</v>
      </c>
      <c r="I81">
        <v>152.75299999999999</v>
      </c>
      <c r="J81" s="1"/>
      <c r="K81" s="1" t="str">
        <f>IF(F81&gt;H81,"Bullish Spike","-----")</f>
        <v>-----</v>
      </c>
      <c r="L81" s="1" t="str">
        <f>IF(E81&lt;I81,"Bearish Spike","-----")</f>
        <v>-----</v>
      </c>
      <c r="M81" s="1" t="str">
        <f t="shared" si="5"/>
        <v>-----</v>
      </c>
      <c r="N81" s="1"/>
      <c r="O81" s="2">
        <f>H81-I81</f>
        <v>4.5000000000015916E-2</v>
      </c>
      <c r="P81" s="1">
        <f t="shared" si="6"/>
        <v>-0.70933911490427681</v>
      </c>
      <c r="Q81" s="3" t="str">
        <f t="shared" si="7"/>
        <v>-----</v>
      </c>
      <c r="R81" s="1"/>
      <c r="S81">
        <f>STANDARDIZE(G81,AVERAGE($G$5:$G$103),_xlfn.STDEV.P($G$5:$G$103))</f>
        <v>-0.73207149422354978</v>
      </c>
      <c r="T81" s="1" t="str">
        <f t="shared" si="8"/>
        <v>-----</v>
      </c>
      <c r="V81" s="1" t="str">
        <f t="shared" si="9"/>
        <v>-----</v>
      </c>
    </row>
    <row r="82" spans="1:22" x14ac:dyDescent="0.55000000000000004">
      <c r="A82">
        <v>78</v>
      </c>
      <c r="B82" t="s">
        <v>81</v>
      </c>
      <c r="C82" t="s">
        <v>4</v>
      </c>
      <c r="D82" t="s">
        <v>103</v>
      </c>
      <c r="E82">
        <v>152.815</v>
      </c>
      <c r="F82">
        <v>152.80099999999999</v>
      </c>
      <c r="G82">
        <v>121</v>
      </c>
      <c r="H82">
        <v>152.80699999999999</v>
      </c>
      <c r="I82">
        <v>152.77600000000001</v>
      </c>
      <c r="J82" s="1"/>
      <c r="K82" s="1" t="str">
        <f>IF(F82&gt;H82,"Bullish Spike","-----")</f>
        <v>-----</v>
      </c>
      <c r="L82" s="1" t="str">
        <f>IF(E82&lt;I82,"Bearish Spike","-----")</f>
        <v>-----</v>
      </c>
      <c r="M82" s="1" t="str">
        <f t="shared" si="5"/>
        <v>-----</v>
      </c>
      <c r="N82" s="1"/>
      <c r="O82" s="2">
        <f>H82-I82</f>
        <v>3.099999999997749E-2</v>
      </c>
      <c r="P82" s="1">
        <f t="shared" si="6"/>
        <v>-1.0319987845007546</v>
      </c>
      <c r="Q82" s="3" t="str">
        <f t="shared" si="7"/>
        <v>-----</v>
      </c>
      <c r="R82" s="1"/>
      <c r="S82">
        <f>STANDARDIZE(G82,AVERAGE($G$5:$G$103),_xlfn.STDEV.P($G$5:$G$103))</f>
        <v>-1.0805403935307438</v>
      </c>
      <c r="T82" s="1" t="str">
        <f t="shared" si="8"/>
        <v>-----</v>
      </c>
      <c r="V82" s="1" t="str">
        <f t="shared" si="9"/>
        <v>-----</v>
      </c>
    </row>
    <row r="83" spans="1:22" x14ac:dyDescent="0.55000000000000004">
      <c r="A83">
        <v>79</v>
      </c>
      <c r="B83" t="s">
        <v>82</v>
      </c>
      <c r="C83" t="s">
        <v>4</v>
      </c>
      <c r="D83" t="s">
        <v>103</v>
      </c>
      <c r="E83">
        <v>152.81899999999999</v>
      </c>
      <c r="F83">
        <v>152.786</v>
      </c>
      <c r="G83">
        <v>167</v>
      </c>
      <c r="H83">
        <v>152.815</v>
      </c>
      <c r="I83">
        <v>152.78299999999999</v>
      </c>
      <c r="J83" s="1"/>
      <c r="K83" s="1" t="str">
        <f>IF(F83&gt;H83,"Bullish Spike","-----")</f>
        <v>-----</v>
      </c>
      <c r="L83" s="1" t="str">
        <f>IF(E83&lt;I83,"Bearish Spike","-----")</f>
        <v>-----</v>
      </c>
      <c r="M83" s="1" t="str">
        <f t="shared" si="5"/>
        <v>-----</v>
      </c>
      <c r="N83" s="1"/>
      <c r="O83" s="2">
        <f>H83-I83</f>
        <v>3.2000000000010687E-2</v>
      </c>
      <c r="P83" s="1">
        <f t="shared" si="6"/>
        <v>-1.0089516652431614</v>
      </c>
      <c r="Q83" s="3" t="str">
        <f t="shared" si="7"/>
        <v>-----</v>
      </c>
      <c r="R83" s="1"/>
      <c r="S83">
        <f>STANDARDIZE(G83,AVERAGE($G$5:$G$103),_xlfn.STDEV.P($G$5:$G$103))</f>
        <v>-0.78369651634313409</v>
      </c>
      <c r="T83" s="1" t="str">
        <f t="shared" si="8"/>
        <v>-----</v>
      </c>
      <c r="V83" s="1" t="str">
        <f t="shared" si="9"/>
        <v>-----</v>
      </c>
    </row>
    <row r="84" spans="1:22" x14ac:dyDescent="0.55000000000000004">
      <c r="A84">
        <v>80</v>
      </c>
      <c r="B84" t="s">
        <v>83</v>
      </c>
      <c r="C84" t="s">
        <v>4</v>
      </c>
      <c r="D84" t="s">
        <v>103</v>
      </c>
      <c r="E84">
        <v>152.816</v>
      </c>
      <c r="F84">
        <v>152.786</v>
      </c>
      <c r="G84">
        <v>158</v>
      </c>
      <c r="H84">
        <v>152.81800000000001</v>
      </c>
      <c r="I84">
        <v>152.78800000000001</v>
      </c>
      <c r="J84" s="1"/>
      <c r="K84" s="1" t="str">
        <f>IF(F84&gt;H84,"Bullish Spike","-----")</f>
        <v>-----</v>
      </c>
      <c r="L84" s="1" t="str">
        <f>IF(E84&lt;I84,"Bearish Spike","-----")</f>
        <v>-----</v>
      </c>
      <c r="M84" s="1" t="str">
        <f t="shared" si="5"/>
        <v>-----</v>
      </c>
      <c r="N84" s="1"/>
      <c r="O84" s="2">
        <f>H84-I84</f>
        <v>3.0000000000001137E-2</v>
      </c>
      <c r="P84" s="1">
        <f t="shared" si="6"/>
        <v>-1.0550459037570374</v>
      </c>
      <c r="Q84" s="3" t="str">
        <f t="shared" si="7"/>
        <v>-----</v>
      </c>
      <c r="R84" s="1"/>
      <c r="S84">
        <f>STANDARDIZE(G84,AVERAGE($G$5:$G$103),_xlfn.STDEV.P($G$5:$G$103))</f>
        <v>-0.8417746662276665</v>
      </c>
      <c r="T84" s="1" t="str">
        <f t="shared" si="8"/>
        <v>-----</v>
      </c>
      <c r="V84" s="1" t="str">
        <f t="shared" si="9"/>
        <v>-----</v>
      </c>
    </row>
    <row r="85" spans="1:22" x14ac:dyDescent="0.55000000000000004">
      <c r="A85">
        <v>81</v>
      </c>
      <c r="B85" t="s">
        <v>84</v>
      </c>
      <c r="C85" t="s">
        <v>4</v>
      </c>
      <c r="D85" t="s">
        <v>103</v>
      </c>
      <c r="E85">
        <v>152.81800000000001</v>
      </c>
      <c r="F85">
        <v>152.78700000000001</v>
      </c>
      <c r="G85">
        <v>148</v>
      </c>
      <c r="H85">
        <v>152.821</v>
      </c>
      <c r="I85">
        <v>152.79</v>
      </c>
      <c r="J85" s="1"/>
      <c r="K85" s="1" t="str">
        <f>IF(F85&gt;H85,"Bullish Spike","-----")</f>
        <v>-----</v>
      </c>
      <c r="L85" s="1" t="str">
        <f>IF(E85&lt;I85,"Bearish Spike","-----")</f>
        <v>-----</v>
      </c>
      <c r="M85" s="1" t="str">
        <f t="shared" si="5"/>
        <v>-----</v>
      </c>
      <c r="N85" s="1"/>
      <c r="O85" s="2">
        <f>H85-I85</f>
        <v>3.1000000000005912E-2</v>
      </c>
      <c r="P85" s="1">
        <f t="shared" si="6"/>
        <v>-1.0319987845000993</v>
      </c>
      <c r="Q85" s="3" t="str">
        <f t="shared" si="7"/>
        <v>-----</v>
      </c>
      <c r="R85" s="1"/>
      <c r="S85">
        <f>STANDARDIZE(G85,AVERAGE($G$5:$G$103),_xlfn.STDEV.P($G$5:$G$103))</f>
        <v>-0.9063059438771468</v>
      </c>
      <c r="T85" s="1" t="str">
        <f t="shared" si="8"/>
        <v>-----</v>
      </c>
      <c r="V85" s="1" t="str">
        <f t="shared" si="9"/>
        <v>-----</v>
      </c>
    </row>
    <row r="86" spans="1:22" x14ac:dyDescent="0.55000000000000004">
      <c r="A86">
        <v>82</v>
      </c>
      <c r="B86" t="s">
        <v>85</v>
      </c>
      <c r="C86" t="s">
        <v>4</v>
      </c>
      <c r="D86" t="s">
        <v>103</v>
      </c>
      <c r="E86">
        <v>152.79</v>
      </c>
      <c r="F86">
        <v>152.71899999999999</v>
      </c>
      <c r="G86">
        <v>209</v>
      </c>
      <c r="H86">
        <v>152.809</v>
      </c>
      <c r="I86">
        <v>152.75899999999999</v>
      </c>
      <c r="J86" s="1"/>
      <c r="K86" s="1" t="str">
        <f>IF(F86&gt;H86,"Bullish Spike","-----")</f>
        <v>-----</v>
      </c>
      <c r="L86" s="1" t="str">
        <f>IF(E86&lt;I86,"Bearish Spike","-----")</f>
        <v>-----</v>
      </c>
      <c r="M86" s="1" t="str">
        <f t="shared" si="5"/>
        <v>-----</v>
      </c>
      <c r="N86" s="1"/>
      <c r="O86" s="2">
        <f>H86-I86</f>
        <v>5.0000000000011369E-2</v>
      </c>
      <c r="P86" s="1">
        <f t="shared" si="6"/>
        <v>-0.59410351862024169</v>
      </c>
      <c r="Q86" s="3" t="str">
        <f t="shared" si="7"/>
        <v>-----</v>
      </c>
      <c r="R86" s="1"/>
      <c r="S86">
        <f>STANDARDIZE(G86,AVERAGE($G$5:$G$103),_xlfn.STDEV.P($G$5:$G$103))</f>
        <v>-0.51266515021531645</v>
      </c>
      <c r="T86" s="1" t="str">
        <f t="shared" si="8"/>
        <v>-----</v>
      </c>
      <c r="V86" s="1" t="str">
        <f t="shared" si="9"/>
        <v>-----</v>
      </c>
    </row>
    <row r="87" spans="1:22" x14ac:dyDescent="0.55000000000000004">
      <c r="A87">
        <v>83</v>
      </c>
      <c r="B87" t="s">
        <v>86</v>
      </c>
      <c r="C87" t="s">
        <v>4</v>
      </c>
      <c r="D87" t="s">
        <v>103</v>
      </c>
      <c r="E87">
        <v>152.73699999999999</v>
      </c>
      <c r="F87">
        <v>152.702</v>
      </c>
      <c r="G87">
        <v>166</v>
      </c>
      <c r="H87">
        <v>152.77500000000001</v>
      </c>
      <c r="I87">
        <v>152.72999999999999</v>
      </c>
      <c r="J87" s="1"/>
      <c r="K87" s="1" t="str">
        <f>IF(F87&gt;H87,"Bullish Spike","-----")</f>
        <v>-----</v>
      </c>
      <c r="L87" s="1" t="str">
        <f>IF(E87&lt;I87,"Bearish Spike","-----")</f>
        <v>-----</v>
      </c>
      <c r="M87" s="1" t="str">
        <f t="shared" si="5"/>
        <v>-----</v>
      </c>
      <c r="N87" s="1"/>
      <c r="O87" s="2">
        <f>H87-I87</f>
        <v>4.5000000000015916E-2</v>
      </c>
      <c r="P87" s="1">
        <f t="shared" si="6"/>
        <v>-0.70933911490427681</v>
      </c>
      <c r="Q87" s="3" t="str">
        <f t="shared" si="7"/>
        <v>-----</v>
      </c>
      <c r="R87" s="1"/>
      <c r="S87">
        <f>STANDARDIZE(G87,AVERAGE($G$5:$G$103),_xlfn.STDEV.P($G$5:$G$103))</f>
        <v>-0.79014964410808219</v>
      </c>
      <c r="T87" s="1" t="str">
        <f t="shared" si="8"/>
        <v>-----</v>
      </c>
      <c r="V87" s="1" t="str">
        <f t="shared" si="9"/>
        <v>-----</v>
      </c>
    </row>
    <row r="88" spans="1:22" x14ac:dyDescent="0.55000000000000004">
      <c r="A88">
        <v>84</v>
      </c>
      <c r="B88" t="s">
        <v>87</v>
      </c>
      <c r="C88" t="s">
        <v>4</v>
      </c>
      <c r="D88" t="s">
        <v>103</v>
      </c>
      <c r="E88">
        <v>152.75299999999999</v>
      </c>
      <c r="F88">
        <v>152.71700000000001</v>
      </c>
      <c r="G88">
        <v>181</v>
      </c>
      <c r="H88">
        <v>152.761</v>
      </c>
      <c r="I88">
        <v>152.71899999999999</v>
      </c>
      <c r="J88" s="1"/>
      <c r="K88" s="1" t="str">
        <f>IF(F88&gt;H88,"Bullish Spike","-----")</f>
        <v>-----</v>
      </c>
      <c r="L88" s="1" t="str">
        <f>IF(E88&lt;I88,"Bearish Spike","-----")</f>
        <v>-----</v>
      </c>
      <c r="M88" s="1" t="str">
        <f t="shared" si="5"/>
        <v>-----</v>
      </c>
      <c r="N88" s="1"/>
      <c r="O88" s="2">
        <f>H88-I88</f>
        <v>4.2000000000001592E-2</v>
      </c>
      <c r="P88" s="1">
        <f t="shared" si="6"/>
        <v>-0.77848047267509102</v>
      </c>
      <c r="Q88" s="3" t="str">
        <f t="shared" si="7"/>
        <v>-----</v>
      </c>
      <c r="R88" s="1"/>
      <c r="S88">
        <f>STANDARDIZE(G88,AVERAGE($G$5:$G$103),_xlfn.STDEV.P($G$5:$G$103))</f>
        <v>-0.69335272763386158</v>
      </c>
      <c r="T88" s="1" t="str">
        <f t="shared" si="8"/>
        <v>-----</v>
      </c>
      <c r="V88" s="1" t="str">
        <f t="shared" si="9"/>
        <v>-----</v>
      </c>
    </row>
    <row r="89" spans="1:22" x14ac:dyDescent="0.55000000000000004">
      <c r="A89">
        <v>85</v>
      </c>
      <c r="B89" t="s">
        <v>88</v>
      </c>
      <c r="C89" t="s">
        <v>4</v>
      </c>
      <c r="D89" t="s">
        <v>103</v>
      </c>
      <c r="E89">
        <v>152.749</v>
      </c>
      <c r="F89">
        <v>152.726</v>
      </c>
      <c r="G89">
        <v>278</v>
      </c>
      <c r="H89">
        <v>152.751</v>
      </c>
      <c r="I89">
        <v>152.71799999999999</v>
      </c>
      <c r="J89" s="1"/>
      <c r="K89" s="1" t="str">
        <f>IF(F89&gt;H89,"Bullish Spike","-----")</f>
        <v>-----</v>
      </c>
      <c r="L89" s="1" t="str">
        <f>IF(E89&lt;I89,"Bearish Spike","-----")</f>
        <v>-----</v>
      </c>
      <c r="M89" s="1" t="str">
        <f t="shared" si="5"/>
        <v>-----</v>
      </c>
      <c r="N89" s="1"/>
      <c r="O89" s="2">
        <f>H89-I89</f>
        <v>3.3000000000015461E-2</v>
      </c>
      <c r="P89" s="1">
        <f t="shared" si="6"/>
        <v>-0.98590454598622335</v>
      </c>
      <c r="Q89" s="3" t="str">
        <f t="shared" si="7"/>
        <v>-----</v>
      </c>
      <c r="R89" s="1"/>
      <c r="S89">
        <f>STANDARDIZE(G89,AVERAGE($G$5:$G$103),_xlfn.STDEV.P($G$5:$G$103))</f>
        <v>-6.7399334433901822E-2</v>
      </c>
      <c r="T89" s="1" t="str">
        <f t="shared" si="8"/>
        <v>-----</v>
      </c>
      <c r="V89" s="1" t="str">
        <f t="shared" si="9"/>
        <v>-----</v>
      </c>
    </row>
    <row r="90" spans="1:22" x14ac:dyDescent="0.55000000000000004">
      <c r="A90">
        <v>86</v>
      </c>
      <c r="B90" t="s">
        <v>89</v>
      </c>
      <c r="C90" t="s">
        <v>4</v>
      </c>
      <c r="D90" t="s">
        <v>103</v>
      </c>
      <c r="E90">
        <v>152.79</v>
      </c>
      <c r="F90">
        <v>152.74100000000001</v>
      </c>
      <c r="G90">
        <v>167</v>
      </c>
      <c r="H90">
        <v>152.76499999999999</v>
      </c>
      <c r="I90">
        <v>152.72499999999999</v>
      </c>
      <c r="J90" s="1"/>
      <c r="K90" s="1" t="str">
        <f>IF(F90&gt;H90,"Bullish Spike","-----")</f>
        <v>-----</v>
      </c>
      <c r="L90" s="1" t="str">
        <f>IF(E90&lt;I90,"Bearish Spike","-----")</f>
        <v>-----</v>
      </c>
      <c r="M90" s="1" t="str">
        <f t="shared" si="5"/>
        <v>-----</v>
      </c>
      <c r="N90" s="1"/>
      <c r="O90" s="2">
        <f>H90-I90</f>
        <v>3.9999999999992042E-2</v>
      </c>
      <c r="P90" s="1">
        <f t="shared" si="6"/>
        <v>-0.82457471118896708</v>
      </c>
      <c r="Q90" s="3" t="str">
        <f t="shared" si="7"/>
        <v>-----</v>
      </c>
      <c r="R90" s="1"/>
      <c r="S90">
        <f>STANDARDIZE(G90,AVERAGE($G$5:$G$103),_xlfn.STDEV.P($G$5:$G$103))</f>
        <v>-0.78369651634313409</v>
      </c>
      <c r="T90" s="1" t="str">
        <f t="shared" si="8"/>
        <v>-----</v>
      </c>
      <c r="V90" s="1" t="str">
        <f t="shared" si="9"/>
        <v>-----</v>
      </c>
    </row>
    <row r="91" spans="1:22" x14ac:dyDescent="0.55000000000000004">
      <c r="A91">
        <v>87</v>
      </c>
      <c r="B91" t="s">
        <v>90</v>
      </c>
      <c r="C91" t="s">
        <v>4</v>
      </c>
      <c r="D91" t="s">
        <v>103</v>
      </c>
      <c r="E91">
        <v>152.75299999999999</v>
      </c>
      <c r="F91">
        <v>152.70599999999999</v>
      </c>
      <c r="G91">
        <v>216</v>
      </c>
      <c r="H91">
        <v>152.75700000000001</v>
      </c>
      <c r="I91">
        <v>152.71299999999999</v>
      </c>
      <c r="J91" s="1"/>
      <c r="K91" s="1" t="str">
        <f>IF(F91&gt;H91,"Bullish Spike","-----")</f>
        <v>-----</v>
      </c>
      <c r="L91" s="1" t="str">
        <f>IF(E91&lt;I91,"Bearish Spike","-----")</f>
        <v>-----</v>
      </c>
      <c r="M91" s="1" t="str">
        <f t="shared" si="5"/>
        <v>-----</v>
      </c>
      <c r="N91" s="1"/>
      <c r="O91" s="2">
        <f>H91-I91</f>
        <v>4.4000000000011141E-2</v>
      </c>
      <c r="P91" s="1">
        <f t="shared" si="6"/>
        <v>-0.73238623416121484</v>
      </c>
      <c r="Q91" s="3" t="str">
        <f t="shared" si="7"/>
        <v>-----</v>
      </c>
      <c r="R91" s="1"/>
      <c r="S91">
        <f>STANDARDIZE(G91,AVERAGE($G$5:$G$103),_xlfn.STDEV.P($G$5:$G$103))</f>
        <v>-0.46749325586068019</v>
      </c>
      <c r="T91" s="1" t="str">
        <f t="shared" si="8"/>
        <v>-----</v>
      </c>
      <c r="V91" s="1" t="str">
        <f t="shared" si="9"/>
        <v>-----</v>
      </c>
    </row>
    <row r="92" spans="1:22" x14ac:dyDescent="0.55000000000000004">
      <c r="A92">
        <v>88</v>
      </c>
      <c r="B92" t="s">
        <v>91</v>
      </c>
      <c r="C92" t="s">
        <v>4</v>
      </c>
      <c r="D92" t="s">
        <v>103</v>
      </c>
      <c r="E92">
        <v>152.773</v>
      </c>
      <c r="F92">
        <v>152.66499999999999</v>
      </c>
      <c r="G92">
        <v>271</v>
      </c>
      <c r="H92">
        <v>152.762</v>
      </c>
      <c r="I92">
        <v>152.68600000000001</v>
      </c>
      <c r="J92" s="1"/>
      <c r="K92" s="1" t="str">
        <f>IF(F92&gt;H92,"Bullish Spike","-----")</f>
        <v>-----</v>
      </c>
      <c r="L92" s="1" t="str">
        <f>IF(E92&lt;I92,"Bearish Spike","-----")</f>
        <v>-----</v>
      </c>
      <c r="M92" s="1" t="str">
        <f t="shared" si="5"/>
        <v>-----</v>
      </c>
      <c r="N92" s="1"/>
      <c r="O92" s="2">
        <f>H92-I92</f>
        <v>7.5999999999993406E-2</v>
      </c>
      <c r="P92" s="1">
        <f t="shared" si="6"/>
        <v>5.1215820568723163E-3</v>
      </c>
      <c r="Q92" s="3" t="str">
        <f t="shared" si="7"/>
        <v>-----</v>
      </c>
      <c r="R92" s="1"/>
      <c r="S92">
        <f>STANDARDIZE(G92,AVERAGE($G$5:$G$103),_xlfn.STDEV.P($G$5:$G$103))</f>
        <v>-0.11257122878853809</v>
      </c>
      <c r="T92" s="1" t="str">
        <f t="shared" si="8"/>
        <v>-----</v>
      </c>
      <c r="V92" s="1" t="str">
        <f t="shared" si="9"/>
        <v>-----</v>
      </c>
    </row>
    <row r="93" spans="1:22" x14ac:dyDescent="0.55000000000000004">
      <c r="A93">
        <v>89</v>
      </c>
      <c r="B93" t="s">
        <v>92</v>
      </c>
      <c r="C93" t="s">
        <v>4</v>
      </c>
      <c r="D93" t="s">
        <v>103</v>
      </c>
      <c r="E93">
        <v>152.762</v>
      </c>
      <c r="F93">
        <v>152.63999999999999</v>
      </c>
      <c r="G93">
        <v>251</v>
      </c>
      <c r="H93">
        <v>152.761</v>
      </c>
      <c r="I93">
        <v>152.65799999999999</v>
      </c>
      <c r="J93" s="1"/>
      <c r="K93" s="1" t="str">
        <f>IF(F93&gt;H93,"Bullish Spike","-----")</f>
        <v>-----</v>
      </c>
      <c r="L93" s="1" t="str">
        <f>IF(E93&lt;I93,"Bearish Spike","-----")</f>
        <v>-----</v>
      </c>
      <c r="M93" s="1" t="str">
        <f t="shared" si="5"/>
        <v>-----</v>
      </c>
      <c r="N93" s="1"/>
      <c r="O93" s="2">
        <f>H93-I93</f>
        <v>0.10300000000000864</v>
      </c>
      <c r="P93" s="1">
        <f t="shared" si="6"/>
        <v>0.62739380199157935</v>
      </c>
      <c r="Q93" s="3" t="str">
        <f t="shared" si="7"/>
        <v>-----</v>
      </c>
      <c r="R93" s="1"/>
      <c r="S93">
        <f>STANDARDIZE(G93,AVERAGE($G$5:$G$103),_xlfn.STDEV.P($G$5:$G$103))</f>
        <v>-0.24163378408749886</v>
      </c>
      <c r="T93" s="1" t="str">
        <f t="shared" si="8"/>
        <v>-----</v>
      </c>
      <c r="V93" s="1" t="str">
        <f t="shared" si="9"/>
        <v>-----</v>
      </c>
    </row>
    <row r="94" spans="1:22" x14ac:dyDescent="0.55000000000000004">
      <c r="A94">
        <v>90</v>
      </c>
      <c r="B94" t="s">
        <v>93</v>
      </c>
      <c r="C94" t="s">
        <v>4</v>
      </c>
      <c r="D94" t="s">
        <v>103</v>
      </c>
      <c r="E94">
        <v>152.66</v>
      </c>
      <c r="F94">
        <v>152.626</v>
      </c>
      <c r="G94">
        <v>88</v>
      </c>
      <c r="H94">
        <v>152.71</v>
      </c>
      <c r="I94">
        <v>152.63399999999999</v>
      </c>
      <c r="J94" s="1"/>
      <c r="K94" s="1" t="str">
        <f>IF(F94&gt;H94,"Bullish Spike","-----")</f>
        <v>-----</v>
      </c>
      <c r="L94" s="1" t="str">
        <f>IF(E94&lt;I94,"Bearish Spike","-----")</f>
        <v>-----</v>
      </c>
      <c r="M94" s="1" t="str">
        <f t="shared" si="5"/>
        <v>-----</v>
      </c>
      <c r="N94" s="1"/>
      <c r="O94" s="2">
        <f>H94-I94</f>
        <v>7.6000000000021828E-2</v>
      </c>
      <c r="P94" s="1">
        <f t="shared" si="6"/>
        <v>5.1215820575273548E-3</v>
      </c>
      <c r="Q94" s="3" t="str">
        <f t="shared" si="7"/>
        <v>-----</v>
      </c>
      <c r="R94" s="1"/>
      <c r="S94">
        <f>STANDARDIZE(G94,AVERAGE($G$5:$G$103),_xlfn.STDEV.P($G$5:$G$103))</f>
        <v>-1.2934936097740291</v>
      </c>
      <c r="T94" s="1" t="str">
        <f t="shared" si="8"/>
        <v>-----</v>
      </c>
      <c r="V94" s="1" t="str">
        <f t="shared" si="9"/>
        <v>-----</v>
      </c>
    </row>
    <row r="95" spans="1:22" x14ac:dyDescent="0.55000000000000004">
      <c r="A95">
        <v>91</v>
      </c>
      <c r="B95" t="s">
        <v>94</v>
      </c>
      <c r="C95" t="s">
        <v>4</v>
      </c>
      <c r="D95" t="s">
        <v>103</v>
      </c>
      <c r="E95">
        <v>152.69200000000001</v>
      </c>
      <c r="F95">
        <v>152.648</v>
      </c>
      <c r="G95">
        <v>117</v>
      </c>
      <c r="H95">
        <v>152.69399999999999</v>
      </c>
      <c r="I95">
        <v>152.631</v>
      </c>
      <c r="J95" s="1"/>
      <c r="K95" s="1" t="str">
        <f>IF(F95&gt;H95,"Bullish Spike","-----")</f>
        <v>-----</v>
      </c>
      <c r="L95" s="1" t="str">
        <f>IF(E95&lt;I95,"Bearish Spike","-----")</f>
        <v>-----</v>
      </c>
      <c r="M95" s="1" t="str">
        <f t="shared" si="5"/>
        <v>-----</v>
      </c>
      <c r="N95" s="1"/>
      <c r="O95" s="2">
        <f>H95-I95</f>
        <v>6.2999999999988177E-2</v>
      </c>
      <c r="P95" s="1">
        <f t="shared" si="6"/>
        <v>-0.29449096828201221</v>
      </c>
      <c r="Q95" s="3" t="str">
        <f t="shared" si="7"/>
        <v>-----</v>
      </c>
      <c r="R95" s="1"/>
      <c r="S95">
        <f>STANDARDIZE(G95,AVERAGE($G$5:$G$103),_xlfn.STDEV.P($G$5:$G$103))</f>
        <v>-1.106352904590536</v>
      </c>
      <c r="T95" s="1" t="str">
        <f t="shared" si="8"/>
        <v>-----</v>
      </c>
      <c r="V95" s="1" t="str">
        <f t="shared" si="9"/>
        <v>-----</v>
      </c>
    </row>
    <row r="96" spans="1:22" x14ac:dyDescent="0.55000000000000004">
      <c r="A96">
        <v>92</v>
      </c>
      <c r="B96" t="s">
        <v>95</v>
      </c>
      <c r="C96" t="s">
        <v>4</v>
      </c>
      <c r="D96" t="s">
        <v>103</v>
      </c>
      <c r="E96">
        <v>152.67599999999999</v>
      </c>
      <c r="F96">
        <v>152.636</v>
      </c>
      <c r="G96">
        <v>109</v>
      </c>
      <c r="H96">
        <v>152.678</v>
      </c>
      <c r="I96">
        <v>152.625</v>
      </c>
      <c r="J96" s="1"/>
      <c r="K96" s="1" t="str">
        <f>IF(F96&gt;H96,"Bullish Spike","-----")</f>
        <v>-----</v>
      </c>
      <c r="L96" s="1" t="str">
        <f>IF(E96&lt;I96,"Bearish Spike","-----")</f>
        <v>-----</v>
      </c>
      <c r="M96" s="1" t="str">
        <f t="shared" si="5"/>
        <v>-----</v>
      </c>
      <c r="N96" s="1"/>
      <c r="O96" s="2">
        <f>H96-I96</f>
        <v>5.2999999999997272E-2</v>
      </c>
      <c r="P96" s="1">
        <f t="shared" si="6"/>
        <v>-0.52496216085008252</v>
      </c>
      <c r="Q96" s="3" t="str">
        <f t="shared" si="7"/>
        <v>-----</v>
      </c>
      <c r="R96" s="1"/>
      <c r="S96">
        <f>STANDARDIZE(G96,AVERAGE($G$5:$G$103),_xlfn.STDEV.P($G$5:$G$103))</f>
        <v>-1.1579779267101205</v>
      </c>
      <c r="T96" s="1" t="str">
        <f t="shared" si="8"/>
        <v>-----</v>
      </c>
      <c r="V96" s="1" t="str">
        <f t="shared" si="9"/>
        <v>-----</v>
      </c>
    </row>
    <row r="97" spans="1:22" x14ac:dyDescent="0.55000000000000004">
      <c r="A97">
        <v>93</v>
      </c>
      <c r="B97" t="s">
        <v>96</v>
      </c>
      <c r="C97" t="s">
        <v>4</v>
      </c>
      <c r="D97" t="s">
        <v>103</v>
      </c>
      <c r="E97">
        <v>152.66200000000001</v>
      </c>
      <c r="F97">
        <v>152.636</v>
      </c>
      <c r="G97">
        <v>111</v>
      </c>
      <c r="H97">
        <v>152.66200000000001</v>
      </c>
      <c r="I97">
        <v>152.62299999999999</v>
      </c>
      <c r="J97" s="1"/>
      <c r="K97" s="1" t="str">
        <f>IF(F97&gt;H97,"Bullish Spike","-----")</f>
        <v>-----</v>
      </c>
      <c r="L97" s="1" t="str">
        <f>IF(E97&lt;I97,"Bearish Spike","-----")</f>
        <v>-----</v>
      </c>
      <c r="M97" s="1" t="str">
        <f t="shared" si="5"/>
        <v>-----</v>
      </c>
      <c r="N97" s="1"/>
      <c r="O97" s="2">
        <f>H97-I97</f>
        <v>3.9000000000015689E-2</v>
      </c>
      <c r="P97" s="1">
        <f t="shared" si="6"/>
        <v>-0.84762183044525008</v>
      </c>
      <c r="Q97" s="3" t="str">
        <f t="shared" si="7"/>
        <v>-----</v>
      </c>
      <c r="R97" s="1"/>
      <c r="S97">
        <f>STANDARDIZE(G97,AVERAGE($G$5:$G$103),_xlfn.STDEV.P($G$5:$G$103))</f>
        <v>-1.1450716711802242</v>
      </c>
      <c r="T97" s="1" t="str">
        <f t="shared" si="8"/>
        <v>-----</v>
      </c>
      <c r="V97" s="1" t="str">
        <f t="shared" si="9"/>
        <v>-----</v>
      </c>
    </row>
    <row r="98" spans="1:22" x14ac:dyDescent="0.55000000000000004">
      <c r="A98">
        <v>94</v>
      </c>
      <c r="B98" t="s">
        <v>97</v>
      </c>
      <c r="C98" t="s">
        <v>4</v>
      </c>
      <c r="D98" t="s">
        <v>103</v>
      </c>
      <c r="E98">
        <v>152.655</v>
      </c>
      <c r="F98">
        <v>152.63200000000001</v>
      </c>
      <c r="G98">
        <v>123</v>
      </c>
      <c r="H98">
        <v>152.65</v>
      </c>
      <c r="I98">
        <v>152.62100000000001</v>
      </c>
      <c r="J98" s="1"/>
      <c r="K98" s="1" t="str">
        <f>IF(F98&gt;H98,"Bullish Spike","-----")</f>
        <v>-----</v>
      </c>
      <c r="L98" s="1" t="str">
        <f>IF(E98&lt;I98,"Bearish Spike","-----")</f>
        <v>-----</v>
      </c>
      <c r="M98" s="1" t="str">
        <f t="shared" si="5"/>
        <v>-----</v>
      </c>
      <c r="N98" s="1"/>
      <c r="O98" s="2">
        <f>H98-I98</f>
        <v>2.8999999999996362E-2</v>
      </c>
      <c r="P98" s="1">
        <f t="shared" si="6"/>
        <v>-1.0780930230139756</v>
      </c>
      <c r="Q98" s="3" t="str">
        <f t="shared" si="7"/>
        <v>-----</v>
      </c>
      <c r="R98" s="1"/>
      <c r="S98">
        <f>STANDARDIZE(G98,AVERAGE($G$5:$G$103),_xlfn.STDEV.P($G$5:$G$103))</f>
        <v>-1.0676341380008478</v>
      </c>
      <c r="T98" s="1" t="str">
        <f t="shared" si="8"/>
        <v>-----</v>
      </c>
      <c r="V98" s="1" t="str">
        <f t="shared" si="9"/>
        <v>-----</v>
      </c>
    </row>
    <row r="99" spans="1:22" x14ac:dyDescent="0.55000000000000004">
      <c r="A99">
        <v>95</v>
      </c>
      <c r="B99" t="s">
        <v>98</v>
      </c>
      <c r="C99" t="s">
        <v>4</v>
      </c>
      <c r="D99" t="s">
        <v>103</v>
      </c>
      <c r="E99">
        <v>152.702</v>
      </c>
      <c r="F99">
        <v>152.65199999999999</v>
      </c>
      <c r="G99">
        <v>116</v>
      </c>
      <c r="H99">
        <v>152.667</v>
      </c>
      <c r="I99">
        <v>152.631</v>
      </c>
      <c r="J99" s="1"/>
      <c r="K99" s="1" t="str">
        <f>IF(F99&gt;H99,"Bullish Spike","-----")</f>
        <v>-----</v>
      </c>
      <c r="L99" s="1" t="str">
        <f>IF(E99&lt;I99,"Bearish Spike","-----")</f>
        <v>-----</v>
      </c>
      <c r="M99" s="1" t="str">
        <f t="shared" si="5"/>
        <v>-----</v>
      </c>
      <c r="N99" s="1"/>
      <c r="O99" s="2">
        <f>H99-I99</f>
        <v>3.6000000000001364E-2</v>
      </c>
      <c r="P99" s="1">
        <f t="shared" si="6"/>
        <v>-0.91676318821606417</v>
      </c>
      <c r="Q99" s="3" t="str">
        <f t="shared" si="7"/>
        <v>-----</v>
      </c>
      <c r="R99" s="1"/>
      <c r="S99">
        <f>STANDARDIZE(G99,AVERAGE($G$5:$G$103),_xlfn.STDEV.P($G$5:$G$103))</f>
        <v>-1.112806032355484</v>
      </c>
      <c r="T99" s="1" t="str">
        <f t="shared" si="8"/>
        <v>-----</v>
      </c>
      <c r="V99" s="1" t="str">
        <f t="shared" si="9"/>
        <v>-----</v>
      </c>
    </row>
    <row r="100" spans="1:22" x14ac:dyDescent="0.55000000000000004">
      <c r="A100">
        <v>96</v>
      </c>
      <c r="B100" t="s">
        <v>99</v>
      </c>
      <c r="C100" t="s">
        <v>4</v>
      </c>
      <c r="D100" t="s">
        <v>103</v>
      </c>
      <c r="E100">
        <v>152.726</v>
      </c>
      <c r="F100">
        <v>152.68799999999999</v>
      </c>
      <c r="G100">
        <v>96</v>
      </c>
      <c r="H100">
        <v>152.691</v>
      </c>
      <c r="I100">
        <v>152.65600000000001</v>
      </c>
      <c r="J100" s="1"/>
      <c r="K100" s="1" t="str">
        <f>IF(F100&gt;H100,"Bullish Spike","-----")</f>
        <v>-----</v>
      </c>
      <c r="L100" s="1" t="str">
        <f>IF(E100&lt;I100,"Bearish Spike","-----")</f>
        <v>-----</v>
      </c>
      <c r="M100" s="1" t="str">
        <f t="shared" si="5"/>
        <v>-----</v>
      </c>
      <c r="N100" s="1"/>
      <c r="O100" s="2">
        <f>H100-I100</f>
        <v>3.4999999999996589E-2</v>
      </c>
      <c r="P100" s="1">
        <f t="shared" si="6"/>
        <v>-0.93981030747300232</v>
      </c>
      <c r="Q100" s="3" t="str">
        <f t="shared" si="7"/>
        <v>-----</v>
      </c>
      <c r="R100" s="1"/>
      <c r="S100">
        <f>STANDARDIZE(G100,AVERAGE($G$5:$G$103),_xlfn.STDEV.P($G$5:$G$103))</f>
        <v>-1.2418685876544449</v>
      </c>
      <c r="T100" s="1" t="str">
        <f t="shared" si="8"/>
        <v>-----</v>
      </c>
      <c r="V100" s="1" t="str">
        <f t="shared" si="9"/>
        <v>-----</v>
      </c>
    </row>
    <row r="101" spans="1:22" x14ac:dyDescent="0.55000000000000004">
      <c r="A101">
        <v>97</v>
      </c>
      <c r="B101" t="s">
        <v>100</v>
      </c>
      <c r="C101" t="s">
        <v>4</v>
      </c>
      <c r="D101" t="s">
        <v>103</v>
      </c>
      <c r="E101">
        <v>152.72200000000001</v>
      </c>
      <c r="F101">
        <v>152.69200000000001</v>
      </c>
      <c r="G101">
        <v>50</v>
      </c>
      <c r="H101">
        <v>152.70500000000001</v>
      </c>
      <c r="I101">
        <v>152.67400000000001</v>
      </c>
      <c r="J101" s="1"/>
      <c r="K101" s="1" t="str">
        <f>IF(F101&gt;H101,"Bullish Spike","-----")</f>
        <v>-----</v>
      </c>
      <c r="L101" s="1" t="str">
        <f>IF(E101&lt;I101,"Bearish Spike","-----")</f>
        <v>-----</v>
      </c>
      <c r="M101" s="1" t="str">
        <f t="shared" si="5"/>
        <v>-----</v>
      </c>
      <c r="N101" s="1"/>
      <c r="O101" s="2">
        <f>H101-I101</f>
        <v>3.1000000000005912E-2</v>
      </c>
      <c r="P101" s="1">
        <f t="shared" si="6"/>
        <v>-1.0319987845000993</v>
      </c>
      <c r="Q101" s="3" t="str">
        <f t="shared" si="7"/>
        <v>-----</v>
      </c>
      <c r="R101" s="1"/>
      <c r="S101">
        <f>STANDARDIZE(G101,AVERAGE($G$5:$G$103),_xlfn.STDEV.P($G$5:$G$103))</f>
        <v>-1.5387124648420547</v>
      </c>
      <c r="T101" s="1" t="str">
        <f t="shared" si="8"/>
        <v>-----</v>
      </c>
      <c r="V101" s="1" t="str">
        <f t="shared" si="9"/>
        <v>-----</v>
      </c>
    </row>
    <row r="102" spans="1:22" x14ac:dyDescent="0.55000000000000004">
      <c r="A102">
        <v>98</v>
      </c>
      <c r="B102" t="s">
        <v>101</v>
      </c>
      <c r="C102" t="s">
        <v>4</v>
      </c>
      <c r="D102" t="s">
        <v>103</v>
      </c>
      <c r="E102">
        <v>152.72999999999999</v>
      </c>
      <c r="F102">
        <v>152.69200000000001</v>
      </c>
      <c r="G102">
        <v>60</v>
      </c>
      <c r="H102">
        <v>152.71799999999999</v>
      </c>
      <c r="I102">
        <v>152.68600000000001</v>
      </c>
      <c r="J102" s="1"/>
      <c r="K102" s="1" t="str">
        <f>IF(F102&gt;H102,"Bullish Spike","-----")</f>
        <v>-----</v>
      </c>
      <c r="L102" s="1" t="str">
        <f>IF(E102&lt;I102,"Bearish Spike","-----")</f>
        <v>-----</v>
      </c>
      <c r="M102" s="1" t="str">
        <f t="shared" si="5"/>
        <v>-----</v>
      </c>
      <c r="N102" s="1"/>
      <c r="O102" s="2">
        <f>H102-I102</f>
        <v>3.1999999999982265E-2</v>
      </c>
      <c r="P102" s="1">
        <f t="shared" si="6"/>
        <v>-1.0089516652438164</v>
      </c>
      <c r="Q102" s="3" t="str">
        <f t="shared" si="7"/>
        <v>-----</v>
      </c>
      <c r="R102" s="1"/>
      <c r="S102">
        <f>STANDARDIZE(G102,AVERAGE($G$5:$G$103),_xlfn.STDEV.P($G$5:$G$103))</f>
        <v>-1.4741811871925743</v>
      </c>
      <c r="T102" s="1" t="str">
        <f t="shared" si="8"/>
        <v>-----</v>
      </c>
      <c r="V102" s="1" t="str">
        <f t="shared" si="9"/>
        <v>-----</v>
      </c>
    </row>
    <row r="103" spans="1:22" x14ac:dyDescent="0.55000000000000004">
      <c r="A103">
        <v>99</v>
      </c>
      <c r="B103" t="s">
        <v>102</v>
      </c>
      <c r="C103" t="s">
        <v>4</v>
      </c>
      <c r="D103" t="s">
        <v>103</v>
      </c>
      <c r="E103">
        <v>152.72499999999999</v>
      </c>
      <c r="F103">
        <v>152.703</v>
      </c>
      <c r="G103">
        <v>94</v>
      </c>
      <c r="H103">
        <v>152.72399999999999</v>
      </c>
      <c r="I103">
        <v>152.69800000000001</v>
      </c>
      <c r="J103" s="1"/>
      <c r="K103" s="1" t="str">
        <f>IF(F103&gt;H103,"Bullish Spike","-----")</f>
        <v>-----</v>
      </c>
      <c r="L103" s="1" t="str">
        <f>IF(E103&lt;I103,"Bearish Spike","-----")</f>
        <v>-----</v>
      </c>
      <c r="M103" s="1" t="str">
        <f t="shared" si="5"/>
        <v>-----</v>
      </c>
      <c r="N103" s="1"/>
      <c r="O103" s="2">
        <f>H103-I103</f>
        <v>2.5999999999982037E-2</v>
      </c>
      <c r="P103" s="1">
        <f t="shared" si="6"/>
        <v>-1.1472343807847896</v>
      </c>
      <c r="Q103" s="3" t="str">
        <f t="shared" si="7"/>
        <v>-----</v>
      </c>
      <c r="R103" s="1"/>
      <c r="S103">
        <f>STANDARDIZE(G103,AVERAGE($G$5:$G$103),_xlfn.STDEV.P($G$5:$G$103))</f>
        <v>-1.2547748431843408</v>
      </c>
      <c r="T103" s="1" t="str">
        <f t="shared" si="8"/>
        <v>-----</v>
      </c>
      <c r="V103" s="1" t="str">
        <f t="shared" si="9"/>
        <v>-----</v>
      </c>
    </row>
    <row r="104" spans="1:22" x14ac:dyDescent="0.55000000000000004">
      <c r="Q104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 Distribution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2026-02-24T03:19:39Z</dcterms:modified>
</cp:coreProperties>
</file>