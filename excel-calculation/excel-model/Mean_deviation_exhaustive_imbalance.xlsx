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excel-calculation\excel-model\"/>
    </mc:Choice>
  </mc:AlternateContent>
  <xr:revisionPtr revIDLastSave="0" documentId="13_ncr:1_{AE22C515-BB07-41EE-BE2D-1F181E71A09A}" xr6:coauthVersionLast="47" xr6:coauthVersionMax="47" xr10:uidLastSave="{00000000-0000-0000-0000-000000000000}"/>
  <bookViews>
    <workbookView xWindow="-7524" yWindow="2244" windowWidth="15306" windowHeight="8952" xr2:uid="{00000000-000D-0000-FFFF-FFFF00000000}"/>
  </bookViews>
  <sheets>
    <sheet name="Mean Deviate &amp; Exhaustive Imb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101" i="4" l="1"/>
  <c r="V101" i="4" s="1"/>
  <c r="R101" i="4"/>
  <c r="U101" i="4" s="1"/>
  <c r="S100" i="4"/>
  <c r="V100" i="4" s="1"/>
  <c r="R100" i="4"/>
  <c r="U100" i="4" s="1"/>
  <c r="S99" i="4"/>
  <c r="V99" i="4" s="1"/>
  <c r="R99" i="4"/>
  <c r="U99" i="4" s="1"/>
  <c r="S98" i="4"/>
  <c r="V98" i="4" s="1"/>
  <c r="R98" i="4"/>
  <c r="U98" i="4" s="1"/>
  <c r="S97" i="4"/>
  <c r="V97" i="4" s="1"/>
  <c r="R97" i="4"/>
  <c r="U97" i="4" s="1"/>
  <c r="S96" i="4"/>
  <c r="V96" i="4" s="1"/>
  <c r="R96" i="4"/>
  <c r="U96" i="4" s="1"/>
  <c r="S95" i="4"/>
  <c r="V95" i="4" s="1"/>
  <c r="R95" i="4"/>
  <c r="U95" i="4" s="1"/>
  <c r="S94" i="4"/>
  <c r="V94" i="4" s="1"/>
  <c r="R94" i="4"/>
  <c r="U94" i="4" s="1"/>
  <c r="S93" i="4"/>
  <c r="V93" i="4" s="1"/>
  <c r="R93" i="4"/>
  <c r="U93" i="4" s="1"/>
  <c r="U92" i="4"/>
  <c r="S92" i="4"/>
  <c r="V92" i="4" s="1"/>
  <c r="R92" i="4"/>
  <c r="S91" i="4"/>
  <c r="V91" i="4" s="1"/>
  <c r="R91" i="4"/>
  <c r="U91" i="4" s="1"/>
  <c r="S90" i="4"/>
  <c r="V90" i="4" s="1"/>
  <c r="R90" i="4"/>
  <c r="U90" i="4" s="1"/>
  <c r="S89" i="4"/>
  <c r="V89" i="4" s="1"/>
  <c r="R89" i="4"/>
  <c r="U89" i="4" s="1"/>
  <c r="S88" i="4"/>
  <c r="V88" i="4" s="1"/>
  <c r="R88" i="4"/>
  <c r="U88" i="4" s="1"/>
  <c r="S87" i="4"/>
  <c r="V87" i="4" s="1"/>
  <c r="R87" i="4"/>
  <c r="U87" i="4" s="1"/>
  <c r="S86" i="4"/>
  <c r="V86" i="4" s="1"/>
  <c r="R86" i="4"/>
  <c r="U86" i="4" s="1"/>
  <c r="S85" i="4"/>
  <c r="V85" i="4" s="1"/>
  <c r="R85" i="4"/>
  <c r="U85" i="4" s="1"/>
  <c r="S84" i="4"/>
  <c r="V84" i="4" s="1"/>
  <c r="R84" i="4"/>
  <c r="U84" i="4" s="1"/>
  <c r="S83" i="4"/>
  <c r="V83" i="4" s="1"/>
  <c r="R83" i="4"/>
  <c r="U83" i="4" s="1"/>
  <c r="S82" i="4"/>
  <c r="V82" i="4" s="1"/>
  <c r="R82" i="4"/>
  <c r="U82" i="4" s="1"/>
  <c r="S81" i="4"/>
  <c r="V81" i="4" s="1"/>
  <c r="R81" i="4"/>
  <c r="U81" i="4" s="1"/>
  <c r="S80" i="4"/>
  <c r="V80" i="4" s="1"/>
  <c r="R80" i="4"/>
  <c r="U80" i="4" s="1"/>
  <c r="S79" i="4"/>
  <c r="V79" i="4" s="1"/>
  <c r="R79" i="4"/>
  <c r="U79" i="4" s="1"/>
  <c r="S78" i="4"/>
  <c r="V78" i="4" s="1"/>
  <c r="R78" i="4"/>
  <c r="U78" i="4" s="1"/>
  <c r="S77" i="4"/>
  <c r="V77" i="4" s="1"/>
  <c r="R77" i="4"/>
  <c r="U77" i="4" s="1"/>
  <c r="S76" i="4"/>
  <c r="V76" i="4" s="1"/>
  <c r="R76" i="4"/>
  <c r="U76" i="4" s="1"/>
  <c r="S75" i="4"/>
  <c r="V75" i="4" s="1"/>
  <c r="R75" i="4"/>
  <c r="U75" i="4" s="1"/>
  <c r="S74" i="4"/>
  <c r="V74" i="4" s="1"/>
  <c r="R74" i="4"/>
  <c r="U74" i="4" s="1"/>
  <c r="S73" i="4"/>
  <c r="V73" i="4" s="1"/>
  <c r="R73" i="4"/>
  <c r="U73" i="4" s="1"/>
  <c r="S72" i="4"/>
  <c r="V72" i="4" s="1"/>
  <c r="R72" i="4"/>
  <c r="U72" i="4" s="1"/>
  <c r="S71" i="4"/>
  <c r="V71" i="4" s="1"/>
  <c r="R71" i="4"/>
  <c r="U71" i="4" s="1"/>
  <c r="S70" i="4"/>
  <c r="V70" i="4" s="1"/>
  <c r="R70" i="4"/>
  <c r="U70" i="4" s="1"/>
  <c r="S69" i="4"/>
  <c r="V69" i="4" s="1"/>
  <c r="R69" i="4"/>
  <c r="U69" i="4" s="1"/>
  <c r="S68" i="4"/>
  <c r="V68" i="4" s="1"/>
  <c r="R68" i="4"/>
  <c r="U68" i="4" s="1"/>
  <c r="S67" i="4"/>
  <c r="V67" i="4" s="1"/>
  <c r="R67" i="4"/>
  <c r="U67" i="4" s="1"/>
  <c r="S66" i="4"/>
  <c r="V66" i="4" s="1"/>
  <c r="R66" i="4"/>
  <c r="U66" i="4" s="1"/>
  <c r="S65" i="4"/>
  <c r="V65" i="4" s="1"/>
  <c r="R65" i="4"/>
  <c r="U65" i="4" s="1"/>
  <c r="S64" i="4"/>
  <c r="V64" i="4" s="1"/>
  <c r="R64" i="4"/>
  <c r="U64" i="4" s="1"/>
  <c r="S63" i="4"/>
  <c r="V63" i="4" s="1"/>
  <c r="R63" i="4"/>
  <c r="U63" i="4" s="1"/>
  <c r="S62" i="4"/>
  <c r="V62" i="4" s="1"/>
  <c r="R62" i="4"/>
  <c r="U62" i="4" s="1"/>
  <c r="S61" i="4"/>
  <c r="V61" i="4" s="1"/>
  <c r="R61" i="4"/>
  <c r="U61" i="4" s="1"/>
  <c r="S60" i="4"/>
  <c r="V60" i="4" s="1"/>
  <c r="R60" i="4"/>
  <c r="U60" i="4" s="1"/>
  <c r="S59" i="4"/>
  <c r="V59" i="4" s="1"/>
  <c r="R59" i="4"/>
  <c r="U59" i="4" s="1"/>
  <c r="S58" i="4"/>
  <c r="V58" i="4" s="1"/>
  <c r="R58" i="4"/>
  <c r="U58" i="4" s="1"/>
  <c r="S57" i="4"/>
  <c r="V57" i="4" s="1"/>
  <c r="R57" i="4"/>
  <c r="U57" i="4" s="1"/>
  <c r="S56" i="4"/>
  <c r="V56" i="4" s="1"/>
  <c r="R56" i="4"/>
  <c r="U56" i="4" s="1"/>
  <c r="S55" i="4"/>
  <c r="V55" i="4" s="1"/>
  <c r="R55" i="4"/>
  <c r="U55" i="4" s="1"/>
  <c r="S54" i="4"/>
  <c r="V54" i="4" s="1"/>
  <c r="R54" i="4"/>
  <c r="U54" i="4" s="1"/>
  <c r="S53" i="4"/>
  <c r="V53" i="4" s="1"/>
  <c r="R53" i="4"/>
  <c r="U53" i="4" s="1"/>
  <c r="S52" i="4"/>
  <c r="V52" i="4" s="1"/>
  <c r="R52" i="4"/>
  <c r="U52" i="4" s="1"/>
  <c r="S51" i="4"/>
  <c r="V51" i="4" s="1"/>
  <c r="R51" i="4"/>
  <c r="U51" i="4" s="1"/>
  <c r="S50" i="4"/>
  <c r="V50" i="4" s="1"/>
  <c r="R50" i="4"/>
  <c r="U50" i="4" s="1"/>
  <c r="S49" i="4"/>
  <c r="V49" i="4" s="1"/>
  <c r="R49" i="4"/>
  <c r="U49" i="4" s="1"/>
  <c r="S48" i="4"/>
  <c r="V48" i="4" s="1"/>
  <c r="R48" i="4"/>
  <c r="U48" i="4" s="1"/>
  <c r="S47" i="4"/>
  <c r="V47" i="4" s="1"/>
  <c r="R47" i="4"/>
  <c r="U47" i="4" s="1"/>
  <c r="S46" i="4"/>
  <c r="V46" i="4" s="1"/>
  <c r="R46" i="4"/>
  <c r="U46" i="4" s="1"/>
  <c r="U45" i="4"/>
  <c r="S45" i="4"/>
  <c r="V45" i="4" s="1"/>
  <c r="R45" i="4"/>
  <c r="S44" i="4"/>
  <c r="V44" i="4" s="1"/>
  <c r="R44" i="4"/>
  <c r="U44" i="4" s="1"/>
  <c r="S43" i="4"/>
  <c r="V43" i="4" s="1"/>
  <c r="R43" i="4"/>
  <c r="U43" i="4" s="1"/>
  <c r="S42" i="4"/>
  <c r="V42" i="4" s="1"/>
  <c r="R42" i="4"/>
  <c r="U42" i="4" s="1"/>
  <c r="S41" i="4"/>
  <c r="V41" i="4" s="1"/>
  <c r="R41" i="4"/>
  <c r="U41" i="4" s="1"/>
  <c r="U40" i="4"/>
  <c r="S40" i="4"/>
  <c r="V40" i="4" s="1"/>
  <c r="R40" i="4"/>
  <c r="S39" i="4"/>
  <c r="V39" i="4" s="1"/>
  <c r="R39" i="4"/>
  <c r="U39" i="4" s="1"/>
  <c r="S38" i="4"/>
  <c r="V38" i="4" s="1"/>
  <c r="R38" i="4"/>
  <c r="U38" i="4" s="1"/>
  <c r="S37" i="4"/>
  <c r="V37" i="4" s="1"/>
  <c r="R37" i="4"/>
  <c r="U37" i="4" s="1"/>
  <c r="S36" i="4"/>
  <c r="V36" i="4" s="1"/>
  <c r="R36" i="4"/>
  <c r="U36" i="4" s="1"/>
  <c r="S35" i="4"/>
  <c r="V35" i="4" s="1"/>
  <c r="R35" i="4"/>
  <c r="U35" i="4" s="1"/>
  <c r="S34" i="4"/>
  <c r="V34" i="4" s="1"/>
  <c r="R34" i="4"/>
  <c r="U34" i="4" s="1"/>
  <c r="S33" i="4"/>
  <c r="V33" i="4" s="1"/>
  <c r="R33" i="4"/>
  <c r="U33" i="4" s="1"/>
  <c r="S32" i="4"/>
  <c r="V32" i="4" s="1"/>
  <c r="R32" i="4"/>
  <c r="U32" i="4" s="1"/>
  <c r="S31" i="4"/>
  <c r="V31" i="4" s="1"/>
  <c r="R31" i="4"/>
  <c r="U31" i="4" s="1"/>
  <c r="S30" i="4"/>
  <c r="V30" i="4" s="1"/>
  <c r="R30" i="4"/>
  <c r="U30" i="4" s="1"/>
  <c r="S29" i="4"/>
  <c r="V29" i="4" s="1"/>
  <c r="R29" i="4"/>
  <c r="U29" i="4" s="1"/>
  <c r="S28" i="4"/>
  <c r="V28" i="4" s="1"/>
  <c r="R28" i="4"/>
  <c r="U28" i="4" s="1"/>
  <c r="S27" i="4"/>
  <c r="V27" i="4" s="1"/>
  <c r="R27" i="4"/>
  <c r="U27" i="4" s="1"/>
  <c r="S26" i="4"/>
  <c r="V26" i="4" s="1"/>
  <c r="R26" i="4"/>
  <c r="U26" i="4" s="1"/>
  <c r="S25" i="4"/>
  <c r="V25" i="4" s="1"/>
  <c r="R25" i="4"/>
  <c r="U25" i="4" s="1"/>
  <c r="S24" i="4"/>
  <c r="V24" i="4" s="1"/>
  <c r="R24" i="4"/>
  <c r="U24" i="4" s="1"/>
  <c r="S23" i="4"/>
  <c r="V23" i="4" s="1"/>
  <c r="R23" i="4"/>
  <c r="U23" i="4" s="1"/>
  <c r="S22" i="4"/>
  <c r="V22" i="4" s="1"/>
  <c r="R22" i="4"/>
  <c r="U22" i="4" s="1"/>
  <c r="S21" i="4"/>
  <c r="V21" i="4" s="1"/>
  <c r="R21" i="4"/>
  <c r="U21" i="4" s="1"/>
  <c r="S20" i="4"/>
  <c r="V20" i="4" s="1"/>
  <c r="R20" i="4"/>
  <c r="U20" i="4" s="1"/>
  <c r="S19" i="4"/>
  <c r="V19" i="4" s="1"/>
  <c r="R19" i="4"/>
  <c r="U19" i="4" s="1"/>
  <c r="S18" i="4"/>
  <c r="V18" i="4" s="1"/>
  <c r="R18" i="4"/>
  <c r="U18" i="4" s="1"/>
  <c r="V17" i="4"/>
  <c r="S17" i="4"/>
  <c r="R17" i="4"/>
  <c r="U17" i="4" s="1"/>
  <c r="S16" i="4"/>
  <c r="V16" i="4" s="1"/>
  <c r="R16" i="4"/>
  <c r="U16" i="4" s="1"/>
  <c r="S15" i="4"/>
  <c r="V15" i="4" s="1"/>
  <c r="R15" i="4"/>
  <c r="U15" i="4" s="1"/>
  <c r="S14" i="4"/>
  <c r="V14" i="4" s="1"/>
  <c r="R14" i="4"/>
  <c r="U14" i="4" s="1"/>
  <c r="S13" i="4"/>
  <c r="V13" i="4" s="1"/>
  <c r="R13" i="4"/>
  <c r="U13" i="4" s="1"/>
  <c r="S12" i="4"/>
  <c r="V12" i="4" s="1"/>
  <c r="R12" i="4"/>
  <c r="U12" i="4" s="1"/>
  <c r="S11" i="4"/>
  <c r="V11" i="4" s="1"/>
  <c r="R11" i="4"/>
  <c r="U11" i="4" s="1"/>
  <c r="S10" i="4"/>
  <c r="V10" i="4" s="1"/>
  <c r="R10" i="4"/>
  <c r="U10" i="4" s="1"/>
  <c r="S9" i="4"/>
  <c r="V9" i="4" s="1"/>
  <c r="R9" i="4"/>
  <c r="U9" i="4" s="1"/>
  <c r="S8" i="4"/>
  <c r="V8" i="4" s="1"/>
  <c r="R8" i="4"/>
  <c r="U8" i="4" s="1"/>
  <c r="S7" i="4"/>
  <c r="V7" i="4" s="1"/>
  <c r="R7" i="4"/>
  <c r="U7" i="4" s="1"/>
  <c r="S6" i="4"/>
  <c r="V6" i="4" s="1"/>
  <c r="R6" i="4"/>
  <c r="U6" i="4" s="1"/>
  <c r="S5" i="4"/>
  <c r="V5" i="4" s="1"/>
  <c r="R5" i="4"/>
  <c r="U5" i="4" s="1"/>
  <c r="V4" i="4"/>
  <c r="S4" i="4"/>
  <c r="R4" i="4"/>
  <c r="U4" i="4" s="1"/>
  <c r="S3" i="4"/>
  <c r="V3" i="4" s="1"/>
  <c r="R3" i="4"/>
  <c r="U3" i="4" s="1"/>
</calcChain>
</file>

<file path=xl/sharedStrings.xml><?xml version="1.0" encoding="utf-8"?>
<sst xmlns="http://schemas.openxmlformats.org/spreadsheetml/2006/main" count="317" uniqueCount="121">
  <si>
    <t>No</t>
  </si>
  <si>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</si>
  <si>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</si>
  <si>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</si>
  <si>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</si>
  <si>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</si>
  <si>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</si>
  <si>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</si>
  <si>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</si>
  <si>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</si>
  <si>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</si>
  <si>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</si>
  <si>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</si>
  <si>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</si>
  <si>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</si>
  <si>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</si>
  <si>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</si>
  <si>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</si>
  <si>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</si>
  <si>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</si>
  <si>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</si>
  <si>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</si>
  <si>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</si>
  <si>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</si>
  <si>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</si>
  <si>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</si>
  <si>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</si>
  <si>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</si>
  <si>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</si>
  <si>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</si>
  <si>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</si>
  <si>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</si>
  <si>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</si>
  <si>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</si>
  <si>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</si>
  <si>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</si>
  <si>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</si>
  <si>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</si>
  <si>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</si>
  <si>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</si>
  <si>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</si>
  <si>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</si>
  <si>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</si>
  <si>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</si>
  <si>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</si>
  <si>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</si>
  <si>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</si>
  <si>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</si>
  <si>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</si>
  <si>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</si>
  <si>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</si>
  <si>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</si>
  <si>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</si>
  <si>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</si>
  <si>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</si>
  <si>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</si>
  <si>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</si>
  <si>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</si>
  <si>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</si>
  <si>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</si>
  <si>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</si>
  <si>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</si>
  <si>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</si>
  <si>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</si>
  <si>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</si>
  <si>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</si>
  <si>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</si>
  <si>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</si>
  <si>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</si>
  <si>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</si>
  <si>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</si>
  <si>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</si>
  <si>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</si>
  <si>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</si>
  <si>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</si>
  <si>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</si>
  <si>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</si>
  <si>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</si>
  <si>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</si>
  <si>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</si>
  <si>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</si>
  <si>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</si>
  <si>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</si>
  <si>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</si>
  <si>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</si>
  <si>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</si>
  <si>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</si>
  <si>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</si>
  <si>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</si>
  <si>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</si>
  <si>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</si>
  <si>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</si>
  <si>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</si>
  <si>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</si>
  <si>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</si>
  <si>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</si>
  <si>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</si>
  <si>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</si>
  <si>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</si>
  <si>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</si>
  <si>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</si>
  <si>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</si>
  <si>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</si>
  <si>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</si>
  <si>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</si>
  <si>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kc_ultra_extreme_upper</t>
  </si>
  <si>
    <t>kc_extreme_upper</t>
  </si>
  <si>
    <t>kc_uppermost</t>
  </si>
  <si>
    <t>kc_upper</t>
  </si>
  <si>
    <t>kc_upper_middle</t>
  </si>
  <si>
    <t>kc_lower_middle</t>
  </si>
  <si>
    <t>kc_lower</t>
  </si>
  <si>
    <t>kc_lowermost</t>
  </si>
  <si>
    <t>kc_extreme_lower</t>
  </si>
  <si>
    <t>kc_ultra_extreme_lower</t>
  </si>
  <si>
    <t>Tema</t>
  </si>
  <si>
    <t>Bearish Mean Deviation</t>
  </si>
  <si>
    <t>Bullish Mean Deviation</t>
  </si>
  <si>
    <t>Bullish Exhaustive Imbalance</t>
  </si>
  <si>
    <t>Bearish Exhaustive Imbalance</t>
  </si>
  <si>
    <t>body_classification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</si>
</sst>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6" fillId="33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/>
    </xf>
    <xf numFmtId="0" fontId="13" fillId="34" borderId="0" xfId="0" applyFont="1" applyFill="1" applyAlignment="1">
      <alignment horizontal="center" vertical="center"/>
    </xf>
    <xf numFmtId="0" fontId="13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2:V101"/>
  <sheetViews>
    <sheetView tabSelected="1" zoomScale="60" zoomScaleNormal="60" workbookViewId="0">
      <selection activeCell="L17" sqref="L17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5" max="5" width="11.1015625" bestFit="1" customWidth="1"/>
    <col min="6" max="6" width="12.62890625" bestFit="1" customWidth="1"/>
    <col min="7" max="7" width="12.3125" bestFit="1" customWidth="1"/>
    <col min="8" max="8" width="12.3671875" bestFit="1" customWidth="1"/>
    <col min="9" max="9" width="9.68359375" bestFit="1" customWidth="1"/>
    <col min="10" max="10" width="12.3671875" customWidth="1"/>
    <col min="11" max="11" width="13.20703125" customWidth="1"/>
    <col min="12" max="12" width="9.68359375" bestFit="1" customWidth="1"/>
    <col min="13" max="13" width="12.15625" bestFit="1" customWidth="1"/>
    <col min="14" max="14" width="13.20703125" customWidth="1"/>
    <col min="15" max="15" width="12.62890625" bestFit="1" customWidth="1"/>
    <col min="16" max="16" width="7.68359375" bestFit="1" customWidth="1"/>
    <col min="17" max="17" width="3.15625" customWidth="1"/>
    <col min="18" max="18" width="19.68359375" bestFit="1" customWidth="1"/>
    <col min="19" max="19" width="20.3671875" bestFit="1" customWidth="1"/>
    <col min="20" max="20" width="3.15625" customWidth="1"/>
    <col min="21" max="21" width="15.3671875" bestFit="1" customWidth="1"/>
    <col min="22" max="22" width="16.05078125" bestFit="1" customWidth="1"/>
    <col min="23" max="23" width="16.3125" bestFit="1" customWidth="1"/>
    <col min="24" max="26" width="18.68359375" bestFit="1" customWidth="1"/>
    <col min="28" max="30" width="16.3671875" bestFit="1" customWidth="1"/>
    <col min="31" max="33" width="18.68359375" bestFit="1" customWidth="1"/>
    <col min="35" max="37" width="19.734375" bestFit="1" customWidth="1"/>
    <col min="38" max="40" width="19.83984375" bestFit="1" customWidth="1"/>
  </cols>
  <sheetData>
    <row r="2" spans="1:22" ht="43.2" x14ac:dyDescent="0.55000000000000004">
      <c r="A2" s="5" t="s">
        <v>0</v>
      </c>
      <c r="B2" s="5" t="s">
        <v>104</v>
      </c>
      <c r="C2" s="5" t="s">
        <v>1</v>
      </c>
      <c r="D2" s="5" t="s">
        <v>2</v>
      </c>
      <c r="E2" s="6" t="s">
        <v>120</v>
      </c>
      <c r="F2" s="6" t="s">
        <v>105</v>
      </c>
      <c r="G2" s="6" t="s">
        <v>106</v>
      </c>
      <c r="H2" s="6" t="s">
        <v>107</v>
      </c>
      <c r="I2" s="6" t="s">
        <v>108</v>
      </c>
      <c r="J2" s="6" t="s">
        <v>109</v>
      </c>
      <c r="K2" s="6" t="s">
        <v>110</v>
      </c>
      <c r="L2" s="6" t="s">
        <v>111</v>
      </c>
      <c r="M2" s="6" t="s">
        <v>112</v>
      </c>
      <c r="N2" s="6" t="s">
        <v>113</v>
      </c>
      <c r="O2" s="6" t="s">
        <v>114</v>
      </c>
      <c r="P2" s="6" t="s">
        <v>115</v>
      </c>
      <c r="Q2" s="7"/>
      <c r="R2" s="4" t="s">
        <v>117</v>
      </c>
      <c r="S2" s="4" t="s">
        <v>116</v>
      </c>
      <c r="T2" s="7"/>
      <c r="U2" s="3" t="s">
        <v>118</v>
      </c>
      <c r="V2" s="3" t="s">
        <v>119</v>
      </c>
    </row>
    <row r="3" spans="1:22" x14ac:dyDescent="0.55000000000000004">
      <c r="A3" s="1">
        <v>1</v>
      </c>
      <c r="B3" s="1" t="s">
        <v>3</v>
      </c>
      <c r="C3" s="1" t="s">
        <v>4</v>
      </c>
      <c r="D3" s="1" t="s">
        <v>103</v>
      </c>
      <c r="E3" s="1">
        <v>1</v>
      </c>
      <c r="F3" s="1">
        <v>153.63953000000001</v>
      </c>
      <c r="G3" s="1">
        <v>153.55868000000001</v>
      </c>
      <c r="H3" s="1">
        <v>153.47783000000001</v>
      </c>
      <c r="I3" s="1">
        <v>153.39698000000001</v>
      </c>
      <c r="J3" s="1">
        <v>153.31612999999999</v>
      </c>
      <c r="K3" s="1">
        <v>153.23518999999999</v>
      </c>
      <c r="L3" s="1">
        <v>153.15433999999999</v>
      </c>
      <c r="M3" s="1">
        <v>153.07348999999999</v>
      </c>
      <c r="N3" s="1">
        <v>152.99263999999999</v>
      </c>
      <c r="O3" s="1">
        <v>152.91177999999999</v>
      </c>
      <c r="P3" s="1">
        <v>153.13499999999999</v>
      </c>
      <c r="Q3" s="2"/>
      <c r="R3" s="2" t="str">
        <f t="shared" ref="R3:R34" si="0">IF(P3&gt;F3,"Overbought",IF(P3&gt;H3,"Bullish Momentum",IF(P3&gt;J3,"Flat Momentum","-----")))</f>
        <v>-----</v>
      </c>
      <c r="S3" s="2" t="str">
        <f t="shared" ref="S3:S34" si="1">IF(P3&lt;O3,"Oversold",IF(P3&lt;M3,"Bearish Momentum",IF(P3&lt;K3,"Flat Momentum","-----")))</f>
        <v>Flat Momentum</v>
      </c>
      <c r="T3" s="2"/>
      <c r="U3" s="2" t="str">
        <f t="shared" ref="U3:U34" si="2">IF(AND(R3="Overbought",E3=2),"Culminated Thrust","-----")</f>
        <v>-----</v>
      </c>
      <c r="V3" s="2" t="str">
        <f t="shared" ref="V3:V34" si="3">IF(AND(S3="Oversold",E3=5),"Culminated Thrust","-----")</f>
        <v>-----</v>
      </c>
    </row>
    <row r="4" spans="1:22" x14ac:dyDescent="0.55000000000000004">
      <c r="A4" s="1">
        <v>2</v>
      </c>
      <c r="B4" s="1" t="s">
        <v>5</v>
      </c>
      <c r="C4" s="1" t="s">
        <v>4</v>
      </c>
      <c r="D4" s="1" t="s">
        <v>103</v>
      </c>
      <c r="E4" s="1">
        <v>3</v>
      </c>
      <c r="F4" s="1">
        <v>153.63284999999999</v>
      </c>
      <c r="G4" s="1">
        <v>153.55171999999999</v>
      </c>
      <c r="H4" s="1">
        <v>153.47058999999999</v>
      </c>
      <c r="I4" s="1">
        <v>153.38946000000001</v>
      </c>
      <c r="J4" s="1">
        <v>153.30833000000001</v>
      </c>
      <c r="K4" s="1">
        <v>153.21899999999999</v>
      </c>
      <c r="L4" s="1">
        <v>153.13786999999999</v>
      </c>
      <c r="M4" s="1">
        <v>153.05673999999999</v>
      </c>
      <c r="N4" s="1">
        <v>152.97560999999999</v>
      </c>
      <c r="O4" s="1">
        <v>152.89447999999999</v>
      </c>
      <c r="P4" s="1">
        <v>153.15600000000001</v>
      </c>
      <c r="Q4" s="2"/>
      <c r="R4" s="2" t="str">
        <f t="shared" si="0"/>
        <v>-----</v>
      </c>
      <c r="S4" s="2" t="str">
        <f t="shared" si="1"/>
        <v>Flat Momentum</v>
      </c>
      <c r="T4" s="2"/>
      <c r="U4" s="2" t="str">
        <f t="shared" si="2"/>
        <v>-----</v>
      </c>
      <c r="V4" s="2" t="str">
        <f t="shared" si="3"/>
        <v>-----</v>
      </c>
    </row>
    <row r="5" spans="1:22" x14ac:dyDescent="0.55000000000000004">
      <c r="A5" s="1">
        <v>3</v>
      </c>
      <c r="B5" s="1" t="s">
        <v>6</v>
      </c>
      <c r="C5" s="1" t="s">
        <v>4</v>
      </c>
      <c r="D5" s="1" t="s">
        <v>103</v>
      </c>
      <c r="E5" s="1">
        <v>4</v>
      </c>
      <c r="F5" s="1">
        <v>153.62689</v>
      </c>
      <c r="G5" s="1">
        <v>153.54503</v>
      </c>
      <c r="H5" s="1">
        <v>153.46316999999999</v>
      </c>
      <c r="I5" s="1">
        <v>153.38130000000001</v>
      </c>
      <c r="J5" s="1">
        <v>153.29944</v>
      </c>
      <c r="K5" s="1">
        <v>153.20193</v>
      </c>
      <c r="L5" s="1">
        <v>153.12006</v>
      </c>
      <c r="M5" s="1">
        <v>153.03819999999999</v>
      </c>
      <c r="N5" s="1">
        <v>152.95633000000001</v>
      </c>
      <c r="O5" s="1">
        <v>152.87447</v>
      </c>
      <c r="P5" s="1">
        <v>153.11600000000001</v>
      </c>
      <c r="Q5" s="2"/>
      <c r="R5" s="2" t="str">
        <f t="shared" si="0"/>
        <v>-----</v>
      </c>
      <c r="S5" s="2" t="str">
        <f t="shared" si="1"/>
        <v>Flat Momentum</v>
      </c>
      <c r="T5" s="2"/>
      <c r="U5" s="2" t="str">
        <f t="shared" si="2"/>
        <v>-----</v>
      </c>
      <c r="V5" s="2" t="str">
        <f t="shared" si="3"/>
        <v>-----</v>
      </c>
    </row>
    <row r="6" spans="1:22" x14ac:dyDescent="0.55000000000000004">
      <c r="A6" s="1">
        <v>4</v>
      </c>
      <c r="B6" s="1" t="s">
        <v>7</v>
      </c>
      <c r="C6" s="1" t="s">
        <v>4</v>
      </c>
      <c r="D6" s="1" t="s">
        <v>103</v>
      </c>
      <c r="E6" s="1">
        <v>0</v>
      </c>
      <c r="F6" s="1">
        <v>153.61530999999999</v>
      </c>
      <c r="G6" s="1">
        <v>153.53316000000001</v>
      </c>
      <c r="H6" s="1">
        <v>153.45101</v>
      </c>
      <c r="I6" s="1">
        <v>153.36886000000001</v>
      </c>
      <c r="J6" s="1">
        <v>153.28672</v>
      </c>
      <c r="K6" s="1">
        <v>153.18314000000001</v>
      </c>
      <c r="L6" s="1">
        <v>153.10099</v>
      </c>
      <c r="M6" s="1">
        <v>153.01884999999999</v>
      </c>
      <c r="N6" s="1">
        <v>152.9367</v>
      </c>
      <c r="O6" s="1">
        <v>152.85454999999999</v>
      </c>
      <c r="P6" s="1">
        <v>153.065</v>
      </c>
      <c r="Q6" s="2"/>
      <c r="R6" s="2" t="str">
        <f t="shared" si="0"/>
        <v>-----</v>
      </c>
      <c r="S6" s="2" t="str">
        <f t="shared" si="1"/>
        <v>Flat Momentum</v>
      </c>
      <c r="T6" s="2"/>
      <c r="U6" s="2" t="str">
        <f t="shared" si="2"/>
        <v>-----</v>
      </c>
      <c r="V6" s="2" t="str">
        <f t="shared" si="3"/>
        <v>-----</v>
      </c>
    </row>
    <row r="7" spans="1:22" x14ac:dyDescent="0.55000000000000004">
      <c r="A7" s="1">
        <v>5</v>
      </c>
      <c r="B7" s="1" t="s">
        <v>8</v>
      </c>
      <c r="C7" s="1" t="s">
        <v>4</v>
      </c>
      <c r="D7" s="1" t="s">
        <v>103</v>
      </c>
      <c r="E7" s="1">
        <v>3</v>
      </c>
      <c r="F7" s="1">
        <v>153.60209</v>
      </c>
      <c r="G7" s="1">
        <v>153.51981000000001</v>
      </c>
      <c r="H7" s="1">
        <v>153.43753000000001</v>
      </c>
      <c r="I7" s="1">
        <v>153.35525999999999</v>
      </c>
      <c r="J7" s="1">
        <v>153.27297999999999</v>
      </c>
      <c r="K7" s="1">
        <v>153.16462000000001</v>
      </c>
      <c r="L7" s="1">
        <v>153.08233999999999</v>
      </c>
      <c r="M7" s="1">
        <v>153.00005999999999</v>
      </c>
      <c r="N7" s="1">
        <v>152.91777999999999</v>
      </c>
      <c r="O7" s="1">
        <v>152.83551</v>
      </c>
      <c r="P7" s="1">
        <v>153.047</v>
      </c>
      <c r="Q7" s="2"/>
      <c r="R7" s="2" t="str">
        <f t="shared" si="0"/>
        <v>-----</v>
      </c>
      <c r="S7" s="2" t="str">
        <f t="shared" si="1"/>
        <v>Flat Momentum</v>
      </c>
      <c r="T7" s="2"/>
      <c r="U7" s="2" t="str">
        <f t="shared" si="2"/>
        <v>-----</v>
      </c>
      <c r="V7" s="2" t="str">
        <f t="shared" si="3"/>
        <v>-----</v>
      </c>
    </row>
    <row r="8" spans="1:22" x14ac:dyDescent="0.55000000000000004">
      <c r="A8" s="1">
        <v>6</v>
      </c>
      <c r="B8" s="1" t="s">
        <v>9</v>
      </c>
      <c r="C8" s="1" t="s">
        <v>4</v>
      </c>
      <c r="D8" s="1" t="s">
        <v>103</v>
      </c>
      <c r="E8" s="1">
        <v>0</v>
      </c>
      <c r="F8" s="1">
        <v>153.58624</v>
      </c>
      <c r="G8" s="1">
        <v>153.50424000000001</v>
      </c>
      <c r="H8" s="1">
        <v>153.42223999999999</v>
      </c>
      <c r="I8" s="1">
        <v>153.34023999999999</v>
      </c>
      <c r="J8" s="1">
        <v>153.25824</v>
      </c>
      <c r="K8" s="1">
        <v>153.14709999999999</v>
      </c>
      <c r="L8" s="1">
        <v>153.0651</v>
      </c>
      <c r="M8" s="1">
        <v>152.98310000000001</v>
      </c>
      <c r="N8" s="1">
        <v>152.90110000000001</v>
      </c>
      <c r="O8" s="1">
        <v>152.81909999999999</v>
      </c>
      <c r="P8" s="1">
        <v>153.03800000000001</v>
      </c>
      <c r="Q8" s="2"/>
      <c r="R8" s="2" t="str">
        <f t="shared" si="0"/>
        <v>-----</v>
      </c>
      <c r="S8" s="2" t="str">
        <f t="shared" si="1"/>
        <v>Flat Momentum</v>
      </c>
      <c r="T8" s="2"/>
      <c r="U8" s="2" t="str">
        <f t="shared" si="2"/>
        <v>-----</v>
      </c>
      <c r="V8" s="2" t="str">
        <f t="shared" si="3"/>
        <v>-----</v>
      </c>
    </row>
    <row r="9" spans="1:22" x14ac:dyDescent="0.55000000000000004">
      <c r="A9" s="1">
        <v>7</v>
      </c>
      <c r="B9" s="1" t="s">
        <v>10</v>
      </c>
      <c r="C9" s="1" t="s">
        <v>4</v>
      </c>
      <c r="D9" s="1" t="s">
        <v>103</v>
      </c>
      <c r="E9" s="1">
        <v>3</v>
      </c>
      <c r="F9" s="1">
        <v>153.56995000000001</v>
      </c>
      <c r="G9" s="1">
        <v>153.48793000000001</v>
      </c>
      <c r="H9" s="1">
        <v>153.4059</v>
      </c>
      <c r="I9" s="1">
        <v>153.32388</v>
      </c>
      <c r="J9" s="1">
        <v>153.24185</v>
      </c>
      <c r="K9" s="1">
        <v>153.1294</v>
      </c>
      <c r="L9" s="1">
        <v>153.04738</v>
      </c>
      <c r="M9" s="1">
        <v>152.96535</v>
      </c>
      <c r="N9" s="1">
        <v>152.88333</v>
      </c>
      <c r="O9" s="1">
        <v>152.8013</v>
      </c>
      <c r="P9" s="1">
        <v>153.01599999999999</v>
      </c>
      <c r="Q9" s="2"/>
      <c r="R9" s="2" t="str">
        <f t="shared" si="0"/>
        <v>-----</v>
      </c>
      <c r="S9" s="2" t="str">
        <f t="shared" si="1"/>
        <v>Flat Momentum</v>
      </c>
      <c r="T9" s="2"/>
      <c r="U9" s="2" t="str">
        <f t="shared" si="2"/>
        <v>-----</v>
      </c>
      <c r="V9" s="2" t="str">
        <f t="shared" si="3"/>
        <v>-----</v>
      </c>
    </row>
    <row r="10" spans="1:22" x14ac:dyDescent="0.55000000000000004">
      <c r="A10" s="1">
        <v>8</v>
      </c>
      <c r="B10" s="1" t="s">
        <v>11</v>
      </c>
      <c r="C10" s="1" t="s">
        <v>4</v>
      </c>
      <c r="D10" s="1" t="s">
        <v>103</v>
      </c>
      <c r="E10" s="1">
        <v>3</v>
      </c>
      <c r="F10" s="1">
        <v>153.55466000000001</v>
      </c>
      <c r="G10" s="1">
        <v>153.47248999999999</v>
      </c>
      <c r="H10" s="1">
        <v>153.39032</v>
      </c>
      <c r="I10" s="1">
        <v>153.30814000000001</v>
      </c>
      <c r="J10" s="1">
        <v>153.22596999999999</v>
      </c>
      <c r="K10" s="1">
        <v>153.11232000000001</v>
      </c>
      <c r="L10" s="1">
        <v>153.03013999999999</v>
      </c>
      <c r="M10" s="1">
        <v>152.94797</v>
      </c>
      <c r="N10" s="1">
        <v>152.86580000000001</v>
      </c>
      <c r="O10" s="1">
        <v>152.78362000000001</v>
      </c>
      <c r="P10" s="1">
        <v>153.01</v>
      </c>
      <c r="Q10" s="2"/>
      <c r="R10" s="2" t="str">
        <f t="shared" si="0"/>
        <v>-----</v>
      </c>
      <c r="S10" s="2" t="str">
        <f t="shared" si="1"/>
        <v>Flat Momentum</v>
      </c>
      <c r="T10" s="2"/>
      <c r="U10" s="2" t="str">
        <f t="shared" si="2"/>
        <v>-----</v>
      </c>
      <c r="V10" s="2" t="str">
        <f t="shared" si="3"/>
        <v>-----</v>
      </c>
    </row>
    <row r="11" spans="1:22" x14ac:dyDescent="0.55000000000000004">
      <c r="A11" s="1">
        <v>9</v>
      </c>
      <c r="B11" s="1" t="s">
        <v>12</v>
      </c>
      <c r="C11" s="1" t="s">
        <v>4</v>
      </c>
      <c r="D11" s="1" t="s">
        <v>103</v>
      </c>
      <c r="E11" s="1">
        <v>0</v>
      </c>
      <c r="F11" s="1">
        <v>153.53522000000001</v>
      </c>
      <c r="G11" s="1">
        <v>153.45367999999999</v>
      </c>
      <c r="H11" s="1">
        <v>153.37213</v>
      </c>
      <c r="I11" s="1">
        <v>153.29059000000001</v>
      </c>
      <c r="J11" s="1">
        <v>153.20904999999999</v>
      </c>
      <c r="K11" s="1">
        <v>153.09541999999999</v>
      </c>
      <c r="L11" s="1">
        <v>153.01387</v>
      </c>
      <c r="M11" s="1">
        <v>152.93233000000001</v>
      </c>
      <c r="N11" s="1">
        <v>152.85078999999999</v>
      </c>
      <c r="O11" s="1">
        <v>152.76924</v>
      </c>
      <c r="P11" s="1">
        <v>152.99299999999999</v>
      </c>
      <c r="Q11" s="2"/>
      <c r="R11" s="2" t="str">
        <f t="shared" si="0"/>
        <v>-----</v>
      </c>
      <c r="S11" s="2" t="str">
        <f t="shared" si="1"/>
        <v>Flat Momentum</v>
      </c>
      <c r="T11" s="2"/>
      <c r="U11" s="2" t="str">
        <f t="shared" si="2"/>
        <v>-----</v>
      </c>
      <c r="V11" s="2" t="str">
        <f t="shared" si="3"/>
        <v>-----</v>
      </c>
    </row>
    <row r="12" spans="1:22" x14ac:dyDescent="0.55000000000000004">
      <c r="A12" s="1">
        <v>10</v>
      </c>
      <c r="B12" s="1" t="s">
        <v>13</v>
      </c>
      <c r="C12" s="1" t="s">
        <v>4</v>
      </c>
      <c r="D12" s="1" t="s">
        <v>103</v>
      </c>
      <c r="E12" s="1">
        <v>3</v>
      </c>
      <c r="F12" s="1">
        <v>153.51904999999999</v>
      </c>
      <c r="G12" s="1">
        <v>153.43704</v>
      </c>
      <c r="H12" s="1">
        <v>153.35503</v>
      </c>
      <c r="I12" s="1">
        <v>153.27302</v>
      </c>
      <c r="J12" s="1">
        <v>153.191</v>
      </c>
      <c r="K12" s="1">
        <v>153.07550000000001</v>
      </c>
      <c r="L12" s="1">
        <v>152.99349000000001</v>
      </c>
      <c r="M12" s="1">
        <v>152.91148000000001</v>
      </c>
      <c r="N12" s="1">
        <v>152.82946999999999</v>
      </c>
      <c r="O12" s="1">
        <v>152.74745999999999</v>
      </c>
      <c r="P12" s="1">
        <v>152.941</v>
      </c>
      <c r="Q12" s="2"/>
      <c r="R12" s="2" t="str">
        <f t="shared" si="0"/>
        <v>-----</v>
      </c>
      <c r="S12" s="2" t="str">
        <f t="shared" si="1"/>
        <v>Flat Momentum</v>
      </c>
      <c r="T12" s="2"/>
      <c r="U12" s="2" t="str">
        <f t="shared" si="2"/>
        <v>-----</v>
      </c>
      <c r="V12" s="2" t="str">
        <f t="shared" si="3"/>
        <v>-----</v>
      </c>
    </row>
    <row r="13" spans="1:22" x14ac:dyDescent="0.55000000000000004">
      <c r="A13" s="1">
        <v>11</v>
      </c>
      <c r="B13" s="1" t="s">
        <v>14</v>
      </c>
      <c r="C13" s="1" t="s">
        <v>4</v>
      </c>
      <c r="D13" s="1" t="s">
        <v>103</v>
      </c>
      <c r="E13" s="1">
        <v>0</v>
      </c>
      <c r="F13" s="1">
        <v>153.49529999999999</v>
      </c>
      <c r="G13" s="1">
        <v>153.41435000000001</v>
      </c>
      <c r="H13" s="1">
        <v>153.33340000000001</v>
      </c>
      <c r="I13" s="1">
        <v>153.25245000000001</v>
      </c>
      <c r="J13" s="1">
        <v>153.17150000000001</v>
      </c>
      <c r="K13" s="1">
        <v>153.05507</v>
      </c>
      <c r="L13" s="1">
        <v>152.97412</v>
      </c>
      <c r="M13" s="1">
        <v>152.89317</v>
      </c>
      <c r="N13" s="1">
        <v>152.81222</v>
      </c>
      <c r="O13" s="1">
        <v>152.73126999999999</v>
      </c>
      <c r="P13" s="1">
        <v>152.91300000000001</v>
      </c>
      <c r="Q13" s="2"/>
      <c r="R13" s="2" t="str">
        <f t="shared" si="0"/>
        <v>-----</v>
      </c>
      <c r="S13" s="2" t="str">
        <f t="shared" si="1"/>
        <v>Flat Momentum</v>
      </c>
      <c r="T13" s="2"/>
      <c r="U13" s="2" t="str">
        <f t="shared" si="2"/>
        <v>-----</v>
      </c>
      <c r="V13" s="2" t="str">
        <f t="shared" si="3"/>
        <v>-----</v>
      </c>
    </row>
    <row r="14" spans="1:22" x14ac:dyDescent="0.55000000000000004">
      <c r="A14" s="1">
        <v>12</v>
      </c>
      <c r="B14" s="1" t="s">
        <v>15</v>
      </c>
      <c r="C14" s="1" t="s">
        <v>4</v>
      </c>
      <c r="D14" s="1" t="s">
        <v>103</v>
      </c>
      <c r="E14" s="1">
        <v>3</v>
      </c>
      <c r="F14" s="1">
        <v>153.47368</v>
      </c>
      <c r="G14" s="1">
        <v>153.39313000000001</v>
      </c>
      <c r="H14" s="1">
        <v>153.31258</v>
      </c>
      <c r="I14" s="1">
        <v>153.23203000000001</v>
      </c>
      <c r="J14" s="1">
        <v>153.15147999999999</v>
      </c>
      <c r="K14" s="1">
        <v>153.03493</v>
      </c>
      <c r="L14" s="1">
        <v>152.95437999999999</v>
      </c>
      <c r="M14" s="1">
        <v>152.87383</v>
      </c>
      <c r="N14" s="1">
        <v>152.79328000000001</v>
      </c>
      <c r="O14" s="1">
        <v>152.71272999999999</v>
      </c>
      <c r="P14" s="1">
        <v>152.89500000000001</v>
      </c>
      <c r="Q14" s="2"/>
      <c r="R14" s="2" t="str">
        <f t="shared" si="0"/>
        <v>-----</v>
      </c>
      <c r="S14" s="2" t="str">
        <f t="shared" si="1"/>
        <v>Flat Momentum</v>
      </c>
      <c r="T14" s="2"/>
      <c r="U14" s="2" t="str">
        <f t="shared" si="2"/>
        <v>-----</v>
      </c>
      <c r="V14" s="2" t="str">
        <f t="shared" si="3"/>
        <v>-----</v>
      </c>
    </row>
    <row r="15" spans="1:22" x14ac:dyDescent="0.55000000000000004">
      <c r="A15" s="1">
        <v>13</v>
      </c>
      <c r="B15" s="1" t="s">
        <v>16</v>
      </c>
      <c r="C15" s="1" t="s">
        <v>4</v>
      </c>
      <c r="D15" s="1" t="s">
        <v>103</v>
      </c>
      <c r="E15" s="1">
        <v>0</v>
      </c>
      <c r="F15" s="1">
        <v>153.45435000000001</v>
      </c>
      <c r="G15" s="1">
        <v>153.37365</v>
      </c>
      <c r="H15" s="1">
        <v>153.29295999999999</v>
      </c>
      <c r="I15" s="1">
        <v>153.21225999999999</v>
      </c>
      <c r="J15" s="1">
        <v>153.13156000000001</v>
      </c>
      <c r="K15" s="1">
        <v>153.01313999999999</v>
      </c>
      <c r="L15" s="1">
        <v>152.93244000000001</v>
      </c>
      <c r="M15" s="1">
        <v>152.85175000000001</v>
      </c>
      <c r="N15" s="1">
        <v>152.77105</v>
      </c>
      <c r="O15" s="1">
        <v>152.69035</v>
      </c>
      <c r="P15" s="1">
        <v>152.886</v>
      </c>
      <c r="Q15" s="2"/>
      <c r="R15" s="2" t="str">
        <f t="shared" si="0"/>
        <v>-----</v>
      </c>
      <c r="S15" s="2" t="str">
        <f t="shared" si="1"/>
        <v>Flat Momentum</v>
      </c>
      <c r="T15" s="2"/>
      <c r="U15" s="2" t="str">
        <f t="shared" si="2"/>
        <v>-----</v>
      </c>
      <c r="V15" s="2" t="str">
        <f t="shared" si="3"/>
        <v>-----</v>
      </c>
    </row>
    <row r="16" spans="1:22" x14ac:dyDescent="0.55000000000000004">
      <c r="A16" s="1">
        <v>14</v>
      </c>
      <c r="B16" s="1" t="s">
        <v>17</v>
      </c>
      <c r="C16" s="1" t="s">
        <v>4</v>
      </c>
      <c r="D16" s="1" t="s">
        <v>103</v>
      </c>
      <c r="E16" s="1">
        <v>0</v>
      </c>
      <c r="F16" s="1">
        <v>153.43762000000001</v>
      </c>
      <c r="G16" s="1">
        <v>153.35688999999999</v>
      </c>
      <c r="H16" s="1">
        <v>153.27617000000001</v>
      </c>
      <c r="I16" s="1">
        <v>153.19544999999999</v>
      </c>
      <c r="J16" s="1">
        <v>153.11473000000001</v>
      </c>
      <c r="K16" s="1">
        <v>152.99520000000001</v>
      </c>
      <c r="L16" s="1">
        <v>152.91446999999999</v>
      </c>
      <c r="M16" s="1">
        <v>152.83375000000001</v>
      </c>
      <c r="N16" s="1">
        <v>152.75303</v>
      </c>
      <c r="O16" s="1">
        <v>152.67231000000001</v>
      </c>
      <c r="P16" s="1">
        <v>152.93799999999999</v>
      </c>
      <c r="Q16" s="2"/>
      <c r="R16" s="2" t="str">
        <f t="shared" si="0"/>
        <v>-----</v>
      </c>
      <c r="S16" s="2" t="str">
        <f t="shared" si="1"/>
        <v>Flat Momentum</v>
      </c>
      <c r="T16" s="2"/>
      <c r="U16" s="2" t="str">
        <f t="shared" si="2"/>
        <v>-----</v>
      </c>
      <c r="V16" s="2" t="str">
        <f t="shared" si="3"/>
        <v>-----</v>
      </c>
    </row>
    <row r="17" spans="1:22" x14ac:dyDescent="0.55000000000000004">
      <c r="A17" s="1">
        <v>15</v>
      </c>
      <c r="B17" s="1" t="s">
        <v>18</v>
      </c>
      <c r="C17" s="1" t="s">
        <v>4</v>
      </c>
      <c r="D17" s="1" t="s">
        <v>103</v>
      </c>
      <c r="E17" s="1">
        <v>0</v>
      </c>
      <c r="F17" s="1">
        <v>153.42570000000001</v>
      </c>
      <c r="G17" s="1">
        <v>153.34453999999999</v>
      </c>
      <c r="H17" s="1">
        <v>153.26338000000001</v>
      </c>
      <c r="I17" s="1">
        <v>153.18222</v>
      </c>
      <c r="J17" s="1">
        <v>153.10105999999999</v>
      </c>
      <c r="K17" s="1">
        <v>152.97971999999999</v>
      </c>
      <c r="L17" s="1">
        <v>152.89856</v>
      </c>
      <c r="M17" s="1">
        <v>152.81739999999999</v>
      </c>
      <c r="N17" s="1">
        <v>152.73624000000001</v>
      </c>
      <c r="O17" s="1">
        <v>152.65508</v>
      </c>
      <c r="P17" s="1">
        <v>152.97800000000001</v>
      </c>
      <c r="Q17" s="2"/>
      <c r="R17" s="2" t="str">
        <f t="shared" si="0"/>
        <v>-----</v>
      </c>
      <c r="S17" s="2" t="str">
        <f t="shared" si="1"/>
        <v>Flat Momentum</v>
      </c>
      <c r="T17" s="2"/>
      <c r="U17" s="2" t="str">
        <f t="shared" si="2"/>
        <v>-----</v>
      </c>
      <c r="V17" s="2" t="str">
        <f t="shared" si="3"/>
        <v>-----</v>
      </c>
    </row>
    <row r="18" spans="1:22" x14ac:dyDescent="0.55000000000000004">
      <c r="A18" s="1">
        <v>16</v>
      </c>
      <c r="B18" s="1" t="s">
        <v>19</v>
      </c>
      <c r="C18" s="1" t="s">
        <v>4</v>
      </c>
      <c r="D18" s="1" t="s">
        <v>103</v>
      </c>
      <c r="E18" s="1">
        <v>3</v>
      </c>
      <c r="F18" s="1">
        <v>153.41305</v>
      </c>
      <c r="G18" s="1">
        <v>153.33219</v>
      </c>
      <c r="H18" s="1">
        <v>153.25133</v>
      </c>
      <c r="I18" s="1">
        <v>153.17045999999999</v>
      </c>
      <c r="J18" s="1">
        <v>153.08959999999999</v>
      </c>
      <c r="K18" s="1">
        <v>152.96778</v>
      </c>
      <c r="L18" s="1">
        <v>152.88692</v>
      </c>
      <c r="M18" s="1">
        <v>152.80605</v>
      </c>
      <c r="N18" s="1">
        <v>152.72519</v>
      </c>
      <c r="O18" s="1">
        <v>152.64431999999999</v>
      </c>
      <c r="P18" s="1">
        <v>153.011</v>
      </c>
      <c r="Q18" s="2"/>
      <c r="R18" s="2" t="str">
        <f t="shared" si="0"/>
        <v>-----</v>
      </c>
      <c r="S18" s="2" t="str">
        <f t="shared" si="1"/>
        <v>-----</v>
      </c>
      <c r="T18" s="2"/>
      <c r="U18" s="2" t="str">
        <f t="shared" si="2"/>
        <v>-----</v>
      </c>
      <c r="V18" s="2" t="str">
        <f t="shared" si="3"/>
        <v>-----</v>
      </c>
    </row>
    <row r="19" spans="1:22" x14ac:dyDescent="0.55000000000000004">
      <c r="A19" s="1">
        <v>17</v>
      </c>
      <c r="B19" s="1" t="s">
        <v>20</v>
      </c>
      <c r="C19" s="1" t="s">
        <v>4</v>
      </c>
      <c r="D19" s="1" t="s">
        <v>103</v>
      </c>
      <c r="E19" s="1">
        <v>3</v>
      </c>
      <c r="F19" s="1">
        <v>153.40485000000001</v>
      </c>
      <c r="G19" s="1">
        <v>153.32369</v>
      </c>
      <c r="H19" s="1">
        <v>153.24253999999999</v>
      </c>
      <c r="I19" s="1">
        <v>153.16139000000001</v>
      </c>
      <c r="J19" s="1">
        <v>153.08023</v>
      </c>
      <c r="K19" s="1">
        <v>152.95731000000001</v>
      </c>
      <c r="L19" s="1">
        <v>152.87616</v>
      </c>
      <c r="M19" s="1">
        <v>152.79499999999999</v>
      </c>
      <c r="N19" s="1">
        <v>152.71385000000001</v>
      </c>
      <c r="O19" s="1">
        <v>152.63269</v>
      </c>
      <c r="P19" s="1">
        <v>153.012</v>
      </c>
      <c r="Q19" s="2"/>
      <c r="R19" s="2" t="str">
        <f t="shared" si="0"/>
        <v>-----</v>
      </c>
      <c r="S19" s="2" t="str">
        <f t="shared" si="1"/>
        <v>-----</v>
      </c>
      <c r="T19" s="2"/>
      <c r="U19" s="2" t="str">
        <f t="shared" si="2"/>
        <v>-----</v>
      </c>
      <c r="V19" s="2" t="str">
        <f t="shared" si="3"/>
        <v>-----</v>
      </c>
    </row>
    <row r="20" spans="1:22" x14ac:dyDescent="0.55000000000000004">
      <c r="A20" s="1">
        <v>18</v>
      </c>
      <c r="B20" s="1" t="s">
        <v>21</v>
      </c>
      <c r="C20" s="1" t="s">
        <v>4</v>
      </c>
      <c r="D20" s="1" t="s">
        <v>103</v>
      </c>
      <c r="E20" s="1">
        <v>0</v>
      </c>
      <c r="F20" s="1">
        <v>153.39735999999999</v>
      </c>
      <c r="G20" s="1">
        <v>153.31589</v>
      </c>
      <c r="H20" s="1">
        <v>153.23442</v>
      </c>
      <c r="I20" s="1">
        <v>153.15295</v>
      </c>
      <c r="J20" s="1">
        <v>153.07148000000001</v>
      </c>
      <c r="K20" s="1">
        <v>152.94720000000001</v>
      </c>
      <c r="L20" s="1">
        <v>152.86573000000001</v>
      </c>
      <c r="M20" s="1">
        <v>152.78425999999999</v>
      </c>
      <c r="N20" s="1">
        <v>152.70278999999999</v>
      </c>
      <c r="O20" s="1">
        <v>152.62132</v>
      </c>
      <c r="P20" s="1">
        <v>153.01300000000001</v>
      </c>
      <c r="Q20" s="2"/>
      <c r="R20" s="2" t="str">
        <f t="shared" si="0"/>
        <v>-----</v>
      </c>
      <c r="S20" s="2" t="str">
        <f t="shared" si="1"/>
        <v>-----</v>
      </c>
      <c r="T20" s="2"/>
      <c r="U20" s="2" t="str">
        <f t="shared" si="2"/>
        <v>-----</v>
      </c>
      <c r="V20" s="2" t="str">
        <f t="shared" si="3"/>
        <v>-----</v>
      </c>
    </row>
    <row r="21" spans="1:22" x14ac:dyDescent="0.55000000000000004">
      <c r="A21" s="1">
        <v>19</v>
      </c>
      <c r="B21" s="1" t="s">
        <v>22</v>
      </c>
      <c r="C21" s="1" t="s">
        <v>4</v>
      </c>
      <c r="D21" s="1" t="s">
        <v>103</v>
      </c>
      <c r="E21" s="1">
        <v>0</v>
      </c>
      <c r="F21" s="1">
        <v>153.39231000000001</v>
      </c>
      <c r="G21" s="1">
        <v>153.31073000000001</v>
      </c>
      <c r="H21" s="1">
        <v>153.22914</v>
      </c>
      <c r="I21" s="1">
        <v>153.14756</v>
      </c>
      <c r="J21" s="1">
        <v>153.06596999999999</v>
      </c>
      <c r="K21" s="1">
        <v>152.94076999999999</v>
      </c>
      <c r="L21" s="1">
        <v>152.85919000000001</v>
      </c>
      <c r="M21" s="1">
        <v>152.77760000000001</v>
      </c>
      <c r="N21" s="1">
        <v>152.69602</v>
      </c>
      <c r="O21" s="1">
        <v>152.61443</v>
      </c>
      <c r="P21" s="1">
        <v>153.05000000000001</v>
      </c>
      <c r="Q21" s="2"/>
      <c r="R21" s="2" t="str">
        <f t="shared" si="0"/>
        <v>-----</v>
      </c>
      <c r="S21" s="2" t="str">
        <f t="shared" si="1"/>
        <v>-----</v>
      </c>
      <c r="T21" s="2"/>
      <c r="U21" s="2" t="str">
        <f t="shared" si="2"/>
        <v>-----</v>
      </c>
      <c r="V21" s="2" t="str">
        <f t="shared" si="3"/>
        <v>-----</v>
      </c>
    </row>
    <row r="22" spans="1:22" x14ac:dyDescent="0.55000000000000004">
      <c r="A22" s="1">
        <v>20</v>
      </c>
      <c r="B22" s="1" t="s">
        <v>23</v>
      </c>
      <c r="C22" s="1" t="s">
        <v>4</v>
      </c>
      <c r="D22" s="1" t="s">
        <v>103</v>
      </c>
      <c r="E22" s="1">
        <v>0</v>
      </c>
      <c r="F22" s="1">
        <v>153.38915</v>
      </c>
      <c r="G22" s="1">
        <v>153.30744000000001</v>
      </c>
      <c r="H22" s="1">
        <v>153.22573</v>
      </c>
      <c r="I22" s="1">
        <v>153.14402000000001</v>
      </c>
      <c r="J22" s="1">
        <v>153.06231</v>
      </c>
      <c r="K22" s="1">
        <v>152.93635</v>
      </c>
      <c r="L22" s="1">
        <v>152.85463999999999</v>
      </c>
      <c r="M22" s="1">
        <v>152.77293</v>
      </c>
      <c r="N22" s="1">
        <v>152.69121999999999</v>
      </c>
      <c r="O22" s="1">
        <v>152.60951</v>
      </c>
      <c r="P22" s="1">
        <v>153.072</v>
      </c>
      <c r="Q22" s="2"/>
      <c r="R22" s="2" t="str">
        <f t="shared" si="0"/>
        <v>Flat Momentum</v>
      </c>
      <c r="S22" s="2" t="str">
        <f t="shared" si="1"/>
        <v>-----</v>
      </c>
      <c r="T22" s="2"/>
      <c r="U22" s="2" t="str">
        <f t="shared" si="2"/>
        <v>-----</v>
      </c>
      <c r="V22" s="2" t="str">
        <f t="shared" si="3"/>
        <v>-----</v>
      </c>
    </row>
    <row r="23" spans="1:22" x14ac:dyDescent="0.55000000000000004">
      <c r="A23" s="1">
        <v>21</v>
      </c>
      <c r="B23" s="1" t="s">
        <v>24</v>
      </c>
      <c r="C23" s="1" t="s">
        <v>4</v>
      </c>
      <c r="D23" s="1" t="s">
        <v>103</v>
      </c>
      <c r="E23" s="1">
        <v>3</v>
      </c>
      <c r="F23" s="1">
        <v>153.38673</v>
      </c>
      <c r="G23" s="1">
        <v>153.30482000000001</v>
      </c>
      <c r="H23" s="1">
        <v>153.22291999999999</v>
      </c>
      <c r="I23" s="1">
        <v>153.14100999999999</v>
      </c>
      <c r="J23" s="1">
        <v>153.0591</v>
      </c>
      <c r="K23" s="1">
        <v>152.93299999999999</v>
      </c>
      <c r="L23" s="1">
        <v>152.85109</v>
      </c>
      <c r="M23" s="1">
        <v>152.76918000000001</v>
      </c>
      <c r="N23" s="1">
        <v>152.68727999999999</v>
      </c>
      <c r="O23" s="1">
        <v>152.60536999999999</v>
      </c>
      <c r="P23" s="1">
        <v>153.06100000000001</v>
      </c>
      <c r="Q23" s="2"/>
      <c r="R23" s="2" t="str">
        <f t="shared" si="0"/>
        <v>Flat Momentum</v>
      </c>
      <c r="S23" s="2" t="str">
        <f t="shared" si="1"/>
        <v>-----</v>
      </c>
      <c r="T23" s="2"/>
      <c r="U23" s="2" t="str">
        <f t="shared" si="2"/>
        <v>-----</v>
      </c>
      <c r="V23" s="2" t="str">
        <f t="shared" si="3"/>
        <v>-----</v>
      </c>
    </row>
    <row r="24" spans="1:22" x14ac:dyDescent="0.55000000000000004">
      <c r="A24" s="1">
        <v>22</v>
      </c>
      <c r="B24" s="1" t="s">
        <v>25</v>
      </c>
      <c r="C24" s="1" t="s">
        <v>4</v>
      </c>
      <c r="D24" s="1" t="s">
        <v>103</v>
      </c>
      <c r="E24" s="1">
        <v>0</v>
      </c>
      <c r="F24" s="1">
        <v>153.38255000000001</v>
      </c>
      <c r="G24" s="1">
        <v>153.30072999999999</v>
      </c>
      <c r="H24" s="1">
        <v>153.21892</v>
      </c>
      <c r="I24" s="1">
        <v>153.1371</v>
      </c>
      <c r="J24" s="1">
        <v>153.05529000000001</v>
      </c>
      <c r="K24" s="1">
        <v>152.93037000000001</v>
      </c>
      <c r="L24" s="1">
        <v>152.84854999999999</v>
      </c>
      <c r="M24" s="1">
        <v>152.76674</v>
      </c>
      <c r="N24" s="1">
        <v>152.68492000000001</v>
      </c>
      <c r="O24" s="1">
        <v>152.60310999999999</v>
      </c>
      <c r="P24" s="1">
        <v>153.05199999999999</v>
      </c>
      <c r="Q24" s="2"/>
      <c r="R24" s="2" t="str">
        <f t="shared" si="0"/>
        <v>-----</v>
      </c>
      <c r="S24" s="2" t="str">
        <f t="shared" si="1"/>
        <v>-----</v>
      </c>
      <c r="T24" s="2"/>
      <c r="U24" s="2" t="str">
        <f t="shared" si="2"/>
        <v>-----</v>
      </c>
      <c r="V24" s="2" t="str">
        <f t="shared" si="3"/>
        <v>-----</v>
      </c>
    </row>
    <row r="25" spans="1:22" x14ac:dyDescent="0.55000000000000004">
      <c r="A25" s="1">
        <v>23</v>
      </c>
      <c r="B25" s="1" t="s">
        <v>26</v>
      </c>
      <c r="C25" s="1" t="s">
        <v>4</v>
      </c>
      <c r="D25" s="1" t="s">
        <v>103</v>
      </c>
      <c r="E25" s="1">
        <v>0</v>
      </c>
      <c r="F25" s="1">
        <v>153.38057000000001</v>
      </c>
      <c r="G25" s="1">
        <v>153.29872</v>
      </c>
      <c r="H25" s="1">
        <v>153.21686</v>
      </c>
      <c r="I25" s="1">
        <v>153.13500999999999</v>
      </c>
      <c r="J25" s="1">
        <v>153.05315999999999</v>
      </c>
      <c r="K25" s="1">
        <v>152.92956000000001</v>
      </c>
      <c r="L25" s="1">
        <v>152.84771000000001</v>
      </c>
      <c r="M25" s="1">
        <v>152.76586</v>
      </c>
      <c r="N25" s="1">
        <v>152.68401</v>
      </c>
      <c r="O25" s="1">
        <v>152.60214999999999</v>
      </c>
      <c r="P25" s="1">
        <v>153.071</v>
      </c>
      <c r="Q25" s="2"/>
      <c r="R25" s="2" t="str">
        <f t="shared" si="0"/>
        <v>Flat Momentum</v>
      </c>
      <c r="S25" s="2" t="str">
        <f t="shared" si="1"/>
        <v>-----</v>
      </c>
      <c r="T25" s="2"/>
      <c r="U25" s="2" t="str">
        <f t="shared" si="2"/>
        <v>-----</v>
      </c>
      <c r="V25" s="2" t="str">
        <f t="shared" si="3"/>
        <v>-----</v>
      </c>
    </row>
    <row r="26" spans="1:22" x14ac:dyDescent="0.55000000000000004">
      <c r="A26" s="1">
        <v>24</v>
      </c>
      <c r="B26" s="1" t="s">
        <v>27</v>
      </c>
      <c r="C26" s="1" t="s">
        <v>4</v>
      </c>
      <c r="D26" s="1" t="s">
        <v>103</v>
      </c>
      <c r="E26" s="1">
        <v>3</v>
      </c>
      <c r="F26" s="1">
        <v>153.37817999999999</v>
      </c>
      <c r="G26" s="1">
        <v>153.29649000000001</v>
      </c>
      <c r="H26" s="1">
        <v>153.21481</v>
      </c>
      <c r="I26" s="1">
        <v>153.13311999999999</v>
      </c>
      <c r="J26" s="1">
        <v>153.05144000000001</v>
      </c>
      <c r="K26" s="1">
        <v>152.93084999999999</v>
      </c>
      <c r="L26" s="1">
        <v>152.84916000000001</v>
      </c>
      <c r="M26" s="1">
        <v>152.76748000000001</v>
      </c>
      <c r="N26" s="1">
        <v>152.68579</v>
      </c>
      <c r="O26" s="1">
        <v>152.60410999999999</v>
      </c>
      <c r="P26" s="1">
        <v>153.08199999999999</v>
      </c>
      <c r="Q26" s="2"/>
      <c r="R26" s="2" t="str">
        <f t="shared" si="0"/>
        <v>Flat Momentum</v>
      </c>
      <c r="S26" s="2" t="str">
        <f t="shared" si="1"/>
        <v>-----</v>
      </c>
      <c r="T26" s="2"/>
      <c r="U26" s="2" t="str">
        <f t="shared" si="2"/>
        <v>-----</v>
      </c>
      <c r="V26" s="2" t="str">
        <f t="shared" si="3"/>
        <v>-----</v>
      </c>
    </row>
    <row r="27" spans="1:22" x14ac:dyDescent="0.55000000000000004">
      <c r="A27" s="1">
        <v>25</v>
      </c>
      <c r="B27" s="1" t="s">
        <v>28</v>
      </c>
      <c r="C27" s="1" t="s">
        <v>4</v>
      </c>
      <c r="D27" s="1" t="s">
        <v>103</v>
      </c>
      <c r="E27" s="1">
        <v>4</v>
      </c>
      <c r="F27" s="1">
        <v>153.37835000000001</v>
      </c>
      <c r="G27" s="1">
        <v>153.29613000000001</v>
      </c>
      <c r="H27" s="1">
        <v>153.21391</v>
      </c>
      <c r="I27" s="1">
        <v>153.1317</v>
      </c>
      <c r="J27" s="1">
        <v>153.04947999999999</v>
      </c>
      <c r="K27" s="1">
        <v>152.93064000000001</v>
      </c>
      <c r="L27" s="1">
        <v>152.84842</v>
      </c>
      <c r="M27" s="1">
        <v>152.76621</v>
      </c>
      <c r="N27" s="1">
        <v>152.68398999999999</v>
      </c>
      <c r="O27" s="1">
        <v>152.60177999999999</v>
      </c>
      <c r="P27" s="1">
        <v>153.04499999999999</v>
      </c>
      <c r="Q27" s="2"/>
      <c r="R27" s="2" t="str">
        <f t="shared" si="0"/>
        <v>-----</v>
      </c>
      <c r="S27" s="2" t="str">
        <f t="shared" si="1"/>
        <v>-----</v>
      </c>
      <c r="T27" s="2"/>
      <c r="U27" s="2" t="str">
        <f t="shared" si="2"/>
        <v>-----</v>
      </c>
      <c r="V27" s="2" t="str">
        <f t="shared" si="3"/>
        <v>-----</v>
      </c>
    </row>
    <row r="28" spans="1:22" x14ac:dyDescent="0.55000000000000004">
      <c r="A28" s="1">
        <v>26</v>
      </c>
      <c r="B28" s="1" t="s">
        <v>29</v>
      </c>
      <c r="C28" s="1" t="s">
        <v>4</v>
      </c>
      <c r="D28" s="1" t="s">
        <v>103</v>
      </c>
      <c r="E28" s="1">
        <v>3</v>
      </c>
      <c r="F28" s="1">
        <v>153.37248</v>
      </c>
      <c r="G28" s="1">
        <v>153.29055</v>
      </c>
      <c r="H28" s="1">
        <v>153.20862</v>
      </c>
      <c r="I28" s="1">
        <v>153.12669</v>
      </c>
      <c r="J28" s="1">
        <v>153.04476</v>
      </c>
      <c r="K28" s="1">
        <v>152.92867000000001</v>
      </c>
      <c r="L28" s="1">
        <v>152.84674000000001</v>
      </c>
      <c r="M28" s="1">
        <v>152.76481000000001</v>
      </c>
      <c r="N28" s="1">
        <v>152.68287000000001</v>
      </c>
      <c r="O28" s="1">
        <v>152.60094000000001</v>
      </c>
      <c r="P28" s="1">
        <v>152.99799999999999</v>
      </c>
      <c r="Q28" s="2"/>
      <c r="R28" s="2" t="str">
        <f t="shared" si="0"/>
        <v>-----</v>
      </c>
      <c r="S28" s="2" t="str">
        <f t="shared" si="1"/>
        <v>-----</v>
      </c>
      <c r="T28" s="2"/>
      <c r="U28" s="2" t="str">
        <f t="shared" si="2"/>
        <v>-----</v>
      </c>
      <c r="V28" s="2" t="str">
        <f t="shared" si="3"/>
        <v>-----</v>
      </c>
    </row>
    <row r="29" spans="1:22" x14ac:dyDescent="0.55000000000000004">
      <c r="A29" s="1">
        <v>27</v>
      </c>
      <c r="B29" s="1" t="s">
        <v>30</v>
      </c>
      <c r="C29" s="1" t="s">
        <v>4</v>
      </c>
      <c r="D29" s="1" t="s">
        <v>103</v>
      </c>
      <c r="E29" s="1">
        <v>0</v>
      </c>
      <c r="F29" s="1">
        <v>153.37241</v>
      </c>
      <c r="G29" s="1">
        <v>153.28989999999999</v>
      </c>
      <c r="H29" s="1">
        <v>153.20740000000001</v>
      </c>
      <c r="I29" s="1">
        <v>153.12488999999999</v>
      </c>
      <c r="J29" s="1">
        <v>153.04238000000001</v>
      </c>
      <c r="K29" s="1">
        <v>152.92532</v>
      </c>
      <c r="L29" s="1">
        <v>152.84280999999999</v>
      </c>
      <c r="M29" s="1">
        <v>152.76031</v>
      </c>
      <c r="N29" s="1">
        <v>152.67779999999999</v>
      </c>
      <c r="O29" s="1">
        <v>152.59529000000001</v>
      </c>
      <c r="P29" s="1">
        <v>153.00299999999999</v>
      </c>
      <c r="Q29" s="2"/>
      <c r="R29" s="2" t="str">
        <f t="shared" si="0"/>
        <v>-----</v>
      </c>
      <c r="S29" s="2" t="str">
        <f t="shared" si="1"/>
        <v>-----</v>
      </c>
      <c r="T29" s="2"/>
      <c r="U29" s="2" t="str">
        <f t="shared" si="2"/>
        <v>-----</v>
      </c>
      <c r="V29" s="2" t="str">
        <f t="shared" si="3"/>
        <v>-----</v>
      </c>
    </row>
    <row r="30" spans="1:22" x14ac:dyDescent="0.55000000000000004">
      <c r="A30" s="1">
        <v>28</v>
      </c>
      <c r="B30" s="1" t="s">
        <v>31</v>
      </c>
      <c r="C30" s="1" t="s">
        <v>4</v>
      </c>
      <c r="D30" s="1" t="s">
        <v>103</v>
      </c>
      <c r="E30" s="1">
        <v>1</v>
      </c>
      <c r="F30" s="1">
        <v>153.37305000000001</v>
      </c>
      <c r="G30" s="1">
        <v>153.29024000000001</v>
      </c>
      <c r="H30" s="1">
        <v>153.20742999999999</v>
      </c>
      <c r="I30" s="1">
        <v>153.12461999999999</v>
      </c>
      <c r="J30" s="1">
        <v>153.04181</v>
      </c>
      <c r="K30" s="1">
        <v>152.92339999999999</v>
      </c>
      <c r="L30" s="1">
        <v>152.84058999999999</v>
      </c>
      <c r="M30" s="1">
        <v>152.75778</v>
      </c>
      <c r="N30" s="1">
        <v>152.67497</v>
      </c>
      <c r="O30" s="1">
        <v>152.59216000000001</v>
      </c>
      <c r="P30" s="1">
        <v>153.042</v>
      </c>
      <c r="Q30" s="2"/>
      <c r="R30" s="2" t="str">
        <f t="shared" si="0"/>
        <v>Flat Momentum</v>
      </c>
      <c r="S30" s="2" t="str">
        <f t="shared" si="1"/>
        <v>-----</v>
      </c>
      <c r="T30" s="2"/>
      <c r="U30" s="2" t="str">
        <f t="shared" si="2"/>
        <v>-----</v>
      </c>
      <c r="V30" s="2" t="str">
        <f t="shared" si="3"/>
        <v>-----</v>
      </c>
    </row>
    <row r="31" spans="1:22" x14ac:dyDescent="0.55000000000000004">
      <c r="A31" s="1">
        <v>29</v>
      </c>
      <c r="B31" s="1" t="s">
        <v>32</v>
      </c>
      <c r="C31" s="1" t="s">
        <v>4</v>
      </c>
      <c r="D31" s="1" t="s">
        <v>103</v>
      </c>
      <c r="E31" s="1">
        <v>0</v>
      </c>
      <c r="F31" s="1">
        <v>153.37671</v>
      </c>
      <c r="G31" s="1">
        <v>153.29374000000001</v>
      </c>
      <c r="H31" s="1">
        <v>153.21077</v>
      </c>
      <c r="I31" s="1">
        <v>153.12780000000001</v>
      </c>
      <c r="J31" s="1">
        <v>153.04482999999999</v>
      </c>
      <c r="K31" s="1">
        <v>152.92589000000001</v>
      </c>
      <c r="L31" s="1">
        <v>152.84291999999999</v>
      </c>
      <c r="M31" s="1">
        <v>152.75996000000001</v>
      </c>
      <c r="N31" s="1">
        <v>152.67698999999999</v>
      </c>
      <c r="O31" s="1">
        <v>152.59402</v>
      </c>
      <c r="P31" s="1">
        <v>153.108</v>
      </c>
      <c r="Q31" s="2"/>
      <c r="R31" s="2" t="str">
        <f t="shared" si="0"/>
        <v>Flat Momentum</v>
      </c>
      <c r="S31" s="2" t="str">
        <f t="shared" si="1"/>
        <v>-----</v>
      </c>
      <c r="T31" s="2"/>
      <c r="U31" s="2" t="str">
        <f t="shared" si="2"/>
        <v>-----</v>
      </c>
      <c r="V31" s="2" t="str">
        <f t="shared" si="3"/>
        <v>-----</v>
      </c>
    </row>
    <row r="32" spans="1:22" x14ac:dyDescent="0.55000000000000004">
      <c r="A32" s="1">
        <v>30</v>
      </c>
      <c r="B32" s="1" t="s">
        <v>33</v>
      </c>
      <c r="C32" s="1" t="s">
        <v>4</v>
      </c>
      <c r="D32" s="1" t="s">
        <v>103</v>
      </c>
      <c r="E32" s="1">
        <v>3</v>
      </c>
      <c r="F32" s="1">
        <v>153.38193999999999</v>
      </c>
      <c r="G32" s="1">
        <v>153.29866000000001</v>
      </c>
      <c r="H32" s="1">
        <v>153.21538000000001</v>
      </c>
      <c r="I32" s="1">
        <v>153.13210000000001</v>
      </c>
      <c r="J32" s="1">
        <v>153.04883000000001</v>
      </c>
      <c r="K32" s="1">
        <v>152.93010000000001</v>
      </c>
      <c r="L32" s="1">
        <v>152.84682000000001</v>
      </c>
      <c r="M32" s="1">
        <v>152.76354000000001</v>
      </c>
      <c r="N32" s="1">
        <v>152.68027000000001</v>
      </c>
      <c r="O32" s="1">
        <v>152.59699000000001</v>
      </c>
      <c r="P32" s="1">
        <v>153.131</v>
      </c>
      <c r="Q32" s="2"/>
      <c r="R32" s="2" t="str">
        <f t="shared" si="0"/>
        <v>Flat Momentum</v>
      </c>
      <c r="S32" s="2" t="str">
        <f t="shared" si="1"/>
        <v>-----</v>
      </c>
      <c r="T32" s="2"/>
      <c r="U32" s="2" t="str">
        <f t="shared" si="2"/>
        <v>-----</v>
      </c>
      <c r="V32" s="2" t="str">
        <f t="shared" si="3"/>
        <v>-----</v>
      </c>
    </row>
    <row r="33" spans="1:22" x14ac:dyDescent="0.55000000000000004">
      <c r="A33" s="1">
        <v>31</v>
      </c>
      <c r="B33" s="1" t="s">
        <v>34</v>
      </c>
      <c r="C33" s="1" t="s">
        <v>4</v>
      </c>
      <c r="D33" s="1" t="s">
        <v>103</v>
      </c>
      <c r="E33" s="1">
        <v>3</v>
      </c>
      <c r="F33" s="1">
        <v>153.38824</v>
      </c>
      <c r="G33" s="1">
        <v>153.30458999999999</v>
      </c>
      <c r="H33" s="1">
        <v>153.22094000000001</v>
      </c>
      <c r="I33" s="1">
        <v>153.13730000000001</v>
      </c>
      <c r="J33" s="1">
        <v>153.05365</v>
      </c>
      <c r="K33" s="1">
        <v>152.93489</v>
      </c>
      <c r="L33" s="1">
        <v>152.85123999999999</v>
      </c>
      <c r="M33" s="1">
        <v>152.76759000000001</v>
      </c>
      <c r="N33" s="1">
        <v>152.68394000000001</v>
      </c>
      <c r="O33" s="1">
        <v>152.60029</v>
      </c>
      <c r="P33" s="1">
        <v>153.124</v>
      </c>
      <c r="Q33" s="2"/>
      <c r="R33" s="2" t="str">
        <f t="shared" si="0"/>
        <v>Flat Momentum</v>
      </c>
      <c r="S33" s="2" t="str">
        <f t="shared" si="1"/>
        <v>-----</v>
      </c>
      <c r="T33" s="2"/>
      <c r="U33" s="2" t="str">
        <f t="shared" si="2"/>
        <v>-----</v>
      </c>
      <c r="V33" s="2" t="str">
        <f t="shared" si="3"/>
        <v>-----</v>
      </c>
    </row>
    <row r="34" spans="1:22" x14ac:dyDescent="0.55000000000000004">
      <c r="A34" s="1">
        <v>32</v>
      </c>
      <c r="B34" s="1" t="s">
        <v>35</v>
      </c>
      <c r="C34" s="1" t="s">
        <v>4</v>
      </c>
      <c r="D34" s="1" t="s">
        <v>103</v>
      </c>
      <c r="E34" s="1">
        <v>0</v>
      </c>
      <c r="F34" s="1">
        <v>153.39069000000001</v>
      </c>
      <c r="G34" s="1">
        <v>153.30725000000001</v>
      </c>
      <c r="H34" s="1">
        <v>153.22380999999999</v>
      </c>
      <c r="I34" s="1">
        <v>153.14036999999999</v>
      </c>
      <c r="J34" s="1">
        <v>153.05692999999999</v>
      </c>
      <c r="K34" s="1">
        <v>152.93997999999999</v>
      </c>
      <c r="L34" s="1">
        <v>152.85654</v>
      </c>
      <c r="M34" s="1">
        <v>152.77311</v>
      </c>
      <c r="N34" s="1">
        <v>152.68967000000001</v>
      </c>
      <c r="O34" s="1">
        <v>152.60623000000001</v>
      </c>
      <c r="P34" s="1">
        <v>153.10499999999999</v>
      </c>
      <c r="Q34" s="2"/>
      <c r="R34" s="2" t="str">
        <f t="shared" si="0"/>
        <v>Flat Momentum</v>
      </c>
      <c r="S34" s="2" t="str">
        <f t="shared" si="1"/>
        <v>-----</v>
      </c>
      <c r="T34" s="2"/>
      <c r="U34" s="2" t="str">
        <f t="shared" si="2"/>
        <v>-----</v>
      </c>
      <c r="V34" s="2" t="str">
        <f t="shared" si="3"/>
        <v>-----</v>
      </c>
    </row>
    <row r="35" spans="1:22" x14ac:dyDescent="0.55000000000000004">
      <c r="A35" s="1">
        <v>33</v>
      </c>
      <c r="B35" s="1" t="s">
        <v>36</v>
      </c>
      <c r="C35" s="1" t="s">
        <v>4</v>
      </c>
      <c r="D35" s="1" t="s">
        <v>103</v>
      </c>
      <c r="E35" s="1">
        <v>5</v>
      </c>
      <c r="F35" s="1">
        <v>153.39471</v>
      </c>
      <c r="G35" s="1">
        <v>153.31057999999999</v>
      </c>
      <c r="H35" s="1">
        <v>153.22645</v>
      </c>
      <c r="I35" s="1">
        <v>153.14232000000001</v>
      </c>
      <c r="J35" s="1">
        <v>153.05819</v>
      </c>
      <c r="K35" s="1">
        <v>152.94063</v>
      </c>
      <c r="L35" s="1">
        <v>152.85650000000001</v>
      </c>
      <c r="M35" s="1">
        <v>152.77237</v>
      </c>
      <c r="N35" s="1">
        <v>152.68824000000001</v>
      </c>
      <c r="O35" s="1">
        <v>152.60410999999999</v>
      </c>
      <c r="P35" s="1">
        <v>153.03</v>
      </c>
      <c r="Q35" s="2"/>
      <c r="R35" s="2" t="str">
        <f t="shared" ref="R35:R66" si="4">IF(P35&gt;F35,"Overbought",IF(P35&gt;H35,"Bullish Momentum",IF(P35&gt;J35,"Flat Momentum","-----")))</f>
        <v>-----</v>
      </c>
      <c r="S35" s="2" t="str">
        <f t="shared" ref="S35:S66" si="5">IF(P35&lt;O35,"Oversold",IF(P35&lt;M35,"Bearish Momentum",IF(P35&lt;K35,"Flat Momentum","-----")))</f>
        <v>-----</v>
      </c>
      <c r="T35" s="2"/>
      <c r="U35" s="2" t="str">
        <f t="shared" ref="U35:U66" si="6">IF(AND(R35="Overbought",E35=2),"Culminated Thrust","-----")</f>
        <v>-----</v>
      </c>
      <c r="V35" s="2" t="str">
        <f t="shared" ref="V35:V66" si="7">IF(AND(S35="Oversold",E35=5),"Culminated Thrust","-----")</f>
        <v>-----</v>
      </c>
    </row>
    <row r="36" spans="1:22" x14ac:dyDescent="0.55000000000000004">
      <c r="A36" s="1">
        <v>34</v>
      </c>
      <c r="B36" s="1" t="s">
        <v>37</v>
      </c>
      <c r="C36" s="1" t="s">
        <v>4</v>
      </c>
      <c r="D36" s="1" t="s">
        <v>103</v>
      </c>
      <c r="E36" s="1">
        <v>3</v>
      </c>
      <c r="F36" s="1">
        <v>153.39196000000001</v>
      </c>
      <c r="G36" s="1">
        <v>153.30749</v>
      </c>
      <c r="H36" s="1">
        <v>153.22301999999999</v>
      </c>
      <c r="I36" s="1">
        <v>153.13855000000001</v>
      </c>
      <c r="J36" s="1">
        <v>153.05409</v>
      </c>
      <c r="K36" s="1">
        <v>152.93673000000001</v>
      </c>
      <c r="L36" s="1">
        <v>152.85227</v>
      </c>
      <c r="M36" s="1">
        <v>152.76779999999999</v>
      </c>
      <c r="N36" s="1">
        <v>152.68333000000001</v>
      </c>
      <c r="O36" s="1">
        <v>152.59886</v>
      </c>
      <c r="P36" s="1">
        <v>152.94399999999999</v>
      </c>
      <c r="Q36" s="2"/>
      <c r="R36" s="2" t="str">
        <f t="shared" si="4"/>
        <v>-----</v>
      </c>
      <c r="S36" s="2" t="str">
        <f t="shared" si="5"/>
        <v>-----</v>
      </c>
      <c r="T36" s="2"/>
      <c r="U36" s="2" t="str">
        <f t="shared" si="6"/>
        <v>-----</v>
      </c>
      <c r="V36" s="2" t="str">
        <f t="shared" si="7"/>
        <v>-----</v>
      </c>
    </row>
    <row r="37" spans="1:22" x14ac:dyDescent="0.55000000000000004">
      <c r="A37" s="1">
        <v>35</v>
      </c>
      <c r="B37" s="1" t="s">
        <v>38</v>
      </c>
      <c r="C37" s="1" t="s">
        <v>4</v>
      </c>
      <c r="D37" s="1" t="s">
        <v>103</v>
      </c>
      <c r="E37" s="1">
        <v>3</v>
      </c>
      <c r="F37" s="1">
        <v>153.38446999999999</v>
      </c>
      <c r="G37" s="1">
        <v>153.2998</v>
      </c>
      <c r="H37" s="1">
        <v>153.21512999999999</v>
      </c>
      <c r="I37" s="1">
        <v>153.13045</v>
      </c>
      <c r="J37" s="1">
        <v>153.04578000000001</v>
      </c>
      <c r="K37" s="1">
        <v>152.92941999999999</v>
      </c>
      <c r="L37" s="1">
        <v>152.84475</v>
      </c>
      <c r="M37" s="1">
        <v>152.76007999999999</v>
      </c>
      <c r="N37" s="1">
        <v>152.6754</v>
      </c>
      <c r="O37" s="1">
        <v>152.59073000000001</v>
      </c>
      <c r="P37" s="1">
        <v>152.88300000000001</v>
      </c>
      <c r="Q37" s="2"/>
      <c r="R37" s="2" t="str">
        <f t="shared" si="4"/>
        <v>-----</v>
      </c>
      <c r="S37" s="2" t="str">
        <f t="shared" si="5"/>
        <v>Flat Momentum</v>
      </c>
      <c r="T37" s="2"/>
      <c r="U37" s="2" t="str">
        <f t="shared" si="6"/>
        <v>-----</v>
      </c>
      <c r="V37" s="2" t="str">
        <f t="shared" si="7"/>
        <v>-----</v>
      </c>
    </row>
    <row r="38" spans="1:22" x14ac:dyDescent="0.55000000000000004">
      <c r="A38" s="1">
        <v>36</v>
      </c>
      <c r="B38" s="1" t="s">
        <v>39</v>
      </c>
      <c r="C38" s="1" t="s">
        <v>4</v>
      </c>
      <c r="D38" s="1" t="s">
        <v>103</v>
      </c>
      <c r="E38" s="1">
        <v>0</v>
      </c>
      <c r="F38" s="1">
        <v>153.37501</v>
      </c>
      <c r="G38" s="1">
        <v>153.29012</v>
      </c>
      <c r="H38" s="1">
        <v>153.20522</v>
      </c>
      <c r="I38" s="1">
        <v>153.12033</v>
      </c>
      <c r="J38" s="1">
        <v>153.03542999999999</v>
      </c>
      <c r="K38" s="1">
        <v>152.92077</v>
      </c>
      <c r="L38" s="1">
        <v>152.83588</v>
      </c>
      <c r="M38" s="1">
        <v>152.75098</v>
      </c>
      <c r="N38" s="1">
        <v>152.66609</v>
      </c>
      <c r="O38" s="1">
        <v>152.58118999999999</v>
      </c>
      <c r="P38" s="1">
        <v>152.86099999999999</v>
      </c>
      <c r="Q38" s="2"/>
      <c r="R38" s="2" t="str">
        <f t="shared" si="4"/>
        <v>-----</v>
      </c>
      <c r="S38" s="2" t="str">
        <f t="shared" si="5"/>
        <v>Flat Momentum</v>
      </c>
      <c r="T38" s="2"/>
      <c r="U38" s="2" t="str">
        <f t="shared" si="6"/>
        <v>-----</v>
      </c>
      <c r="V38" s="2" t="str">
        <f t="shared" si="7"/>
        <v>-----</v>
      </c>
    </row>
    <row r="39" spans="1:22" x14ac:dyDescent="0.55000000000000004">
      <c r="A39" s="1">
        <v>37</v>
      </c>
      <c r="B39" s="1" t="s">
        <v>40</v>
      </c>
      <c r="C39" s="1" t="s">
        <v>4</v>
      </c>
      <c r="D39" s="1" t="s">
        <v>103</v>
      </c>
      <c r="E39" s="1">
        <v>3</v>
      </c>
      <c r="F39" s="1">
        <v>153.36492999999999</v>
      </c>
      <c r="G39" s="1">
        <v>153.27966000000001</v>
      </c>
      <c r="H39" s="1">
        <v>153.19438</v>
      </c>
      <c r="I39" s="1">
        <v>153.10910999999999</v>
      </c>
      <c r="J39" s="1">
        <v>153.02384000000001</v>
      </c>
      <c r="K39" s="1">
        <v>152.91059999999999</v>
      </c>
      <c r="L39" s="1">
        <v>152.82533000000001</v>
      </c>
      <c r="M39" s="1">
        <v>152.74006</v>
      </c>
      <c r="N39" s="1">
        <v>152.65478999999999</v>
      </c>
      <c r="O39" s="1">
        <v>152.56951000000001</v>
      </c>
      <c r="P39" s="1">
        <v>152.83199999999999</v>
      </c>
      <c r="Q39" s="2"/>
      <c r="R39" s="2" t="str">
        <f t="shared" si="4"/>
        <v>-----</v>
      </c>
      <c r="S39" s="2" t="str">
        <f t="shared" si="5"/>
        <v>Flat Momentum</v>
      </c>
      <c r="T39" s="2"/>
      <c r="U39" s="2" t="str">
        <f t="shared" si="6"/>
        <v>-----</v>
      </c>
      <c r="V39" s="2" t="str">
        <f t="shared" si="7"/>
        <v>-----</v>
      </c>
    </row>
    <row r="40" spans="1:22" x14ac:dyDescent="0.55000000000000004">
      <c r="A40" s="1">
        <v>38</v>
      </c>
      <c r="B40" s="1" t="s">
        <v>41</v>
      </c>
      <c r="C40" s="1" t="s">
        <v>4</v>
      </c>
      <c r="D40" s="1" t="s">
        <v>103</v>
      </c>
      <c r="E40" s="1">
        <v>0</v>
      </c>
      <c r="F40" s="1">
        <v>153.35269</v>
      </c>
      <c r="G40" s="1">
        <v>153.26722000000001</v>
      </c>
      <c r="H40" s="1">
        <v>153.18174999999999</v>
      </c>
      <c r="I40" s="1">
        <v>153.09628000000001</v>
      </c>
      <c r="J40" s="1">
        <v>153.01080999999999</v>
      </c>
      <c r="K40" s="1">
        <v>152.89924999999999</v>
      </c>
      <c r="L40" s="1">
        <v>152.81378000000001</v>
      </c>
      <c r="M40" s="1">
        <v>152.72830999999999</v>
      </c>
      <c r="N40" s="1">
        <v>152.64284000000001</v>
      </c>
      <c r="O40" s="1">
        <v>152.55736999999999</v>
      </c>
      <c r="P40" s="1">
        <v>152.81</v>
      </c>
      <c r="Q40" s="2"/>
      <c r="R40" s="2" t="str">
        <f t="shared" si="4"/>
        <v>-----</v>
      </c>
      <c r="S40" s="2" t="str">
        <f t="shared" si="5"/>
        <v>Flat Momentum</v>
      </c>
      <c r="T40" s="2"/>
      <c r="U40" s="2" t="str">
        <f t="shared" si="6"/>
        <v>-----</v>
      </c>
      <c r="V40" s="2" t="str">
        <f t="shared" si="7"/>
        <v>-----</v>
      </c>
    </row>
    <row r="41" spans="1:22" x14ac:dyDescent="0.55000000000000004">
      <c r="A41" s="1">
        <v>39</v>
      </c>
      <c r="B41" s="1" t="s">
        <v>42</v>
      </c>
      <c r="C41" s="1" t="s">
        <v>4</v>
      </c>
      <c r="D41" s="1" t="s">
        <v>103</v>
      </c>
      <c r="E41" s="1">
        <v>3</v>
      </c>
      <c r="F41" s="1">
        <v>153.33703</v>
      </c>
      <c r="G41" s="1">
        <v>153.25181000000001</v>
      </c>
      <c r="H41" s="1">
        <v>153.16659000000001</v>
      </c>
      <c r="I41" s="1">
        <v>153.08136999999999</v>
      </c>
      <c r="J41" s="1">
        <v>152.99614</v>
      </c>
      <c r="K41" s="1">
        <v>152.88623000000001</v>
      </c>
      <c r="L41" s="1">
        <v>152.80100999999999</v>
      </c>
      <c r="M41" s="1">
        <v>152.71579</v>
      </c>
      <c r="N41" s="1">
        <v>152.63057000000001</v>
      </c>
      <c r="O41" s="1">
        <v>152.54535000000001</v>
      </c>
      <c r="P41" s="1">
        <v>152.779</v>
      </c>
      <c r="Q41" s="2"/>
      <c r="R41" s="2" t="str">
        <f t="shared" si="4"/>
        <v>-----</v>
      </c>
      <c r="S41" s="2" t="str">
        <f t="shared" si="5"/>
        <v>Flat Momentum</v>
      </c>
      <c r="T41" s="2"/>
      <c r="U41" s="2" t="str">
        <f t="shared" si="6"/>
        <v>-----</v>
      </c>
      <c r="V41" s="2" t="str">
        <f t="shared" si="7"/>
        <v>-----</v>
      </c>
    </row>
    <row r="42" spans="1:22" x14ac:dyDescent="0.55000000000000004">
      <c r="A42" s="1">
        <v>40</v>
      </c>
      <c r="B42" s="1" t="s">
        <v>43</v>
      </c>
      <c r="C42" s="1" t="s">
        <v>4</v>
      </c>
      <c r="D42" s="1" t="s">
        <v>103</v>
      </c>
      <c r="E42" s="1">
        <v>0</v>
      </c>
      <c r="F42" s="1">
        <v>153.32065</v>
      </c>
      <c r="G42" s="1">
        <v>153.23535999999999</v>
      </c>
      <c r="H42" s="1">
        <v>153.15007</v>
      </c>
      <c r="I42" s="1">
        <v>153.06478000000001</v>
      </c>
      <c r="J42" s="1">
        <v>152.97949</v>
      </c>
      <c r="K42" s="1">
        <v>152.87223</v>
      </c>
      <c r="L42" s="1">
        <v>152.78693999999999</v>
      </c>
      <c r="M42" s="1">
        <v>152.70165</v>
      </c>
      <c r="N42" s="1">
        <v>152.61635999999999</v>
      </c>
      <c r="O42" s="1">
        <v>152.53107</v>
      </c>
      <c r="P42" s="1">
        <v>152.75800000000001</v>
      </c>
      <c r="Q42" s="2"/>
      <c r="R42" s="2" t="str">
        <f t="shared" si="4"/>
        <v>-----</v>
      </c>
      <c r="S42" s="2" t="str">
        <f t="shared" si="5"/>
        <v>Flat Momentum</v>
      </c>
      <c r="T42" s="2"/>
      <c r="U42" s="2" t="str">
        <f t="shared" si="6"/>
        <v>-----</v>
      </c>
      <c r="V42" s="2" t="str">
        <f t="shared" si="7"/>
        <v>-----</v>
      </c>
    </row>
    <row r="43" spans="1:22" x14ac:dyDescent="0.55000000000000004">
      <c r="A43" s="1">
        <v>41</v>
      </c>
      <c r="B43" s="1" t="s">
        <v>44</v>
      </c>
      <c r="C43" s="1" t="s">
        <v>4</v>
      </c>
      <c r="D43" s="1" t="s">
        <v>103</v>
      </c>
      <c r="E43" s="1">
        <v>0</v>
      </c>
      <c r="F43" s="1">
        <v>153.30107000000001</v>
      </c>
      <c r="G43" s="1">
        <v>153.21630999999999</v>
      </c>
      <c r="H43" s="1">
        <v>153.13155</v>
      </c>
      <c r="I43" s="1">
        <v>153.04678999999999</v>
      </c>
      <c r="J43" s="1">
        <v>152.96203</v>
      </c>
      <c r="K43" s="1">
        <v>152.85846000000001</v>
      </c>
      <c r="L43" s="1">
        <v>152.77370999999999</v>
      </c>
      <c r="M43" s="1">
        <v>152.68895000000001</v>
      </c>
      <c r="N43" s="1">
        <v>152.60418999999999</v>
      </c>
      <c r="O43" s="1">
        <v>152.51943</v>
      </c>
      <c r="P43" s="1">
        <v>152.75299999999999</v>
      </c>
      <c r="Q43" s="2"/>
      <c r="R43" s="2" t="str">
        <f t="shared" si="4"/>
        <v>-----</v>
      </c>
      <c r="S43" s="2" t="str">
        <f t="shared" si="5"/>
        <v>Flat Momentum</v>
      </c>
      <c r="T43" s="2"/>
      <c r="U43" s="2" t="str">
        <f t="shared" si="6"/>
        <v>-----</v>
      </c>
      <c r="V43" s="2" t="str">
        <f t="shared" si="7"/>
        <v>-----</v>
      </c>
    </row>
    <row r="44" spans="1:22" x14ac:dyDescent="0.55000000000000004">
      <c r="A44" s="1">
        <v>42</v>
      </c>
      <c r="B44" s="1" t="s">
        <v>45</v>
      </c>
      <c r="C44" s="1" t="s">
        <v>4</v>
      </c>
      <c r="D44" s="1" t="s">
        <v>103</v>
      </c>
      <c r="E44" s="1">
        <v>3</v>
      </c>
      <c r="F44" s="1">
        <v>153.28298000000001</v>
      </c>
      <c r="G44" s="1">
        <v>153.19832</v>
      </c>
      <c r="H44" s="1">
        <v>153.11365000000001</v>
      </c>
      <c r="I44" s="1">
        <v>153.02897999999999</v>
      </c>
      <c r="J44" s="1">
        <v>152.94432</v>
      </c>
      <c r="K44" s="1">
        <v>152.84425999999999</v>
      </c>
      <c r="L44" s="1">
        <v>152.75959</v>
      </c>
      <c r="M44" s="1">
        <v>152.67492999999999</v>
      </c>
      <c r="N44" s="1">
        <v>152.59026</v>
      </c>
      <c r="O44" s="1">
        <v>152.50559000000001</v>
      </c>
      <c r="P44" s="1">
        <v>152.74</v>
      </c>
      <c r="Q44" s="2"/>
      <c r="R44" s="2" t="str">
        <f t="shared" si="4"/>
        <v>-----</v>
      </c>
      <c r="S44" s="2" t="str">
        <f t="shared" si="5"/>
        <v>Flat Momentum</v>
      </c>
      <c r="T44" s="2"/>
      <c r="U44" s="2" t="str">
        <f t="shared" si="6"/>
        <v>-----</v>
      </c>
      <c r="V44" s="2" t="str">
        <f t="shared" si="7"/>
        <v>-----</v>
      </c>
    </row>
    <row r="45" spans="1:22" x14ac:dyDescent="0.55000000000000004">
      <c r="A45" s="1">
        <v>43</v>
      </c>
      <c r="B45" s="1" t="s">
        <v>46</v>
      </c>
      <c r="C45" s="1" t="s">
        <v>4</v>
      </c>
      <c r="D45" s="1" t="s">
        <v>103</v>
      </c>
      <c r="E45" s="1">
        <v>3</v>
      </c>
      <c r="F45" s="1">
        <v>153.26665</v>
      </c>
      <c r="G45" s="1">
        <v>153.18136999999999</v>
      </c>
      <c r="H45" s="1">
        <v>153.09608</v>
      </c>
      <c r="I45" s="1">
        <v>153.01079999999999</v>
      </c>
      <c r="J45" s="1">
        <v>152.92551</v>
      </c>
      <c r="K45" s="1">
        <v>152.82675</v>
      </c>
      <c r="L45" s="1">
        <v>152.74146999999999</v>
      </c>
      <c r="M45" s="1">
        <v>152.65618000000001</v>
      </c>
      <c r="N45" s="1">
        <v>152.57089999999999</v>
      </c>
      <c r="O45" s="1">
        <v>152.48562000000001</v>
      </c>
      <c r="P45" s="1">
        <v>152.691</v>
      </c>
      <c r="Q45" s="2"/>
      <c r="R45" s="2" t="str">
        <f t="shared" si="4"/>
        <v>-----</v>
      </c>
      <c r="S45" s="2" t="str">
        <f t="shared" si="5"/>
        <v>Flat Momentum</v>
      </c>
      <c r="T45" s="2"/>
      <c r="U45" s="2" t="str">
        <f t="shared" si="6"/>
        <v>-----</v>
      </c>
      <c r="V45" s="2" t="str">
        <f t="shared" si="7"/>
        <v>-----</v>
      </c>
    </row>
    <row r="46" spans="1:22" x14ac:dyDescent="0.55000000000000004">
      <c r="A46" s="1">
        <v>44</v>
      </c>
      <c r="B46" s="1" t="s">
        <v>47</v>
      </c>
      <c r="C46" s="1" t="s">
        <v>4</v>
      </c>
      <c r="D46" s="1" t="s">
        <v>103</v>
      </c>
      <c r="E46" s="1">
        <v>0</v>
      </c>
      <c r="F46" s="1">
        <v>153.24721</v>
      </c>
      <c r="G46" s="1">
        <v>153.16158999999999</v>
      </c>
      <c r="H46" s="1">
        <v>153.07597000000001</v>
      </c>
      <c r="I46" s="1">
        <v>152.99036000000001</v>
      </c>
      <c r="J46" s="1">
        <v>152.90474</v>
      </c>
      <c r="K46" s="1">
        <v>152.80715000000001</v>
      </c>
      <c r="L46" s="1">
        <v>152.72154</v>
      </c>
      <c r="M46" s="1">
        <v>152.63592</v>
      </c>
      <c r="N46" s="1">
        <v>152.55029999999999</v>
      </c>
      <c r="O46" s="1">
        <v>152.46468999999999</v>
      </c>
      <c r="P46" s="1">
        <v>152.65299999999999</v>
      </c>
      <c r="Q46" s="2"/>
      <c r="R46" s="2" t="str">
        <f t="shared" si="4"/>
        <v>-----</v>
      </c>
      <c r="S46" s="2" t="str">
        <f t="shared" si="5"/>
        <v>Flat Momentum</v>
      </c>
      <c r="T46" s="2"/>
      <c r="U46" s="2" t="str">
        <f t="shared" si="6"/>
        <v>-----</v>
      </c>
      <c r="V46" s="2" t="str">
        <f t="shared" si="7"/>
        <v>-----</v>
      </c>
    </row>
    <row r="47" spans="1:22" x14ac:dyDescent="0.55000000000000004">
      <c r="A47" s="1">
        <v>45</v>
      </c>
      <c r="B47" s="1" t="s">
        <v>48</v>
      </c>
      <c r="C47" s="1" t="s">
        <v>4</v>
      </c>
      <c r="D47" s="1" t="s">
        <v>103</v>
      </c>
      <c r="E47" s="1">
        <v>0</v>
      </c>
      <c r="F47" s="1">
        <v>153.22748999999999</v>
      </c>
      <c r="G47" s="1">
        <v>153.14178000000001</v>
      </c>
      <c r="H47" s="1">
        <v>153.05606</v>
      </c>
      <c r="I47" s="1">
        <v>152.97033999999999</v>
      </c>
      <c r="J47" s="1">
        <v>152.88462999999999</v>
      </c>
      <c r="K47" s="1">
        <v>152.78836999999999</v>
      </c>
      <c r="L47" s="1">
        <v>152.70266000000001</v>
      </c>
      <c r="M47" s="1">
        <v>152.61694</v>
      </c>
      <c r="N47" s="1">
        <v>152.53121999999999</v>
      </c>
      <c r="O47" s="1">
        <v>152.44551000000001</v>
      </c>
      <c r="P47" s="1">
        <v>152.66499999999999</v>
      </c>
      <c r="Q47" s="2"/>
      <c r="R47" s="2" t="str">
        <f t="shared" si="4"/>
        <v>-----</v>
      </c>
      <c r="S47" s="2" t="str">
        <f t="shared" si="5"/>
        <v>Flat Momentum</v>
      </c>
      <c r="T47" s="2"/>
      <c r="U47" s="2" t="str">
        <f t="shared" si="6"/>
        <v>-----</v>
      </c>
      <c r="V47" s="2" t="str">
        <f t="shared" si="7"/>
        <v>-----</v>
      </c>
    </row>
    <row r="48" spans="1:22" x14ac:dyDescent="0.55000000000000004">
      <c r="A48" s="1">
        <v>46</v>
      </c>
      <c r="B48" s="1" t="s">
        <v>49</v>
      </c>
      <c r="C48" s="1" t="s">
        <v>4</v>
      </c>
      <c r="D48" s="1" t="s">
        <v>103</v>
      </c>
      <c r="E48" s="1">
        <v>3</v>
      </c>
      <c r="F48" s="1">
        <v>153.20768000000001</v>
      </c>
      <c r="G48" s="1">
        <v>153.12210999999999</v>
      </c>
      <c r="H48" s="1">
        <v>153.03655000000001</v>
      </c>
      <c r="I48" s="1">
        <v>152.95098999999999</v>
      </c>
      <c r="J48" s="1">
        <v>152.86543</v>
      </c>
      <c r="K48" s="1">
        <v>152.77142000000001</v>
      </c>
      <c r="L48" s="1">
        <v>152.68585999999999</v>
      </c>
      <c r="M48" s="1">
        <v>152.60029</v>
      </c>
      <c r="N48" s="1">
        <v>152.51472999999999</v>
      </c>
      <c r="O48" s="1">
        <v>152.42917</v>
      </c>
      <c r="P48" s="1">
        <v>152.67500000000001</v>
      </c>
      <c r="Q48" s="2"/>
      <c r="R48" s="2" t="str">
        <f t="shared" si="4"/>
        <v>-----</v>
      </c>
      <c r="S48" s="2" t="str">
        <f t="shared" si="5"/>
        <v>Flat Momentum</v>
      </c>
      <c r="T48" s="2"/>
      <c r="U48" s="2" t="str">
        <f t="shared" si="6"/>
        <v>-----</v>
      </c>
      <c r="V48" s="2" t="str">
        <f t="shared" si="7"/>
        <v>-----</v>
      </c>
    </row>
    <row r="49" spans="1:22" x14ac:dyDescent="0.55000000000000004">
      <c r="A49" s="1">
        <v>47</v>
      </c>
      <c r="B49" s="1" t="s">
        <v>50</v>
      </c>
      <c r="C49" s="1" t="s">
        <v>4</v>
      </c>
      <c r="D49" s="1" t="s">
        <v>103</v>
      </c>
      <c r="E49" s="1">
        <v>1</v>
      </c>
      <c r="F49" s="1">
        <v>153.19289000000001</v>
      </c>
      <c r="G49" s="1">
        <v>153.10696999999999</v>
      </c>
      <c r="H49" s="1">
        <v>153.02106000000001</v>
      </c>
      <c r="I49" s="1">
        <v>152.93514999999999</v>
      </c>
      <c r="J49" s="1">
        <v>152.84923000000001</v>
      </c>
      <c r="K49" s="1">
        <v>152.75612000000001</v>
      </c>
      <c r="L49" s="1">
        <v>152.67021</v>
      </c>
      <c r="M49" s="1">
        <v>152.58430000000001</v>
      </c>
      <c r="N49" s="1">
        <v>152.49838</v>
      </c>
      <c r="O49" s="1">
        <v>152.41247000000001</v>
      </c>
      <c r="P49" s="1">
        <v>152.715</v>
      </c>
      <c r="Q49" s="2"/>
      <c r="R49" s="2" t="str">
        <f t="shared" si="4"/>
        <v>-----</v>
      </c>
      <c r="S49" s="2" t="str">
        <f t="shared" si="5"/>
        <v>Flat Momentum</v>
      </c>
      <c r="T49" s="2"/>
      <c r="U49" s="2" t="str">
        <f t="shared" si="6"/>
        <v>-----</v>
      </c>
      <c r="V49" s="2" t="str">
        <f t="shared" si="7"/>
        <v>-----</v>
      </c>
    </row>
    <row r="50" spans="1:22" x14ac:dyDescent="0.55000000000000004">
      <c r="A50" s="1">
        <v>48</v>
      </c>
      <c r="B50" s="1" t="s">
        <v>51</v>
      </c>
      <c r="C50" s="1" t="s">
        <v>4</v>
      </c>
      <c r="D50" s="1" t="s">
        <v>103</v>
      </c>
      <c r="E50" s="1">
        <v>0</v>
      </c>
      <c r="F50" s="1">
        <v>153.17936</v>
      </c>
      <c r="G50" s="1">
        <v>153.09342000000001</v>
      </c>
      <c r="H50" s="1">
        <v>153.00747999999999</v>
      </c>
      <c r="I50" s="1">
        <v>152.92153999999999</v>
      </c>
      <c r="J50" s="1">
        <v>152.8356</v>
      </c>
      <c r="K50" s="1">
        <v>152.74466000000001</v>
      </c>
      <c r="L50" s="1">
        <v>152.65871999999999</v>
      </c>
      <c r="M50" s="1">
        <v>152.57279</v>
      </c>
      <c r="N50" s="1">
        <v>152.48685</v>
      </c>
      <c r="O50" s="1">
        <v>152.40091000000001</v>
      </c>
      <c r="P50" s="1">
        <v>152.75899999999999</v>
      </c>
      <c r="Q50" s="2"/>
      <c r="R50" s="2" t="str">
        <f t="shared" si="4"/>
        <v>-----</v>
      </c>
      <c r="S50" s="2" t="str">
        <f t="shared" si="5"/>
        <v>-----</v>
      </c>
      <c r="T50" s="2"/>
      <c r="U50" s="2" t="str">
        <f t="shared" si="6"/>
        <v>-----</v>
      </c>
      <c r="V50" s="2" t="str">
        <f t="shared" si="7"/>
        <v>-----</v>
      </c>
    </row>
    <row r="51" spans="1:22" x14ac:dyDescent="0.55000000000000004">
      <c r="A51" s="1">
        <v>49</v>
      </c>
      <c r="B51" s="1" t="s">
        <v>52</v>
      </c>
      <c r="C51" s="1" t="s">
        <v>4</v>
      </c>
      <c r="D51" s="1" t="s">
        <v>103</v>
      </c>
      <c r="E51" s="1">
        <v>3</v>
      </c>
      <c r="F51" s="1">
        <v>153.16906</v>
      </c>
      <c r="G51" s="1">
        <v>153.08312000000001</v>
      </c>
      <c r="H51" s="1">
        <v>152.99718999999999</v>
      </c>
      <c r="I51" s="1">
        <v>152.91125</v>
      </c>
      <c r="J51" s="1">
        <v>152.82531</v>
      </c>
      <c r="K51" s="1">
        <v>152.73636999999999</v>
      </c>
      <c r="L51" s="1">
        <v>152.65044</v>
      </c>
      <c r="M51" s="1">
        <v>152.56450000000001</v>
      </c>
      <c r="N51" s="1">
        <v>152.47855999999999</v>
      </c>
      <c r="O51" s="1">
        <v>152.39261999999999</v>
      </c>
      <c r="P51" s="1">
        <v>152.797</v>
      </c>
      <c r="Q51" s="2"/>
      <c r="R51" s="2" t="str">
        <f t="shared" si="4"/>
        <v>-----</v>
      </c>
      <c r="S51" s="2" t="str">
        <f t="shared" si="5"/>
        <v>-----</v>
      </c>
      <c r="T51" s="2"/>
      <c r="U51" s="2" t="str">
        <f t="shared" si="6"/>
        <v>-----</v>
      </c>
      <c r="V51" s="2" t="str">
        <f t="shared" si="7"/>
        <v>-----</v>
      </c>
    </row>
    <row r="52" spans="1:22" x14ac:dyDescent="0.55000000000000004">
      <c r="A52" s="1">
        <v>50</v>
      </c>
      <c r="B52" s="1" t="s">
        <v>53</v>
      </c>
      <c r="C52" s="1" t="s">
        <v>4</v>
      </c>
      <c r="D52" s="1" t="s">
        <v>103</v>
      </c>
      <c r="E52" s="1">
        <v>0</v>
      </c>
      <c r="F52" s="1">
        <v>153.15973</v>
      </c>
      <c r="G52" s="1">
        <v>153.07395</v>
      </c>
      <c r="H52" s="1">
        <v>152.98817</v>
      </c>
      <c r="I52" s="1">
        <v>152.90237999999999</v>
      </c>
      <c r="J52" s="1">
        <v>152.81659999999999</v>
      </c>
      <c r="K52" s="1">
        <v>152.72987000000001</v>
      </c>
      <c r="L52" s="1">
        <v>152.64409000000001</v>
      </c>
      <c r="M52" s="1">
        <v>152.5583</v>
      </c>
      <c r="N52" s="1">
        <v>152.47252</v>
      </c>
      <c r="O52" s="1">
        <v>152.38674</v>
      </c>
      <c r="P52" s="1">
        <v>152.81100000000001</v>
      </c>
      <c r="Q52" s="2"/>
      <c r="R52" s="2" t="str">
        <f t="shared" si="4"/>
        <v>-----</v>
      </c>
      <c r="S52" s="2" t="str">
        <f t="shared" si="5"/>
        <v>-----</v>
      </c>
      <c r="T52" s="2"/>
      <c r="U52" s="2" t="str">
        <f t="shared" si="6"/>
        <v>-----</v>
      </c>
      <c r="V52" s="2" t="str">
        <f t="shared" si="7"/>
        <v>-----</v>
      </c>
    </row>
    <row r="53" spans="1:22" x14ac:dyDescent="0.55000000000000004">
      <c r="A53" s="1">
        <v>51</v>
      </c>
      <c r="B53" s="1" t="s">
        <v>54</v>
      </c>
      <c r="C53" s="1" t="s">
        <v>4</v>
      </c>
      <c r="D53" s="1" t="s">
        <v>103</v>
      </c>
      <c r="E53" s="1">
        <v>3</v>
      </c>
      <c r="F53" s="1">
        <v>153.15314000000001</v>
      </c>
      <c r="G53" s="1">
        <v>153.06716</v>
      </c>
      <c r="H53" s="1">
        <v>152.98117999999999</v>
      </c>
      <c r="I53" s="1">
        <v>152.89520999999999</v>
      </c>
      <c r="J53" s="1">
        <v>152.80923000000001</v>
      </c>
      <c r="K53" s="1">
        <v>152.72338999999999</v>
      </c>
      <c r="L53" s="1">
        <v>152.63740999999999</v>
      </c>
      <c r="M53" s="1">
        <v>152.55144000000001</v>
      </c>
      <c r="N53" s="1">
        <v>152.46546000000001</v>
      </c>
      <c r="O53" s="1">
        <v>152.37949</v>
      </c>
      <c r="P53" s="1">
        <v>152.79900000000001</v>
      </c>
      <c r="Q53" s="2"/>
      <c r="R53" s="2" t="str">
        <f t="shared" si="4"/>
        <v>-----</v>
      </c>
      <c r="S53" s="2" t="str">
        <f t="shared" si="5"/>
        <v>-----</v>
      </c>
      <c r="T53" s="2"/>
      <c r="U53" s="2" t="str">
        <f t="shared" si="6"/>
        <v>-----</v>
      </c>
      <c r="V53" s="2" t="str">
        <f t="shared" si="7"/>
        <v>-----</v>
      </c>
    </row>
    <row r="54" spans="1:22" x14ac:dyDescent="0.55000000000000004">
      <c r="A54" s="1">
        <v>52</v>
      </c>
      <c r="B54" s="1" t="s">
        <v>55</v>
      </c>
      <c r="C54" s="1" t="s">
        <v>4</v>
      </c>
      <c r="D54" s="1" t="s">
        <v>103</v>
      </c>
      <c r="E54" s="1">
        <v>0</v>
      </c>
      <c r="F54" s="1">
        <v>153.14786000000001</v>
      </c>
      <c r="G54" s="1">
        <v>153.06161</v>
      </c>
      <c r="H54" s="1">
        <v>152.97535999999999</v>
      </c>
      <c r="I54" s="1">
        <v>152.88910000000001</v>
      </c>
      <c r="J54" s="1">
        <v>152.80285000000001</v>
      </c>
      <c r="K54" s="1">
        <v>152.71781999999999</v>
      </c>
      <c r="L54" s="1">
        <v>152.63157000000001</v>
      </c>
      <c r="M54" s="1">
        <v>152.54532</v>
      </c>
      <c r="N54" s="1">
        <v>152.45907</v>
      </c>
      <c r="O54" s="1">
        <v>152.37280999999999</v>
      </c>
      <c r="P54" s="1">
        <v>152.803</v>
      </c>
      <c r="Q54" s="2"/>
      <c r="R54" s="2" t="str">
        <f t="shared" si="4"/>
        <v>Flat Momentum</v>
      </c>
      <c r="S54" s="2" t="str">
        <f t="shared" si="5"/>
        <v>-----</v>
      </c>
      <c r="T54" s="2"/>
      <c r="U54" s="2" t="str">
        <f t="shared" si="6"/>
        <v>-----</v>
      </c>
      <c r="V54" s="2" t="str">
        <f t="shared" si="7"/>
        <v>-----</v>
      </c>
    </row>
    <row r="55" spans="1:22" x14ac:dyDescent="0.55000000000000004">
      <c r="A55" s="1">
        <v>53</v>
      </c>
      <c r="B55" s="1" t="s">
        <v>56</v>
      </c>
      <c r="C55" s="1" t="s">
        <v>4</v>
      </c>
      <c r="D55" s="1" t="s">
        <v>103</v>
      </c>
      <c r="E55" s="1">
        <v>3</v>
      </c>
      <c r="F55" s="1">
        <v>153.14164</v>
      </c>
      <c r="G55" s="1">
        <v>153.05554000000001</v>
      </c>
      <c r="H55" s="1">
        <v>152.96943999999999</v>
      </c>
      <c r="I55" s="1">
        <v>152.88334</v>
      </c>
      <c r="J55" s="1">
        <v>152.79723999999999</v>
      </c>
      <c r="K55" s="1">
        <v>152.71342000000001</v>
      </c>
      <c r="L55" s="1">
        <v>152.62732</v>
      </c>
      <c r="M55" s="1">
        <v>152.54122000000001</v>
      </c>
      <c r="N55" s="1">
        <v>152.45511999999999</v>
      </c>
      <c r="O55" s="1">
        <v>152.36902000000001</v>
      </c>
      <c r="P55" s="1">
        <v>152.804</v>
      </c>
      <c r="Q55" s="2"/>
      <c r="R55" s="2" t="str">
        <f t="shared" si="4"/>
        <v>Flat Momentum</v>
      </c>
      <c r="S55" s="2" t="str">
        <f t="shared" si="5"/>
        <v>-----</v>
      </c>
      <c r="T55" s="2"/>
      <c r="U55" s="2" t="str">
        <f t="shared" si="6"/>
        <v>-----</v>
      </c>
      <c r="V55" s="2" t="str">
        <f t="shared" si="7"/>
        <v>-----</v>
      </c>
    </row>
    <row r="56" spans="1:22" x14ac:dyDescent="0.55000000000000004">
      <c r="A56" s="1">
        <v>54</v>
      </c>
      <c r="B56" s="1" t="s">
        <v>57</v>
      </c>
      <c r="C56" s="1" t="s">
        <v>4</v>
      </c>
      <c r="D56" s="1" t="s">
        <v>103</v>
      </c>
      <c r="E56" s="1">
        <v>0</v>
      </c>
      <c r="F56" s="1">
        <v>153.13606999999999</v>
      </c>
      <c r="G56" s="1">
        <v>153.05015</v>
      </c>
      <c r="H56" s="1">
        <v>152.96422999999999</v>
      </c>
      <c r="I56" s="1">
        <v>152.87831</v>
      </c>
      <c r="J56" s="1">
        <v>152.79239000000001</v>
      </c>
      <c r="K56" s="1">
        <v>152.71011999999999</v>
      </c>
      <c r="L56" s="1">
        <v>152.6242</v>
      </c>
      <c r="M56" s="1">
        <v>152.53827999999999</v>
      </c>
      <c r="N56" s="1">
        <v>152.45236</v>
      </c>
      <c r="O56" s="1">
        <v>152.36644000000001</v>
      </c>
      <c r="P56" s="1">
        <v>152.809</v>
      </c>
      <c r="Q56" s="2"/>
      <c r="R56" s="2" t="str">
        <f t="shared" si="4"/>
        <v>Flat Momentum</v>
      </c>
      <c r="S56" s="2" t="str">
        <f t="shared" si="5"/>
        <v>-----</v>
      </c>
      <c r="T56" s="2"/>
      <c r="U56" s="2" t="str">
        <f t="shared" si="6"/>
        <v>-----</v>
      </c>
      <c r="V56" s="2" t="str">
        <f t="shared" si="7"/>
        <v>-----</v>
      </c>
    </row>
    <row r="57" spans="1:22" x14ac:dyDescent="0.55000000000000004">
      <c r="A57" s="1">
        <v>55</v>
      </c>
      <c r="B57" s="1" t="s">
        <v>58</v>
      </c>
      <c r="C57" s="1" t="s">
        <v>4</v>
      </c>
      <c r="D57" s="1" t="s">
        <v>103</v>
      </c>
      <c r="E57" s="1">
        <v>3</v>
      </c>
      <c r="F57" s="1">
        <v>153.13059000000001</v>
      </c>
      <c r="G57" s="1">
        <v>153.04498000000001</v>
      </c>
      <c r="H57" s="1">
        <v>152.95936</v>
      </c>
      <c r="I57" s="1">
        <v>152.87375</v>
      </c>
      <c r="J57" s="1">
        <v>152.78814</v>
      </c>
      <c r="K57" s="1">
        <v>152.70845</v>
      </c>
      <c r="L57" s="1">
        <v>152.62284</v>
      </c>
      <c r="M57" s="1">
        <v>152.53722999999999</v>
      </c>
      <c r="N57" s="1">
        <v>152.45161999999999</v>
      </c>
      <c r="O57" s="1">
        <v>152.36600999999999</v>
      </c>
      <c r="P57" s="1">
        <v>152.815</v>
      </c>
      <c r="Q57" s="2"/>
      <c r="R57" s="2" t="str">
        <f t="shared" si="4"/>
        <v>Flat Momentum</v>
      </c>
      <c r="S57" s="2" t="str">
        <f t="shared" si="5"/>
        <v>-----</v>
      </c>
      <c r="T57" s="2"/>
      <c r="U57" s="2" t="str">
        <f t="shared" si="6"/>
        <v>-----</v>
      </c>
      <c r="V57" s="2" t="str">
        <f t="shared" si="7"/>
        <v>-----</v>
      </c>
    </row>
    <row r="58" spans="1:22" x14ac:dyDescent="0.55000000000000004">
      <c r="A58" s="1">
        <v>56</v>
      </c>
      <c r="B58" s="1" t="s">
        <v>59</v>
      </c>
      <c r="C58" s="1" t="s">
        <v>4</v>
      </c>
      <c r="D58" s="1" t="s">
        <v>103</v>
      </c>
      <c r="E58" s="1">
        <v>0</v>
      </c>
      <c r="F58" s="1">
        <v>153.12676999999999</v>
      </c>
      <c r="G58" s="1">
        <v>153.04134999999999</v>
      </c>
      <c r="H58" s="1">
        <v>152.95593</v>
      </c>
      <c r="I58" s="1">
        <v>152.87051</v>
      </c>
      <c r="J58" s="1">
        <v>152.78509</v>
      </c>
      <c r="K58" s="1">
        <v>152.70809</v>
      </c>
      <c r="L58" s="1">
        <v>152.62267</v>
      </c>
      <c r="M58" s="1">
        <v>152.53725</v>
      </c>
      <c r="N58" s="1">
        <v>152.45183</v>
      </c>
      <c r="O58" s="1">
        <v>152.36641</v>
      </c>
      <c r="P58" s="1">
        <v>152.828</v>
      </c>
      <c r="Q58" s="2"/>
      <c r="R58" s="2" t="str">
        <f t="shared" si="4"/>
        <v>Flat Momentum</v>
      </c>
      <c r="S58" s="2" t="str">
        <f t="shared" si="5"/>
        <v>-----</v>
      </c>
      <c r="T58" s="2"/>
      <c r="U58" s="2" t="str">
        <f t="shared" si="6"/>
        <v>-----</v>
      </c>
      <c r="V58" s="2" t="str">
        <f t="shared" si="7"/>
        <v>-----</v>
      </c>
    </row>
    <row r="59" spans="1:22" x14ac:dyDescent="0.55000000000000004">
      <c r="A59" s="1">
        <v>57</v>
      </c>
      <c r="B59" s="1" t="s">
        <v>60</v>
      </c>
      <c r="C59" s="1" t="s">
        <v>4</v>
      </c>
      <c r="D59" s="1" t="s">
        <v>103</v>
      </c>
      <c r="E59" s="1">
        <v>0</v>
      </c>
      <c r="F59" s="1">
        <v>153.12521000000001</v>
      </c>
      <c r="G59" s="1">
        <v>153.03980000000001</v>
      </c>
      <c r="H59" s="1">
        <v>152.95439999999999</v>
      </c>
      <c r="I59" s="1">
        <v>152.86899</v>
      </c>
      <c r="J59" s="1">
        <v>152.78358</v>
      </c>
      <c r="K59" s="1">
        <v>152.70963</v>
      </c>
      <c r="L59" s="1">
        <v>152.62422000000001</v>
      </c>
      <c r="M59" s="1">
        <v>152.53881000000001</v>
      </c>
      <c r="N59" s="1">
        <v>152.45340999999999</v>
      </c>
      <c r="O59" s="1">
        <v>152.36799999999999</v>
      </c>
      <c r="P59" s="1">
        <v>152.84899999999999</v>
      </c>
      <c r="Q59" s="2"/>
      <c r="R59" s="2" t="str">
        <f t="shared" si="4"/>
        <v>Flat Momentum</v>
      </c>
      <c r="S59" s="2" t="str">
        <f t="shared" si="5"/>
        <v>-----</v>
      </c>
      <c r="T59" s="2"/>
      <c r="U59" s="2" t="str">
        <f t="shared" si="6"/>
        <v>-----</v>
      </c>
      <c r="V59" s="2" t="str">
        <f t="shared" si="7"/>
        <v>-----</v>
      </c>
    </row>
    <row r="60" spans="1:22" x14ac:dyDescent="0.55000000000000004">
      <c r="A60" s="1">
        <v>58</v>
      </c>
      <c r="B60" s="1" t="s">
        <v>61</v>
      </c>
      <c r="C60" s="1" t="s">
        <v>4</v>
      </c>
      <c r="D60" s="1" t="s">
        <v>103</v>
      </c>
      <c r="E60" s="1">
        <v>3</v>
      </c>
      <c r="F60" s="1">
        <v>153.12472</v>
      </c>
      <c r="G60" s="1">
        <v>153.0393</v>
      </c>
      <c r="H60" s="1">
        <v>152.95386999999999</v>
      </c>
      <c r="I60" s="1">
        <v>152.86845</v>
      </c>
      <c r="J60" s="1">
        <v>152.78301999999999</v>
      </c>
      <c r="K60" s="1">
        <v>152.71182999999999</v>
      </c>
      <c r="L60" s="1">
        <v>152.62640999999999</v>
      </c>
      <c r="M60" s="1">
        <v>152.54097999999999</v>
      </c>
      <c r="N60" s="1">
        <v>152.45555999999999</v>
      </c>
      <c r="O60" s="1">
        <v>152.37012999999999</v>
      </c>
      <c r="P60" s="1">
        <v>152.84800000000001</v>
      </c>
      <c r="Q60" s="2"/>
      <c r="R60" s="2" t="str">
        <f t="shared" si="4"/>
        <v>Flat Momentum</v>
      </c>
      <c r="S60" s="2" t="str">
        <f t="shared" si="5"/>
        <v>-----</v>
      </c>
      <c r="T60" s="2"/>
      <c r="U60" s="2" t="str">
        <f t="shared" si="6"/>
        <v>-----</v>
      </c>
      <c r="V60" s="2" t="str">
        <f t="shared" si="7"/>
        <v>-----</v>
      </c>
    </row>
    <row r="61" spans="1:22" x14ac:dyDescent="0.55000000000000004">
      <c r="A61" s="1">
        <v>59</v>
      </c>
      <c r="B61" s="1" t="s">
        <v>62</v>
      </c>
      <c r="C61" s="1" t="s">
        <v>4</v>
      </c>
      <c r="D61" s="1" t="s">
        <v>103</v>
      </c>
      <c r="E61" s="1">
        <v>3</v>
      </c>
      <c r="F61" s="1">
        <v>153.12273999999999</v>
      </c>
      <c r="G61" s="1">
        <v>153.03757999999999</v>
      </c>
      <c r="H61" s="1">
        <v>152.95241999999999</v>
      </c>
      <c r="I61" s="1">
        <v>152.86725999999999</v>
      </c>
      <c r="J61" s="1">
        <v>152.78209000000001</v>
      </c>
      <c r="K61" s="1">
        <v>152.71431999999999</v>
      </c>
      <c r="L61" s="1">
        <v>152.62916000000001</v>
      </c>
      <c r="M61" s="1">
        <v>152.54400000000001</v>
      </c>
      <c r="N61" s="1">
        <v>152.45884000000001</v>
      </c>
      <c r="O61" s="1">
        <v>152.37368000000001</v>
      </c>
      <c r="P61" s="1">
        <v>152.83799999999999</v>
      </c>
      <c r="Q61" s="2"/>
      <c r="R61" s="2" t="str">
        <f t="shared" si="4"/>
        <v>Flat Momentum</v>
      </c>
      <c r="S61" s="2" t="str">
        <f t="shared" si="5"/>
        <v>-----</v>
      </c>
      <c r="T61" s="2"/>
      <c r="U61" s="2" t="str">
        <f t="shared" si="6"/>
        <v>-----</v>
      </c>
      <c r="V61" s="2" t="str">
        <f t="shared" si="7"/>
        <v>-----</v>
      </c>
    </row>
    <row r="62" spans="1:22" x14ac:dyDescent="0.55000000000000004">
      <c r="A62" s="1">
        <v>60</v>
      </c>
      <c r="B62" s="1" t="s">
        <v>63</v>
      </c>
      <c r="C62" s="1" t="s">
        <v>4</v>
      </c>
      <c r="D62" s="1" t="s">
        <v>103</v>
      </c>
      <c r="E62" s="1">
        <v>0</v>
      </c>
      <c r="F62" s="1">
        <v>153.12142</v>
      </c>
      <c r="G62" s="1">
        <v>153.03654</v>
      </c>
      <c r="H62" s="1">
        <v>152.95166</v>
      </c>
      <c r="I62" s="1">
        <v>152.86677</v>
      </c>
      <c r="J62" s="1">
        <v>152.78189</v>
      </c>
      <c r="K62" s="1">
        <v>152.71713</v>
      </c>
      <c r="L62" s="1">
        <v>152.63225</v>
      </c>
      <c r="M62" s="1">
        <v>152.54737</v>
      </c>
      <c r="N62" s="1">
        <v>152.46249</v>
      </c>
      <c r="O62" s="1">
        <v>152.3776</v>
      </c>
      <c r="P62" s="1">
        <v>152.84299999999999</v>
      </c>
      <c r="Q62" s="2"/>
      <c r="R62" s="2" t="str">
        <f t="shared" si="4"/>
        <v>Flat Momentum</v>
      </c>
      <c r="S62" s="2" t="str">
        <f t="shared" si="5"/>
        <v>-----</v>
      </c>
      <c r="T62" s="2"/>
      <c r="U62" s="2" t="str">
        <f t="shared" si="6"/>
        <v>-----</v>
      </c>
      <c r="V62" s="2" t="str">
        <f t="shared" si="7"/>
        <v>-----</v>
      </c>
    </row>
    <row r="63" spans="1:22" x14ac:dyDescent="0.55000000000000004">
      <c r="A63" s="1">
        <v>61</v>
      </c>
      <c r="B63" s="1" t="s">
        <v>64</v>
      </c>
      <c r="C63" s="1" t="s">
        <v>4</v>
      </c>
      <c r="D63" s="1" t="s">
        <v>103</v>
      </c>
      <c r="E63" s="1">
        <v>3</v>
      </c>
      <c r="F63" s="1">
        <v>153.12124</v>
      </c>
      <c r="G63" s="1">
        <v>153.03641999999999</v>
      </c>
      <c r="H63" s="1">
        <v>152.95160999999999</v>
      </c>
      <c r="I63" s="1">
        <v>152.86679000000001</v>
      </c>
      <c r="J63" s="1">
        <v>152.78198</v>
      </c>
      <c r="K63" s="1">
        <v>152.71995000000001</v>
      </c>
      <c r="L63" s="1">
        <v>152.63514000000001</v>
      </c>
      <c r="M63" s="1">
        <v>152.55032</v>
      </c>
      <c r="N63" s="1">
        <v>152.46550999999999</v>
      </c>
      <c r="O63" s="1">
        <v>152.38068999999999</v>
      </c>
      <c r="P63" s="1">
        <v>152.83600000000001</v>
      </c>
      <c r="Q63" s="2"/>
      <c r="R63" s="2" t="str">
        <f t="shared" si="4"/>
        <v>Flat Momentum</v>
      </c>
      <c r="S63" s="2" t="str">
        <f t="shared" si="5"/>
        <v>-----</v>
      </c>
      <c r="T63" s="2"/>
      <c r="U63" s="2" t="str">
        <f t="shared" si="6"/>
        <v>-----</v>
      </c>
      <c r="V63" s="2" t="str">
        <f t="shared" si="7"/>
        <v>-----</v>
      </c>
    </row>
    <row r="64" spans="1:22" x14ac:dyDescent="0.55000000000000004">
      <c r="A64" s="1">
        <v>62</v>
      </c>
      <c r="B64" s="1" t="s">
        <v>65</v>
      </c>
      <c r="C64" s="1" t="s">
        <v>4</v>
      </c>
      <c r="D64" s="1" t="s">
        <v>103</v>
      </c>
      <c r="E64" s="1">
        <v>0</v>
      </c>
      <c r="F64" s="1">
        <v>153.12079</v>
      </c>
      <c r="G64" s="1">
        <v>153.03611000000001</v>
      </c>
      <c r="H64" s="1">
        <v>152.95142999999999</v>
      </c>
      <c r="I64" s="1">
        <v>152.86675</v>
      </c>
      <c r="J64" s="1">
        <v>152.78207</v>
      </c>
      <c r="K64" s="1">
        <v>152.72274999999999</v>
      </c>
      <c r="L64" s="1">
        <v>152.63807</v>
      </c>
      <c r="M64" s="1">
        <v>152.55339000000001</v>
      </c>
      <c r="N64" s="1">
        <v>152.46870999999999</v>
      </c>
      <c r="O64" s="1">
        <v>152.38403</v>
      </c>
      <c r="P64" s="1">
        <v>152.83500000000001</v>
      </c>
      <c r="Q64" s="2"/>
      <c r="R64" s="2" t="str">
        <f t="shared" si="4"/>
        <v>Flat Momentum</v>
      </c>
      <c r="S64" s="2" t="str">
        <f t="shared" si="5"/>
        <v>-----</v>
      </c>
      <c r="T64" s="2"/>
      <c r="U64" s="2" t="str">
        <f t="shared" si="6"/>
        <v>-----</v>
      </c>
      <c r="V64" s="2" t="str">
        <f t="shared" si="7"/>
        <v>-----</v>
      </c>
    </row>
    <row r="65" spans="1:22" x14ac:dyDescent="0.55000000000000004">
      <c r="A65" s="1">
        <v>63</v>
      </c>
      <c r="B65" s="1" t="s">
        <v>66</v>
      </c>
      <c r="C65" s="1" t="s">
        <v>4</v>
      </c>
      <c r="D65" s="1" t="s">
        <v>103</v>
      </c>
      <c r="E65" s="1">
        <v>0</v>
      </c>
      <c r="F65" s="1">
        <v>153.12276</v>
      </c>
      <c r="G65" s="1">
        <v>153.03792999999999</v>
      </c>
      <c r="H65" s="1">
        <v>152.95310000000001</v>
      </c>
      <c r="I65" s="1">
        <v>152.86825999999999</v>
      </c>
      <c r="J65" s="1">
        <v>152.78343000000001</v>
      </c>
      <c r="K65" s="1">
        <v>152.72635</v>
      </c>
      <c r="L65" s="1">
        <v>152.64151000000001</v>
      </c>
      <c r="M65" s="1">
        <v>152.55668</v>
      </c>
      <c r="N65" s="1">
        <v>152.47184999999999</v>
      </c>
      <c r="O65" s="1">
        <v>152.38701</v>
      </c>
      <c r="P65" s="1">
        <v>152.852</v>
      </c>
      <c r="Q65" s="2"/>
      <c r="R65" s="2" t="str">
        <f t="shared" si="4"/>
        <v>Flat Momentum</v>
      </c>
      <c r="S65" s="2" t="str">
        <f t="shared" si="5"/>
        <v>-----</v>
      </c>
      <c r="T65" s="2"/>
      <c r="U65" s="2" t="str">
        <f t="shared" si="6"/>
        <v>-----</v>
      </c>
      <c r="V65" s="2" t="str">
        <f t="shared" si="7"/>
        <v>-----</v>
      </c>
    </row>
    <row r="66" spans="1:22" x14ac:dyDescent="0.55000000000000004">
      <c r="A66" s="1">
        <v>64</v>
      </c>
      <c r="B66" s="1" t="s">
        <v>67</v>
      </c>
      <c r="C66" s="1" t="s">
        <v>4</v>
      </c>
      <c r="D66" s="1" t="s">
        <v>103</v>
      </c>
      <c r="E66" s="1">
        <v>3</v>
      </c>
      <c r="F66" s="1">
        <v>153.12475000000001</v>
      </c>
      <c r="G66" s="1">
        <v>153.03990999999999</v>
      </c>
      <c r="H66" s="1">
        <v>152.95506</v>
      </c>
      <c r="I66" s="1">
        <v>152.87020999999999</v>
      </c>
      <c r="J66" s="1">
        <v>152.78537</v>
      </c>
      <c r="K66" s="1">
        <v>152.73003</v>
      </c>
      <c r="L66" s="1">
        <v>152.64518000000001</v>
      </c>
      <c r="M66" s="1">
        <v>152.56034</v>
      </c>
      <c r="N66" s="1">
        <v>152.47549000000001</v>
      </c>
      <c r="O66" s="1">
        <v>152.39063999999999</v>
      </c>
      <c r="P66" s="1">
        <v>152.851</v>
      </c>
      <c r="Q66" s="2"/>
      <c r="R66" s="2" t="str">
        <f t="shared" si="4"/>
        <v>Flat Momentum</v>
      </c>
      <c r="S66" s="2" t="str">
        <f t="shared" si="5"/>
        <v>-----</v>
      </c>
      <c r="T66" s="2"/>
      <c r="U66" s="2" t="str">
        <f t="shared" si="6"/>
        <v>-----</v>
      </c>
      <c r="V66" s="2" t="str">
        <f t="shared" si="7"/>
        <v>-----</v>
      </c>
    </row>
    <row r="67" spans="1:22" x14ac:dyDescent="0.55000000000000004">
      <c r="A67" s="1">
        <v>65</v>
      </c>
      <c r="B67" s="1" t="s">
        <v>68</v>
      </c>
      <c r="C67" s="1" t="s">
        <v>4</v>
      </c>
      <c r="D67" s="1" t="s">
        <v>103</v>
      </c>
      <c r="E67" s="1">
        <v>0</v>
      </c>
      <c r="F67" s="1">
        <v>153.12463</v>
      </c>
      <c r="G67" s="1">
        <v>153.04026999999999</v>
      </c>
      <c r="H67" s="1">
        <v>152.95590999999999</v>
      </c>
      <c r="I67" s="1">
        <v>152.87155000000001</v>
      </c>
      <c r="J67" s="1">
        <v>152.78720000000001</v>
      </c>
      <c r="K67" s="1">
        <v>152.73364000000001</v>
      </c>
      <c r="L67" s="1">
        <v>152.64928</v>
      </c>
      <c r="M67" s="1">
        <v>152.56492</v>
      </c>
      <c r="N67" s="1">
        <v>152.48057</v>
      </c>
      <c r="O67" s="1">
        <v>152.39621</v>
      </c>
      <c r="P67" s="1">
        <v>152.84800000000001</v>
      </c>
      <c r="Q67" s="2"/>
      <c r="R67" s="2" t="str">
        <f t="shared" ref="R67:R101" si="8">IF(P67&gt;F67,"Overbought",IF(P67&gt;H67,"Bullish Momentum",IF(P67&gt;J67,"Flat Momentum","-----")))</f>
        <v>Flat Momentum</v>
      </c>
      <c r="S67" s="2" t="str">
        <f t="shared" ref="S67:S101" si="9">IF(P67&lt;O67,"Oversold",IF(P67&lt;M67,"Bearish Momentum",IF(P67&lt;K67,"Flat Momentum","-----")))</f>
        <v>-----</v>
      </c>
      <c r="T67" s="2"/>
      <c r="U67" s="2" t="str">
        <f t="shared" ref="U67:U101" si="10">IF(AND(R67="Overbought",E67=2),"Culminated Thrust","-----")</f>
        <v>-----</v>
      </c>
      <c r="V67" s="2" t="str">
        <f t="shared" ref="V67:V101" si="11">IF(AND(S67="Oversold",E67=5),"Culminated Thrust","-----")</f>
        <v>-----</v>
      </c>
    </row>
    <row r="68" spans="1:22" x14ac:dyDescent="0.55000000000000004">
      <c r="A68" s="1">
        <v>66</v>
      </c>
      <c r="B68" s="1" t="s">
        <v>69</v>
      </c>
      <c r="C68" s="1" t="s">
        <v>4</v>
      </c>
      <c r="D68" s="1" t="s">
        <v>103</v>
      </c>
      <c r="E68" s="1">
        <v>3</v>
      </c>
      <c r="F68" s="1">
        <v>153.12642</v>
      </c>
      <c r="G68" s="1">
        <v>153.04203000000001</v>
      </c>
      <c r="H68" s="1">
        <v>152.95764</v>
      </c>
      <c r="I68" s="1">
        <v>152.87325000000001</v>
      </c>
      <c r="J68" s="1">
        <v>152.78886</v>
      </c>
      <c r="K68" s="1">
        <v>152.73670000000001</v>
      </c>
      <c r="L68" s="1">
        <v>152.65231</v>
      </c>
      <c r="M68" s="1">
        <v>152.56791999999999</v>
      </c>
      <c r="N68" s="1">
        <v>152.48353</v>
      </c>
      <c r="O68" s="1">
        <v>152.39914999999999</v>
      </c>
      <c r="P68" s="1">
        <v>152.83699999999999</v>
      </c>
      <c r="Q68" s="2"/>
      <c r="R68" s="2" t="str">
        <f t="shared" si="8"/>
        <v>Flat Momentum</v>
      </c>
      <c r="S68" s="2" t="str">
        <f t="shared" si="9"/>
        <v>-----</v>
      </c>
      <c r="T68" s="2"/>
      <c r="U68" s="2" t="str">
        <f t="shared" si="10"/>
        <v>-----</v>
      </c>
      <c r="V68" s="2" t="str">
        <f t="shared" si="11"/>
        <v>-----</v>
      </c>
    </row>
    <row r="69" spans="1:22" x14ac:dyDescent="0.55000000000000004">
      <c r="A69" s="1">
        <v>67</v>
      </c>
      <c r="B69" s="1" t="s">
        <v>70</v>
      </c>
      <c r="C69" s="1" t="s">
        <v>4</v>
      </c>
      <c r="D69" s="1" t="s">
        <v>103</v>
      </c>
      <c r="E69" s="1">
        <v>3</v>
      </c>
      <c r="F69" s="1">
        <v>153.12522999999999</v>
      </c>
      <c r="G69" s="1">
        <v>153.04128</v>
      </c>
      <c r="H69" s="1">
        <v>152.95733999999999</v>
      </c>
      <c r="I69" s="1">
        <v>152.87339</v>
      </c>
      <c r="J69" s="1">
        <v>152.78944999999999</v>
      </c>
      <c r="K69" s="1">
        <v>152.73938999999999</v>
      </c>
      <c r="L69" s="1">
        <v>152.65545</v>
      </c>
      <c r="M69" s="1">
        <v>152.57150999999999</v>
      </c>
      <c r="N69" s="1">
        <v>152.48756</v>
      </c>
      <c r="O69" s="1">
        <v>152.40361999999999</v>
      </c>
      <c r="P69" s="1">
        <v>152.82300000000001</v>
      </c>
      <c r="Q69" s="2"/>
      <c r="R69" s="2" t="str">
        <f t="shared" si="8"/>
        <v>Flat Momentum</v>
      </c>
      <c r="S69" s="2" t="str">
        <f t="shared" si="9"/>
        <v>-----</v>
      </c>
      <c r="T69" s="2"/>
      <c r="U69" s="2" t="str">
        <f t="shared" si="10"/>
        <v>-----</v>
      </c>
      <c r="V69" s="2" t="str">
        <f t="shared" si="11"/>
        <v>-----</v>
      </c>
    </row>
    <row r="70" spans="1:22" x14ac:dyDescent="0.55000000000000004">
      <c r="A70" s="1">
        <v>68</v>
      </c>
      <c r="B70" s="1" t="s">
        <v>71</v>
      </c>
      <c r="C70" s="1" t="s">
        <v>4</v>
      </c>
      <c r="D70" s="1" t="s">
        <v>103</v>
      </c>
      <c r="E70" s="1">
        <v>0</v>
      </c>
      <c r="F70" s="1">
        <v>153.12163000000001</v>
      </c>
      <c r="G70" s="1">
        <v>153.0386</v>
      </c>
      <c r="H70" s="1">
        <v>152.95555999999999</v>
      </c>
      <c r="I70" s="1">
        <v>152.87253000000001</v>
      </c>
      <c r="J70" s="1">
        <v>152.7895</v>
      </c>
      <c r="K70" s="1">
        <v>152.74203</v>
      </c>
      <c r="L70" s="1">
        <v>152.65899999999999</v>
      </c>
      <c r="M70" s="1">
        <v>152.57597000000001</v>
      </c>
      <c r="N70" s="1">
        <v>152.49294</v>
      </c>
      <c r="O70" s="1">
        <v>152.40991</v>
      </c>
      <c r="P70" s="1">
        <v>152.81800000000001</v>
      </c>
      <c r="Q70" s="2"/>
      <c r="R70" s="2" t="str">
        <f t="shared" si="8"/>
        <v>Flat Momentum</v>
      </c>
      <c r="S70" s="2" t="str">
        <f t="shared" si="9"/>
        <v>-----</v>
      </c>
      <c r="T70" s="2"/>
      <c r="U70" s="2" t="str">
        <f t="shared" si="10"/>
        <v>-----</v>
      </c>
      <c r="V70" s="2" t="str">
        <f t="shared" si="11"/>
        <v>-----</v>
      </c>
    </row>
    <row r="71" spans="1:22" x14ac:dyDescent="0.55000000000000004">
      <c r="A71" s="1">
        <v>69</v>
      </c>
      <c r="B71" s="1" t="s">
        <v>72</v>
      </c>
      <c r="C71" s="1" t="s">
        <v>4</v>
      </c>
      <c r="D71" s="1" t="s">
        <v>103</v>
      </c>
      <c r="E71" s="1">
        <v>3</v>
      </c>
      <c r="F71" s="1">
        <v>153.12024</v>
      </c>
      <c r="G71" s="1">
        <v>153.03743</v>
      </c>
      <c r="H71" s="1">
        <v>152.95463000000001</v>
      </c>
      <c r="I71" s="1">
        <v>152.87182000000001</v>
      </c>
      <c r="J71" s="1">
        <v>152.78900999999999</v>
      </c>
      <c r="K71" s="1">
        <v>152.74350000000001</v>
      </c>
      <c r="L71" s="1">
        <v>152.66068999999999</v>
      </c>
      <c r="M71" s="1">
        <v>152.57787999999999</v>
      </c>
      <c r="N71" s="1">
        <v>152.49507</v>
      </c>
      <c r="O71" s="1">
        <v>152.41227000000001</v>
      </c>
      <c r="P71" s="1">
        <v>152.80099999999999</v>
      </c>
      <c r="Q71" s="2"/>
      <c r="R71" s="2" t="str">
        <f t="shared" si="8"/>
        <v>Flat Momentum</v>
      </c>
      <c r="S71" s="2" t="str">
        <f t="shared" si="9"/>
        <v>-----</v>
      </c>
      <c r="T71" s="2"/>
      <c r="U71" s="2" t="str">
        <f t="shared" si="10"/>
        <v>-----</v>
      </c>
      <c r="V71" s="2" t="str">
        <f t="shared" si="11"/>
        <v>-----</v>
      </c>
    </row>
    <row r="72" spans="1:22" x14ac:dyDescent="0.55000000000000004">
      <c r="A72" s="1">
        <v>70</v>
      </c>
      <c r="B72" s="1" t="s">
        <v>73</v>
      </c>
      <c r="C72" s="1" t="s">
        <v>4</v>
      </c>
      <c r="D72" s="1" t="s">
        <v>103</v>
      </c>
      <c r="E72" s="1">
        <v>3</v>
      </c>
      <c r="F72" s="1">
        <v>153.11745999999999</v>
      </c>
      <c r="G72" s="1">
        <v>153.03497999999999</v>
      </c>
      <c r="H72" s="1">
        <v>152.95249999999999</v>
      </c>
      <c r="I72" s="1">
        <v>152.87001000000001</v>
      </c>
      <c r="J72" s="1">
        <v>152.78753</v>
      </c>
      <c r="K72" s="1">
        <v>152.74414999999999</v>
      </c>
      <c r="L72" s="1">
        <v>152.66166999999999</v>
      </c>
      <c r="M72" s="1">
        <v>152.57919000000001</v>
      </c>
      <c r="N72" s="1">
        <v>152.49671000000001</v>
      </c>
      <c r="O72" s="1">
        <v>152.41423</v>
      </c>
      <c r="P72" s="1">
        <v>152.785</v>
      </c>
      <c r="Q72" s="2"/>
      <c r="R72" s="2" t="str">
        <f t="shared" si="8"/>
        <v>-----</v>
      </c>
      <c r="S72" s="2" t="str">
        <f t="shared" si="9"/>
        <v>-----</v>
      </c>
      <c r="T72" s="2"/>
      <c r="U72" s="2" t="str">
        <f t="shared" si="10"/>
        <v>-----</v>
      </c>
      <c r="V72" s="2" t="str">
        <f t="shared" si="11"/>
        <v>-----</v>
      </c>
    </row>
    <row r="73" spans="1:22" x14ac:dyDescent="0.55000000000000004">
      <c r="A73" s="1">
        <v>71</v>
      </c>
      <c r="B73" s="1" t="s">
        <v>74</v>
      </c>
      <c r="C73" s="1" t="s">
        <v>4</v>
      </c>
      <c r="D73" s="1" t="s">
        <v>103</v>
      </c>
      <c r="E73" s="1">
        <v>3</v>
      </c>
      <c r="F73" s="1">
        <v>153.11425</v>
      </c>
      <c r="G73" s="1">
        <v>153.03206</v>
      </c>
      <c r="H73" s="1">
        <v>152.94987</v>
      </c>
      <c r="I73" s="1">
        <v>152.86767</v>
      </c>
      <c r="J73" s="1">
        <v>152.78548000000001</v>
      </c>
      <c r="K73" s="1">
        <v>152.74363</v>
      </c>
      <c r="L73" s="1">
        <v>152.66144</v>
      </c>
      <c r="M73" s="1">
        <v>152.57925</v>
      </c>
      <c r="N73" s="1">
        <v>152.49706</v>
      </c>
      <c r="O73" s="1">
        <v>152.41486</v>
      </c>
      <c r="P73" s="1">
        <v>152.767</v>
      </c>
      <c r="Q73" s="2"/>
      <c r="R73" s="2" t="str">
        <f t="shared" si="8"/>
        <v>-----</v>
      </c>
      <c r="S73" s="2" t="str">
        <f t="shared" si="9"/>
        <v>-----</v>
      </c>
      <c r="T73" s="2"/>
      <c r="U73" s="2" t="str">
        <f t="shared" si="10"/>
        <v>-----</v>
      </c>
      <c r="V73" s="2" t="str">
        <f t="shared" si="11"/>
        <v>-----</v>
      </c>
    </row>
    <row r="74" spans="1:22" x14ac:dyDescent="0.55000000000000004">
      <c r="A74" s="1">
        <v>72</v>
      </c>
      <c r="B74" s="1" t="s">
        <v>75</v>
      </c>
      <c r="C74" s="1" t="s">
        <v>4</v>
      </c>
      <c r="D74" s="1" t="s">
        <v>103</v>
      </c>
      <c r="E74" s="1">
        <v>0</v>
      </c>
      <c r="F74" s="1">
        <v>153.10749999999999</v>
      </c>
      <c r="G74" s="1">
        <v>153.02623</v>
      </c>
      <c r="H74" s="1">
        <v>152.94496000000001</v>
      </c>
      <c r="I74" s="1">
        <v>152.86367999999999</v>
      </c>
      <c r="J74" s="1">
        <v>152.78241</v>
      </c>
      <c r="K74" s="1">
        <v>152.74202</v>
      </c>
      <c r="L74" s="1">
        <v>152.66074</v>
      </c>
      <c r="M74" s="1">
        <v>152.57946999999999</v>
      </c>
      <c r="N74" s="1">
        <v>152.4982</v>
      </c>
      <c r="O74" s="1">
        <v>152.41693000000001</v>
      </c>
      <c r="P74" s="1">
        <v>152.75200000000001</v>
      </c>
      <c r="Q74" s="2"/>
      <c r="R74" s="2" t="str">
        <f t="shared" si="8"/>
        <v>-----</v>
      </c>
      <c r="S74" s="2" t="str">
        <f t="shared" si="9"/>
        <v>-----</v>
      </c>
      <c r="T74" s="2"/>
      <c r="U74" s="2" t="str">
        <f t="shared" si="10"/>
        <v>-----</v>
      </c>
      <c r="V74" s="2" t="str">
        <f t="shared" si="11"/>
        <v>-----</v>
      </c>
    </row>
    <row r="75" spans="1:22" x14ac:dyDescent="0.55000000000000004">
      <c r="A75" s="1">
        <v>73</v>
      </c>
      <c r="B75" s="1" t="s">
        <v>76</v>
      </c>
      <c r="C75" s="1" t="s">
        <v>4</v>
      </c>
      <c r="D75" s="1" t="s">
        <v>103</v>
      </c>
      <c r="E75" s="1">
        <v>3</v>
      </c>
      <c r="F75" s="1">
        <v>153.10274000000001</v>
      </c>
      <c r="G75" s="1">
        <v>153.02171999999999</v>
      </c>
      <c r="H75" s="1">
        <v>152.94068999999999</v>
      </c>
      <c r="I75" s="1">
        <v>152.85966999999999</v>
      </c>
      <c r="J75" s="1">
        <v>152.77865</v>
      </c>
      <c r="K75" s="1">
        <v>152.73976999999999</v>
      </c>
      <c r="L75" s="1">
        <v>152.65875</v>
      </c>
      <c r="M75" s="1">
        <v>152.57772</v>
      </c>
      <c r="N75" s="1">
        <v>152.4967</v>
      </c>
      <c r="O75" s="1">
        <v>152.41567000000001</v>
      </c>
      <c r="P75" s="1">
        <v>152.74100000000001</v>
      </c>
      <c r="Q75" s="2"/>
      <c r="R75" s="2" t="str">
        <f t="shared" si="8"/>
        <v>-----</v>
      </c>
      <c r="S75" s="2" t="str">
        <f t="shared" si="9"/>
        <v>-----</v>
      </c>
      <c r="T75" s="2"/>
      <c r="U75" s="2" t="str">
        <f t="shared" si="10"/>
        <v>-----</v>
      </c>
      <c r="V75" s="2" t="str">
        <f t="shared" si="11"/>
        <v>-----</v>
      </c>
    </row>
    <row r="76" spans="1:22" x14ac:dyDescent="0.55000000000000004">
      <c r="A76" s="1">
        <v>74</v>
      </c>
      <c r="B76" s="1" t="s">
        <v>77</v>
      </c>
      <c r="C76" s="1" t="s">
        <v>4</v>
      </c>
      <c r="D76" s="1" t="s">
        <v>103</v>
      </c>
      <c r="E76" s="1">
        <v>0</v>
      </c>
      <c r="F76" s="1">
        <v>153.09701000000001</v>
      </c>
      <c r="G76" s="1">
        <v>153.01639</v>
      </c>
      <c r="H76" s="1">
        <v>152.93576999999999</v>
      </c>
      <c r="I76" s="1">
        <v>152.85514000000001</v>
      </c>
      <c r="J76" s="1">
        <v>152.77452</v>
      </c>
      <c r="K76" s="1">
        <v>152.73713000000001</v>
      </c>
      <c r="L76" s="1">
        <v>152.65651</v>
      </c>
      <c r="M76" s="1">
        <v>152.57588000000001</v>
      </c>
      <c r="N76" s="1">
        <v>152.49526</v>
      </c>
      <c r="O76" s="1">
        <v>152.41463999999999</v>
      </c>
      <c r="P76" s="1">
        <v>152.739</v>
      </c>
      <c r="Q76" s="2"/>
      <c r="R76" s="2" t="str">
        <f t="shared" si="8"/>
        <v>-----</v>
      </c>
      <c r="S76" s="2" t="str">
        <f t="shared" si="9"/>
        <v>-----</v>
      </c>
      <c r="T76" s="2"/>
      <c r="U76" s="2" t="str">
        <f t="shared" si="10"/>
        <v>-----</v>
      </c>
      <c r="V76" s="2" t="str">
        <f t="shared" si="11"/>
        <v>-----</v>
      </c>
    </row>
    <row r="77" spans="1:22" x14ac:dyDescent="0.55000000000000004">
      <c r="A77" s="1">
        <v>75</v>
      </c>
      <c r="B77" s="1" t="s">
        <v>78</v>
      </c>
      <c r="C77" s="1" t="s">
        <v>4</v>
      </c>
      <c r="D77" s="1" t="s">
        <v>103</v>
      </c>
      <c r="E77" s="1">
        <v>0</v>
      </c>
      <c r="F77" s="1">
        <v>153.09223</v>
      </c>
      <c r="G77" s="1">
        <v>153.01188999999999</v>
      </c>
      <c r="H77" s="1">
        <v>152.93154999999999</v>
      </c>
      <c r="I77" s="1">
        <v>152.85121000000001</v>
      </c>
      <c r="J77" s="1">
        <v>152.77087</v>
      </c>
      <c r="K77" s="1">
        <v>152.73491999999999</v>
      </c>
      <c r="L77" s="1">
        <v>152.65459000000001</v>
      </c>
      <c r="M77" s="1">
        <v>152.57425000000001</v>
      </c>
      <c r="N77" s="1">
        <v>152.49391</v>
      </c>
      <c r="O77" s="1">
        <v>152.41356999999999</v>
      </c>
      <c r="P77" s="1">
        <v>152.749</v>
      </c>
      <c r="Q77" s="2"/>
      <c r="R77" s="2" t="str">
        <f t="shared" si="8"/>
        <v>-----</v>
      </c>
      <c r="S77" s="2" t="str">
        <f t="shared" si="9"/>
        <v>-----</v>
      </c>
      <c r="T77" s="2"/>
      <c r="U77" s="2" t="str">
        <f t="shared" si="10"/>
        <v>-----</v>
      </c>
      <c r="V77" s="2" t="str">
        <f t="shared" si="11"/>
        <v>-----</v>
      </c>
    </row>
    <row r="78" spans="1:22" x14ac:dyDescent="0.55000000000000004">
      <c r="A78" s="1">
        <v>76</v>
      </c>
      <c r="B78" s="1" t="s">
        <v>79</v>
      </c>
      <c r="C78" s="1" t="s">
        <v>4</v>
      </c>
      <c r="D78" s="1" t="s">
        <v>103</v>
      </c>
      <c r="E78" s="1">
        <v>0</v>
      </c>
      <c r="F78" s="1">
        <v>153.08771999999999</v>
      </c>
      <c r="G78" s="1">
        <v>153.00765999999999</v>
      </c>
      <c r="H78" s="1">
        <v>152.92760999999999</v>
      </c>
      <c r="I78" s="1">
        <v>152.84755000000001</v>
      </c>
      <c r="J78" s="1">
        <v>152.76750000000001</v>
      </c>
      <c r="K78" s="1">
        <v>152.73283000000001</v>
      </c>
      <c r="L78" s="1">
        <v>152.65278000000001</v>
      </c>
      <c r="M78" s="1">
        <v>152.57272</v>
      </c>
      <c r="N78" s="1">
        <v>152.49267</v>
      </c>
      <c r="O78" s="1">
        <v>152.41261</v>
      </c>
      <c r="P78" s="1">
        <v>152.75399999999999</v>
      </c>
      <c r="Q78" s="2"/>
      <c r="R78" s="2" t="str">
        <f t="shared" si="8"/>
        <v>-----</v>
      </c>
      <c r="S78" s="2" t="str">
        <f t="shared" si="9"/>
        <v>-----</v>
      </c>
      <c r="T78" s="2"/>
      <c r="U78" s="2" t="str">
        <f t="shared" si="10"/>
        <v>-----</v>
      </c>
      <c r="V78" s="2" t="str">
        <f t="shared" si="11"/>
        <v>-----</v>
      </c>
    </row>
    <row r="79" spans="1:22" x14ac:dyDescent="0.55000000000000004">
      <c r="A79" s="1">
        <v>77</v>
      </c>
      <c r="B79" s="1" t="s">
        <v>80</v>
      </c>
      <c r="C79" s="1" t="s">
        <v>4</v>
      </c>
      <c r="D79" s="1" t="s">
        <v>103</v>
      </c>
      <c r="E79" s="1">
        <v>0</v>
      </c>
      <c r="F79" s="1">
        <v>153.08519999999999</v>
      </c>
      <c r="G79" s="1">
        <v>153.00534999999999</v>
      </c>
      <c r="H79" s="1">
        <v>152.92551</v>
      </c>
      <c r="I79" s="1">
        <v>152.84566000000001</v>
      </c>
      <c r="J79" s="1">
        <v>152.76581999999999</v>
      </c>
      <c r="K79" s="1">
        <v>152.73165</v>
      </c>
      <c r="L79" s="1">
        <v>152.65181000000001</v>
      </c>
      <c r="M79" s="1">
        <v>152.57195999999999</v>
      </c>
      <c r="N79" s="1">
        <v>152.49212</v>
      </c>
      <c r="O79" s="1">
        <v>152.41227000000001</v>
      </c>
      <c r="P79" s="1">
        <v>152.77600000000001</v>
      </c>
      <c r="Q79" s="2"/>
      <c r="R79" s="2" t="str">
        <f t="shared" si="8"/>
        <v>Flat Momentum</v>
      </c>
      <c r="S79" s="2" t="str">
        <f t="shared" si="9"/>
        <v>-----</v>
      </c>
      <c r="T79" s="2"/>
      <c r="U79" s="2" t="str">
        <f t="shared" si="10"/>
        <v>-----</v>
      </c>
      <c r="V79" s="2" t="str">
        <f t="shared" si="11"/>
        <v>-----</v>
      </c>
    </row>
    <row r="80" spans="1:22" x14ac:dyDescent="0.55000000000000004">
      <c r="A80" s="1">
        <v>78</v>
      </c>
      <c r="B80" s="1" t="s">
        <v>81</v>
      </c>
      <c r="C80" s="1" t="s">
        <v>4</v>
      </c>
      <c r="D80" s="1" t="s">
        <v>103</v>
      </c>
      <c r="E80" s="1">
        <v>0</v>
      </c>
      <c r="F80" s="1">
        <v>153.08250000000001</v>
      </c>
      <c r="G80" s="1">
        <v>153.00308000000001</v>
      </c>
      <c r="H80" s="1">
        <v>152.92366999999999</v>
      </c>
      <c r="I80" s="1">
        <v>152.84425999999999</v>
      </c>
      <c r="J80" s="1">
        <v>152.76483999999999</v>
      </c>
      <c r="K80" s="1">
        <v>152.73176000000001</v>
      </c>
      <c r="L80" s="1">
        <v>152.65235000000001</v>
      </c>
      <c r="M80" s="1">
        <v>152.57293999999999</v>
      </c>
      <c r="N80" s="1">
        <v>152.49351999999999</v>
      </c>
      <c r="O80" s="1">
        <v>152.41410999999999</v>
      </c>
      <c r="P80" s="1">
        <v>152.79300000000001</v>
      </c>
      <c r="Q80" s="2"/>
      <c r="R80" s="2" t="str">
        <f t="shared" si="8"/>
        <v>Flat Momentum</v>
      </c>
      <c r="S80" s="2" t="str">
        <f t="shared" si="9"/>
        <v>-----</v>
      </c>
      <c r="T80" s="2"/>
      <c r="U80" s="2" t="str">
        <f t="shared" si="10"/>
        <v>-----</v>
      </c>
      <c r="V80" s="2" t="str">
        <f t="shared" si="11"/>
        <v>-----</v>
      </c>
    </row>
    <row r="81" spans="1:22" x14ac:dyDescent="0.55000000000000004">
      <c r="A81" s="1">
        <v>79</v>
      </c>
      <c r="B81" s="1" t="s">
        <v>82</v>
      </c>
      <c r="C81" s="1" t="s">
        <v>4</v>
      </c>
      <c r="D81" s="1" t="s">
        <v>103</v>
      </c>
      <c r="E81" s="1">
        <v>3</v>
      </c>
      <c r="F81" s="1">
        <v>153.08105</v>
      </c>
      <c r="G81" s="1">
        <v>153.00192000000001</v>
      </c>
      <c r="H81" s="1">
        <v>152.92277999999999</v>
      </c>
      <c r="I81" s="1">
        <v>152.84363999999999</v>
      </c>
      <c r="J81" s="1">
        <v>152.76451</v>
      </c>
      <c r="K81" s="1">
        <v>152.73240999999999</v>
      </c>
      <c r="L81" s="1">
        <v>152.65328</v>
      </c>
      <c r="M81" s="1">
        <v>152.57414</v>
      </c>
      <c r="N81" s="1">
        <v>152.495</v>
      </c>
      <c r="O81" s="1">
        <v>152.41587000000001</v>
      </c>
      <c r="P81" s="1">
        <v>152.797</v>
      </c>
      <c r="Q81" s="2"/>
      <c r="R81" s="2" t="str">
        <f t="shared" si="8"/>
        <v>Flat Momentum</v>
      </c>
      <c r="S81" s="2" t="str">
        <f t="shared" si="9"/>
        <v>-----</v>
      </c>
      <c r="T81" s="2"/>
      <c r="U81" s="2" t="str">
        <f t="shared" si="10"/>
        <v>-----</v>
      </c>
      <c r="V81" s="2" t="str">
        <f t="shared" si="11"/>
        <v>-----</v>
      </c>
    </row>
    <row r="82" spans="1:22" x14ac:dyDescent="0.55000000000000004">
      <c r="A82" s="1">
        <v>80</v>
      </c>
      <c r="B82" s="1" t="s">
        <v>83</v>
      </c>
      <c r="C82" s="1" t="s">
        <v>4</v>
      </c>
      <c r="D82" s="1" t="s">
        <v>103</v>
      </c>
      <c r="E82" s="1">
        <v>0</v>
      </c>
      <c r="F82" s="1">
        <v>153.08064999999999</v>
      </c>
      <c r="G82" s="1">
        <v>153.00163000000001</v>
      </c>
      <c r="H82" s="1">
        <v>152.92260999999999</v>
      </c>
      <c r="I82" s="1">
        <v>152.84359000000001</v>
      </c>
      <c r="J82" s="1">
        <v>152.76458</v>
      </c>
      <c r="K82" s="1">
        <v>152.73344</v>
      </c>
      <c r="L82" s="1">
        <v>152.65441999999999</v>
      </c>
      <c r="M82" s="1">
        <v>152.5754</v>
      </c>
      <c r="N82" s="1">
        <v>152.49637999999999</v>
      </c>
      <c r="O82" s="1">
        <v>152.41736</v>
      </c>
      <c r="P82" s="1">
        <v>152.804</v>
      </c>
      <c r="Q82" s="2"/>
      <c r="R82" s="2" t="str">
        <f t="shared" si="8"/>
        <v>Flat Momentum</v>
      </c>
      <c r="S82" s="2" t="str">
        <f t="shared" si="9"/>
        <v>-----</v>
      </c>
      <c r="T82" s="2"/>
      <c r="U82" s="2" t="str">
        <f t="shared" si="10"/>
        <v>-----</v>
      </c>
      <c r="V82" s="2" t="str">
        <f t="shared" si="11"/>
        <v>-----</v>
      </c>
    </row>
    <row r="83" spans="1:22" x14ac:dyDescent="0.55000000000000004">
      <c r="A83" s="1">
        <v>81</v>
      </c>
      <c r="B83" s="1" t="s">
        <v>84</v>
      </c>
      <c r="C83" s="1" t="s">
        <v>4</v>
      </c>
      <c r="D83" s="1" t="s">
        <v>103</v>
      </c>
      <c r="E83" s="1">
        <v>3</v>
      </c>
      <c r="F83" s="1">
        <v>153.07875000000001</v>
      </c>
      <c r="G83" s="1">
        <v>153.00031000000001</v>
      </c>
      <c r="H83" s="1">
        <v>152.92187000000001</v>
      </c>
      <c r="I83" s="1">
        <v>152.84343999999999</v>
      </c>
      <c r="J83" s="1">
        <v>152.76499999999999</v>
      </c>
      <c r="K83" s="1">
        <v>152.73475999999999</v>
      </c>
      <c r="L83" s="1">
        <v>152.65631999999999</v>
      </c>
      <c r="M83" s="1">
        <v>152.57787999999999</v>
      </c>
      <c r="N83" s="1">
        <v>152.49943999999999</v>
      </c>
      <c r="O83" s="1">
        <v>152.42099999999999</v>
      </c>
      <c r="P83" s="1">
        <v>152.804</v>
      </c>
      <c r="Q83" s="2"/>
      <c r="R83" s="2" t="str">
        <f t="shared" si="8"/>
        <v>Flat Momentum</v>
      </c>
      <c r="S83" s="2" t="str">
        <f t="shared" si="9"/>
        <v>-----</v>
      </c>
      <c r="T83" s="2"/>
      <c r="U83" s="2" t="str">
        <f t="shared" si="10"/>
        <v>-----</v>
      </c>
      <c r="V83" s="2" t="str">
        <f t="shared" si="11"/>
        <v>-----</v>
      </c>
    </row>
    <row r="84" spans="1:22" x14ac:dyDescent="0.55000000000000004">
      <c r="A84" s="1">
        <v>82</v>
      </c>
      <c r="B84" s="1" t="s">
        <v>85</v>
      </c>
      <c r="C84" s="1" t="s">
        <v>4</v>
      </c>
      <c r="D84" s="1" t="s">
        <v>103</v>
      </c>
      <c r="E84" s="1">
        <v>3</v>
      </c>
      <c r="F84" s="1">
        <v>153.07911999999999</v>
      </c>
      <c r="G84" s="1">
        <v>153.00058000000001</v>
      </c>
      <c r="H84" s="1">
        <v>152.92204000000001</v>
      </c>
      <c r="I84" s="1">
        <v>152.84351000000001</v>
      </c>
      <c r="J84" s="1">
        <v>152.76497000000001</v>
      </c>
      <c r="K84" s="1">
        <v>152.73453000000001</v>
      </c>
      <c r="L84" s="1">
        <v>152.65599</v>
      </c>
      <c r="M84" s="1">
        <v>152.57746</v>
      </c>
      <c r="N84" s="1">
        <v>152.49892</v>
      </c>
      <c r="O84" s="1">
        <v>152.42037999999999</v>
      </c>
      <c r="P84" s="1">
        <v>152.779</v>
      </c>
      <c r="Q84" s="2"/>
      <c r="R84" s="2" t="str">
        <f t="shared" si="8"/>
        <v>Flat Momentum</v>
      </c>
      <c r="S84" s="2" t="str">
        <f t="shared" si="9"/>
        <v>-----</v>
      </c>
      <c r="T84" s="2"/>
      <c r="U84" s="2" t="str">
        <f t="shared" si="10"/>
        <v>-----</v>
      </c>
      <c r="V84" s="2" t="str">
        <f t="shared" si="11"/>
        <v>-----</v>
      </c>
    </row>
    <row r="85" spans="1:22" x14ac:dyDescent="0.55000000000000004">
      <c r="A85" s="1">
        <v>83</v>
      </c>
      <c r="B85" s="1" t="s">
        <v>86</v>
      </c>
      <c r="C85" s="1" t="s">
        <v>4</v>
      </c>
      <c r="D85" s="1" t="s">
        <v>103</v>
      </c>
      <c r="E85" s="1">
        <v>3</v>
      </c>
      <c r="F85" s="1">
        <v>153.07606000000001</v>
      </c>
      <c r="G85" s="1">
        <v>152.99787000000001</v>
      </c>
      <c r="H85" s="1">
        <v>152.91968</v>
      </c>
      <c r="I85" s="1">
        <v>152.84148999999999</v>
      </c>
      <c r="J85" s="1">
        <v>152.76329999999999</v>
      </c>
      <c r="K85" s="1">
        <v>152.73282</v>
      </c>
      <c r="L85" s="1">
        <v>152.65463</v>
      </c>
      <c r="M85" s="1">
        <v>152.57643999999999</v>
      </c>
      <c r="N85" s="1">
        <v>152.49825000000001</v>
      </c>
      <c r="O85" s="1">
        <v>152.42005</v>
      </c>
      <c r="P85" s="1">
        <v>152.751</v>
      </c>
      <c r="Q85" s="2"/>
      <c r="R85" s="2" t="str">
        <f t="shared" si="8"/>
        <v>-----</v>
      </c>
      <c r="S85" s="2" t="str">
        <f t="shared" si="9"/>
        <v>-----</v>
      </c>
      <c r="T85" s="2"/>
      <c r="U85" s="2" t="str">
        <f t="shared" si="10"/>
        <v>-----</v>
      </c>
      <c r="V85" s="2" t="str">
        <f t="shared" si="11"/>
        <v>-----</v>
      </c>
    </row>
    <row r="86" spans="1:22" x14ac:dyDescent="0.55000000000000004">
      <c r="A86" s="1">
        <v>84</v>
      </c>
      <c r="B86" s="1" t="s">
        <v>87</v>
      </c>
      <c r="C86" s="1" t="s">
        <v>4</v>
      </c>
      <c r="D86" s="1" t="s">
        <v>103</v>
      </c>
      <c r="E86" s="1">
        <v>0</v>
      </c>
      <c r="F86" s="1">
        <v>153.07112000000001</v>
      </c>
      <c r="G86" s="1">
        <v>152.99357000000001</v>
      </c>
      <c r="H86" s="1">
        <v>152.91603000000001</v>
      </c>
      <c r="I86" s="1">
        <v>152.83849000000001</v>
      </c>
      <c r="J86" s="1">
        <v>152.76094000000001</v>
      </c>
      <c r="K86" s="1">
        <v>152.73051000000001</v>
      </c>
      <c r="L86" s="1">
        <v>152.65297000000001</v>
      </c>
      <c r="M86" s="1">
        <v>152.57542000000001</v>
      </c>
      <c r="N86" s="1">
        <v>152.49788000000001</v>
      </c>
      <c r="O86" s="1">
        <v>152.42034000000001</v>
      </c>
      <c r="P86" s="1">
        <v>152.738</v>
      </c>
      <c r="Q86" s="2"/>
      <c r="R86" s="2" t="str">
        <f t="shared" si="8"/>
        <v>-----</v>
      </c>
      <c r="S86" s="2" t="str">
        <f t="shared" si="9"/>
        <v>-----</v>
      </c>
      <c r="T86" s="2"/>
      <c r="U86" s="2" t="str">
        <f t="shared" si="10"/>
        <v>-----</v>
      </c>
      <c r="V86" s="2" t="str">
        <f t="shared" si="11"/>
        <v>-----</v>
      </c>
    </row>
    <row r="87" spans="1:22" x14ac:dyDescent="0.55000000000000004">
      <c r="A87" s="1">
        <v>85</v>
      </c>
      <c r="B87" s="1" t="s">
        <v>88</v>
      </c>
      <c r="C87" s="1" t="s">
        <v>4</v>
      </c>
      <c r="D87" s="1" t="s">
        <v>103</v>
      </c>
      <c r="E87" s="1">
        <v>0</v>
      </c>
      <c r="F87" s="1">
        <v>153.06584000000001</v>
      </c>
      <c r="G87" s="1">
        <v>152.9889</v>
      </c>
      <c r="H87" s="1">
        <v>152.91195999999999</v>
      </c>
      <c r="I87" s="1">
        <v>152.83501999999999</v>
      </c>
      <c r="J87" s="1">
        <v>152.75808000000001</v>
      </c>
      <c r="K87" s="1">
        <v>152.72807</v>
      </c>
      <c r="L87" s="1">
        <v>152.65112999999999</v>
      </c>
      <c r="M87" s="1">
        <v>152.57418999999999</v>
      </c>
      <c r="N87" s="1">
        <v>152.49726000000001</v>
      </c>
      <c r="O87" s="1">
        <v>152.42032</v>
      </c>
      <c r="P87" s="1">
        <v>152.73500000000001</v>
      </c>
      <c r="Q87" s="2"/>
      <c r="R87" s="2" t="str">
        <f t="shared" si="8"/>
        <v>-----</v>
      </c>
      <c r="S87" s="2" t="str">
        <f t="shared" si="9"/>
        <v>-----</v>
      </c>
      <c r="T87" s="2"/>
      <c r="U87" s="2" t="str">
        <f t="shared" si="10"/>
        <v>-----</v>
      </c>
      <c r="V87" s="2" t="str">
        <f t="shared" si="11"/>
        <v>-----</v>
      </c>
    </row>
    <row r="88" spans="1:22" x14ac:dyDescent="0.55000000000000004">
      <c r="A88" s="1">
        <v>86</v>
      </c>
      <c r="B88" s="1" t="s">
        <v>89</v>
      </c>
      <c r="C88" s="1" t="s">
        <v>4</v>
      </c>
      <c r="D88" s="1" t="s">
        <v>103</v>
      </c>
      <c r="E88" s="1">
        <v>3</v>
      </c>
      <c r="F88" s="1">
        <v>153.06236999999999</v>
      </c>
      <c r="G88" s="1">
        <v>152.98578000000001</v>
      </c>
      <c r="H88" s="1">
        <v>152.90917999999999</v>
      </c>
      <c r="I88" s="1">
        <v>152.83259000000001</v>
      </c>
      <c r="J88" s="1">
        <v>152.756</v>
      </c>
      <c r="K88" s="1">
        <v>152.726</v>
      </c>
      <c r="L88" s="1">
        <v>152.64940000000001</v>
      </c>
      <c r="M88" s="1">
        <v>152.57281</v>
      </c>
      <c r="N88" s="1">
        <v>152.49621999999999</v>
      </c>
      <c r="O88" s="1">
        <v>152.41963000000001</v>
      </c>
      <c r="P88" s="1">
        <v>152.74199999999999</v>
      </c>
      <c r="Q88" s="2"/>
      <c r="R88" s="2" t="str">
        <f t="shared" si="8"/>
        <v>-----</v>
      </c>
      <c r="S88" s="2" t="str">
        <f t="shared" si="9"/>
        <v>-----</v>
      </c>
      <c r="T88" s="2"/>
      <c r="U88" s="2" t="str">
        <f t="shared" si="10"/>
        <v>-----</v>
      </c>
      <c r="V88" s="2" t="str">
        <f t="shared" si="11"/>
        <v>-----</v>
      </c>
    </row>
    <row r="89" spans="1:22" x14ac:dyDescent="0.55000000000000004">
      <c r="A89" s="1">
        <v>87</v>
      </c>
      <c r="B89" s="1" t="s">
        <v>90</v>
      </c>
      <c r="C89" s="1" t="s">
        <v>4</v>
      </c>
      <c r="D89" s="1" t="s">
        <v>103</v>
      </c>
      <c r="E89" s="1">
        <v>3</v>
      </c>
      <c r="F89" s="1">
        <v>153.05986999999999</v>
      </c>
      <c r="G89" s="1">
        <v>152.98329000000001</v>
      </c>
      <c r="H89" s="1">
        <v>152.90672000000001</v>
      </c>
      <c r="I89" s="1">
        <v>152.83015</v>
      </c>
      <c r="J89" s="1">
        <v>152.75357</v>
      </c>
      <c r="K89" s="1">
        <v>152.72334000000001</v>
      </c>
      <c r="L89" s="1">
        <v>152.64677</v>
      </c>
      <c r="M89" s="1">
        <v>152.57019</v>
      </c>
      <c r="N89" s="1">
        <v>152.49361999999999</v>
      </c>
      <c r="O89" s="1">
        <v>152.41704999999999</v>
      </c>
      <c r="P89" s="1">
        <v>152.72900000000001</v>
      </c>
      <c r="Q89" s="2"/>
      <c r="R89" s="2" t="str">
        <f t="shared" si="8"/>
        <v>-----</v>
      </c>
      <c r="S89" s="2" t="str">
        <f t="shared" si="9"/>
        <v>-----</v>
      </c>
      <c r="T89" s="2"/>
      <c r="U89" s="2" t="str">
        <f t="shared" si="10"/>
        <v>-----</v>
      </c>
      <c r="V89" s="2" t="str">
        <f t="shared" si="11"/>
        <v>-----</v>
      </c>
    </row>
    <row r="90" spans="1:22" x14ac:dyDescent="0.55000000000000004">
      <c r="A90" s="1">
        <v>88</v>
      </c>
      <c r="B90" s="1" t="s">
        <v>91</v>
      </c>
      <c r="C90" s="1" t="s">
        <v>4</v>
      </c>
      <c r="D90" s="1" t="s">
        <v>103</v>
      </c>
      <c r="E90" s="1">
        <v>0</v>
      </c>
      <c r="F90" s="1">
        <v>153.05916999999999</v>
      </c>
      <c r="G90" s="1">
        <v>152.98224999999999</v>
      </c>
      <c r="H90" s="1">
        <v>152.90532999999999</v>
      </c>
      <c r="I90" s="1">
        <v>152.82840999999999</v>
      </c>
      <c r="J90" s="1">
        <v>152.75148999999999</v>
      </c>
      <c r="K90" s="1">
        <v>152.71931000000001</v>
      </c>
      <c r="L90" s="1">
        <v>152.64239000000001</v>
      </c>
      <c r="M90" s="1">
        <v>152.56547</v>
      </c>
      <c r="N90" s="1">
        <v>152.48855</v>
      </c>
      <c r="O90" s="1">
        <v>152.41163</v>
      </c>
      <c r="P90" s="1">
        <v>152.727</v>
      </c>
      <c r="Q90" s="2"/>
      <c r="R90" s="2" t="str">
        <f t="shared" si="8"/>
        <v>-----</v>
      </c>
      <c r="S90" s="2" t="str">
        <f t="shared" si="9"/>
        <v>-----</v>
      </c>
      <c r="T90" s="2"/>
      <c r="U90" s="2" t="str">
        <f t="shared" si="10"/>
        <v>-----</v>
      </c>
      <c r="V90" s="2" t="str">
        <f t="shared" si="11"/>
        <v>-----</v>
      </c>
    </row>
    <row r="91" spans="1:22" x14ac:dyDescent="0.55000000000000004">
      <c r="A91" s="1">
        <v>89</v>
      </c>
      <c r="B91" s="1" t="s">
        <v>92</v>
      </c>
      <c r="C91" s="1" t="s">
        <v>4</v>
      </c>
      <c r="D91" s="1" t="s">
        <v>103</v>
      </c>
      <c r="E91" s="1">
        <v>4</v>
      </c>
      <c r="F91" s="1">
        <v>153.05904000000001</v>
      </c>
      <c r="G91" s="1">
        <v>152.98164</v>
      </c>
      <c r="H91" s="1">
        <v>152.90423999999999</v>
      </c>
      <c r="I91" s="1">
        <v>152.82684</v>
      </c>
      <c r="J91" s="1">
        <v>152.74942999999999</v>
      </c>
      <c r="K91" s="1">
        <v>152.71377000000001</v>
      </c>
      <c r="L91" s="1">
        <v>152.63637</v>
      </c>
      <c r="M91" s="1">
        <v>152.55896999999999</v>
      </c>
      <c r="N91" s="1">
        <v>152.48157</v>
      </c>
      <c r="O91" s="1">
        <v>152.40416999999999</v>
      </c>
      <c r="P91" s="1">
        <v>152.703</v>
      </c>
      <c r="Q91" s="2"/>
      <c r="R91" s="2" t="str">
        <f t="shared" si="8"/>
        <v>-----</v>
      </c>
      <c r="S91" s="2" t="str">
        <f t="shared" si="9"/>
        <v>Flat Momentum</v>
      </c>
      <c r="T91" s="2"/>
      <c r="U91" s="2" t="str">
        <f t="shared" si="10"/>
        <v>-----</v>
      </c>
      <c r="V91" s="2" t="str">
        <f t="shared" si="11"/>
        <v>-----</v>
      </c>
    </row>
    <row r="92" spans="1:22" x14ac:dyDescent="0.55000000000000004">
      <c r="A92" s="1">
        <v>90</v>
      </c>
      <c r="B92" s="1" t="s">
        <v>93</v>
      </c>
      <c r="C92" s="1" t="s">
        <v>4</v>
      </c>
      <c r="D92" s="1" t="s">
        <v>103</v>
      </c>
      <c r="E92" s="1">
        <v>3</v>
      </c>
      <c r="F92" s="1">
        <v>153.05215999999999</v>
      </c>
      <c r="G92" s="1">
        <v>152.97533999999999</v>
      </c>
      <c r="H92" s="1">
        <v>152.89850999999999</v>
      </c>
      <c r="I92" s="1">
        <v>152.82167999999999</v>
      </c>
      <c r="J92" s="1">
        <v>152.74485000000001</v>
      </c>
      <c r="K92" s="1">
        <v>152.70696000000001</v>
      </c>
      <c r="L92" s="1">
        <v>152.63014000000001</v>
      </c>
      <c r="M92" s="1">
        <v>152.55331000000001</v>
      </c>
      <c r="N92" s="1">
        <v>152.47648000000001</v>
      </c>
      <c r="O92" s="1">
        <v>152.39965000000001</v>
      </c>
      <c r="P92" s="1">
        <v>152.66900000000001</v>
      </c>
      <c r="Q92" s="2"/>
      <c r="R92" s="2" t="str">
        <f t="shared" si="8"/>
        <v>-----</v>
      </c>
      <c r="S92" s="2" t="str">
        <f t="shared" si="9"/>
        <v>Flat Momentum</v>
      </c>
      <c r="T92" s="2"/>
      <c r="U92" s="2" t="str">
        <f t="shared" si="10"/>
        <v>-----</v>
      </c>
      <c r="V92" s="2" t="str">
        <f t="shared" si="11"/>
        <v>-----</v>
      </c>
    </row>
    <row r="93" spans="1:22" x14ac:dyDescent="0.55000000000000004">
      <c r="A93" s="1">
        <v>91</v>
      </c>
      <c r="B93" s="1" t="s">
        <v>94</v>
      </c>
      <c r="C93" s="1" t="s">
        <v>4</v>
      </c>
      <c r="D93" s="1" t="s">
        <v>103</v>
      </c>
      <c r="E93" s="1">
        <v>0</v>
      </c>
      <c r="F93" s="1">
        <v>153.04503</v>
      </c>
      <c r="G93" s="1">
        <v>152.96862999999999</v>
      </c>
      <c r="H93" s="1">
        <v>152.89223999999999</v>
      </c>
      <c r="I93" s="1">
        <v>152.81584000000001</v>
      </c>
      <c r="J93" s="1">
        <v>152.73945000000001</v>
      </c>
      <c r="K93" s="1">
        <v>152.69998000000001</v>
      </c>
      <c r="L93" s="1">
        <v>152.62359000000001</v>
      </c>
      <c r="M93" s="1">
        <v>152.54719</v>
      </c>
      <c r="N93" s="1">
        <v>152.4708</v>
      </c>
      <c r="O93" s="1">
        <v>152.39439999999999</v>
      </c>
      <c r="P93" s="1">
        <v>152.66200000000001</v>
      </c>
      <c r="Q93" s="2"/>
      <c r="R93" s="2" t="str">
        <f t="shared" si="8"/>
        <v>-----</v>
      </c>
      <c r="S93" s="2" t="str">
        <f t="shared" si="9"/>
        <v>Flat Momentum</v>
      </c>
      <c r="T93" s="2"/>
      <c r="U93" s="2" t="str">
        <f t="shared" si="10"/>
        <v>-----</v>
      </c>
      <c r="V93" s="2" t="str">
        <f t="shared" si="11"/>
        <v>-----</v>
      </c>
    </row>
    <row r="94" spans="1:22" x14ac:dyDescent="0.55000000000000004">
      <c r="A94" s="1">
        <v>92</v>
      </c>
      <c r="B94" s="1" t="s">
        <v>95</v>
      </c>
      <c r="C94" s="1" t="s">
        <v>4</v>
      </c>
      <c r="D94" s="1" t="s">
        <v>103</v>
      </c>
      <c r="E94" s="1">
        <v>3</v>
      </c>
      <c r="F94" s="1">
        <v>153.03807</v>
      </c>
      <c r="G94" s="1">
        <v>152.96185</v>
      </c>
      <c r="H94" s="1">
        <v>152.88562999999999</v>
      </c>
      <c r="I94" s="1">
        <v>152.80941000000001</v>
      </c>
      <c r="J94" s="1">
        <v>152.73318</v>
      </c>
      <c r="K94" s="1">
        <v>152.69273999999999</v>
      </c>
      <c r="L94" s="1">
        <v>152.61652000000001</v>
      </c>
      <c r="M94" s="1">
        <v>152.54029</v>
      </c>
      <c r="N94" s="1">
        <v>152.46406999999999</v>
      </c>
      <c r="O94" s="1">
        <v>152.38784999999999</v>
      </c>
      <c r="P94" s="1">
        <v>152.649</v>
      </c>
      <c r="Q94" s="2"/>
      <c r="R94" s="2" t="str">
        <f t="shared" si="8"/>
        <v>-----</v>
      </c>
      <c r="S94" s="2" t="str">
        <f t="shared" si="9"/>
        <v>Flat Momentum</v>
      </c>
      <c r="T94" s="2"/>
      <c r="U94" s="2" t="str">
        <f t="shared" si="10"/>
        <v>-----</v>
      </c>
      <c r="V94" s="2" t="str">
        <f t="shared" si="11"/>
        <v>-----</v>
      </c>
    </row>
    <row r="95" spans="1:22" x14ac:dyDescent="0.55000000000000004">
      <c r="A95" s="1">
        <v>93</v>
      </c>
      <c r="B95" s="1" t="s">
        <v>96</v>
      </c>
      <c r="C95" s="1" t="s">
        <v>4</v>
      </c>
      <c r="D95" s="1" t="s">
        <v>103</v>
      </c>
      <c r="E95" s="1">
        <v>0</v>
      </c>
      <c r="F95" s="1">
        <v>153.03098</v>
      </c>
      <c r="G95" s="1">
        <v>152.95477</v>
      </c>
      <c r="H95" s="1">
        <v>152.87854999999999</v>
      </c>
      <c r="I95" s="1">
        <v>152.80233999999999</v>
      </c>
      <c r="J95" s="1">
        <v>152.72612000000001</v>
      </c>
      <c r="K95" s="1">
        <v>152.68548000000001</v>
      </c>
      <c r="L95" s="1">
        <v>152.60926000000001</v>
      </c>
      <c r="M95" s="1">
        <v>152.53304</v>
      </c>
      <c r="N95" s="1">
        <v>152.45683</v>
      </c>
      <c r="O95" s="1">
        <v>152.38060999999999</v>
      </c>
      <c r="P95" s="1">
        <v>152.63999999999999</v>
      </c>
      <c r="Q95" s="2"/>
      <c r="R95" s="2" t="str">
        <f t="shared" si="8"/>
        <v>-----</v>
      </c>
      <c r="S95" s="2" t="str">
        <f t="shared" si="9"/>
        <v>Flat Momentum</v>
      </c>
      <c r="T95" s="2"/>
      <c r="U95" s="2" t="str">
        <f t="shared" si="10"/>
        <v>-----</v>
      </c>
      <c r="V95" s="2" t="str">
        <f t="shared" si="11"/>
        <v>-----</v>
      </c>
    </row>
    <row r="96" spans="1:22" x14ac:dyDescent="0.55000000000000004">
      <c r="A96" s="1">
        <v>94</v>
      </c>
      <c r="B96" s="1" t="s">
        <v>97</v>
      </c>
      <c r="C96" s="1" t="s">
        <v>4</v>
      </c>
      <c r="D96" s="1" t="s">
        <v>103</v>
      </c>
      <c r="E96" s="1">
        <v>0</v>
      </c>
      <c r="F96" s="1">
        <v>153.02072999999999</v>
      </c>
      <c r="G96" s="1">
        <v>152.94515999999999</v>
      </c>
      <c r="H96" s="1">
        <v>152.86959999999999</v>
      </c>
      <c r="I96" s="1">
        <v>152.79404</v>
      </c>
      <c r="J96" s="1">
        <v>152.71848</v>
      </c>
      <c r="K96" s="1">
        <v>152.67825999999999</v>
      </c>
      <c r="L96" s="1">
        <v>152.6027</v>
      </c>
      <c r="M96" s="1">
        <v>152.52714</v>
      </c>
      <c r="N96" s="1">
        <v>152.45158000000001</v>
      </c>
      <c r="O96" s="1">
        <v>152.37602000000001</v>
      </c>
      <c r="P96" s="1">
        <v>152.636</v>
      </c>
      <c r="Q96" s="2"/>
      <c r="R96" s="2" t="str">
        <f t="shared" si="8"/>
        <v>-----</v>
      </c>
      <c r="S96" s="2" t="str">
        <f t="shared" si="9"/>
        <v>Flat Momentum</v>
      </c>
      <c r="T96" s="2"/>
      <c r="U96" s="2" t="str">
        <f t="shared" si="10"/>
        <v>-----</v>
      </c>
      <c r="V96" s="2" t="str">
        <f t="shared" si="11"/>
        <v>-----</v>
      </c>
    </row>
    <row r="97" spans="1:22" x14ac:dyDescent="0.55000000000000004">
      <c r="A97" s="1">
        <v>95</v>
      </c>
      <c r="B97" s="1" t="s">
        <v>98</v>
      </c>
      <c r="C97" s="1" t="s">
        <v>4</v>
      </c>
      <c r="D97" s="1" t="s">
        <v>103</v>
      </c>
      <c r="E97" s="1">
        <v>0</v>
      </c>
      <c r="F97" s="1">
        <v>153.0093</v>
      </c>
      <c r="G97" s="1">
        <v>152.93493000000001</v>
      </c>
      <c r="H97" s="1">
        <v>152.86055999999999</v>
      </c>
      <c r="I97" s="1">
        <v>152.78619</v>
      </c>
      <c r="J97" s="1">
        <v>152.71181999999999</v>
      </c>
      <c r="K97" s="1">
        <v>152.67176000000001</v>
      </c>
      <c r="L97" s="1">
        <v>152.59738999999999</v>
      </c>
      <c r="M97" s="1">
        <v>152.52302</v>
      </c>
      <c r="N97" s="1">
        <v>152.44864999999999</v>
      </c>
      <c r="O97" s="1">
        <v>152.37428</v>
      </c>
      <c r="P97" s="1">
        <v>152.65299999999999</v>
      </c>
      <c r="Q97" s="2"/>
      <c r="R97" s="2" t="str">
        <f t="shared" si="8"/>
        <v>-----</v>
      </c>
      <c r="S97" s="2" t="str">
        <f t="shared" si="9"/>
        <v>Flat Momentum</v>
      </c>
      <c r="T97" s="2"/>
      <c r="U97" s="2" t="str">
        <f t="shared" si="10"/>
        <v>-----</v>
      </c>
      <c r="V97" s="2" t="str">
        <f t="shared" si="11"/>
        <v>-----</v>
      </c>
    </row>
    <row r="98" spans="1:22" x14ac:dyDescent="0.55000000000000004">
      <c r="A98" s="1">
        <v>96</v>
      </c>
      <c r="B98" s="1" t="s">
        <v>99</v>
      </c>
      <c r="C98" s="1" t="s">
        <v>4</v>
      </c>
      <c r="D98" s="1" t="s">
        <v>103</v>
      </c>
      <c r="E98" s="1">
        <v>0</v>
      </c>
      <c r="F98" s="1">
        <v>153.00206</v>
      </c>
      <c r="G98" s="1">
        <v>152.9282</v>
      </c>
      <c r="H98" s="1">
        <v>152.85434000000001</v>
      </c>
      <c r="I98" s="1">
        <v>152.78047000000001</v>
      </c>
      <c r="J98" s="1">
        <v>152.70661000000001</v>
      </c>
      <c r="K98" s="1">
        <v>152.66683</v>
      </c>
      <c r="L98" s="1">
        <v>152.59297000000001</v>
      </c>
      <c r="M98" s="1">
        <v>152.51910000000001</v>
      </c>
      <c r="N98" s="1">
        <v>152.44524000000001</v>
      </c>
      <c r="O98" s="1">
        <v>152.37137999999999</v>
      </c>
      <c r="P98" s="1">
        <v>152.678</v>
      </c>
      <c r="Q98" s="2"/>
      <c r="R98" s="2" t="str">
        <f t="shared" si="8"/>
        <v>-----</v>
      </c>
      <c r="S98" s="2" t="str">
        <f t="shared" si="9"/>
        <v>-----</v>
      </c>
      <c r="T98" s="2"/>
      <c r="U98" s="2" t="str">
        <f t="shared" si="10"/>
        <v>-----</v>
      </c>
      <c r="V98" s="2" t="str">
        <f t="shared" si="11"/>
        <v>-----</v>
      </c>
    </row>
    <row r="99" spans="1:22" x14ac:dyDescent="0.55000000000000004">
      <c r="A99" s="1">
        <v>97</v>
      </c>
      <c r="B99" s="1" t="s">
        <v>100</v>
      </c>
      <c r="C99" s="1" t="s">
        <v>4</v>
      </c>
      <c r="D99" s="1" t="s">
        <v>103</v>
      </c>
      <c r="E99" s="1">
        <v>3</v>
      </c>
      <c r="F99" s="1">
        <v>152.99537000000001</v>
      </c>
      <c r="G99" s="1">
        <v>152.92214000000001</v>
      </c>
      <c r="H99" s="1">
        <v>152.84890999999999</v>
      </c>
      <c r="I99" s="1">
        <v>152.77566999999999</v>
      </c>
      <c r="J99" s="1">
        <v>152.70244</v>
      </c>
      <c r="K99" s="1">
        <v>152.66322</v>
      </c>
      <c r="L99" s="1">
        <v>152.58998</v>
      </c>
      <c r="M99" s="1">
        <v>152.51675</v>
      </c>
      <c r="N99" s="1">
        <v>152.44351</v>
      </c>
      <c r="O99" s="1">
        <v>152.37028000000001</v>
      </c>
      <c r="P99" s="1">
        <v>152.69</v>
      </c>
      <c r="Q99" s="2"/>
      <c r="R99" s="2" t="str">
        <f t="shared" si="8"/>
        <v>-----</v>
      </c>
      <c r="S99" s="2" t="str">
        <f t="shared" si="9"/>
        <v>-----</v>
      </c>
      <c r="T99" s="2"/>
      <c r="U99" s="2" t="str">
        <f t="shared" si="10"/>
        <v>-----</v>
      </c>
      <c r="V99" s="2" t="str">
        <f t="shared" si="11"/>
        <v>-----</v>
      </c>
    </row>
    <row r="100" spans="1:22" x14ac:dyDescent="0.55000000000000004">
      <c r="A100" s="1">
        <v>98</v>
      </c>
      <c r="B100" s="1" t="s">
        <v>101</v>
      </c>
      <c r="C100" s="1" t="s">
        <v>4</v>
      </c>
      <c r="D100" s="1" t="s">
        <v>103</v>
      </c>
      <c r="E100" s="1">
        <v>0</v>
      </c>
      <c r="F100" s="1">
        <v>152.99091000000001</v>
      </c>
      <c r="G100" s="1">
        <v>152.91801000000001</v>
      </c>
      <c r="H100" s="1">
        <v>152.8451</v>
      </c>
      <c r="I100" s="1">
        <v>152.7722</v>
      </c>
      <c r="J100" s="1">
        <v>152.69929999999999</v>
      </c>
      <c r="K100" s="1">
        <v>152.66060999999999</v>
      </c>
      <c r="L100" s="1">
        <v>152.58770999999999</v>
      </c>
      <c r="M100" s="1">
        <v>152.51481000000001</v>
      </c>
      <c r="N100" s="1">
        <v>152.44191000000001</v>
      </c>
      <c r="O100" s="1">
        <v>152.36901</v>
      </c>
      <c r="P100" s="1">
        <v>152.70500000000001</v>
      </c>
      <c r="Q100" s="2"/>
      <c r="R100" s="2" t="str">
        <f t="shared" si="8"/>
        <v>Flat Momentum</v>
      </c>
      <c r="S100" s="2" t="str">
        <f t="shared" si="9"/>
        <v>-----</v>
      </c>
      <c r="T100" s="2"/>
      <c r="U100" s="2" t="str">
        <f t="shared" si="10"/>
        <v>-----</v>
      </c>
      <c r="V100" s="2" t="str">
        <f t="shared" si="11"/>
        <v>-----</v>
      </c>
    </row>
    <row r="101" spans="1:22" x14ac:dyDescent="0.55000000000000004">
      <c r="A101" s="1">
        <v>99</v>
      </c>
      <c r="B101" s="1" t="s">
        <v>102</v>
      </c>
      <c r="C101" s="1" t="s">
        <v>4</v>
      </c>
      <c r="D101" s="1" t="s">
        <v>103</v>
      </c>
      <c r="E101" s="1">
        <v>3</v>
      </c>
      <c r="F101" s="1">
        <v>152.98724999999999</v>
      </c>
      <c r="G101" s="1">
        <v>152.91464999999999</v>
      </c>
      <c r="H101" s="1">
        <v>152.84205</v>
      </c>
      <c r="I101" s="1">
        <v>152.76945000000001</v>
      </c>
      <c r="J101" s="1">
        <v>152.69685000000001</v>
      </c>
      <c r="K101" s="1">
        <v>152.65907000000001</v>
      </c>
      <c r="L101" s="1">
        <v>152.58646999999999</v>
      </c>
      <c r="M101" s="1">
        <v>152.51387</v>
      </c>
      <c r="N101" s="1">
        <v>152.44127</v>
      </c>
      <c r="O101" s="1">
        <v>152.36867000000001</v>
      </c>
      <c r="P101" s="1">
        <v>152.71299999999999</v>
      </c>
      <c r="Q101" s="2"/>
      <c r="R101" s="2" t="str">
        <f t="shared" si="8"/>
        <v>Flat Momentum</v>
      </c>
      <c r="S101" s="2" t="str">
        <f t="shared" si="9"/>
        <v>-----</v>
      </c>
      <c r="T101" s="2"/>
      <c r="U101" s="2" t="str">
        <f t="shared" si="10"/>
        <v>-----</v>
      </c>
      <c r="V101" s="2" t="str">
        <f t="shared" si="11"/>
        <v>-----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 Deviate &amp; Exhaustive Imb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2026-02-28T09:56:29Z</dcterms:modified>
</cp:coreProperties>
</file>