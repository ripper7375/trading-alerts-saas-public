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"/>
    </mc:Choice>
  </mc:AlternateContent>
  <xr:revisionPtr revIDLastSave="0" documentId="13_ncr:1_{9B6FBE7D-0B63-42F3-9272-409FF9AEC61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Trend and Momentum Trading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7" i="4" l="1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AE30" i="4" s="1"/>
  <c r="X31" i="4"/>
  <c r="X32" i="4"/>
  <c r="X33" i="4"/>
  <c r="X34" i="4"/>
  <c r="X35" i="4"/>
  <c r="X36" i="4"/>
  <c r="X37" i="4"/>
  <c r="X38" i="4"/>
  <c r="X39" i="4"/>
  <c r="AE39" i="4" s="1"/>
  <c r="X40" i="4"/>
  <c r="AE40" i="4" s="1"/>
  <c r="X41" i="4"/>
  <c r="X42" i="4"/>
  <c r="AE42" i="4" s="1"/>
  <c r="X43" i="4"/>
  <c r="X44" i="4"/>
  <c r="X45" i="4"/>
  <c r="X46" i="4"/>
  <c r="X47" i="4"/>
  <c r="X48" i="4"/>
  <c r="X49" i="4"/>
  <c r="X50" i="4"/>
  <c r="X51" i="4"/>
  <c r="AE51" i="4" s="1"/>
  <c r="X52" i="4"/>
  <c r="AE52" i="4" s="1"/>
  <c r="X53" i="4"/>
  <c r="X54" i="4"/>
  <c r="X55" i="4"/>
  <c r="X56" i="4"/>
  <c r="X57" i="4"/>
  <c r="X58" i="4"/>
  <c r="X59" i="4"/>
  <c r="X60" i="4"/>
  <c r="X61" i="4"/>
  <c r="X62" i="4"/>
  <c r="X63" i="4"/>
  <c r="AE63" i="4" s="1"/>
  <c r="X64" i="4"/>
  <c r="X65" i="4"/>
  <c r="X66" i="4"/>
  <c r="AE66" i="4" s="1"/>
  <c r="X67" i="4"/>
  <c r="X68" i="4"/>
  <c r="X69" i="4"/>
  <c r="X70" i="4"/>
  <c r="X71" i="4"/>
  <c r="X72" i="4"/>
  <c r="X73" i="4"/>
  <c r="X74" i="4"/>
  <c r="X75" i="4"/>
  <c r="AE75" i="4" s="1"/>
  <c r="X76" i="4"/>
  <c r="AE76" i="4" s="1"/>
  <c r="X77" i="4"/>
  <c r="X78" i="4"/>
  <c r="AE78" i="4" s="1"/>
  <c r="X79" i="4"/>
  <c r="X80" i="4"/>
  <c r="X81" i="4"/>
  <c r="X82" i="4"/>
  <c r="X83" i="4"/>
  <c r="X84" i="4"/>
  <c r="X85" i="4"/>
  <c r="X86" i="4"/>
  <c r="X87" i="4"/>
  <c r="AE87" i="4" s="1"/>
  <c r="X88" i="4"/>
  <c r="AE88" i="4" s="1"/>
  <c r="X89" i="4"/>
  <c r="X90" i="4"/>
  <c r="X91" i="4"/>
  <c r="X92" i="4"/>
  <c r="X93" i="4"/>
  <c r="X94" i="4"/>
  <c r="X95" i="4"/>
  <c r="X96" i="4"/>
  <c r="X97" i="4"/>
  <c r="X98" i="4"/>
  <c r="X99" i="4"/>
  <c r="X100" i="4"/>
  <c r="AE100" i="4" s="1"/>
  <c r="X101" i="4"/>
  <c r="X102" i="4"/>
  <c r="AE102" i="4" s="1"/>
  <c r="X103" i="4"/>
  <c r="X16" i="4"/>
  <c r="T17" i="4"/>
  <c r="T18" i="4"/>
  <c r="T19" i="4"/>
  <c r="T20" i="4"/>
  <c r="T21" i="4"/>
  <c r="T22" i="4"/>
  <c r="T23" i="4"/>
  <c r="T24" i="4"/>
  <c r="T25" i="4"/>
  <c r="T26" i="4"/>
  <c r="T27" i="4"/>
  <c r="T28" i="4"/>
  <c r="AF28" i="4" s="1"/>
  <c r="T29" i="4"/>
  <c r="T30" i="4"/>
  <c r="T31" i="4"/>
  <c r="T32" i="4"/>
  <c r="T33" i="4"/>
  <c r="T34" i="4"/>
  <c r="T35" i="4"/>
  <c r="T36" i="4"/>
  <c r="T37" i="4"/>
  <c r="T38" i="4"/>
  <c r="T39" i="4"/>
  <c r="T40" i="4"/>
  <c r="AF40" i="4" s="1"/>
  <c r="T41" i="4"/>
  <c r="T42" i="4"/>
  <c r="T43" i="4"/>
  <c r="T44" i="4"/>
  <c r="T45" i="4"/>
  <c r="T46" i="4"/>
  <c r="T47" i="4"/>
  <c r="T48" i="4"/>
  <c r="T49" i="4"/>
  <c r="T50" i="4"/>
  <c r="T51" i="4"/>
  <c r="T52" i="4"/>
  <c r="AF52" i="4" s="1"/>
  <c r="T53" i="4"/>
  <c r="T54" i="4"/>
  <c r="T55" i="4"/>
  <c r="T56" i="4"/>
  <c r="T57" i="4"/>
  <c r="T58" i="4"/>
  <c r="T59" i="4"/>
  <c r="T60" i="4"/>
  <c r="T61" i="4"/>
  <c r="T62" i="4"/>
  <c r="T63" i="4"/>
  <c r="T64" i="4"/>
  <c r="AF64" i="4" s="1"/>
  <c r="T65" i="4"/>
  <c r="T66" i="4"/>
  <c r="T67" i="4"/>
  <c r="T68" i="4"/>
  <c r="T69" i="4"/>
  <c r="T70" i="4"/>
  <c r="T71" i="4"/>
  <c r="T72" i="4"/>
  <c r="T73" i="4"/>
  <c r="T74" i="4"/>
  <c r="T75" i="4"/>
  <c r="T76" i="4"/>
  <c r="AF76" i="4" s="1"/>
  <c r="T77" i="4"/>
  <c r="T78" i="4"/>
  <c r="T79" i="4"/>
  <c r="T80" i="4"/>
  <c r="T81" i="4"/>
  <c r="T82" i="4"/>
  <c r="T83" i="4"/>
  <c r="T84" i="4"/>
  <c r="T85" i="4"/>
  <c r="T86" i="4"/>
  <c r="T87" i="4"/>
  <c r="T88" i="4"/>
  <c r="AF88" i="4" s="1"/>
  <c r="T89" i="4"/>
  <c r="T90" i="4"/>
  <c r="T91" i="4"/>
  <c r="T92" i="4"/>
  <c r="T93" i="4"/>
  <c r="T94" i="4"/>
  <c r="T95" i="4"/>
  <c r="T96" i="4"/>
  <c r="T97" i="4"/>
  <c r="T98" i="4"/>
  <c r="T99" i="4"/>
  <c r="T100" i="4"/>
  <c r="AF100" i="4" s="1"/>
  <c r="T101" i="4"/>
  <c r="T102" i="4"/>
  <c r="T103" i="4"/>
  <c r="T16" i="4"/>
  <c r="AB16" i="4" s="1"/>
  <c r="AE18" i="4"/>
  <c r="AE21" i="4"/>
  <c r="AE27" i="4"/>
  <c r="AE28" i="4"/>
  <c r="AE33" i="4"/>
  <c r="AE45" i="4"/>
  <c r="AE54" i="4"/>
  <c r="AE57" i="4"/>
  <c r="AE64" i="4"/>
  <c r="AE69" i="4"/>
  <c r="AE81" i="4"/>
  <c r="AE90" i="4"/>
  <c r="AE93" i="4"/>
  <c r="AE99" i="4"/>
  <c r="AF17" i="4"/>
  <c r="AF18" i="4"/>
  <c r="AF19" i="4"/>
  <c r="AF20" i="4"/>
  <c r="AF21" i="4"/>
  <c r="AF22" i="4"/>
  <c r="AG22" i="4" s="1"/>
  <c r="AF23" i="4"/>
  <c r="AF24" i="4"/>
  <c r="AG24" i="4" s="1"/>
  <c r="AF25" i="4"/>
  <c r="AF26" i="4"/>
  <c r="AF27" i="4"/>
  <c r="AF29" i="4"/>
  <c r="AF30" i="4"/>
  <c r="AF31" i="4"/>
  <c r="AF32" i="4"/>
  <c r="AF33" i="4"/>
  <c r="AF34" i="4"/>
  <c r="AF35" i="4"/>
  <c r="AF36" i="4"/>
  <c r="AF37" i="4"/>
  <c r="AF38" i="4"/>
  <c r="AF39" i="4"/>
  <c r="AF41" i="4"/>
  <c r="AG41" i="4" s="1"/>
  <c r="AF42" i="4"/>
  <c r="AF43" i="4"/>
  <c r="AF44" i="4"/>
  <c r="AF45" i="4"/>
  <c r="AF46" i="4"/>
  <c r="AF47" i="4"/>
  <c r="AF48" i="4"/>
  <c r="AF49" i="4"/>
  <c r="AF50" i="4"/>
  <c r="AF51" i="4"/>
  <c r="AF53" i="4"/>
  <c r="AF54" i="4"/>
  <c r="AF55" i="4"/>
  <c r="AF56" i="4"/>
  <c r="AF57" i="4"/>
  <c r="AF58" i="4"/>
  <c r="AF59" i="4"/>
  <c r="AF60" i="4"/>
  <c r="AF61" i="4"/>
  <c r="AG61" i="4" s="1"/>
  <c r="AF62" i="4"/>
  <c r="AF63" i="4"/>
  <c r="AF65" i="4"/>
  <c r="AF66" i="4"/>
  <c r="AF67" i="4"/>
  <c r="AF68" i="4"/>
  <c r="AF69" i="4"/>
  <c r="AF70" i="4"/>
  <c r="AF71" i="4"/>
  <c r="AF72" i="4"/>
  <c r="AF73" i="4"/>
  <c r="AF74" i="4"/>
  <c r="AF75" i="4"/>
  <c r="AF77" i="4"/>
  <c r="AF78" i="4"/>
  <c r="AF79" i="4"/>
  <c r="AF80" i="4"/>
  <c r="AF81" i="4"/>
  <c r="AF82" i="4"/>
  <c r="AF83" i="4"/>
  <c r="AF84" i="4"/>
  <c r="AF85" i="4"/>
  <c r="AF86" i="4"/>
  <c r="AF87" i="4"/>
  <c r="AF89" i="4"/>
  <c r="AF90" i="4"/>
  <c r="AF91" i="4"/>
  <c r="AF92" i="4"/>
  <c r="AF93" i="4"/>
  <c r="AF94" i="4"/>
  <c r="AF95" i="4"/>
  <c r="AF96" i="4"/>
  <c r="AF97" i="4"/>
  <c r="AF98" i="4"/>
  <c r="AF99" i="4"/>
  <c r="AF101" i="4"/>
  <c r="AG101" i="4" s="1"/>
  <c r="AF102" i="4"/>
  <c r="AF103" i="4"/>
  <c r="AE17" i="4"/>
  <c r="AG17" i="4" s="1"/>
  <c r="AE19" i="4"/>
  <c r="AE20" i="4"/>
  <c r="AE22" i="4"/>
  <c r="AE23" i="4"/>
  <c r="AG23" i="4" s="1"/>
  <c r="AE24" i="4"/>
  <c r="AE25" i="4"/>
  <c r="AE26" i="4"/>
  <c r="AE29" i="4"/>
  <c r="AE31" i="4"/>
  <c r="AE32" i="4"/>
  <c r="AE34" i="4"/>
  <c r="AE35" i="4"/>
  <c r="AG35" i="4" s="1"/>
  <c r="AE36" i="4"/>
  <c r="AE37" i="4"/>
  <c r="AE38" i="4"/>
  <c r="AE41" i="4"/>
  <c r="AE43" i="4"/>
  <c r="AE44" i="4"/>
  <c r="AE46" i="4"/>
  <c r="AE47" i="4"/>
  <c r="AG47" i="4" s="1"/>
  <c r="AE48" i="4"/>
  <c r="AG48" i="4" s="1"/>
  <c r="AE49" i="4"/>
  <c r="AG49" i="4" s="1"/>
  <c r="AE50" i="4"/>
  <c r="AG50" i="4" s="1"/>
  <c r="AE53" i="4"/>
  <c r="AE55" i="4"/>
  <c r="AE56" i="4"/>
  <c r="AE58" i="4"/>
  <c r="AE59" i="4"/>
  <c r="AE60" i="4"/>
  <c r="AE61" i="4"/>
  <c r="AE62" i="4"/>
  <c r="AE65" i="4"/>
  <c r="AE67" i="4"/>
  <c r="AE68" i="4"/>
  <c r="AE70" i="4"/>
  <c r="AE71" i="4"/>
  <c r="AG71" i="4" s="1"/>
  <c r="AE72" i="4"/>
  <c r="AE73" i="4"/>
  <c r="AE74" i="4"/>
  <c r="AE77" i="4"/>
  <c r="AE79" i="4"/>
  <c r="AE80" i="4"/>
  <c r="AE82" i="4"/>
  <c r="AE83" i="4"/>
  <c r="AG83" i="4" s="1"/>
  <c r="AE84" i="4"/>
  <c r="AE85" i="4"/>
  <c r="AE86" i="4"/>
  <c r="AE89" i="4"/>
  <c r="AE91" i="4"/>
  <c r="AE92" i="4"/>
  <c r="AE94" i="4"/>
  <c r="AE95" i="4"/>
  <c r="AG95" i="4" s="1"/>
  <c r="AE96" i="4"/>
  <c r="AE97" i="4"/>
  <c r="AE98" i="4"/>
  <c r="AE101" i="4"/>
  <c r="AE103" i="4"/>
  <c r="AE16" i="4"/>
  <c r="AG16" i="4" s="1"/>
  <c r="R103" i="4"/>
  <c r="Q103" i="4"/>
  <c r="P103" i="4"/>
  <c r="M103" i="4"/>
  <c r="K103" i="4"/>
  <c r="R102" i="4"/>
  <c r="Q102" i="4"/>
  <c r="P102" i="4"/>
  <c r="M102" i="4"/>
  <c r="K102" i="4"/>
  <c r="R101" i="4"/>
  <c r="Q101" i="4"/>
  <c r="AA101" i="4" s="1"/>
  <c r="P101" i="4"/>
  <c r="M101" i="4"/>
  <c r="K101" i="4"/>
  <c r="R100" i="4"/>
  <c r="Q100" i="4"/>
  <c r="P100" i="4"/>
  <c r="M100" i="4"/>
  <c r="K100" i="4"/>
  <c r="R99" i="4"/>
  <c r="Q99" i="4"/>
  <c r="P99" i="4"/>
  <c r="M99" i="4"/>
  <c r="K99" i="4"/>
  <c r="R98" i="4"/>
  <c r="Q98" i="4"/>
  <c r="P98" i="4"/>
  <c r="M98" i="4"/>
  <c r="K98" i="4"/>
  <c r="R97" i="4"/>
  <c r="Q97" i="4"/>
  <c r="P97" i="4"/>
  <c r="M97" i="4"/>
  <c r="K97" i="4"/>
  <c r="R96" i="4"/>
  <c r="Q96" i="4"/>
  <c r="P96" i="4"/>
  <c r="M96" i="4"/>
  <c r="K96" i="4"/>
  <c r="R95" i="4"/>
  <c r="Q95" i="4"/>
  <c r="P95" i="4"/>
  <c r="M95" i="4"/>
  <c r="K95" i="4"/>
  <c r="R94" i="4"/>
  <c r="Q94" i="4"/>
  <c r="P94" i="4"/>
  <c r="M94" i="4"/>
  <c r="K94" i="4"/>
  <c r="R93" i="4"/>
  <c r="Q93" i="4"/>
  <c r="P93" i="4"/>
  <c r="M93" i="4"/>
  <c r="K93" i="4"/>
  <c r="R92" i="4"/>
  <c r="Q92" i="4"/>
  <c r="P92" i="4"/>
  <c r="V92" i="4" s="1"/>
  <c r="M92" i="4"/>
  <c r="K92" i="4"/>
  <c r="R91" i="4"/>
  <c r="Q91" i="4"/>
  <c r="P91" i="4"/>
  <c r="M91" i="4"/>
  <c r="K91" i="4"/>
  <c r="R90" i="4"/>
  <c r="Q90" i="4"/>
  <c r="P90" i="4"/>
  <c r="M90" i="4"/>
  <c r="K90" i="4"/>
  <c r="R89" i="4"/>
  <c r="Q89" i="4"/>
  <c r="P89" i="4"/>
  <c r="M89" i="4"/>
  <c r="K89" i="4"/>
  <c r="R88" i="4"/>
  <c r="Q88" i="4"/>
  <c r="P88" i="4"/>
  <c r="M88" i="4"/>
  <c r="K88" i="4"/>
  <c r="R87" i="4"/>
  <c r="Q87" i="4"/>
  <c r="P87" i="4"/>
  <c r="M87" i="4"/>
  <c r="K87" i="4"/>
  <c r="R86" i="4"/>
  <c r="Q86" i="4"/>
  <c r="P86" i="4"/>
  <c r="M86" i="4"/>
  <c r="K86" i="4"/>
  <c r="R85" i="4"/>
  <c r="Q85" i="4"/>
  <c r="P85" i="4"/>
  <c r="M85" i="4"/>
  <c r="K85" i="4"/>
  <c r="R84" i="4"/>
  <c r="Q84" i="4"/>
  <c r="P84" i="4"/>
  <c r="M84" i="4"/>
  <c r="K84" i="4"/>
  <c r="R83" i="4"/>
  <c r="Q83" i="4"/>
  <c r="P83" i="4"/>
  <c r="M83" i="4"/>
  <c r="K83" i="4"/>
  <c r="R82" i="4"/>
  <c r="Q82" i="4"/>
  <c r="P82" i="4"/>
  <c r="M82" i="4"/>
  <c r="K82" i="4"/>
  <c r="R81" i="4"/>
  <c r="Q81" i="4"/>
  <c r="P81" i="4"/>
  <c r="M81" i="4"/>
  <c r="K81" i="4"/>
  <c r="R80" i="4"/>
  <c r="Q80" i="4"/>
  <c r="AA80" i="4" s="1"/>
  <c r="P80" i="4"/>
  <c r="M80" i="4"/>
  <c r="K80" i="4"/>
  <c r="R79" i="4"/>
  <c r="Q79" i="4"/>
  <c r="P79" i="4"/>
  <c r="M79" i="4"/>
  <c r="K79" i="4"/>
  <c r="R78" i="4"/>
  <c r="Q78" i="4"/>
  <c r="P78" i="4"/>
  <c r="M78" i="4"/>
  <c r="K78" i="4"/>
  <c r="R77" i="4"/>
  <c r="Q77" i="4"/>
  <c r="P77" i="4"/>
  <c r="M77" i="4"/>
  <c r="K77" i="4"/>
  <c r="R76" i="4"/>
  <c r="Q76" i="4"/>
  <c r="P76" i="4"/>
  <c r="M76" i="4"/>
  <c r="K76" i="4"/>
  <c r="R75" i="4"/>
  <c r="Q75" i="4"/>
  <c r="P75" i="4"/>
  <c r="M75" i="4"/>
  <c r="K75" i="4"/>
  <c r="R74" i="4"/>
  <c r="Q74" i="4"/>
  <c r="P74" i="4"/>
  <c r="M74" i="4"/>
  <c r="K74" i="4"/>
  <c r="R73" i="4"/>
  <c r="Q73" i="4"/>
  <c r="P73" i="4"/>
  <c r="M73" i="4"/>
  <c r="K73" i="4"/>
  <c r="R72" i="4"/>
  <c r="Q72" i="4"/>
  <c r="P72" i="4"/>
  <c r="M72" i="4"/>
  <c r="K72" i="4"/>
  <c r="R71" i="4"/>
  <c r="Q71" i="4"/>
  <c r="P71" i="4"/>
  <c r="M71" i="4"/>
  <c r="K71" i="4"/>
  <c r="R70" i="4"/>
  <c r="Q70" i="4"/>
  <c r="P70" i="4"/>
  <c r="M70" i="4"/>
  <c r="K70" i="4"/>
  <c r="R69" i="4"/>
  <c r="Q69" i="4"/>
  <c r="P69" i="4"/>
  <c r="M69" i="4"/>
  <c r="K69" i="4"/>
  <c r="R68" i="4"/>
  <c r="Q68" i="4"/>
  <c r="P68" i="4"/>
  <c r="M68" i="4"/>
  <c r="K68" i="4"/>
  <c r="R67" i="4"/>
  <c r="Q67" i="4"/>
  <c r="P67" i="4"/>
  <c r="M67" i="4"/>
  <c r="K67" i="4"/>
  <c r="R66" i="4"/>
  <c r="Q66" i="4"/>
  <c r="P66" i="4"/>
  <c r="M66" i="4"/>
  <c r="K66" i="4"/>
  <c r="R65" i="4"/>
  <c r="Q65" i="4"/>
  <c r="P65" i="4"/>
  <c r="M65" i="4"/>
  <c r="K65" i="4"/>
  <c r="R64" i="4"/>
  <c r="Q64" i="4"/>
  <c r="P64" i="4"/>
  <c r="M64" i="4"/>
  <c r="K64" i="4"/>
  <c r="R63" i="4"/>
  <c r="Q63" i="4"/>
  <c r="P63" i="4"/>
  <c r="M63" i="4"/>
  <c r="K63" i="4"/>
  <c r="R62" i="4"/>
  <c r="Q62" i="4"/>
  <c r="P62" i="4"/>
  <c r="M62" i="4"/>
  <c r="K62" i="4"/>
  <c r="R61" i="4"/>
  <c r="Q61" i="4"/>
  <c r="P61" i="4"/>
  <c r="M61" i="4"/>
  <c r="K61" i="4"/>
  <c r="R60" i="4"/>
  <c r="Q60" i="4"/>
  <c r="P60" i="4"/>
  <c r="M60" i="4"/>
  <c r="K60" i="4"/>
  <c r="R59" i="4"/>
  <c r="Q59" i="4"/>
  <c r="P59" i="4"/>
  <c r="M59" i="4"/>
  <c r="K59" i="4"/>
  <c r="R58" i="4"/>
  <c r="Q58" i="4"/>
  <c r="P58" i="4"/>
  <c r="M58" i="4"/>
  <c r="K58" i="4"/>
  <c r="R57" i="4"/>
  <c r="Q57" i="4"/>
  <c r="P57" i="4"/>
  <c r="M57" i="4"/>
  <c r="K57" i="4"/>
  <c r="R56" i="4"/>
  <c r="Q56" i="4"/>
  <c r="P56" i="4"/>
  <c r="M56" i="4"/>
  <c r="K56" i="4"/>
  <c r="R55" i="4"/>
  <c r="Q55" i="4"/>
  <c r="P55" i="4"/>
  <c r="M55" i="4"/>
  <c r="K55" i="4"/>
  <c r="R54" i="4"/>
  <c r="Q54" i="4"/>
  <c r="P54" i="4"/>
  <c r="M54" i="4"/>
  <c r="K54" i="4"/>
  <c r="R53" i="4"/>
  <c r="Q53" i="4"/>
  <c r="P53" i="4"/>
  <c r="M53" i="4"/>
  <c r="K53" i="4"/>
  <c r="R52" i="4"/>
  <c r="Q52" i="4"/>
  <c r="P52" i="4"/>
  <c r="M52" i="4"/>
  <c r="K52" i="4"/>
  <c r="R51" i="4"/>
  <c r="Q51" i="4"/>
  <c r="P51" i="4"/>
  <c r="M51" i="4"/>
  <c r="K51" i="4"/>
  <c r="R50" i="4"/>
  <c r="Q50" i="4"/>
  <c r="P50" i="4"/>
  <c r="M50" i="4"/>
  <c r="K50" i="4"/>
  <c r="R49" i="4"/>
  <c r="Q49" i="4"/>
  <c r="P49" i="4"/>
  <c r="M49" i="4"/>
  <c r="K49" i="4"/>
  <c r="R48" i="4"/>
  <c r="Q48" i="4"/>
  <c r="P48" i="4"/>
  <c r="M48" i="4"/>
  <c r="K48" i="4"/>
  <c r="R47" i="4"/>
  <c r="Q47" i="4"/>
  <c r="P47" i="4"/>
  <c r="M47" i="4"/>
  <c r="K47" i="4"/>
  <c r="R46" i="4"/>
  <c r="Q46" i="4"/>
  <c r="P46" i="4"/>
  <c r="M46" i="4"/>
  <c r="K46" i="4"/>
  <c r="R45" i="4"/>
  <c r="Q45" i="4"/>
  <c r="P45" i="4"/>
  <c r="M45" i="4"/>
  <c r="K45" i="4"/>
  <c r="R44" i="4"/>
  <c r="Q44" i="4"/>
  <c r="P44" i="4"/>
  <c r="M44" i="4"/>
  <c r="K44" i="4"/>
  <c r="R43" i="4"/>
  <c r="Q43" i="4"/>
  <c r="P43" i="4"/>
  <c r="M43" i="4"/>
  <c r="K43" i="4"/>
  <c r="R42" i="4"/>
  <c r="Q42" i="4"/>
  <c r="P42" i="4"/>
  <c r="M42" i="4"/>
  <c r="K42" i="4"/>
  <c r="R41" i="4"/>
  <c r="Q41" i="4"/>
  <c r="P41" i="4"/>
  <c r="M41" i="4"/>
  <c r="K41" i="4"/>
  <c r="R40" i="4"/>
  <c r="Q40" i="4"/>
  <c r="P40" i="4"/>
  <c r="M40" i="4"/>
  <c r="K40" i="4"/>
  <c r="R39" i="4"/>
  <c r="Q39" i="4"/>
  <c r="P39" i="4"/>
  <c r="M39" i="4"/>
  <c r="K39" i="4"/>
  <c r="R38" i="4"/>
  <c r="Q38" i="4"/>
  <c r="P38" i="4"/>
  <c r="M38" i="4"/>
  <c r="K38" i="4"/>
  <c r="R37" i="4"/>
  <c r="Q37" i="4"/>
  <c r="P37" i="4"/>
  <c r="M37" i="4"/>
  <c r="K37" i="4"/>
  <c r="R36" i="4"/>
  <c r="Q36" i="4"/>
  <c r="P36" i="4"/>
  <c r="M36" i="4"/>
  <c r="K36" i="4"/>
  <c r="R35" i="4"/>
  <c r="Q35" i="4"/>
  <c r="P35" i="4"/>
  <c r="M35" i="4"/>
  <c r="K35" i="4"/>
  <c r="R34" i="4"/>
  <c r="Q34" i="4"/>
  <c r="P34" i="4"/>
  <c r="M34" i="4"/>
  <c r="K34" i="4"/>
  <c r="R33" i="4"/>
  <c r="Q33" i="4"/>
  <c r="P33" i="4"/>
  <c r="M33" i="4"/>
  <c r="K33" i="4"/>
  <c r="R32" i="4"/>
  <c r="Q32" i="4"/>
  <c r="P32" i="4"/>
  <c r="M32" i="4"/>
  <c r="K32" i="4"/>
  <c r="R31" i="4"/>
  <c r="Q31" i="4"/>
  <c r="P31" i="4"/>
  <c r="M31" i="4"/>
  <c r="K31" i="4"/>
  <c r="R30" i="4"/>
  <c r="Q30" i="4"/>
  <c r="P30" i="4"/>
  <c r="M30" i="4"/>
  <c r="K30" i="4"/>
  <c r="R29" i="4"/>
  <c r="Q29" i="4"/>
  <c r="P29" i="4"/>
  <c r="M29" i="4"/>
  <c r="K29" i="4"/>
  <c r="R28" i="4"/>
  <c r="Q28" i="4"/>
  <c r="P28" i="4"/>
  <c r="M28" i="4"/>
  <c r="K28" i="4"/>
  <c r="R27" i="4"/>
  <c r="Q27" i="4"/>
  <c r="P27" i="4"/>
  <c r="M27" i="4"/>
  <c r="K27" i="4"/>
  <c r="R26" i="4"/>
  <c r="Q26" i="4"/>
  <c r="P26" i="4"/>
  <c r="M26" i="4"/>
  <c r="K26" i="4"/>
  <c r="R25" i="4"/>
  <c r="Q25" i="4"/>
  <c r="P25" i="4"/>
  <c r="M25" i="4"/>
  <c r="K25" i="4"/>
  <c r="R24" i="4"/>
  <c r="Q24" i="4"/>
  <c r="P24" i="4"/>
  <c r="M24" i="4"/>
  <c r="K24" i="4"/>
  <c r="R23" i="4"/>
  <c r="Q23" i="4"/>
  <c r="P23" i="4"/>
  <c r="M23" i="4"/>
  <c r="K23" i="4"/>
  <c r="R22" i="4"/>
  <c r="Q22" i="4"/>
  <c r="P22" i="4"/>
  <c r="M22" i="4"/>
  <c r="K22" i="4"/>
  <c r="R21" i="4"/>
  <c r="Q21" i="4"/>
  <c r="P21" i="4"/>
  <c r="M21" i="4"/>
  <c r="K21" i="4"/>
  <c r="R20" i="4"/>
  <c r="Q20" i="4"/>
  <c r="P20" i="4"/>
  <c r="M20" i="4"/>
  <c r="K20" i="4"/>
  <c r="R19" i="4"/>
  <c r="Q19" i="4"/>
  <c r="P19" i="4"/>
  <c r="M19" i="4"/>
  <c r="K19" i="4"/>
  <c r="V18" i="4"/>
  <c r="R18" i="4"/>
  <c r="Q18" i="4"/>
  <c r="P18" i="4"/>
  <c r="M18" i="4"/>
  <c r="K18" i="4"/>
  <c r="R17" i="4"/>
  <c r="Q17" i="4"/>
  <c r="P17" i="4"/>
  <c r="M17" i="4"/>
  <c r="K17" i="4"/>
  <c r="R16" i="4"/>
  <c r="Q16" i="4"/>
  <c r="P16" i="4"/>
  <c r="M16" i="4"/>
  <c r="K16" i="4"/>
  <c r="R15" i="4"/>
  <c r="Q15" i="4"/>
  <c r="P15" i="4"/>
  <c r="M15" i="4"/>
  <c r="R14" i="4"/>
  <c r="Q14" i="4"/>
  <c r="P14" i="4"/>
  <c r="M14" i="4"/>
  <c r="R13" i="4"/>
  <c r="Q13" i="4"/>
  <c r="P13" i="4"/>
  <c r="M13" i="4"/>
  <c r="R12" i="4"/>
  <c r="Q12" i="4"/>
  <c r="P12" i="4"/>
  <c r="M12" i="4"/>
  <c r="R11" i="4"/>
  <c r="Q11" i="4"/>
  <c r="P11" i="4"/>
  <c r="M11" i="4"/>
  <c r="R10" i="4"/>
  <c r="Q10" i="4"/>
  <c r="P10" i="4"/>
  <c r="M10" i="4"/>
  <c r="R9" i="4"/>
  <c r="Q9" i="4"/>
  <c r="P9" i="4"/>
  <c r="M9" i="4"/>
  <c r="R8" i="4"/>
  <c r="Q8" i="4"/>
  <c r="P8" i="4"/>
  <c r="M8" i="4"/>
  <c r="R7" i="4"/>
  <c r="Q7" i="4"/>
  <c r="P7" i="4"/>
  <c r="M7" i="4"/>
  <c r="R6" i="4"/>
  <c r="Q6" i="4"/>
  <c r="P6" i="4"/>
  <c r="M6" i="4"/>
  <c r="P5" i="4"/>
  <c r="M5" i="4"/>
  <c r="AG60" i="4" l="1"/>
  <c r="AG34" i="4"/>
  <c r="AG59" i="4"/>
  <c r="AF16" i="4"/>
  <c r="AG98" i="4"/>
  <c r="AG85" i="4"/>
  <c r="AG72" i="4"/>
  <c r="AG46" i="4"/>
  <c r="AG33" i="4"/>
  <c r="AG20" i="4"/>
  <c r="AG97" i="4"/>
  <c r="AG84" i="4"/>
  <c r="AG58" i="4"/>
  <c r="AG45" i="4"/>
  <c r="AG32" i="4"/>
  <c r="AG19" i="4"/>
  <c r="AG96" i="4"/>
  <c r="AG70" i="4"/>
  <c r="AG57" i="4"/>
  <c r="AG44" i="4"/>
  <c r="AG31" i="4"/>
  <c r="AG18" i="4"/>
  <c r="AG86" i="4"/>
  <c r="AG21" i="4"/>
  <c r="AG82" i="4"/>
  <c r="AG69" i="4"/>
  <c r="AG56" i="4"/>
  <c r="AG43" i="4"/>
  <c r="AG30" i="4"/>
  <c r="AG87" i="4"/>
  <c r="AG94" i="4"/>
  <c r="AG81" i="4"/>
  <c r="AG68" i="4"/>
  <c r="AG55" i="4"/>
  <c r="AG42" i="4"/>
  <c r="AG29" i="4"/>
  <c r="AG73" i="4"/>
  <c r="AG93" i="4"/>
  <c r="AG80" i="4"/>
  <c r="AG67" i="4"/>
  <c r="AG54" i="4"/>
  <c r="AG27" i="4"/>
  <c r="AG92" i="4"/>
  <c r="AG79" i="4"/>
  <c r="AG66" i="4"/>
  <c r="AG53" i="4"/>
  <c r="AG39" i="4"/>
  <c r="AG26" i="4"/>
  <c r="AG91" i="4"/>
  <c r="AG78" i="4"/>
  <c r="AG65" i="4"/>
  <c r="AG51" i="4"/>
  <c r="AG38" i="4"/>
  <c r="AG25" i="4"/>
  <c r="AG103" i="4"/>
  <c r="AG90" i="4"/>
  <c r="AG77" i="4"/>
  <c r="AG63" i="4"/>
  <c r="AG37" i="4"/>
  <c r="AG100" i="4"/>
  <c r="AG88" i="4"/>
  <c r="AG76" i="4"/>
  <c r="AG64" i="4"/>
  <c r="AG52" i="4"/>
  <c r="AG40" i="4"/>
  <c r="AG28" i="4"/>
  <c r="AG74" i="4"/>
  <c r="AG99" i="4"/>
  <c r="AG102" i="4"/>
  <c r="AG89" i="4"/>
  <c r="AG75" i="4"/>
  <c r="AG62" i="4"/>
  <c r="AG36" i="4"/>
  <c r="AA52" i="4"/>
  <c r="AA93" i="4"/>
  <c r="AA75" i="4"/>
  <c r="V28" i="4"/>
  <c r="AA69" i="4"/>
  <c r="V102" i="4"/>
  <c r="AA22" i="4"/>
  <c r="W23" i="4"/>
  <c r="V97" i="4"/>
  <c r="AA49" i="4"/>
  <c r="Z19" i="4"/>
  <c r="AA97" i="4"/>
  <c r="AA50" i="4"/>
  <c r="AA76" i="4"/>
  <c r="AA84" i="4"/>
  <c r="AA96" i="4"/>
  <c r="AA33" i="4"/>
  <c r="W45" i="4"/>
  <c r="AA71" i="4"/>
  <c r="W72" i="4"/>
  <c r="AA89" i="4"/>
  <c r="W96" i="4"/>
  <c r="Z100" i="4"/>
  <c r="AA100" i="4"/>
  <c r="AA48" i="4"/>
  <c r="AA53" i="4"/>
  <c r="AA57" i="4"/>
  <c r="AA67" i="4"/>
  <c r="AA92" i="4"/>
  <c r="AA70" i="4"/>
  <c r="AA83" i="4"/>
  <c r="AA95" i="4"/>
  <c r="AA99" i="4"/>
  <c r="V58" i="4"/>
  <c r="AA87" i="4"/>
  <c r="W17" i="4"/>
  <c r="W28" i="4"/>
  <c r="AA47" i="4"/>
  <c r="AA66" i="4"/>
  <c r="W77" i="4"/>
  <c r="AA79" i="4"/>
  <c r="W69" i="4"/>
  <c r="AA86" i="4"/>
  <c r="AA94" i="4"/>
  <c r="AA98" i="4"/>
  <c r="N6" i="4"/>
  <c r="AA82" i="4"/>
  <c r="AA85" i="4"/>
  <c r="AA45" i="4"/>
  <c r="W58" i="4"/>
  <c r="W59" i="4"/>
  <c r="AA62" i="4"/>
  <c r="AA78" i="4"/>
  <c r="AA41" i="4"/>
  <c r="AA51" i="4"/>
  <c r="AA77" i="4"/>
  <c r="AA81" i="4"/>
  <c r="AA19" i="4"/>
  <c r="AA20" i="4"/>
  <c r="AA21" i="4"/>
  <c r="Z37" i="4"/>
  <c r="Z36" i="4"/>
  <c r="AA58" i="4"/>
  <c r="AA65" i="4"/>
  <c r="AA34" i="4"/>
  <c r="AA35" i="4"/>
  <c r="AA36" i="4"/>
  <c r="AA38" i="4"/>
  <c r="AA24" i="4"/>
  <c r="AA25" i="4"/>
  <c r="AA37" i="4"/>
  <c r="AA40" i="4"/>
  <c r="V26" i="4"/>
  <c r="AA39" i="4"/>
  <c r="AA61" i="4"/>
  <c r="AA64" i="4"/>
  <c r="AA68" i="4"/>
  <c r="AA73" i="4"/>
  <c r="W85" i="4"/>
  <c r="AA91" i="4"/>
  <c r="Z95" i="4"/>
  <c r="AA26" i="4"/>
  <c r="AA29" i="4"/>
  <c r="W39" i="4"/>
  <c r="W16" i="4"/>
  <c r="V17" i="4"/>
  <c r="AA31" i="4"/>
  <c r="AA60" i="4"/>
  <c r="AA72" i="4"/>
  <c r="AA90" i="4"/>
  <c r="AA16" i="4"/>
  <c r="AA32" i="4"/>
  <c r="V43" i="4"/>
  <c r="AA17" i="4"/>
  <c r="AA27" i="4"/>
  <c r="AA30" i="4"/>
  <c r="AA43" i="4"/>
  <c r="AA56" i="4"/>
  <c r="AA63" i="4"/>
  <c r="Z93" i="4"/>
  <c r="AA102" i="4"/>
  <c r="AA103" i="4"/>
  <c r="N8" i="4"/>
  <c r="V19" i="4"/>
  <c r="V45" i="4"/>
  <c r="AA44" i="4"/>
  <c r="AA55" i="4"/>
  <c r="AA88" i="4"/>
  <c r="W102" i="4"/>
  <c r="AA18" i="4"/>
  <c r="AA42" i="4"/>
  <c r="AA46" i="4"/>
  <c r="AA54" i="4"/>
  <c r="AA59" i="4"/>
  <c r="N21" i="4"/>
  <c r="AA23" i="4"/>
  <c r="AA28" i="4"/>
  <c r="AA74" i="4"/>
  <c r="W53" i="4"/>
  <c r="Z103" i="4"/>
  <c r="Z79" i="4"/>
  <c r="Z46" i="4"/>
  <c r="Z78" i="4"/>
  <c r="W91" i="4"/>
  <c r="Z80" i="4"/>
  <c r="W82" i="4"/>
  <c r="Z82" i="4"/>
  <c r="Z86" i="4"/>
  <c r="V87" i="4"/>
  <c r="V89" i="4"/>
  <c r="V103" i="4"/>
  <c r="Z71" i="4"/>
  <c r="Z72" i="4"/>
  <c r="Z97" i="4"/>
  <c r="W51" i="4"/>
  <c r="Z60" i="4"/>
  <c r="W52" i="4"/>
  <c r="V95" i="4"/>
  <c r="N12" i="4"/>
  <c r="W20" i="4"/>
  <c r="Z20" i="4"/>
  <c r="V21" i="4"/>
  <c r="V20" i="4"/>
  <c r="N22" i="4"/>
  <c r="N25" i="4"/>
  <c r="N26" i="4"/>
  <c r="N103" i="4"/>
  <c r="N97" i="4"/>
  <c r="N102" i="4"/>
  <c r="N99" i="4"/>
  <c r="N93" i="4"/>
  <c r="N94" i="4"/>
  <c r="N87" i="4"/>
  <c r="N86" i="4"/>
  <c r="N89" i="4"/>
  <c r="N92" i="4"/>
  <c r="N81" i="4"/>
  <c r="N82" i="4"/>
  <c r="N80" i="4"/>
  <c r="N83" i="4"/>
  <c r="N73" i="4"/>
  <c r="N78" i="4"/>
  <c r="N77" i="4"/>
  <c r="N67" i="4"/>
  <c r="N66" i="4"/>
  <c r="N68" i="4"/>
  <c r="N74" i="4"/>
  <c r="N61" i="4"/>
  <c r="N60" i="4"/>
  <c r="N59" i="4"/>
  <c r="N50" i="4"/>
  <c r="N62" i="4"/>
  <c r="N57" i="4"/>
  <c r="N42" i="4"/>
  <c r="N41" i="4"/>
  <c r="N55" i="4"/>
  <c r="N48" i="4"/>
  <c r="N51" i="4"/>
  <c r="N45" i="4"/>
  <c r="N44" i="4"/>
  <c r="N43" i="4"/>
  <c r="N32" i="4"/>
  <c r="N40" i="4"/>
  <c r="N46" i="4"/>
  <c r="N39" i="4"/>
  <c r="N38" i="4"/>
  <c r="N36" i="4"/>
  <c r="N29" i="4"/>
  <c r="N28" i="4"/>
  <c r="N30" i="4"/>
  <c r="N24" i="4"/>
  <c r="N33" i="4"/>
  <c r="N20" i="4"/>
  <c r="N19" i="4"/>
  <c r="N11" i="4"/>
  <c r="N10" i="4"/>
  <c r="N23" i="4"/>
  <c r="N17" i="4"/>
  <c r="Z16" i="4"/>
  <c r="W19" i="4"/>
  <c r="Z21" i="4"/>
  <c r="V23" i="4"/>
  <c r="N9" i="4"/>
  <c r="N16" i="4"/>
  <c r="N18" i="4"/>
  <c r="W22" i="4"/>
  <c r="N75" i="4"/>
  <c r="N7" i="4"/>
  <c r="N15" i="4"/>
  <c r="N31" i="4"/>
  <c r="N14" i="4"/>
  <c r="Z22" i="4"/>
  <c r="Z24" i="4"/>
  <c r="V24" i="4"/>
  <c r="V25" i="4"/>
  <c r="Z26" i="4"/>
  <c r="V27" i="4"/>
  <c r="Z25" i="4"/>
  <c r="N34" i="4"/>
  <c r="N5" i="4"/>
  <c r="N13" i="4"/>
  <c r="W18" i="4"/>
  <c r="Z28" i="4"/>
  <c r="Z17" i="4"/>
  <c r="Z23" i="4"/>
  <c r="W27" i="4"/>
  <c r="Z18" i="4"/>
  <c r="W26" i="4"/>
  <c r="W24" i="4"/>
  <c r="Z27" i="4"/>
  <c r="V30" i="4"/>
  <c r="Z29" i="4"/>
  <c r="V29" i="4"/>
  <c r="W21" i="4"/>
  <c r="W29" i="4"/>
  <c r="V16" i="4"/>
  <c r="V22" i="4"/>
  <c r="W25" i="4"/>
  <c r="W30" i="4"/>
  <c r="N27" i="4"/>
  <c r="Z32" i="4"/>
  <c r="V32" i="4"/>
  <c r="Z33" i="4"/>
  <c r="V34" i="4"/>
  <c r="V33" i="4"/>
  <c r="Z35" i="4"/>
  <c r="V35" i="4"/>
  <c r="N35" i="4"/>
  <c r="W40" i="4"/>
  <c r="W32" i="4"/>
  <c r="N37" i="4"/>
  <c r="Z30" i="4"/>
  <c r="W34" i="4"/>
  <c r="N54" i="4"/>
  <c r="V31" i="4"/>
  <c r="W31" i="4"/>
  <c r="Z34" i="4"/>
  <c r="W35" i="4"/>
  <c r="W37" i="4"/>
  <c r="Z31" i="4"/>
  <c r="V36" i="4"/>
  <c r="W36" i="4"/>
  <c r="Z51" i="4"/>
  <c r="Z50" i="4"/>
  <c r="V51" i="4"/>
  <c r="V50" i="4"/>
  <c r="Z53" i="4"/>
  <c r="Z52" i="4"/>
  <c r="N56" i="4"/>
  <c r="V37" i="4"/>
  <c r="Z43" i="4"/>
  <c r="V44" i="4"/>
  <c r="W42" i="4"/>
  <c r="W41" i="4"/>
  <c r="W44" i="4"/>
  <c r="W33" i="4"/>
  <c r="V38" i="4"/>
  <c r="Z38" i="4"/>
  <c r="Z39" i="4"/>
  <c r="Z61" i="4"/>
  <c r="V61" i="4"/>
  <c r="Z62" i="4"/>
  <c r="Z63" i="4"/>
  <c r="W60" i="4"/>
  <c r="W38" i="4"/>
  <c r="Z41" i="4"/>
  <c r="Z40" i="4"/>
  <c r="V41" i="4"/>
  <c r="V40" i="4"/>
  <c r="Z42" i="4"/>
  <c r="V42" i="4"/>
  <c r="N47" i="4"/>
  <c r="V39" i="4"/>
  <c r="V47" i="4"/>
  <c r="V48" i="4"/>
  <c r="V49" i="4"/>
  <c r="Z47" i="4"/>
  <c r="Z48" i="4"/>
  <c r="N53" i="4"/>
  <c r="Z44" i="4"/>
  <c r="V46" i="4"/>
  <c r="W48" i="4"/>
  <c r="V53" i="4"/>
  <c r="W47" i="4"/>
  <c r="N49" i="4"/>
  <c r="Z45" i="4"/>
  <c r="W46" i="4"/>
  <c r="W50" i="4"/>
  <c r="Z49" i="4"/>
  <c r="N63" i="4"/>
  <c r="W43" i="4"/>
  <c r="W49" i="4"/>
  <c r="N52" i="4"/>
  <c r="V52" i="4"/>
  <c r="V54" i="4"/>
  <c r="W54" i="4"/>
  <c r="Z55" i="4"/>
  <c r="V55" i="4"/>
  <c r="V56" i="4"/>
  <c r="Z58" i="4"/>
  <c r="Z57" i="4"/>
  <c r="V57" i="4"/>
  <c r="V62" i="4"/>
  <c r="W57" i="4"/>
  <c r="W56" i="4"/>
  <c r="W55" i="4"/>
  <c r="N64" i="4"/>
  <c r="Z54" i="4"/>
  <c r="Z56" i="4"/>
  <c r="N58" i="4"/>
  <c r="Z64" i="4"/>
  <c r="V59" i="4"/>
  <c r="Z66" i="4"/>
  <c r="V66" i="4"/>
  <c r="V60" i="4"/>
  <c r="N65" i="4"/>
  <c r="Z65" i="4"/>
  <c r="V65" i="4"/>
  <c r="Z59" i="4"/>
  <c r="V64" i="4"/>
  <c r="N69" i="4"/>
  <c r="N70" i="4"/>
  <c r="N71" i="4"/>
  <c r="W61" i="4"/>
  <c r="W64" i="4"/>
  <c r="W65" i="4"/>
  <c r="Z67" i="4"/>
  <c r="V69" i="4"/>
  <c r="V63" i="4"/>
  <c r="N72" i="4"/>
  <c r="W62" i="4"/>
  <c r="W63" i="4"/>
  <c r="W67" i="4"/>
  <c r="Z68" i="4"/>
  <c r="V70" i="4"/>
  <c r="W73" i="4"/>
  <c r="N79" i="4"/>
  <c r="W70" i="4"/>
  <c r="V72" i="4"/>
  <c r="Z69" i="4"/>
  <c r="V71" i="4"/>
  <c r="V77" i="4"/>
  <c r="Z74" i="4"/>
  <c r="V74" i="4"/>
  <c r="Z76" i="4"/>
  <c r="W71" i="4"/>
  <c r="Z70" i="4"/>
  <c r="W66" i="4"/>
  <c r="W74" i="4"/>
  <c r="V67" i="4"/>
  <c r="V75" i="4"/>
  <c r="N76" i="4"/>
  <c r="V68" i="4"/>
  <c r="Z73" i="4"/>
  <c r="V73" i="4"/>
  <c r="W76" i="4"/>
  <c r="V76" i="4"/>
  <c r="W68" i="4"/>
  <c r="Z75" i="4"/>
  <c r="Z81" i="4"/>
  <c r="V78" i="4"/>
  <c r="W78" i="4"/>
  <c r="W81" i="4"/>
  <c r="N85" i="4"/>
  <c r="Z77" i="4"/>
  <c r="V79" i="4"/>
  <c r="V80" i="4"/>
  <c r="N88" i="4"/>
  <c r="W79" i="4"/>
  <c r="W80" i="4"/>
  <c r="V81" i="4"/>
  <c r="N84" i="4"/>
  <c r="W75" i="4"/>
  <c r="W84" i="4"/>
  <c r="V82" i="4"/>
  <c r="Z84" i="4"/>
  <c r="Z83" i="4"/>
  <c r="V84" i="4"/>
  <c r="V83" i="4"/>
  <c r="W83" i="4"/>
  <c r="Z88" i="4"/>
  <c r="N90" i="4"/>
  <c r="Z90" i="4"/>
  <c r="W90" i="4"/>
  <c r="W88" i="4"/>
  <c r="W87" i="4"/>
  <c r="W89" i="4"/>
  <c r="N98" i="4"/>
  <c r="V85" i="4"/>
  <c r="V86" i="4"/>
  <c r="V91" i="4"/>
  <c r="Z89" i="4"/>
  <c r="Z91" i="4"/>
  <c r="V90" i="4"/>
  <c r="W86" i="4"/>
  <c r="Z87" i="4"/>
  <c r="N91" i="4"/>
  <c r="N100" i="4"/>
  <c r="Z85" i="4"/>
  <c r="V88" i="4"/>
  <c r="W92" i="4"/>
  <c r="W95" i="4"/>
  <c r="W93" i="4"/>
  <c r="W94" i="4"/>
  <c r="Z92" i="4"/>
  <c r="Z94" i="4"/>
  <c r="V96" i="4"/>
  <c r="V98" i="4"/>
  <c r="Z98" i="4"/>
  <c r="N95" i="4"/>
  <c r="W97" i="4"/>
  <c r="W99" i="4"/>
  <c r="W98" i="4"/>
  <c r="W101" i="4"/>
  <c r="W100" i="4"/>
  <c r="N96" i="4"/>
  <c r="V99" i="4"/>
  <c r="Z101" i="4"/>
  <c r="V101" i="4"/>
  <c r="Z99" i="4"/>
  <c r="V100" i="4"/>
  <c r="Z96" i="4"/>
  <c r="V94" i="4"/>
  <c r="Z102" i="4"/>
  <c r="V93" i="4"/>
  <c r="N101" i="4"/>
  <c r="W103" i="4"/>
  <c r="O6" i="4" l="1"/>
  <c r="O15" i="4"/>
  <c r="O37" i="4"/>
  <c r="O30" i="4"/>
  <c r="O91" i="4"/>
  <c r="O58" i="4"/>
  <c r="O5" i="4"/>
  <c r="O8" i="4"/>
  <c r="O21" i="4"/>
  <c r="O24" i="4"/>
  <c r="O45" i="4"/>
  <c r="O74" i="4"/>
  <c r="O89" i="4"/>
  <c r="O68" i="4"/>
  <c r="O90" i="4"/>
  <c r="O79" i="4"/>
  <c r="O65" i="4"/>
  <c r="O49" i="4"/>
  <c r="O28" i="4"/>
  <c r="O48" i="4"/>
  <c r="O66" i="4"/>
  <c r="O87" i="4"/>
  <c r="O26" i="4"/>
  <c r="O86" i="4"/>
  <c r="O29" i="4"/>
  <c r="O55" i="4"/>
  <c r="O67" i="4"/>
  <c r="O94" i="4"/>
  <c r="O56" i="4"/>
  <c r="O34" i="4"/>
  <c r="O36" i="4"/>
  <c r="O41" i="4"/>
  <c r="O77" i="4"/>
  <c r="O93" i="4"/>
  <c r="O96" i="4"/>
  <c r="O84" i="4"/>
  <c r="O35" i="4"/>
  <c r="O27" i="4"/>
  <c r="O14" i="4"/>
  <c r="O7" i="4"/>
  <c r="O17" i="4"/>
  <c r="O38" i="4"/>
  <c r="O42" i="4"/>
  <c r="O78" i="4"/>
  <c r="O99" i="4"/>
  <c r="O12" i="4"/>
  <c r="O88" i="4"/>
  <c r="O52" i="4"/>
  <c r="O18" i="4"/>
  <c r="O23" i="4"/>
  <c r="O39" i="4"/>
  <c r="O57" i="4"/>
  <c r="O73" i="4"/>
  <c r="O102" i="4"/>
  <c r="O100" i="4"/>
  <c r="O76" i="4"/>
  <c r="O71" i="4"/>
  <c r="O16" i="4"/>
  <c r="O10" i="4"/>
  <c r="O46" i="4"/>
  <c r="O62" i="4"/>
  <c r="O83" i="4"/>
  <c r="O97" i="4"/>
  <c r="O25" i="4"/>
  <c r="O51" i="4"/>
  <c r="O101" i="4"/>
  <c r="O98" i="4"/>
  <c r="O70" i="4"/>
  <c r="O53" i="4"/>
  <c r="O9" i="4"/>
  <c r="O11" i="4"/>
  <c r="O40" i="4"/>
  <c r="O50" i="4"/>
  <c r="O80" i="4"/>
  <c r="O103" i="4"/>
  <c r="O22" i="4"/>
  <c r="O64" i="4"/>
  <c r="O63" i="4"/>
  <c r="O54" i="4"/>
  <c r="O13" i="4"/>
  <c r="O19" i="4"/>
  <c r="O32" i="4"/>
  <c r="O59" i="4"/>
  <c r="O82" i="4"/>
  <c r="O85" i="4"/>
  <c r="O72" i="4"/>
  <c r="O69" i="4"/>
  <c r="O31" i="4"/>
  <c r="O75" i="4"/>
  <c r="O20" i="4"/>
  <c r="O43" i="4"/>
  <c r="O60" i="4"/>
  <c r="O81" i="4"/>
  <c r="O95" i="4"/>
  <c r="O47" i="4"/>
  <c r="O33" i="4"/>
  <c r="O44" i="4"/>
  <c r="O61" i="4"/>
  <c r="O92" i="4"/>
  <c r="Y20" i="4" l="1"/>
  <c r="AC20" i="4" s="1"/>
  <c r="U20" i="4"/>
  <c r="AB20" i="4" s="1"/>
  <c r="Y91" i="4"/>
  <c r="AC91" i="4" s="1"/>
  <c r="U91" i="4"/>
  <c r="AB91" i="4" s="1"/>
  <c r="Y31" i="4"/>
  <c r="AC31" i="4" s="1"/>
  <c r="U31" i="4"/>
  <c r="AB31" i="4" s="1"/>
  <c r="Y85" i="4"/>
  <c r="AC85" i="4" s="1"/>
  <c r="U85" i="4"/>
  <c r="AB85" i="4" s="1"/>
  <c r="U83" i="4"/>
  <c r="AB83" i="4" s="1"/>
  <c r="Y83" i="4"/>
  <c r="AC83" i="4" s="1"/>
  <c r="U84" i="4"/>
  <c r="AB84" i="4" s="1"/>
  <c r="Y84" i="4"/>
  <c r="AC84" i="4" s="1"/>
  <c r="Y67" i="4"/>
  <c r="AC67" i="4" s="1"/>
  <c r="U67" i="4"/>
  <c r="AB67" i="4" s="1"/>
  <c r="Y49" i="4"/>
  <c r="AC49" i="4" s="1"/>
  <c r="U49" i="4"/>
  <c r="AB49" i="4" s="1"/>
  <c r="Y68" i="4"/>
  <c r="AC68" i="4" s="1"/>
  <c r="U68" i="4"/>
  <c r="AB68" i="4" s="1"/>
  <c r="AD68" i="4" s="1"/>
  <c r="Y40" i="4"/>
  <c r="AC40" i="4" s="1"/>
  <c r="U40" i="4"/>
  <c r="AB40" i="4" s="1"/>
  <c r="Y97" i="4"/>
  <c r="AC97" i="4" s="1"/>
  <c r="U97" i="4"/>
  <c r="AB97" i="4" s="1"/>
  <c r="Y62" i="4"/>
  <c r="AC62" i="4" s="1"/>
  <c r="U62" i="4"/>
  <c r="AB62" i="4" s="1"/>
  <c r="AD62" i="4" s="1"/>
  <c r="U99" i="4"/>
  <c r="AB99" i="4" s="1"/>
  <c r="Y99" i="4"/>
  <c r="AC99" i="4" s="1"/>
  <c r="U55" i="4"/>
  <c r="AB55" i="4" s="1"/>
  <c r="AD55" i="4" s="1"/>
  <c r="Y55" i="4"/>
  <c r="AC55" i="4" s="1"/>
  <c r="U26" i="4"/>
  <c r="AB26" i="4" s="1"/>
  <c r="Y26" i="4"/>
  <c r="AC26" i="4" s="1"/>
  <c r="Y65" i="4"/>
  <c r="AC65" i="4" s="1"/>
  <c r="U65" i="4"/>
  <c r="AB65" i="4" s="1"/>
  <c r="Y89" i="4"/>
  <c r="AC89" i="4" s="1"/>
  <c r="U89" i="4"/>
  <c r="AB89" i="4" s="1"/>
  <c r="U88" i="4"/>
  <c r="AB88" i="4" s="1"/>
  <c r="Y88" i="4"/>
  <c r="AC88" i="4" s="1"/>
  <c r="U101" i="4"/>
  <c r="AB101" i="4" s="1"/>
  <c r="Y101" i="4"/>
  <c r="AC101" i="4" s="1"/>
  <c r="Y46" i="4"/>
  <c r="AC46" i="4" s="1"/>
  <c r="U46" i="4"/>
  <c r="AB46" i="4" s="1"/>
  <c r="Y78" i="4"/>
  <c r="AC78" i="4" s="1"/>
  <c r="U78" i="4"/>
  <c r="AB78" i="4" s="1"/>
  <c r="Y29" i="4"/>
  <c r="AC29" i="4" s="1"/>
  <c r="U29" i="4"/>
  <c r="AB29" i="4" s="1"/>
  <c r="U87" i="4"/>
  <c r="AB87" i="4" s="1"/>
  <c r="Y87" i="4"/>
  <c r="AC87" i="4" s="1"/>
  <c r="Y74" i="4"/>
  <c r="AC74" i="4" s="1"/>
  <c r="U74" i="4"/>
  <c r="AB74" i="4" s="1"/>
  <c r="AD74" i="4" s="1"/>
  <c r="U58" i="4"/>
  <c r="AB58" i="4" s="1"/>
  <c r="Y58" i="4"/>
  <c r="AC58" i="4" s="1"/>
  <c r="U35" i="4"/>
  <c r="AB35" i="4" s="1"/>
  <c r="AD35" i="4" s="1"/>
  <c r="Y35" i="4"/>
  <c r="AC35" i="4" s="1"/>
  <c r="U70" i="4"/>
  <c r="AB70" i="4" s="1"/>
  <c r="AD70" i="4" s="1"/>
  <c r="Y70" i="4"/>
  <c r="AC70" i="4" s="1"/>
  <c r="Y71" i="4"/>
  <c r="AC71" i="4" s="1"/>
  <c r="U71" i="4"/>
  <c r="AB71" i="4" s="1"/>
  <c r="Y18" i="4"/>
  <c r="AC18" i="4" s="1"/>
  <c r="U18" i="4"/>
  <c r="AB18" i="4" s="1"/>
  <c r="Y42" i="4"/>
  <c r="AC42" i="4" s="1"/>
  <c r="U42" i="4"/>
  <c r="AB42" i="4" s="1"/>
  <c r="AD42" i="4" s="1"/>
  <c r="Y96" i="4"/>
  <c r="AC96" i="4" s="1"/>
  <c r="U96" i="4"/>
  <c r="AB96" i="4" s="1"/>
  <c r="AD96" i="4" s="1"/>
  <c r="U93" i="4"/>
  <c r="AB93" i="4" s="1"/>
  <c r="AD93" i="4" s="1"/>
  <c r="Y93" i="4"/>
  <c r="AC93" i="4" s="1"/>
  <c r="Y66" i="4"/>
  <c r="AC66" i="4" s="1"/>
  <c r="U66" i="4"/>
  <c r="AB66" i="4" s="1"/>
  <c r="Y90" i="4"/>
  <c r="AC90" i="4" s="1"/>
  <c r="U90" i="4"/>
  <c r="AB90" i="4" s="1"/>
  <c r="U45" i="4"/>
  <c r="AB45" i="4" s="1"/>
  <c r="Y45" i="4"/>
  <c r="AC45" i="4" s="1"/>
  <c r="U30" i="4"/>
  <c r="AB30" i="4" s="1"/>
  <c r="Y30" i="4"/>
  <c r="AC30" i="4" s="1"/>
  <c r="Y51" i="4"/>
  <c r="AC51" i="4" s="1"/>
  <c r="U51" i="4"/>
  <c r="AB51" i="4" s="1"/>
  <c r="U82" i="4"/>
  <c r="AB82" i="4" s="1"/>
  <c r="AD82" i="4" s="1"/>
  <c r="Y82" i="4"/>
  <c r="AC82" i="4" s="1"/>
  <c r="Y63" i="4"/>
  <c r="AC63" i="4" s="1"/>
  <c r="U63" i="4"/>
  <c r="AB63" i="4" s="1"/>
  <c r="Y102" i="4"/>
  <c r="AC102" i="4" s="1"/>
  <c r="U102" i="4"/>
  <c r="AB102" i="4" s="1"/>
  <c r="Y38" i="4"/>
  <c r="AC38" i="4" s="1"/>
  <c r="U38" i="4"/>
  <c r="AB38" i="4" s="1"/>
  <c r="U77" i="4"/>
  <c r="AB77" i="4" s="1"/>
  <c r="Y77" i="4"/>
  <c r="AC77" i="4" s="1"/>
  <c r="Y86" i="4"/>
  <c r="AC86" i="4" s="1"/>
  <c r="U86" i="4"/>
  <c r="AB86" i="4" s="1"/>
  <c r="U48" i="4"/>
  <c r="AB48" i="4" s="1"/>
  <c r="AD48" i="4" s="1"/>
  <c r="Y48" i="4"/>
  <c r="AC48" i="4" s="1"/>
  <c r="Y24" i="4"/>
  <c r="AC24" i="4" s="1"/>
  <c r="U24" i="4"/>
  <c r="AB24" i="4" s="1"/>
  <c r="U100" i="4"/>
  <c r="AB100" i="4" s="1"/>
  <c r="AD100" i="4" s="1"/>
  <c r="Y100" i="4"/>
  <c r="AC100" i="4" s="1"/>
  <c r="Y59" i="4"/>
  <c r="AC59" i="4" s="1"/>
  <c r="U59" i="4"/>
  <c r="AB59" i="4" s="1"/>
  <c r="Y98" i="4"/>
  <c r="AC98" i="4" s="1"/>
  <c r="U98" i="4"/>
  <c r="AB98" i="4" s="1"/>
  <c r="AD98" i="4" s="1"/>
  <c r="U73" i="4"/>
  <c r="AB73" i="4" s="1"/>
  <c r="Y73" i="4"/>
  <c r="AC73" i="4" s="1"/>
  <c r="U52" i="4"/>
  <c r="AB52" i="4" s="1"/>
  <c r="Y52" i="4"/>
  <c r="AC52" i="4" s="1"/>
  <c r="U17" i="4"/>
  <c r="AB17" i="4" s="1"/>
  <c r="Y17" i="4"/>
  <c r="AC17" i="4" s="1"/>
  <c r="U41" i="4"/>
  <c r="AB41" i="4" s="1"/>
  <c r="AD41" i="4" s="1"/>
  <c r="Y41" i="4"/>
  <c r="AC41" i="4" s="1"/>
  <c r="U34" i="4"/>
  <c r="AB34" i="4" s="1"/>
  <c r="Y34" i="4"/>
  <c r="AC34" i="4" s="1"/>
  <c r="U28" i="4"/>
  <c r="AB28" i="4" s="1"/>
  <c r="Y28" i="4"/>
  <c r="AC28" i="4" s="1"/>
  <c r="U94" i="4"/>
  <c r="AB94" i="4" s="1"/>
  <c r="Y94" i="4"/>
  <c r="AC94" i="4" s="1"/>
  <c r="U95" i="4"/>
  <c r="AB95" i="4" s="1"/>
  <c r="Y95" i="4"/>
  <c r="AC95" i="4" s="1"/>
  <c r="Y75" i="4"/>
  <c r="AC75" i="4" s="1"/>
  <c r="U75" i="4"/>
  <c r="AB75" i="4" s="1"/>
  <c r="Y32" i="4"/>
  <c r="AC32" i="4" s="1"/>
  <c r="U32" i="4"/>
  <c r="AB32" i="4" s="1"/>
  <c r="Y54" i="4"/>
  <c r="AC54" i="4" s="1"/>
  <c r="U54" i="4"/>
  <c r="AB54" i="4" s="1"/>
  <c r="U22" i="4"/>
  <c r="AB22" i="4" s="1"/>
  <c r="Y22" i="4"/>
  <c r="AC22" i="4" s="1"/>
  <c r="U53" i="4"/>
  <c r="AB53" i="4" s="1"/>
  <c r="Y53" i="4"/>
  <c r="AC53" i="4" s="1"/>
  <c r="U57" i="4"/>
  <c r="AB57" i="4" s="1"/>
  <c r="Y57" i="4"/>
  <c r="AC57" i="4" s="1"/>
  <c r="U27" i="4"/>
  <c r="AB27" i="4" s="1"/>
  <c r="Y27" i="4"/>
  <c r="AC27" i="4" s="1"/>
  <c r="Y36" i="4"/>
  <c r="AC36" i="4" s="1"/>
  <c r="U36" i="4"/>
  <c r="AB36" i="4" s="1"/>
  <c r="AD36" i="4" s="1"/>
  <c r="Y21" i="4"/>
  <c r="AC21" i="4" s="1"/>
  <c r="U21" i="4"/>
  <c r="AB21" i="4" s="1"/>
  <c r="U25" i="4"/>
  <c r="AB25" i="4" s="1"/>
  <c r="Y25" i="4"/>
  <c r="AC25" i="4" s="1"/>
  <c r="Y92" i="4"/>
  <c r="AC92" i="4" s="1"/>
  <c r="U92" i="4"/>
  <c r="AB92" i="4" s="1"/>
  <c r="AD92" i="4" s="1"/>
  <c r="U81" i="4"/>
  <c r="AB81" i="4" s="1"/>
  <c r="Y81" i="4"/>
  <c r="AC81" i="4" s="1"/>
  <c r="U69" i="4"/>
  <c r="AB69" i="4" s="1"/>
  <c r="AD69" i="4" s="1"/>
  <c r="Y69" i="4"/>
  <c r="AC69" i="4" s="1"/>
  <c r="Y19" i="4"/>
  <c r="AC19" i="4" s="1"/>
  <c r="U19" i="4"/>
  <c r="AB19" i="4" s="1"/>
  <c r="Y103" i="4"/>
  <c r="AC103" i="4" s="1"/>
  <c r="U103" i="4"/>
  <c r="AB103" i="4" s="1"/>
  <c r="U39" i="4"/>
  <c r="AB39" i="4" s="1"/>
  <c r="Y39" i="4"/>
  <c r="AC39" i="4" s="1"/>
  <c r="Y37" i="4"/>
  <c r="AC37" i="4" s="1"/>
  <c r="U37" i="4"/>
  <c r="AB37" i="4" s="1"/>
  <c r="Y61" i="4"/>
  <c r="AC61" i="4" s="1"/>
  <c r="U61" i="4"/>
  <c r="AB61" i="4" s="1"/>
  <c r="U47" i="4"/>
  <c r="AB47" i="4" s="1"/>
  <c r="Y47" i="4"/>
  <c r="AC47" i="4" s="1"/>
  <c r="Y60" i="4"/>
  <c r="AC60" i="4" s="1"/>
  <c r="U60" i="4"/>
  <c r="AB60" i="4" s="1"/>
  <c r="Y72" i="4"/>
  <c r="AC72" i="4" s="1"/>
  <c r="U72" i="4"/>
  <c r="AB72" i="4" s="1"/>
  <c r="Y80" i="4"/>
  <c r="AC80" i="4" s="1"/>
  <c r="U80" i="4"/>
  <c r="AB80" i="4" s="1"/>
  <c r="AD80" i="4" s="1"/>
  <c r="U76" i="4"/>
  <c r="AB76" i="4" s="1"/>
  <c r="Y76" i="4"/>
  <c r="AC76" i="4" s="1"/>
  <c r="U23" i="4"/>
  <c r="AB23" i="4" s="1"/>
  <c r="Y23" i="4"/>
  <c r="AC23" i="4" s="1"/>
  <c r="Y33" i="4"/>
  <c r="AC33" i="4" s="1"/>
  <c r="U33" i="4"/>
  <c r="AB33" i="4" s="1"/>
  <c r="U44" i="4"/>
  <c r="AB44" i="4" s="1"/>
  <c r="AD44" i="4" s="1"/>
  <c r="Y44" i="4"/>
  <c r="AC44" i="4" s="1"/>
  <c r="Y43" i="4"/>
  <c r="AC43" i="4" s="1"/>
  <c r="U43" i="4"/>
  <c r="AB43" i="4" s="1"/>
  <c r="Y64" i="4"/>
  <c r="AC64" i="4" s="1"/>
  <c r="U64" i="4"/>
  <c r="AB64" i="4" s="1"/>
  <c r="AD64" i="4" s="1"/>
  <c r="Y50" i="4"/>
  <c r="AC50" i="4" s="1"/>
  <c r="U50" i="4"/>
  <c r="AB50" i="4" s="1"/>
  <c r="AD50" i="4" s="1"/>
  <c r="U16" i="4"/>
  <c r="Y16" i="4"/>
  <c r="AC16" i="4" s="1"/>
  <c r="Y56" i="4"/>
  <c r="AC56" i="4" s="1"/>
  <c r="U56" i="4"/>
  <c r="AB56" i="4" s="1"/>
  <c r="Y79" i="4"/>
  <c r="AC79" i="4" s="1"/>
  <c r="U79" i="4"/>
  <c r="AB79" i="4" s="1"/>
  <c r="AD43" i="4" l="1"/>
  <c r="AD72" i="4"/>
  <c r="AD103" i="4"/>
  <c r="AD21" i="4"/>
  <c r="AD54" i="4"/>
  <c r="AD59" i="4"/>
  <c r="AD38" i="4"/>
  <c r="AD18" i="4"/>
  <c r="AD89" i="4"/>
  <c r="AD97" i="4"/>
  <c r="AD47" i="4"/>
  <c r="AD27" i="4"/>
  <c r="AD17" i="4"/>
  <c r="AD26" i="4"/>
  <c r="AD61" i="4"/>
  <c r="AD37" i="4"/>
  <c r="AD86" i="4"/>
  <c r="AD51" i="4"/>
  <c r="AD67" i="4"/>
  <c r="AD20" i="4"/>
  <c r="AD34" i="4"/>
  <c r="AD45" i="4"/>
  <c r="AD87" i="4"/>
  <c r="AD83" i="4"/>
  <c r="AD79" i="4"/>
  <c r="AD60" i="4"/>
  <c r="AD19" i="4"/>
  <c r="AD32" i="4"/>
  <c r="AD102" i="4"/>
  <c r="AD90" i="4"/>
  <c r="AD71" i="4"/>
  <c r="AD29" i="4"/>
  <c r="AD65" i="4"/>
  <c r="AD40" i="4"/>
  <c r="AD85" i="4"/>
  <c r="AD84" i="4"/>
  <c r="AD28" i="4"/>
  <c r="AD56" i="4"/>
  <c r="AD33" i="4"/>
  <c r="AD75" i="4"/>
  <c r="AD24" i="4"/>
  <c r="AD63" i="4"/>
  <c r="AD66" i="4"/>
  <c r="AD78" i="4"/>
  <c r="AD31" i="4"/>
  <c r="AD22" i="4"/>
  <c r="AD88" i="4"/>
  <c r="AD25" i="4"/>
  <c r="AD30" i="4"/>
  <c r="AD46" i="4"/>
  <c r="AD49" i="4"/>
  <c r="AD91" i="4"/>
  <c r="AD39" i="4"/>
  <c r="AD77" i="4"/>
  <c r="AD23" i="4"/>
  <c r="AD81" i="4"/>
  <c r="AD57" i="4"/>
  <c r="AD95" i="4"/>
  <c r="AD52" i="4"/>
  <c r="AD76" i="4"/>
  <c r="AD53" i="4"/>
  <c r="AD94" i="4"/>
  <c r="AD73" i="4"/>
  <c r="AD58" i="4"/>
  <c r="AD101" i="4"/>
  <c r="AD99" i="4"/>
  <c r="AD16" i="4"/>
</calcChain>
</file>

<file path=xl/sharedStrings.xml><?xml version="1.0" encoding="utf-8"?>
<sst xmlns="http://schemas.openxmlformats.org/spreadsheetml/2006/main" count="327" uniqueCount="131">
  <si>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</si>
  <si>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</si>
  <si>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</si>
  <si>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</si>
  <si>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</si>
  <si>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</si>
  <si>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</si>
  <si>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</si>
  <si>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</si>
  <si>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</si>
  <si>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</si>
  <si>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</si>
  <si>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</si>
  <si>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</si>
  <si>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</si>
  <si>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</si>
  <si>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</si>
  <si>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</si>
  <si>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</si>
  <si>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</si>
  <si>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</si>
  <si>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</si>
  <si>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</si>
  <si>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</si>
  <si>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</si>
  <si>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</si>
  <si>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</si>
  <si>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</si>
  <si>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</si>
  <si>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</si>
  <si>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</si>
  <si>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</si>
  <si>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</si>
  <si>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</si>
  <si>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</si>
  <si>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</si>
  <si>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</si>
  <si>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</si>
  <si>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</si>
  <si>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</si>
  <si>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</si>
  <si>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</si>
  <si>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</si>
  <si>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</si>
  <si>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</si>
  <si>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</si>
  <si>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</si>
  <si>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</si>
  <si>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</si>
  <si>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</si>
  <si>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</si>
  <si>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</si>
  <si>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</si>
  <si>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</si>
  <si>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</si>
  <si>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</si>
  <si>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</si>
  <si>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</si>
  <si>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</si>
  <si>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</si>
  <si>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</si>
  <si>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</si>
  <si>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</si>
  <si>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</si>
  <si>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</si>
  <si>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</si>
  <si>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</si>
  <si>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</si>
  <si>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</si>
  <si>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</si>
  <si>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</si>
  <si>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</si>
  <si>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</si>
  <si>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</si>
  <si>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</si>
  <si>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</si>
  <si>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</si>
  <si>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</si>
  <si>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</si>
  <si>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</si>
  <si>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</si>
  <si>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</si>
  <si>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</si>
  <si>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</si>
  <si>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</si>
  <si>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</si>
  <si>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</si>
  <si>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</si>
  <si>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</si>
  <si>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</si>
  <si>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</si>
  <si>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</si>
  <si>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</si>
  <si>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</si>
  <si>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</si>
  <si>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</si>
  <si>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</si>
  <si>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</si>
  <si>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</si>
  <si>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</si>
  <si>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</si>
  <si>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</si>
  <si>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</si>
  <si>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</si>
  <si>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</si>
  <si>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</si>
  <si>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Tema</t>
  </si>
  <si>
    <t>Hrma</t>
  </si>
  <si>
    <t>EMA</t>
  </si>
  <si>
    <t>Smma</t>
  </si>
  <si>
    <t>Close-TEMA crossover</t>
  </si>
  <si>
    <t>Close-TEMA crossunder</t>
  </si>
  <si>
    <t>%Hrma-EMA_Dev</t>
  </si>
  <si>
    <t>Z-Score %Hrma-EMA_Dev</t>
  </si>
  <si>
    <t>Hrma-EMA_Based_Momentum</t>
  </si>
  <si>
    <t>Trend</t>
  </si>
  <si>
    <t>S1</t>
  </si>
  <si>
    <t>S2</t>
  </si>
  <si>
    <t>S3</t>
  </si>
  <si>
    <t>S4</t>
  </si>
  <si>
    <t>B1</t>
  </si>
  <si>
    <t>B2</t>
  </si>
  <si>
    <t>B3</t>
  </si>
  <si>
    <t>B4</t>
  </si>
  <si>
    <t>TEMA &lt;&gt; HRMA</t>
  </si>
  <si>
    <t>Bearish Trend Following Trade Setup</t>
  </si>
  <si>
    <t>Bullish Trend Following Trade Setup</t>
  </si>
  <si>
    <t>Counter Trend Buy Setup</t>
  </si>
  <si>
    <t>Counter Trend Sell Setup</t>
  </si>
  <si>
    <t>Trend Following Trade Setup (Risk Control Trading)</t>
  </si>
  <si>
    <t>Counter Trend Trade Setup (High Risk Trading) (Recommend for Position Closing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</si>
</sst>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0" fontId="0" fillId="0" borderId="0" xfId="42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10" fontId="21" fillId="0" borderId="0" xfId="42" applyNumberFormat="1" applyFont="1" applyAlignment="1">
      <alignment horizontal="center"/>
    </xf>
    <xf numFmtId="0" fontId="19" fillId="33" borderId="0" xfId="0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4:AG103"/>
  <sheetViews>
    <sheetView tabSelected="1" topLeftCell="N49" zoomScale="70" zoomScaleNormal="70" workbookViewId="0">
      <selection activeCell="R69" sqref="R69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6" max="9" width="7.68359375" bestFit="1" customWidth="1"/>
    <col min="10" max="10" width="3.15625" customWidth="1"/>
    <col min="11" max="11" width="9" customWidth="1"/>
    <col min="12" max="12" width="2.83984375" customWidth="1"/>
    <col min="13" max="13" width="15.05078125" bestFit="1" customWidth="1"/>
    <col min="14" max="14" width="14.83984375" customWidth="1"/>
    <col min="15" max="15" width="26.3671875" bestFit="1" customWidth="1"/>
    <col min="16" max="18" width="20.83984375" customWidth="1"/>
    <col min="19" max="19" width="3.26171875" customWidth="1"/>
    <col min="20" max="23" width="3.578125" bestFit="1" customWidth="1"/>
    <col min="24" max="27" width="3.83984375" bestFit="1" customWidth="1"/>
    <col min="28" max="28" width="18.9453125" customWidth="1"/>
    <col min="29" max="29" width="20.83984375" customWidth="1"/>
    <col min="30" max="31" width="18.68359375" bestFit="1" customWidth="1"/>
    <col min="32" max="32" width="20.20703125" customWidth="1"/>
    <col min="33" max="33" width="19.3671875" customWidth="1"/>
    <col min="34" max="35" width="16.3671875" bestFit="1" customWidth="1"/>
    <col min="36" max="38" width="18.68359375" bestFit="1" customWidth="1"/>
    <col min="40" max="42" width="19.734375" bestFit="1" customWidth="1"/>
    <col min="43" max="45" width="19.83984375" bestFit="1" customWidth="1"/>
  </cols>
  <sheetData>
    <row r="4" spans="1:33" ht="72" x14ac:dyDescent="0.55000000000000004">
      <c r="A4" s="12" t="s">
        <v>0</v>
      </c>
      <c r="B4" s="12" t="s">
        <v>104</v>
      </c>
      <c r="C4" s="12" t="s">
        <v>1</v>
      </c>
      <c r="D4" s="12" t="s">
        <v>2</v>
      </c>
      <c r="E4" s="12" t="s">
        <v>105</v>
      </c>
      <c r="F4" s="13" t="s">
        <v>106</v>
      </c>
      <c r="G4" s="13" t="s">
        <v>107</v>
      </c>
      <c r="H4" s="13" t="s">
        <v>108</v>
      </c>
      <c r="I4" s="13" t="s">
        <v>109</v>
      </c>
      <c r="J4" s="14"/>
      <c r="K4" s="18" t="s">
        <v>115</v>
      </c>
      <c r="L4" s="16"/>
      <c r="M4" s="9" t="s">
        <v>112</v>
      </c>
      <c r="N4" s="9" t="s">
        <v>113</v>
      </c>
      <c r="O4" s="18" t="s">
        <v>114</v>
      </c>
      <c r="P4" s="18" t="s">
        <v>124</v>
      </c>
      <c r="Q4" s="19" t="s">
        <v>110</v>
      </c>
      <c r="R4" s="19" t="s">
        <v>111</v>
      </c>
      <c r="S4" s="15"/>
      <c r="T4" s="11" t="s">
        <v>116</v>
      </c>
      <c r="U4" s="11" t="s">
        <v>117</v>
      </c>
      <c r="V4" s="11" t="s">
        <v>118</v>
      </c>
      <c r="W4" s="11" t="s">
        <v>119</v>
      </c>
      <c r="X4" s="11" t="s">
        <v>120</v>
      </c>
      <c r="Y4" s="11" t="s">
        <v>121</v>
      </c>
      <c r="Z4" s="11" t="s">
        <v>122</v>
      </c>
      <c r="AA4" s="11" t="s">
        <v>123</v>
      </c>
      <c r="AB4" s="17" t="s">
        <v>125</v>
      </c>
      <c r="AC4" s="17" t="s">
        <v>126</v>
      </c>
      <c r="AD4" s="10" t="s">
        <v>129</v>
      </c>
      <c r="AE4" s="20" t="s">
        <v>127</v>
      </c>
      <c r="AF4" s="20" t="s">
        <v>128</v>
      </c>
      <c r="AG4" s="10" t="s">
        <v>130</v>
      </c>
    </row>
    <row r="5" spans="1:33" x14ac:dyDescent="0.55000000000000004">
      <c r="A5">
        <v>1</v>
      </c>
      <c r="B5" t="s">
        <v>3</v>
      </c>
      <c r="C5" t="s">
        <v>4</v>
      </c>
      <c r="D5" t="s">
        <v>103</v>
      </c>
      <c r="E5">
        <v>153.249</v>
      </c>
      <c r="F5">
        <v>153.13499999999999</v>
      </c>
      <c r="G5">
        <v>153.19300000000001</v>
      </c>
      <c r="H5">
        <v>153.28299999999999</v>
      </c>
      <c r="I5">
        <v>153.345</v>
      </c>
      <c r="J5" s="1"/>
      <c r="K5" s="1"/>
      <c r="L5" s="1"/>
      <c r="M5" s="3">
        <f t="shared" ref="M5:M36" si="0">(G5-H5)/H5</f>
        <v>-5.8714925986557537E-4</v>
      </c>
      <c r="N5" s="3">
        <f t="shared" ref="N5:N68" si="1">STANDARDIZE(M5,AVERAGE($M$5:$M$103),_xlfn.STDEV.P($M$5:$M$103))</f>
        <v>-0.39468404754843017</v>
      </c>
      <c r="O5" s="3" t="str">
        <f t="shared" ref="O5:O68" si="2">IF(N5&gt;PERCENTILE($N$5:$N$103,90%),"Reverse to Bearish",IF(N5&gt;=PERCENTILE($N$5:$N$103,70%),"-----",IF(N5&gt;=PERCENTILE($N$5:$N$103,30%),"-----",IF(N5&gt;=PERCENTILE($N$5:$N$103,10%),"-----","Reverse to Bullish"))))</f>
        <v>-----</v>
      </c>
      <c r="P5" s="3" t="str">
        <f t="shared" ref="P5:P36" si="3">IF(F5&gt;G5,"Bullish","Bearish")</f>
        <v>Bearish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3"/>
    </row>
    <row r="6" spans="1:33" x14ac:dyDescent="0.55000000000000004">
      <c r="A6">
        <v>2</v>
      </c>
      <c r="B6" t="s">
        <v>5</v>
      </c>
      <c r="C6" t="s">
        <v>4</v>
      </c>
      <c r="D6" t="s">
        <v>103</v>
      </c>
      <c r="E6">
        <v>153.196</v>
      </c>
      <c r="F6">
        <v>153.15600000000001</v>
      </c>
      <c r="G6">
        <v>153.18199999999999</v>
      </c>
      <c r="H6">
        <v>153.27699999999999</v>
      </c>
      <c r="I6">
        <v>153.34</v>
      </c>
      <c r="J6" s="1"/>
      <c r="K6" s="1"/>
      <c r="L6" s="1"/>
      <c r="M6" s="3">
        <f t="shared" si="0"/>
        <v>-6.1979292392204226E-4</v>
      </c>
      <c r="N6" s="3">
        <f t="shared" si="1"/>
        <v>-0.48883009752490603</v>
      </c>
      <c r="O6" s="3" t="str">
        <f t="shared" si="2"/>
        <v>-----</v>
      </c>
      <c r="P6" s="3" t="str">
        <f t="shared" si="3"/>
        <v>Bearish</v>
      </c>
      <c r="Q6" s="1" t="str">
        <f t="shared" ref="Q6:Q37" si="4">IF(AND(E6&gt;F6,E5&lt;F5),"TEMA crossover","-----")</f>
        <v>-----</v>
      </c>
      <c r="R6" s="1" t="str">
        <f t="shared" ref="R6:R37" si="5">IF(AND(E6&lt;F6,E5&gt;F5),"TEMA crossunder","-----")</f>
        <v>-----</v>
      </c>
      <c r="S6" s="1"/>
      <c r="T6" s="4"/>
      <c r="U6" s="4"/>
      <c r="V6" s="4"/>
      <c r="W6" s="4"/>
      <c r="X6" s="5"/>
      <c r="Y6" s="1"/>
      <c r="Z6" s="1"/>
      <c r="AA6" s="1"/>
      <c r="AB6" s="1"/>
      <c r="AC6" s="3"/>
    </row>
    <row r="7" spans="1:33" x14ac:dyDescent="0.55000000000000004">
      <c r="A7">
        <v>3</v>
      </c>
      <c r="B7" t="s">
        <v>6</v>
      </c>
      <c r="C7" t="s">
        <v>4</v>
      </c>
      <c r="D7" t="s">
        <v>103</v>
      </c>
      <c r="E7">
        <v>153.05000000000001</v>
      </c>
      <c r="F7">
        <v>153.11600000000001</v>
      </c>
      <c r="G7">
        <v>153.16300000000001</v>
      </c>
      <c r="H7">
        <v>153.26300000000001</v>
      </c>
      <c r="I7">
        <v>153.33500000000001</v>
      </c>
      <c r="J7" s="1"/>
      <c r="K7" s="1"/>
      <c r="L7" s="1"/>
      <c r="M7" s="3">
        <f t="shared" si="0"/>
        <v>-6.5247319966328676E-4</v>
      </c>
      <c r="N7" s="3">
        <f t="shared" si="1"/>
        <v>-0.58308173753253878</v>
      </c>
      <c r="O7" s="3" t="str">
        <f t="shared" si="2"/>
        <v>-----</v>
      </c>
      <c r="P7" s="3" t="str">
        <f t="shared" si="3"/>
        <v>Bearish</v>
      </c>
      <c r="Q7" s="1" t="str">
        <f t="shared" si="4"/>
        <v>-----</v>
      </c>
      <c r="R7" s="1" t="str">
        <f t="shared" si="5"/>
        <v>TEMA crossunder</v>
      </c>
      <c r="S7" s="1"/>
      <c r="T7" s="4"/>
      <c r="U7" s="4"/>
      <c r="V7" s="4"/>
      <c r="W7" s="4"/>
      <c r="X7" s="5"/>
      <c r="Y7" s="1"/>
      <c r="Z7" s="1"/>
      <c r="AA7" s="1"/>
      <c r="AB7" s="1"/>
      <c r="AC7" s="3"/>
    </row>
    <row r="8" spans="1:33" x14ac:dyDescent="0.55000000000000004">
      <c r="A8">
        <v>4</v>
      </c>
      <c r="B8" t="s">
        <v>7</v>
      </c>
      <c r="C8" t="s">
        <v>4</v>
      </c>
      <c r="D8" t="s">
        <v>103</v>
      </c>
      <c r="E8">
        <v>153.06700000000001</v>
      </c>
      <c r="F8">
        <v>153.065</v>
      </c>
      <c r="G8">
        <v>153.137</v>
      </c>
      <c r="H8">
        <v>153.24600000000001</v>
      </c>
      <c r="I8">
        <v>153.327</v>
      </c>
      <c r="J8" s="1"/>
      <c r="K8" s="1"/>
      <c r="L8" s="1"/>
      <c r="M8" s="3">
        <f t="shared" si="0"/>
        <v>-7.1127468253663303E-4</v>
      </c>
      <c r="N8" s="3">
        <f t="shared" si="1"/>
        <v>-0.75266831751047625</v>
      </c>
      <c r="O8" s="3" t="str">
        <f t="shared" si="2"/>
        <v>-----</v>
      </c>
      <c r="P8" s="3" t="str">
        <f t="shared" si="3"/>
        <v>Bearish</v>
      </c>
      <c r="Q8" s="1" t="str">
        <f t="shared" si="4"/>
        <v>TEMA crossover</v>
      </c>
      <c r="R8" s="1" t="str">
        <f t="shared" si="5"/>
        <v>-----</v>
      </c>
      <c r="S8" s="1"/>
      <c r="T8" s="4"/>
      <c r="U8" s="4"/>
      <c r="V8" s="4"/>
      <c r="W8" s="4"/>
      <c r="X8" s="5"/>
      <c r="Y8" s="1"/>
      <c r="Z8" s="1"/>
      <c r="AA8" s="1"/>
      <c r="AB8" s="1"/>
      <c r="AC8" s="3"/>
    </row>
    <row r="9" spans="1:33" x14ac:dyDescent="0.55000000000000004">
      <c r="A9">
        <v>5</v>
      </c>
      <c r="B9" t="s">
        <v>8</v>
      </c>
      <c r="C9" t="s">
        <v>4</v>
      </c>
      <c r="D9" t="s">
        <v>103</v>
      </c>
      <c r="E9">
        <v>153.042</v>
      </c>
      <c r="F9">
        <v>153.047</v>
      </c>
      <c r="G9">
        <v>153.113</v>
      </c>
      <c r="H9">
        <v>153.232</v>
      </c>
      <c r="I9">
        <v>153.32</v>
      </c>
      <c r="J9" s="1"/>
      <c r="K9" s="1"/>
      <c r="L9" s="1"/>
      <c r="M9" s="3">
        <f t="shared" si="0"/>
        <v>-7.7660018795029607E-4</v>
      </c>
      <c r="N9" s="3">
        <f t="shared" si="1"/>
        <v>-0.94107052281361803</v>
      </c>
      <c r="O9" s="3" t="str">
        <f t="shared" si="2"/>
        <v>-----</v>
      </c>
      <c r="P9" s="3" t="str">
        <f t="shared" si="3"/>
        <v>Bearish</v>
      </c>
      <c r="Q9" s="1" t="str">
        <f t="shared" si="4"/>
        <v>-----</v>
      </c>
      <c r="R9" s="1" t="str">
        <f t="shared" si="5"/>
        <v>TEMA crossunder</v>
      </c>
      <c r="S9" s="1"/>
      <c r="T9" s="4"/>
      <c r="U9" s="4"/>
      <c r="V9" s="4"/>
      <c r="W9" s="4"/>
      <c r="X9" s="5"/>
      <c r="Y9" s="5"/>
      <c r="Z9" s="5"/>
      <c r="AA9" s="5"/>
      <c r="AB9" s="4"/>
      <c r="AC9" s="5"/>
      <c r="AD9" s="1"/>
      <c r="AE9" s="14"/>
    </row>
    <row r="10" spans="1:33" x14ac:dyDescent="0.55000000000000004">
      <c r="A10">
        <v>6</v>
      </c>
      <c r="B10" t="s">
        <v>9</v>
      </c>
      <c r="C10" t="s">
        <v>4</v>
      </c>
      <c r="D10" t="s">
        <v>103</v>
      </c>
      <c r="E10">
        <v>153.05000000000001</v>
      </c>
      <c r="F10">
        <v>153.03800000000001</v>
      </c>
      <c r="G10">
        <v>153.09100000000001</v>
      </c>
      <c r="H10">
        <v>153.21899999999999</v>
      </c>
      <c r="I10">
        <v>153.31200000000001</v>
      </c>
      <c r="J10" s="1"/>
      <c r="K10" s="1"/>
      <c r="L10" s="1"/>
      <c r="M10" s="3">
        <f t="shared" si="0"/>
        <v>-8.3540553064558509E-4</v>
      </c>
      <c r="N10" s="3">
        <f t="shared" si="1"/>
        <v>-1.1106682347217487</v>
      </c>
      <c r="O10" s="3" t="str">
        <f t="shared" si="2"/>
        <v>-----</v>
      </c>
      <c r="P10" s="3" t="str">
        <f t="shared" si="3"/>
        <v>Bearish</v>
      </c>
      <c r="Q10" s="1" t="str">
        <f t="shared" si="4"/>
        <v>TEMA crossover</v>
      </c>
      <c r="R10" s="1" t="str">
        <f t="shared" si="5"/>
        <v>-----</v>
      </c>
      <c r="S10" s="1"/>
      <c r="T10" s="4"/>
      <c r="U10" s="4"/>
      <c r="V10" s="4"/>
      <c r="W10" s="4"/>
      <c r="X10" s="5"/>
      <c r="Y10" s="5"/>
      <c r="Z10" s="5"/>
      <c r="AA10" s="5"/>
      <c r="AB10" s="4"/>
      <c r="AC10" s="5"/>
      <c r="AD10" s="1"/>
      <c r="AE10" s="14"/>
    </row>
    <row r="11" spans="1:33" x14ac:dyDescent="0.55000000000000004">
      <c r="A11">
        <v>7</v>
      </c>
      <c r="B11" t="s">
        <v>10</v>
      </c>
      <c r="C11" t="s">
        <v>4</v>
      </c>
      <c r="D11" t="s">
        <v>103</v>
      </c>
      <c r="E11">
        <v>153.03299999999999</v>
      </c>
      <c r="F11">
        <v>153.01599999999999</v>
      </c>
      <c r="G11">
        <v>153.07</v>
      </c>
      <c r="H11">
        <v>153.20500000000001</v>
      </c>
      <c r="I11">
        <v>153.30500000000001</v>
      </c>
      <c r="J11" s="1"/>
      <c r="K11" s="1"/>
      <c r="L11" s="1"/>
      <c r="M11" s="3">
        <f t="shared" si="0"/>
        <v>-8.8117228549994655E-4</v>
      </c>
      <c r="N11" s="3">
        <f t="shared" si="1"/>
        <v>-1.2426619711579083</v>
      </c>
      <c r="O11" s="3" t="str">
        <f t="shared" si="2"/>
        <v>-----</v>
      </c>
      <c r="P11" s="3" t="str">
        <f t="shared" si="3"/>
        <v>Bearish</v>
      </c>
      <c r="Q11" s="1" t="str">
        <f t="shared" si="4"/>
        <v>-----</v>
      </c>
      <c r="R11" s="1" t="str">
        <f t="shared" si="5"/>
        <v>-----</v>
      </c>
      <c r="S11" s="1"/>
      <c r="T11" s="4"/>
      <c r="U11" s="4"/>
      <c r="V11" s="4"/>
      <c r="W11" s="4"/>
      <c r="X11" s="5"/>
      <c r="Y11" s="5"/>
      <c r="Z11" s="5"/>
      <c r="AA11" s="5"/>
      <c r="AB11" s="4"/>
      <c r="AC11" s="5"/>
      <c r="AD11" s="1"/>
      <c r="AE11" s="14"/>
    </row>
    <row r="12" spans="1:33" x14ac:dyDescent="0.55000000000000004">
      <c r="A12">
        <v>8</v>
      </c>
      <c r="B12" t="s">
        <v>11</v>
      </c>
      <c r="C12" t="s">
        <v>4</v>
      </c>
      <c r="D12" t="s">
        <v>103</v>
      </c>
      <c r="E12">
        <v>152.999</v>
      </c>
      <c r="F12">
        <v>153.01</v>
      </c>
      <c r="G12">
        <v>153.05099999999999</v>
      </c>
      <c r="H12">
        <v>153.19200000000001</v>
      </c>
      <c r="I12">
        <v>153.297</v>
      </c>
      <c r="J12" s="1"/>
      <c r="K12" s="1"/>
      <c r="L12" s="1"/>
      <c r="M12" s="3">
        <f t="shared" si="0"/>
        <v>-9.2041359862146557E-4</v>
      </c>
      <c r="N12" s="3">
        <f t="shared" si="1"/>
        <v>-1.3558359892427192</v>
      </c>
      <c r="O12" s="3" t="str">
        <f t="shared" si="2"/>
        <v>-----</v>
      </c>
      <c r="P12" s="3" t="str">
        <f t="shared" si="3"/>
        <v>Bearish</v>
      </c>
      <c r="Q12" s="1" t="str">
        <f t="shared" si="4"/>
        <v>-----</v>
      </c>
      <c r="R12" s="1" t="str">
        <f t="shared" si="5"/>
        <v>TEMA crossunder</v>
      </c>
      <c r="S12" s="1"/>
      <c r="T12" s="4"/>
      <c r="U12" s="4"/>
      <c r="V12" s="4"/>
      <c r="W12" s="4"/>
      <c r="X12" s="5"/>
      <c r="Y12" s="5"/>
      <c r="Z12" s="5"/>
      <c r="AA12" s="5"/>
      <c r="AB12" s="4"/>
      <c r="AC12" s="5"/>
      <c r="AD12" s="1"/>
      <c r="AE12" s="14"/>
    </row>
    <row r="13" spans="1:33" x14ac:dyDescent="0.55000000000000004">
      <c r="A13">
        <v>9</v>
      </c>
      <c r="B13" t="s">
        <v>12</v>
      </c>
      <c r="C13" t="s">
        <v>4</v>
      </c>
      <c r="D13" t="s">
        <v>103</v>
      </c>
      <c r="E13">
        <v>152.999</v>
      </c>
      <c r="F13">
        <v>152.99299999999999</v>
      </c>
      <c r="G13">
        <v>153.03200000000001</v>
      </c>
      <c r="H13">
        <v>153.17699999999999</v>
      </c>
      <c r="I13">
        <v>153.28899999999999</v>
      </c>
      <c r="J13" s="1"/>
      <c r="K13" s="1"/>
      <c r="L13" s="1"/>
      <c r="M13" s="3">
        <f t="shared" si="0"/>
        <v>-9.4661731199841893E-4</v>
      </c>
      <c r="N13" s="3">
        <f t="shared" si="1"/>
        <v>-1.4314088815776156</v>
      </c>
      <c r="O13" s="3" t="str">
        <f t="shared" si="2"/>
        <v>-----</v>
      </c>
      <c r="P13" s="3" t="str">
        <f t="shared" si="3"/>
        <v>Bearish</v>
      </c>
      <c r="Q13" s="1" t="str">
        <f t="shared" si="4"/>
        <v>TEMA crossover</v>
      </c>
      <c r="R13" s="1" t="str">
        <f t="shared" si="5"/>
        <v>-----</v>
      </c>
      <c r="S13" s="1"/>
      <c r="T13" s="4"/>
      <c r="U13" s="4"/>
      <c r="V13" s="4"/>
      <c r="W13" s="4"/>
      <c r="X13" s="5"/>
      <c r="Y13" s="5"/>
      <c r="Z13" s="5"/>
      <c r="AA13" s="5"/>
      <c r="AB13" s="4"/>
      <c r="AC13" s="5"/>
      <c r="AD13" s="1"/>
      <c r="AE13" s="14"/>
    </row>
    <row r="14" spans="1:33" x14ac:dyDescent="0.55000000000000004">
      <c r="A14">
        <v>10</v>
      </c>
      <c r="B14" t="s">
        <v>13</v>
      </c>
      <c r="C14" t="s">
        <v>4</v>
      </c>
      <c r="D14" t="s">
        <v>103</v>
      </c>
      <c r="E14">
        <v>152.89699999999999</v>
      </c>
      <c r="F14">
        <v>152.941</v>
      </c>
      <c r="G14">
        <v>153.005</v>
      </c>
      <c r="H14">
        <v>153.15700000000001</v>
      </c>
      <c r="I14">
        <v>153.28</v>
      </c>
      <c r="J14" s="1"/>
      <c r="K14" s="1"/>
      <c r="L14" s="1"/>
      <c r="M14" s="3">
        <f t="shared" si="0"/>
        <v>-9.9244566033557225E-4</v>
      </c>
      <c r="N14" s="3">
        <f t="shared" si="1"/>
        <v>-1.5635802568688719</v>
      </c>
      <c r="O14" s="3" t="str">
        <f t="shared" si="2"/>
        <v>-----</v>
      </c>
      <c r="P14" s="3" t="str">
        <f t="shared" si="3"/>
        <v>Bearish</v>
      </c>
      <c r="Q14" s="1" t="str">
        <f t="shared" si="4"/>
        <v>-----</v>
      </c>
      <c r="R14" s="1" t="str">
        <f t="shared" si="5"/>
        <v>TEMA crossunder</v>
      </c>
      <c r="S14" s="1"/>
      <c r="T14" s="4"/>
      <c r="U14" s="4"/>
      <c r="V14" s="4"/>
      <c r="W14" s="4"/>
      <c r="X14" s="5"/>
      <c r="Y14" s="5"/>
      <c r="Z14" s="5"/>
      <c r="AA14" s="5"/>
      <c r="AB14" s="4"/>
      <c r="AC14" s="5"/>
      <c r="AD14" s="1"/>
      <c r="AE14" s="14"/>
    </row>
    <row r="15" spans="1:33" x14ac:dyDescent="0.55000000000000004">
      <c r="A15">
        <v>11</v>
      </c>
      <c r="B15" t="s">
        <v>14</v>
      </c>
      <c r="C15" t="s">
        <v>4</v>
      </c>
      <c r="D15" t="s">
        <v>103</v>
      </c>
      <c r="E15">
        <v>152.91</v>
      </c>
      <c r="F15">
        <v>152.91300000000001</v>
      </c>
      <c r="G15">
        <v>152.97800000000001</v>
      </c>
      <c r="H15">
        <v>153.13900000000001</v>
      </c>
      <c r="I15">
        <v>153.26900000000001</v>
      </c>
      <c r="J15" s="1"/>
      <c r="K15" s="1"/>
      <c r="L15" s="1"/>
      <c r="M15" s="3">
        <f t="shared" si="0"/>
        <v>-1.0513324496046164E-3</v>
      </c>
      <c r="N15" s="3">
        <f t="shared" si="1"/>
        <v>-1.7334128649942255</v>
      </c>
      <c r="O15" s="3" t="str">
        <f t="shared" si="2"/>
        <v>Reverse to Bullish</v>
      </c>
      <c r="P15" s="3" t="str">
        <f t="shared" si="3"/>
        <v>Bearish</v>
      </c>
      <c r="Q15" s="1" t="str">
        <f t="shared" si="4"/>
        <v>-----</v>
      </c>
      <c r="R15" s="1" t="str">
        <f t="shared" si="5"/>
        <v>-----</v>
      </c>
      <c r="S15" s="1"/>
      <c r="T15" s="4"/>
      <c r="U15" s="4"/>
      <c r="V15" s="4"/>
      <c r="W15" s="4"/>
      <c r="X15" s="5"/>
      <c r="Y15" s="5"/>
      <c r="Z15" s="5"/>
      <c r="AA15" s="5"/>
      <c r="AB15" s="4"/>
      <c r="AC15" s="5"/>
      <c r="AD15" s="1"/>
      <c r="AE15" s="14"/>
    </row>
    <row r="16" spans="1:33" x14ac:dyDescent="0.55000000000000004">
      <c r="A16">
        <v>12</v>
      </c>
      <c r="B16" t="s">
        <v>15</v>
      </c>
      <c r="C16" t="s">
        <v>4</v>
      </c>
      <c r="D16" t="s">
        <v>103</v>
      </c>
      <c r="E16">
        <v>152.87700000000001</v>
      </c>
      <c r="F16">
        <v>152.89500000000001</v>
      </c>
      <c r="G16">
        <v>152.952</v>
      </c>
      <c r="H16">
        <v>153.12200000000001</v>
      </c>
      <c r="I16">
        <v>153.25899999999999</v>
      </c>
      <c r="J16" s="1"/>
      <c r="K16" s="2" t="str">
        <f t="shared" ref="K16:K47" si="6">IF(AND(H16&gt;I16,H15&gt;I15,H14&gt;I14,H13&gt;I13,H12&gt;I12,H11&gt;I11,H10&gt;I10,H9&gt;I9,H8&gt;I8,H7&gt;I7,H6&gt;I6,H5&gt;I5),"Bullish",IF(AND(H16&lt;I16,H15&lt;I15,H14&lt;I14,H13&lt;I13,H12&lt;I12,H11&lt;I11,H10&lt;I10,H9&lt;I9,H8&lt;I8,H7&lt;I7,H6&lt;I6,H5&lt;I5),"Bearish","-----"))</f>
        <v>Bearish</v>
      </c>
      <c r="L16" s="2"/>
      <c r="M16" s="3">
        <f t="shared" si="0"/>
        <v>-1.1102258329960155E-3</v>
      </c>
      <c r="N16" s="3">
        <f t="shared" si="1"/>
        <v>-1.9032644909164695</v>
      </c>
      <c r="O16" s="3" t="str">
        <f t="shared" si="2"/>
        <v>Reverse to Bullish</v>
      </c>
      <c r="P16" s="3" t="str">
        <f t="shared" si="3"/>
        <v>Bearish</v>
      </c>
      <c r="Q16" s="1" t="str">
        <f t="shared" si="4"/>
        <v>-----</v>
      </c>
      <c r="R16" s="1" t="str">
        <f t="shared" si="5"/>
        <v>-----</v>
      </c>
      <c r="S16" s="1"/>
      <c r="T16" s="4" t="str">
        <f>IF(K16="Bearish","YES","-----")</f>
        <v>YES</v>
      </c>
      <c r="U16" s="4" t="str">
        <f t="shared" ref="U9:U34" si="7">IF(O16="Reverse to Bearish","YES","-----")</f>
        <v>-----</v>
      </c>
      <c r="V16" s="4" t="str">
        <f t="shared" ref="V9:V34" si="8">IF(AND(P16="Bullish",P15="Bullish",P14="Bullish",P13="Bullish"),"YES","-----")</f>
        <v>-----</v>
      </c>
      <c r="W16" s="4" t="str">
        <f t="shared" ref="W9:W34" si="9">IF(OR(R16="TEMA crossunder",R15="TEMA crossunder",R14="TEMA crossunder",R13="TEMA crossunder"),"YES","-----")</f>
        <v>YES</v>
      </c>
      <c r="X16" s="5" t="str">
        <f>IF(K16="Bullish","YES","-----")</f>
        <v>-----</v>
      </c>
      <c r="Y16" s="5" t="str">
        <f t="shared" ref="Y9:Y72" si="10">IF(O16="Reverse to Bullish","YES","-----")</f>
        <v>YES</v>
      </c>
      <c r="Z16" s="5" t="str">
        <f t="shared" ref="Z9:Z72" si="11">IF(AND(P16="Bearish",P15="Bearish",P14="Bearish",P13="Bearish"),"YES","-----")</f>
        <v>YES</v>
      </c>
      <c r="AA16" s="5" t="str">
        <f t="shared" ref="AA10:AA73" si="12">IF(OR(Q16="TEMA crossover",Q15="TEMA crossover",Q14="TEMA crossover",Q13="TEMA crossover"),"YES","-----")</f>
        <v>YES</v>
      </c>
      <c r="AB16" s="4" t="str">
        <f>IF(AND(T16="YES",U16="YES",V16="YES",W16="YES"),"Open Sell / Close Buy","-----")</f>
        <v>-----</v>
      </c>
      <c r="AC16" s="5" t="str">
        <f t="shared" ref="AC10:AC34" si="13">IF(AND(X16="YES",Y16="YES",Z16="YES",AA16="YES"),"Open Buy / Close Sell","-----")</f>
        <v>-----</v>
      </c>
      <c r="AD16" s="1" t="str">
        <f>IF(AB16&lt;&gt;"-----",AB16,IF(AC16&lt;&gt;"-----",AC16,"-----"))</f>
        <v>-----</v>
      </c>
      <c r="AE16" s="14" t="str">
        <f>IF(AND(X16="-----",Y16="YES",Z16="YES",AA16="YES"),"Open Buy / Close Sell","-----")</f>
        <v>Open Buy / Close Sell</v>
      </c>
      <c r="AF16" s="1" t="str">
        <f>IF(AND(T16="-----",U16="YES",V16="YES",W16="YES"),"Open Sell / Close Buy","-----")</f>
        <v>-----</v>
      </c>
      <c r="AG16" s="1" t="str">
        <f>IF(AE16&lt;&gt;"-----",AE16,IF(AF16&lt;&gt;"-----",AF16,"-----"))</f>
        <v>Open Buy / Close Sell</v>
      </c>
    </row>
    <row r="17" spans="1:33" x14ac:dyDescent="0.55000000000000004">
      <c r="A17">
        <v>13</v>
      </c>
      <c r="B17" t="s">
        <v>16</v>
      </c>
      <c r="C17" t="s">
        <v>4</v>
      </c>
      <c r="D17" t="s">
        <v>103</v>
      </c>
      <c r="E17">
        <v>152.96600000000001</v>
      </c>
      <c r="F17">
        <v>152.886</v>
      </c>
      <c r="G17">
        <v>152.93</v>
      </c>
      <c r="H17">
        <v>153.10599999999999</v>
      </c>
      <c r="I17">
        <v>153.25</v>
      </c>
      <c r="J17" s="1"/>
      <c r="K17" s="2" t="str">
        <f t="shared" si="6"/>
        <v>Bearish</v>
      </c>
      <c r="L17" s="2"/>
      <c r="M17" s="3">
        <f t="shared" si="0"/>
        <v>-1.1495303907096243E-3</v>
      </c>
      <c r="N17" s="3">
        <f t="shared" si="1"/>
        <v>-2.0166209097427328</v>
      </c>
      <c r="O17" s="3" t="str">
        <f t="shared" si="2"/>
        <v>Reverse to Bullish</v>
      </c>
      <c r="P17" s="3" t="str">
        <f t="shared" si="3"/>
        <v>Bearish</v>
      </c>
      <c r="Q17" s="1" t="str">
        <f t="shared" si="4"/>
        <v>TEMA crossover</v>
      </c>
      <c r="R17" s="1" t="str">
        <f t="shared" si="5"/>
        <v>-----</v>
      </c>
      <c r="S17" s="1"/>
      <c r="T17" s="4" t="str">
        <f t="shared" ref="T17:T80" si="14">IF(K17="Bearish","YES","-----")</f>
        <v>YES</v>
      </c>
      <c r="U17" s="4" t="str">
        <f t="shared" si="7"/>
        <v>-----</v>
      </c>
      <c r="V17" s="4" t="str">
        <f t="shared" si="8"/>
        <v>-----</v>
      </c>
      <c r="W17" s="4" t="str">
        <f t="shared" si="9"/>
        <v>YES</v>
      </c>
      <c r="X17" s="5" t="str">
        <f t="shared" ref="X17:X80" si="15">IF(K17="Bullish","YES","-----")</f>
        <v>-----</v>
      </c>
      <c r="Y17" s="5" t="str">
        <f t="shared" si="10"/>
        <v>YES</v>
      </c>
      <c r="Z17" s="5" t="str">
        <f t="shared" si="11"/>
        <v>YES</v>
      </c>
      <c r="AA17" s="5" t="str">
        <f t="shared" si="12"/>
        <v>YES</v>
      </c>
      <c r="AB17" s="4" t="str">
        <f t="shared" ref="AB9:AB72" si="16">IF(AND(T17="YES",U17="YES",V17="YES",W17="YES"),"Open Sell / Close Buy","-----")</f>
        <v>-----</v>
      </c>
      <c r="AC17" s="5" t="str">
        <f t="shared" si="13"/>
        <v>-----</v>
      </c>
      <c r="AD17" s="1" t="str">
        <f>IF(AB17&lt;&gt;"-----",AB17,IF(AC17&lt;&gt;"-----",AC17,"-----"))</f>
        <v>-----</v>
      </c>
      <c r="AE17" s="14" t="str">
        <f t="shared" ref="AE17:AE80" si="17">IF(AND(X17="-----",Y17="YES",Z17="YES",AA17="YES"),"Open Buy / Close Sell","-----")</f>
        <v>Open Buy / Close Sell</v>
      </c>
      <c r="AF17" s="1" t="str">
        <f t="shared" ref="AF17:AF80" si="18">IF(AND(T17="-----",U17="YES",V17="YES",W17="YES"),"Open Sell / Close Buy","-----")</f>
        <v>-----</v>
      </c>
      <c r="AG17" s="1" t="str">
        <f>IF(AE17&lt;&gt;"-----",AE17,IF(AF17&lt;&gt;"-----",AF17,"-----"))</f>
        <v>Open Buy / Close Sell</v>
      </c>
    </row>
    <row r="18" spans="1:33" x14ac:dyDescent="0.55000000000000004">
      <c r="A18">
        <v>14</v>
      </c>
      <c r="B18" t="s">
        <v>17</v>
      </c>
      <c r="C18" t="s">
        <v>4</v>
      </c>
      <c r="D18" t="s">
        <v>103</v>
      </c>
      <c r="E18">
        <v>153.02000000000001</v>
      </c>
      <c r="F18">
        <v>152.93799999999999</v>
      </c>
      <c r="G18">
        <v>152.92500000000001</v>
      </c>
      <c r="H18">
        <v>153.09899999999999</v>
      </c>
      <c r="I18">
        <v>153.24199999999999</v>
      </c>
      <c r="J18" s="1"/>
      <c r="K18" s="2" t="str">
        <f t="shared" si="6"/>
        <v>Bearish</v>
      </c>
      <c r="L18" s="2"/>
      <c r="M18" s="3">
        <f t="shared" si="0"/>
        <v>-1.1365195069855335E-3</v>
      </c>
      <c r="N18" s="3">
        <f t="shared" si="1"/>
        <v>-1.9790968344058617</v>
      </c>
      <c r="O18" s="3" t="str">
        <f t="shared" si="2"/>
        <v>Reverse to Bullish</v>
      </c>
      <c r="P18" s="3" t="str">
        <f t="shared" si="3"/>
        <v>Bullish</v>
      </c>
      <c r="Q18" s="1" t="str">
        <f t="shared" si="4"/>
        <v>-----</v>
      </c>
      <c r="R18" s="1" t="str">
        <f t="shared" si="5"/>
        <v>-----</v>
      </c>
      <c r="S18" s="1"/>
      <c r="T18" s="4" t="str">
        <f t="shared" si="14"/>
        <v>YES</v>
      </c>
      <c r="U18" s="4" t="str">
        <f t="shared" si="7"/>
        <v>-----</v>
      </c>
      <c r="V18" s="4" t="str">
        <f t="shared" si="8"/>
        <v>-----</v>
      </c>
      <c r="W18" s="4" t="str">
        <f t="shared" si="9"/>
        <v>-----</v>
      </c>
      <c r="X18" s="5" t="str">
        <f t="shared" si="15"/>
        <v>-----</v>
      </c>
      <c r="Y18" s="5" t="str">
        <f t="shared" si="10"/>
        <v>YES</v>
      </c>
      <c r="Z18" s="5" t="str">
        <f t="shared" si="11"/>
        <v>-----</v>
      </c>
      <c r="AA18" s="5" t="str">
        <f t="shared" si="12"/>
        <v>YES</v>
      </c>
      <c r="AB18" s="4" t="str">
        <f t="shared" si="16"/>
        <v>-----</v>
      </c>
      <c r="AC18" s="5" t="str">
        <f t="shared" si="13"/>
        <v>-----</v>
      </c>
      <c r="AD18" s="1" t="str">
        <f>IF(AB18&lt;&gt;"-----",AB18,IF(AC18&lt;&gt;"-----",AC18,"-----"))</f>
        <v>-----</v>
      </c>
      <c r="AE18" s="14" t="str">
        <f t="shared" si="17"/>
        <v>-----</v>
      </c>
      <c r="AF18" s="1" t="str">
        <f t="shared" si="18"/>
        <v>-----</v>
      </c>
      <c r="AG18" s="1" t="str">
        <f>IF(AE18&lt;&gt;"-----",AE18,IF(AF18&lt;&gt;"-----",AF18,"-----"))</f>
        <v>-----</v>
      </c>
    </row>
    <row r="19" spans="1:33" x14ac:dyDescent="0.55000000000000004">
      <c r="A19">
        <v>15</v>
      </c>
      <c r="B19" t="s">
        <v>18</v>
      </c>
      <c r="C19" t="s">
        <v>4</v>
      </c>
      <c r="D19" t="s">
        <v>103</v>
      </c>
      <c r="E19">
        <v>153.04900000000001</v>
      </c>
      <c r="F19">
        <v>152.97800000000001</v>
      </c>
      <c r="G19">
        <v>152.929</v>
      </c>
      <c r="H19">
        <v>153.09399999999999</v>
      </c>
      <c r="I19">
        <v>153.23599999999999</v>
      </c>
      <c r="J19" s="1"/>
      <c r="K19" s="2" t="str">
        <f t="shared" si="6"/>
        <v>Bearish</v>
      </c>
      <c r="L19" s="2"/>
      <c r="M19" s="3">
        <f t="shared" si="0"/>
        <v>-1.0777692136856574E-3</v>
      </c>
      <c r="N19" s="3">
        <f t="shared" si="1"/>
        <v>-1.8096578878594489</v>
      </c>
      <c r="O19" s="3" t="str">
        <f t="shared" si="2"/>
        <v>Reverse to Bullish</v>
      </c>
      <c r="P19" s="3" t="str">
        <f t="shared" si="3"/>
        <v>Bullish</v>
      </c>
      <c r="Q19" s="1" t="str">
        <f t="shared" si="4"/>
        <v>-----</v>
      </c>
      <c r="R19" s="1" t="str">
        <f t="shared" si="5"/>
        <v>-----</v>
      </c>
      <c r="S19" s="1"/>
      <c r="T19" s="4" t="str">
        <f t="shared" si="14"/>
        <v>YES</v>
      </c>
      <c r="U19" s="4" t="str">
        <f t="shared" si="7"/>
        <v>-----</v>
      </c>
      <c r="V19" s="4" t="str">
        <f t="shared" si="8"/>
        <v>-----</v>
      </c>
      <c r="W19" s="4" t="str">
        <f t="shared" si="9"/>
        <v>-----</v>
      </c>
      <c r="X19" s="5" t="str">
        <f t="shared" si="15"/>
        <v>-----</v>
      </c>
      <c r="Y19" s="5" t="str">
        <f t="shared" si="10"/>
        <v>YES</v>
      </c>
      <c r="Z19" s="5" t="str">
        <f t="shared" si="11"/>
        <v>-----</v>
      </c>
      <c r="AA19" s="5" t="str">
        <f t="shared" si="12"/>
        <v>YES</v>
      </c>
      <c r="AB19" s="4" t="str">
        <f t="shared" si="16"/>
        <v>-----</v>
      </c>
      <c r="AC19" s="5" t="str">
        <f t="shared" si="13"/>
        <v>-----</v>
      </c>
      <c r="AD19" s="1" t="str">
        <f>IF(AB19&lt;&gt;"-----",AB19,IF(AC19&lt;&gt;"-----",AC19,"-----"))</f>
        <v>-----</v>
      </c>
      <c r="AE19" s="14" t="str">
        <f t="shared" si="17"/>
        <v>-----</v>
      </c>
      <c r="AF19" s="1" t="str">
        <f t="shared" si="18"/>
        <v>-----</v>
      </c>
      <c r="AG19" s="1" t="str">
        <f>IF(AE19&lt;&gt;"-----",AE19,IF(AF19&lt;&gt;"-----",AF19,"-----"))</f>
        <v>-----</v>
      </c>
    </row>
    <row r="20" spans="1:33" x14ac:dyDescent="0.55000000000000004">
      <c r="A20">
        <v>16</v>
      </c>
      <c r="B20" t="s">
        <v>19</v>
      </c>
      <c r="C20" t="s">
        <v>4</v>
      </c>
      <c r="D20" t="s">
        <v>103</v>
      </c>
      <c r="E20">
        <v>153.04499999999999</v>
      </c>
      <c r="F20">
        <v>153.011</v>
      </c>
      <c r="G20">
        <v>152.93899999999999</v>
      </c>
      <c r="H20">
        <v>153.09</v>
      </c>
      <c r="I20">
        <v>153.22999999999999</v>
      </c>
      <c r="J20" s="1"/>
      <c r="K20" s="2" t="str">
        <f t="shared" si="6"/>
        <v>Bearish</v>
      </c>
      <c r="L20" s="2"/>
      <c r="M20" s="3">
        <f t="shared" si="0"/>
        <v>-9.8634789992821511E-4</v>
      </c>
      <c r="N20" s="3">
        <f t="shared" si="1"/>
        <v>-1.5459939940319984</v>
      </c>
      <c r="O20" s="3" t="str">
        <f t="shared" si="2"/>
        <v>-----</v>
      </c>
      <c r="P20" s="3" t="str">
        <f t="shared" si="3"/>
        <v>Bullish</v>
      </c>
      <c r="Q20" s="1" t="str">
        <f t="shared" si="4"/>
        <v>-----</v>
      </c>
      <c r="R20" s="1" t="str">
        <f t="shared" si="5"/>
        <v>-----</v>
      </c>
      <c r="S20" s="1"/>
      <c r="T20" s="4" t="str">
        <f t="shared" si="14"/>
        <v>YES</v>
      </c>
      <c r="U20" s="4" t="str">
        <f t="shared" si="7"/>
        <v>-----</v>
      </c>
      <c r="V20" s="4" t="str">
        <f t="shared" si="8"/>
        <v>-----</v>
      </c>
      <c r="W20" s="4" t="str">
        <f t="shared" si="9"/>
        <v>-----</v>
      </c>
      <c r="X20" s="5" t="str">
        <f t="shared" si="15"/>
        <v>-----</v>
      </c>
      <c r="Y20" s="5" t="str">
        <f t="shared" si="10"/>
        <v>-----</v>
      </c>
      <c r="Z20" s="5" t="str">
        <f t="shared" si="11"/>
        <v>-----</v>
      </c>
      <c r="AA20" s="5" t="str">
        <f t="shared" si="12"/>
        <v>YES</v>
      </c>
      <c r="AB20" s="4" t="str">
        <f t="shared" si="16"/>
        <v>-----</v>
      </c>
      <c r="AC20" s="5" t="str">
        <f t="shared" si="13"/>
        <v>-----</v>
      </c>
      <c r="AD20" s="1" t="str">
        <f>IF(AB20&lt;&gt;"-----",AB20,IF(AC20&lt;&gt;"-----",AC20,"-----"))</f>
        <v>-----</v>
      </c>
      <c r="AE20" s="14" t="str">
        <f t="shared" si="17"/>
        <v>-----</v>
      </c>
      <c r="AF20" s="1" t="str">
        <f t="shared" si="18"/>
        <v>-----</v>
      </c>
      <c r="AG20" s="1" t="str">
        <f>IF(AE20&lt;&gt;"-----",AE20,IF(AF20&lt;&gt;"-----",AF20,"-----"))</f>
        <v>-----</v>
      </c>
    </row>
    <row r="21" spans="1:33" x14ac:dyDescent="0.55000000000000004">
      <c r="A21">
        <v>17</v>
      </c>
      <c r="B21" t="s">
        <v>20</v>
      </c>
      <c r="C21" t="s">
        <v>4</v>
      </c>
      <c r="D21" t="s">
        <v>103</v>
      </c>
      <c r="E21">
        <v>152.96199999999999</v>
      </c>
      <c r="F21">
        <v>153.012</v>
      </c>
      <c r="G21">
        <v>152.94800000000001</v>
      </c>
      <c r="H21">
        <v>153.083</v>
      </c>
      <c r="I21">
        <v>153.22399999999999</v>
      </c>
      <c r="J21" s="1"/>
      <c r="K21" s="2" t="str">
        <f t="shared" si="6"/>
        <v>Bearish</v>
      </c>
      <c r="L21" s="2"/>
      <c r="M21" s="3">
        <f t="shared" si="0"/>
        <v>-8.8187453864890884E-4</v>
      </c>
      <c r="N21" s="3">
        <f t="shared" si="1"/>
        <v>-1.244687306302394</v>
      </c>
      <c r="O21" s="3" t="str">
        <f t="shared" si="2"/>
        <v>-----</v>
      </c>
      <c r="P21" s="3" t="str">
        <f t="shared" si="3"/>
        <v>Bullish</v>
      </c>
      <c r="Q21" s="1" t="str">
        <f t="shared" si="4"/>
        <v>-----</v>
      </c>
      <c r="R21" s="1" t="str">
        <f t="shared" si="5"/>
        <v>TEMA crossunder</v>
      </c>
      <c r="S21" s="1"/>
      <c r="T21" s="4" t="str">
        <f t="shared" si="14"/>
        <v>YES</v>
      </c>
      <c r="U21" s="4" t="str">
        <f t="shared" si="7"/>
        <v>-----</v>
      </c>
      <c r="V21" s="4" t="str">
        <f t="shared" si="8"/>
        <v>YES</v>
      </c>
      <c r="W21" s="4" t="str">
        <f t="shared" si="9"/>
        <v>YES</v>
      </c>
      <c r="X21" s="5" t="str">
        <f t="shared" si="15"/>
        <v>-----</v>
      </c>
      <c r="Y21" s="5" t="str">
        <f t="shared" si="10"/>
        <v>-----</v>
      </c>
      <c r="Z21" s="5" t="str">
        <f t="shared" si="11"/>
        <v>-----</v>
      </c>
      <c r="AA21" s="5" t="str">
        <f t="shared" si="12"/>
        <v>-----</v>
      </c>
      <c r="AB21" s="4" t="str">
        <f t="shared" si="16"/>
        <v>-----</v>
      </c>
      <c r="AC21" s="5" t="str">
        <f t="shared" si="13"/>
        <v>-----</v>
      </c>
      <c r="AD21" s="1" t="str">
        <f>IF(AB21&lt;&gt;"-----",AB21,IF(AC21&lt;&gt;"-----",AC21,"-----"))</f>
        <v>-----</v>
      </c>
      <c r="AE21" s="14" t="str">
        <f t="shared" si="17"/>
        <v>-----</v>
      </c>
      <c r="AF21" s="1" t="str">
        <f t="shared" si="18"/>
        <v>-----</v>
      </c>
      <c r="AG21" s="1" t="str">
        <f>IF(AE21&lt;&gt;"-----",AE21,IF(AF21&lt;&gt;"-----",AF21,"-----"))</f>
        <v>-----</v>
      </c>
    </row>
    <row r="22" spans="1:33" x14ac:dyDescent="0.55000000000000004">
      <c r="A22">
        <v>18</v>
      </c>
      <c r="B22" t="s">
        <v>21</v>
      </c>
      <c r="C22" t="s">
        <v>4</v>
      </c>
      <c r="D22" t="s">
        <v>103</v>
      </c>
      <c r="E22">
        <v>153.04599999999999</v>
      </c>
      <c r="F22">
        <v>153.01300000000001</v>
      </c>
      <c r="G22">
        <v>152.95400000000001</v>
      </c>
      <c r="H22">
        <v>153.077</v>
      </c>
      <c r="I22">
        <v>153.21799999999999</v>
      </c>
      <c r="J22" s="1"/>
      <c r="K22" s="2" t="str">
        <f t="shared" si="6"/>
        <v>Bearish</v>
      </c>
      <c r="L22" s="2"/>
      <c r="M22" s="3">
        <f t="shared" si="0"/>
        <v>-8.0351718416215667E-4</v>
      </c>
      <c r="N22" s="3">
        <f t="shared" si="1"/>
        <v>-1.01870056048938</v>
      </c>
      <c r="O22" s="3" t="str">
        <f t="shared" si="2"/>
        <v>-----</v>
      </c>
      <c r="P22" s="3" t="str">
        <f t="shared" si="3"/>
        <v>Bullish</v>
      </c>
      <c r="Q22" s="1" t="str">
        <f t="shared" si="4"/>
        <v>TEMA crossover</v>
      </c>
      <c r="R22" s="1" t="str">
        <f t="shared" si="5"/>
        <v>-----</v>
      </c>
      <c r="S22" s="1"/>
      <c r="T22" s="4" t="str">
        <f t="shared" si="14"/>
        <v>YES</v>
      </c>
      <c r="U22" s="4" t="str">
        <f t="shared" si="7"/>
        <v>-----</v>
      </c>
      <c r="V22" s="4" t="str">
        <f t="shared" si="8"/>
        <v>YES</v>
      </c>
      <c r="W22" s="4" t="str">
        <f t="shared" si="9"/>
        <v>YES</v>
      </c>
      <c r="X22" s="5" t="str">
        <f t="shared" si="15"/>
        <v>-----</v>
      </c>
      <c r="Y22" s="5" t="str">
        <f t="shared" si="10"/>
        <v>-----</v>
      </c>
      <c r="Z22" s="5" t="str">
        <f t="shared" si="11"/>
        <v>-----</v>
      </c>
      <c r="AA22" s="5" t="str">
        <f t="shared" si="12"/>
        <v>YES</v>
      </c>
      <c r="AB22" s="4" t="str">
        <f t="shared" si="16"/>
        <v>-----</v>
      </c>
      <c r="AC22" s="5" t="str">
        <f t="shared" si="13"/>
        <v>-----</v>
      </c>
      <c r="AD22" s="1" t="str">
        <f>IF(AB22&lt;&gt;"-----",AB22,IF(AC22&lt;&gt;"-----",AC22,"-----"))</f>
        <v>-----</v>
      </c>
      <c r="AE22" s="14" t="str">
        <f t="shared" si="17"/>
        <v>-----</v>
      </c>
      <c r="AF22" s="1" t="str">
        <f t="shared" si="18"/>
        <v>-----</v>
      </c>
      <c r="AG22" s="1" t="str">
        <f>IF(AE22&lt;&gt;"-----",AE22,IF(AF22&lt;&gt;"-----",AF22,"-----"))</f>
        <v>-----</v>
      </c>
    </row>
    <row r="23" spans="1:33" x14ac:dyDescent="0.55000000000000004">
      <c r="A23">
        <v>19</v>
      </c>
      <c r="B23" t="s">
        <v>22</v>
      </c>
      <c r="C23" t="s">
        <v>4</v>
      </c>
      <c r="D23" t="s">
        <v>103</v>
      </c>
      <c r="E23">
        <v>153.04599999999999</v>
      </c>
      <c r="F23">
        <v>153.05000000000001</v>
      </c>
      <c r="G23">
        <v>152.96899999999999</v>
      </c>
      <c r="H23">
        <v>153.077</v>
      </c>
      <c r="I23">
        <v>153.21299999999999</v>
      </c>
      <c r="J23" s="1"/>
      <c r="K23" s="2" t="str">
        <f t="shared" si="6"/>
        <v>Bearish</v>
      </c>
      <c r="L23" s="2"/>
      <c r="M23" s="3">
        <f t="shared" si="0"/>
        <v>-7.0552728365465809E-4</v>
      </c>
      <c r="N23" s="3">
        <f t="shared" si="1"/>
        <v>-0.73609251580386736</v>
      </c>
      <c r="O23" s="3" t="str">
        <f t="shared" si="2"/>
        <v>-----</v>
      </c>
      <c r="P23" s="3" t="str">
        <f t="shared" si="3"/>
        <v>Bullish</v>
      </c>
      <c r="Q23" s="1" t="str">
        <f t="shared" si="4"/>
        <v>-----</v>
      </c>
      <c r="R23" s="1" t="str">
        <f t="shared" si="5"/>
        <v>TEMA crossunder</v>
      </c>
      <c r="S23" s="1"/>
      <c r="T23" s="4" t="str">
        <f t="shared" si="14"/>
        <v>YES</v>
      </c>
      <c r="U23" s="4" t="str">
        <f t="shared" si="7"/>
        <v>-----</v>
      </c>
      <c r="V23" s="4" t="str">
        <f t="shared" si="8"/>
        <v>YES</v>
      </c>
      <c r="W23" s="4" t="str">
        <f t="shared" si="9"/>
        <v>YES</v>
      </c>
      <c r="X23" s="5" t="str">
        <f t="shared" si="15"/>
        <v>-----</v>
      </c>
      <c r="Y23" s="5" t="str">
        <f t="shared" si="10"/>
        <v>-----</v>
      </c>
      <c r="Z23" s="5" t="str">
        <f t="shared" si="11"/>
        <v>-----</v>
      </c>
      <c r="AA23" s="5" t="str">
        <f t="shared" si="12"/>
        <v>YES</v>
      </c>
      <c r="AB23" s="4" t="str">
        <f t="shared" si="16"/>
        <v>-----</v>
      </c>
      <c r="AC23" s="5" t="str">
        <f t="shared" si="13"/>
        <v>-----</v>
      </c>
      <c r="AD23" s="1" t="str">
        <f>IF(AB23&lt;&gt;"-----",AB23,IF(AC23&lt;&gt;"-----",AC23,"-----"))</f>
        <v>-----</v>
      </c>
      <c r="AE23" s="14" t="str">
        <f t="shared" si="17"/>
        <v>-----</v>
      </c>
      <c r="AF23" s="1" t="str">
        <f t="shared" si="18"/>
        <v>-----</v>
      </c>
      <c r="AG23" s="1" t="str">
        <f>IF(AE23&lt;&gt;"-----",AE23,IF(AF23&lt;&gt;"-----",AF23,"-----"))</f>
        <v>-----</v>
      </c>
    </row>
    <row r="24" spans="1:33" x14ac:dyDescent="0.55000000000000004">
      <c r="A24">
        <v>20</v>
      </c>
      <c r="B24" t="s">
        <v>23</v>
      </c>
      <c r="C24" t="s">
        <v>4</v>
      </c>
      <c r="D24" t="s">
        <v>103</v>
      </c>
      <c r="E24">
        <v>153.09</v>
      </c>
      <c r="F24">
        <v>153.072</v>
      </c>
      <c r="G24">
        <v>152.98500000000001</v>
      </c>
      <c r="H24">
        <v>153.077</v>
      </c>
      <c r="I24">
        <v>153.209</v>
      </c>
      <c r="J24" s="1"/>
      <c r="K24" s="2" t="str">
        <f t="shared" si="6"/>
        <v>Bearish</v>
      </c>
      <c r="L24" s="2"/>
      <c r="M24" s="3">
        <f t="shared" si="0"/>
        <v>-6.010047231131035E-4</v>
      </c>
      <c r="N24" s="3">
        <f t="shared" si="1"/>
        <v>-0.43464393480534463</v>
      </c>
      <c r="O24" s="3" t="str">
        <f t="shared" si="2"/>
        <v>-----</v>
      </c>
      <c r="P24" s="3" t="str">
        <f t="shared" si="3"/>
        <v>Bullish</v>
      </c>
      <c r="Q24" s="1" t="str">
        <f t="shared" si="4"/>
        <v>TEMA crossover</v>
      </c>
      <c r="R24" s="1" t="str">
        <f t="shared" si="5"/>
        <v>-----</v>
      </c>
      <c r="S24" s="1"/>
      <c r="T24" s="4" t="str">
        <f t="shared" si="14"/>
        <v>YES</v>
      </c>
      <c r="U24" s="4" t="str">
        <f t="shared" si="7"/>
        <v>-----</v>
      </c>
      <c r="V24" s="4" t="str">
        <f t="shared" si="8"/>
        <v>YES</v>
      </c>
      <c r="W24" s="4" t="str">
        <f t="shared" si="9"/>
        <v>YES</v>
      </c>
      <c r="X24" s="5" t="str">
        <f t="shared" si="15"/>
        <v>-----</v>
      </c>
      <c r="Y24" s="5" t="str">
        <f t="shared" si="10"/>
        <v>-----</v>
      </c>
      <c r="Z24" s="5" t="str">
        <f t="shared" si="11"/>
        <v>-----</v>
      </c>
      <c r="AA24" s="5" t="str">
        <f t="shared" si="12"/>
        <v>YES</v>
      </c>
      <c r="AB24" s="4" t="str">
        <f t="shared" si="16"/>
        <v>-----</v>
      </c>
      <c r="AC24" s="5" t="str">
        <f t="shared" si="13"/>
        <v>-----</v>
      </c>
      <c r="AD24" s="1" t="str">
        <f>IF(AB24&lt;&gt;"-----",AB24,IF(AC24&lt;&gt;"-----",AC24,"-----"))</f>
        <v>-----</v>
      </c>
      <c r="AE24" s="14" t="str">
        <f t="shared" si="17"/>
        <v>-----</v>
      </c>
      <c r="AF24" s="1" t="str">
        <f t="shared" si="18"/>
        <v>-----</v>
      </c>
      <c r="AG24" s="1" t="str">
        <f>IF(AE24&lt;&gt;"-----",AE24,IF(AF24&lt;&gt;"-----",AF24,"-----"))</f>
        <v>-----</v>
      </c>
    </row>
    <row r="25" spans="1:33" x14ac:dyDescent="0.55000000000000004">
      <c r="A25">
        <v>21</v>
      </c>
      <c r="B25" t="s">
        <v>24</v>
      </c>
      <c r="C25" t="s">
        <v>4</v>
      </c>
      <c r="D25" t="s">
        <v>103</v>
      </c>
      <c r="E25">
        <v>153.001</v>
      </c>
      <c r="F25">
        <v>153.06100000000001</v>
      </c>
      <c r="G25">
        <v>152.99600000000001</v>
      </c>
      <c r="H25">
        <v>153.07400000000001</v>
      </c>
      <c r="I25">
        <v>153.20500000000001</v>
      </c>
      <c r="J25" s="1"/>
      <c r="K25" s="2" t="str">
        <f t="shared" si="6"/>
        <v>Bearish</v>
      </c>
      <c r="L25" s="2"/>
      <c r="M25" s="3">
        <f t="shared" si="0"/>
        <v>-5.0955746893661198E-4</v>
      </c>
      <c r="N25" s="3">
        <f t="shared" si="1"/>
        <v>-0.17090522744029651</v>
      </c>
      <c r="O25" s="3" t="str">
        <f t="shared" si="2"/>
        <v>-----</v>
      </c>
      <c r="P25" s="3" t="str">
        <f t="shared" si="3"/>
        <v>Bullish</v>
      </c>
      <c r="Q25" s="1" t="str">
        <f t="shared" si="4"/>
        <v>-----</v>
      </c>
      <c r="R25" s="1" t="str">
        <f t="shared" si="5"/>
        <v>TEMA crossunder</v>
      </c>
      <c r="S25" s="1"/>
      <c r="T25" s="4" t="str">
        <f t="shared" si="14"/>
        <v>YES</v>
      </c>
      <c r="U25" s="4" t="str">
        <f t="shared" si="7"/>
        <v>-----</v>
      </c>
      <c r="V25" s="4" t="str">
        <f t="shared" si="8"/>
        <v>YES</v>
      </c>
      <c r="W25" s="4" t="str">
        <f t="shared" si="9"/>
        <v>YES</v>
      </c>
      <c r="X25" s="5" t="str">
        <f t="shared" si="15"/>
        <v>-----</v>
      </c>
      <c r="Y25" s="5" t="str">
        <f t="shared" si="10"/>
        <v>-----</v>
      </c>
      <c r="Z25" s="5" t="str">
        <f t="shared" si="11"/>
        <v>-----</v>
      </c>
      <c r="AA25" s="5" t="str">
        <f t="shared" si="12"/>
        <v>YES</v>
      </c>
      <c r="AB25" s="4" t="str">
        <f t="shared" si="16"/>
        <v>-----</v>
      </c>
      <c r="AC25" s="5" t="str">
        <f t="shared" si="13"/>
        <v>-----</v>
      </c>
      <c r="AD25" s="1" t="str">
        <f>IF(AB25&lt;&gt;"-----",AB25,IF(AC25&lt;&gt;"-----",AC25,"-----"))</f>
        <v>-----</v>
      </c>
      <c r="AE25" s="14" t="str">
        <f t="shared" si="17"/>
        <v>-----</v>
      </c>
      <c r="AF25" s="1" t="str">
        <f t="shared" si="18"/>
        <v>-----</v>
      </c>
      <c r="AG25" s="1" t="str">
        <f>IF(AE25&lt;&gt;"-----",AE25,IF(AF25&lt;&gt;"-----",AF25,"-----"))</f>
        <v>-----</v>
      </c>
    </row>
    <row r="26" spans="1:33" x14ac:dyDescent="0.55000000000000004">
      <c r="A26">
        <v>22</v>
      </c>
      <c r="B26" t="s">
        <v>25</v>
      </c>
      <c r="C26" t="s">
        <v>4</v>
      </c>
      <c r="D26" t="s">
        <v>103</v>
      </c>
      <c r="E26">
        <v>153.036</v>
      </c>
      <c r="F26">
        <v>153.05199999999999</v>
      </c>
      <c r="G26">
        <v>153.00299999999999</v>
      </c>
      <c r="H26">
        <v>153.07</v>
      </c>
      <c r="I26">
        <v>153.19999999999999</v>
      </c>
      <c r="J26" s="1"/>
      <c r="K26" s="2" t="str">
        <f t="shared" si="6"/>
        <v>Bearish</v>
      </c>
      <c r="L26" s="2"/>
      <c r="M26" s="3">
        <f t="shared" si="0"/>
        <v>-4.3770823806106541E-4</v>
      </c>
      <c r="N26" s="3">
        <f t="shared" si="1"/>
        <v>3.6311746398169087E-2</v>
      </c>
      <c r="O26" s="3" t="str">
        <f t="shared" si="2"/>
        <v>-----</v>
      </c>
      <c r="P26" s="3" t="str">
        <f t="shared" si="3"/>
        <v>Bullish</v>
      </c>
      <c r="Q26" s="1" t="str">
        <f t="shared" si="4"/>
        <v>-----</v>
      </c>
      <c r="R26" s="1" t="str">
        <f t="shared" si="5"/>
        <v>-----</v>
      </c>
      <c r="S26" s="1"/>
      <c r="T26" s="4" t="str">
        <f t="shared" si="14"/>
        <v>YES</v>
      </c>
      <c r="U26" s="4" t="str">
        <f t="shared" si="7"/>
        <v>-----</v>
      </c>
      <c r="V26" s="4" t="str">
        <f t="shared" si="8"/>
        <v>YES</v>
      </c>
      <c r="W26" s="4" t="str">
        <f t="shared" si="9"/>
        <v>YES</v>
      </c>
      <c r="X26" s="5" t="str">
        <f t="shared" si="15"/>
        <v>-----</v>
      </c>
      <c r="Y26" s="5" t="str">
        <f t="shared" si="10"/>
        <v>-----</v>
      </c>
      <c r="Z26" s="5" t="str">
        <f t="shared" si="11"/>
        <v>-----</v>
      </c>
      <c r="AA26" s="5" t="str">
        <f t="shared" si="12"/>
        <v>YES</v>
      </c>
      <c r="AB26" s="4" t="str">
        <f t="shared" si="16"/>
        <v>-----</v>
      </c>
      <c r="AC26" s="5" t="str">
        <f t="shared" si="13"/>
        <v>-----</v>
      </c>
      <c r="AD26" s="1" t="str">
        <f>IF(AB26&lt;&gt;"-----",AB26,IF(AC26&lt;&gt;"-----",AC26,"-----"))</f>
        <v>-----</v>
      </c>
      <c r="AE26" s="14" t="str">
        <f t="shared" si="17"/>
        <v>-----</v>
      </c>
      <c r="AF26" s="1" t="str">
        <f t="shared" si="18"/>
        <v>-----</v>
      </c>
      <c r="AG26" s="1" t="str">
        <f>IF(AE26&lt;&gt;"-----",AE26,IF(AF26&lt;&gt;"-----",AF26,"-----"))</f>
        <v>-----</v>
      </c>
    </row>
    <row r="27" spans="1:33" x14ac:dyDescent="0.55000000000000004">
      <c r="A27">
        <v>23</v>
      </c>
      <c r="B27" t="s">
        <v>26</v>
      </c>
      <c r="C27" t="s">
        <v>4</v>
      </c>
      <c r="D27" t="s">
        <v>103</v>
      </c>
      <c r="E27">
        <v>153.07499999999999</v>
      </c>
      <c r="F27">
        <v>153.071</v>
      </c>
      <c r="G27">
        <v>153.01300000000001</v>
      </c>
      <c r="H27">
        <v>153.071</v>
      </c>
      <c r="I27">
        <v>153.196</v>
      </c>
      <c r="J27" s="1"/>
      <c r="K27" s="2" t="str">
        <f t="shared" si="6"/>
        <v>Bearish</v>
      </c>
      <c r="L27" s="2"/>
      <c r="M27" s="3">
        <f t="shared" si="0"/>
        <v>-3.7890913366994873E-4</v>
      </c>
      <c r="N27" s="3">
        <f t="shared" si="1"/>
        <v>0.20589146670782713</v>
      </c>
      <c r="O27" s="3" t="str">
        <f t="shared" si="2"/>
        <v>-----</v>
      </c>
      <c r="P27" s="3" t="str">
        <f t="shared" si="3"/>
        <v>Bullish</v>
      </c>
      <c r="Q27" s="1" t="str">
        <f t="shared" si="4"/>
        <v>TEMA crossover</v>
      </c>
      <c r="R27" s="1" t="str">
        <f t="shared" si="5"/>
        <v>-----</v>
      </c>
      <c r="S27" s="1"/>
      <c r="T27" s="4" t="str">
        <f t="shared" si="14"/>
        <v>YES</v>
      </c>
      <c r="U27" s="4" t="str">
        <f t="shared" si="7"/>
        <v>-----</v>
      </c>
      <c r="V27" s="4" t="str">
        <f t="shared" si="8"/>
        <v>YES</v>
      </c>
      <c r="W27" s="4" t="str">
        <f t="shared" si="9"/>
        <v>YES</v>
      </c>
      <c r="X27" s="5" t="str">
        <f t="shared" si="15"/>
        <v>-----</v>
      </c>
      <c r="Y27" s="5" t="str">
        <f t="shared" si="10"/>
        <v>-----</v>
      </c>
      <c r="Z27" s="5" t="str">
        <f t="shared" si="11"/>
        <v>-----</v>
      </c>
      <c r="AA27" s="5" t="str">
        <f t="shared" si="12"/>
        <v>YES</v>
      </c>
      <c r="AB27" s="4" t="str">
        <f t="shared" si="16"/>
        <v>-----</v>
      </c>
      <c r="AC27" s="5" t="str">
        <f t="shared" si="13"/>
        <v>-----</v>
      </c>
      <c r="AD27" s="1" t="str">
        <f>IF(AB27&lt;&gt;"-----",AB27,IF(AC27&lt;&gt;"-----",AC27,"-----"))</f>
        <v>-----</v>
      </c>
      <c r="AE27" s="14" t="str">
        <f t="shared" si="17"/>
        <v>-----</v>
      </c>
      <c r="AF27" s="1" t="str">
        <f t="shared" si="18"/>
        <v>-----</v>
      </c>
      <c r="AG27" s="1" t="str">
        <f>IF(AE27&lt;&gt;"-----",AE27,IF(AF27&lt;&gt;"-----",AF27,"-----"))</f>
        <v>-----</v>
      </c>
    </row>
    <row r="28" spans="1:33" x14ac:dyDescent="0.55000000000000004">
      <c r="A28">
        <v>24</v>
      </c>
      <c r="B28" t="s">
        <v>27</v>
      </c>
      <c r="C28" t="s">
        <v>4</v>
      </c>
      <c r="D28" t="s">
        <v>103</v>
      </c>
      <c r="E28">
        <v>153.072</v>
      </c>
      <c r="F28">
        <v>153.08199999999999</v>
      </c>
      <c r="G28">
        <v>153.024</v>
      </c>
      <c r="H28">
        <v>153.071</v>
      </c>
      <c r="I28">
        <v>153.19200000000001</v>
      </c>
      <c r="J28" s="1"/>
      <c r="K28" s="2" t="str">
        <f t="shared" si="6"/>
        <v>Bearish</v>
      </c>
      <c r="L28" s="2"/>
      <c r="M28" s="3">
        <f t="shared" si="0"/>
        <v>-3.0704705659463286E-4</v>
      </c>
      <c r="N28" s="3">
        <f t="shared" si="1"/>
        <v>0.41314548966441245</v>
      </c>
      <c r="O28" s="3" t="str">
        <f t="shared" si="2"/>
        <v>-----</v>
      </c>
      <c r="P28" s="3" t="str">
        <f t="shared" si="3"/>
        <v>Bullish</v>
      </c>
      <c r="Q28" s="1" t="str">
        <f t="shared" si="4"/>
        <v>-----</v>
      </c>
      <c r="R28" s="1" t="str">
        <f t="shared" si="5"/>
        <v>TEMA crossunder</v>
      </c>
      <c r="S28" s="1"/>
      <c r="T28" s="4" t="str">
        <f t="shared" si="14"/>
        <v>YES</v>
      </c>
      <c r="U28" s="4" t="str">
        <f t="shared" si="7"/>
        <v>-----</v>
      </c>
      <c r="V28" s="4" t="str">
        <f t="shared" si="8"/>
        <v>YES</v>
      </c>
      <c r="W28" s="4" t="str">
        <f t="shared" si="9"/>
        <v>YES</v>
      </c>
      <c r="X28" s="5" t="str">
        <f t="shared" si="15"/>
        <v>-----</v>
      </c>
      <c r="Y28" s="5" t="str">
        <f t="shared" si="10"/>
        <v>-----</v>
      </c>
      <c r="Z28" s="5" t="str">
        <f t="shared" si="11"/>
        <v>-----</v>
      </c>
      <c r="AA28" s="5" t="str">
        <f t="shared" si="12"/>
        <v>YES</v>
      </c>
      <c r="AB28" s="4" t="str">
        <f t="shared" si="16"/>
        <v>-----</v>
      </c>
      <c r="AC28" s="5" t="str">
        <f t="shared" si="13"/>
        <v>-----</v>
      </c>
      <c r="AD28" s="1" t="str">
        <f>IF(AB28&lt;&gt;"-----",AB28,IF(AC28&lt;&gt;"-----",AC28,"-----"))</f>
        <v>-----</v>
      </c>
      <c r="AE28" s="14" t="str">
        <f t="shared" si="17"/>
        <v>-----</v>
      </c>
      <c r="AF28" s="1" t="str">
        <f t="shared" si="18"/>
        <v>-----</v>
      </c>
      <c r="AG28" s="1" t="str">
        <f>IF(AE28&lt;&gt;"-----",AE28,IF(AF28&lt;&gt;"-----",AF28,"-----"))</f>
        <v>-----</v>
      </c>
    </row>
    <row r="29" spans="1:33" x14ac:dyDescent="0.55000000000000004">
      <c r="A29">
        <v>25</v>
      </c>
      <c r="B29" t="s">
        <v>28</v>
      </c>
      <c r="C29" t="s">
        <v>4</v>
      </c>
      <c r="D29" t="s">
        <v>103</v>
      </c>
      <c r="E29">
        <v>152.95099999999999</v>
      </c>
      <c r="F29">
        <v>153.04499999999999</v>
      </c>
      <c r="G29">
        <v>153.02500000000001</v>
      </c>
      <c r="H29">
        <v>153.065</v>
      </c>
      <c r="I29">
        <v>153.18799999999999</v>
      </c>
      <c r="J29" s="1"/>
      <c r="K29" s="2" t="str">
        <f t="shared" si="6"/>
        <v>Bearish</v>
      </c>
      <c r="L29" s="2"/>
      <c r="M29" s="3">
        <f t="shared" si="0"/>
        <v>-2.6132688727006204E-4</v>
      </c>
      <c r="N29" s="3">
        <f t="shared" si="1"/>
        <v>0.54500487097400729</v>
      </c>
      <c r="O29" s="3" t="str">
        <f t="shared" si="2"/>
        <v>-----</v>
      </c>
      <c r="P29" s="3" t="str">
        <f t="shared" si="3"/>
        <v>Bullish</v>
      </c>
      <c r="Q29" s="1" t="str">
        <f t="shared" si="4"/>
        <v>-----</v>
      </c>
      <c r="R29" s="1" t="str">
        <f t="shared" si="5"/>
        <v>-----</v>
      </c>
      <c r="S29" s="1"/>
      <c r="T29" s="4" t="str">
        <f t="shared" si="14"/>
        <v>YES</v>
      </c>
      <c r="U29" s="4" t="str">
        <f t="shared" si="7"/>
        <v>-----</v>
      </c>
      <c r="V29" s="4" t="str">
        <f t="shared" si="8"/>
        <v>YES</v>
      </c>
      <c r="W29" s="4" t="str">
        <f t="shared" si="9"/>
        <v>YES</v>
      </c>
      <c r="X29" s="5" t="str">
        <f t="shared" si="15"/>
        <v>-----</v>
      </c>
      <c r="Y29" s="5" t="str">
        <f t="shared" si="10"/>
        <v>-----</v>
      </c>
      <c r="Z29" s="5" t="str">
        <f t="shared" si="11"/>
        <v>-----</v>
      </c>
      <c r="AA29" s="5" t="str">
        <f t="shared" si="12"/>
        <v>YES</v>
      </c>
      <c r="AB29" s="4" t="str">
        <f t="shared" si="16"/>
        <v>-----</v>
      </c>
      <c r="AC29" s="5" t="str">
        <f t="shared" si="13"/>
        <v>-----</v>
      </c>
      <c r="AD29" s="1" t="str">
        <f>IF(AB29&lt;&gt;"-----",AB29,IF(AC29&lt;&gt;"-----",AC29,"-----"))</f>
        <v>-----</v>
      </c>
      <c r="AE29" s="14" t="str">
        <f t="shared" si="17"/>
        <v>-----</v>
      </c>
      <c r="AF29" s="1" t="str">
        <f t="shared" si="18"/>
        <v>-----</v>
      </c>
      <c r="AG29" s="1" t="str">
        <f>IF(AE29&lt;&gt;"-----",AE29,IF(AF29&lt;&gt;"-----",AF29,"-----"))</f>
        <v>-----</v>
      </c>
    </row>
    <row r="30" spans="1:33" x14ac:dyDescent="0.55000000000000004">
      <c r="A30">
        <v>26</v>
      </c>
      <c r="B30" t="s">
        <v>29</v>
      </c>
      <c r="C30" t="s">
        <v>4</v>
      </c>
      <c r="D30" t="s">
        <v>103</v>
      </c>
      <c r="E30">
        <v>152.94800000000001</v>
      </c>
      <c r="F30">
        <v>152.99799999999999</v>
      </c>
      <c r="G30">
        <v>153.01599999999999</v>
      </c>
      <c r="H30">
        <v>153.05600000000001</v>
      </c>
      <c r="I30">
        <v>153.18199999999999</v>
      </c>
      <c r="J30" s="1"/>
      <c r="K30" s="2" t="str">
        <f t="shared" si="6"/>
        <v>Bearish</v>
      </c>
      <c r="L30" s="2"/>
      <c r="M30" s="3">
        <f t="shared" si="0"/>
        <v>-2.6134225381573061E-4</v>
      </c>
      <c r="N30" s="3">
        <f t="shared" si="1"/>
        <v>0.54496055304529756</v>
      </c>
      <c r="O30" s="3" t="str">
        <f t="shared" si="2"/>
        <v>-----</v>
      </c>
      <c r="P30" s="3" t="str">
        <f t="shared" si="3"/>
        <v>Bearish</v>
      </c>
      <c r="Q30" s="1" t="str">
        <f t="shared" si="4"/>
        <v>-----</v>
      </c>
      <c r="R30" s="1" t="str">
        <f t="shared" si="5"/>
        <v>-----</v>
      </c>
      <c r="S30" s="1"/>
      <c r="T30" s="4" t="str">
        <f t="shared" si="14"/>
        <v>YES</v>
      </c>
      <c r="U30" s="4" t="str">
        <f t="shared" si="7"/>
        <v>-----</v>
      </c>
      <c r="V30" s="4" t="str">
        <f t="shared" si="8"/>
        <v>-----</v>
      </c>
      <c r="W30" s="4" t="str">
        <f t="shared" si="9"/>
        <v>YES</v>
      </c>
      <c r="X30" s="5" t="str">
        <f t="shared" si="15"/>
        <v>-----</v>
      </c>
      <c r="Y30" s="5" t="str">
        <f t="shared" si="10"/>
        <v>-----</v>
      </c>
      <c r="Z30" s="5" t="str">
        <f t="shared" si="11"/>
        <v>-----</v>
      </c>
      <c r="AA30" s="5" t="str">
        <f t="shared" si="12"/>
        <v>YES</v>
      </c>
      <c r="AB30" s="4" t="str">
        <f t="shared" si="16"/>
        <v>-----</v>
      </c>
      <c r="AC30" s="5" t="str">
        <f t="shared" si="13"/>
        <v>-----</v>
      </c>
      <c r="AD30" s="1" t="str">
        <f>IF(AB30&lt;&gt;"-----",AB30,IF(AC30&lt;&gt;"-----",AC30,"-----"))</f>
        <v>-----</v>
      </c>
      <c r="AE30" s="14" t="str">
        <f t="shared" si="17"/>
        <v>-----</v>
      </c>
      <c r="AF30" s="1" t="str">
        <f t="shared" si="18"/>
        <v>-----</v>
      </c>
      <c r="AG30" s="1" t="str">
        <f>IF(AE30&lt;&gt;"-----",AE30,IF(AF30&lt;&gt;"-----",AF30,"-----"))</f>
        <v>-----</v>
      </c>
    </row>
    <row r="31" spans="1:33" x14ac:dyDescent="0.55000000000000004">
      <c r="A31">
        <v>27</v>
      </c>
      <c r="B31" t="s">
        <v>30</v>
      </c>
      <c r="C31" t="s">
        <v>4</v>
      </c>
      <c r="D31" t="s">
        <v>103</v>
      </c>
      <c r="E31">
        <v>153.006</v>
      </c>
      <c r="F31">
        <v>153.00299999999999</v>
      </c>
      <c r="G31">
        <v>153.011</v>
      </c>
      <c r="H31">
        <v>153.053</v>
      </c>
      <c r="I31">
        <v>153.17599999999999</v>
      </c>
      <c r="J31" s="1"/>
      <c r="K31" s="2" t="str">
        <f t="shared" si="6"/>
        <v>Bearish</v>
      </c>
      <c r="L31" s="2"/>
      <c r="M31" s="3">
        <f t="shared" si="0"/>
        <v>-2.7441474521898684E-4</v>
      </c>
      <c r="N31" s="3">
        <f t="shared" si="1"/>
        <v>0.50725879791023942</v>
      </c>
      <c r="O31" s="3" t="str">
        <f t="shared" si="2"/>
        <v>-----</v>
      </c>
      <c r="P31" s="3" t="str">
        <f t="shared" si="3"/>
        <v>Bearish</v>
      </c>
      <c r="Q31" s="1" t="str">
        <f t="shared" si="4"/>
        <v>TEMA crossover</v>
      </c>
      <c r="R31" s="1" t="str">
        <f t="shared" si="5"/>
        <v>-----</v>
      </c>
      <c r="S31" s="1"/>
      <c r="T31" s="4" t="str">
        <f t="shared" si="14"/>
        <v>YES</v>
      </c>
      <c r="U31" s="4" t="str">
        <f t="shared" si="7"/>
        <v>-----</v>
      </c>
      <c r="V31" s="4" t="str">
        <f t="shared" si="8"/>
        <v>-----</v>
      </c>
      <c r="W31" s="4" t="str">
        <f t="shared" si="9"/>
        <v>YES</v>
      </c>
      <c r="X31" s="5" t="str">
        <f t="shared" si="15"/>
        <v>-----</v>
      </c>
      <c r="Y31" s="5" t="str">
        <f t="shared" si="10"/>
        <v>-----</v>
      </c>
      <c r="Z31" s="5" t="str">
        <f t="shared" si="11"/>
        <v>-----</v>
      </c>
      <c r="AA31" s="5" t="str">
        <f t="shared" si="12"/>
        <v>YES</v>
      </c>
      <c r="AB31" s="4" t="str">
        <f t="shared" si="16"/>
        <v>-----</v>
      </c>
      <c r="AC31" s="5" t="str">
        <f t="shared" si="13"/>
        <v>-----</v>
      </c>
      <c r="AD31" s="1" t="str">
        <f>IF(AB31&lt;&gt;"-----",AB31,IF(AC31&lt;&gt;"-----",AC31,"-----"))</f>
        <v>-----</v>
      </c>
      <c r="AE31" s="14" t="str">
        <f t="shared" si="17"/>
        <v>-----</v>
      </c>
      <c r="AF31" s="1" t="str">
        <f t="shared" si="18"/>
        <v>-----</v>
      </c>
      <c r="AG31" s="1" t="str">
        <f>IF(AE31&lt;&gt;"-----",AE31,IF(AF31&lt;&gt;"-----",AF31,"-----"))</f>
        <v>-----</v>
      </c>
    </row>
    <row r="32" spans="1:33" x14ac:dyDescent="0.55000000000000004">
      <c r="A32">
        <v>28</v>
      </c>
      <c r="B32" t="s">
        <v>31</v>
      </c>
      <c r="C32" t="s">
        <v>4</v>
      </c>
      <c r="D32" t="s">
        <v>103</v>
      </c>
      <c r="E32">
        <v>153.13200000000001</v>
      </c>
      <c r="F32">
        <v>153.042</v>
      </c>
      <c r="G32">
        <v>153.01599999999999</v>
      </c>
      <c r="H32">
        <v>153.05600000000001</v>
      </c>
      <c r="I32">
        <v>153.173</v>
      </c>
      <c r="J32" s="1"/>
      <c r="K32" s="2" t="str">
        <f t="shared" si="6"/>
        <v>Bearish</v>
      </c>
      <c r="L32" s="2"/>
      <c r="M32" s="3">
        <f t="shared" si="0"/>
        <v>-2.6134225381573061E-4</v>
      </c>
      <c r="N32" s="3">
        <f t="shared" si="1"/>
        <v>0.54496055304529756</v>
      </c>
      <c r="O32" s="3" t="str">
        <f t="shared" si="2"/>
        <v>-----</v>
      </c>
      <c r="P32" s="3" t="str">
        <f t="shared" si="3"/>
        <v>Bullish</v>
      </c>
      <c r="Q32" s="1" t="str">
        <f t="shared" si="4"/>
        <v>-----</v>
      </c>
      <c r="R32" s="1" t="str">
        <f t="shared" si="5"/>
        <v>-----</v>
      </c>
      <c r="S32" s="1"/>
      <c r="T32" s="4" t="str">
        <f t="shared" si="14"/>
        <v>YES</v>
      </c>
      <c r="U32" s="4" t="str">
        <f t="shared" si="7"/>
        <v>-----</v>
      </c>
      <c r="V32" s="4" t="str">
        <f t="shared" si="8"/>
        <v>-----</v>
      </c>
      <c r="W32" s="4" t="str">
        <f t="shared" si="9"/>
        <v>-----</v>
      </c>
      <c r="X32" s="5" t="str">
        <f t="shared" si="15"/>
        <v>-----</v>
      </c>
      <c r="Y32" s="5" t="str">
        <f t="shared" si="10"/>
        <v>-----</v>
      </c>
      <c r="Z32" s="5" t="str">
        <f t="shared" si="11"/>
        <v>-----</v>
      </c>
      <c r="AA32" s="5" t="str">
        <f t="shared" si="12"/>
        <v>YES</v>
      </c>
      <c r="AB32" s="4" t="str">
        <f t="shared" si="16"/>
        <v>-----</v>
      </c>
      <c r="AC32" s="5" t="str">
        <f t="shared" si="13"/>
        <v>-----</v>
      </c>
      <c r="AD32" s="1" t="str">
        <f>IF(AB32&lt;&gt;"-----",AB32,IF(AC32&lt;&gt;"-----",AC32,"-----"))</f>
        <v>-----</v>
      </c>
      <c r="AE32" s="14" t="str">
        <f t="shared" si="17"/>
        <v>-----</v>
      </c>
      <c r="AF32" s="1" t="str">
        <f t="shared" si="18"/>
        <v>-----</v>
      </c>
      <c r="AG32" s="1" t="str">
        <f>IF(AE32&lt;&gt;"-----",AE32,IF(AF32&lt;&gt;"-----",AF32,"-----"))</f>
        <v>-----</v>
      </c>
    </row>
    <row r="33" spans="1:33" x14ac:dyDescent="0.55000000000000004">
      <c r="A33">
        <v>29</v>
      </c>
      <c r="B33" t="s">
        <v>32</v>
      </c>
      <c r="C33" t="s">
        <v>4</v>
      </c>
      <c r="D33" t="s">
        <v>103</v>
      </c>
      <c r="E33">
        <v>153.16499999999999</v>
      </c>
      <c r="F33">
        <v>153.108</v>
      </c>
      <c r="G33">
        <v>153.036</v>
      </c>
      <c r="H33">
        <v>153.06399999999999</v>
      </c>
      <c r="I33">
        <v>153.172</v>
      </c>
      <c r="J33" s="1"/>
      <c r="K33" s="2" t="str">
        <f t="shared" si="6"/>
        <v>Bearish</v>
      </c>
      <c r="L33" s="2"/>
      <c r="M33" s="3">
        <f t="shared" si="0"/>
        <v>-1.829300162023179E-4</v>
      </c>
      <c r="N33" s="3">
        <f t="shared" si="1"/>
        <v>0.77110558469217227</v>
      </c>
      <c r="O33" s="3" t="str">
        <f t="shared" si="2"/>
        <v>-----</v>
      </c>
      <c r="P33" s="3" t="str">
        <f t="shared" si="3"/>
        <v>Bullish</v>
      </c>
      <c r="Q33" s="1" t="str">
        <f t="shared" si="4"/>
        <v>-----</v>
      </c>
      <c r="R33" s="1" t="str">
        <f t="shared" si="5"/>
        <v>-----</v>
      </c>
      <c r="S33" s="1"/>
      <c r="T33" s="4" t="str">
        <f t="shared" si="14"/>
        <v>YES</v>
      </c>
      <c r="U33" s="4" t="str">
        <f t="shared" si="7"/>
        <v>-----</v>
      </c>
      <c r="V33" s="4" t="str">
        <f t="shared" si="8"/>
        <v>-----</v>
      </c>
      <c r="W33" s="4" t="str">
        <f t="shared" si="9"/>
        <v>-----</v>
      </c>
      <c r="X33" s="5" t="str">
        <f t="shared" si="15"/>
        <v>-----</v>
      </c>
      <c r="Y33" s="5" t="str">
        <f t="shared" si="10"/>
        <v>-----</v>
      </c>
      <c r="Z33" s="5" t="str">
        <f t="shared" si="11"/>
        <v>-----</v>
      </c>
      <c r="AA33" s="5" t="str">
        <f t="shared" si="12"/>
        <v>YES</v>
      </c>
      <c r="AB33" s="4" t="str">
        <f t="shared" si="16"/>
        <v>-----</v>
      </c>
      <c r="AC33" s="5" t="str">
        <f t="shared" si="13"/>
        <v>-----</v>
      </c>
      <c r="AD33" s="1" t="str">
        <f>IF(AB33&lt;&gt;"-----",AB33,IF(AC33&lt;&gt;"-----",AC33,"-----"))</f>
        <v>-----</v>
      </c>
      <c r="AE33" s="14" t="str">
        <f t="shared" si="17"/>
        <v>-----</v>
      </c>
      <c r="AF33" s="1" t="str">
        <f t="shared" si="18"/>
        <v>-----</v>
      </c>
      <c r="AG33" s="1" t="str">
        <f>IF(AE33&lt;&gt;"-----",AE33,IF(AF33&lt;&gt;"-----",AF33,"-----"))</f>
        <v>-----</v>
      </c>
    </row>
    <row r="34" spans="1:33" x14ac:dyDescent="0.55000000000000004">
      <c r="A34">
        <v>30</v>
      </c>
      <c r="B34" t="s">
        <v>33</v>
      </c>
      <c r="C34" t="s">
        <v>4</v>
      </c>
      <c r="D34" t="s">
        <v>103</v>
      </c>
      <c r="E34">
        <v>153.161</v>
      </c>
      <c r="F34">
        <v>153.131</v>
      </c>
      <c r="G34">
        <v>153.05600000000001</v>
      </c>
      <c r="H34">
        <v>153.06899999999999</v>
      </c>
      <c r="I34">
        <v>153.17099999999999</v>
      </c>
      <c r="J34" s="1"/>
      <c r="K34" s="2" t="str">
        <f t="shared" si="6"/>
        <v>Bearish</v>
      </c>
      <c r="L34" s="2"/>
      <c r="M34" s="3">
        <f t="shared" si="0"/>
        <v>-8.4929018939019718E-5</v>
      </c>
      <c r="N34" s="3">
        <f t="shared" si="1"/>
        <v>1.0537456330070656</v>
      </c>
      <c r="O34" s="3" t="str">
        <f t="shared" si="2"/>
        <v>-----</v>
      </c>
      <c r="P34" s="3" t="str">
        <f t="shared" si="3"/>
        <v>Bullish</v>
      </c>
      <c r="Q34" s="1" t="str">
        <f t="shared" si="4"/>
        <v>-----</v>
      </c>
      <c r="R34" s="1" t="str">
        <f t="shared" si="5"/>
        <v>-----</v>
      </c>
      <c r="S34" s="1"/>
      <c r="T34" s="4" t="str">
        <f t="shared" si="14"/>
        <v>YES</v>
      </c>
      <c r="U34" s="4" t="str">
        <f t="shared" si="7"/>
        <v>-----</v>
      </c>
      <c r="V34" s="4" t="str">
        <f t="shared" si="8"/>
        <v>-----</v>
      </c>
      <c r="W34" s="4" t="str">
        <f t="shared" si="9"/>
        <v>-----</v>
      </c>
      <c r="X34" s="5" t="str">
        <f t="shared" si="15"/>
        <v>-----</v>
      </c>
      <c r="Y34" s="5" t="str">
        <f t="shared" si="10"/>
        <v>-----</v>
      </c>
      <c r="Z34" s="5" t="str">
        <f t="shared" si="11"/>
        <v>-----</v>
      </c>
      <c r="AA34" s="5" t="str">
        <f t="shared" si="12"/>
        <v>YES</v>
      </c>
      <c r="AB34" s="4" t="str">
        <f t="shared" si="16"/>
        <v>-----</v>
      </c>
      <c r="AC34" s="5" t="str">
        <f t="shared" si="13"/>
        <v>-----</v>
      </c>
      <c r="AD34" s="1" t="str">
        <f>IF(AB34&lt;&gt;"-----",AB34,IF(AC34&lt;&gt;"-----",AC34,"-----"))</f>
        <v>-----</v>
      </c>
      <c r="AE34" s="14" t="str">
        <f t="shared" si="17"/>
        <v>-----</v>
      </c>
      <c r="AF34" s="1" t="str">
        <f t="shared" si="18"/>
        <v>-----</v>
      </c>
      <c r="AG34" s="1" t="str">
        <f>IF(AE34&lt;&gt;"-----",AE34,IF(AF34&lt;&gt;"-----",AF34,"-----"))</f>
        <v>-----</v>
      </c>
    </row>
    <row r="35" spans="1:33" x14ac:dyDescent="0.55000000000000004">
      <c r="A35" s="6">
        <v>31</v>
      </c>
      <c r="B35" s="6" t="s">
        <v>34</v>
      </c>
      <c r="C35" s="6" t="s">
        <v>4</v>
      </c>
      <c r="D35" s="6" t="s">
        <v>103</v>
      </c>
      <c r="E35" s="6">
        <v>153.053</v>
      </c>
      <c r="F35" s="6">
        <v>153.124</v>
      </c>
      <c r="G35" s="6">
        <v>153.07</v>
      </c>
      <c r="H35" s="6">
        <v>153.071</v>
      </c>
      <c r="I35" s="6">
        <v>153.16999999999999</v>
      </c>
      <c r="J35" s="7"/>
      <c r="K35" s="8" t="str">
        <f t="shared" si="6"/>
        <v>Bearish</v>
      </c>
      <c r="L35" s="8"/>
      <c r="M35" s="7">
        <f t="shared" si="0"/>
        <v>-6.5329160977897507E-6</v>
      </c>
      <c r="N35" s="7">
        <f t="shared" si="1"/>
        <v>1.2798441311194189</v>
      </c>
      <c r="O35" s="7" t="str">
        <f t="shared" si="2"/>
        <v>Reverse to Bearish</v>
      </c>
      <c r="P35" s="7" t="str">
        <f t="shared" si="3"/>
        <v>Bullish</v>
      </c>
      <c r="Q35" s="1" t="str">
        <f t="shared" si="4"/>
        <v>-----</v>
      </c>
      <c r="R35" s="1" t="str">
        <f t="shared" si="5"/>
        <v>TEMA crossunder</v>
      </c>
      <c r="S35" s="1"/>
      <c r="T35" s="4" t="str">
        <f t="shared" si="14"/>
        <v>YES</v>
      </c>
      <c r="U35" s="4" t="str">
        <f>IF(O35="Reverse to Bearish","YES","-----")</f>
        <v>YES</v>
      </c>
      <c r="V35" s="4" t="str">
        <f>IF(AND(P35="Bullish",P34="Bullish",P33="Bullish",P32="Bullish"),"YES","-----")</f>
        <v>YES</v>
      </c>
      <c r="W35" s="4" t="str">
        <f>IF(OR(R35="TEMA crossunder",R34="TEMA crossunder",R33="TEMA crossunder",R32="TEMA crossunder"),"YES","-----")</f>
        <v>YES</v>
      </c>
      <c r="X35" s="5" t="str">
        <f t="shared" si="15"/>
        <v>-----</v>
      </c>
      <c r="Y35" s="5" t="str">
        <f t="shared" si="10"/>
        <v>-----</v>
      </c>
      <c r="Z35" s="5" t="str">
        <f t="shared" si="11"/>
        <v>-----</v>
      </c>
      <c r="AA35" s="5" t="str">
        <f t="shared" si="12"/>
        <v>-----</v>
      </c>
      <c r="AB35" s="4" t="str">
        <f t="shared" si="16"/>
        <v>Open Sell / Close Buy</v>
      </c>
      <c r="AC35" s="5" t="str">
        <f>IF(AND(X35="YES",Y35="YES",Z35="YES",AA35="YES"),"Open Buy / Close Sell","-----")</f>
        <v>-----</v>
      </c>
      <c r="AD35" s="1" t="str">
        <f>IF(AB35&lt;&gt;"-----",AB35,IF(AC35&lt;&gt;"-----",AC35,"-----"))</f>
        <v>Open Sell / Close Buy</v>
      </c>
      <c r="AE35" s="14" t="str">
        <f t="shared" si="17"/>
        <v>-----</v>
      </c>
      <c r="AF35" s="1" t="str">
        <f t="shared" si="18"/>
        <v>-----</v>
      </c>
      <c r="AG35" s="1" t="str">
        <f>IF(AE35&lt;&gt;"-----",AE35,IF(AF35&lt;&gt;"-----",AF35,"-----"))</f>
        <v>-----</v>
      </c>
    </row>
    <row r="36" spans="1:33" x14ac:dyDescent="0.55000000000000004">
      <c r="A36" s="6">
        <v>32</v>
      </c>
      <c r="B36" s="6" t="s">
        <v>35</v>
      </c>
      <c r="C36" s="6" t="s">
        <v>4</v>
      </c>
      <c r="D36" s="6" t="s">
        <v>103</v>
      </c>
      <c r="E36" s="6">
        <v>153.05699999999999</v>
      </c>
      <c r="F36" s="6">
        <v>153.10499999999999</v>
      </c>
      <c r="G36" s="6">
        <v>153.077</v>
      </c>
      <c r="H36" s="6">
        <v>153.071</v>
      </c>
      <c r="I36" s="6">
        <v>153.167</v>
      </c>
      <c r="J36" s="7"/>
      <c r="K36" s="8" t="str">
        <f t="shared" si="6"/>
        <v>Bearish</v>
      </c>
      <c r="L36" s="8"/>
      <c r="M36" s="7">
        <f t="shared" si="0"/>
        <v>3.9197496586552828E-5</v>
      </c>
      <c r="N36" s="7">
        <f t="shared" si="1"/>
        <v>1.4117330548192102</v>
      </c>
      <c r="O36" s="7" t="str">
        <f t="shared" si="2"/>
        <v>Reverse to Bearish</v>
      </c>
      <c r="P36" s="7" t="str">
        <f t="shared" si="3"/>
        <v>Bullish</v>
      </c>
      <c r="Q36" s="1" t="str">
        <f t="shared" si="4"/>
        <v>-----</v>
      </c>
      <c r="R36" s="1" t="str">
        <f t="shared" si="5"/>
        <v>-----</v>
      </c>
      <c r="S36" s="1"/>
      <c r="T36" s="4" t="str">
        <f t="shared" si="14"/>
        <v>YES</v>
      </c>
      <c r="U36" s="4" t="str">
        <f t="shared" ref="U36:U99" si="19">IF(O36="Reverse to Bearish","YES","-----")</f>
        <v>YES</v>
      </c>
      <c r="V36" s="4" t="str">
        <f t="shared" ref="V36:V99" si="20">IF(AND(P36="Bullish",P35="Bullish",P34="Bullish",P33="Bullish"),"YES","-----")</f>
        <v>YES</v>
      </c>
      <c r="W36" s="4" t="str">
        <f t="shared" ref="W36:W99" si="21">IF(OR(R36="TEMA crossunder",R35="TEMA crossunder",R34="TEMA crossunder",R33="TEMA crossunder"),"YES","-----")</f>
        <v>YES</v>
      </c>
      <c r="X36" s="5" t="str">
        <f t="shared" si="15"/>
        <v>-----</v>
      </c>
      <c r="Y36" s="5" t="str">
        <f t="shared" si="10"/>
        <v>-----</v>
      </c>
      <c r="Z36" s="5" t="str">
        <f t="shared" si="11"/>
        <v>-----</v>
      </c>
      <c r="AA36" s="5" t="str">
        <f t="shared" si="12"/>
        <v>-----</v>
      </c>
      <c r="AB36" s="4" t="str">
        <f t="shared" si="16"/>
        <v>Open Sell / Close Buy</v>
      </c>
      <c r="AC36" s="5" t="str">
        <f t="shared" ref="AC36:AC99" si="22">IF(AND(X36="YES",Y36="YES",Z36="YES",AA36="YES"),"Open Buy / Close Sell","-----")</f>
        <v>-----</v>
      </c>
      <c r="AD36" s="1" t="str">
        <f>IF(AB36&lt;&gt;"-----",AB36,IF(AC36&lt;&gt;"-----",AC36,"-----"))</f>
        <v>Open Sell / Close Buy</v>
      </c>
      <c r="AE36" s="14" t="str">
        <f t="shared" si="17"/>
        <v>-----</v>
      </c>
      <c r="AF36" s="1" t="str">
        <f t="shared" si="18"/>
        <v>-----</v>
      </c>
      <c r="AG36" s="1" t="str">
        <f>IF(AE36&lt;&gt;"-----",AE36,IF(AF36&lt;&gt;"-----",AF36,"-----"))</f>
        <v>-----</v>
      </c>
    </row>
    <row r="37" spans="1:33" x14ac:dyDescent="0.55000000000000004">
      <c r="A37">
        <v>33</v>
      </c>
      <c r="B37" t="s">
        <v>36</v>
      </c>
      <c r="C37" t="s">
        <v>4</v>
      </c>
      <c r="D37" t="s">
        <v>103</v>
      </c>
      <c r="E37">
        <v>152.89500000000001</v>
      </c>
      <c r="F37">
        <v>153.03</v>
      </c>
      <c r="G37">
        <v>153.066</v>
      </c>
      <c r="H37">
        <v>153.06100000000001</v>
      </c>
      <c r="I37">
        <v>153.16300000000001</v>
      </c>
      <c r="J37" s="1"/>
      <c r="K37" s="2" t="str">
        <f t="shared" si="6"/>
        <v>Bearish</v>
      </c>
      <c r="L37" s="2"/>
      <c r="M37" s="3">
        <f t="shared" ref="M37:M68" si="23">(G37-H37)/H37</f>
        <v>3.2666714577818333E-5</v>
      </c>
      <c r="N37" s="3">
        <f t="shared" si="1"/>
        <v>1.3928979348303443</v>
      </c>
      <c r="O37" s="3" t="str">
        <f t="shared" si="2"/>
        <v>Reverse to Bearish</v>
      </c>
      <c r="P37" s="3" t="str">
        <f t="shared" ref="P37:P68" si="24">IF(F37&gt;G37,"Bullish","Bearish")</f>
        <v>Bearish</v>
      </c>
      <c r="Q37" s="1" t="str">
        <f t="shared" si="4"/>
        <v>-----</v>
      </c>
      <c r="R37" s="1" t="str">
        <f t="shared" si="5"/>
        <v>-----</v>
      </c>
      <c r="S37" s="1"/>
      <c r="T37" s="4" t="str">
        <f t="shared" si="14"/>
        <v>YES</v>
      </c>
      <c r="U37" s="4" t="str">
        <f t="shared" si="19"/>
        <v>YES</v>
      </c>
      <c r="V37" s="4" t="str">
        <f t="shared" si="20"/>
        <v>-----</v>
      </c>
      <c r="W37" s="4" t="str">
        <f t="shared" si="21"/>
        <v>YES</v>
      </c>
      <c r="X37" s="5" t="str">
        <f t="shared" si="15"/>
        <v>-----</v>
      </c>
      <c r="Y37" s="5" t="str">
        <f t="shared" si="10"/>
        <v>-----</v>
      </c>
      <c r="Z37" s="5" t="str">
        <f t="shared" si="11"/>
        <v>-----</v>
      </c>
      <c r="AA37" s="5" t="str">
        <f t="shared" si="12"/>
        <v>-----</v>
      </c>
      <c r="AB37" s="4" t="str">
        <f t="shared" si="16"/>
        <v>-----</v>
      </c>
      <c r="AC37" s="5" t="str">
        <f t="shared" si="22"/>
        <v>-----</v>
      </c>
      <c r="AD37" s="1" t="str">
        <f>IF(AB37&lt;&gt;"-----",AB37,IF(AC37&lt;&gt;"-----",AC37,"-----"))</f>
        <v>-----</v>
      </c>
      <c r="AE37" s="14" t="str">
        <f t="shared" si="17"/>
        <v>-----</v>
      </c>
      <c r="AF37" s="1" t="str">
        <f t="shared" si="18"/>
        <v>-----</v>
      </c>
      <c r="AG37" s="1" t="str">
        <f>IF(AE37&lt;&gt;"-----",AE37,IF(AF37&lt;&gt;"-----",AF37,"-----"))</f>
        <v>-----</v>
      </c>
    </row>
    <row r="38" spans="1:33" x14ac:dyDescent="0.55000000000000004">
      <c r="A38">
        <v>34</v>
      </c>
      <c r="B38" t="s">
        <v>37</v>
      </c>
      <c r="C38" t="s">
        <v>4</v>
      </c>
      <c r="D38" t="s">
        <v>103</v>
      </c>
      <c r="E38">
        <v>152.87</v>
      </c>
      <c r="F38">
        <v>152.94399999999999</v>
      </c>
      <c r="G38">
        <v>153.03800000000001</v>
      </c>
      <c r="H38">
        <v>153.047</v>
      </c>
      <c r="I38">
        <v>153.155</v>
      </c>
      <c r="J38" s="1"/>
      <c r="K38" s="2" t="str">
        <f t="shared" si="6"/>
        <v>Bearish</v>
      </c>
      <c r="L38" s="2"/>
      <c r="M38" s="3">
        <f t="shared" si="23"/>
        <v>-5.8805464987788918E-5</v>
      </c>
      <c r="N38" s="3">
        <f t="shared" si="1"/>
        <v>1.1290873413275968</v>
      </c>
      <c r="O38" s="3" t="str">
        <f t="shared" si="2"/>
        <v>Reverse to Bearish</v>
      </c>
      <c r="P38" s="3" t="str">
        <f t="shared" si="24"/>
        <v>Bearish</v>
      </c>
      <c r="Q38" s="1" t="str">
        <f t="shared" ref="Q38:Q69" si="25">IF(AND(E38&gt;F38,E37&lt;F37),"TEMA crossover","-----")</f>
        <v>-----</v>
      </c>
      <c r="R38" s="1" t="str">
        <f t="shared" ref="R38:R69" si="26">IF(AND(E38&lt;F38,E37&gt;F37),"TEMA crossunder","-----")</f>
        <v>-----</v>
      </c>
      <c r="S38" s="1"/>
      <c r="T38" s="4" t="str">
        <f t="shared" si="14"/>
        <v>YES</v>
      </c>
      <c r="U38" s="4" t="str">
        <f t="shared" si="19"/>
        <v>YES</v>
      </c>
      <c r="V38" s="4" t="str">
        <f t="shared" si="20"/>
        <v>-----</v>
      </c>
      <c r="W38" s="4" t="str">
        <f t="shared" si="21"/>
        <v>YES</v>
      </c>
      <c r="X38" s="5" t="str">
        <f t="shared" si="15"/>
        <v>-----</v>
      </c>
      <c r="Y38" s="5" t="str">
        <f t="shared" si="10"/>
        <v>-----</v>
      </c>
      <c r="Z38" s="5" t="str">
        <f t="shared" si="11"/>
        <v>-----</v>
      </c>
      <c r="AA38" s="5" t="str">
        <f t="shared" si="12"/>
        <v>-----</v>
      </c>
      <c r="AB38" s="4" t="str">
        <f t="shared" si="16"/>
        <v>-----</v>
      </c>
      <c r="AC38" s="5" t="str">
        <f t="shared" si="22"/>
        <v>-----</v>
      </c>
      <c r="AD38" s="1" t="str">
        <f>IF(AB38&lt;&gt;"-----",AB38,IF(AC38&lt;&gt;"-----",AC38,"-----"))</f>
        <v>-----</v>
      </c>
      <c r="AE38" s="14" t="str">
        <f t="shared" si="17"/>
        <v>-----</v>
      </c>
      <c r="AF38" s="1" t="str">
        <f t="shared" si="18"/>
        <v>-----</v>
      </c>
      <c r="AG38" s="1" t="str">
        <f>IF(AE38&lt;&gt;"-----",AE38,IF(AF38&lt;&gt;"-----",AF38,"-----"))</f>
        <v>-----</v>
      </c>
    </row>
    <row r="39" spans="1:33" x14ac:dyDescent="0.55000000000000004">
      <c r="A39">
        <v>35</v>
      </c>
      <c r="B39" t="s">
        <v>38</v>
      </c>
      <c r="C39" t="s">
        <v>4</v>
      </c>
      <c r="D39" t="s">
        <v>103</v>
      </c>
      <c r="E39">
        <v>152.86199999999999</v>
      </c>
      <c r="F39">
        <v>152.88300000000001</v>
      </c>
      <c r="G39">
        <v>153.00299999999999</v>
      </c>
      <c r="H39">
        <v>153.03200000000001</v>
      </c>
      <c r="I39">
        <v>153.14699999999999</v>
      </c>
      <c r="J39" s="1"/>
      <c r="K39" s="2" t="str">
        <f t="shared" si="6"/>
        <v>Bearish</v>
      </c>
      <c r="L39" s="2"/>
      <c r="M39" s="3">
        <f t="shared" si="23"/>
        <v>-1.8950284907747909E-4</v>
      </c>
      <c r="N39" s="3">
        <f t="shared" si="1"/>
        <v>0.75214918778520923</v>
      </c>
      <c r="O39" s="3" t="str">
        <f t="shared" si="2"/>
        <v>-----</v>
      </c>
      <c r="P39" s="3" t="str">
        <f t="shared" si="24"/>
        <v>Bearish</v>
      </c>
      <c r="Q39" s="1" t="str">
        <f t="shared" si="25"/>
        <v>-----</v>
      </c>
      <c r="R39" s="1" t="str">
        <f t="shared" si="26"/>
        <v>-----</v>
      </c>
      <c r="S39" s="1"/>
      <c r="T39" s="4" t="str">
        <f t="shared" si="14"/>
        <v>YES</v>
      </c>
      <c r="U39" s="4" t="str">
        <f t="shared" si="19"/>
        <v>-----</v>
      </c>
      <c r="V39" s="4" t="str">
        <f t="shared" si="20"/>
        <v>-----</v>
      </c>
      <c r="W39" s="4" t="str">
        <f t="shared" si="21"/>
        <v>-----</v>
      </c>
      <c r="X39" s="5" t="str">
        <f t="shared" si="15"/>
        <v>-----</v>
      </c>
      <c r="Y39" s="5" t="str">
        <f t="shared" si="10"/>
        <v>-----</v>
      </c>
      <c r="Z39" s="5" t="str">
        <f t="shared" si="11"/>
        <v>-----</v>
      </c>
      <c r="AA39" s="5" t="str">
        <f t="shared" si="12"/>
        <v>-----</v>
      </c>
      <c r="AB39" s="4" t="str">
        <f t="shared" si="16"/>
        <v>-----</v>
      </c>
      <c r="AC39" s="5" t="str">
        <f t="shared" si="22"/>
        <v>-----</v>
      </c>
      <c r="AD39" s="1" t="str">
        <f>IF(AB39&lt;&gt;"-----",AB39,IF(AC39&lt;&gt;"-----",AC39,"-----"))</f>
        <v>-----</v>
      </c>
      <c r="AE39" s="14" t="str">
        <f t="shared" si="17"/>
        <v>-----</v>
      </c>
      <c r="AF39" s="1" t="str">
        <f t="shared" si="18"/>
        <v>-----</v>
      </c>
      <c r="AG39" s="1" t="str">
        <f>IF(AE39&lt;&gt;"-----",AE39,IF(AF39&lt;&gt;"-----",AF39,"-----"))</f>
        <v>-----</v>
      </c>
    </row>
    <row r="40" spans="1:33" x14ac:dyDescent="0.55000000000000004">
      <c r="A40">
        <v>36</v>
      </c>
      <c r="B40" t="s">
        <v>39</v>
      </c>
      <c r="C40" t="s">
        <v>4</v>
      </c>
      <c r="D40" t="s">
        <v>103</v>
      </c>
      <c r="E40">
        <v>152.89400000000001</v>
      </c>
      <c r="F40">
        <v>152.86099999999999</v>
      </c>
      <c r="G40">
        <v>152.971</v>
      </c>
      <c r="H40">
        <v>153.02099999999999</v>
      </c>
      <c r="I40">
        <v>153.13900000000001</v>
      </c>
      <c r="J40" s="1"/>
      <c r="K40" s="2" t="str">
        <f t="shared" si="6"/>
        <v>Bearish</v>
      </c>
      <c r="L40" s="2"/>
      <c r="M40" s="3">
        <f t="shared" si="23"/>
        <v>-3.267525372333402E-4</v>
      </c>
      <c r="N40" s="3">
        <f t="shared" si="1"/>
        <v>0.35631384350443751</v>
      </c>
      <c r="O40" s="3" t="str">
        <f t="shared" si="2"/>
        <v>-----</v>
      </c>
      <c r="P40" s="3" t="str">
        <f t="shared" si="24"/>
        <v>Bearish</v>
      </c>
      <c r="Q40" s="1" t="str">
        <f t="shared" si="25"/>
        <v>TEMA crossover</v>
      </c>
      <c r="R40" s="1" t="str">
        <f t="shared" si="26"/>
        <v>-----</v>
      </c>
      <c r="S40" s="1"/>
      <c r="T40" s="4" t="str">
        <f t="shared" si="14"/>
        <v>YES</v>
      </c>
      <c r="U40" s="4" t="str">
        <f t="shared" si="19"/>
        <v>-----</v>
      </c>
      <c r="V40" s="4" t="str">
        <f t="shared" si="20"/>
        <v>-----</v>
      </c>
      <c r="W40" s="4" t="str">
        <f t="shared" si="21"/>
        <v>-----</v>
      </c>
      <c r="X40" s="5" t="str">
        <f t="shared" si="15"/>
        <v>-----</v>
      </c>
      <c r="Y40" s="5" t="str">
        <f t="shared" si="10"/>
        <v>-----</v>
      </c>
      <c r="Z40" s="5" t="str">
        <f t="shared" si="11"/>
        <v>YES</v>
      </c>
      <c r="AA40" s="5" t="str">
        <f t="shared" si="12"/>
        <v>YES</v>
      </c>
      <c r="AB40" s="4" t="str">
        <f t="shared" si="16"/>
        <v>-----</v>
      </c>
      <c r="AC40" s="5" t="str">
        <f t="shared" si="22"/>
        <v>-----</v>
      </c>
      <c r="AD40" s="1" t="str">
        <f>IF(AB40&lt;&gt;"-----",AB40,IF(AC40&lt;&gt;"-----",AC40,"-----"))</f>
        <v>-----</v>
      </c>
      <c r="AE40" s="14" t="str">
        <f t="shared" si="17"/>
        <v>-----</v>
      </c>
      <c r="AF40" s="1" t="str">
        <f t="shared" si="18"/>
        <v>-----</v>
      </c>
      <c r="AG40" s="1" t="str">
        <f>IF(AE40&lt;&gt;"-----",AE40,IF(AF40&lt;&gt;"-----",AF40,"-----"))</f>
        <v>-----</v>
      </c>
    </row>
    <row r="41" spans="1:33" x14ac:dyDescent="0.55000000000000004">
      <c r="A41">
        <v>37</v>
      </c>
      <c r="B41" t="s">
        <v>40</v>
      </c>
      <c r="C41" t="s">
        <v>4</v>
      </c>
      <c r="D41" t="s">
        <v>103</v>
      </c>
      <c r="E41">
        <v>152.80699999999999</v>
      </c>
      <c r="F41">
        <v>152.83199999999999</v>
      </c>
      <c r="G41">
        <v>152.94</v>
      </c>
      <c r="H41">
        <v>153.00700000000001</v>
      </c>
      <c r="I41">
        <v>153.131</v>
      </c>
      <c r="J41" s="1"/>
      <c r="K41" s="2" t="str">
        <f t="shared" si="6"/>
        <v>Bearish</v>
      </c>
      <c r="L41" s="2"/>
      <c r="M41" s="3">
        <f t="shared" si="23"/>
        <v>-4.378884626194048E-4</v>
      </c>
      <c r="N41" s="3">
        <f t="shared" si="1"/>
        <v>3.5791969260190397E-2</v>
      </c>
      <c r="O41" s="3" t="str">
        <f t="shared" si="2"/>
        <v>-----</v>
      </c>
      <c r="P41" s="3" t="str">
        <f t="shared" si="24"/>
        <v>Bearish</v>
      </c>
      <c r="Q41" s="1" t="str">
        <f t="shared" si="25"/>
        <v>-----</v>
      </c>
      <c r="R41" s="1" t="str">
        <f t="shared" si="26"/>
        <v>TEMA crossunder</v>
      </c>
      <c r="S41" s="1"/>
      <c r="T41" s="4" t="str">
        <f t="shared" si="14"/>
        <v>YES</v>
      </c>
      <c r="U41" s="4" t="str">
        <f t="shared" si="19"/>
        <v>-----</v>
      </c>
      <c r="V41" s="4" t="str">
        <f t="shared" si="20"/>
        <v>-----</v>
      </c>
      <c r="W41" s="4" t="str">
        <f t="shared" si="21"/>
        <v>YES</v>
      </c>
      <c r="X41" s="5" t="str">
        <f t="shared" si="15"/>
        <v>-----</v>
      </c>
      <c r="Y41" s="5" t="str">
        <f t="shared" si="10"/>
        <v>-----</v>
      </c>
      <c r="Z41" s="5" t="str">
        <f t="shared" si="11"/>
        <v>YES</v>
      </c>
      <c r="AA41" s="5" t="str">
        <f t="shared" si="12"/>
        <v>YES</v>
      </c>
      <c r="AB41" s="4" t="str">
        <f t="shared" si="16"/>
        <v>-----</v>
      </c>
      <c r="AC41" s="5" t="str">
        <f t="shared" si="22"/>
        <v>-----</v>
      </c>
      <c r="AD41" s="1" t="str">
        <f>IF(AB41&lt;&gt;"-----",AB41,IF(AC41&lt;&gt;"-----",AC41,"-----"))</f>
        <v>-----</v>
      </c>
      <c r="AE41" s="14" t="str">
        <f t="shared" si="17"/>
        <v>-----</v>
      </c>
      <c r="AF41" s="1" t="str">
        <f t="shared" si="18"/>
        <v>-----</v>
      </c>
      <c r="AG41" s="1" t="str">
        <f>IF(AE41&lt;&gt;"-----",AE41,IF(AF41&lt;&gt;"-----",AF41,"-----"))</f>
        <v>-----</v>
      </c>
    </row>
    <row r="42" spans="1:33" x14ac:dyDescent="0.55000000000000004">
      <c r="A42">
        <v>38</v>
      </c>
      <c r="B42" t="s">
        <v>41</v>
      </c>
      <c r="C42" t="s">
        <v>4</v>
      </c>
      <c r="D42" t="s">
        <v>103</v>
      </c>
      <c r="E42">
        <v>152.81700000000001</v>
      </c>
      <c r="F42">
        <v>152.81</v>
      </c>
      <c r="G42">
        <v>152.91</v>
      </c>
      <c r="H42">
        <v>152.994</v>
      </c>
      <c r="I42">
        <v>153.12299999999999</v>
      </c>
      <c r="J42" s="1"/>
      <c r="K42" s="2" t="str">
        <f t="shared" si="6"/>
        <v>Bearish</v>
      </c>
      <c r="L42" s="2"/>
      <c r="M42" s="3">
        <f t="shared" si="23"/>
        <v>-5.4904113886821175E-4</v>
      </c>
      <c r="N42" s="3">
        <f t="shared" si="1"/>
        <v>-0.28477821535626746</v>
      </c>
      <c r="O42" s="3" t="str">
        <f t="shared" si="2"/>
        <v>-----</v>
      </c>
      <c r="P42" s="3" t="str">
        <f t="shared" si="24"/>
        <v>Bearish</v>
      </c>
      <c r="Q42" s="1" t="str">
        <f t="shared" si="25"/>
        <v>TEMA crossover</v>
      </c>
      <c r="R42" s="1" t="str">
        <f t="shared" si="26"/>
        <v>-----</v>
      </c>
      <c r="S42" s="1"/>
      <c r="T42" s="4" t="str">
        <f t="shared" si="14"/>
        <v>YES</v>
      </c>
      <c r="U42" s="4" t="str">
        <f t="shared" si="19"/>
        <v>-----</v>
      </c>
      <c r="V42" s="4" t="str">
        <f t="shared" si="20"/>
        <v>-----</v>
      </c>
      <c r="W42" s="4" t="str">
        <f t="shared" si="21"/>
        <v>YES</v>
      </c>
      <c r="X42" s="5" t="str">
        <f t="shared" si="15"/>
        <v>-----</v>
      </c>
      <c r="Y42" s="5" t="str">
        <f t="shared" si="10"/>
        <v>-----</v>
      </c>
      <c r="Z42" s="5" t="str">
        <f t="shared" si="11"/>
        <v>YES</v>
      </c>
      <c r="AA42" s="5" t="str">
        <f t="shared" si="12"/>
        <v>YES</v>
      </c>
      <c r="AB42" s="4" t="str">
        <f t="shared" si="16"/>
        <v>-----</v>
      </c>
      <c r="AC42" s="5" t="str">
        <f t="shared" si="22"/>
        <v>-----</v>
      </c>
      <c r="AD42" s="1" t="str">
        <f>IF(AB42&lt;&gt;"-----",AB42,IF(AC42&lt;&gt;"-----",AC42,"-----"))</f>
        <v>-----</v>
      </c>
      <c r="AE42" s="14" t="str">
        <f t="shared" si="17"/>
        <v>-----</v>
      </c>
      <c r="AF42" s="1" t="str">
        <f t="shared" si="18"/>
        <v>-----</v>
      </c>
      <c r="AG42" s="1" t="str">
        <f>IF(AE42&lt;&gt;"-----",AE42,IF(AF42&lt;&gt;"-----",AF42,"-----"))</f>
        <v>-----</v>
      </c>
    </row>
    <row r="43" spans="1:33" x14ac:dyDescent="0.55000000000000004">
      <c r="A43">
        <v>39</v>
      </c>
      <c r="B43" t="s">
        <v>42</v>
      </c>
      <c r="C43" t="s">
        <v>4</v>
      </c>
      <c r="D43" t="s">
        <v>103</v>
      </c>
      <c r="E43">
        <v>152.77000000000001</v>
      </c>
      <c r="F43">
        <v>152.779</v>
      </c>
      <c r="G43">
        <v>152.87899999999999</v>
      </c>
      <c r="H43">
        <v>152.97800000000001</v>
      </c>
      <c r="I43">
        <v>153.114</v>
      </c>
      <c r="J43" s="1"/>
      <c r="K43" s="2" t="str">
        <f t="shared" si="6"/>
        <v>Bearish</v>
      </c>
      <c r="L43" s="2"/>
      <c r="M43" s="3">
        <f t="shared" si="23"/>
        <v>-6.4715187804794121E-4</v>
      </c>
      <c r="N43" s="3">
        <f t="shared" si="1"/>
        <v>-0.56773476515000754</v>
      </c>
      <c r="O43" s="3" t="str">
        <f t="shared" si="2"/>
        <v>-----</v>
      </c>
      <c r="P43" s="3" t="str">
        <f t="shared" si="24"/>
        <v>Bearish</v>
      </c>
      <c r="Q43" s="1" t="str">
        <f t="shared" si="25"/>
        <v>-----</v>
      </c>
      <c r="R43" s="1" t="str">
        <f t="shared" si="26"/>
        <v>TEMA crossunder</v>
      </c>
      <c r="S43" s="1"/>
      <c r="T43" s="4" t="str">
        <f t="shared" si="14"/>
        <v>YES</v>
      </c>
      <c r="U43" s="4" t="str">
        <f t="shared" si="19"/>
        <v>-----</v>
      </c>
      <c r="V43" s="4" t="str">
        <f t="shared" si="20"/>
        <v>-----</v>
      </c>
      <c r="W43" s="4" t="str">
        <f t="shared" si="21"/>
        <v>YES</v>
      </c>
      <c r="X43" s="5" t="str">
        <f t="shared" si="15"/>
        <v>-----</v>
      </c>
      <c r="Y43" s="5" t="str">
        <f t="shared" si="10"/>
        <v>-----</v>
      </c>
      <c r="Z43" s="5" t="str">
        <f t="shared" si="11"/>
        <v>YES</v>
      </c>
      <c r="AA43" s="5" t="str">
        <f t="shared" si="12"/>
        <v>YES</v>
      </c>
      <c r="AB43" s="4" t="str">
        <f t="shared" si="16"/>
        <v>-----</v>
      </c>
      <c r="AC43" s="5" t="str">
        <f t="shared" si="22"/>
        <v>-----</v>
      </c>
      <c r="AD43" s="1" t="str">
        <f>IF(AB43&lt;&gt;"-----",AB43,IF(AC43&lt;&gt;"-----",AC43,"-----"))</f>
        <v>-----</v>
      </c>
      <c r="AE43" s="14" t="str">
        <f t="shared" si="17"/>
        <v>-----</v>
      </c>
      <c r="AF43" s="1" t="str">
        <f t="shared" si="18"/>
        <v>-----</v>
      </c>
      <c r="AG43" s="1" t="str">
        <f>IF(AE43&lt;&gt;"-----",AE43,IF(AF43&lt;&gt;"-----",AF43,"-----"))</f>
        <v>-----</v>
      </c>
    </row>
    <row r="44" spans="1:33" x14ac:dyDescent="0.55000000000000004">
      <c r="A44">
        <v>40</v>
      </c>
      <c r="B44" t="s">
        <v>43</v>
      </c>
      <c r="C44" t="s">
        <v>4</v>
      </c>
      <c r="D44" t="s">
        <v>103</v>
      </c>
      <c r="E44">
        <v>152.79</v>
      </c>
      <c r="F44">
        <v>152.75800000000001</v>
      </c>
      <c r="G44">
        <v>152.85</v>
      </c>
      <c r="H44">
        <v>152.96299999999999</v>
      </c>
      <c r="I44">
        <v>153.10499999999999</v>
      </c>
      <c r="J44" s="1"/>
      <c r="K44" s="2" t="str">
        <f t="shared" si="6"/>
        <v>Bearish</v>
      </c>
      <c r="L44" s="2"/>
      <c r="M44" s="3">
        <f t="shared" si="23"/>
        <v>-7.3874074122499923E-4</v>
      </c>
      <c r="N44" s="3">
        <f t="shared" si="1"/>
        <v>-0.83188188034640054</v>
      </c>
      <c r="O44" s="3" t="str">
        <f t="shared" si="2"/>
        <v>-----</v>
      </c>
      <c r="P44" s="3" t="str">
        <f t="shared" si="24"/>
        <v>Bearish</v>
      </c>
      <c r="Q44" s="1" t="str">
        <f t="shared" si="25"/>
        <v>TEMA crossover</v>
      </c>
      <c r="R44" s="1" t="str">
        <f t="shared" si="26"/>
        <v>-----</v>
      </c>
      <c r="S44" s="1"/>
      <c r="T44" s="4" t="str">
        <f t="shared" si="14"/>
        <v>YES</v>
      </c>
      <c r="U44" s="4" t="str">
        <f t="shared" si="19"/>
        <v>-----</v>
      </c>
      <c r="V44" s="4" t="str">
        <f t="shared" si="20"/>
        <v>-----</v>
      </c>
      <c r="W44" s="4" t="str">
        <f t="shared" si="21"/>
        <v>YES</v>
      </c>
      <c r="X44" s="5" t="str">
        <f t="shared" si="15"/>
        <v>-----</v>
      </c>
      <c r="Y44" s="5" t="str">
        <f t="shared" si="10"/>
        <v>-----</v>
      </c>
      <c r="Z44" s="5" t="str">
        <f t="shared" si="11"/>
        <v>YES</v>
      </c>
      <c r="AA44" s="5" t="str">
        <f t="shared" si="12"/>
        <v>YES</v>
      </c>
      <c r="AB44" s="4" t="str">
        <f t="shared" si="16"/>
        <v>-----</v>
      </c>
      <c r="AC44" s="5" t="str">
        <f t="shared" si="22"/>
        <v>-----</v>
      </c>
      <c r="AD44" s="1" t="str">
        <f>IF(AB44&lt;&gt;"-----",AB44,IF(AC44&lt;&gt;"-----",AC44,"-----"))</f>
        <v>-----</v>
      </c>
      <c r="AE44" s="14" t="str">
        <f t="shared" si="17"/>
        <v>-----</v>
      </c>
      <c r="AF44" s="1" t="str">
        <f t="shared" si="18"/>
        <v>-----</v>
      </c>
      <c r="AG44" s="1" t="str">
        <f>IF(AE44&lt;&gt;"-----",AE44,IF(AF44&lt;&gt;"-----",AF44,"-----"))</f>
        <v>-----</v>
      </c>
    </row>
    <row r="45" spans="1:33" x14ac:dyDescent="0.55000000000000004">
      <c r="A45">
        <v>41</v>
      </c>
      <c r="B45" t="s">
        <v>44</v>
      </c>
      <c r="C45" t="s">
        <v>4</v>
      </c>
      <c r="D45" t="s">
        <v>103</v>
      </c>
      <c r="E45">
        <v>152.78899999999999</v>
      </c>
      <c r="F45">
        <v>152.75299999999999</v>
      </c>
      <c r="G45">
        <v>152.82499999999999</v>
      </c>
      <c r="H45">
        <v>152.94999999999999</v>
      </c>
      <c r="I45">
        <v>153.096</v>
      </c>
      <c r="J45" s="1"/>
      <c r="K45" s="2" t="str">
        <f t="shared" si="6"/>
        <v>Bearish</v>
      </c>
      <c r="L45" s="2"/>
      <c r="M45" s="3">
        <f t="shared" si="23"/>
        <v>-8.1726054266100044E-4</v>
      </c>
      <c r="N45" s="3">
        <f t="shared" si="1"/>
        <v>-1.0583371317345263</v>
      </c>
      <c r="O45" s="3" t="str">
        <f t="shared" si="2"/>
        <v>-----</v>
      </c>
      <c r="P45" s="3" t="str">
        <f t="shared" si="24"/>
        <v>Bearish</v>
      </c>
      <c r="Q45" s="1" t="str">
        <f t="shared" si="25"/>
        <v>-----</v>
      </c>
      <c r="R45" s="1" t="str">
        <f t="shared" si="26"/>
        <v>-----</v>
      </c>
      <c r="S45" s="1"/>
      <c r="T45" s="4" t="str">
        <f t="shared" si="14"/>
        <v>YES</v>
      </c>
      <c r="U45" s="4" t="str">
        <f t="shared" si="19"/>
        <v>-----</v>
      </c>
      <c r="V45" s="4" t="str">
        <f t="shared" si="20"/>
        <v>-----</v>
      </c>
      <c r="W45" s="4" t="str">
        <f t="shared" si="21"/>
        <v>YES</v>
      </c>
      <c r="X45" s="5" t="str">
        <f t="shared" si="15"/>
        <v>-----</v>
      </c>
      <c r="Y45" s="5" t="str">
        <f t="shared" si="10"/>
        <v>-----</v>
      </c>
      <c r="Z45" s="5" t="str">
        <f t="shared" si="11"/>
        <v>YES</v>
      </c>
      <c r="AA45" s="5" t="str">
        <f t="shared" si="12"/>
        <v>YES</v>
      </c>
      <c r="AB45" s="4" t="str">
        <f t="shared" si="16"/>
        <v>-----</v>
      </c>
      <c r="AC45" s="5" t="str">
        <f t="shared" si="22"/>
        <v>-----</v>
      </c>
      <c r="AD45" s="1" t="str">
        <f>IF(AB45&lt;&gt;"-----",AB45,IF(AC45&lt;&gt;"-----",AC45,"-----"))</f>
        <v>-----</v>
      </c>
      <c r="AE45" s="14" t="str">
        <f t="shared" si="17"/>
        <v>-----</v>
      </c>
      <c r="AF45" s="1" t="str">
        <f t="shared" si="18"/>
        <v>-----</v>
      </c>
      <c r="AG45" s="1" t="str">
        <f>IF(AE45&lt;&gt;"-----",AE45,IF(AF45&lt;&gt;"-----",AF45,"-----"))</f>
        <v>-----</v>
      </c>
    </row>
    <row r="46" spans="1:33" x14ac:dyDescent="0.55000000000000004">
      <c r="A46">
        <v>42</v>
      </c>
      <c r="B46" t="s">
        <v>45</v>
      </c>
      <c r="C46" t="s">
        <v>4</v>
      </c>
      <c r="D46" t="s">
        <v>103</v>
      </c>
      <c r="E46">
        <v>152.75</v>
      </c>
      <c r="F46">
        <v>152.74</v>
      </c>
      <c r="G46">
        <v>152.80199999999999</v>
      </c>
      <c r="H46">
        <v>152.93600000000001</v>
      </c>
      <c r="I46">
        <v>153.08699999999999</v>
      </c>
      <c r="J46" s="1"/>
      <c r="K46" s="2" t="str">
        <f t="shared" si="6"/>
        <v>Bearish</v>
      </c>
      <c r="L46" s="2"/>
      <c r="M46" s="3">
        <f t="shared" si="23"/>
        <v>-8.7618350159553377E-4</v>
      </c>
      <c r="N46" s="3">
        <f t="shared" si="1"/>
        <v>-1.2282740550840803</v>
      </c>
      <c r="O46" s="3" t="str">
        <f t="shared" si="2"/>
        <v>-----</v>
      </c>
      <c r="P46" s="3" t="str">
        <f t="shared" si="24"/>
        <v>Bearish</v>
      </c>
      <c r="Q46" s="1" t="str">
        <f t="shared" si="25"/>
        <v>-----</v>
      </c>
      <c r="R46" s="1" t="str">
        <f t="shared" si="26"/>
        <v>-----</v>
      </c>
      <c r="S46" s="1"/>
      <c r="T46" s="4" t="str">
        <f t="shared" si="14"/>
        <v>YES</v>
      </c>
      <c r="U46" s="4" t="str">
        <f t="shared" si="19"/>
        <v>-----</v>
      </c>
      <c r="V46" s="4" t="str">
        <f t="shared" si="20"/>
        <v>-----</v>
      </c>
      <c r="W46" s="4" t="str">
        <f t="shared" si="21"/>
        <v>YES</v>
      </c>
      <c r="X46" s="5" t="str">
        <f t="shared" si="15"/>
        <v>-----</v>
      </c>
      <c r="Y46" s="5" t="str">
        <f t="shared" si="10"/>
        <v>-----</v>
      </c>
      <c r="Z46" s="5" t="str">
        <f t="shared" si="11"/>
        <v>YES</v>
      </c>
      <c r="AA46" s="5" t="str">
        <f t="shared" si="12"/>
        <v>YES</v>
      </c>
      <c r="AB46" s="4" t="str">
        <f t="shared" si="16"/>
        <v>-----</v>
      </c>
      <c r="AC46" s="5" t="str">
        <f t="shared" si="22"/>
        <v>-----</v>
      </c>
      <c r="AD46" s="1" t="str">
        <f>IF(AB46&lt;&gt;"-----",AB46,IF(AC46&lt;&gt;"-----",AC46,"-----"))</f>
        <v>-----</v>
      </c>
      <c r="AE46" s="14" t="str">
        <f t="shared" si="17"/>
        <v>-----</v>
      </c>
      <c r="AF46" s="1" t="str">
        <f t="shared" si="18"/>
        <v>-----</v>
      </c>
      <c r="AG46" s="1" t="str">
        <f>IF(AE46&lt;&gt;"-----",AE46,IF(AF46&lt;&gt;"-----",AF46,"-----"))</f>
        <v>-----</v>
      </c>
    </row>
    <row r="47" spans="1:33" x14ac:dyDescent="0.55000000000000004">
      <c r="A47">
        <v>43</v>
      </c>
      <c r="B47" t="s">
        <v>46</v>
      </c>
      <c r="C47" t="s">
        <v>4</v>
      </c>
      <c r="D47" t="s">
        <v>103</v>
      </c>
      <c r="E47">
        <v>152.661</v>
      </c>
      <c r="F47">
        <v>152.691</v>
      </c>
      <c r="G47">
        <v>152.773</v>
      </c>
      <c r="H47">
        <v>152.916</v>
      </c>
      <c r="I47">
        <v>153.077</v>
      </c>
      <c r="J47" s="1"/>
      <c r="K47" s="2" t="str">
        <f t="shared" si="6"/>
        <v>Bearish</v>
      </c>
      <c r="L47" s="2"/>
      <c r="M47" s="3">
        <f t="shared" si="23"/>
        <v>-9.351539407256316E-4</v>
      </c>
      <c r="N47" s="3">
        <f t="shared" si="1"/>
        <v>-1.3983479138235091</v>
      </c>
      <c r="O47" s="3" t="str">
        <f t="shared" si="2"/>
        <v>-----</v>
      </c>
      <c r="P47" s="3" t="str">
        <f t="shared" si="24"/>
        <v>Bearish</v>
      </c>
      <c r="Q47" s="1" t="str">
        <f t="shared" si="25"/>
        <v>-----</v>
      </c>
      <c r="R47" s="1" t="str">
        <f t="shared" si="26"/>
        <v>TEMA crossunder</v>
      </c>
      <c r="S47" s="1"/>
      <c r="T47" s="4" t="str">
        <f t="shared" si="14"/>
        <v>YES</v>
      </c>
      <c r="U47" s="4" t="str">
        <f t="shared" si="19"/>
        <v>-----</v>
      </c>
      <c r="V47" s="4" t="str">
        <f t="shared" si="20"/>
        <v>-----</v>
      </c>
      <c r="W47" s="4" t="str">
        <f t="shared" si="21"/>
        <v>YES</v>
      </c>
      <c r="X47" s="5" t="str">
        <f t="shared" si="15"/>
        <v>-----</v>
      </c>
      <c r="Y47" s="5" t="str">
        <f t="shared" si="10"/>
        <v>-----</v>
      </c>
      <c r="Z47" s="5" t="str">
        <f t="shared" si="11"/>
        <v>YES</v>
      </c>
      <c r="AA47" s="5" t="str">
        <f t="shared" si="12"/>
        <v>YES</v>
      </c>
      <c r="AB47" s="4" t="str">
        <f t="shared" si="16"/>
        <v>-----</v>
      </c>
      <c r="AC47" s="5" t="str">
        <f t="shared" si="22"/>
        <v>-----</v>
      </c>
      <c r="AD47" s="1" t="str">
        <f>IF(AB47&lt;&gt;"-----",AB47,IF(AC47&lt;&gt;"-----",AC47,"-----"))</f>
        <v>-----</v>
      </c>
      <c r="AE47" s="14" t="str">
        <f t="shared" si="17"/>
        <v>-----</v>
      </c>
      <c r="AF47" s="1" t="str">
        <f t="shared" si="18"/>
        <v>-----</v>
      </c>
      <c r="AG47" s="1" t="str">
        <f>IF(AE47&lt;&gt;"-----",AE47,IF(AF47&lt;&gt;"-----",AF47,"-----"))</f>
        <v>-----</v>
      </c>
    </row>
    <row r="48" spans="1:33" x14ac:dyDescent="0.55000000000000004">
      <c r="A48">
        <v>44</v>
      </c>
      <c r="B48" t="s">
        <v>47</v>
      </c>
      <c r="C48" t="s">
        <v>4</v>
      </c>
      <c r="D48" t="s">
        <v>103</v>
      </c>
      <c r="E48">
        <v>152.672</v>
      </c>
      <c r="F48">
        <v>152.65299999999999</v>
      </c>
      <c r="G48">
        <v>152.74</v>
      </c>
      <c r="H48">
        <v>152.89599999999999</v>
      </c>
      <c r="I48">
        <v>153.065</v>
      </c>
      <c r="J48" s="1"/>
      <c r="K48" s="2" t="str">
        <f t="shared" ref="K48:K79" si="27">IF(AND(H48&gt;I48,H47&gt;I47,H46&gt;I46,H45&gt;I45,H44&gt;I44,H43&gt;I43,H42&gt;I42,H41&gt;I41,H40&gt;I40,H39&gt;I39,H38&gt;I38,H37&gt;I37),"Bullish",IF(AND(H48&lt;I48,H47&lt;I47,H46&lt;I46,H45&lt;I45,H44&lt;I44,H43&lt;I43,H42&lt;I42,H41&lt;I41,H40&lt;I40,H39&lt;I39,H38&lt;I38,H37&lt;I37),"Bearish","-----"))</f>
        <v>Bearish</v>
      </c>
      <c r="L48" s="2"/>
      <c r="M48" s="3">
        <f t="shared" si="23"/>
        <v>-1.0203013813309537E-3</v>
      </c>
      <c r="N48" s="3">
        <f t="shared" si="1"/>
        <v>-1.6439176263634712</v>
      </c>
      <c r="O48" s="3" t="str">
        <f t="shared" si="2"/>
        <v>Reverse to Bullish</v>
      </c>
      <c r="P48" s="3" t="str">
        <f t="shared" si="24"/>
        <v>Bearish</v>
      </c>
      <c r="Q48" s="1" t="str">
        <f t="shared" si="25"/>
        <v>TEMA crossover</v>
      </c>
      <c r="R48" s="1" t="str">
        <f t="shared" si="26"/>
        <v>-----</v>
      </c>
      <c r="S48" s="1"/>
      <c r="T48" s="4" t="str">
        <f t="shared" si="14"/>
        <v>YES</v>
      </c>
      <c r="U48" s="4" t="str">
        <f t="shared" si="19"/>
        <v>-----</v>
      </c>
      <c r="V48" s="4" t="str">
        <f t="shared" si="20"/>
        <v>-----</v>
      </c>
      <c r="W48" s="4" t="str">
        <f t="shared" si="21"/>
        <v>YES</v>
      </c>
      <c r="X48" s="5" t="str">
        <f t="shared" si="15"/>
        <v>-----</v>
      </c>
      <c r="Y48" s="5" t="str">
        <f t="shared" si="10"/>
        <v>YES</v>
      </c>
      <c r="Z48" s="5" t="str">
        <f t="shared" si="11"/>
        <v>YES</v>
      </c>
      <c r="AA48" s="5" t="str">
        <f t="shared" si="12"/>
        <v>YES</v>
      </c>
      <c r="AB48" s="4" t="str">
        <f t="shared" si="16"/>
        <v>-----</v>
      </c>
      <c r="AC48" s="5" t="str">
        <f t="shared" si="22"/>
        <v>-----</v>
      </c>
      <c r="AD48" s="1" t="str">
        <f>IF(AB48&lt;&gt;"-----",AB48,IF(AC48&lt;&gt;"-----",AC48,"-----"))</f>
        <v>-----</v>
      </c>
      <c r="AE48" s="14" t="str">
        <f t="shared" si="17"/>
        <v>Open Buy / Close Sell</v>
      </c>
      <c r="AF48" s="1" t="str">
        <f t="shared" si="18"/>
        <v>-----</v>
      </c>
      <c r="AG48" s="1" t="str">
        <f>IF(AE48&lt;&gt;"-----",AE48,IF(AF48&lt;&gt;"-----",AF48,"-----"))</f>
        <v>Open Buy / Close Sell</v>
      </c>
    </row>
    <row r="49" spans="1:33" x14ac:dyDescent="0.55000000000000004">
      <c r="A49">
        <v>45</v>
      </c>
      <c r="B49" t="s">
        <v>48</v>
      </c>
      <c r="C49" t="s">
        <v>4</v>
      </c>
      <c r="D49" t="s">
        <v>103</v>
      </c>
      <c r="E49">
        <v>152.738</v>
      </c>
      <c r="F49">
        <v>152.66499999999999</v>
      </c>
      <c r="G49">
        <v>152.71799999999999</v>
      </c>
      <c r="H49">
        <v>152.88300000000001</v>
      </c>
      <c r="I49">
        <v>153.054</v>
      </c>
      <c r="J49" s="1"/>
      <c r="K49" s="2" t="str">
        <f t="shared" si="27"/>
        <v>Bearish</v>
      </c>
      <c r="L49" s="2"/>
      <c r="M49" s="3">
        <f t="shared" si="23"/>
        <v>-1.0792566864858777E-3</v>
      </c>
      <c r="N49" s="3">
        <f t="shared" si="1"/>
        <v>-1.8139478379197713</v>
      </c>
      <c r="O49" s="3" t="str">
        <f t="shared" si="2"/>
        <v>Reverse to Bullish</v>
      </c>
      <c r="P49" s="3" t="str">
        <f t="shared" si="24"/>
        <v>Bearish</v>
      </c>
      <c r="Q49" s="1" t="str">
        <f t="shared" si="25"/>
        <v>-----</v>
      </c>
      <c r="R49" s="1" t="str">
        <f t="shared" si="26"/>
        <v>-----</v>
      </c>
      <c r="S49" s="1"/>
      <c r="T49" s="4" t="str">
        <f t="shared" si="14"/>
        <v>YES</v>
      </c>
      <c r="U49" s="4" t="str">
        <f t="shared" si="19"/>
        <v>-----</v>
      </c>
      <c r="V49" s="4" t="str">
        <f t="shared" si="20"/>
        <v>-----</v>
      </c>
      <c r="W49" s="4" t="str">
        <f t="shared" si="21"/>
        <v>YES</v>
      </c>
      <c r="X49" s="5" t="str">
        <f t="shared" si="15"/>
        <v>-----</v>
      </c>
      <c r="Y49" s="5" t="str">
        <f t="shared" si="10"/>
        <v>YES</v>
      </c>
      <c r="Z49" s="5" t="str">
        <f t="shared" si="11"/>
        <v>YES</v>
      </c>
      <c r="AA49" s="5" t="str">
        <f t="shared" si="12"/>
        <v>YES</v>
      </c>
      <c r="AB49" s="4" t="str">
        <f t="shared" si="16"/>
        <v>-----</v>
      </c>
      <c r="AC49" s="5" t="str">
        <f t="shared" si="22"/>
        <v>-----</v>
      </c>
      <c r="AD49" s="1" t="str">
        <f>IF(AB49&lt;&gt;"-----",AB49,IF(AC49&lt;&gt;"-----",AC49,"-----"))</f>
        <v>-----</v>
      </c>
      <c r="AE49" s="14" t="str">
        <f t="shared" si="17"/>
        <v>Open Buy / Close Sell</v>
      </c>
      <c r="AF49" s="1" t="str">
        <f t="shared" si="18"/>
        <v>-----</v>
      </c>
      <c r="AG49" s="1" t="str">
        <f>IF(AE49&lt;&gt;"-----",AE49,IF(AF49&lt;&gt;"-----",AF49,"-----"))</f>
        <v>Open Buy / Close Sell</v>
      </c>
    </row>
    <row r="50" spans="1:33" x14ac:dyDescent="0.55000000000000004">
      <c r="A50">
        <v>46</v>
      </c>
      <c r="B50" t="s">
        <v>49</v>
      </c>
      <c r="C50" t="s">
        <v>4</v>
      </c>
      <c r="D50" t="s">
        <v>103</v>
      </c>
      <c r="E50">
        <v>152.69800000000001</v>
      </c>
      <c r="F50">
        <v>152.67500000000001</v>
      </c>
      <c r="G50">
        <v>152.702</v>
      </c>
      <c r="H50">
        <v>152.87</v>
      </c>
      <c r="I50">
        <v>153.04499999999999</v>
      </c>
      <c r="J50" s="1"/>
      <c r="K50" s="2" t="str">
        <f t="shared" si="27"/>
        <v>Bearish</v>
      </c>
      <c r="L50" s="2"/>
      <c r="M50" s="3">
        <f t="shared" si="23"/>
        <v>-1.0989729835808619E-3</v>
      </c>
      <c r="N50" s="3">
        <f t="shared" si="1"/>
        <v>-1.8708106793105097</v>
      </c>
      <c r="O50" s="3" t="str">
        <f t="shared" si="2"/>
        <v>Reverse to Bullish</v>
      </c>
      <c r="P50" s="3" t="str">
        <f t="shared" si="24"/>
        <v>Bearish</v>
      </c>
      <c r="Q50" s="1" t="str">
        <f t="shared" si="25"/>
        <v>-----</v>
      </c>
      <c r="R50" s="1" t="str">
        <f t="shared" si="26"/>
        <v>-----</v>
      </c>
      <c r="S50" s="1"/>
      <c r="T50" s="4" t="str">
        <f t="shared" si="14"/>
        <v>YES</v>
      </c>
      <c r="U50" s="4" t="str">
        <f t="shared" si="19"/>
        <v>-----</v>
      </c>
      <c r="V50" s="4" t="str">
        <f t="shared" si="20"/>
        <v>-----</v>
      </c>
      <c r="W50" s="4" t="str">
        <f t="shared" si="21"/>
        <v>YES</v>
      </c>
      <c r="X50" s="5" t="str">
        <f t="shared" si="15"/>
        <v>-----</v>
      </c>
      <c r="Y50" s="5" t="str">
        <f t="shared" si="10"/>
        <v>YES</v>
      </c>
      <c r="Z50" s="5" t="str">
        <f t="shared" si="11"/>
        <v>YES</v>
      </c>
      <c r="AA50" s="5" t="str">
        <f t="shared" si="12"/>
        <v>YES</v>
      </c>
      <c r="AB50" s="4" t="str">
        <f t="shared" si="16"/>
        <v>-----</v>
      </c>
      <c r="AC50" s="5" t="str">
        <f t="shared" si="22"/>
        <v>-----</v>
      </c>
      <c r="AD50" s="1" t="str">
        <f>IF(AB50&lt;&gt;"-----",AB50,IF(AC50&lt;&gt;"-----",AC50,"-----"))</f>
        <v>-----</v>
      </c>
      <c r="AE50" s="14" t="str">
        <f t="shared" si="17"/>
        <v>Open Buy / Close Sell</v>
      </c>
      <c r="AF50" s="1" t="str">
        <f t="shared" si="18"/>
        <v>-----</v>
      </c>
      <c r="AG50" s="1" t="str">
        <f>IF(AE50&lt;&gt;"-----",AE50,IF(AF50&lt;&gt;"-----",AF50,"-----"))</f>
        <v>Open Buy / Close Sell</v>
      </c>
    </row>
    <row r="51" spans="1:33" x14ac:dyDescent="0.55000000000000004">
      <c r="A51">
        <v>47</v>
      </c>
      <c r="B51" t="s">
        <v>50</v>
      </c>
      <c r="C51" t="s">
        <v>4</v>
      </c>
      <c r="D51" t="s">
        <v>103</v>
      </c>
      <c r="E51">
        <v>152.81299999999999</v>
      </c>
      <c r="F51">
        <v>152.715</v>
      </c>
      <c r="G51">
        <v>152.69800000000001</v>
      </c>
      <c r="H51">
        <v>152.863</v>
      </c>
      <c r="I51">
        <v>153.036</v>
      </c>
      <c r="J51" s="1"/>
      <c r="K51" s="2" t="str">
        <f t="shared" si="27"/>
        <v>Bearish</v>
      </c>
      <c r="L51" s="2"/>
      <c r="M51" s="3">
        <f t="shared" si="23"/>
        <v>-1.0793978922302456E-3</v>
      </c>
      <c r="N51" s="3">
        <f t="shared" si="1"/>
        <v>-1.8143550827389567</v>
      </c>
      <c r="O51" s="3" t="str">
        <f t="shared" si="2"/>
        <v>Reverse to Bullish</v>
      </c>
      <c r="P51" s="3" t="str">
        <f t="shared" si="24"/>
        <v>Bullish</v>
      </c>
      <c r="Q51" s="1" t="str">
        <f t="shared" si="25"/>
        <v>-----</v>
      </c>
      <c r="R51" s="1" t="str">
        <f t="shared" si="26"/>
        <v>-----</v>
      </c>
      <c r="S51" s="1"/>
      <c r="T51" s="4" t="str">
        <f t="shared" si="14"/>
        <v>YES</v>
      </c>
      <c r="U51" s="4" t="str">
        <f t="shared" si="19"/>
        <v>-----</v>
      </c>
      <c r="V51" s="4" t="str">
        <f t="shared" si="20"/>
        <v>-----</v>
      </c>
      <c r="W51" s="4" t="str">
        <f t="shared" si="21"/>
        <v>-----</v>
      </c>
      <c r="X51" s="5" t="str">
        <f t="shared" si="15"/>
        <v>-----</v>
      </c>
      <c r="Y51" s="5" t="str">
        <f t="shared" si="10"/>
        <v>YES</v>
      </c>
      <c r="Z51" s="5" t="str">
        <f t="shared" si="11"/>
        <v>-----</v>
      </c>
      <c r="AA51" s="5" t="str">
        <f t="shared" si="12"/>
        <v>YES</v>
      </c>
      <c r="AB51" s="4" t="str">
        <f t="shared" si="16"/>
        <v>-----</v>
      </c>
      <c r="AC51" s="5" t="str">
        <f t="shared" si="22"/>
        <v>-----</v>
      </c>
      <c r="AD51" s="1" t="str">
        <f>IF(AB51&lt;&gt;"-----",AB51,IF(AC51&lt;&gt;"-----",AC51,"-----"))</f>
        <v>-----</v>
      </c>
      <c r="AE51" s="14" t="str">
        <f t="shared" si="17"/>
        <v>-----</v>
      </c>
      <c r="AF51" s="1" t="str">
        <f t="shared" si="18"/>
        <v>-----</v>
      </c>
      <c r="AG51" s="1" t="str">
        <f>IF(AE51&lt;&gt;"-----",AE51,IF(AF51&lt;&gt;"-----",AF51,"-----"))</f>
        <v>-----</v>
      </c>
    </row>
    <row r="52" spans="1:33" x14ac:dyDescent="0.55000000000000004">
      <c r="A52">
        <v>48</v>
      </c>
      <c r="B52" t="s">
        <v>51</v>
      </c>
      <c r="C52" t="s">
        <v>4</v>
      </c>
      <c r="D52" t="s">
        <v>103</v>
      </c>
      <c r="E52">
        <v>152.81899999999999</v>
      </c>
      <c r="F52">
        <v>152.75899999999999</v>
      </c>
      <c r="G52">
        <v>152.70400000000001</v>
      </c>
      <c r="H52">
        <v>152.85900000000001</v>
      </c>
      <c r="I52">
        <v>153.03</v>
      </c>
      <c r="J52" s="1"/>
      <c r="K52" s="2" t="str">
        <f t="shared" si="27"/>
        <v>Bearish</v>
      </c>
      <c r="L52" s="2"/>
      <c r="M52" s="3">
        <f t="shared" si="23"/>
        <v>-1.0140063718852088E-3</v>
      </c>
      <c r="N52" s="3">
        <f t="shared" si="1"/>
        <v>-1.6257624868896572</v>
      </c>
      <c r="O52" s="3" t="str">
        <f t="shared" si="2"/>
        <v>Reverse to Bullish</v>
      </c>
      <c r="P52" s="3" t="str">
        <f t="shared" si="24"/>
        <v>Bullish</v>
      </c>
      <c r="Q52" s="1" t="str">
        <f t="shared" si="25"/>
        <v>-----</v>
      </c>
      <c r="R52" s="1" t="str">
        <f t="shared" si="26"/>
        <v>-----</v>
      </c>
      <c r="S52" s="1"/>
      <c r="T52" s="4" t="str">
        <f t="shared" si="14"/>
        <v>YES</v>
      </c>
      <c r="U52" s="4" t="str">
        <f t="shared" si="19"/>
        <v>-----</v>
      </c>
      <c r="V52" s="4" t="str">
        <f t="shared" si="20"/>
        <v>-----</v>
      </c>
      <c r="W52" s="4" t="str">
        <f t="shared" si="21"/>
        <v>-----</v>
      </c>
      <c r="X52" s="5" t="str">
        <f t="shared" si="15"/>
        <v>-----</v>
      </c>
      <c r="Y52" s="5" t="str">
        <f t="shared" si="10"/>
        <v>YES</v>
      </c>
      <c r="Z52" s="5" t="str">
        <f t="shared" si="11"/>
        <v>-----</v>
      </c>
      <c r="AA52" s="5" t="str">
        <f t="shared" si="12"/>
        <v>-----</v>
      </c>
      <c r="AB52" s="4" t="str">
        <f t="shared" si="16"/>
        <v>-----</v>
      </c>
      <c r="AC52" s="5" t="str">
        <f t="shared" si="22"/>
        <v>-----</v>
      </c>
      <c r="AD52" s="1" t="str">
        <f>IF(AB52&lt;&gt;"-----",AB52,IF(AC52&lt;&gt;"-----",AC52,"-----"))</f>
        <v>-----</v>
      </c>
      <c r="AE52" s="14" t="str">
        <f t="shared" si="17"/>
        <v>-----</v>
      </c>
      <c r="AF52" s="1" t="str">
        <f t="shared" si="18"/>
        <v>-----</v>
      </c>
      <c r="AG52" s="1" t="str">
        <f>IF(AE52&lt;&gt;"-----",AE52,IF(AF52&lt;&gt;"-----",AF52,"-----"))</f>
        <v>-----</v>
      </c>
    </row>
    <row r="53" spans="1:33" x14ac:dyDescent="0.55000000000000004">
      <c r="A53">
        <v>49</v>
      </c>
      <c r="B53" t="s">
        <v>52</v>
      </c>
      <c r="C53" t="s">
        <v>4</v>
      </c>
      <c r="D53" t="s">
        <v>103</v>
      </c>
      <c r="E53">
        <v>152.816</v>
      </c>
      <c r="F53">
        <v>152.797</v>
      </c>
      <c r="G53">
        <v>152.71700000000001</v>
      </c>
      <c r="H53">
        <v>152.857</v>
      </c>
      <c r="I53">
        <v>153.024</v>
      </c>
      <c r="J53" s="1"/>
      <c r="K53" s="2" t="str">
        <f t="shared" si="27"/>
        <v>Bearish</v>
      </c>
      <c r="L53" s="2"/>
      <c r="M53" s="3">
        <f t="shared" si="23"/>
        <v>-9.1588870643795415E-4</v>
      </c>
      <c r="N53" s="3">
        <f t="shared" si="1"/>
        <v>-1.3427859613748261</v>
      </c>
      <c r="O53" s="3" t="str">
        <f t="shared" si="2"/>
        <v>-----</v>
      </c>
      <c r="P53" s="3" t="str">
        <f t="shared" si="24"/>
        <v>Bullish</v>
      </c>
      <c r="Q53" s="1" t="str">
        <f t="shared" si="25"/>
        <v>-----</v>
      </c>
      <c r="R53" s="1" t="str">
        <f t="shared" si="26"/>
        <v>-----</v>
      </c>
      <c r="S53" s="1"/>
      <c r="T53" s="4" t="str">
        <f t="shared" si="14"/>
        <v>YES</v>
      </c>
      <c r="U53" s="4" t="str">
        <f t="shared" si="19"/>
        <v>-----</v>
      </c>
      <c r="V53" s="4" t="str">
        <f t="shared" si="20"/>
        <v>-----</v>
      </c>
      <c r="W53" s="4" t="str">
        <f t="shared" si="21"/>
        <v>-----</v>
      </c>
      <c r="X53" s="5" t="str">
        <f t="shared" si="15"/>
        <v>-----</v>
      </c>
      <c r="Y53" s="5" t="str">
        <f t="shared" si="10"/>
        <v>-----</v>
      </c>
      <c r="Z53" s="5" t="str">
        <f t="shared" si="11"/>
        <v>-----</v>
      </c>
      <c r="AA53" s="5" t="str">
        <f t="shared" si="12"/>
        <v>-----</v>
      </c>
      <c r="AB53" s="4" t="str">
        <f t="shared" si="16"/>
        <v>-----</v>
      </c>
      <c r="AC53" s="5" t="str">
        <f t="shared" si="22"/>
        <v>-----</v>
      </c>
      <c r="AD53" s="1" t="str">
        <f>IF(AB53&lt;&gt;"-----",AB53,IF(AC53&lt;&gt;"-----",AC53,"-----"))</f>
        <v>-----</v>
      </c>
      <c r="AE53" s="14" t="str">
        <f t="shared" si="17"/>
        <v>-----</v>
      </c>
      <c r="AF53" s="1" t="str">
        <f t="shared" si="18"/>
        <v>-----</v>
      </c>
      <c r="AG53" s="1" t="str">
        <f>IF(AE53&lt;&gt;"-----",AE53,IF(AF53&lt;&gt;"-----",AF53,"-----"))</f>
        <v>-----</v>
      </c>
    </row>
    <row r="54" spans="1:33" x14ac:dyDescent="0.55000000000000004">
      <c r="A54">
        <v>50</v>
      </c>
      <c r="B54" t="s">
        <v>53</v>
      </c>
      <c r="C54" t="s">
        <v>4</v>
      </c>
      <c r="D54" t="s">
        <v>103</v>
      </c>
      <c r="E54">
        <v>152.82499999999999</v>
      </c>
      <c r="F54">
        <v>152.81100000000001</v>
      </c>
      <c r="G54">
        <v>152.73099999999999</v>
      </c>
      <c r="H54">
        <v>152.85400000000001</v>
      </c>
      <c r="I54">
        <v>153.018</v>
      </c>
      <c r="J54" s="1"/>
      <c r="K54" s="2" t="str">
        <f t="shared" si="27"/>
        <v>Bearish</v>
      </c>
      <c r="L54" s="2"/>
      <c r="M54" s="3">
        <f t="shared" si="23"/>
        <v>-8.046894422129539E-4</v>
      </c>
      <c r="N54" s="3">
        <f t="shared" si="1"/>
        <v>-1.0220814145762489</v>
      </c>
      <c r="O54" s="3" t="str">
        <f t="shared" si="2"/>
        <v>-----</v>
      </c>
      <c r="P54" s="3" t="str">
        <f t="shared" si="24"/>
        <v>Bullish</v>
      </c>
      <c r="Q54" s="1" t="str">
        <f t="shared" si="25"/>
        <v>-----</v>
      </c>
      <c r="R54" s="1" t="str">
        <f t="shared" si="26"/>
        <v>-----</v>
      </c>
      <c r="S54" s="1"/>
      <c r="T54" s="4" t="str">
        <f t="shared" si="14"/>
        <v>YES</v>
      </c>
      <c r="U54" s="4" t="str">
        <f t="shared" si="19"/>
        <v>-----</v>
      </c>
      <c r="V54" s="4" t="str">
        <f t="shared" si="20"/>
        <v>YES</v>
      </c>
      <c r="W54" s="4" t="str">
        <f t="shared" si="21"/>
        <v>-----</v>
      </c>
      <c r="X54" s="5" t="str">
        <f t="shared" si="15"/>
        <v>-----</v>
      </c>
      <c r="Y54" s="5" t="str">
        <f t="shared" si="10"/>
        <v>-----</v>
      </c>
      <c r="Z54" s="5" t="str">
        <f t="shared" si="11"/>
        <v>-----</v>
      </c>
      <c r="AA54" s="5" t="str">
        <f t="shared" si="12"/>
        <v>-----</v>
      </c>
      <c r="AB54" s="4" t="str">
        <f t="shared" si="16"/>
        <v>-----</v>
      </c>
      <c r="AC54" s="5" t="str">
        <f t="shared" si="22"/>
        <v>-----</v>
      </c>
      <c r="AD54" s="1" t="str">
        <f>IF(AB54&lt;&gt;"-----",AB54,IF(AC54&lt;&gt;"-----",AC54,"-----"))</f>
        <v>-----</v>
      </c>
      <c r="AE54" s="14" t="str">
        <f t="shared" si="17"/>
        <v>-----</v>
      </c>
      <c r="AF54" s="1" t="str">
        <f t="shared" si="18"/>
        <v>-----</v>
      </c>
      <c r="AG54" s="1" t="str">
        <f>IF(AE54&lt;&gt;"-----",AE54,IF(AF54&lt;&gt;"-----",AF54,"-----"))</f>
        <v>-----</v>
      </c>
    </row>
    <row r="55" spans="1:33" x14ac:dyDescent="0.55000000000000004">
      <c r="A55">
        <v>51</v>
      </c>
      <c r="B55" t="s">
        <v>54</v>
      </c>
      <c r="C55" t="s">
        <v>4</v>
      </c>
      <c r="D55" t="s">
        <v>103</v>
      </c>
      <c r="E55">
        <v>152.75299999999999</v>
      </c>
      <c r="F55">
        <v>152.79900000000001</v>
      </c>
      <c r="G55">
        <v>152.738</v>
      </c>
      <c r="H55">
        <v>152.84700000000001</v>
      </c>
      <c r="I55">
        <v>153.012</v>
      </c>
      <c r="J55" s="1"/>
      <c r="K55" s="2" t="str">
        <f t="shared" si="27"/>
        <v>Bearish</v>
      </c>
      <c r="L55" s="2"/>
      <c r="M55" s="3">
        <f t="shared" si="23"/>
        <v>-7.1313143208573838E-4</v>
      </c>
      <c r="N55" s="3">
        <f t="shared" si="1"/>
        <v>-0.75802328120393581</v>
      </c>
      <c r="O55" s="3" t="str">
        <f t="shared" si="2"/>
        <v>-----</v>
      </c>
      <c r="P55" s="3" t="str">
        <f t="shared" si="24"/>
        <v>Bullish</v>
      </c>
      <c r="Q55" s="1" t="str">
        <f t="shared" si="25"/>
        <v>-----</v>
      </c>
      <c r="R55" s="1" t="str">
        <f t="shared" si="26"/>
        <v>TEMA crossunder</v>
      </c>
      <c r="S55" s="1"/>
      <c r="T55" s="4" t="str">
        <f t="shared" si="14"/>
        <v>YES</v>
      </c>
      <c r="U55" s="4" t="str">
        <f t="shared" si="19"/>
        <v>-----</v>
      </c>
      <c r="V55" s="4" t="str">
        <f t="shared" si="20"/>
        <v>YES</v>
      </c>
      <c r="W55" s="4" t="str">
        <f t="shared" si="21"/>
        <v>YES</v>
      </c>
      <c r="X55" s="5" t="str">
        <f t="shared" si="15"/>
        <v>-----</v>
      </c>
      <c r="Y55" s="5" t="str">
        <f t="shared" si="10"/>
        <v>-----</v>
      </c>
      <c r="Z55" s="5" t="str">
        <f t="shared" si="11"/>
        <v>-----</v>
      </c>
      <c r="AA55" s="5" t="str">
        <f t="shared" si="12"/>
        <v>-----</v>
      </c>
      <c r="AB55" s="4" t="str">
        <f t="shared" si="16"/>
        <v>-----</v>
      </c>
      <c r="AC55" s="5" t="str">
        <f t="shared" si="22"/>
        <v>-----</v>
      </c>
      <c r="AD55" s="1" t="str">
        <f>IF(AB55&lt;&gt;"-----",AB55,IF(AC55&lt;&gt;"-----",AC55,"-----"))</f>
        <v>-----</v>
      </c>
      <c r="AE55" s="14" t="str">
        <f t="shared" si="17"/>
        <v>-----</v>
      </c>
      <c r="AF55" s="1" t="str">
        <f t="shared" si="18"/>
        <v>-----</v>
      </c>
      <c r="AG55" s="1" t="str">
        <f>IF(AE55&lt;&gt;"-----",AE55,IF(AF55&lt;&gt;"-----",AF55,"-----"))</f>
        <v>-----</v>
      </c>
    </row>
    <row r="56" spans="1:33" x14ac:dyDescent="0.55000000000000004">
      <c r="A56">
        <v>52</v>
      </c>
      <c r="B56" t="s">
        <v>55</v>
      </c>
      <c r="C56" t="s">
        <v>4</v>
      </c>
      <c r="D56" t="s">
        <v>103</v>
      </c>
      <c r="E56">
        <v>152.80600000000001</v>
      </c>
      <c r="F56">
        <v>152.803</v>
      </c>
      <c r="G56">
        <v>152.74600000000001</v>
      </c>
      <c r="H56">
        <v>152.84299999999999</v>
      </c>
      <c r="I56">
        <v>153.005</v>
      </c>
      <c r="J56" s="1"/>
      <c r="K56" s="2" t="str">
        <f t="shared" si="27"/>
        <v>Bearish</v>
      </c>
      <c r="L56" s="2"/>
      <c r="M56" s="3">
        <f t="shared" si="23"/>
        <v>-6.3463815810982512E-4</v>
      </c>
      <c r="N56" s="3">
        <f t="shared" si="1"/>
        <v>-0.53164453641074605</v>
      </c>
      <c r="O56" s="3" t="str">
        <f t="shared" si="2"/>
        <v>-----</v>
      </c>
      <c r="P56" s="3" t="str">
        <f t="shared" si="24"/>
        <v>Bullish</v>
      </c>
      <c r="Q56" s="1" t="str">
        <f t="shared" si="25"/>
        <v>TEMA crossover</v>
      </c>
      <c r="R56" s="1" t="str">
        <f t="shared" si="26"/>
        <v>-----</v>
      </c>
      <c r="S56" s="1"/>
      <c r="T56" s="4" t="str">
        <f t="shared" si="14"/>
        <v>YES</v>
      </c>
      <c r="U56" s="4" t="str">
        <f t="shared" si="19"/>
        <v>-----</v>
      </c>
      <c r="V56" s="4" t="str">
        <f t="shared" si="20"/>
        <v>YES</v>
      </c>
      <c r="W56" s="4" t="str">
        <f t="shared" si="21"/>
        <v>YES</v>
      </c>
      <c r="X56" s="5" t="str">
        <f t="shared" si="15"/>
        <v>-----</v>
      </c>
      <c r="Y56" s="5" t="str">
        <f t="shared" si="10"/>
        <v>-----</v>
      </c>
      <c r="Z56" s="5" t="str">
        <f t="shared" si="11"/>
        <v>-----</v>
      </c>
      <c r="AA56" s="5" t="str">
        <f t="shared" si="12"/>
        <v>YES</v>
      </c>
      <c r="AB56" s="4" t="str">
        <f t="shared" si="16"/>
        <v>-----</v>
      </c>
      <c r="AC56" s="5" t="str">
        <f t="shared" si="22"/>
        <v>-----</v>
      </c>
      <c r="AD56" s="1" t="str">
        <f>IF(AB56&lt;&gt;"-----",AB56,IF(AC56&lt;&gt;"-----",AC56,"-----"))</f>
        <v>-----</v>
      </c>
      <c r="AE56" s="14" t="str">
        <f t="shared" si="17"/>
        <v>-----</v>
      </c>
      <c r="AF56" s="1" t="str">
        <f t="shared" si="18"/>
        <v>-----</v>
      </c>
      <c r="AG56" s="1" t="str">
        <f>IF(AE56&lt;&gt;"-----",AE56,IF(AF56&lt;&gt;"-----",AF56,"-----"))</f>
        <v>-----</v>
      </c>
    </row>
    <row r="57" spans="1:33" x14ac:dyDescent="0.55000000000000004">
      <c r="A57">
        <v>53</v>
      </c>
      <c r="B57" t="s">
        <v>56</v>
      </c>
      <c r="C57" t="s">
        <v>4</v>
      </c>
      <c r="D57" t="s">
        <v>103</v>
      </c>
      <c r="E57">
        <v>152.78800000000001</v>
      </c>
      <c r="F57">
        <v>152.804</v>
      </c>
      <c r="G57">
        <v>152.75200000000001</v>
      </c>
      <c r="H57">
        <v>152.839</v>
      </c>
      <c r="I57">
        <v>152.999</v>
      </c>
      <c r="J57" s="1"/>
      <c r="K57" s="2" t="str">
        <f t="shared" si="27"/>
        <v>Bearish</v>
      </c>
      <c r="L57" s="2"/>
      <c r="M57" s="3">
        <f t="shared" si="23"/>
        <v>-5.6922644089524982E-4</v>
      </c>
      <c r="N57" s="3">
        <f t="shared" si="1"/>
        <v>-0.34299369172376526</v>
      </c>
      <c r="O57" s="3" t="str">
        <f t="shared" si="2"/>
        <v>-----</v>
      </c>
      <c r="P57" s="3" t="str">
        <f t="shared" si="24"/>
        <v>Bullish</v>
      </c>
      <c r="Q57" s="1" t="str">
        <f t="shared" si="25"/>
        <v>-----</v>
      </c>
      <c r="R57" s="1" t="str">
        <f t="shared" si="26"/>
        <v>TEMA crossunder</v>
      </c>
      <c r="S57" s="1"/>
      <c r="T57" s="4" t="str">
        <f t="shared" si="14"/>
        <v>YES</v>
      </c>
      <c r="U57" s="4" t="str">
        <f t="shared" si="19"/>
        <v>-----</v>
      </c>
      <c r="V57" s="4" t="str">
        <f t="shared" si="20"/>
        <v>YES</v>
      </c>
      <c r="W57" s="4" t="str">
        <f t="shared" si="21"/>
        <v>YES</v>
      </c>
      <c r="X57" s="5" t="str">
        <f t="shared" si="15"/>
        <v>-----</v>
      </c>
      <c r="Y57" s="5" t="str">
        <f t="shared" si="10"/>
        <v>-----</v>
      </c>
      <c r="Z57" s="5" t="str">
        <f t="shared" si="11"/>
        <v>-----</v>
      </c>
      <c r="AA57" s="5" t="str">
        <f t="shared" si="12"/>
        <v>YES</v>
      </c>
      <c r="AB57" s="4" t="str">
        <f t="shared" si="16"/>
        <v>-----</v>
      </c>
      <c r="AC57" s="5" t="str">
        <f t="shared" si="22"/>
        <v>-----</v>
      </c>
      <c r="AD57" s="1" t="str">
        <f>IF(AB57&lt;&gt;"-----",AB57,IF(AC57&lt;&gt;"-----",AC57,"-----"))</f>
        <v>-----</v>
      </c>
      <c r="AE57" s="14" t="str">
        <f t="shared" si="17"/>
        <v>-----</v>
      </c>
      <c r="AF57" s="1" t="str">
        <f t="shared" si="18"/>
        <v>-----</v>
      </c>
      <c r="AG57" s="1" t="str">
        <f>IF(AE57&lt;&gt;"-----",AE57,IF(AF57&lt;&gt;"-----",AF57,"-----"))</f>
        <v>-----</v>
      </c>
    </row>
    <row r="58" spans="1:33" x14ac:dyDescent="0.55000000000000004">
      <c r="A58">
        <v>54</v>
      </c>
      <c r="B58" t="s">
        <v>57</v>
      </c>
      <c r="C58" t="s">
        <v>4</v>
      </c>
      <c r="D58" t="s">
        <v>103</v>
      </c>
      <c r="E58">
        <v>152.81399999999999</v>
      </c>
      <c r="F58">
        <v>152.809</v>
      </c>
      <c r="G58">
        <v>152.75899999999999</v>
      </c>
      <c r="H58">
        <v>152.83699999999999</v>
      </c>
      <c r="I58">
        <v>152.994</v>
      </c>
      <c r="J58" s="1"/>
      <c r="K58" s="2" t="str">
        <f t="shared" si="27"/>
        <v>Bearish</v>
      </c>
      <c r="L58" s="2"/>
      <c r="M58" s="3">
        <f t="shared" si="23"/>
        <v>-5.1034762524783243E-4</v>
      </c>
      <c r="N58" s="3">
        <f t="shared" si="1"/>
        <v>-0.17318407994400775</v>
      </c>
      <c r="O58" s="3" t="str">
        <f t="shared" si="2"/>
        <v>-----</v>
      </c>
      <c r="P58" s="3" t="str">
        <f t="shared" si="24"/>
        <v>Bullish</v>
      </c>
      <c r="Q58" s="1" t="str">
        <f t="shared" si="25"/>
        <v>TEMA crossover</v>
      </c>
      <c r="R58" s="1" t="str">
        <f t="shared" si="26"/>
        <v>-----</v>
      </c>
      <c r="S58" s="1"/>
      <c r="T58" s="4" t="str">
        <f t="shared" si="14"/>
        <v>YES</v>
      </c>
      <c r="U58" s="4" t="str">
        <f t="shared" si="19"/>
        <v>-----</v>
      </c>
      <c r="V58" s="4" t="str">
        <f t="shared" si="20"/>
        <v>YES</v>
      </c>
      <c r="W58" s="4" t="str">
        <f t="shared" si="21"/>
        <v>YES</v>
      </c>
      <c r="X58" s="5" t="str">
        <f t="shared" si="15"/>
        <v>-----</v>
      </c>
      <c r="Y58" s="5" t="str">
        <f t="shared" si="10"/>
        <v>-----</v>
      </c>
      <c r="Z58" s="5" t="str">
        <f t="shared" si="11"/>
        <v>-----</v>
      </c>
      <c r="AA58" s="5" t="str">
        <f t="shared" si="12"/>
        <v>YES</v>
      </c>
      <c r="AB58" s="4" t="str">
        <f t="shared" si="16"/>
        <v>-----</v>
      </c>
      <c r="AC58" s="5" t="str">
        <f t="shared" si="22"/>
        <v>-----</v>
      </c>
      <c r="AD58" s="1" t="str">
        <f>IF(AB58&lt;&gt;"-----",AB58,IF(AC58&lt;&gt;"-----",AC58,"-----"))</f>
        <v>-----</v>
      </c>
      <c r="AE58" s="14" t="str">
        <f t="shared" si="17"/>
        <v>-----</v>
      </c>
      <c r="AF58" s="1" t="str">
        <f t="shared" si="18"/>
        <v>-----</v>
      </c>
      <c r="AG58" s="1" t="str">
        <f>IF(AE58&lt;&gt;"-----",AE58,IF(AF58&lt;&gt;"-----",AF58,"-----"))</f>
        <v>-----</v>
      </c>
    </row>
    <row r="59" spans="1:33" x14ac:dyDescent="0.55000000000000004">
      <c r="A59">
        <v>55</v>
      </c>
      <c r="B59" t="s">
        <v>58</v>
      </c>
      <c r="C59" t="s">
        <v>4</v>
      </c>
      <c r="D59" t="s">
        <v>103</v>
      </c>
      <c r="E59">
        <v>152.803</v>
      </c>
      <c r="F59">
        <v>152.815</v>
      </c>
      <c r="G59">
        <v>152.76599999999999</v>
      </c>
      <c r="H59">
        <v>152.83500000000001</v>
      </c>
      <c r="I59">
        <v>152.989</v>
      </c>
      <c r="J59" s="1"/>
      <c r="K59" s="2" t="str">
        <f t="shared" si="27"/>
        <v>Bearish</v>
      </c>
      <c r="L59" s="2"/>
      <c r="M59" s="3">
        <f t="shared" si="23"/>
        <v>-4.514672686231349E-4</v>
      </c>
      <c r="N59" s="3">
        <f t="shared" si="1"/>
        <v>-3.3700239044460538E-3</v>
      </c>
      <c r="O59" s="3" t="str">
        <f t="shared" si="2"/>
        <v>-----</v>
      </c>
      <c r="P59" s="3" t="str">
        <f t="shared" si="24"/>
        <v>Bullish</v>
      </c>
      <c r="Q59" s="1" t="str">
        <f t="shared" si="25"/>
        <v>-----</v>
      </c>
      <c r="R59" s="1" t="str">
        <f t="shared" si="26"/>
        <v>TEMA crossunder</v>
      </c>
      <c r="S59" s="1"/>
      <c r="T59" s="4" t="str">
        <f t="shared" si="14"/>
        <v>YES</v>
      </c>
      <c r="U59" s="4" t="str">
        <f t="shared" si="19"/>
        <v>-----</v>
      </c>
      <c r="V59" s="4" t="str">
        <f t="shared" si="20"/>
        <v>YES</v>
      </c>
      <c r="W59" s="4" t="str">
        <f t="shared" si="21"/>
        <v>YES</v>
      </c>
      <c r="X59" s="5" t="str">
        <f t="shared" si="15"/>
        <v>-----</v>
      </c>
      <c r="Y59" s="5" t="str">
        <f t="shared" si="10"/>
        <v>-----</v>
      </c>
      <c r="Z59" s="5" t="str">
        <f t="shared" si="11"/>
        <v>-----</v>
      </c>
      <c r="AA59" s="5" t="str">
        <f t="shared" si="12"/>
        <v>YES</v>
      </c>
      <c r="AB59" s="4" t="str">
        <f t="shared" si="16"/>
        <v>-----</v>
      </c>
      <c r="AC59" s="5" t="str">
        <f t="shared" si="22"/>
        <v>-----</v>
      </c>
      <c r="AD59" s="1" t="str">
        <f>IF(AB59&lt;&gt;"-----",AB59,IF(AC59&lt;&gt;"-----",AC59,"-----"))</f>
        <v>-----</v>
      </c>
      <c r="AE59" s="14" t="str">
        <f t="shared" si="17"/>
        <v>-----</v>
      </c>
      <c r="AF59" s="1" t="str">
        <f t="shared" si="18"/>
        <v>-----</v>
      </c>
      <c r="AG59" s="1" t="str">
        <f>IF(AE59&lt;&gt;"-----",AE59,IF(AF59&lt;&gt;"-----",AF59,"-----"))</f>
        <v>-----</v>
      </c>
    </row>
    <row r="60" spans="1:33" x14ac:dyDescent="0.55000000000000004">
      <c r="A60">
        <v>56</v>
      </c>
      <c r="B60" t="s">
        <v>59</v>
      </c>
      <c r="C60" t="s">
        <v>4</v>
      </c>
      <c r="D60" t="s">
        <v>103</v>
      </c>
      <c r="E60">
        <v>152.83799999999999</v>
      </c>
      <c r="F60">
        <v>152.828</v>
      </c>
      <c r="G60">
        <v>152.77500000000001</v>
      </c>
      <c r="H60">
        <v>152.834</v>
      </c>
      <c r="I60">
        <v>152.98400000000001</v>
      </c>
      <c r="J60" s="1"/>
      <c r="K60" s="2" t="str">
        <f t="shared" si="27"/>
        <v>Bearish</v>
      </c>
      <c r="L60" s="2"/>
      <c r="M60" s="3">
        <f t="shared" si="23"/>
        <v>-3.8603975555175877E-4</v>
      </c>
      <c r="N60" s="3">
        <f t="shared" si="1"/>
        <v>0.18532637686720771</v>
      </c>
      <c r="O60" s="3" t="str">
        <f t="shared" si="2"/>
        <v>-----</v>
      </c>
      <c r="P60" s="3" t="str">
        <f t="shared" si="24"/>
        <v>Bullish</v>
      </c>
      <c r="Q60" s="1" t="str">
        <f t="shared" si="25"/>
        <v>TEMA crossover</v>
      </c>
      <c r="R60" s="1" t="str">
        <f t="shared" si="26"/>
        <v>-----</v>
      </c>
      <c r="S60" s="1"/>
      <c r="T60" s="4" t="str">
        <f t="shared" si="14"/>
        <v>YES</v>
      </c>
      <c r="U60" s="4" t="str">
        <f t="shared" si="19"/>
        <v>-----</v>
      </c>
      <c r="V60" s="4" t="str">
        <f t="shared" si="20"/>
        <v>YES</v>
      </c>
      <c r="W60" s="4" t="str">
        <f t="shared" si="21"/>
        <v>YES</v>
      </c>
      <c r="X60" s="5" t="str">
        <f t="shared" si="15"/>
        <v>-----</v>
      </c>
      <c r="Y60" s="5" t="str">
        <f t="shared" si="10"/>
        <v>-----</v>
      </c>
      <c r="Z60" s="5" t="str">
        <f t="shared" si="11"/>
        <v>-----</v>
      </c>
      <c r="AA60" s="5" t="str">
        <f t="shared" si="12"/>
        <v>YES</v>
      </c>
      <c r="AB60" s="4" t="str">
        <f t="shared" si="16"/>
        <v>-----</v>
      </c>
      <c r="AC60" s="5" t="str">
        <f t="shared" si="22"/>
        <v>-----</v>
      </c>
      <c r="AD60" s="1" t="str">
        <f>IF(AB60&lt;&gt;"-----",AB60,IF(AC60&lt;&gt;"-----",AC60,"-----"))</f>
        <v>-----</v>
      </c>
      <c r="AE60" s="14" t="str">
        <f t="shared" si="17"/>
        <v>-----</v>
      </c>
      <c r="AF60" s="1" t="str">
        <f t="shared" si="18"/>
        <v>-----</v>
      </c>
      <c r="AG60" s="1" t="str">
        <f>IF(AE60&lt;&gt;"-----",AE60,IF(AF60&lt;&gt;"-----",AF60,"-----"))</f>
        <v>-----</v>
      </c>
    </row>
    <row r="61" spans="1:33" x14ac:dyDescent="0.55000000000000004">
      <c r="A61">
        <v>57</v>
      </c>
      <c r="B61" t="s">
        <v>60</v>
      </c>
      <c r="C61" t="s">
        <v>4</v>
      </c>
      <c r="D61" t="s">
        <v>103</v>
      </c>
      <c r="E61">
        <v>152.864</v>
      </c>
      <c r="F61">
        <v>152.84899999999999</v>
      </c>
      <c r="G61">
        <v>152.78800000000001</v>
      </c>
      <c r="H61">
        <v>152.83600000000001</v>
      </c>
      <c r="I61">
        <v>152.97999999999999</v>
      </c>
      <c r="J61" s="1"/>
      <c r="K61" s="2" t="str">
        <f t="shared" si="27"/>
        <v>Bearish</v>
      </c>
      <c r="L61" s="2"/>
      <c r="M61" s="3">
        <f t="shared" si="23"/>
        <v>-3.1406213195845099E-4</v>
      </c>
      <c r="N61" s="3">
        <f t="shared" si="1"/>
        <v>0.39291364207989077</v>
      </c>
      <c r="O61" s="3" t="str">
        <f t="shared" si="2"/>
        <v>-----</v>
      </c>
      <c r="P61" s="3" t="str">
        <f t="shared" si="24"/>
        <v>Bullish</v>
      </c>
      <c r="Q61" s="1" t="str">
        <f t="shared" si="25"/>
        <v>-----</v>
      </c>
      <c r="R61" s="1" t="str">
        <f t="shared" si="26"/>
        <v>-----</v>
      </c>
      <c r="S61" s="1"/>
      <c r="T61" s="4" t="str">
        <f t="shared" si="14"/>
        <v>YES</v>
      </c>
      <c r="U61" s="4" t="str">
        <f t="shared" si="19"/>
        <v>-----</v>
      </c>
      <c r="V61" s="4" t="str">
        <f t="shared" si="20"/>
        <v>YES</v>
      </c>
      <c r="W61" s="4" t="str">
        <f t="shared" si="21"/>
        <v>YES</v>
      </c>
      <c r="X61" s="5" t="str">
        <f t="shared" si="15"/>
        <v>-----</v>
      </c>
      <c r="Y61" s="5" t="str">
        <f t="shared" si="10"/>
        <v>-----</v>
      </c>
      <c r="Z61" s="5" t="str">
        <f t="shared" si="11"/>
        <v>-----</v>
      </c>
      <c r="AA61" s="5" t="str">
        <f t="shared" si="12"/>
        <v>YES</v>
      </c>
      <c r="AB61" s="4" t="str">
        <f t="shared" si="16"/>
        <v>-----</v>
      </c>
      <c r="AC61" s="5" t="str">
        <f t="shared" si="22"/>
        <v>-----</v>
      </c>
      <c r="AD61" s="1" t="str">
        <f>IF(AB61&lt;&gt;"-----",AB61,IF(AC61&lt;&gt;"-----",AC61,"-----"))</f>
        <v>-----</v>
      </c>
      <c r="AE61" s="14" t="str">
        <f t="shared" si="17"/>
        <v>-----</v>
      </c>
      <c r="AF61" s="1" t="str">
        <f t="shared" si="18"/>
        <v>-----</v>
      </c>
      <c r="AG61" s="1" t="str">
        <f>IF(AE61&lt;&gt;"-----",AE61,IF(AF61&lt;&gt;"-----",AF61,"-----"))</f>
        <v>-----</v>
      </c>
    </row>
    <row r="62" spans="1:33" x14ac:dyDescent="0.55000000000000004">
      <c r="A62">
        <v>58</v>
      </c>
      <c r="B62" t="s">
        <v>61</v>
      </c>
      <c r="C62" t="s">
        <v>4</v>
      </c>
      <c r="D62" t="s">
        <v>103</v>
      </c>
      <c r="E62">
        <v>152.81299999999999</v>
      </c>
      <c r="F62">
        <v>152.84800000000001</v>
      </c>
      <c r="G62">
        <v>152.798</v>
      </c>
      <c r="H62">
        <v>152.83600000000001</v>
      </c>
      <c r="I62">
        <v>152.976</v>
      </c>
      <c r="J62" s="1"/>
      <c r="K62" s="2" t="str">
        <f t="shared" si="27"/>
        <v>Bearish</v>
      </c>
      <c r="L62" s="2"/>
      <c r="M62" s="3">
        <f t="shared" si="23"/>
        <v>-2.4863252113383567E-4</v>
      </c>
      <c r="N62" s="3">
        <f t="shared" si="1"/>
        <v>0.58161609288259963</v>
      </c>
      <c r="O62" s="3" t="str">
        <f t="shared" si="2"/>
        <v>-----</v>
      </c>
      <c r="P62" s="3" t="str">
        <f t="shared" si="24"/>
        <v>Bullish</v>
      </c>
      <c r="Q62" s="1" t="str">
        <f t="shared" si="25"/>
        <v>-----</v>
      </c>
      <c r="R62" s="1" t="str">
        <f t="shared" si="26"/>
        <v>TEMA crossunder</v>
      </c>
      <c r="S62" s="1"/>
      <c r="T62" s="4" t="str">
        <f t="shared" si="14"/>
        <v>YES</v>
      </c>
      <c r="U62" s="4" t="str">
        <f t="shared" si="19"/>
        <v>-----</v>
      </c>
      <c r="V62" s="4" t="str">
        <f t="shared" si="20"/>
        <v>YES</v>
      </c>
      <c r="W62" s="4" t="str">
        <f t="shared" si="21"/>
        <v>YES</v>
      </c>
      <c r="X62" s="5" t="str">
        <f t="shared" si="15"/>
        <v>-----</v>
      </c>
      <c r="Y62" s="5" t="str">
        <f t="shared" si="10"/>
        <v>-----</v>
      </c>
      <c r="Z62" s="5" t="str">
        <f t="shared" si="11"/>
        <v>-----</v>
      </c>
      <c r="AA62" s="5" t="str">
        <f t="shared" si="12"/>
        <v>YES</v>
      </c>
      <c r="AB62" s="4" t="str">
        <f t="shared" si="16"/>
        <v>-----</v>
      </c>
      <c r="AC62" s="5" t="str">
        <f t="shared" si="22"/>
        <v>-----</v>
      </c>
      <c r="AD62" s="1" t="str">
        <f>IF(AB62&lt;&gt;"-----",AB62,IF(AC62&lt;&gt;"-----",AC62,"-----"))</f>
        <v>-----</v>
      </c>
      <c r="AE62" s="14" t="str">
        <f t="shared" si="17"/>
        <v>-----</v>
      </c>
      <c r="AF62" s="1" t="str">
        <f t="shared" si="18"/>
        <v>-----</v>
      </c>
      <c r="AG62" s="1" t="str">
        <f>IF(AE62&lt;&gt;"-----",AE62,IF(AF62&lt;&gt;"-----",AF62,"-----"))</f>
        <v>-----</v>
      </c>
    </row>
    <row r="63" spans="1:33" x14ac:dyDescent="0.55000000000000004">
      <c r="A63">
        <v>59</v>
      </c>
      <c r="B63" t="s">
        <v>62</v>
      </c>
      <c r="C63" t="s">
        <v>4</v>
      </c>
      <c r="D63" t="s">
        <v>103</v>
      </c>
      <c r="E63">
        <v>152.81200000000001</v>
      </c>
      <c r="F63">
        <v>152.83799999999999</v>
      </c>
      <c r="G63">
        <v>152.804</v>
      </c>
      <c r="H63">
        <v>152.834</v>
      </c>
      <c r="I63">
        <v>152.97200000000001</v>
      </c>
      <c r="J63" s="1"/>
      <c r="K63" s="2" t="str">
        <f t="shared" si="27"/>
        <v>Bearish</v>
      </c>
      <c r="L63" s="2"/>
      <c r="M63" s="3">
        <f t="shared" si="23"/>
        <v>-1.9629140112802868E-4</v>
      </c>
      <c r="N63" s="3">
        <f t="shared" si="1"/>
        <v>0.73257064539139549</v>
      </c>
      <c r="O63" s="3" t="str">
        <f t="shared" si="2"/>
        <v>-----</v>
      </c>
      <c r="P63" s="3" t="str">
        <f t="shared" si="24"/>
        <v>Bullish</v>
      </c>
      <c r="Q63" s="1" t="str">
        <f t="shared" si="25"/>
        <v>-----</v>
      </c>
      <c r="R63" s="1" t="str">
        <f t="shared" si="26"/>
        <v>-----</v>
      </c>
      <c r="S63" s="1"/>
      <c r="T63" s="4" t="str">
        <f t="shared" si="14"/>
        <v>YES</v>
      </c>
      <c r="U63" s="4" t="str">
        <f t="shared" si="19"/>
        <v>-----</v>
      </c>
      <c r="V63" s="4" t="str">
        <f t="shared" si="20"/>
        <v>YES</v>
      </c>
      <c r="W63" s="4" t="str">
        <f t="shared" si="21"/>
        <v>YES</v>
      </c>
      <c r="X63" s="5" t="str">
        <f t="shared" si="15"/>
        <v>-----</v>
      </c>
      <c r="Y63" s="5" t="str">
        <f t="shared" si="10"/>
        <v>-----</v>
      </c>
      <c r="Z63" s="5" t="str">
        <f t="shared" si="11"/>
        <v>-----</v>
      </c>
      <c r="AA63" s="5" t="str">
        <f t="shared" si="12"/>
        <v>YES</v>
      </c>
      <c r="AB63" s="4" t="str">
        <f t="shared" si="16"/>
        <v>-----</v>
      </c>
      <c r="AC63" s="5" t="str">
        <f t="shared" si="22"/>
        <v>-----</v>
      </c>
      <c r="AD63" s="1" t="str">
        <f>IF(AB63&lt;&gt;"-----",AB63,IF(AC63&lt;&gt;"-----",AC63,"-----"))</f>
        <v>-----</v>
      </c>
      <c r="AE63" s="14" t="str">
        <f t="shared" si="17"/>
        <v>-----</v>
      </c>
      <c r="AF63" s="1" t="str">
        <f t="shared" si="18"/>
        <v>-----</v>
      </c>
      <c r="AG63" s="1" t="str">
        <f>IF(AE63&lt;&gt;"-----",AE63,IF(AF63&lt;&gt;"-----",AF63,"-----"))</f>
        <v>-----</v>
      </c>
    </row>
    <row r="64" spans="1:33" x14ac:dyDescent="0.55000000000000004">
      <c r="A64">
        <v>60</v>
      </c>
      <c r="B64" t="s">
        <v>63</v>
      </c>
      <c r="C64" t="s">
        <v>4</v>
      </c>
      <c r="D64" t="s">
        <v>103</v>
      </c>
      <c r="E64">
        <v>152.84700000000001</v>
      </c>
      <c r="F64">
        <v>152.84299999999999</v>
      </c>
      <c r="G64">
        <v>152.81</v>
      </c>
      <c r="H64">
        <v>152.834</v>
      </c>
      <c r="I64">
        <v>152.96799999999999</v>
      </c>
      <c r="J64" s="1"/>
      <c r="K64" s="2" t="str">
        <f t="shared" si="27"/>
        <v>Bearish</v>
      </c>
      <c r="L64" s="2"/>
      <c r="M64" s="3">
        <f t="shared" si="23"/>
        <v>-1.5703312090242295E-4</v>
      </c>
      <c r="N64" s="3">
        <f t="shared" si="1"/>
        <v>0.84579359749986671</v>
      </c>
      <c r="O64" s="3" t="str">
        <f t="shared" si="2"/>
        <v>-----</v>
      </c>
      <c r="P64" s="3" t="str">
        <f t="shared" si="24"/>
        <v>Bullish</v>
      </c>
      <c r="Q64" s="1" t="str">
        <f t="shared" si="25"/>
        <v>TEMA crossover</v>
      </c>
      <c r="R64" s="1" t="str">
        <f t="shared" si="26"/>
        <v>-----</v>
      </c>
      <c r="S64" s="1"/>
      <c r="T64" s="4" t="str">
        <f t="shared" si="14"/>
        <v>YES</v>
      </c>
      <c r="U64" s="4" t="str">
        <f t="shared" si="19"/>
        <v>-----</v>
      </c>
      <c r="V64" s="4" t="str">
        <f t="shared" si="20"/>
        <v>YES</v>
      </c>
      <c r="W64" s="4" t="str">
        <f t="shared" si="21"/>
        <v>YES</v>
      </c>
      <c r="X64" s="5" t="str">
        <f t="shared" si="15"/>
        <v>-----</v>
      </c>
      <c r="Y64" s="5" t="str">
        <f t="shared" si="10"/>
        <v>-----</v>
      </c>
      <c r="Z64" s="5" t="str">
        <f t="shared" si="11"/>
        <v>-----</v>
      </c>
      <c r="AA64" s="5" t="str">
        <f t="shared" si="12"/>
        <v>YES</v>
      </c>
      <c r="AB64" s="4" t="str">
        <f t="shared" si="16"/>
        <v>-----</v>
      </c>
      <c r="AC64" s="5" t="str">
        <f t="shared" si="22"/>
        <v>-----</v>
      </c>
      <c r="AD64" s="1" t="str">
        <f>IF(AB64&lt;&gt;"-----",AB64,IF(AC64&lt;&gt;"-----",AC64,"-----"))</f>
        <v>-----</v>
      </c>
      <c r="AE64" s="14" t="str">
        <f t="shared" si="17"/>
        <v>-----</v>
      </c>
      <c r="AF64" s="1" t="str">
        <f t="shared" si="18"/>
        <v>-----</v>
      </c>
      <c r="AG64" s="1" t="str">
        <f>IF(AE64&lt;&gt;"-----",AE64,IF(AF64&lt;&gt;"-----",AF64,"-----"))</f>
        <v>-----</v>
      </c>
    </row>
    <row r="65" spans="1:33" x14ac:dyDescent="0.55000000000000004">
      <c r="A65">
        <v>61</v>
      </c>
      <c r="B65" t="s">
        <v>64</v>
      </c>
      <c r="C65" t="s">
        <v>4</v>
      </c>
      <c r="D65" t="s">
        <v>103</v>
      </c>
      <c r="E65">
        <v>152.803</v>
      </c>
      <c r="F65">
        <v>152.83600000000001</v>
      </c>
      <c r="G65">
        <v>152.81399999999999</v>
      </c>
      <c r="H65">
        <v>152.833</v>
      </c>
      <c r="I65">
        <v>152.964</v>
      </c>
      <c r="J65" s="1"/>
      <c r="K65" s="2" t="str">
        <f t="shared" si="27"/>
        <v>Bearish</v>
      </c>
      <c r="L65" s="2"/>
      <c r="M65" s="3">
        <f t="shared" si="23"/>
        <v>-1.2431870080418142E-4</v>
      </c>
      <c r="N65" s="3">
        <f t="shared" si="1"/>
        <v>0.94014371163511878</v>
      </c>
      <c r="O65" s="3" t="str">
        <f t="shared" si="2"/>
        <v>-----</v>
      </c>
      <c r="P65" s="3" t="str">
        <f t="shared" si="24"/>
        <v>Bullish</v>
      </c>
      <c r="Q65" s="1" t="str">
        <f t="shared" si="25"/>
        <v>-----</v>
      </c>
      <c r="R65" s="1" t="str">
        <f t="shared" si="26"/>
        <v>TEMA crossunder</v>
      </c>
      <c r="S65" s="1"/>
      <c r="T65" s="4" t="str">
        <f t="shared" si="14"/>
        <v>YES</v>
      </c>
      <c r="U65" s="4" t="str">
        <f t="shared" si="19"/>
        <v>-----</v>
      </c>
      <c r="V65" s="4" t="str">
        <f t="shared" si="20"/>
        <v>YES</v>
      </c>
      <c r="W65" s="4" t="str">
        <f t="shared" si="21"/>
        <v>YES</v>
      </c>
      <c r="X65" s="5" t="str">
        <f t="shared" si="15"/>
        <v>-----</v>
      </c>
      <c r="Y65" s="5" t="str">
        <f t="shared" si="10"/>
        <v>-----</v>
      </c>
      <c r="Z65" s="5" t="str">
        <f t="shared" si="11"/>
        <v>-----</v>
      </c>
      <c r="AA65" s="5" t="str">
        <f t="shared" si="12"/>
        <v>YES</v>
      </c>
      <c r="AB65" s="4" t="str">
        <f t="shared" si="16"/>
        <v>-----</v>
      </c>
      <c r="AC65" s="5" t="str">
        <f t="shared" si="22"/>
        <v>-----</v>
      </c>
      <c r="AD65" s="1" t="str">
        <f>IF(AB65&lt;&gt;"-----",AB65,IF(AC65&lt;&gt;"-----",AC65,"-----"))</f>
        <v>-----</v>
      </c>
      <c r="AE65" s="14" t="str">
        <f t="shared" si="17"/>
        <v>-----</v>
      </c>
      <c r="AF65" s="1" t="str">
        <f t="shared" si="18"/>
        <v>-----</v>
      </c>
      <c r="AG65" s="1" t="str">
        <f>IF(AE65&lt;&gt;"-----",AE65,IF(AF65&lt;&gt;"-----",AF65,"-----"))</f>
        <v>-----</v>
      </c>
    </row>
    <row r="66" spans="1:33" x14ac:dyDescent="0.55000000000000004">
      <c r="A66">
        <v>62</v>
      </c>
      <c r="B66" t="s">
        <v>65</v>
      </c>
      <c r="C66" t="s">
        <v>4</v>
      </c>
      <c r="D66" t="s">
        <v>103</v>
      </c>
      <c r="E66">
        <v>152.84</v>
      </c>
      <c r="F66">
        <v>152.83500000000001</v>
      </c>
      <c r="G66">
        <v>152.81700000000001</v>
      </c>
      <c r="H66">
        <v>152.833</v>
      </c>
      <c r="I66">
        <v>152.96</v>
      </c>
      <c r="J66" s="1"/>
      <c r="K66" s="2" t="str">
        <f t="shared" si="27"/>
        <v>Bearish</v>
      </c>
      <c r="L66" s="2"/>
      <c r="M66" s="3">
        <f t="shared" si="23"/>
        <v>-1.0468943225606468E-4</v>
      </c>
      <c r="N66" s="3">
        <f t="shared" si="1"/>
        <v>0.99675555810357785</v>
      </c>
      <c r="O66" s="3" t="str">
        <f t="shared" si="2"/>
        <v>-----</v>
      </c>
      <c r="P66" s="3" t="str">
        <f t="shared" si="24"/>
        <v>Bullish</v>
      </c>
      <c r="Q66" s="1" t="str">
        <f t="shared" si="25"/>
        <v>TEMA crossover</v>
      </c>
      <c r="R66" s="1" t="str">
        <f t="shared" si="26"/>
        <v>-----</v>
      </c>
      <c r="S66" s="1"/>
      <c r="T66" s="4" t="str">
        <f t="shared" si="14"/>
        <v>YES</v>
      </c>
      <c r="U66" s="4" t="str">
        <f t="shared" si="19"/>
        <v>-----</v>
      </c>
      <c r="V66" s="4" t="str">
        <f t="shared" si="20"/>
        <v>YES</v>
      </c>
      <c r="W66" s="4" t="str">
        <f t="shared" si="21"/>
        <v>YES</v>
      </c>
      <c r="X66" s="5" t="str">
        <f t="shared" si="15"/>
        <v>-----</v>
      </c>
      <c r="Y66" s="5" t="str">
        <f t="shared" si="10"/>
        <v>-----</v>
      </c>
      <c r="Z66" s="5" t="str">
        <f t="shared" si="11"/>
        <v>-----</v>
      </c>
      <c r="AA66" s="5" t="str">
        <f t="shared" si="12"/>
        <v>YES</v>
      </c>
      <c r="AB66" s="4" t="str">
        <f t="shared" si="16"/>
        <v>-----</v>
      </c>
      <c r="AC66" s="5" t="str">
        <f t="shared" si="22"/>
        <v>-----</v>
      </c>
      <c r="AD66" s="1" t="str">
        <f>IF(AB66&lt;&gt;"-----",AB66,IF(AC66&lt;&gt;"-----",AC66,"-----"))</f>
        <v>-----</v>
      </c>
      <c r="AE66" s="14" t="str">
        <f t="shared" si="17"/>
        <v>-----</v>
      </c>
      <c r="AF66" s="1" t="str">
        <f t="shared" si="18"/>
        <v>-----</v>
      </c>
      <c r="AG66" s="1" t="str">
        <f>IF(AE66&lt;&gt;"-----",AE66,IF(AF66&lt;&gt;"-----",AF66,"-----"))</f>
        <v>-----</v>
      </c>
    </row>
    <row r="67" spans="1:33" x14ac:dyDescent="0.55000000000000004">
      <c r="A67">
        <v>63</v>
      </c>
      <c r="B67" t="s">
        <v>66</v>
      </c>
      <c r="C67" t="s">
        <v>4</v>
      </c>
      <c r="D67" t="s">
        <v>103</v>
      </c>
      <c r="E67">
        <v>152.874</v>
      </c>
      <c r="F67">
        <v>152.852</v>
      </c>
      <c r="G67">
        <v>152.82400000000001</v>
      </c>
      <c r="H67">
        <v>152.83500000000001</v>
      </c>
      <c r="I67">
        <v>152.95699999999999</v>
      </c>
      <c r="J67" s="1"/>
      <c r="K67" s="2" t="str">
        <f t="shared" si="27"/>
        <v>Bearish</v>
      </c>
      <c r="L67" s="2"/>
      <c r="M67" s="3">
        <f t="shared" si="23"/>
        <v>-7.1973042823932209E-5</v>
      </c>
      <c r="N67" s="3">
        <f t="shared" si="1"/>
        <v>1.091111351901707</v>
      </c>
      <c r="O67" s="3" t="str">
        <f t="shared" si="2"/>
        <v>-----</v>
      </c>
      <c r="P67" s="3" t="str">
        <f t="shared" si="24"/>
        <v>Bullish</v>
      </c>
      <c r="Q67" s="1" t="str">
        <f t="shared" si="25"/>
        <v>-----</v>
      </c>
      <c r="R67" s="1" t="str">
        <f t="shared" si="26"/>
        <v>-----</v>
      </c>
      <c r="S67" s="1"/>
      <c r="T67" s="4" t="str">
        <f t="shared" si="14"/>
        <v>YES</v>
      </c>
      <c r="U67" s="4" t="str">
        <f t="shared" si="19"/>
        <v>-----</v>
      </c>
      <c r="V67" s="4" t="str">
        <f t="shared" si="20"/>
        <v>YES</v>
      </c>
      <c r="W67" s="4" t="str">
        <f t="shared" si="21"/>
        <v>YES</v>
      </c>
      <c r="X67" s="5" t="str">
        <f t="shared" si="15"/>
        <v>-----</v>
      </c>
      <c r="Y67" s="5" t="str">
        <f t="shared" si="10"/>
        <v>-----</v>
      </c>
      <c r="Z67" s="5" t="str">
        <f t="shared" si="11"/>
        <v>-----</v>
      </c>
      <c r="AA67" s="5" t="str">
        <f t="shared" si="12"/>
        <v>YES</v>
      </c>
      <c r="AB67" s="4" t="str">
        <f t="shared" si="16"/>
        <v>-----</v>
      </c>
      <c r="AC67" s="5" t="str">
        <f t="shared" si="22"/>
        <v>-----</v>
      </c>
      <c r="AD67" s="1" t="str">
        <f>IF(AB67&lt;&gt;"-----",AB67,IF(AC67&lt;&gt;"-----",AC67,"-----"))</f>
        <v>-----</v>
      </c>
      <c r="AE67" s="14" t="str">
        <f t="shared" si="17"/>
        <v>-----</v>
      </c>
      <c r="AF67" s="1" t="str">
        <f t="shared" si="18"/>
        <v>-----</v>
      </c>
      <c r="AG67" s="1" t="str">
        <f>IF(AE67&lt;&gt;"-----",AE67,IF(AF67&lt;&gt;"-----",AF67,"-----"))</f>
        <v>-----</v>
      </c>
    </row>
    <row r="68" spans="1:33" x14ac:dyDescent="0.55000000000000004">
      <c r="A68" s="6">
        <v>64</v>
      </c>
      <c r="B68" s="6" t="s">
        <v>67</v>
      </c>
      <c r="C68" s="6" t="s">
        <v>4</v>
      </c>
      <c r="D68" s="6" t="s">
        <v>103</v>
      </c>
      <c r="E68" s="6">
        <v>152.83099999999999</v>
      </c>
      <c r="F68" s="6">
        <v>152.851</v>
      </c>
      <c r="G68" s="6">
        <v>152.83000000000001</v>
      </c>
      <c r="H68" s="6">
        <v>152.83600000000001</v>
      </c>
      <c r="I68" s="6">
        <v>152.95400000000001</v>
      </c>
      <c r="J68" s="7"/>
      <c r="K68" s="8" t="str">
        <f t="shared" si="27"/>
        <v>Bearish</v>
      </c>
      <c r="L68" s="8"/>
      <c r="M68" s="7">
        <f t="shared" si="23"/>
        <v>-3.9257766494806374E-5</v>
      </c>
      <c r="N68" s="7">
        <f t="shared" si="1"/>
        <v>1.1854639354520187</v>
      </c>
      <c r="O68" s="7" t="str">
        <f t="shared" si="2"/>
        <v>Reverse to Bearish</v>
      </c>
      <c r="P68" s="7" t="str">
        <f t="shared" si="24"/>
        <v>Bullish</v>
      </c>
      <c r="Q68" s="7" t="str">
        <f t="shared" si="25"/>
        <v>-----</v>
      </c>
      <c r="R68" s="7" t="str">
        <f t="shared" si="26"/>
        <v>TEMA crossunder</v>
      </c>
      <c r="S68" s="7"/>
      <c r="T68" s="4" t="str">
        <f t="shared" si="14"/>
        <v>YES</v>
      </c>
      <c r="U68" s="7" t="str">
        <f t="shared" si="19"/>
        <v>YES</v>
      </c>
      <c r="V68" s="7" t="str">
        <f t="shared" si="20"/>
        <v>YES</v>
      </c>
      <c r="W68" s="7" t="str">
        <f t="shared" si="21"/>
        <v>YES</v>
      </c>
      <c r="X68" s="5" t="str">
        <f t="shared" si="15"/>
        <v>-----</v>
      </c>
      <c r="Y68" s="7" t="str">
        <f t="shared" si="10"/>
        <v>-----</v>
      </c>
      <c r="Z68" s="7" t="str">
        <f t="shared" si="11"/>
        <v>-----</v>
      </c>
      <c r="AA68" s="5" t="str">
        <f t="shared" si="12"/>
        <v>YES</v>
      </c>
      <c r="AB68" s="7" t="str">
        <f t="shared" si="16"/>
        <v>Open Sell / Close Buy</v>
      </c>
      <c r="AC68" s="5" t="str">
        <f t="shared" si="22"/>
        <v>-----</v>
      </c>
      <c r="AD68" s="1" t="str">
        <f>IF(AB68&lt;&gt;"-----",AB68,IF(AC68&lt;&gt;"-----",AC68,"-----"))</f>
        <v>Open Sell / Close Buy</v>
      </c>
      <c r="AE68" s="14" t="str">
        <f t="shared" si="17"/>
        <v>-----</v>
      </c>
      <c r="AF68" s="1" t="str">
        <f t="shared" si="18"/>
        <v>-----</v>
      </c>
      <c r="AG68" s="1" t="str">
        <f>IF(AE68&lt;&gt;"-----",AE68,IF(AF68&lt;&gt;"-----",AF68,"-----"))</f>
        <v>-----</v>
      </c>
    </row>
    <row r="69" spans="1:33" x14ac:dyDescent="0.55000000000000004">
      <c r="A69" s="6">
        <v>65</v>
      </c>
      <c r="B69" s="6" t="s">
        <v>68</v>
      </c>
      <c r="C69" s="6" t="s">
        <v>4</v>
      </c>
      <c r="D69" s="6" t="s">
        <v>103</v>
      </c>
      <c r="E69" s="6">
        <v>152.84399999999999</v>
      </c>
      <c r="F69" s="6">
        <v>152.84800000000001</v>
      </c>
      <c r="G69" s="6">
        <v>152.834</v>
      </c>
      <c r="H69" s="6">
        <v>152.83600000000001</v>
      </c>
      <c r="I69" s="6">
        <v>152.95099999999999</v>
      </c>
      <c r="J69" s="7"/>
      <c r="K69" s="8" t="str">
        <f t="shared" si="27"/>
        <v>Bearish</v>
      </c>
      <c r="L69" s="8"/>
      <c r="M69" s="7">
        <f t="shared" ref="M69:M103" si="28">(G69-H69)/H69</f>
        <v>-1.3085922164997446E-5</v>
      </c>
      <c r="N69" s="7">
        <f t="shared" ref="N69:N103" si="29">STANDARDIZE(M69,AVERAGE($M$5:$M$103),_xlfn.STDEV.P($M$5:$M$103))</f>
        <v>1.2609449157729951</v>
      </c>
      <c r="O69" s="7" t="str">
        <f t="shared" ref="O69:O103" si="30">IF(N69&gt;PERCENTILE($N$5:$N$103,90%),"Reverse to Bearish",IF(N69&gt;=PERCENTILE($N$5:$N$103,70%),"-----",IF(N69&gt;=PERCENTILE($N$5:$N$103,30%),"-----",IF(N69&gt;=PERCENTILE($N$5:$N$103,10%),"-----","Reverse to Bullish"))))</f>
        <v>Reverse to Bearish</v>
      </c>
      <c r="P69" s="7" t="str">
        <f t="shared" ref="P69:P103" si="31">IF(F69&gt;G69,"Bullish","Bearish")</f>
        <v>Bullish</v>
      </c>
      <c r="Q69" s="7" t="str">
        <f t="shared" si="25"/>
        <v>-----</v>
      </c>
      <c r="R69" s="7" t="str">
        <f t="shared" si="26"/>
        <v>-----</v>
      </c>
      <c r="S69" s="7"/>
      <c r="T69" s="4" t="str">
        <f t="shared" si="14"/>
        <v>YES</v>
      </c>
      <c r="U69" s="7" t="str">
        <f t="shared" si="19"/>
        <v>YES</v>
      </c>
      <c r="V69" s="7" t="str">
        <f t="shared" si="20"/>
        <v>YES</v>
      </c>
      <c r="W69" s="7" t="str">
        <f t="shared" si="21"/>
        <v>YES</v>
      </c>
      <c r="X69" s="5" t="str">
        <f t="shared" si="15"/>
        <v>-----</v>
      </c>
      <c r="Y69" s="7" t="str">
        <f t="shared" si="10"/>
        <v>-----</v>
      </c>
      <c r="Z69" s="7" t="str">
        <f t="shared" si="11"/>
        <v>-----</v>
      </c>
      <c r="AA69" s="5" t="str">
        <f t="shared" si="12"/>
        <v>YES</v>
      </c>
      <c r="AB69" s="7" t="str">
        <f t="shared" si="16"/>
        <v>Open Sell / Close Buy</v>
      </c>
      <c r="AC69" s="5" t="str">
        <f t="shared" si="22"/>
        <v>-----</v>
      </c>
      <c r="AD69" s="1" t="str">
        <f>IF(AB69&lt;&gt;"-----",AB69,IF(AC69&lt;&gt;"-----",AC69,"-----"))</f>
        <v>Open Sell / Close Buy</v>
      </c>
      <c r="AE69" s="14" t="str">
        <f t="shared" si="17"/>
        <v>-----</v>
      </c>
      <c r="AF69" s="1" t="str">
        <f t="shared" si="18"/>
        <v>-----</v>
      </c>
      <c r="AG69" s="1" t="str">
        <f>IF(AE69&lt;&gt;"-----",AE69,IF(AF69&lt;&gt;"-----",AF69,"-----"))</f>
        <v>-----</v>
      </c>
    </row>
    <row r="70" spans="1:33" x14ac:dyDescent="0.55000000000000004">
      <c r="A70" s="6">
        <v>66</v>
      </c>
      <c r="B70" s="6" t="s">
        <v>69</v>
      </c>
      <c r="C70" s="6" t="s">
        <v>4</v>
      </c>
      <c r="D70" s="6" t="s">
        <v>103</v>
      </c>
      <c r="E70" s="6">
        <v>152.81</v>
      </c>
      <c r="F70" s="6">
        <v>152.83699999999999</v>
      </c>
      <c r="G70" s="6">
        <v>152.834</v>
      </c>
      <c r="H70" s="6">
        <v>152.83500000000001</v>
      </c>
      <c r="I70" s="6">
        <v>152.94800000000001</v>
      </c>
      <c r="J70" s="7"/>
      <c r="K70" s="8" t="str">
        <f t="shared" si="27"/>
        <v>Bearish</v>
      </c>
      <c r="L70" s="8"/>
      <c r="M70" s="7">
        <f t="shared" si="28"/>
        <v>-6.5430038931185578E-6</v>
      </c>
      <c r="N70" s="7">
        <f t="shared" si="29"/>
        <v>1.2798150373852861</v>
      </c>
      <c r="O70" s="7" t="str">
        <f t="shared" si="30"/>
        <v>Reverse to Bearish</v>
      </c>
      <c r="P70" s="7" t="str">
        <f t="shared" si="31"/>
        <v>Bullish</v>
      </c>
      <c r="Q70" s="7" t="str">
        <f t="shared" ref="Q70:Q103" si="32">IF(AND(E70&gt;F70,E69&lt;F69),"TEMA crossover","-----")</f>
        <v>-----</v>
      </c>
      <c r="R70" s="7" t="str">
        <f t="shared" ref="R70:R103" si="33">IF(AND(E70&lt;F70,E69&gt;F69),"TEMA crossunder","-----")</f>
        <v>-----</v>
      </c>
      <c r="S70" s="7"/>
      <c r="T70" s="4" t="str">
        <f t="shared" si="14"/>
        <v>YES</v>
      </c>
      <c r="U70" s="7" t="str">
        <f t="shared" si="19"/>
        <v>YES</v>
      </c>
      <c r="V70" s="7" t="str">
        <f t="shared" si="20"/>
        <v>YES</v>
      </c>
      <c r="W70" s="7" t="str">
        <f t="shared" si="21"/>
        <v>YES</v>
      </c>
      <c r="X70" s="5" t="str">
        <f t="shared" si="15"/>
        <v>-----</v>
      </c>
      <c r="Y70" s="7" t="str">
        <f t="shared" si="10"/>
        <v>-----</v>
      </c>
      <c r="Z70" s="7" t="str">
        <f t="shared" si="11"/>
        <v>-----</v>
      </c>
      <c r="AA70" s="5" t="str">
        <f t="shared" si="12"/>
        <v>-----</v>
      </c>
      <c r="AB70" s="7" t="str">
        <f t="shared" si="16"/>
        <v>Open Sell / Close Buy</v>
      </c>
      <c r="AC70" s="5" t="str">
        <f t="shared" si="22"/>
        <v>-----</v>
      </c>
      <c r="AD70" s="1" t="str">
        <f>IF(AB70&lt;&gt;"-----",AB70,IF(AC70&lt;&gt;"-----",AC70,"-----"))</f>
        <v>Open Sell / Close Buy</v>
      </c>
      <c r="AE70" s="14" t="str">
        <f t="shared" si="17"/>
        <v>-----</v>
      </c>
      <c r="AF70" s="1" t="str">
        <f t="shared" si="18"/>
        <v>-----</v>
      </c>
      <c r="AG70" s="1" t="str">
        <f>IF(AE70&lt;&gt;"-----",AE70,IF(AF70&lt;&gt;"-----",AF70,"-----"))</f>
        <v>-----</v>
      </c>
    </row>
    <row r="71" spans="1:33" x14ac:dyDescent="0.55000000000000004">
      <c r="A71">
        <v>67</v>
      </c>
      <c r="B71" t="s">
        <v>70</v>
      </c>
      <c r="C71" t="s">
        <v>4</v>
      </c>
      <c r="D71" t="s">
        <v>103</v>
      </c>
      <c r="E71">
        <v>152.809</v>
      </c>
      <c r="F71">
        <v>152.82300000000001</v>
      </c>
      <c r="G71">
        <v>152.83199999999999</v>
      </c>
      <c r="H71">
        <v>152.833</v>
      </c>
      <c r="I71">
        <v>152.94399999999999</v>
      </c>
      <c r="J71" s="1"/>
      <c r="K71" s="2" t="str">
        <f t="shared" si="27"/>
        <v>Bearish</v>
      </c>
      <c r="L71" s="2"/>
      <c r="M71" s="3">
        <f t="shared" si="28"/>
        <v>-6.5430895160389107E-6</v>
      </c>
      <c r="N71" s="3">
        <f t="shared" si="29"/>
        <v>1.2798147904442649</v>
      </c>
      <c r="O71" s="3" t="str">
        <f t="shared" si="30"/>
        <v>Reverse to Bearish</v>
      </c>
      <c r="P71" s="3" t="str">
        <f t="shared" si="31"/>
        <v>Bearish</v>
      </c>
      <c r="Q71" s="1" t="str">
        <f t="shared" si="32"/>
        <v>-----</v>
      </c>
      <c r="R71" s="1" t="str">
        <f t="shared" si="33"/>
        <v>-----</v>
      </c>
      <c r="S71" s="1"/>
      <c r="T71" s="4" t="str">
        <f t="shared" si="14"/>
        <v>YES</v>
      </c>
      <c r="U71" s="4" t="str">
        <f t="shared" si="19"/>
        <v>YES</v>
      </c>
      <c r="V71" s="4" t="str">
        <f t="shared" si="20"/>
        <v>-----</v>
      </c>
      <c r="W71" s="4" t="str">
        <f t="shared" si="21"/>
        <v>YES</v>
      </c>
      <c r="X71" s="5" t="str">
        <f t="shared" si="15"/>
        <v>-----</v>
      </c>
      <c r="Y71" s="5" t="str">
        <f t="shared" si="10"/>
        <v>-----</v>
      </c>
      <c r="Z71" s="5" t="str">
        <f t="shared" si="11"/>
        <v>-----</v>
      </c>
      <c r="AA71" s="5" t="str">
        <f t="shared" si="12"/>
        <v>-----</v>
      </c>
      <c r="AB71" s="4" t="str">
        <f t="shared" si="16"/>
        <v>-----</v>
      </c>
      <c r="AC71" s="5" t="str">
        <f t="shared" si="22"/>
        <v>-----</v>
      </c>
      <c r="AD71" s="1" t="str">
        <f>IF(AB71&lt;&gt;"-----",AB71,IF(AC71&lt;&gt;"-----",AC71,"-----"))</f>
        <v>-----</v>
      </c>
      <c r="AE71" s="14" t="str">
        <f t="shared" si="17"/>
        <v>-----</v>
      </c>
      <c r="AF71" s="1" t="str">
        <f t="shared" si="18"/>
        <v>-----</v>
      </c>
      <c r="AG71" s="1" t="str">
        <f>IF(AE71&lt;&gt;"-----",AE71,IF(AF71&lt;&gt;"-----",AF71,"-----"))</f>
        <v>-----</v>
      </c>
    </row>
    <row r="72" spans="1:33" x14ac:dyDescent="0.55000000000000004">
      <c r="A72">
        <v>68</v>
      </c>
      <c r="B72" t="s">
        <v>71</v>
      </c>
      <c r="C72" t="s">
        <v>4</v>
      </c>
      <c r="D72" t="s">
        <v>103</v>
      </c>
      <c r="E72">
        <v>152.81299999999999</v>
      </c>
      <c r="F72">
        <v>152.81800000000001</v>
      </c>
      <c r="G72">
        <v>152.82900000000001</v>
      </c>
      <c r="H72">
        <v>152.83099999999999</v>
      </c>
      <c r="I72">
        <v>152.94</v>
      </c>
      <c r="J72" s="1"/>
      <c r="K72" s="2" t="str">
        <f t="shared" si="27"/>
        <v>Bearish</v>
      </c>
      <c r="L72" s="2"/>
      <c r="M72" s="3">
        <f t="shared" si="28"/>
        <v>-1.3086350282214526E-5</v>
      </c>
      <c r="N72" s="3">
        <f t="shared" si="29"/>
        <v>1.2609436810603463</v>
      </c>
      <c r="O72" s="3" t="str">
        <f t="shared" si="30"/>
        <v>Reverse to Bearish</v>
      </c>
      <c r="P72" s="3" t="str">
        <f t="shared" si="31"/>
        <v>Bearish</v>
      </c>
      <c r="Q72" s="1" t="str">
        <f t="shared" si="32"/>
        <v>-----</v>
      </c>
      <c r="R72" s="1" t="str">
        <f t="shared" si="33"/>
        <v>-----</v>
      </c>
      <c r="S72" s="1"/>
      <c r="T72" s="4" t="str">
        <f t="shared" si="14"/>
        <v>YES</v>
      </c>
      <c r="U72" s="4" t="str">
        <f t="shared" si="19"/>
        <v>YES</v>
      </c>
      <c r="V72" s="4" t="str">
        <f t="shared" si="20"/>
        <v>-----</v>
      </c>
      <c r="W72" s="4" t="str">
        <f t="shared" si="21"/>
        <v>-----</v>
      </c>
      <c r="X72" s="5" t="str">
        <f t="shared" si="15"/>
        <v>-----</v>
      </c>
      <c r="Y72" s="5" t="str">
        <f t="shared" si="10"/>
        <v>-----</v>
      </c>
      <c r="Z72" s="5" t="str">
        <f t="shared" si="11"/>
        <v>-----</v>
      </c>
      <c r="AA72" s="5" t="str">
        <f t="shared" si="12"/>
        <v>-----</v>
      </c>
      <c r="AB72" s="4" t="str">
        <f t="shared" si="16"/>
        <v>-----</v>
      </c>
      <c r="AC72" s="5" t="str">
        <f t="shared" si="22"/>
        <v>-----</v>
      </c>
      <c r="AD72" s="1" t="str">
        <f>IF(AB72&lt;&gt;"-----",AB72,IF(AC72&lt;&gt;"-----",AC72,"-----"))</f>
        <v>-----</v>
      </c>
      <c r="AE72" s="14" t="str">
        <f t="shared" si="17"/>
        <v>-----</v>
      </c>
      <c r="AF72" s="1" t="str">
        <f t="shared" si="18"/>
        <v>-----</v>
      </c>
      <c r="AG72" s="1" t="str">
        <f>IF(AE72&lt;&gt;"-----",AE72,IF(AF72&lt;&gt;"-----",AF72,"-----"))</f>
        <v>-----</v>
      </c>
    </row>
    <row r="73" spans="1:33" x14ac:dyDescent="0.55000000000000004">
      <c r="A73">
        <v>69</v>
      </c>
      <c r="B73" t="s">
        <v>72</v>
      </c>
      <c r="C73" t="s">
        <v>4</v>
      </c>
      <c r="D73" t="s">
        <v>103</v>
      </c>
      <c r="E73">
        <v>152.779</v>
      </c>
      <c r="F73">
        <v>152.80099999999999</v>
      </c>
      <c r="G73">
        <v>152.82300000000001</v>
      </c>
      <c r="H73">
        <v>152.828</v>
      </c>
      <c r="I73">
        <v>152.93600000000001</v>
      </c>
      <c r="J73" s="1"/>
      <c r="K73" s="2" t="str">
        <f t="shared" si="27"/>
        <v>Bearish</v>
      </c>
      <c r="L73" s="2"/>
      <c r="M73" s="3">
        <f t="shared" si="28"/>
        <v>-3.2716517915535454E-5</v>
      </c>
      <c r="N73" s="3">
        <f t="shared" si="29"/>
        <v>1.2043292415827069</v>
      </c>
      <c r="O73" s="3" t="str">
        <f t="shared" si="30"/>
        <v>Reverse to Bearish</v>
      </c>
      <c r="P73" s="3" t="str">
        <f t="shared" si="31"/>
        <v>Bearish</v>
      </c>
      <c r="Q73" s="1" t="str">
        <f t="shared" si="32"/>
        <v>-----</v>
      </c>
      <c r="R73" s="1" t="str">
        <f t="shared" si="33"/>
        <v>-----</v>
      </c>
      <c r="S73" s="1"/>
      <c r="T73" s="4" t="str">
        <f t="shared" si="14"/>
        <v>YES</v>
      </c>
      <c r="U73" s="4" t="str">
        <f t="shared" si="19"/>
        <v>YES</v>
      </c>
      <c r="V73" s="4" t="str">
        <f t="shared" si="20"/>
        <v>-----</v>
      </c>
      <c r="W73" s="4" t="str">
        <f t="shared" si="21"/>
        <v>-----</v>
      </c>
      <c r="X73" s="5" t="str">
        <f t="shared" si="15"/>
        <v>-----</v>
      </c>
      <c r="Y73" s="5" t="str">
        <f t="shared" ref="Y73:Y103" si="34">IF(O73="Reverse to Bullish","YES","-----")</f>
        <v>-----</v>
      </c>
      <c r="Z73" s="5" t="str">
        <f t="shared" ref="Z73:Z103" si="35">IF(AND(P73="Bearish",P72="Bearish",P71="Bearish",P70="Bearish"),"YES","-----")</f>
        <v>-----</v>
      </c>
      <c r="AA73" s="5" t="str">
        <f t="shared" si="12"/>
        <v>-----</v>
      </c>
      <c r="AB73" s="4" t="str">
        <f t="shared" ref="AB73:AB103" si="36">IF(AND(T73="YES",U73="YES",V73="YES",W73="YES"),"Open Sell / Close Buy","-----")</f>
        <v>-----</v>
      </c>
      <c r="AC73" s="5" t="str">
        <f t="shared" si="22"/>
        <v>-----</v>
      </c>
      <c r="AD73" s="1" t="str">
        <f>IF(AB73&lt;&gt;"-----",AB73,IF(AC73&lt;&gt;"-----",AC73,"-----"))</f>
        <v>-----</v>
      </c>
      <c r="AE73" s="14" t="str">
        <f t="shared" si="17"/>
        <v>-----</v>
      </c>
      <c r="AF73" s="1" t="str">
        <f t="shared" si="18"/>
        <v>-----</v>
      </c>
      <c r="AG73" s="1" t="str">
        <f>IF(AE73&lt;&gt;"-----",AE73,IF(AF73&lt;&gt;"-----",AF73,"-----"))</f>
        <v>-----</v>
      </c>
    </row>
    <row r="74" spans="1:33" x14ac:dyDescent="0.55000000000000004">
      <c r="A74">
        <v>70</v>
      </c>
      <c r="B74" t="s">
        <v>73</v>
      </c>
      <c r="C74" t="s">
        <v>4</v>
      </c>
      <c r="D74" t="s">
        <v>103</v>
      </c>
      <c r="E74">
        <v>152.76900000000001</v>
      </c>
      <c r="F74">
        <v>152.785</v>
      </c>
      <c r="G74">
        <v>152.815</v>
      </c>
      <c r="H74">
        <v>152.82400000000001</v>
      </c>
      <c r="I74">
        <v>152.93199999999999</v>
      </c>
      <c r="J74" s="1"/>
      <c r="K74" s="2" t="str">
        <f t="shared" si="27"/>
        <v>Bearish</v>
      </c>
      <c r="L74" s="2"/>
      <c r="M74" s="3">
        <f t="shared" si="28"/>
        <v>-5.889127362203941E-5</v>
      </c>
      <c r="N74" s="3">
        <f t="shared" si="29"/>
        <v>1.1288398646976883</v>
      </c>
      <c r="O74" s="3" t="str">
        <f t="shared" si="30"/>
        <v>-----</v>
      </c>
      <c r="P74" s="3" t="str">
        <f t="shared" si="31"/>
        <v>Bearish</v>
      </c>
      <c r="Q74" s="1" t="str">
        <f t="shared" si="32"/>
        <v>-----</v>
      </c>
      <c r="R74" s="1" t="str">
        <f t="shared" si="33"/>
        <v>-----</v>
      </c>
      <c r="S74" s="1"/>
      <c r="T74" s="4" t="str">
        <f t="shared" si="14"/>
        <v>YES</v>
      </c>
      <c r="U74" s="4" t="str">
        <f t="shared" si="19"/>
        <v>-----</v>
      </c>
      <c r="V74" s="4" t="str">
        <f t="shared" si="20"/>
        <v>-----</v>
      </c>
      <c r="W74" s="4" t="str">
        <f t="shared" si="21"/>
        <v>-----</v>
      </c>
      <c r="X74" s="5" t="str">
        <f t="shared" si="15"/>
        <v>-----</v>
      </c>
      <c r="Y74" s="5" t="str">
        <f t="shared" si="34"/>
        <v>-----</v>
      </c>
      <c r="Z74" s="5" t="str">
        <f t="shared" si="35"/>
        <v>YES</v>
      </c>
      <c r="AA74" s="5" t="str">
        <f t="shared" ref="AA74:AA103" si="37">IF(OR(Q74="TEMA crossover",Q73="TEMA crossover",Q72="TEMA crossover",Q71="TEMA crossover"),"YES","-----")</f>
        <v>-----</v>
      </c>
      <c r="AB74" s="4" t="str">
        <f t="shared" si="36"/>
        <v>-----</v>
      </c>
      <c r="AC74" s="5" t="str">
        <f t="shared" si="22"/>
        <v>-----</v>
      </c>
      <c r="AD74" s="1" t="str">
        <f>IF(AB74&lt;&gt;"-----",AB74,IF(AC74&lt;&gt;"-----",AC74,"-----"))</f>
        <v>-----</v>
      </c>
      <c r="AE74" s="14" t="str">
        <f t="shared" si="17"/>
        <v>-----</v>
      </c>
      <c r="AF74" s="1" t="str">
        <f t="shared" si="18"/>
        <v>-----</v>
      </c>
      <c r="AG74" s="1" t="str">
        <f>IF(AE74&lt;&gt;"-----",AE74,IF(AF74&lt;&gt;"-----",AF74,"-----"))</f>
        <v>-----</v>
      </c>
    </row>
    <row r="75" spans="1:33" x14ac:dyDescent="0.55000000000000004">
      <c r="A75">
        <v>71</v>
      </c>
      <c r="B75" t="s">
        <v>74</v>
      </c>
      <c r="C75" t="s">
        <v>4</v>
      </c>
      <c r="D75" t="s">
        <v>103</v>
      </c>
      <c r="E75">
        <v>152.74299999999999</v>
      </c>
      <c r="F75">
        <v>152.767</v>
      </c>
      <c r="G75">
        <v>152.804</v>
      </c>
      <c r="H75">
        <v>152.81899999999999</v>
      </c>
      <c r="I75">
        <v>152.92699999999999</v>
      </c>
      <c r="J75" s="1"/>
      <c r="K75" s="2" t="str">
        <f t="shared" si="27"/>
        <v>Bearish</v>
      </c>
      <c r="L75" s="2"/>
      <c r="M75" s="3">
        <f t="shared" si="28"/>
        <v>-9.8155334087949523E-5</v>
      </c>
      <c r="N75" s="3">
        <f t="shared" si="29"/>
        <v>1.015600242071115</v>
      </c>
      <c r="O75" s="3" t="str">
        <f t="shared" si="30"/>
        <v>-----</v>
      </c>
      <c r="P75" s="3" t="str">
        <f t="shared" si="31"/>
        <v>Bearish</v>
      </c>
      <c r="Q75" s="1" t="str">
        <f t="shared" si="32"/>
        <v>-----</v>
      </c>
      <c r="R75" s="1" t="str">
        <f t="shared" si="33"/>
        <v>-----</v>
      </c>
      <c r="S75" s="1"/>
      <c r="T75" s="4" t="str">
        <f t="shared" si="14"/>
        <v>YES</v>
      </c>
      <c r="U75" s="4" t="str">
        <f t="shared" si="19"/>
        <v>-----</v>
      </c>
      <c r="V75" s="4" t="str">
        <f t="shared" si="20"/>
        <v>-----</v>
      </c>
      <c r="W75" s="4" t="str">
        <f t="shared" si="21"/>
        <v>-----</v>
      </c>
      <c r="X75" s="5" t="str">
        <f t="shared" si="15"/>
        <v>-----</v>
      </c>
      <c r="Y75" s="5" t="str">
        <f t="shared" si="34"/>
        <v>-----</v>
      </c>
      <c r="Z75" s="5" t="str">
        <f t="shared" si="35"/>
        <v>YES</v>
      </c>
      <c r="AA75" s="5" t="str">
        <f t="shared" si="37"/>
        <v>-----</v>
      </c>
      <c r="AB75" s="4" t="str">
        <f t="shared" si="36"/>
        <v>-----</v>
      </c>
      <c r="AC75" s="5" t="str">
        <f t="shared" si="22"/>
        <v>-----</v>
      </c>
      <c r="AD75" s="1" t="str">
        <f>IF(AB75&lt;&gt;"-----",AB75,IF(AC75&lt;&gt;"-----",AC75,"-----"))</f>
        <v>-----</v>
      </c>
      <c r="AE75" s="14" t="str">
        <f t="shared" si="17"/>
        <v>-----</v>
      </c>
      <c r="AF75" s="1" t="str">
        <f t="shared" si="18"/>
        <v>-----</v>
      </c>
      <c r="AG75" s="1" t="str">
        <f>IF(AE75&lt;&gt;"-----",AE75,IF(AF75&lt;&gt;"-----",AF75,"-----"))</f>
        <v>-----</v>
      </c>
    </row>
    <row r="76" spans="1:33" x14ac:dyDescent="0.55000000000000004">
      <c r="A76">
        <v>72</v>
      </c>
      <c r="B76" t="s">
        <v>75</v>
      </c>
      <c r="C76" t="s">
        <v>4</v>
      </c>
      <c r="D76" t="s">
        <v>103</v>
      </c>
      <c r="E76">
        <v>152.75399999999999</v>
      </c>
      <c r="F76">
        <v>152.75200000000001</v>
      </c>
      <c r="G76">
        <v>152.79300000000001</v>
      </c>
      <c r="H76">
        <v>152.81399999999999</v>
      </c>
      <c r="I76">
        <v>152.923</v>
      </c>
      <c r="J76" s="1"/>
      <c r="K76" s="2" t="str">
        <f t="shared" si="27"/>
        <v>Bearish</v>
      </c>
      <c r="L76" s="2"/>
      <c r="M76" s="3">
        <f t="shared" si="28"/>
        <v>-1.3742196395609424E-4</v>
      </c>
      <c r="N76" s="3">
        <f t="shared" si="29"/>
        <v>0.90235320915289163</v>
      </c>
      <c r="O76" s="3" t="str">
        <f t="shared" si="30"/>
        <v>-----</v>
      </c>
      <c r="P76" s="3" t="str">
        <f t="shared" si="31"/>
        <v>Bearish</v>
      </c>
      <c r="Q76" s="1" t="str">
        <f t="shared" si="32"/>
        <v>TEMA crossover</v>
      </c>
      <c r="R76" s="1" t="str">
        <f t="shared" si="33"/>
        <v>-----</v>
      </c>
      <c r="S76" s="1"/>
      <c r="T76" s="4" t="str">
        <f t="shared" si="14"/>
        <v>YES</v>
      </c>
      <c r="U76" s="4" t="str">
        <f t="shared" si="19"/>
        <v>-----</v>
      </c>
      <c r="V76" s="4" t="str">
        <f t="shared" si="20"/>
        <v>-----</v>
      </c>
      <c r="W76" s="4" t="str">
        <f t="shared" si="21"/>
        <v>-----</v>
      </c>
      <c r="X76" s="5" t="str">
        <f t="shared" si="15"/>
        <v>-----</v>
      </c>
      <c r="Y76" s="5" t="str">
        <f t="shared" si="34"/>
        <v>-----</v>
      </c>
      <c r="Z76" s="5" t="str">
        <f t="shared" si="35"/>
        <v>YES</v>
      </c>
      <c r="AA76" s="5" t="str">
        <f t="shared" si="37"/>
        <v>YES</v>
      </c>
      <c r="AB76" s="4" t="str">
        <f t="shared" si="36"/>
        <v>-----</v>
      </c>
      <c r="AC76" s="5" t="str">
        <f t="shared" si="22"/>
        <v>-----</v>
      </c>
      <c r="AD76" s="1" t="str">
        <f>IF(AB76&lt;&gt;"-----",AB76,IF(AC76&lt;&gt;"-----",AC76,"-----"))</f>
        <v>-----</v>
      </c>
      <c r="AE76" s="14" t="str">
        <f t="shared" si="17"/>
        <v>-----</v>
      </c>
      <c r="AF76" s="1" t="str">
        <f t="shared" si="18"/>
        <v>-----</v>
      </c>
      <c r="AG76" s="1" t="str">
        <f>IF(AE76&lt;&gt;"-----",AE76,IF(AF76&lt;&gt;"-----",AF76,"-----"))</f>
        <v>-----</v>
      </c>
    </row>
    <row r="77" spans="1:33" x14ac:dyDescent="0.55000000000000004">
      <c r="A77">
        <v>73</v>
      </c>
      <c r="B77" t="s">
        <v>76</v>
      </c>
      <c r="C77" t="s">
        <v>4</v>
      </c>
      <c r="D77" t="s">
        <v>103</v>
      </c>
      <c r="E77">
        <v>152.73599999999999</v>
      </c>
      <c r="F77">
        <v>152.74100000000001</v>
      </c>
      <c r="G77">
        <v>152.78100000000001</v>
      </c>
      <c r="H77">
        <v>152.809</v>
      </c>
      <c r="I77">
        <v>152.91800000000001</v>
      </c>
      <c r="J77" s="1"/>
      <c r="K77" s="2" t="str">
        <f t="shared" si="27"/>
        <v>Bearish</v>
      </c>
      <c r="L77" s="2"/>
      <c r="M77" s="3">
        <f t="shared" si="28"/>
        <v>-1.8323528064440961E-4</v>
      </c>
      <c r="N77" s="3">
        <f t="shared" si="29"/>
        <v>0.7702251859302105</v>
      </c>
      <c r="O77" s="3" t="str">
        <f t="shared" si="30"/>
        <v>-----</v>
      </c>
      <c r="P77" s="3" t="str">
        <f t="shared" si="31"/>
        <v>Bearish</v>
      </c>
      <c r="Q77" s="1" t="str">
        <f t="shared" si="32"/>
        <v>-----</v>
      </c>
      <c r="R77" s="1" t="str">
        <f t="shared" si="33"/>
        <v>TEMA crossunder</v>
      </c>
      <c r="S77" s="1"/>
      <c r="T77" s="4" t="str">
        <f t="shared" si="14"/>
        <v>YES</v>
      </c>
      <c r="U77" s="4" t="str">
        <f t="shared" si="19"/>
        <v>-----</v>
      </c>
      <c r="V77" s="4" t="str">
        <f t="shared" si="20"/>
        <v>-----</v>
      </c>
      <c r="W77" s="4" t="str">
        <f t="shared" si="21"/>
        <v>YES</v>
      </c>
      <c r="X77" s="5" t="str">
        <f t="shared" si="15"/>
        <v>-----</v>
      </c>
      <c r="Y77" s="5" t="str">
        <f t="shared" si="34"/>
        <v>-----</v>
      </c>
      <c r="Z77" s="5" t="str">
        <f t="shared" si="35"/>
        <v>YES</v>
      </c>
      <c r="AA77" s="5" t="str">
        <f t="shared" si="37"/>
        <v>YES</v>
      </c>
      <c r="AB77" s="4" t="str">
        <f t="shared" si="36"/>
        <v>-----</v>
      </c>
      <c r="AC77" s="5" t="str">
        <f t="shared" si="22"/>
        <v>-----</v>
      </c>
      <c r="AD77" s="1" t="str">
        <f>IF(AB77&lt;&gt;"-----",AB77,IF(AC77&lt;&gt;"-----",AC77,"-----"))</f>
        <v>-----</v>
      </c>
      <c r="AE77" s="14" t="str">
        <f t="shared" si="17"/>
        <v>-----</v>
      </c>
      <c r="AF77" s="1" t="str">
        <f t="shared" si="18"/>
        <v>-----</v>
      </c>
      <c r="AG77" s="1" t="str">
        <f>IF(AE77&lt;&gt;"-----",AE77,IF(AF77&lt;&gt;"-----",AF77,"-----"))</f>
        <v>-----</v>
      </c>
    </row>
    <row r="78" spans="1:33" x14ac:dyDescent="0.55000000000000004">
      <c r="A78">
        <v>74</v>
      </c>
      <c r="B78" t="s">
        <v>77</v>
      </c>
      <c r="C78" t="s">
        <v>4</v>
      </c>
      <c r="D78" t="s">
        <v>103</v>
      </c>
      <c r="E78">
        <v>152.76300000000001</v>
      </c>
      <c r="F78">
        <v>152.739</v>
      </c>
      <c r="G78">
        <v>152.77199999999999</v>
      </c>
      <c r="H78">
        <v>152.80500000000001</v>
      </c>
      <c r="I78">
        <v>152.91300000000001</v>
      </c>
      <c r="J78" s="1"/>
      <c r="K78" s="2" t="str">
        <f t="shared" si="27"/>
        <v>Bearish</v>
      </c>
      <c r="L78" s="2"/>
      <c r="M78" s="3">
        <f t="shared" si="28"/>
        <v>-2.1596151958388444E-4</v>
      </c>
      <c r="N78" s="3">
        <f t="shared" si="29"/>
        <v>0.67584098563307771</v>
      </c>
      <c r="O78" s="3" t="str">
        <f t="shared" si="30"/>
        <v>-----</v>
      </c>
      <c r="P78" s="3" t="str">
        <f t="shared" si="31"/>
        <v>Bearish</v>
      </c>
      <c r="Q78" s="1" t="str">
        <f t="shared" si="32"/>
        <v>TEMA crossover</v>
      </c>
      <c r="R78" s="1" t="str">
        <f t="shared" si="33"/>
        <v>-----</v>
      </c>
      <c r="S78" s="1"/>
      <c r="T78" s="4" t="str">
        <f t="shared" si="14"/>
        <v>YES</v>
      </c>
      <c r="U78" s="4" t="str">
        <f t="shared" si="19"/>
        <v>-----</v>
      </c>
      <c r="V78" s="4" t="str">
        <f t="shared" si="20"/>
        <v>-----</v>
      </c>
      <c r="W78" s="4" t="str">
        <f t="shared" si="21"/>
        <v>YES</v>
      </c>
      <c r="X78" s="5" t="str">
        <f t="shared" si="15"/>
        <v>-----</v>
      </c>
      <c r="Y78" s="5" t="str">
        <f t="shared" si="34"/>
        <v>-----</v>
      </c>
      <c r="Z78" s="5" t="str">
        <f t="shared" si="35"/>
        <v>YES</v>
      </c>
      <c r="AA78" s="5" t="str">
        <f t="shared" si="37"/>
        <v>YES</v>
      </c>
      <c r="AB78" s="4" t="str">
        <f t="shared" si="36"/>
        <v>-----</v>
      </c>
      <c r="AC78" s="5" t="str">
        <f t="shared" si="22"/>
        <v>-----</v>
      </c>
      <c r="AD78" s="1" t="str">
        <f>IF(AB78&lt;&gt;"-----",AB78,IF(AC78&lt;&gt;"-----",AC78,"-----"))</f>
        <v>-----</v>
      </c>
      <c r="AE78" s="14" t="str">
        <f t="shared" si="17"/>
        <v>-----</v>
      </c>
      <c r="AF78" s="1" t="str">
        <f t="shared" si="18"/>
        <v>-----</v>
      </c>
      <c r="AG78" s="1" t="str">
        <f>IF(AE78&lt;&gt;"-----",AE78,IF(AF78&lt;&gt;"-----",AF78,"-----"))</f>
        <v>-----</v>
      </c>
    </row>
    <row r="79" spans="1:33" x14ac:dyDescent="0.55000000000000004">
      <c r="A79">
        <v>75</v>
      </c>
      <c r="B79" t="s">
        <v>78</v>
      </c>
      <c r="C79" t="s">
        <v>4</v>
      </c>
      <c r="D79" t="s">
        <v>103</v>
      </c>
      <c r="E79">
        <v>152.77000000000001</v>
      </c>
      <c r="F79">
        <v>152.749</v>
      </c>
      <c r="G79">
        <v>152.76599999999999</v>
      </c>
      <c r="H79">
        <v>152.80199999999999</v>
      </c>
      <c r="I79">
        <v>152.90899999999999</v>
      </c>
      <c r="J79" s="1"/>
      <c r="K79" s="2" t="str">
        <f t="shared" si="27"/>
        <v>Bearish</v>
      </c>
      <c r="L79" s="2"/>
      <c r="M79" s="3">
        <f t="shared" si="28"/>
        <v>-2.3559901048416491E-4</v>
      </c>
      <c r="N79" s="3">
        <f t="shared" si="29"/>
        <v>0.6192054254670265</v>
      </c>
      <c r="O79" s="3" t="str">
        <f t="shared" si="30"/>
        <v>-----</v>
      </c>
      <c r="P79" s="3" t="str">
        <f t="shared" si="31"/>
        <v>Bearish</v>
      </c>
      <c r="Q79" s="1" t="str">
        <f t="shared" si="32"/>
        <v>-----</v>
      </c>
      <c r="R79" s="1" t="str">
        <f t="shared" si="33"/>
        <v>-----</v>
      </c>
      <c r="S79" s="1"/>
      <c r="T79" s="4" t="str">
        <f t="shared" si="14"/>
        <v>YES</v>
      </c>
      <c r="U79" s="4" t="str">
        <f t="shared" si="19"/>
        <v>-----</v>
      </c>
      <c r="V79" s="4" t="str">
        <f t="shared" si="20"/>
        <v>-----</v>
      </c>
      <c r="W79" s="4" t="str">
        <f t="shared" si="21"/>
        <v>YES</v>
      </c>
      <c r="X79" s="5" t="str">
        <f t="shared" si="15"/>
        <v>-----</v>
      </c>
      <c r="Y79" s="5" t="str">
        <f t="shared" si="34"/>
        <v>-----</v>
      </c>
      <c r="Z79" s="5" t="str">
        <f t="shared" si="35"/>
        <v>YES</v>
      </c>
      <c r="AA79" s="5" t="str">
        <f t="shared" si="37"/>
        <v>YES</v>
      </c>
      <c r="AB79" s="4" t="str">
        <f t="shared" si="36"/>
        <v>-----</v>
      </c>
      <c r="AC79" s="5" t="str">
        <f t="shared" si="22"/>
        <v>-----</v>
      </c>
      <c r="AD79" s="1" t="str">
        <f>IF(AB79&lt;&gt;"-----",AB79,IF(AC79&lt;&gt;"-----",AC79,"-----"))</f>
        <v>-----</v>
      </c>
      <c r="AE79" s="14" t="str">
        <f t="shared" si="17"/>
        <v>-----</v>
      </c>
      <c r="AF79" s="1" t="str">
        <f t="shared" si="18"/>
        <v>-----</v>
      </c>
      <c r="AG79" s="1" t="str">
        <f>IF(AE79&lt;&gt;"-----",AE79,IF(AF79&lt;&gt;"-----",AF79,"-----"))</f>
        <v>-----</v>
      </c>
    </row>
    <row r="80" spans="1:33" x14ac:dyDescent="0.55000000000000004">
      <c r="A80">
        <v>76</v>
      </c>
      <c r="B80" t="s">
        <v>79</v>
      </c>
      <c r="C80" t="s">
        <v>4</v>
      </c>
      <c r="D80" t="s">
        <v>103</v>
      </c>
      <c r="E80">
        <v>152.77699999999999</v>
      </c>
      <c r="F80">
        <v>152.75399999999999</v>
      </c>
      <c r="G80">
        <v>152.76300000000001</v>
      </c>
      <c r="H80">
        <v>152.80000000000001</v>
      </c>
      <c r="I80">
        <v>152.905</v>
      </c>
      <c r="J80" s="1"/>
      <c r="K80" s="2" t="str">
        <f t="shared" ref="K80:K103" si="38">IF(AND(H80&gt;I80,H79&gt;I79,H78&gt;I78,H77&gt;I77,H76&gt;I76,H75&gt;I75,H74&gt;I74,H73&gt;I73,H72&gt;I72,H71&gt;I71,H70&gt;I70,H69&gt;I69),"Bullish",IF(AND(H80&lt;I80,H79&lt;I79,H78&lt;I78,H77&lt;I77,H76&lt;I76,H75&lt;I75,H74&lt;I74,H73&lt;I73,H72&lt;I72,H71&lt;I71,H70&lt;I70,H69&lt;I69),"Bearish","-----"))</f>
        <v>Bearish</v>
      </c>
      <c r="L80" s="2"/>
      <c r="M80" s="3">
        <f t="shared" si="28"/>
        <v>-2.421465968586789E-4</v>
      </c>
      <c r="N80" s="3">
        <f t="shared" si="29"/>
        <v>0.60032184080036688</v>
      </c>
      <c r="O80" s="3" t="str">
        <f t="shared" si="30"/>
        <v>-----</v>
      </c>
      <c r="P80" s="3" t="str">
        <f t="shared" si="31"/>
        <v>Bearish</v>
      </c>
      <c r="Q80" s="1" t="str">
        <f t="shared" si="32"/>
        <v>-----</v>
      </c>
      <c r="R80" s="1" t="str">
        <f t="shared" si="33"/>
        <v>-----</v>
      </c>
      <c r="S80" s="1"/>
      <c r="T80" s="4" t="str">
        <f t="shared" si="14"/>
        <v>YES</v>
      </c>
      <c r="U80" s="4" t="str">
        <f t="shared" si="19"/>
        <v>-----</v>
      </c>
      <c r="V80" s="4" t="str">
        <f t="shared" si="20"/>
        <v>-----</v>
      </c>
      <c r="W80" s="4" t="str">
        <f t="shared" si="21"/>
        <v>YES</v>
      </c>
      <c r="X80" s="5" t="str">
        <f t="shared" si="15"/>
        <v>-----</v>
      </c>
      <c r="Y80" s="5" t="str">
        <f t="shared" si="34"/>
        <v>-----</v>
      </c>
      <c r="Z80" s="5" t="str">
        <f t="shared" si="35"/>
        <v>YES</v>
      </c>
      <c r="AA80" s="5" t="str">
        <f t="shared" si="37"/>
        <v>YES</v>
      </c>
      <c r="AB80" s="4" t="str">
        <f t="shared" si="36"/>
        <v>-----</v>
      </c>
      <c r="AC80" s="5" t="str">
        <f t="shared" si="22"/>
        <v>-----</v>
      </c>
      <c r="AD80" s="1" t="str">
        <f>IF(AB80&lt;&gt;"-----",AB80,IF(AC80&lt;&gt;"-----",AC80,"-----"))</f>
        <v>-----</v>
      </c>
      <c r="AE80" s="14" t="str">
        <f t="shared" si="17"/>
        <v>-----</v>
      </c>
      <c r="AF80" s="1" t="str">
        <f t="shared" si="18"/>
        <v>-----</v>
      </c>
      <c r="AG80" s="1" t="str">
        <f>IF(AE80&lt;&gt;"-----",AE80,IF(AF80&lt;&gt;"-----",AF80,"-----"))</f>
        <v>-----</v>
      </c>
    </row>
    <row r="81" spans="1:33" x14ac:dyDescent="0.55000000000000004">
      <c r="A81">
        <v>77</v>
      </c>
      <c r="B81" t="s">
        <v>80</v>
      </c>
      <c r="C81" t="s">
        <v>4</v>
      </c>
      <c r="D81" t="s">
        <v>103</v>
      </c>
      <c r="E81">
        <v>152.80099999999999</v>
      </c>
      <c r="F81">
        <v>152.77600000000001</v>
      </c>
      <c r="G81">
        <v>152.76499999999999</v>
      </c>
      <c r="H81">
        <v>152.80000000000001</v>
      </c>
      <c r="I81">
        <v>152.90199999999999</v>
      </c>
      <c r="J81" s="1"/>
      <c r="K81" s="2" t="str">
        <f t="shared" si="38"/>
        <v>Bearish</v>
      </c>
      <c r="L81" s="2"/>
      <c r="M81" s="3">
        <f t="shared" si="28"/>
        <v>-2.2905759162320031E-4</v>
      </c>
      <c r="N81" s="3">
        <f t="shared" si="29"/>
        <v>0.63807122269910621</v>
      </c>
      <c r="O81" s="3" t="str">
        <f t="shared" si="30"/>
        <v>-----</v>
      </c>
      <c r="P81" s="3" t="str">
        <f t="shared" si="31"/>
        <v>Bullish</v>
      </c>
      <c r="Q81" s="1" t="str">
        <f t="shared" si="32"/>
        <v>-----</v>
      </c>
      <c r="R81" s="1" t="str">
        <f t="shared" si="33"/>
        <v>-----</v>
      </c>
      <c r="S81" s="1"/>
      <c r="T81" s="4" t="str">
        <f t="shared" ref="T81:T103" si="39">IF(K81="Bearish","YES","-----")</f>
        <v>YES</v>
      </c>
      <c r="U81" s="4" t="str">
        <f t="shared" si="19"/>
        <v>-----</v>
      </c>
      <c r="V81" s="4" t="str">
        <f t="shared" si="20"/>
        <v>-----</v>
      </c>
      <c r="W81" s="4" t="str">
        <f t="shared" si="21"/>
        <v>-----</v>
      </c>
      <c r="X81" s="5" t="str">
        <f t="shared" ref="X81:X103" si="40">IF(K81="Bullish","YES","-----")</f>
        <v>-----</v>
      </c>
      <c r="Y81" s="5" t="str">
        <f t="shared" si="34"/>
        <v>-----</v>
      </c>
      <c r="Z81" s="5" t="str">
        <f t="shared" si="35"/>
        <v>-----</v>
      </c>
      <c r="AA81" s="5" t="str">
        <f t="shared" si="37"/>
        <v>YES</v>
      </c>
      <c r="AB81" s="4" t="str">
        <f t="shared" si="36"/>
        <v>-----</v>
      </c>
      <c r="AC81" s="5" t="str">
        <f t="shared" si="22"/>
        <v>-----</v>
      </c>
      <c r="AD81" s="1" t="str">
        <f>IF(AB81&lt;&gt;"-----",AB81,IF(AC81&lt;&gt;"-----",AC81,"-----"))</f>
        <v>-----</v>
      </c>
      <c r="AE81" s="14" t="str">
        <f t="shared" ref="AE81:AE103" si="41">IF(AND(X81="-----",Y81="YES",Z81="YES",AA81="YES"),"Open Buy / Close Sell","-----")</f>
        <v>-----</v>
      </c>
      <c r="AF81" s="1" t="str">
        <f t="shared" ref="AF81:AF103" si="42">IF(AND(T81="-----",U81="YES",V81="YES",W81="YES"),"Open Sell / Close Buy","-----")</f>
        <v>-----</v>
      </c>
      <c r="AG81" s="1" t="str">
        <f>IF(AE81&lt;&gt;"-----",AE81,IF(AF81&lt;&gt;"-----",AF81,"-----"))</f>
        <v>-----</v>
      </c>
    </row>
    <row r="82" spans="1:33" x14ac:dyDescent="0.55000000000000004">
      <c r="A82">
        <v>78</v>
      </c>
      <c r="B82" t="s">
        <v>81</v>
      </c>
      <c r="C82" t="s">
        <v>4</v>
      </c>
      <c r="D82" t="s">
        <v>103</v>
      </c>
      <c r="E82">
        <v>152.81200000000001</v>
      </c>
      <c r="F82">
        <v>152.79300000000001</v>
      </c>
      <c r="G82">
        <v>152.77000000000001</v>
      </c>
      <c r="H82">
        <v>152.80099999999999</v>
      </c>
      <c r="I82">
        <v>152.899</v>
      </c>
      <c r="J82" s="1"/>
      <c r="K82" s="2" t="str">
        <f t="shared" si="38"/>
        <v>Bearish</v>
      </c>
      <c r="L82" s="2"/>
      <c r="M82" s="3">
        <f t="shared" si="28"/>
        <v>-2.0287825341442459E-4</v>
      </c>
      <c r="N82" s="3">
        <f t="shared" si="29"/>
        <v>0.71357381576252776</v>
      </c>
      <c r="O82" s="3" t="str">
        <f t="shared" si="30"/>
        <v>-----</v>
      </c>
      <c r="P82" s="3" t="str">
        <f t="shared" si="31"/>
        <v>Bullish</v>
      </c>
      <c r="Q82" s="1" t="str">
        <f t="shared" si="32"/>
        <v>-----</v>
      </c>
      <c r="R82" s="1" t="str">
        <f t="shared" si="33"/>
        <v>-----</v>
      </c>
      <c r="S82" s="1"/>
      <c r="T82" s="4" t="str">
        <f t="shared" si="39"/>
        <v>YES</v>
      </c>
      <c r="U82" s="4" t="str">
        <f t="shared" si="19"/>
        <v>-----</v>
      </c>
      <c r="V82" s="4" t="str">
        <f t="shared" si="20"/>
        <v>-----</v>
      </c>
      <c r="W82" s="4" t="str">
        <f t="shared" si="21"/>
        <v>-----</v>
      </c>
      <c r="X82" s="5" t="str">
        <f t="shared" si="40"/>
        <v>-----</v>
      </c>
      <c r="Y82" s="5" t="str">
        <f t="shared" si="34"/>
        <v>-----</v>
      </c>
      <c r="Z82" s="5" t="str">
        <f t="shared" si="35"/>
        <v>-----</v>
      </c>
      <c r="AA82" s="5" t="str">
        <f t="shared" si="37"/>
        <v>-----</v>
      </c>
      <c r="AB82" s="4" t="str">
        <f t="shared" si="36"/>
        <v>-----</v>
      </c>
      <c r="AC82" s="5" t="str">
        <f t="shared" si="22"/>
        <v>-----</v>
      </c>
      <c r="AD82" s="1" t="str">
        <f>IF(AB82&lt;&gt;"-----",AB82,IF(AC82&lt;&gt;"-----",AC82,"-----"))</f>
        <v>-----</v>
      </c>
      <c r="AE82" s="14" t="str">
        <f t="shared" si="41"/>
        <v>-----</v>
      </c>
      <c r="AF82" s="1" t="str">
        <f t="shared" si="42"/>
        <v>-----</v>
      </c>
      <c r="AG82" s="1" t="str">
        <f>IF(AE82&lt;&gt;"-----",AE82,IF(AF82&lt;&gt;"-----",AF82,"-----"))</f>
        <v>-----</v>
      </c>
    </row>
    <row r="83" spans="1:33" x14ac:dyDescent="0.55000000000000004">
      <c r="A83">
        <v>79</v>
      </c>
      <c r="B83" t="s">
        <v>82</v>
      </c>
      <c r="C83" t="s">
        <v>4</v>
      </c>
      <c r="D83" t="s">
        <v>103</v>
      </c>
      <c r="E83">
        <v>152.786</v>
      </c>
      <c r="F83">
        <v>152.797</v>
      </c>
      <c r="G83">
        <v>152.77500000000001</v>
      </c>
      <c r="H83">
        <v>152.80099999999999</v>
      </c>
      <c r="I83">
        <v>152.89599999999999</v>
      </c>
      <c r="J83" s="1"/>
      <c r="K83" s="2" t="str">
        <f t="shared" si="38"/>
        <v>Bearish</v>
      </c>
      <c r="L83" s="2"/>
      <c r="M83" s="3">
        <f t="shared" si="28"/>
        <v>-1.7015595447662018E-4</v>
      </c>
      <c r="N83" s="3">
        <f t="shared" si="29"/>
        <v>0.80794665288690137</v>
      </c>
      <c r="O83" s="3" t="str">
        <f t="shared" si="30"/>
        <v>-----</v>
      </c>
      <c r="P83" s="3" t="str">
        <f t="shared" si="31"/>
        <v>Bullish</v>
      </c>
      <c r="Q83" s="1" t="str">
        <f t="shared" si="32"/>
        <v>-----</v>
      </c>
      <c r="R83" s="1" t="str">
        <f t="shared" si="33"/>
        <v>TEMA crossunder</v>
      </c>
      <c r="S83" s="1"/>
      <c r="T83" s="4" t="str">
        <f t="shared" si="39"/>
        <v>YES</v>
      </c>
      <c r="U83" s="4" t="str">
        <f t="shared" si="19"/>
        <v>-----</v>
      </c>
      <c r="V83" s="4" t="str">
        <f t="shared" si="20"/>
        <v>-----</v>
      </c>
      <c r="W83" s="4" t="str">
        <f t="shared" si="21"/>
        <v>YES</v>
      </c>
      <c r="X83" s="5" t="str">
        <f t="shared" si="40"/>
        <v>-----</v>
      </c>
      <c r="Y83" s="5" t="str">
        <f t="shared" si="34"/>
        <v>-----</v>
      </c>
      <c r="Z83" s="5" t="str">
        <f t="shared" si="35"/>
        <v>-----</v>
      </c>
      <c r="AA83" s="5" t="str">
        <f t="shared" si="37"/>
        <v>-----</v>
      </c>
      <c r="AB83" s="4" t="str">
        <f t="shared" si="36"/>
        <v>-----</v>
      </c>
      <c r="AC83" s="5" t="str">
        <f t="shared" si="22"/>
        <v>-----</v>
      </c>
      <c r="AD83" s="1" t="str">
        <f>IF(AB83&lt;&gt;"-----",AB83,IF(AC83&lt;&gt;"-----",AC83,"-----"))</f>
        <v>-----</v>
      </c>
      <c r="AE83" s="14" t="str">
        <f t="shared" si="41"/>
        <v>-----</v>
      </c>
      <c r="AF83" s="1" t="str">
        <f t="shared" si="42"/>
        <v>-----</v>
      </c>
      <c r="AG83" s="1" t="str">
        <f>IF(AE83&lt;&gt;"-----",AE83,IF(AF83&lt;&gt;"-----",AF83,"-----"))</f>
        <v>-----</v>
      </c>
    </row>
    <row r="84" spans="1:33" x14ac:dyDescent="0.55000000000000004">
      <c r="A84">
        <v>80</v>
      </c>
      <c r="B84" t="s">
        <v>83</v>
      </c>
      <c r="C84" t="s">
        <v>4</v>
      </c>
      <c r="D84" t="s">
        <v>103</v>
      </c>
      <c r="E84">
        <v>152.81399999999999</v>
      </c>
      <c r="F84">
        <v>152.804</v>
      </c>
      <c r="G84">
        <v>152.78</v>
      </c>
      <c r="H84">
        <v>152.80099999999999</v>
      </c>
      <c r="I84">
        <v>152.89400000000001</v>
      </c>
      <c r="J84" s="1"/>
      <c r="K84" s="2" t="str">
        <f t="shared" si="38"/>
        <v>Bearish</v>
      </c>
      <c r="L84" s="2"/>
      <c r="M84" s="3">
        <f t="shared" si="28"/>
        <v>-1.3743365553881576E-4</v>
      </c>
      <c r="N84" s="3">
        <f t="shared" si="29"/>
        <v>0.90231949001127498</v>
      </c>
      <c r="O84" s="3" t="str">
        <f t="shared" si="30"/>
        <v>-----</v>
      </c>
      <c r="P84" s="3" t="str">
        <f t="shared" si="31"/>
        <v>Bullish</v>
      </c>
      <c r="Q84" s="1" t="str">
        <f t="shared" si="32"/>
        <v>TEMA crossover</v>
      </c>
      <c r="R84" s="1" t="str">
        <f t="shared" si="33"/>
        <v>-----</v>
      </c>
      <c r="S84" s="1"/>
      <c r="T84" s="4" t="str">
        <f t="shared" si="39"/>
        <v>YES</v>
      </c>
      <c r="U84" s="4" t="str">
        <f t="shared" si="19"/>
        <v>-----</v>
      </c>
      <c r="V84" s="4" t="str">
        <f t="shared" si="20"/>
        <v>YES</v>
      </c>
      <c r="W84" s="4" t="str">
        <f t="shared" si="21"/>
        <v>YES</v>
      </c>
      <c r="X84" s="5" t="str">
        <f t="shared" si="40"/>
        <v>-----</v>
      </c>
      <c r="Y84" s="5" t="str">
        <f t="shared" si="34"/>
        <v>-----</v>
      </c>
      <c r="Z84" s="5" t="str">
        <f t="shared" si="35"/>
        <v>-----</v>
      </c>
      <c r="AA84" s="5" t="str">
        <f t="shared" si="37"/>
        <v>YES</v>
      </c>
      <c r="AB84" s="4" t="str">
        <f t="shared" si="36"/>
        <v>-----</v>
      </c>
      <c r="AC84" s="5" t="str">
        <f t="shared" si="22"/>
        <v>-----</v>
      </c>
      <c r="AD84" s="1" t="str">
        <f>IF(AB84&lt;&gt;"-----",AB84,IF(AC84&lt;&gt;"-----",AC84,"-----"))</f>
        <v>-----</v>
      </c>
      <c r="AE84" s="14" t="str">
        <f t="shared" si="41"/>
        <v>-----</v>
      </c>
      <c r="AF84" s="1" t="str">
        <f t="shared" si="42"/>
        <v>-----</v>
      </c>
      <c r="AG84" s="1" t="str">
        <f>IF(AE84&lt;&gt;"-----",AE84,IF(AF84&lt;&gt;"-----",AF84,"-----"))</f>
        <v>-----</v>
      </c>
    </row>
    <row r="85" spans="1:33" x14ac:dyDescent="0.55000000000000004">
      <c r="A85">
        <v>81</v>
      </c>
      <c r="B85" t="s">
        <v>84</v>
      </c>
      <c r="C85" t="s">
        <v>4</v>
      </c>
      <c r="D85" t="s">
        <v>103</v>
      </c>
      <c r="E85">
        <v>152.78700000000001</v>
      </c>
      <c r="F85">
        <v>152.804</v>
      </c>
      <c r="G85">
        <v>152.78399999999999</v>
      </c>
      <c r="H85">
        <v>152.80099999999999</v>
      </c>
      <c r="I85">
        <v>152.89099999999999</v>
      </c>
      <c r="J85" s="1"/>
      <c r="K85" s="2" t="str">
        <f t="shared" si="38"/>
        <v>Bearish</v>
      </c>
      <c r="L85" s="2"/>
      <c r="M85" s="3">
        <f t="shared" si="28"/>
        <v>-1.1125581638860943E-4</v>
      </c>
      <c r="N85" s="3">
        <f t="shared" si="29"/>
        <v>0.97781775971066653</v>
      </c>
      <c r="O85" s="3" t="str">
        <f t="shared" si="30"/>
        <v>-----</v>
      </c>
      <c r="P85" s="3" t="str">
        <f t="shared" si="31"/>
        <v>Bullish</v>
      </c>
      <c r="Q85" s="1" t="str">
        <f t="shared" si="32"/>
        <v>-----</v>
      </c>
      <c r="R85" s="1" t="str">
        <f t="shared" si="33"/>
        <v>TEMA crossunder</v>
      </c>
      <c r="S85" s="1"/>
      <c r="T85" s="4" t="str">
        <f t="shared" si="39"/>
        <v>YES</v>
      </c>
      <c r="U85" s="4" t="str">
        <f t="shared" si="19"/>
        <v>-----</v>
      </c>
      <c r="V85" s="4" t="str">
        <f t="shared" si="20"/>
        <v>YES</v>
      </c>
      <c r="W85" s="4" t="str">
        <f t="shared" si="21"/>
        <v>YES</v>
      </c>
      <c r="X85" s="5" t="str">
        <f t="shared" si="40"/>
        <v>-----</v>
      </c>
      <c r="Y85" s="5" t="str">
        <f t="shared" si="34"/>
        <v>-----</v>
      </c>
      <c r="Z85" s="5" t="str">
        <f t="shared" si="35"/>
        <v>-----</v>
      </c>
      <c r="AA85" s="5" t="str">
        <f t="shared" si="37"/>
        <v>YES</v>
      </c>
      <c r="AB85" s="4" t="str">
        <f t="shared" si="36"/>
        <v>-----</v>
      </c>
      <c r="AC85" s="5" t="str">
        <f t="shared" si="22"/>
        <v>-----</v>
      </c>
      <c r="AD85" s="1" t="str">
        <f>IF(AB85&lt;&gt;"-----",AB85,IF(AC85&lt;&gt;"-----",AC85,"-----"))</f>
        <v>-----</v>
      </c>
      <c r="AE85" s="14" t="str">
        <f t="shared" si="41"/>
        <v>-----</v>
      </c>
      <c r="AF85" s="1" t="str">
        <f t="shared" si="42"/>
        <v>-----</v>
      </c>
      <c r="AG85" s="1" t="str">
        <f>IF(AE85&lt;&gt;"-----",AE85,IF(AF85&lt;&gt;"-----",AF85,"-----"))</f>
        <v>-----</v>
      </c>
    </row>
    <row r="86" spans="1:33" x14ac:dyDescent="0.55000000000000004">
      <c r="A86">
        <v>82</v>
      </c>
      <c r="B86" t="s">
        <v>85</v>
      </c>
      <c r="C86" t="s">
        <v>4</v>
      </c>
      <c r="D86" t="s">
        <v>103</v>
      </c>
      <c r="E86">
        <v>152.72999999999999</v>
      </c>
      <c r="F86">
        <v>152.779</v>
      </c>
      <c r="G86">
        <v>152.78200000000001</v>
      </c>
      <c r="H86">
        <v>152.797</v>
      </c>
      <c r="I86">
        <v>152.88800000000001</v>
      </c>
      <c r="J86" s="1"/>
      <c r="K86" s="2" t="str">
        <f t="shared" si="38"/>
        <v>Bearish</v>
      </c>
      <c r="L86" s="2"/>
      <c r="M86" s="3">
        <f t="shared" si="28"/>
        <v>-9.8169466677921406E-5</v>
      </c>
      <c r="N86" s="3">
        <f t="shared" si="29"/>
        <v>1.015559482935759</v>
      </c>
      <c r="O86" s="3" t="str">
        <f t="shared" si="30"/>
        <v>-----</v>
      </c>
      <c r="P86" s="3" t="str">
        <f t="shared" si="31"/>
        <v>Bearish</v>
      </c>
      <c r="Q86" s="1" t="str">
        <f t="shared" si="32"/>
        <v>-----</v>
      </c>
      <c r="R86" s="1" t="str">
        <f t="shared" si="33"/>
        <v>-----</v>
      </c>
      <c r="S86" s="1"/>
      <c r="T86" s="4" t="str">
        <f t="shared" si="39"/>
        <v>YES</v>
      </c>
      <c r="U86" s="4" t="str">
        <f t="shared" si="19"/>
        <v>-----</v>
      </c>
      <c r="V86" s="4" t="str">
        <f t="shared" si="20"/>
        <v>-----</v>
      </c>
      <c r="W86" s="4" t="str">
        <f t="shared" si="21"/>
        <v>YES</v>
      </c>
      <c r="X86" s="5" t="str">
        <f t="shared" si="40"/>
        <v>-----</v>
      </c>
      <c r="Y86" s="5" t="str">
        <f t="shared" si="34"/>
        <v>-----</v>
      </c>
      <c r="Z86" s="5" t="str">
        <f t="shared" si="35"/>
        <v>-----</v>
      </c>
      <c r="AA86" s="5" t="str">
        <f t="shared" si="37"/>
        <v>YES</v>
      </c>
      <c r="AB86" s="4" t="str">
        <f t="shared" si="36"/>
        <v>-----</v>
      </c>
      <c r="AC86" s="5" t="str">
        <f t="shared" si="22"/>
        <v>-----</v>
      </c>
      <c r="AD86" s="1" t="str">
        <f>IF(AB86&lt;&gt;"-----",AB86,IF(AC86&lt;&gt;"-----",AC86,"-----"))</f>
        <v>-----</v>
      </c>
      <c r="AE86" s="14" t="str">
        <f t="shared" si="41"/>
        <v>-----</v>
      </c>
      <c r="AF86" s="1" t="str">
        <f t="shared" si="42"/>
        <v>-----</v>
      </c>
      <c r="AG86" s="1" t="str">
        <f>IF(AE86&lt;&gt;"-----",AE86,IF(AF86&lt;&gt;"-----",AF86,"-----"))</f>
        <v>-----</v>
      </c>
    </row>
    <row r="87" spans="1:33" x14ac:dyDescent="0.55000000000000004">
      <c r="A87">
        <v>83</v>
      </c>
      <c r="B87" t="s">
        <v>86</v>
      </c>
      <c r="C87" t="s">
        <v>4</v>
      </c>
      <c r="D87" t="s">
        <v>103</v>
      </c>
      <c r="E87">
        <v>152.72800000000001</v>
      </c>
      <c r="F87">
        <v>152.751</v>
      </c>
      <c r="G87">
        <v>152.773</v>
      </c>
      <c r="H87">
        <v>152.791</v>
      </c>
      <c r="I87">
        <v>152.88399999999999</v>
      </c>
      <c r="J87" s="1"/>
      <c r="K87" s="2" t="str">
        <f t="shared" si="38"/>
        <v>Bearish</v>
      </c>
      <c r="L87" s="2"/>
      <c r="M87" s="3">
        <f t="shared" si="28"/>
        <v>-1.1780798607248256E-4</v>
      </c>
      <c r="N87" s="3">
        <f t="shared" si="29"/>
        <v>0.95892095653792142</v>
      </c>
      <c r="O87" s="3" t="str">
        <f t="shared" si="30"/>
        <v>-----</v>
      </c>
      <c r="P87" s="3" t="str">
        <f t="shared" si="31"/>
        <v>Bearish</v>
      </c>
      <c r="Q87" s="1" t="str">
        <f t="shared" si="32"/>
        <v>-----</v>
      </c>
      <c r="R87" s="1" t="str">
        <f t="shared" si="33"/>
        <v>-----</v>
      </c>
      <c r="S87" s="1"/>
      <c r="T87" s="4" t="str">
        <f t="shared" si="39"/>
        <v>YES</v>
      </c>
      <c r="U87" s="4" t="str">
        <f t="shared" si="19"/>
        <v>-----</v>
      </c>
      <c r="V87" s="4" t="str">
        <f t="shared" si="20"/>
        <v>-----</v>
      </c>
      <c r="W87" s="4" t="str">
        <f t="shared" si="21"/>
        <v>YES</v>
      </c>
      <c r="X87" s="5" t="str">
        <f t="shared" si="40"/>
        <v>-----</v>
      </c>
      <c r="Y87" s="5" t="str">
        <f t="shared" si="34"/>
        <v>-----</v>
      </c>
      <c r="Z87" s="5" t="str">
        <f t="shared" si="35"/>
        <v>-----</v>
      </c>
      <c r="AA87" s="5" t="str">
        <f t="shared" si="37"/>
        <v>YES</v>
      </c>
      <c r="AB87" s="4" t="str">
        <f t="shared" si="36"/>
        <v>-----</v>
      </c>
      <c r="AC87" s="5" t="str">
        <f t="shared" si="22"/>
        <v>-----</v>
      </c>
      <c r="AD87" s="1" t="str">
        <f>IF(AB87&lt;&gt;"-----",AB87,IF(AC87&lt;&gt;"-----",AC87,"-----"))</f>
        <v>-----</v>
      </c>
      <c r="AE87" s="14" t="str">
        <f t="shared" si="41"/>
        <v>-----</v>
      </c>
      <c r="AF87" s="1" t="str">
        <f t="shared" si="42"/>
        <v>-----</v>
      </c>
      <c r="AG87" s="1" t="str">
        <f>IF(AE87&lt;&gt;"-----",AE87,IF(AF87&lt;&gt;"-----",AF87,"-----"))</f>
        <v>-----</v>
      </c>
    </row>
    <row r="88" spans="1:33" x14ac:dyDescent="0.55000000000000004">
      <c r="A88">
        <v>84</v>
      </c>
      <c r="B88" t="s">
        <v>87</v>
      </c>
      <c r="C88" t="s">
        <v>4</v>
      </c>
      <c r="D88" t="s">
        <v>103</v>
      </c>
      <c r="E88">
        <v>152.72900000000001</v>
      </c>
      <c r="F88">
        <v>152.738</v>
      </c>
      <c r="G88">
        <v>152.76400000000001</v>
      </c>
      <c r="H88">
        <v>152.78700000000001</v>
      </c>
      <c r="I88">
        <v>152.87899999999999</v>
      </c>
      <c r="J88" s="1"/>
      <c r="K88" s="2" t="str">
        <f t="shared" si="38"/>
        <v>Bearish</v>
      </c>
      <c r="L88" s="2"/>
      <c r="M88" s="3">
        <f t="shared" si="28"/>
        <v>-1.5053636762287455E-4</v>
      </c>
      <c r="N88" s="3">
        <f t="shared" si="29"/>
        <v>0.86453057683782264</v>
      </c>
      <c r="O88" s="3" t="str">
        <f t="shared" si="30"/>
        <v>-----</v>
      </c>
      <c r="P88" s="3" t="str">
        <f t="shared" si="31"/>
        <v>Bearish</v>
      </c>
      <c r="Q88" s="1" t="str">
        <f t="shared" si="32"/>
        <v>-----</v>
      </c>
      <c r="R88" s="1" t="str">
        <f t="shared" si="33"/>
        <v>-----</v>
      </c>
      <c r="S88" s="1"/>
      <c r="T88" s="4" t="str">
        <f t="shared" si="39"/>
        <v>YES</v>
      </c>
      <c r="U88" s="4" t="str">
        <f t="shared" si="19"/>
        <v>-----</v>
      </c>
      <c r="V88" s="4" t="str">
        <f t="shared" si="20"/>
        <v>-----</v>
      </c>
      <c r="W88" s="4" t="str">
        <f t="shared" si="21"/>
        <v>YES</v>
      </c>
      <c r="X88" s="5" t="str">
        <f t="shared" si="40"/>
        <v>-----</v>
      </c>
      <c r="Y88" s="5" t="str">
        <f t="shared" si="34"/>
        <v>-----</v>
      </c>
      <c r="Z88" s="5" t="str">
        <f t="shared" si="35"/>
        <v>-----</v>
      </c>
      <c r="AA88" s="5" t="str">
        <f t="shared" si="37"/>
        <v>-----</v>
      </c>
      <c r="AB88" s="4" t="str">
        <f t="shared" si="36"/>
        <v>-----</v>
      </c>
      <c r="AC88" s="5" t="str">
        <f t="shared" si="22"/>
        <v>-----</v>
      </c>
      <c r="AD88" s="1" t="str">
        <f>IF(AB88&lt;&gt;"-----",AB88,IF(AC88&lt;&gt;"-----",AC88,"-----"))</f>
        <v>-----</v>
      </c>
      <c r="AE88" s="14" t="str">
        <f t="shared" si="41"/>
        <v>-----</v>
      </c>
      <c r="AF88" s="1" t="str">
        <f t="shared" si="42"/>
        <v>-----</v>
      </c>
      <c r="AG88" s="1" t="str">
        <f>IF(AE88&lt;&gt;"-----",AE88,IF(AF88&lt;&gt;"-----",AF88,"-----"))</f>
        <v>-----</v>
      </c>
    </row>
    <row r="89" spans="1:33" x14ac:dyDescent="0.55000000000000004">
      <c r="A89">
        <v>85</v>
      </c>
      <c r="B89" t="s">
        <v>88</v>
      </c>
      <c r="C89" t="s">
        <v>4</v>
      </c>
      <c r="D89" t="s">
        <v>103</v>
      </c>
      <c r="E89">
        <v>152.74600000000001</v>
      </c>
      <c r="F89">
        <v>152.73500000000001</v>
      </c>
      <c r="G89">
        <v>152.75700000000001</v>
      </c>
      <c r="H89">
        <v>152.78299999999999</v>
      </c>
      <c r="I89">
        <v>152.875</v>
      </c>
      <c r="J89" s="1"/>
      <c r="K89" s="2" t="str">
        <f t="shared" si="38"/>
        <v>Bearish</v>
      </c>
      <c r="L89" s="2"/>
      <c r="M89" s="3">
        <f t="shared" si="28"/>
        <v>-1.7017600125656676E-4</v>
      </c>
      <c r="N89" s="3">
        <f t="shared" si="29"/>
        <v>0.80788883691552482</v>
      </c>
      <c r="O89" s="3" t="str">
        <f t="shared" si="30"/>
        <v>-----</v>
      </c>
      <c r="P89" s="3" t="str">
        <f t="shared" si="31"/>
        <v>Bearish</v>
      </c>
      <c r="Q89" s="1" t="str">
        <f t="shared" si="32"/>
        <v>TEMA crossover</v>
      </c>
      <c r="R89" s="1" t="str">
        <f t="shared" si="33"/>
        <v>-----</v>
      </c>
      <c r="S89" s="1"/>
      <c r="T89" s="4" t="str">
        <f t="shared" si="39"/>
        <v>YES</v>
      </c>
      <c r="U89" s="4" t="str">
        <f t="shared" si="19"/>
        <v>-----</v>
      </c>
      <c r="V89" s="4" t="str">
        <f t="shared" si="20"/>
        <v>-----</v>
      </c>
      <c r="W89" s="4" t="str">
        <f t="shared" si="21"/>
        <v>-----</v>
      </c>
      <c r="X89" s="5" t="str">
        <f t="shared" si="40"/>
        <v>-----</v>
      </c>
      <c r="Y89" s="5" t="str">
        <f t="shared" si="34"/>
        <v>-----</v>
      </c>
      <c r="Z89" s="5" t="str">
        <f t="shared" si="35"/>
        <v>YES</v>
      </c>
      <c r="AA89" s="5" t="str">
        <f t="shared" si="37"/>
        <v>YES</v>
      </c>
      <c r="AB89" s="4" t="str">
        <f t="shared" si="36"/>
        <v>-----</v>
      </c>
      <c r="AC89" s="5" t="str">
        <f t="shared" si="22"/>
        <v>-----</v>
      </c>
      <c r="AD89" s="1" t="str">
        <f>IF(AB89&lt;&gt;"-----",AB89,IF(AC89&lt;&gt;"-----",AC89,"-----"))</f>
        <v>-----</v>
      </c>
      <c r="AE89" s="14" t="str">
        <f t="shared" si="41"/>
        <v>-----</v>
      </c>
      <c r="AF89" s="1" t="str">
        <f t="shared" si="42"/>
        <v>-----</v>
      </c>
      <c r="AG89" s="1" t="str">
        <f>IF(AE89&lt;&gt;"-----",AE89,IF(AF89&lt;&gt;"-----",AF89,"-----"))</f>
        <v>-----</v>
      </c>
    </row>
    <row r="90" spans="1:33" x14ac:dyDescent="0.55000000000000004">
      <c r="A90">
        <v>86</v>
      </c>
      <c r="B90" t="s">
        <v>89</v>
      </c>
      <c r="C90" t="s">
        <v>4</v>
      </c>
      <c r="D90" t="s">
        <v>103</v>
      </c>
      <c r="E90">
        <v>152.74199999999999</v>
      </c>
      <c r="F90">
        <v>152.74199999999999</v>
      </c>
      <c r="G90">
        <v>152.75299999999999</v>
      </c>
      <c r="H90">
        <v>152.78100000000001</v>
      </c>
      <c r="I90">
        <v>152.87200000000001</v>
      </c>
      <c r="J90" s="1"/>
      <c r="K90" s="2" t="str">
        <f t="shared" si="38"/>
        <v>Bearish</v>
      </c>
      <c r="L90" s="2"/>
      <c r="M90" s="3">
        <f t="shared" si="28"/>
        <v>-1.8326886196595133E-4</v>
      </c>
      <c r="N90" s="3">
        <f t="shared" si="29"/>
        <v>0.77012833562655991</v>
      </c>
      <c r="O90" s="3" t="str">
        <f t="shared" si="30"/>
        <v>-----</v>
      </c>
      <c r="P90" s="3" t="str">
        <f t="shared" si="31"/>
        <v>Bearish</v>
      </c>
      <c r="Q90" s="1" t="str">
        <f t="shared" si="32"/>
        <v>-----</v>
      </c>
      <c r="R90" s="1" t="str">
        <f t="shared" si="33"/>
        <v>-----</v>
      </c>
      <c r="S90" s="1"/>
      <c r="T90" s="4" t="str">
        <f t="shared" si="39"/>
        <v>YES</v>
      </c>
      <c r="U90" s="4" t="str">
        <f t="shared" si="19"/>
        <v>-----</v>
      </c>
      <c r="V90" s="4" t="str">
        <f t="shared" si="20"/>
        <v>-----</v>
      </c>
      <c r="W90" s="4" t="str">
        <f t="shared" si="21"/>
        <v>-----</v>
      </c>
      <c r="X90" s="5" t="str">
        <f t="shared" si="40"/>
        <v>-----</v>
      </c>
      <c r="Y90" s="5" t="str">
        <f t="shared" si="34"/>
        <v>-----</v>
      </c>
      <c r="Z90" s="5" t="str">
        <f t="shared" si="35"/>
        <v>YES</v>
      </c>
      <c r="AA90" s="5" t="str">
        <f t="shared" si="37"/>
        <v>YES</v>
      </c>
      <c r="AB90" s="4" t="str">
        <f t="shared" si="36"/>
        <v>-----</v>
      </c>
      <c r="AC90" s="5" t="str">
        <f t="shared" si="22"/>
        <v>-----</v>
      </c>
      <c r="AD90" s="1" t="str">
        <f>IF(AB90&lt;&gt;"-----",AB90,IF(AC90&lt;&gt;"-----",AC90,"-----"))</f>
        <v>-----</v>
      </c>
      <c r="AE90" s="14" t="str">
        <f t="shared" si="41"/>
        <v>-----</v>
      </c>
      <c r="AF90" s="1" t="str">
        <f t="shared" si="42"/>
        <v>-----</v>
      </c>
      <c r="AG90" s="1" t="str">
        <f>IF(AE90&lt;&gt;"-----",AE90,IF(AF90&lt;&gt;"-----",AF90,"-----"))</f>
        <v>-----</v>
      </c>
    </row>
    <row r="91" spans="1:33" x14ac:dyDescent="0.55000000000000004">
      <c r="A91">
        <v>87</v>
      </c>
      <c r="B91" t="s">
        <v>90</v>
      </c>
      <c r="C91" t="s">
        <v>4</v>
      </c>
      <c r="D91" t="s">
        <v>103</v>
      </c>
      <c r="E91">
        <v>152.70599999999999</v>
      </c>
      <c r="F91">
        <v>152.72900000000001</v>
      </c>
      <c r="G91">
        <v>152.74600000000001</v>
      </c>
      <c r="H91">
        <v>152.77699999999999</v>
      </c>
      <c r="I91">
        <v>152.86799999999999</v>
      </c>
      <c r="J91" s="1"/>
      <c r="K91" s="2" t="str">
        <f t="shared" si="38"/>
        <v>Bearish</v>
      </c>
      <c r="L91" s="2"/>
      <c r="M91" s="3">
        <f t="shared" si="28"/>
        <v>-2.0291012390593802E-4</v>
      </c>
      <c r="N91" s="3">
        <f t="shared" si="29"/>
        <v>0.71348189958297137</v>
      </c>
      <c r="O91" s="3" t="str">
        <f t="shared" si="30"/>
        <v>-----</v>
      </c>
      <c r="P91" s="3" t="str">
        <f t="shared" si="31"/>
        <v>Bearish</v>
      </c>
      <c r="Q91" s="1" t="str">
        <f t="shared" si="32"/>
        <v>-----</v>
      </c>
      <c r="R91" s="1" t="str">
        <f t="shared" si="33"/>
        <v>-----</v>
      </c>
      <c r="S91" s="1"/>
      <c r="T91" s="4" t="str">
        <f t="shared" si="39"/>
        <v>YES</v>
      </c>
      <c r="U91" s="4" t="str">
        <f t="shared" si="19"/>
        <v>-----</v>
      </c>
      <c r="V91" s="4" t="str">
        <f t="shared" si="20"/>
        <v>-----</v>
      </c>
      <c r="W91" s="4" t="str">
        <f t="shared" si="21"/>
        <v>-----</v>
      </c>
      <c r="X91" s="5" t="str">
        <f t="shared" si="40"/>
        <v>-----</v>
      </c>
      <c r="Y91" s="5" t="str">
        <f t="shared" si="34"/>
        <v>-----</v>
      </c>
      <c r="Z91" s="5" t="str">
        <f t="shared" si="35"/>
        <v>YES</v>
      </c>
      <c r="AA91" s="5" t="str">
        <f t="shared" si="37"/>
        <v>YES</v>
      </c>
      <c r="AB91" s="4" t="str">
        <f t="shared" si="36"/>
        <v>-----</v>
      </c>
      <c r="AC91" s="5" t="str">
        <f t="shared" si="22"/>
        <v>-----</v>
      </c>
      <c r="AD91" s="1" t="str">
        <f>IF(AB91&lt;&gt;"-----",AB91,IF(AC91&lt;&gt;"-----",AC91,"-----"))</f>
        <v>-----</v>
      </c>
      <c r="AE91" s="14" t="str">
        <f t="shared" si="41"/>
        <v>-----</v>
      </c>
      <c r="AF91" s="1" t="str">
        <f t="shared" si="42"/>
        <v>-----</v>
      </c>
      <c r="AG91" s="1" t="str">
        <f>IF(AE91&lt;&gt;"-----",AE91,IF(AF91&lt;&gt;"-----",AF91,"-----"))</f>
        <v>-----</v>
      </c>
    </row>
    <row r="92" spans="1:33" x14ac:dyDescent="0.55000000000000004">
      <c r="A92">
        <v>88</v>
      </c>
      <c r="B92" t="s">
        <v>91</v>
      </c>
      <c r="C92" t="s">
        <v>4</v>
      </c>
      <c r="D92" t="s">
        <v>103</v>
      </c>
      <c r="E92">
        <v>152.75700000000001</v>
      </c>
      <c r="F92">
        <v>152.727</v>
      </c>
      <c r="G92">
        <v>152.74100000000001</v>
      </c>
      <c r="H92">
        <v>152.774</v>
      </c>
      <c r="I92">
        <v>152.864</v>
      </c>
      <c r="J92" s="1"/>
      <c r="K92" s="2" t="str">
        <f t="shared" si="38"/>
        <v>Bearish</v>
      </c>
      <c r="L92" s="2"/>
      <c r="M92" s="3">
        <f t="shared" si="28"/>
        <v>-2.1600534122289813E-4</v>
      </c>
      <c r="N92" s="3">
        <f t="shared" si="29"/>
        <v>0.6757146017133836</v>
      </c>
      <c r="O92" s="3" t="str">
        <f t="shared" si="30"/>
        <v>-----</v>
      </c>
      <c r="P92" s="3" t="str">
        <f t="shared" si="31"/>
        <v>Bearish</v>
      </c>
      <c r="Q92" s="1" t="str">
        <f t="shared" si="32"/>
        <v>TEMA crossover</v>
      </c>
      <c r="R92" s="1" t="str">
        <f t="shared" si="33"/>
        <v>-----</v>
      </c>
      <c r="S92" s="1"/>
      <c r="T92" s="4" t="str">
        <f t="shared" si="39"/>
        <v>YES</v>
      </c>
      <c r="U92" s="4" t="str">
        <f t="shared" si="19"/>
        <v>-----</v>
      </c>
      <c r="V92" s="4" t="str">
        <f t="shared" si="20"/>
        <v>-----</v>
      </c>
      <c r="W92" s="4" t="str">
        <f t="shared" si="21"/>
        <v>-----</v>
      </c>
      <c r="X92" s="5" t="str">
        <f t="shared" si="40"/>
        <v>-----</v>
      </c>
      <c r="Y92" s="5" t="str">
        <f t="shared" si="34"/>
        <v>-----</v>
      </c>
      <c r="Z92" s="5" t="str">
        <f t="shared" si="35"/>
        <v>YES</v>
      </c>
      <c r="AA92" s="5" t="str">
        <f t="shared" si="37"/>
        <v>YES</v>
      </c>
      <c r="AB92" s="4" t="str">
        <f t="shared" si="36"/>
        <v>-----</v>
      </c>
      <c r="AC92" s="5" t="str">
        <f t="shared" si="22"/>
        <v>-----</v>
      </c>
      <c r="AD92" s="1" t="str">
        <f>IF(AB92&lt;&gt;"-----",AB92,IF(AC92&lt;&gt;"-----",AC92,"-----"))</f>
        <v>-----</v>
      </c>
      <c r="AE92" s="14" t="str">
        <f t="shared" si="41"/>
        <v>-----</v>
      </c>
      <c r="AF92" s="1" t="str">
        <f t="shared" si="42"/>
        <v>-----</v>
      </c>
      <c r="AG92" s="1" t="str">
        <f>IF(AE92&lt;&gt;"-----",AE92,IF(AF92&lt;&gt;"-----",AF92,"-----"))</f>
        <v>-----</v>
      </c>
    </row>
    <row r="93" spans="1:33" x14ac:dyDescent="0.55000000000000004">
      <c r="A93">
        <v>89</v>
      </c>
      <c r="B93" t="s">
        <v>92</v>
      </c>
      <c r="C93" t="s">
        <v>4</v>
      </c>
      <c r="D93" t="s">
        <v>103</v>
      </c>
      <c r="E93">
        <v>152.649</v>
      </c>
      <c r="F93">
        <v>152.703</v>
      </c>
      <c r="G93">
        <v>152.73099999999999</v>
      </c>
      <c r="H93">
        <v>152.767</v>
      </c>
      <c r="I93">
        <v>152.86000000000001</v>
      </c>
      <c r="J93" s="1"/>
      <c r="K93" s="2" t="str">
        <f t="shared" si="38"/>
        <v>Bearish</v>
      </c>
      <c r="L93" s="2"/>
      <c r="M93" s="3">
        <f t="shared" si="28"/>
        <v>-2.3565298788351781E-4</v>
      </c>
      <c r="N93" s="3">
        <f t="shared" si="29"/>
        <v>0.61904975179852262</v>
      </c>
      <c r="O93" s="3" t="str">
        <f t="shared" si="30"/>
        <v>-----</v>
      </c>
      <c r="P93" s="3" t="str">
        <f t="shared" si="31"/>
        <v>Bearish</v>
      </c>
      <c r="Q93" s="1" t="str">
        <f t="shared" si="32"/>
        <v>-----</v>
      </c>
      <c r="R93" s="1" t="str">
        <f t="shared" si="33"/>
        <v>TEMA crossunder</v>
      </c>
      <c r="S93" s="1"/>
      <c r="T93" s="4" t="str">
        <f t="shared" si="39"/>
        <v>YES</v>
      </c>
      <c r="U93" s="4" t="str">
        <f t="shared" si="19"/>
        <v>-----</v>
      </c>
      <c r="V93" s="4" t="str">
        <f t="shared" si="20"/>
        <v>-----</v>
      </c>
      <c r="W93" s="4" t="str">
        <f t="shared" si="21"/>
        <v>YES</v>
      </c>
      <c r="X93" s="5" t="str">
        <f t="shared" si="40"/>
        <v>-----</v>
      </c>
      <c r="Y93" s="5" t="str">
        <f t="shared" si="34"/>
        <v>-----</v>
      </c>
      <c r="Z93" s="5" t="str">
        <f t="shared" si="35"/>
        <v>YES</v>
      </c>
      <c r="AA93" s="5" t="str">
        <f t="shared" si="37"/>
        <v>YES</v>
      </c>
      <c r="AB93" s="4" t="str">
        <f t="shared" si="36"/>
        <v>-----</v>
      </c>
      <c r="AC93" s="5" t="str">
        <f t="shared" si="22"/>
        <v>-----</v>
      </c>
      <c r="AD93" s="1" t="str">
        <f>IF(AB93&lt;&gt;"-----",AB93,IF(AC93&lt;&gt;"-----",AC93,"-----"))</f>
        <v>-----</v>
      </c>
      <c r="AE93" s="14" t="str">
        <f t="shared" si="41"/>
        <v>-----</v>
      </c>
      <c r="AF93" s="1" t="str">
        <f t="shared" si="42"/>
        <v>-----</v>
      </c>
      <c r="AG93" s="1" t="str">
        <f>IF(AE93&lt;&gt;"-----",AE93,IF(AF93&lt;&gt;"-----",AF93,"-----"))</f>
        <v>-----</v>
      </c>
    </row>
    <row r="94" spans="1:33" x14ac:dyDescent="0.55000000000000004">
      <c r="A94">
        <v>90</v>
      </c>
      <c r="B94" t="s">
        <v>93</v>
      </c>
      <c r="C94" t="s">
        <v>4</v>
      </c>
      <c r="D94" t="s">
        <v>103</v>
      </c>
      <c r="E94">
        <v>152.648</v>
      </c>
      <c r="F94">
        <v>152.66900000000001</v>
      </c>
      <c r="G94">
        <v>152.71600000000001</v>
      </c>
      <c r="H94">
        <v>152.75800000000001</v>
      </c>
      <c r="I94">
        <v>152.85400000000001</v>
      </c>
      <c r="J94" s="1"/>
      <c r="K94" s="2" t="str">
        <f t="shared" si="38"/>
        <v>Bearish</v>
      </c>
      <c r="L94" s="2"/>
      <c r="M94" s="3">
        <f t="shared" si="28"/>
        <v>-2.7494468374816107E-4</v>
      </c>
      <c r="N94" s="3">
        <f t="shared" si="29"/>
        <v>0.50573042722348704</v>
      </c>
      <c r="O94" s="3" t="str">
        <f t="shared" si="30"/>
        <v>-----</v>
      </c>
      <c r="P94" s="3" t="str">
        <f t="shared" si="31"/>
        <v>Bearish</v>
      </c>
      <c r="Q94" s="1" t="str">
        <f t="shared" si="32"/>
        <v>-----</v>
      </c>
      <c r="R94" s="1" t="str">
        <f t="shared" si="33"/>
        <v>-----</v>
      </c>
      <c r="S94" s="1"/>
      <c r="T94" s="4" t="str">
        <f t="shared" si="39"/>
        <v>YES</v>
      </c>
      <c r="U94" s="4" t="str">
        <f t="shared" si="19"/>
        <v>-----</v>
      </c>
      <c r="V94" s="4" t="str">
        <f t="shared" si="20"/>
        <v>-----</v>
      </c>
      <c r="W94" s="4" t="str">
        <f t="shared" si="21"/>
        <v>YES</v>
      </c>
      <c r="X94" s="5" t="str">
        <f t="shared" si="40"/>
        <v>-----</v>
      </c>
      <c r="Y94" s="5" t="str">
        <f t="shared" si="34"/>
        <v>-----</v>
      </c>
      <c r="Z94" s="5" t="str">
        <f t="shared" si="35"/>
        <v>YES</v>
      </c>
      <c r="AA94" s="5" t="str">
        <f t="shared" si="37"/>
        <v>YES</v>
      </c>
      <c r="AB94" s="4" t="str">
        <f t="shared" si="36"/>
        <v>-----</v>
      </c>
      <c r="AC94" s="5" t="str">
        <f t="shared" si="22"/>
        <v>-----</v>
      </c>
      <c r="AD94" s="1" t="str">
        <f>IF(AB94&lt;&gt;"-----",AB94,IF(AC94&lt;&gt;"-----",AC94,"-----"))</f>
        <v>-----</v>
      </c>
      <c r="AE94" s="14" t="str">
        <f t="shared" si="41"/>
        <v>-----</v>
      </c>
      <c r="AF94" s="1" t="str">
        <f t="shared" si="42"/>
        <v>-----</v>
      </c>
      <c r="AG94" s="1" t="str">
        <f>IF(AE94&lt;&gt;"-----",AE94,IF(AF94&lt;&gt;"-----",AF94,"-----"))</f>
        <v>-----</v>
      </c>
    </row>
    <row r="95" spans="1:33" x14ac:dyDescent="0.55000000000000004">
      <c r="A95">
        <v>91</v>
      </c>
      <c r="B95" t="s">
        <v>94</v>
      </c>
      <c r="C95" t="s">
        <v>4</v>
      </c>
      <c r="D95" t="s">
        <v>103</v>
      </c>
      <c r="E95">
        <v>152.67599999999999</v>
      </c>
      <c r="F95">
        <v>152.66200000000001</v>
      </c>
      <c r="G95">
        <v>152.702</v>
      </c>
      <c r="H95">
        <v>152.75200000000001</v>
      </c>
      <c r="I95">
        <v>152.84899999999999</v>
      </c>
      <c r="J95" s="1"/>
      <c r="K95" s="2" t="str">
        <f t="shared" si="38"/>
        <v>Bearish</v>
      </c>
      <c r="L95" s="2"/>
      <c r="M95" s="3">
        <f t="shared" si="28"/>
        <v>-3.2732795642617684E-4</v>
      </c>
      <c r="N95" s="3">
        <f t="shared" si="29"/>
        <v>0.35465430418334559</v>
      </c>
      <c r="O95" s="3" t="str">
        <f t="shared" si="30"/>
        <v>-----</v>
      </c>
      <c r="P95" s="3" t="str">
        <f t="shared" si="31"/>
        <v>Bearish</v>
      </c>
      <c r="Q95" s="1" t="str">
        <f t="shared" si="32"/>
        <v>TEMA crossover</v>
      </c>
      <c r="R95" s="1" t="str">
        <f t="shared" si="33"/>
        <v>-----</v>
      </c>
      <c r="S95" s="1"/>
      <c r="T95" s="4" t="str">
        <f t="shared" si="39"/>
        <v>YES</v>
      </c>
      <c r="U95" s="4" t="str">
        <f t="shared" si="19"/>
        <v>-----</v>
      </c>
      <c r="V95" s="4" t="str">
        <f t="shared" si="20"/>
        <v>-----</v>
      </c>
      <c r="W95" s="4" t="str">
        <f t="shared" si="21"/>
        <v>YES</v>
      </c>
      <c r="X95" s="5" t="str">
        <f t="shared" si="40"/>
        <v>-----</v>
      </c>
      <c r="Y95" s="5" t="str">
        <f t="shared" si="34"/>
        <v>-----</v>
      </c>
      <c r="Z95" s="5" t="str">
        <f t="shared" si="35"/>
        <v>YES</v>
      </c>
      <c r="AA95" s="5" t="str">
        <f t="shared" si="37"/>
        <v>YES</v>
      </c>
      <c r="AB95" s="4" t="str">
        <f t="shared" si="36"/>
        <v>-----</v>
      </c>
      <c r="AC95" s="5" t="str">
        <f t="shared" si="22"/>
        <v>-----</v>
      </c>
      <c r="AD95" s="1" t="str">
        <f>IF(AB95&lt;&gt;"-----",AB95,IF(AC95&lt;&gt;"-----",AC95,"-----"))</f>
        <v>-----</v>
      </c>
      <c r="AE95" s="14" t="str">
        <f t="shared" si="41"/>
        <v>-----</v>
      </c>
      <c r="AF95" s="1" t="str">
        <f t="shared" si="42"/>
        <v>-----</v>
      </c>
      <c r="AG95" s="1" t="str">
        <f>IF(AE95&lt;&gt;"-----",AE95,IF(AF95&lt;&gt;"-----",AF95,"-----"))</f>
        <v>-----</v>
      </c>
    </row>
    <row r="96" spans="1:33" x14ac:dyDescent="0.55000000000000004">
      <c r="A96">
        <v>92</v>
      </c>
      <c r="B96" t="s">
        <v>95</v>
      </c>
      <c r="C96" t="s">
        <v>4</v>
      </c>
      <c r="D96" t="s">
        <v>103</v>
      </c>
      <c r="E96">
        <v>152.642</v>
      </c>
      <c r="F96">
        <v>152.649</v>
      </c>
      <c r="G96">
        <v>152.68799999999999</v>
      </c>
      <c r="H96">
        <v>152.744</v>
      </c>
      <c r="I96">
        <v>152.84399999999999</v>
      </c>
      <c r="J96" s="1"/>
      <c r="K96" s="2" t="str">
        <f t="shared" si="38"/>
        <v>Bearish</v>
      </c>
      <c r="L96" s="2"/>
      <c r="M96" s="3">
        <f t="shared" si="28"/>
        <v>-3.666265123344393E-4</v>
      </c>
      <c r="N96" s="3">
        <f t="shared" si="29"/>
        <v>0.24131519488045908</v>
      </c>
      <c r="O96" s="3" t="str">
        <f t="shared" si="30"/>
        <v>-----</v>
      </c>
      <c r="P96" s="3" t="str">
        <f t="shared" si="31"/>
        <v>Bearish</v>
      </c>
      <c r="Q96" s="1" t="str">
        <f t="shared" si="32"/>
        <v>-----</v>
      </c>
      <c r="R96" s="1" t="str">
        <f t="shared" si="33"/>
        <v>TEMA crossunder</v>
      </c>
      <c r="S96" s="1"/>
      <c r="T96" s="4" t="str">
        <f t="shared" si="39"/>
        <v>YES</v>
      </c>
      <c r="U96" s="4" t="str">
        <f t="shared" si="19"/>
        <v>-----</v>
      </c>
      <c r="V96" s="4" t="str">
        <f t="shared" si="20"/>
        <v>-----</v>
      </c>
      <c r="W96" s="4" t="str">
        <f t="shared" si="21"/>
        <v>YES</v>
      </c>
      <c r="X96" s="5" t="str">
        <f t="shared" si="40"/>
        <v>-----</v>
      </c>
      <c r="Y96" s="5" t="str">
        <f t="shared" si="34"/>
        <v>-----</v>
      </c>
      <c r="Z96" s="5" t="str">
        <f t="shared" si="35"/>
        <v>YES</v>
      </c>
      <c r="AA96" s="5" t="str">
        <f t="shared" si="37"/>
        <v>YES</v>
      </c>
      <c r="AB96" s="4" t="str">
        <f t="shared" si="36"/>
        <v>-----</v>
      </c>
      <c r="AC96" s="5" t="str">
        <f t="shared" si="22"/>
        <v>-----</v>
      </c>
      <c r="AD96" s="1" t="str">
        <f>IF(AB96&lt;&gt;"-----",AB96,IF(AC96&lt;&gt;"-----",AC96,"-----"))</f>
        <v>-----</v>
      </c>
      <c r="AE96" s="14" t="str">
        <f t="shared" si="41"/>
        <v>-----</v>
      </c>
      <c r="AF96" s="1" t="str">
        <f t="shared" si="42"/>
        <v>-----</v>
      </c>
      <c r="AG96" s="1" t="str">
        <f>IF(AE96&lt;&gt;"-----",AE96,IF(AF96&lt;&gt;"-----",AF96,"-----"))</f>
        <v>-----</v>
      </c>
    </row>
    <row r="97" spans="1:33" x14ac:dyDescent="0.55000000000000004">
      <c r="A97">
        <v>93</v>
      </c>
      <c r="B97" t="s">
        <v>96</v>
      </c>
      <c r="C97" t="s">
        <v>4</v>
      </c>
      <c r="D97" t="s">
        <v>103</v>
      </c>
      <c r="E97">
        <v>152.64500000000001</v>
      </c>
      <c r="F97">
        <v>152.63999999999999</v>
      </c>
      <c r="G97">
        <v>152.67599999999999</v>
      </c>
      <c r="H97">
        <v>152.73699999999999</v>
      </c>
      <c r="I97">
        <v>152.83799999999999</v>
      </c>
      <c r="J97" s="1"/>
      <c r="K97" s="2" t="str">
        <f t="shared" si="38"/>
        <v>Bearish</v>
      </c>
      <c r="L97" s="2"/>
      <c r="M97" s="3">
        <f t="shared" si="28"/>
        <v>-3.9937932524540255E-4</v>
      </c>
      <c r="N97" s="3">
        <f t="shared" si="29"/>
        <v>0.1468543538470567</v>
      </c>
      <c r="O97" s="3" t="str">
        <f t="shared" si="30"/>
        <v>-----</v>
      </c>
      <c r="P97" s="3" t="str">
        <f t="shared" si="31"/>
        <v>Bearish</v>
      </c>
      <c r="Q97" s="1" t="str">
        <f t="shared" si="32"/>
        <v>TEMA crossover</v>
      </c>
      <c r="R97" s="1" t="str">
        <f t="shared" si="33"/>
        <v>-----</v>
      </c>
      <c r="S97" s="1"/>
      <c r="T97" s="4" t="str">
        <f t="shared" si="39"/>
        <v>YES</v>
      </c>
      <c r="U97" s="4" t="str">
        <f t="shared" si="19"/>
        <v>-----</v>
      </c>
      <c r="V97" s="4" t="str">
        <f t="shared" si="20"/>
        <v>-----</v>
      </c>
      <c r="W97" s="4" t="str">
        <f t="shared" si="21"/>
        <v>YES</v>
      </c>
      <c r="X97" s="5" t="str">
        <f t="shared" si="40"/>
        <v>-----</v>
      </c>
      <c r="Y97" s="5" t="str">
        <f t="shared" si="34"/>
        <v>-----</v>
      </c>
      <c r="Z97" s="5" t="str">
        <f t="shared" si="35"/>
        <v>YES</v>
      </c>
      <c r="AA97" s="5" t="str">
        <f t="shared" si="37"/>
        <v>YES</v>
      </c>
      <c r="AB97" s="4" t="str">
        <f t="shared" si="36"/>
        <v>-----</v>
      </c>
      <c r="AC97" s="5" t="str">
        <f t="shared" si="22"/>
        <v>-----</v>
      </c>
      <c r="AD97" s="1" t="str">
        <f>IF(AB97&lt;&gt;"-----",AB97,IF(AC97&lt;&gt;"-----",AC97,"-----"))</f>
        <v>-----</v>
      </c>
      <c r="AE97" s="14" t="str">
        <f t="shared" si="41"/>
        <v>-----</v>
      </c>
      <c r="AF97" s="1" t="str">
        <f t="shared" si="42"/>
        <v>-----</v>
      </c>
      <c r="AG97" s="1" t="str">
        <f>IF(AE97&lt;&gt;"-----",AE97,IF(AF97&lt;&gt;"-----",AF97,"-----"))</f>
        <v>-----</v>
      </c>
    </row>
    <row r="98" spans="1:33" x14ac:dyDescent="0.55000000000000004">
      <c r="A98">
        <v>94</v>
      </c>
      <c r="B98" t="s">
        <v>97</v>
      </c>
      <c r="C98" t="s">
        <v>4</v>
      </c>
      <c r="D98" t="s">
        <v>103</v>
      </c>
      <c r="E98">
        <v>152.65</v>
      </c>
      <c r="F98">
        <v>152.636</v>
      </c>
      <c r="G98">
        <v>152.66499999999999</v>
      </c>
      <c r="H98">
        <v>152.72999999999999</v>
      </c>
      <c r="I98">
        <v>152.833</v>
      </c>
      <c r="J98" s="1"/>
      <c r="K98" s="2" t="str">
        <f t="shared" si="38"/>
        <v>Bearish</v>
      </c>
      <c r="L98" s="2"/>
      <c r="M98" s="3">
        <f t="shared" si="28"/>
        <v>-4.2558763831596758E-4</v>
      </c>
      <c r="N98" s="3">
        <f t="shared" si="29"/>
        <v>7.1268195753025801E-2</v>
      </c>
      <c r="O98" s="3" t="str">
        <f t="shared" si="30"/>
        <v>-----</v>
      </c>
      <c r="P98" s="3" t="str">
        <f t="shared" si="31"/>
        <v>Bearish</v>
      </c>
      <c r="Q98" s="1" t="str">
        <f t="shared" si="32"/>
        <v>-----</v>
      </c>
      <c r="R98" s="1" t="str">
        <f t="shared" si="33"/>
        <v>-----</v>
      </c>
      <c r="S98" s="1"/>
      <c r="T98" s="4" t="str">
        <f t="shared" si="39"/>
        <v>YES</v>
      </c>
      <c r="U98" s="4" t="str">
        <f t="shared" si="19"/>
        <v>-----</v>
      </c>
      <c r="V98" s="4" t="str">
        <f t="shared" si="20"/>
        <v>-----</v>
      </c>
      <c r="W98" s="4" t="str">
        <f t="shared" si="21"/>
        <v>YES</v>
      </c>
      <c r="X98" s="5" t="str">
        <f t="shared" si="40"/>
        <v>-----</v>
      </c>
      <c r="Y98" s="5" t="str">
        <f t="shared" si="34"/>
        <v>-----</v>
      </c>
      <c r="Z98" s="5" t="str">
        <f t="shared" si="35"/>
        <v>YES</v>
      </c>
      <c r="AA98" s="5" t="str">
        <f t="shared" si="37"/>
        <v>YES</v>
      </c>
      <c r="AB98" s="4" t="str">
        <f t="shared" si="36"/>
        <v>-----</v>
      </c>
      <c r="AC98" s="5" t="str">
        <f t="shared" si="22"/>
        <v>-----</v>
      </c>
      <c r="AD98" s="1" t="str">
        <f>IF(AB98&lt;&gt;"-----",AB98,IF(AC98&lt;&gt;"-----",AC98,"-----"))</f>
        <v>-----</v>
      </c>
      <c r="AE98" s="14" t="str">
        <f t="shared" si="41"/>
        <v>-----</v>
      </c>
      <c r="AF98" s="1" t="str">
        <f t="shared" si="42"/>
        <v>-----</v>
      </c>
      <c r="AG98" s="1" t="str">
        <f>IF(AE98&lt;&gt;"-----",AE98,IF(AF98&lt;&gt;"-----",AF98,"-----"))</f>
        <v>-----</v>
      </c>
    </row>
    <row r="99" spans="1:33" x14ac:dyDescent="0.55000000000000004">
      <c r="A99">
        <v>95</v>
      </c>
      <c r="B99" t="s">
        <v>98</v>
      </c>
      <c r="C99" t="s">
        <v>4</v>
      </c>
      <c r="D99" t="s">
        <v>103</v>
      </c>
      <c r="E99">
        <v>152.69999999999999</v>
      </c>
      <c r="F99">
        <v>152.65299999999999</v>
      </c>
      <c r="G99">
        <v>152.66</v>
      </c>
      <c r="H99">
        <v>152.727</v>
      </c>
      <c r="I99">
        <v>152.828</v>
      </c>
      <c r="J99" s="1"/>
      <c r="K99" s="2" t="str">
        <f t="shared" si="38"/>
        <v>Bearish</v>
      </c>
      <c r="L99" s="2"/>
      <c r="M99" s="3">
        <f t="shared" si="28"/>
        <v>-4.3869125956777304E-4</v>
      </c>
      <c r="N99" s="3">
        <f t="shared" si="29"/>
        <v>3.3476660491808863E-2</v>
      </c>
      <c r="O99" s="3" t="str">
        <f t="shared" si="30"/>
        <v>-----</v>
      </c>
      <c r="P99" s="3" t="str">
        <f t="shared" si="31"/>
        <v>Bearish</v>
      </c>
      <c r="Q99" s="1" t="str">
        <f t="shared" si="32"/>
        <v>-----</v>
      </c>
      <c r="R99" s="1" t="str">
        <f t="shared" si="33"/>
        <v>-----</v>
      </c>
      <c r="S99" s="1"/>
      <c r="T99" s="4" t="str">
        <f t="shared" si="39"/>
        <v>YES</v>
      </c>
      <c r="U99" s="4" t="str">
        <f t="shared" si="19"/>
        <v>-----</v>
      </c>
      <c r="V99" s="4" t="str">
        <f t="shared" si="20"/>
        <v>-----</v>
      </c>
      <c r="W99" s="4" t="str">
        <f t="shared" si="21"/>
        <v>YES</v>
      </c>
      <c r="X99" s="5" t="str">
        <f t="shared" si="40"/>
        <v>-----</v>
      </c>
      <c r="Y99" s="5" t="str">
        <f t="shared" si="34"/>
        <v>-----</v>
      </c>
      <c r="Z99" s="5" t="str">
        <f t="shared" si="35"/>
        <v>YES</v>
      </c>
      <c r="AA99" s="5" t="str">
        <f t="shared" si="37"/>
        <v>YES</v>
      </c>
      <c r="AB99" s="4" t="str">
        <f t="shared" si="36"/>
        <v>-----</v>
      </c>
      <c r="AC99" s="5" t="str">
        <f t="shared" si="22"/>
        <v>-----</v>
      </c>
      <c r="AD99" s="1" t="str">
        <f>IF(AB99&lt;&gt;"-----",AB99,IF(AC99&lt;&gt;"-----",AC99,"-----"))</f>
        <v>-----</v>
      </c>
      <c r="AE99" s="14" t="str">
        <f t="shared" si="41"/>
        <v>-----</v>
      </c>
      <c r="AF99" s="1" t="str">
        <f t="shared" si="42"/>
        <v>-----</v>
      </c>
      <c r="AG99" s="1" t="str">
        <f>IF(AE99&lt;&gt;"-----",AE99,IF(AF99&lt;&gt;"-----",AF99,"-----"))</f>
        <v>-----</v>
      </c>
    </row>
    <row r="100" spans="1:33" x14ac:dyDescent="0.55000000000000004">
      <c r="A100">
        <v>96</v>
      </c>
      <c r="B100" t="s">
        <v>99</v>
      </c>
      <c r="C100" t="s">
        <v>4</v>
      </c>
      <c r="D100" t="s">
        <v>103</v>
      </c>
      <c r="E100">
        <v>152.72200000000001</v>
      </c>
      <c r="F100">
        <v>152.678</v>
      </c>
      <c r="G100">
        <v>152.661</v>
      </c>
      <c r="H100">
        <v>152.726</v>
      </c>
      <c r="I100">
        <v>152.82499999999999</v>
      </c>
      <c r="J100" s="1"/>
      <c r="K100" s="2" t="str">
        <f t="shared" si="38"/>
        <v>Bearish</v>
      </c>
      <c r="L100" s="2"/>
      <c r="M100" s="3">
        <f t="shared" si="28"/>
        <v>-4.2559878475176283E-4</v>
      </c>
      <c r="N100" s="3">
        <f t="shared" si="29"/>
        <v>7.123604884391585E-2</v>
      </c>
      <c r="O100" s="3" t="str">
        <f t="shared" si="30"/>
        <v>-----</v>
      </c>
      <c r="P100" s="3" t="str">
        <f t="shared" si="31"/>
        <v>Bullish</v>
      </c>
      <c r="Q100" s="1" t="str">
        <f t="shared" si="32"/>
        <v>-----</v>
      </c>
      <c r="R100" s="1" t="str">
        <f t="shared" si="33"/>
        <v>-----</v>
      </c>
      <c r="S100" s="1"/>
      <c r="T100" s="4" t="str">
        <f t="shared" si="39"/>
        <v>YES</v>
      </c>
      <c r="U100" s="4" t="str">
        <f t="shared" ref="U100:U103" si="43">IF(O100="Reverse to Bearish","YES","-----")</f>
        <v>-----</v>
      </c>
      <c r="V100" s="4" t="str">
        <f t="shared" ref="V100:V103" si="44">IF(AND(P100="Bullish",P99="Bullish",P98="Bullish",P97="Bullish"),"YES","-----")</f>
        <v>-----</v>
      </c>
      <c r="W100" s="4" t="str">
        <f t="shared" ref="W100:W103" si="45">IF(OR(R100="TEMA crossunder",R99="TEMA crossunder",R98="TEMA crossunder",R97="TEMA crossunder"),"YES","-----")</f>
        <v>-----</v>
      </c>
      <c r="X100" s="5" t="str">
        <f t="shared" si="40"/>
        <v>-----</v>
      </c>
      <c r="Y100" s="5" t="str">
        <f t="shared" si="34"/>
        <v>-----</v>
      </c>
      <c r="Z100" s="5" t="str">
        <f t="shared" si="35"/>
        <v>-----</v>
      </c>
      <c r="AA100" s="5" t="str">
        <f t="shared" si="37"/>
        <v>YES</v>
      </c>
      <c r="AB100" s="4" t="str">
        <f t="shared" si="36"/>
        <v>-----</v>
      </c>
      <c r="AC100" s="5" t="str">
        <f t="shared" ref="AC100:AC103" si="46">IF(AND(X100="YES",Y100="YES",Z100="YES",AA100="YES"),"Open Buy / Close Sell","-----")</f>
        <v>-----</v>
      </c>
      <c r="AD100" s="1" t="str">
        <f>IF(AB100&lt;&gt;"-----",AB100,IF(AC100&lt;&gt;"-----",AC100,"-----"))</f>
        <v>-----</v>
      </c>
      <c r="AE100" s="14" t="str">
        <f t="shared" si="41"/>
        <v>-----</v>
      </c>
      <c r="AF100" s="1" t="str">
        <f t="shared" si="42"/>
        <v>-----</v>
      </c>
      <c r="AG100" s="1" t="str">
        <f>IF(AE100&lt;&gt;"-----",AE100,IF(AF100&lt;&gt;"-----",AF100,"-----"))</f>
        <v>-----</v>
      </c>
    </row>
    <row r="101" spans="1:33" x14ac:dyDescent="0.55000000000000004">
      <c r="A101">
        <v>97</v>
      </c>
      <c r="B101" t="s">
        <v>100</v>
      </c>
      <c r="C101" t="s">
        <v>4</v>
      </c>
      <c r="D101" t="s">
        <v>103</v>
      </c>
      <c r="E101">
        <v>152.69200000000001</v>
      </c>
      <c r="F101">
        <v>152.69</v>
      </c>
      <c r="G101">
        <v>152.66499999999999</v>
      </c>
      <c r="H101">
        <v>152.72399999999999</v>
      </c>
      <c r="I101">
        <v>152.821</v>
      </c>
      <c r="J101" s="1"/>
      <c r="K101" s="2" t="str">
        <f t="shared" si="38"/>
        <v>Bearish</v>
      </c>
      <c r="L101" s="2"/>
      <c r="M101" s="3">
        <f t="shared" si="28"/>
        <v>-3.863178020481228E-4</v>
      </c>
      <c r="N101" s="3">
        <f t="shared" si="29"/>
        <v>0.18452447609720862</v>
      </c>
      <c r="O101" s="3" t="str">
        <f t="shared" si="30"/>
        <v>-----</v>
      </c>
      <c r="P101" s="3" t="str">
        <f t="shared" si="31"/>
        <v>Bullish</v>
      </c>
      <c r="Q101" s="1" t="str">
        <f t="shared" si="32"/>
        <v>-----</v>
      </c>
      <c r="R101" s="1" t="str">
        <f t="shared" si="33"/>
        <v>-----</v>
      </c>
      <c r="S101" s="1"/>
      <c r="T101" s="4" t="str">
        <f t="shared" si="39"/>
        <v>YES</v>
      </c>
      <c r="U101" s="4" t="str">
        <f t="shared" si="43"/>
        <v>-----</v>
      </c>
      <c r="V101" s="4" t="str">
        <f t="shared" si="44"/>
        <v>-----</v>
      </c>
      <c r="W101" s="4" t="str">
        <f t="shared" si="45"/>
        <v>-----</v>
      </c>
      <c r="X101" s="5" t="str">
        <f t="shared" si="40"/>
        <v>-----</v>
      </c>
      <c r="Y101" s="5" t="str">
        <f t="shared" si="34"/>
        <v>-----</v>
      </c>
      <c r="Z101" s="5" t="str">
        <f t="shared" si="35"/>
        <v>-----</v>
      </c>
      <c r="AA101" s="5" t="str">
        <f t="shared" si="37"/>
        <v>-----</v>
      </c>
      <c r="AB101" s="4" t="str">
        <f t="shared" si="36"/>
        <v>-----</v>
      </c>
      <c r="AC101" s="5" t="str">
        <f t="shared" si="46"/>
        <v>-----</v>
      </c>
      <c r="AD101" s="1" t="str">
        <f>IF(AB101&lt;&gt;"-----",AB101,IF(AC101&lt;&gt;"-----",AC101,"-----"))</f>
        <v>-----</v>
      </c>
      <c r="AE101" s="14" t="str">
        <f t="shared" si="41"/>
        <v>-----</v>
      </c>
      <c r="AF101" s="1" t="str">
        <f t="shared" si="42"/>
        <v>-----</v>
      </c>
      <c r="AG101" s="1" t="str">
        <f>IF(AE101&lt;&gt;"-----",AE101,IF(AF101&lt;&gt;"-----",AF101,"-----"))</f>
        <v>-----</v>
      </c>
    </row>
    <row r="102" spans="1:33" x14ac:dyDescent="0.55000000000000004">
      <c r="A102">
        <v>98</v>
      </c>
      <c r="B102" t="s">
        <v>101</v>
      </c>
      <c r="C102" t="s">
        <v>4</v>
      </c>
      <c r="D102" t="s">
        <v>103</v>
      </c>
      <c r="E102">
        <v>152.727</v>
      </c>
      <c r="F102">
        <v>152.70500000000001</v>
      </c>
      <c r="G102">
        <v>152.67099999999999</v>
      </c>
      <c r="H102">
        <v>152.72300000000001</v>
      </c>
      <c r="I102">
        <v>152.81800000000001</v>
      </c>
      <c r="J102" s="1"/>
      <c r="K102" s="2" t="str">
        <f t="shared" si="38"/>
        <v>Bearish</v>
      </c>
      <c r="L102" s="2"/>
      <c r="M102" s="3">
        <f t="shared" si="28"/>
        <v>-3.4048571596957179E-4</v>
      </c>
      <c r="N102" s="3">
        <f t="shared" si="29"/>
        <v>0.31670663123192305</v>
      </c>
      <c r="O102" s="3" t="str">
        <f t="shared" si="30"/>
        <v>-----</v>
      </c>
      <c r="P102" s="3" t="str">
        <f t="shared" si="31"/>
        <v>Bullish</v>
      </c>
      <c r="Q102" s="1" t="str">
        <f t="shared" si="32"/>
        <v>-----</v>
      </c>
      <c r="R102" s="1" t="str">
        <f t="shared" si="33"/>
        <v>-----</v>
      </c>
      <c r="S102" s="1"/>
      <c r="T102" s="4" t="str">
        <f t="shared" si="39"/>
        <v>YES</v>
      </c>
      <c r="U102" s="4" t="str">
        <f t="shared" si="43"/>
        <v>-----</v>
      </c>
      <c r="V102" s="4" t="str">
        <f t="shared" si="44"/>
        <v>-----</v>
      </c>
      <c r="W102" s="4" t="str">
        <f t="shared" si="45"/>
        <v>-----</v>
      </c>
      <c r="X102" s="5" t="str">
        <f t="shared" si="40"/>
        <v>-----</v>
      </c>
      <c r="Y102" s="5" t="str">
        <f t="shared" si="34"/>
        <v>-----</v>
      </c>
      <c r="Z102" s="5" t="str">
        <f t="shared" si="35"/>
        <v>-----</v>
      </c>
      <c r="AA102" s="5" t="str">
        <f t="shared" si="37"/>
        <v>-----</v>
      </c>
      <c r="AB102" s="4" t="str">
        <f t="shared" si="36"/>
        <v>-----</v>
      </c>
      <c r="AC102" s="5" t="str">
        <f t="shared" si="46"/>
        <v>-----</v>
      </c>
      <c r="AD102" s="1" t="str">
        <f>IF(AB102&lt;&gt;"-----",AB102,IF(AC102&lt;&gt;"-----",AC102,"-----"))</f>
        <v>-----</v>
      </c>
      <c r="AE102" s="14" t="str">
        <f t="shared" si="41"/>
        <v>-----</v>
      </c>
      <c r="AF102" s="1" t="str">
        <f t="shared" si="42"/>
        <v>-----</v>
      </c>
      <c r="AG102" s="1" t="str">
        <f>IF(AE102&lt;&gt;"-----",AE102,IF(AF102&lt;&gt;"-----",AF102,"-----"))</f>
        <v>-----</v>
      </c>
    </row>
    <row r="103" spans="1:33" x14ac:dyDescent="0.55000000000000004">
      <c r="A103">
        <v>99</v>
      </c>
      <c r="B103" t="s">
        <v>102</v>
      </c>
      <c r="C103" t="s">
        <v>4</v>
      </c>
      <c r="D103" t="s">
        <v>103</v>
      </c>
      <c r="E103">
        <v>152.71199999999999</v>
      </c>
      <c r="F103">
        <v>152.71299999999999</v>
      </c>
      <c r="G103">
        <v>152.678</v>
      </c>
      <c r="H103">
        <v>152.72300000000001</v>
      </c>
      <c r="I103">
        <v>152.815</v>
      </c>
      <c r="J103" s="1"/>
      <c r="K103" s="2" t="str">
        <f t="shared" si="38"/>
        <v>Bearish</v>
      </c>
      <c r="L103" s="2"/>
      <c r="M103" s="3">
        <f t="shared" si="28"/>
        <v>-2.94651100358269E-4</v>
      </c>
      <c r="N103" s="3">
        <f t="shared" si="29"/>
        <v>0.44889608167259493</v>
      </c>
      <c r="O103" s="3" t="str">
        <f t="shared" si="30"/>
        <v>-----</v>
      </c>
      <c r="P103" s="3" t="str">
        <f t="shared" si="31"/>
        <v>Bullish</v>
      </c>
      <c r="Q103" s="1" t="str">
        <f t="shared" si="32"/>
        <v>-----</v>
      </c>
      <c r="R103" s="1" t="str">
        <f t="shared" si="33"/>
        <v>TEMA crossunder</v>
      </c>
      <c r="S103" s="1"/>
      <c r="T103" s="4" t="str">
        <f t="shared" si="39"/>
        <v>YES</v>
      </c>
      <c r="U103" s="4" t="str">
        <f t="shared" si="43"/>
        <v>-----</v>
      </c>
      <c r="V103" s="4" t="str">
        <f t="shared" si="44"/>
        <v>YES</v>
      </c>
      <c r="W103" s="4" t="str">
        <f t="shared" si="45"/>
        <v>YES</v>
      </c>
      <c r="X103" s="5" t="str">
        <f t="shared" si="40"/>
        <v>-----</v>
      </c>
      <c r="Y103" s="5" t="str">
        <f t="shared" si="34"/>
        <v>-----</v>
      </c>
      <c r="Z103" s="5" t="str">
        <f t="shared" si="35"/>
        <v>-----</v>
      </c>
      <c r="AA103" s="5" t="str">
        <f t="shared" si="37"/>
        <v>-----</v>
      </c>
      <c r="AB103" s="4" t="str">
        <f t="shared" si="36"/>
        <v>-----</v>
      </c>
      <c r="AC103" s="5" t="str">
        <f t="shared" si="46"/>
        <v>-----</v>
      </c>
      <c r="AD103" s="1" t="str">
        <f>IF(AB103&lt;&gt;"-----",AB103,IF(AC103&lt;&gt;"-----",AC103,"-----"))</f>
        <v>-----</v>
      </c>
      <c r="AE103" s="14" t="str">
        <f t="shared" si="41"/>
        <v>-----</v>
      </c>
      <c r="AF103" s="1" t="str">
        <f t="shared" si="42"/>
        <v>-----</v>
      </c>
      <c r="AG103" s="1" t="str">
        <f>IF(AE103&lt;&gt;"-----",AE103,IF(AF103&lt;&gt;"-----",AF103,"-----"))</f>
        <v>-----</v>
      </c>
    </row>
  </sheetData>
  <conditionalFormatting sqref="P5:AC103">
    <cfRule type="containsText" dxfId="5" priority="6" operator="containsText" text="bearish">
      <formula>NOT(ISERROR(SEARCH("bearish",P5)))</formula>
    </cfRule>
  </conditionalFormatting>
  <conditionalFormatting sqref="P5:P103">
    <cfRule type="containsText" dxfId="4" priority="5" operator="containsText" text="Bullish">
      <formula>NOT(ISERROR(SEARCH("Bullish",P5)))</formula>
    </cfRule>
  </conditionalFormatting>
  <conditionalFormatting sqref="O5:O103 L16:L103">
    <cfRule type="containsText" dxfId="3" priority="3" operator="containsText" text="Bullish">
      <formula>NOT(ISERROR(SEARCH("Bullish",L5)))</formula>
    </cfRule>
    <cfRule type="containsText" dxfId="2" priority="4" operator="containsText" text="Bearish">
      <formula>NOT(ISERROR(SEARCH("Bearish",L5)))</formula>
    </cfRule>
  </conditionalFormatting>
  <conditionalFormatting sqref="K5:K103">
    <cfRule type="containsText" dxfId="1" priority="1" operator="containsText" text="Bullish">
      <formula>NOT(ISERROR(SEARCH("Bullish",K5)))</formula>
    </cfRule>
    <cfRule type="containsText" dxfId="0" priority="2" operator="containsText" text="Bearish">
      <formula>NOT(ISERROR(SEARCH("Bearish",K5)))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 and Momentum Trading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2026-02-23T14:59:16Z</dcterms:modified>
</cp:coreProperties>
</file>