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\"/>
    </mc:Choice>
  </mc:AlternateContent>
  <xr:revisionPtr revIDLastSave="0" documentId="13_ncr:1_{FAF1D9B6-5629-4599-AE02-537ACB678498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Important High Low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04" i="4" l="1"/>
  <c r="K103" i="4"/>
  <c r="J103" i="4"/>
  <c r="K102" i="4"/>
  <c r="J102" i="4"/>
  <c r="K101" i="4"/>
  <c r="J101" i="4"/>
  <c r="K100" i="4"/>
  <c r="J100" i="4"/>
  <c r="K99" i="4"/>
  <c r="J99" i="4"/>
  <c r="L99" i="4" s="1"/>
  <c r="K98" i="4"/>
  <c r="J98" i="4"/>
  <c r="K97" i="4"/>
  <c r="J97" i="4"/>
  <c r="K96" i="4"/>
  <c r="L96" i="4" s="1"/>
  <c r="J96" i="4"/>
  <c r="K95" i="4"/>
  <c r="J95" i="4"/>
  <c r="K94" i="4"/>
  <c r="J94" i="4"/>
  <c r="K93" i="4"/>
  <c r="J93" i="4"/>
  <c r="K92" i="4"/>
  <c r="J92" i="4"/>
  <c r="K91" i="4"/>
  <c r="J91" i="4"/>
  <c r="K90" i="4"/>
  <c r="J90" i="4"/>
  <c r="K89" i="4"/>
  <c r="J89" i="4"/>
  <c r="K88" i="4"/>
  <c r="J88" i="4"/>
  <c r="K87" i="4"/>
  <c r="J87" i="4"/>
  <c r="L87" i="4" s="1"/>
  <c r="K86" i="4"/>
  <c r="L86" i="4" s="1"/>
  <c r="J86" i="4"/>
  <c r="K85" i="4"/>
  <c r="J85" i="4"/>
  <c r="K84" i="4"/>
  <c r="J84" i="4"/>
  <c r="K83" i="4"/>
  <c r="J83" i="4"/>
  <c r="K82" i="4"/>
  <c r="J82" i="4"/>
  <c r="K81" i="4"/>
  <c r="J81" i="4"/>
  <c r="L81" i="4" s="1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L72" i="4" s="1"/>
  <c r="J72" i="4"/>
  <c r="K71" i="4"/>
  <c r="J71" i="4"/>
  <c r="K70" i="4"/>
  <c r="L70" i="4" s="1"/>
  <c r="J70" i="4"/>
  <c r="K69" i="4"/>
  <c r="J69" i="4"/>
  <c r="K68" i="4"/>
  <c r="L68" i="4" s="1"/>
  <c r="J68" i="4"/>
  <c r="K67" i="4"/>
  <c r="J67" i="4"/>
  <c r="K66" i="4"/>
  <c r="J66" i="4"/>
  <c r="K65" i="4"/>
  <c r="J65" i="4"/>
  <c r="L65" i="4" s="1"/>
  <c r="K64" i="4"/>
  <c r="J64" i="4"/>
  <c r="K63" i="4"/>
  <c r="J63" i="4"/>
  <c r="K62" i="4"/>
  <c r="J62" i="4"/>
  <c r="K61" i="4"/>
  <c r="J61" i="4"/>
  <c r="K60" i="4"/>
  <c r="L60" i="4" s="1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L49" i="4" s="1"/>
  <c r="K48" i="4"/>
  <c r="J48" i="4"/>
  <c r="K47" i="4"/>
  <c r="J47" i="4"/>
  <c r="K46" i="4"/>
  <c r="J46" i="4"/>
  <c r="K45" i="4"/>
  <c r="J45" i="4"/>
  <c r="K44" i="4"/>
  <c r="J44" i="4"/>
  <c r="L44" i="4" s="1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L37" i="4" s="1"/>
  <c r="K36" i="4"/>
  <c r="J36" i="4"/>
  <c r="K35" i="4"/>
  <c r="J35" i="4"/>
  <c r="K34" i="4"/>
  <c r="J34" i="4"/>
  <c r="K33" i="4"/>
  <c r="J33" i="4"/>
  <c r="K32" i="4"/>
  <c r="J32" i="4"/>
  <c r="L32" i="4" s="1"/>
  <c r="K31" i="4"/>
  <c r="J31" i="4"/>
  <c r="K30" i="4"/>
  <c r="J30" i="4"/>
  <c r="K29" i="4"/>
  <c r="J29" i="4"/>
  <c r="K28" i="4"/>
  <c r="J28" i="4"/>
  <c r="L28" i="4" s="1"/>
  <c r="K27" i="4"/>
  <c r="J27" i="4"/>
  <c r="K26" i="4"/>
  <c r="J26" i="4"/>
  <c r="K25" i="4"/>
  <c r="J25" i="4"/>
  <c r="K24" i="4"/>
  <c r="J24" i="4"/>
  <c r="K23" i="4"/>
  <c r="J23" i="4"/>
  <c r="L23" i="4" s="1"/>
  <c r="K22" i="4"/>
  <c r="J22" i="4"/>
  <c r="K21" i="4"/>
  <c r="J21" i="4"/>
  <c r="K20" i="4"/>
  <c r="J20" i="4"/>
  <c r="K19" i="4"/>
  <c r="J19" i="4"/>
  <c r="K18" i="4"/>
  <c r="J18" i="4"/>
  <c r="K17" i="4"/>
  <c r="J17" i="4"/>
  <c r="L17" i="4" s="1"/>
  <c r="K16" i="4"/>
  <c r="J16" i="4"/>
  <c r="L16" i="4" s="1"/>
  <c r="K15" i="4"/>
  <c r="L15" i="4" s="1"/>
  <c r="J15" i="4"/>
  <c r="K14" i="4"/>
  <c r="J14" i="4"/>
  <c r="K13" i="4"/>
  <c r="J13" i="4"/>
  <c r="L13" i="4" s="1"/>
  <c r="K12" i="4"/>
  <c r="J12" i="4"/>
  <c r="K11" i="4"/>
  <c r="J11" i="4"/>
  <c r="K10" i="4"/>
  <c r="J10" i="4"/>
  <c r="K9" i="4"/>
  <c r="J9" i="4"/>
  <c r="K8" i="4"/>
  <c r="J8" i="4"/>
  <c r="K7" i="4"/>
  <c r="J7" i="4"/>
  <c r="K6" i="4"/>
  <c r="J6" i="4"/>
  <c r="K5" i="4"/>
  <c r="J5" i="4"/>
  <c r="L9" i="4" l="1"/>
  <c r="L39" i="4"/>
  <c r="L58" i="4"/>
  <c r="L76" i="4"/>
  <c r="L59" i="4"/>
  <c r="L5" i="4"/>
  <c r="L30" i="4"/>
  <c r="L71" i="4"/>
  <c r="L66" i="4"/>
  <c r="L67" i="4"/>
  <c r="L73" i="4"/>
  <c r="L85" i="4"/>
  <c r="L103" i="4"/>
  <c r="L74" i="4"/>
  <c r="L47" i="4"/>
  <c r="L55" i="4"/>
  <c r="L90" i="4"/>
  <c r="L94" i="4"/>
  <c r="L7" i="4"/>
  <c r="L78" i="4"/>
  <c r="L100" i="4"/>
  <c r="L102" i="4"/>
  <c r="L10" i="4"/>
  <c r="L18" i="4"/>
  <c r="L29" i="4"/>
  <c r="L34" i="4"/>
  <c r="L57" i="4"/>
  <c r="L84" i="4"/>
  <c r="L20" i="4"/>
  <c r="L24" i="4"/>
  <c r="L26" i="4"/>
  <c r="L51" i="4"/>
  <c r="L8" i="4"/>
  <c r="L31" i="4"/>
  <c r="L40" i="4"/>
  <c r="L64" i="4"/>
  <c r="L75" i="4"/>
  <c r="L88" i="4"/>
  <c r="L91" i="4"/>
  <c r="L95" i="4"/>
  <c r="L97" i="4"/>
  <c r="L11" i="4"/>
  <c r="L14" i="4"/>
  <c r="L19" i="4"/>
  <c r="L21" i="4"/>
  <c r="L48" i="4"/>
  <c r="L63" i="4"/>
  <c r="L93" i="4"/>
  <c r="L6" i="4"/>
  <c r="L35" i="4"/>
  <c r="L25" i="4"/>
  <c r="L36" i="4"/>
  <c r="L45" i="4"/>
  <c r="L46" i="4"/>
  <c r="L77" i="4"/>
  <c r="L80" i="4"/>
  <c r="L56" i="4"/>
  <c r="L79" i="4"/>
  <c r="L83" i="4"/>
  <c r="L41" i="4"/>
  <c r="L89" i="4"/>
  <c r="L33" i="4"/>
  <c r="L52" i="4"/>
  <c r="L53" i="4"/>
  <c r="L69" i="4"/>
  <c r="L42" i="4"/>
  <c r="L54" i="4"/>
  <c r="L61" i="4"/>
  <c r="L62" i="4"/>
  <c r="L22" i="4"/>
  <c r="L43" i="4"/>
  <c r="L98" i="4"/>
  <c r="L101" i="4"/>
  <c r="L12" i="4"/>
  <c r="L27" i="4"/>
  <c r="L38" i="4"/>
  <c r="L50" i="4"/>
  <c r="L82" i="4"/>
  <c r="L92" i="4"/>
</calcChain>
</file>

<file path=xl/sharedStrings.xml><?xml version="1.0" encoding="utf-8"?>
<sst xmlns="http://schemas.openxmlformats.org/spreadsheetml/2006/main" count="309" uniqueCount="113">
  <si>
    <t>No</t>
  </si>
  <si>
    <t>Symbol</t>
  </si>
  <si>
    <t>Timeframe</t>
  </si>
  <si>
    <t>2026.02.13 15:40</t>
  </si>
  <si>
    <t>USDJPY.i</t>
  </si>
  <si>
    <t>2026.02.13 15:45</t>
  </si>
  <si>
    <t>2026.02.13 15:50</t>
  </si>
  <si>
    <t>2026.02.13 15:55</t>
  </si>
  <si>
    <t>2026.02.13 16:00</t>
  </si>
  <si>
    <t>2026.02.13 16:05</t>
  </si>
  <si>
    <t>2026.02.13 16:10</t>
  </si>
  <si>
    <t>2026.02.13 16:15</t>
  </si>
  <si>
    <t>2026.02.13 16:20</t>
  </si>
  <si>
    <t>2026.02.13 16:25</t>
  </si>
  <si>
    <t>2026.02.13 16:30</t>
  </si>
  <si>
    <t>2026.02.13 16:35</t>
  </si>
  <si>
    <t>2026.02.13 16:40</t>
  </si>
  <si>
    <t>2026.02.13 16:45</t>
  </si>
  <si>
    <t>2026.02.13 16:50</t>
  </si>
  <si>
    <t>2026.02.13 16:55</t>
  </si>
  <si>
    <t>2026.02.13 17:00</t>
  </si>
  <si>
    <t>2026.02.13 17:05</t>
  </si>
  <si>
    <t>2026.02.13 17:10</t>
  </si>
  <si>
    <t>2026.02.13 17:15</t>
  </si>
  <si>
    <t>2026.02.13 17:20</t>
  </si>
  <si>
    <t>2026.02.13 17:25</t>
  </si>
  <si>
    <t>2026.02.13 17:30</t>
  </si>
  <si>
    <t>2026.02.13 17:35</t>
  </si>
  <si>
    <t>2026.02.13 17:40</t>
  </si>
  <si>
    <t>2026.02.13 17:45</t>
  </si>
  <si>
    <t>2026.02.13 17:50</t>
  </si>
  <si>
    <t>2026.02.13 17:55</t>
  </si>
  <si>
    <t>2026.02.13 18:00</t>
  </si>
  <si>
    <t>2026.02.13 18:05</t>
  </si>
  <si>
    <t>2026.02.13 18:10</t>
  </si>
  <si>
    <t>2026.02.13 18:15</t>
  </si>
  <si>
    <t>2026.02.13 18:20</t>
  </si>
  <si>
    <t>2026.02.13 18:25</t>
  </si>
  <si>
    <t>2026.02.13 18:30</t>
  </si>
  <si>
    <t>2026.02.13 18:35</t>
  </si>
  <si>
    <t>2026.02.13 18:40</t>
  </si>
  <si>
    <t>2026.02.13 18:45</t>
  </si>
  <si>
    <t>2026.02.13 18:50</t>
  </si>
  <si>
    <t>2026.02.13 18:55</t>
  </si>
  <si>
    <t>2026.02.13 19:00</t>
  </si>
  <si>
    <t>2026.02.13 19:05</t>
  </si>
  <si>
    <t>2026.02.13 19:10</t>
  </si>
  <si>
    <t>2026.02.13 19:15</t>
  </si>
  <si>
    <t>2026.02.13 19:20</t>
  </si>
  <si>
    <t>2026.02.13 19:25</t>
  </si>
  <si>
    <t>2026.02.13 19:30</t>
  </si>
  <si>
    <t>2026.02.13 19:35</t>
  </si>
  <si>
    <t>2026.02.13 19:40</t>
  </si>
  <si>
    <t>2026.02.13 19:45</t>
  </si>
  <si>
    <t>2026.02.13 19:50</t>
  </si>
  <si>
    <t>2026.02.13 19:55</t>
  </si>
  <si>
    <t>2026.02.13 20:00</t>
  </si>
  <si>
    <t>2026.02.13 20:05</t>
  </si>
  <si>
    <t>2026.02.13 20:10</t>
  </si>
  <si>
    <t>2026.02.13 20:15</t>
  </si>
  <si>
    <t>2026.02.13 20:20</t>
  </si>
  <si>
    <t>2026.02.13 20:25</t>
  </si>
  <si>
    <t>2026.02.13 20:30</t>
  </si>
  <si>
    <t>2026.02.13 20:35</t>
  </si>
  <si>
    <t>2026.02.13 20:40</t>
  </si>
  <si>
    <t>2026.02.13 20:45</t>
  </si>
  <si>
    <t>2026.02.13 20:50</t>
  </si>
  <si>
    <t>2026.02.13 20:55</t>
  </si>
  <si>
    <t>2026.02.13 21:00</t>
  </si>
  <si>
    <t>2026.02.13 21:05</t>
  </si>
  <si>
    <t>2026.02.13 21:10</t>
  </si>
  <si>
    <t>2026.02.13 21:15</t>
  </si>
  <si>
    <t>2026.02.13 21:20</t>
  </si>
  <si>
    <t>2026.02.13 21:25</t>
  </si>
  <si>
    <t>2026.02.13 21:30</t>
  </si>
  <si>
    <t>2026.02.13 21:35</t>
  </si>
  <si>
    <t>2026.02.13 21:40</t>
  </si>
  <si>
    <t>2026.02.13 21:45</t>
  </si>
  <si>
    <t>2026.02.13 21:50</t>
  </si>
  <si>
    <t>2026.02.13 21:55</t>
  </si>
  <si>
    <t>2026.02.13 22:00</t>
  </si>
  <si>
    <t>2026.02.13 22:05</t>
  </si>
  <si>
    <t>2026.02.13 22:10</t>
  </si>
  <si>
    <t>2026.02.13 22:15</t>
  </si>
  <si>
    <t>2026.02.13 22:20</t>
  </si>
  <si>
    <t>2026.02.13 22:25</t>
  </si>
  <si>
    <t>2026.02.13 22:30</t>
  </si>
  <si>
    <t>2026.02.13 22:35</t>
  </si>
  <si>
    <t>2026.02.13 22:40</t>
  </si>
  <si>
    <t>2026.02.13 22:45</t>
  </si>
  <si>
    <t>2026.02.13 22:50</t>
  </si>
  <si>
    <t>2026.02.13 22:55</t>
  </si>
  <si>
    <t>2026.02.13 23:00</t>
  </si>
  <si>
    <t>2026.02.13 23:05</t>
  </si>
  <si>
    <t>2026.02.13 23:10</t>
  </si>
  <si>
    <t>2026.02.13 23:15</t>
  </si>
  <si>
    <t>2026.02.13 23:20</t>
  </si>
  <si>
    <t>2026.02.13 23:25</t>
  </si>
  <si>
    <t>2026.02.13 23:30</t>
  </si>
  <si>
    <t>2026.02.13 23:35</t>
  </si>
  <si>
    <t>2026.02.13 23:40</t>
  </si>
  <si>
    <t>2026.02.13 23:45</t>
  </si>
  <si>
    <t>2026.02.13 23:50</t>
  </si>
  <si>
    <t>PERIOD_M5</t>
  </si>
  <si>
    <t>TimeStamp</t>
  </si>
  <si>
    <t>High_Map</t>
  </si>
  <si>
    <t>Low_Map</t>
  </si>
  <si>
    <t>pinbar</t>
  </si>
  <si>
    <t>ZigZag_High</t>
  </si>
  <si>
    <t>ZigZag_Low</t>
  </si>
  <si>
    <t>Important High</t>
  </si>
  <si>
    <t>Important Low</t>
  </si>
  <si>
    <t>Important High/Low with Rejection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</si>
</sst>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6" fillId="33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 vertical="center"/>
    </xf>
    <xf numFmtId="0" fontId="13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9371C-37CA-4128-8A00-AC11AD2BDF3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11ED-ADA3-4BD7-B8BE-0DF761DB1DBE}">
  <dimension ref="A4:L104"/>
  <sheetViews>
    <sheetView tabSelected="1" zoomScale="70" zoomScaleNormal="70" workbookViewId="0">
      <selection activeCell="K26" sqref="K26"/>
    </sheetView>
  </sheetViews>
  <sheetFormatPr defaultRowHeight="14.4" x14ac:dyDescent="0.55000000000000004"/>
  <cols>
    <col min="1" max="1" width="3.15625" bestFit="1" customWidth="1"/>
    <col min="2" max="2" width="14.62890625" customWidth="1"/>
    <col min="4" max="4" width="10.41796875" bestFit="1" customWidth="1"/>
    <col min="5" max="5" width="9.15625" bestFit="1" customWidth="1"/>
    <col min="6" max="6" width="8.83984375" bestFit="1" customWidth="1"/>
    <col min="7" max="7" width="10.5234375" bestFit="1" customWidth="1"/>
    <col min="8" max="8" width="10.20703125" bestFit="1" customWidth="1"/>
    <col min="9" max="9" width="6.05078125" bestFit="1" customWidth="1"/>
    <col min="10" max="10" width="13.15625" bestFit="1" customWidth="1"/>
    <col min="11" max="11" width="12.83984375" bestFit="1" customWidth="1"/>
    <col min="12" max="12" width="25.1015625" bestFit="1" customWidth="1"/>
    <col min="13" max="13" width="18.68359375" bestFit="1" customWidth="1"/>
    <col min="15" max="17" width="19.734375" bestFit="1" customWidth="1"/>
    <col min="18" max="20" width="19.83984375" bestFit="1" customWidth="1"/>
  </cols>
  <sheetData>
    <row r="4" spans="1:12" ht="28.8" x14ac:dyDescent="0.55000000000000004">
      <c r="A4" s="5" t="s">
        <v>0</v>
      </c>
      <c r="B4" s="5" t="s">
        <v>104</v>
      </c>
      <c r="C4" s="5" t="s">
        <v>1</v>
      </c>
      <c r="D4" s="5" t="s">
        <v>2</v>
      </c>
      <c r="E4" s="5" t="s">
        <v>105</v>
      </c>
      <c r="F4" s="5" t="s">
        <v>106</v>
      </c>
      <c r="G4" s="5" t="s">
        <v>108</v>
      </c>
      <c r="H4" s="5" t="s">
        <v>109</v>
      </c>
      <c r="I4" s="5" t="s">
        <v>107</v>
      </c>
      <c r="J4" s="4" t="s">
        <v>110</v>
      </c>
      <c r="K4" s="4" t="s">
        <v>111</v>
      </c>
      <c r="L4" s="3" t="s">
        <v>112</v>
      </c>
    </row>
    <row r="5" spans="1:12" x14ac:dyDescent="0.55000000000000004">
      <c r="A5" s="1">
        <v>1</v>
      </c>
      <c r="B5" s="1" t="s">
        <v>3</v>
      </c>
      <c r="C5" s="1" t="s">
        <v>4</v>
      </c>
      <c r="D5" s="1" t="s">
        <v>103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2" t="str">
        <f>IF(AND(E5=G5,E5&gt;0,G5&gt;0),"Important High","------")</f>
        <v>------</v>
      </c>
      <c r="K5" s="2" t="str">
        <f>IF(AND(F5=H5,F5&gt;0,H5&gt;0),"Important Low","------")</f>
        <v>------</v>
      </c>
      <c r="L5" s="1" t="str">
        <f>IF(OR(J5="Important High",K5="Important High"),IF(I5=1,"Important High with Rejection",""),IF(OR(J5="Important Low",K5="Important Low"),IF(I5=1,"Important Low with Rejection",""),""))</f>
        <v/>
      </c>
    </row>
    <row r="6" spans="1:12" x14ac:dyDescent="0.55000000000000004">
      <c r="A6" s="1">
        <v>2</v>
      </c>
      <c r="B6" s="1" t="s">
        <v>5</v>
      </c>
      <c r="C6" s="1" t="s">
        <v>4</v>
      </c>
      <c r="D6" s="1" t="s">
        <v>103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2" t="str">
        <f>IF(AND(E6=G6,E6&gt;0,G6&gt;0),"Important High","------")</f>
        <v>------</v>
      </c>
      <c r="K6" s="2" t="str">
        <f>IF(AND(F6=H6,F6&gt;0,H6&gt;0),"Important Low","------")</f>
        <v>------</v>
      </c>
      <c r="L6" s="1" t="str">
        <f>IF(OR(J6="Important High",K6="Important High"),IF(I6=1,"Important High with Rejection",""),IF(OR(J6="Important Low",K6="Important Low"),IF(I6=1,"Important Low with Rejection",""),""))</f>
        <v/>
      </c>
    </row>
    <row r="7" spans="1:12" x14ac:dyDescent="0.55000000000000004">
      <c r="A7" s="1">
        <v>3</v>
      </c>
      <c r="B7" s="1" t="s">
        <v>6</v>
      </c>
      <c r="C7" s="1" t="s">
        <v>4</v>
      </c>
      <c r="D7" s="1" t="s">
        <v>103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2" t="str">
        <f>IF(AND(E7=G7,E7&gt;0,G7&gt;0),"Important High","------")</f>
        <v>------</v>
      </c>
      <c r="K7" s="2" t="str">
        <f>IF(AND(F7=H7,F7&gt;0,H7&gt;0),"Important Low","------")</f>
        <v>------</v>
      </c>
      <c r="L7" s="1" t="str">
        <f>IF(OR(J7="Important High",K7="Important High"),IF(I7=1,"Important High with Rejection",""),IF(OR(J7="Important Low",K7="Important Low"),IF(I7=1,"Important Low with Rejection",""),""))</f>
        <v/>
      </c>
    </row>
    <row r="8" spans="1:12" x14ac:dyDescent="0.55000000000000004">
      <c r="A8" s="1">
        <v>4</v>
      </c>
      <c r="B8" s="1" t="s">
        <v>7</v>
      </c>
      <c r="C8" s="1" t="s">
        <v>4</v>
      </c>
      <c r="D8" s="1" t="s">
        <v>103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2" t="str">
        <f>IF(AND(E8=G8,E8&gt;0,G8&gt;0),"Important High","------")</f>
        <v>------</v>
      </c>
      <c r="K8" s="2" t="str">
        <f>IF(AND(F8=H8,F8&gt;0,H8&gt;0),"Important Low","------")</f>
        <v>------</v>
      </c>
      <c r="L8" s="1" t="str">
        <f>IF(OR(J8="Important High",K8="Important High"),IF(I8=1,"Important High with Rejection",""),IF(OR(J8="Important Low",K8="Important Low"),IF(I8=1,"Important Low with Rejection",""),""))</f>
        <v/>
      </c>
    </row>
    <row r="9" spans="1:12" x14ac:dyDescent="0.55000000000000004">
      <c r="A9" s="1">
        <v>5</v>
      </c>
      <c r="B9" s="1" t="s">
        <v>8</v>
      </c>
      <c r="C9" s="1" t="s">
        <v>4</v>
      </c>
      <c r="D9" s="1" t="s">
        <v>103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2" t="str">
        <f>IF(AND(E9=G9,E9&gt;0,G9&gt;0),"Important High","------")</f>
        <v>------</v>
      </c>
      <c r="K9" s="2" t="str">
        <f>IF(AND(F9=H9,F9&gt;0,H9&gt;0),"Important Low","------")</f>
        <v>------</v>
      </c>
      <c r="L9" s="1" t="str">
        <f>IF(OR(J9="Important High",K9="Important High"),IF(I9=1,"Important High with Rejection",""),IF(OR(J9="Important Low",K9="Important Low"),IF(I9=1,"Important Low with Rejection",""),""))</f>
        <v/>
      </c>
    </row>
    <row r="10" spans="1:12" x14ac:dyDescent="0.55000000000000004">
      <c r="A10" s="1">
        <v>6</v>
      </c>
      <c r="B10" s="1" t="s">
        <v>9</v>
      </c>
      <c r="C10" s="1" t="s">
        <v>4</v>
      </c>
      <c r="D10" s="1" t="s">
        <v>103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2" t="str">
        <f>IF(AND(E10=G10,E10&gt;0,G10&gt;0),"Important High","------")</f>
        <v>------</v>
      </c>
      <c r="K10" s="2" t="str">
        <f>IF(AND(F10=H10,F10&gt;0,H10&gt;0),"Important Low","------")</f>
        <v>------</v>
      </c>
      <c r="L10" s="1" t="str">
        <f>IF(OR(J10="Important High",K10="Important High"),IF(I10=1,"Important High with Rejection",""),IF(OR(J10="Important Low",K10="Important Low"),IF(I10=1,"Important Low with Rejection",""),""))</f>
        <v/>
      </c>
    </row>
    <row r="11" spans="1:12" x14ac:dyDescent="0.55000000000000004">
      <c r="A11" s="1">
        <v>7</v>
      </c>
      <c r="B11" s="1" t="s">
        <v>10</v>
      </c>
      <c r="C11" s="1" t="s">
        <v>4</v>
      </c>
      <c r="D11" s="1" t="s">
        <v>103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2" t="str">
        <f>IF(AND(E11=G11,E11&gt;0,G11&gt;0),"Important High","------")</f>
        <v>------</v>
      </c>
      <c r="K11" s="2" t="str">
        <f>IF(AND(F11=H11,F11&gt;0,H11&gt;0),"Important Low","------")</f>
        <v>------</v>
      </c>
      <c r="L11" s="1" t="str">
        <f>IF(OR(J11="Important High",K11="Important High"),IF(I11=1,"Important High with Rejection",""),IF(OR(J11="Important Low",K11="Important Low"),IF(I11=1,"Important Low with Rejection",""),""))</f>
        <v/>
      </c>
    </row>
    <row r="12" spans="1:12" x14ac:dyDescent="0.55000000000000004">
      <c r="A12" s="1">
        <v>8</v>
      </c>
      <c r="B12" s="1" t="s">
        <v>11</v>
      </c>
      <c r="C12" s="1" t="s">
        <v>4</v>
      </c>
      <c r="D12" s="1" t="s">
        <v>103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2" t="str">
        <f>IF(AND(E12=G12,E12&gt;0,G12&gt;0),"Important High","------")</f>
        <v>------</v>
      </c>
      <c r="K12" s="2" t="str">
        <f>IF(AND(F12=H12,F12&gt;0,H12&gt;0),"Important Low","------")</f>
        <v>------</v>
      </c>
      <c r="L12" s="1" t="str">
        <f>IF(OR(J12="Important High",K12="Important High"),IF(I12=1,"Important High with Rejection",""),IF(OR(J12="Important Low",K12="Important Low"),IF(I12=1,"Important Low with Rejection",""),""))</f>
        <v/>
      </c>
    </row>
    <row r="13" spans="1:12" x14ac:dyDescent="0.55000000000000004">
      <c r="A13" s="1">
        <v>9</v>
      </c>
      <c r="B13" s="1" t="s">
        <v>12</v>
      </c>
      <c r="C13" s="1" t="s">
        <v>4</v>
      </c>
      <c r="D13" s="1" t="s">
        <v>103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2" t="str">
        <f>IF(AND(E13=G13,E13&gt;0,G13&gt;0),"Important High","------")</f>
        <v>------</v>
      </c>
      <c r="K13" s="2" t="str">
        <f>IF(AND(F13=H13,F13&gt;0,H13&gt;0),"Important Low","------")</f>
        <v>------</v>
      </c>
      <c r="L13" s="1" t="str">
        <f>IF(OR(J13="Important High",K13="Important High"),IF(I13=1,"Important High with Rejection",""),IF(OR(J13="Important Low",K13="Important Low"),IF(I13=1,"Important Low with Rejection",""),""))</f>
        <v/>
      </c>
    </row>
    <row r="14" spans="1:12" x14ac:dyDescent="0.55000000000000004">
      <c r="A14" s="1">
        <v>10</v>
      </c>
      <c r="B14" s="1" t="s">
        <v>13</v>
      </c>
      <c r="C14" s="1" t="s">
        <v>4</v>
      </c>
      <c r="D14" s="1" t="s">
        <v>103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2" t="str">
        <f>IF(AND(E14=G14,E14&gt;0,G14&gt;0),"Important High","------")</f>
        <v>------</v>
      </c>
      <c r="K14" s="2" t="str">
        <f>IF(AND(F14=H14,F14&gt;0,H14&gt;0),"Important Low","------")</f>
        <v>------</v>
      </c>
      <c r="L14" s="1" t="str">
        <f>IF(OR(J14="Important High",K14="Important High"),IF(I14=1,"Important High with Rejection",""),IF(OR(J14="Important Low",K14="Important Low"),IF(I14=1,"Important Low with Rejection",""),""))</f>
        <v/>
      </c>
    </row>
    <row r="15" spans="1:12" x14ac:dyDescent="0.55000000000000004">
      <c r="A15" s="1">
        <v>11</v>
      </c>
      <c r="B15" s="1" t="s">
        <v>14</v>
      </c>
      <c r="C15" s="1" t="s">
        <v>4</v>
      </c>
      <c r="D15" s="1" t="s">
        <v>103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2" t="str">
        <f>IF(AND(E15=G15,E15&gt;0,G15&gt;0),"Important High","------")</f>
        <v>------</v>
      </c>
      <c r="K15" s="2" t="str">
        <f>IF(AND(F15=H15,F15&gt;0,H15&gt;0),"Important Low","------")</f>
        <v>------</v>
      </c>
      <c r="L15" s="1" t="str">
        <f>IF(OR(J15="Important High",K15="Important High"),IF(I15=1,"Important High with Rejection",""),IF(OR(J15="Important Low",K15="Important Low"),IF(I15=1,"Important Low with Rejection",""),""))</f>
        <v/>
      </c>
    </row>
    <row r="16" spans="1:12" x14ac:dyDescent="0.55000000000000004">
      <c r="A16" s="1">
        <v>12</v>
      </c>
      <c r="B16" s="1" t="s">
        <v>15</v>
      </c>
      <c r="C16" s="1" t="s">
        <v>4</v>
      </c>
      <c r="D16" s="1" t="s">
        <v>103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2" t="str">
        <f>IF(AND(E16=G16,E16&gt;0,G16&gt;0),"Important High","------")</f>
        <v>------</v>
      </c>
      <c r="K16" s="2" t="str">
        <f>IF(AND(F16=H16,F16&gt;0,H16&gt;0),"Important Low","------")</f>
        <v>------</v>
      </c>
      <c r="L16" s="1" t="str">
        <f>IF(OR(J16="Important High",K16="Important High"),IF(I16=1,"Important High with Rejection",""),IF(OR(J16="Important Low",K16="Important Low"),IF(I16=1,"Important Low with Rejection",""),""))</f>
        <v/>
      </c>
    </row>
    <row r="17" spans="1:12" x14ac:dyDescent="0.55000000000000004">
      <c r="A17" s="1">
        <v>13</v>
      </c>
      <c r="B17" s="1" t="s">
        <v>16</v>
      </c>
      <c r="C17" s="1" t="s">
        <v>4</v>
      </c>
      <c r="D17" s="1" t="s">
        <v>103</v>
      </c>
      <c r="E17" s="1">
        <v>0</v>
      </c>
      <c r="F17" s="1">
        <v>152.78700000000001</v>
      </c>
      <c r="G17" s="1">
        <v>0</v>
      </c>
      <c r="H17" s="1">
        <v>152.78700000000001</v>
      </c>
      <c r="I17" s="1">
        <v>0</v>
      </c>
      <c r="J17" s="2" t="str">
        <f>IF(AND(E17=G17,E17&gt;0,G17&gt;0),"Important High","------")</f>
        <v>------</v>
      </c>
      <c r="K17" s="2" t="str">
        <f>IF(AND(F17=H17,F17&gt;0,H17&gt;0),"Important Low","------")</f>
        <v>Important Low</v>
      </c>
      <c r="L17" s="1" t="str">
        <f>IF(OR(J17="Important High",K17="Important High"),IF(I17=1,"Important High with Rejection",""),IF(OR(J17="Important Low",K17="Important Low"),IF(I17=1,"Important Low with Rejection",""),""))</f>
        <v/>
      </c>
    </row>
    <row r="18" spans="1:12" x14ac:dyDescent="0.55000000000000004">
      <c r="A18" s="1">
        <v>14</v>
      </c>
      <c r="B18" s="1" t="s">
        <v>17</v>
      </c>
      <c r="C18" s="1" t="s">
        <v>4</v>
      </c>
      <c r="D18" s="1" t="s">
        <v>103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2" t="str">
        <f>IF(AND(E18=G18,E18&gt;0,G18&gt;0),"Important High","------")</f>
        <v>------</v>
      </c>
      <c r="K18" s="2" t="str">
        <f>IF(AND(F18=H18,F18&gt;0,H18&gt;0),"Important Low","------")</f>
        <v>------</v>
      </c>
      <c r="L18" s="1" t="str">
        <f>IF(OR(J18="Important High",K18="Important High"),IF(I18=1,"Important High with Rejection",""),IF(OR(J18="Important Low",K18="Important Low"),IF(I18=1,"Important Low with Rejection",""),""))</f>
        <v/>
      </c>
    </row>
    <row r="19" spans="1:12" x14ac:dyDescent="0.55000000000000004">
      <c r="A19" s="1">
        <v>15</v>
      </c>
      <c r="B19" s="1" t="s">
        <v>18</v>
      </c>
      <c r="C19" s="1" t="s">
        <v>4</v>
      </c>
      <c r="D19" s="1" t="s">
        <v>103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2" t="str">
        <f>IF(AND(E19=G19,E19&gt;0,G19&gt;0),"Important High","------")</f>
        <v>------</v>
      </c>
      <c r="K19" s="2" t="str">
        <f>IF(AND(F19=H19,F19&gt;0,H19&gt;0),"Important Low","------")</f>
        <v>------</v>
      </c>
      <c r="L19" s="1" t="str">
        <f>IF(OR(J19="Important High",K19="Important High"),IF(I19=1,"Important High with Rejection",""),IF(OR(J19="Important Low",K19="Important Low"),IF(I19=1,"Important Low with Rejection",""),""))</f>
        <v/>
      </c>
    </row>
    <row r="20" spans="1:12" x14ac:dyDescent="0.55000000000000004">
      <c r="A20" s="1">
        <v>16</v>
      </c>
      <c r="B20" s="1" t="s">
        <v>19</v>
      </c>
      <c r="C20" s="1" t="s">
        <v>4</v>
      </c>
      <c r="D20" s="1" t="s">
        <v>103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2" t="str">
        <f>IF(AND(E20=G20,E20&gt;0,G20&gt;0),"Important High","------")</f>
        <v>------</v>
      </c>
      <c r="K20" s="2" t="str">
        <f>IF(AND(F20=H20,F20&gt;0,H20&gt;0),"Important Low","------")</f>
        <v>------</v>
      </c>
      <c r="L20" s="1" t="str">
        <f>IF(OR(J20="Important High",K20="Important High"),IF(I20=1,"Important High with Rejection",""),IF(OR(J20="Important Low",K20="Important Low"),IF(I20=1,"Important Low with Rejection",""),""))</f>
        <v/>
      </c>
    </row>
    <row r="21" spans="1:12" x14ac:dyDescent="0.55000000000000004">
      <c r="A21" s="1">
        <v>17</v>
      </c>
      <c r="B21" s="1" t="s">
        <v>20</v>
      </c>
      <c r="C21" s="1" t="s">
        <v>4</v>
      </c>
      <c r="D21" s="1" t="s">
        <v>103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2" t="str">
        <f>IF(AND(E21=G21,E21&gt;0,G21&gt;0),"Important High","------")</f>
        <v>------</v>
      </c>
      <c r="K21" s="2" t="str">
        <f>IF(AND(F21=H21,F21&gt;0,H21&gt;0),"Important Low","------")</f>
        <v>------</v>
      </c>
      <c r="L21" s="1" t="str">
        <f>IF(OR(J21="Important High",K21="Important High"),IF(I21=1,"Important High with Rejection",""),IF(OR(J21="Important Low",K21="Important Low"),IF(I21=1,"Important Low with Rejection",""),""))</f>
        <v/>
      </c>
    </row>
    <row r="22" spans="1:12" x14ac:dyDescent="0.55000000000000004">
      <c r="A22" s="1">
        <v>18</v>
      </c>
      <c r="B22" s="1" t="s">
        <v>21</v>
      </c>
      <c r="C22" s="1" t="s">
        <v>4</v>
      </c>
      <c r="D22" s="1" t="s">
        <v>103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2" t="str">
        <f>IF(AND(E22=G22,E22&gt;0,G22&gt;0),"Important High","------")</f>
        <v>------</v>
      </c>
      <c r="K22" s="2" t="str">
        <f>IF(AND(F22=H22,F22&gt;0,H22&gt;0),"Important Low","------")</f>
        <v>------</v>
      </c>
      <c r="L22" s="1" t="str">
        <f>IF(OR(J22="Important High",K22="Important High"),IF(I22=1,"Important High with Rejection",""),IF(OR(J22="Important Low",K22="Important Low"),IF(I22=1,"Important Low with Rejection",""),""))</f>
        <v/>
      </c>
    </row>
    <row r="23" spans="1:12" x14ac:dyDescent="0.55000000000000004">
      <c r="A23" s="1">
        <v>19</v>
      </c>
      <c r="B23" s="1" t="s">
        <v>22</v>
      </c>
      <c r="C23" s="1" t="s">
        <v>4</v>
      </c>
      <c r="D23" s="1" t="s">
        <v>103</v>
      </c>
      <c r="E23" s="1">
        <v>0</v>
      </c>
      <c r="F23" s="1">
        <v>0</v>
      </c>
      <c r="G23" s="1">
        <v>153.15100000000001</v>
      </c>
      <c r="H23" s="1">
        <v>0</v>
      </c>
      <c r="I23" s="1">
        <v>1</v>
      </c>
      <c r="J23" s="2" t="str">
        <f>IF(AND(E23=G23,E23&gt;0,G23&gt;0),"Important High","------")</f>
        <v>------</v>
      </c>
      <c r="K23" s="2" t="str">
        <f>IF(AND(F23=H23,F23&gt;0,H23&gt;0),"Important Low","------")</f>
        <v>------</v>
      </c>
      <c r="L23" s="1" t="str">
        <f>IF(OR(J23="Important High",K23="Important High"),IF(I23=1,"Important High with Rejection",""),IF(OR(J23="Important Low",K23="Important Low"),IF(I23=1,"Important Low with Rejection",""),""))</f>
        <v/>
      </c>
    </row>
    <row r="24" spans="1:12" x14ac:dyDescent="0.55000000000000004">
      <c r="A24" s="1">
        <v>20</v>
      </c>
      <c r="B24" s="1" t="s">
        <v>23</v>
      </c>
      <c r="C24" s="1" t="s">
        <v>4</v>
      </c>
      <c r="D24" s="1" t="s">
        <v>103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2" t="str">
        <f>IF(AND(E24=G24,E24&gt;0,G24&gt;0),"Important High","------")</f>
        <v>------</v>
      </c>
      <c r="K24" s="2" t="str">
        <f>IF(AND(F24=H24,F24&gt;0,H24&gt;0),"Important Low","------")</f>
        <v>------</v>
      </c>
      <c r="L24" s="1" t="str">
        <f>IF(OR(J24="Important High",K24="Important High"),IF(I24=1,"Important High with Rejection",""),IF(OR(J24="Important Low",K24="Important Low"),IF(I24=1,"Important Low with Rejection",""),""))</f>
        <v/>
      </c>
    </row>
    <row r="25" spans="1:12" x14ac:dyDescent="0.55000000000000004">
      <c r="A25" s="1">
        <v>21</v>
      </c>
      <c r="B25" s="1" t="s">
        <v>24</v>
      </c>
      <c r="C25" s="1" t="s">
        <v>4</v>
      </c>
      <c r="D25" s="1" t="s">
        <v>103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2" t="str">
        <f>IF(AND(E25=G25,E25&gt;0,G25&gt;0),"Important High","------")</f>
        <v>------</v>
      </c>
      <c r="K25" s="2" t="str">
        <f>IF(AND(F25=H25,F25&gt;0,H25&gt;0),"Important Low","------")</f>
        <v>------</v>
      </c>
      <c r="L25" s="1" t="str">
        <f>IF(OR(J25="Important High",K25="Important High"),IF(I25=1,"Important High with Rejection",""),IF(OR(J25="Important Low",K25="Important Low"),IF(I25=1,"Important Low with Rejection",""),""))</f>
        <v/>
      </c>
    </row>
    <row r="26" spans="1:12" x14ac:dyDescent="0.55000000000000004">
      <c r="A26" s="1">
        <v>22</v>
      </c>
      <c r="B26" s="1" t="s">
        <v>25</v>
      </c>
      <c r="C26" s="1" t="s">
        <v>4</v>
      </c>
      <c r="D26" s="1" t="s">
        <v>103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2" t="str">
        <f>IF(AND(E26=G26,E26&gt;0,G26&gt;0),"Important High","------")</f>
        <v>------</v>
      </c>
      <c r="K26" s="2" t="str">
        <f>IF(AND(F26=H26,F26&gt;0,H26&gt;0),"Important Low","------")</f>
        <v>------</v>
      </c>
      <c r="L26" s="1" t="str">
        <f>IF(OR(J26="Important High",K26="Important High"),IF(I26=1,"Important High with Rejection",""),IF(OR(J26="Important Low",K26="Important Low"),IF(I26=1,"Important Low with Rejection",""),""))</f>
        <v/>
      </c>
    </row>
    <row r="27" spans="1:12" x14ac:dyDescent="0.55000000000000004">
      <c r="A27" s="1">
        <v>23</v>
      </c>
      <c r="B27" s="1" t="s">
        <v>26</v>
      </c>
      <c r="C27" s="1" t="s">
        <v>4</v>
      </c>
      <c r="D27" s="1" t="s">
        <v>103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2" t="str">
        <f>IF(AND(E27=G27,E27&gt;0,G27&gt;0),"Important High","------")</f>
        <v>------</v>
      </c>
      <c r="K27" s="2" t="str">
        <f>IF(AND(F27=H27,F27&gt;0,H27&gt;0),"Important Low","------")</f>
        <v>------</v>
      </c>
      <c r="L27" s="1" t="str">
        <f>IF(OR(J27="Important High",K27="Important High"),IF(I27=1,"Important High with Rejection",""),IF(OR(J27="Important Low",K27="Important Low"),IF(I27=1,"Important Low with Rejection",""),""))</f>
        <v/>
      </c>
    </row>
    <row r="28" spans="1:12" x14ac:dyDescent="0.55000000000000004">
      <c r="A28" s="1">
        <v>24</v>
      </c>
      <c r="B28" s="1" t="s">
        <v>27</v>
      </c>
      <c r="C28" s="1" t="s">
        <v>4</v>
      </c>
      <c r="D28" s="1" t="s">
        <v>103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2" t="str">
        <f>IF(AND(E28=G28,E28&gt;0,G28&gt;0),"Important High","------")</f>
        <v>------</v>
      </c>
      <c r="K28" s="2" t="str">
        <f>IF(AND(F28=H28,F28&gt;0,H28&gt;0),"Important Low","------")</f>
        <v>------</v>
      </c>
      <c r="L28" s="1" t="str">
        <f>IF(OR(J28="Important High",K28="Important High"),IF(I28=1,"Important High with Rejection",""),IF(OR(J28="Important Low",K28="Important Low"),IF(I28=1,"Important Low with Rejection",""),""))</f>
        <v/>
      </c>
    </row>
    <row r="29" spans="1:12" x14ac:dyDescent="0.55000000000000004">
      <c r="A29" s="1">
        <v>25</v>
      </c>
      <c r="B29" s="1" t="s">
        <v>28</v>
      </c>
      <c r="C29" s="1" t="s">
        <v>4</v>
      </c>
      <c r="D29" s="1" t="s">
        <v>103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2" t="str">
        <f>IF(AND(E29=G29,E29&gt;0,G29&gt;0),"Important High","------")</f>
        <v>------</v>
      </c>
      <c r="K29" s="2" t="str">
        <f>IF(AND(F29=H29,F29&gt;0,H29&gt;0),"Important Low","------")</f>
        <v>------</v>
      </c>
      <c r="L29" s="1" t="str">
        <f>IF(OR(J29="Important High",K29="Important High"),IF(I29=1,"Important High with Rejection",""),IF(OR(J29="Important Low",K29="Important Low"),IF(I29=1,"Important Low with Rejection",""),""))</f>
        <v/>
      </c>
    </row>
    <row r="30" spans="1:12" x14ac:dyDescent="0.55000000000000004">
      <c r="A30" s="1">
        <v>26</v>
      </c>
      <c r="B30" s="1" t="s">
        <v>29</v>
      </c>
      <c r="C30" s="1" t="s">
        <v>4</v>
      </c>
      <c r="D30" s="1" t="s">
        <v>103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2" t="str">
        <f>IF(AND(E30=G30,E30&gt;0,G30&gt;0),"Important High","------")</f>
        <v>------</v>
      </c>
      <c r="K30" s="2" t="str">
        <f>IF(AND(F30=H30,F30&gt;0,H30&gt;0),"Important Low","------")</f>
        <v>------</v>
      </c>
      <c r="L30" s="1" t="str">
        <f>IF(OR(J30="Important High",K30="Important High"),IF(I30=1,"Important High with Rejection",""),IF(OR(J30="Important Low",K30="Important Low"),IF(I30=1,"Important Low with Rejection",""),""))</f>
        <v/>
      </c>
    </row>
    <row r="31" spans="1:12" x14ac:dyDescent="0.55000000000000004">
      <c r="A31" s="1">
        <v>27</v>
      </c>
      <c r="B31" s="1" t="s">
        <v>30</v>
      </c>
      <c r="C31" s="1" t="s">
        <v>4</v>
      </c>
      <c r="D31" s="1" t="s">
        <v>103</v>
      </c>
      <c r="E31" s="1">
        <v>0</v>
      </c>
      <c r="F31" s="1">
        <v>0</v>
      </c>
      <c r="G31" s="1">
        <v>0</v>
      </c>
      <c r="H31" s="1">
        <v>152.90700000000001</v>
      </c>
      <c r="I31" s="1">
        <v>0</v>
      </c>
      <c r="J31" s="2" t="str">
        <f>IF(AND(E31=G31,E31&gt;0,G31&gt;0),"Important High","------")</f>
        <v>------</v>
      </c>
      <c r="K31" s="2" t="str">
        <f>IF(AND(F31=H31,F31&gt;0,H31&gt;0),"Important Low","------")</f>
        <v>------</v>
      </c>
      <c r="L31" s="1" t="str">
        <f>IF(OR(J31="Important High",K31="Important High"),IF(I31=1,"Important High with Rejection",""),IF(OR(J31="Important Low",K31="Important Low"),IF(I31=1,"Important Low with Rejection",""),""))</f>
        <v/>
      </c>
    </row>
    <row r="32" spans="1:12" x14ac:dyDescent="0.55000000000000004">
      <c r="A32" s="1">
        <v>28</v>
      </c>
      <c r="B32" s="1" t="s">
        <v>31</v>
      </c>
      <c r="C32" s="1" t="s">
        <v>4</v>
      </c>
      <c r="D32" s="1" t="s">
        <v>103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2" t="str">
        <f>IF(AND(E32=G32,E32&gt;0,G32&gt;0),"Important High","------")</f>
        <v>------</v>
      </c>
      <c r="K32" s="2" t="str">
        <f>IF(AND(F32=H32,F32&gt;0,H32&gt;0),"Important Low","------")</f>
        <v>------</v>
      </c>
      <c r="L32" s="1" t="str">
        <f>IF(OR(J32="Important High",K32="Important High"),IF(I32=1,"Important High with Rejection",""),IF(OR(J32="Important Low",K32="Important Low"),IF(I32=1,"Important Low with Rejection",""),""))</f>
        <v/>
      </c>
    </row>
    <row r="33" spans="1:12" x14ac:dyDescent="0.55000000000000004">
      <c r="A33" s="1">
        <v>29</v>
      </c>
      <c r="B33" s="1" t="s">
        <v>32</v>
      </c>
      <c r="C33" s="1" t="s">
        <v>4</v>
      </c>
      <c r="D33" s="1" t="s">
        <v>103</v>
      </c>
      <c r="E33" s="1">
        <v>153.22499999999999</v>
      </c>
      <c r="F33" s="1">
        <v>0</v>
      </c>
      <c r="G33" s="1">
        <v>153.22499999999999</v>
      </c>
      <c r="H33" s="1">
        <v>0</v>
      </c>
      <c r="I33" s="1">
        <v>0</v>
      </c>
      <c r="J33" s="2" t="str">
        <f>IF(AND(E33=G33,E33&gt;0,G33&gt;0),"Important High","------")</f>
        <v>Important High</v>
      </c>
      <c r="K33" s="2" t="str">
        <f>IF(AND(F33=H33,F33&gt;0,H33&gt;0),"Important Low","------")</f>
        <v>------</v>
      </c>
      <c r="L33" s="1" t="str">
        <f>IF(OR(J33="Important High",K33="Important High"),IF(I33=1,"Important High with Rejection",""),IF(OR(J33="Important Low",K33="Important Low"),IF(I33=1,"Important Low with Rejection",""),""))</f>
        <v/>
      </c>
    </row>
    <row r="34" spans="1:12" x14ac:dyDescent="0.55000000000000004">
      <c r="A34" s="1">
        <v>30</v>
      </c>
      <c r="B34" s="1" t="s">
        <v>33</v>
      </c>
      <c r="C34" s="1" t="s">
        <v>4</v>
      </c>
      <c r="D34" s="1" t="s">
        <v>103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2" t="str">
        <f>IF(AND(E34=G34,E34&gt;0,G34&gt;0),"Important High","------")</f>
        <v>------</v>
      </c>
      <c r="K34" s="2" t="str">
        <f>IF(AND(F34=H34,F34&gt;0,H34&gt;0),"Important Low","------")</f>
        <v>------</v>
      </c>
      <c r="L34" s="1" t="str">
        <f>IF(OR(J34="Important High",K34="Important High"),IF(I34=1,"Important High with Rejection",""),IF(OR(J34="Important Low",K34="Important Low"),IF(I34=1,"Important Low with Rejection",""),""))</f>
        <v/>
      </c>
    </row>
    <row r="35" spans="1:12" x14ac:dyDescent="0.55000000000000004">
      <c r="A35" s="1">
        <v>31</v>
      </c>
      <c r="B35" s="1" t="s">
        <v>34</v>
      </c>
      <c r="C35" s="1" t="s">
        <v>4</v>
      </c>
      <c r="D35" s="1" t="s">
        <v>103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2" t="str">
        <f>IF(AND(E35=G35,E35&gt;0,G35&gt;0),"Important High","------")</f>
        <v>------</v>
      </c>
      <c r="K35" s="2" t="str">
        <f>IF(AND(F35=H35,F35&gt;0,H35&gt;0),"Important Low","------")</f>
        <v>------</v>
      </c>
      <c r="L35" s="1" t="str">
        <f>IF(OR(J35="Important High",K35="Important High"),IF(I35=1,"Important High with Rejection",""),IF(OR(J35="Important Low",K35="Important Low"),IF(I35=1,"Important Low with Rejection",""),""))</f>
        <v/>
      </c>
    </row>
    <row r="36" spans="1:12" x14ac:dyDescent="0.55000000000000004">
      <c r="A36" s="1">
        <v>32</v>
      </c>
      <c r="B36" s="1" t="s">
        <v>35</v>
      </c>
      <c r="C36" s="1" t="s">
        <v>4</v>
      </c>
      <c r="D36" s="1" t="s">
        <v>103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2" t="str">
        <f>IF(AND(E36=G36,E36&gt;0,G36&gt;0),"Important High","------")</f>
        <v>------</v>
      </c>
      <c r="K36" s="2" t="str">
        <f>IF(AND(F36=H36,F36&gt;0,H36&gt;0),"Important Low","------")</f>
        <v>------</v>
      </c>
      <c r="L36" s="1" t="str">
        <f>IF(OR(J36="Important High",K36="Important High"),IF(I36=1,"Important High with Rejection",""),IF(OR(J36="Important Low",K36="Important Low"),IF(I36=1,"Important Low with Rejection",""),""))</f>
        <v/>
      </c>
    </row>
    <row r="37" spans="1:12" x14ac:dyDescent="0.55000000000000004">
      <c r="A37" s="1">
        <v>33</v>
      </c>
      <c r="B37" s="1" t="s">
        <v>36</v>
      </c>
      <c r="C37" s="1" t="s">
        <v>4</v>
      </c>
      <c r="D37" s="1" t="s">
        <v>103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2" t="str">
        <f>IF(AND(E37=G37,E37&gt;0,G37&gt;0),"Important High","------")</f>
        <v>------</v>
      </c>
      <c r="K37" s="2" t="str">
        <f>IF(AND(F37=H37,F37&gt;0,H37&gt;0),"Important Low","------")</f>
        <v>------</v>
      </c>
      <c r="L37" s="1" t="str">
        <f>IF(OR(J37="Important High",K37="Important High"),IF(I37=1,"Important High with Rejection",""),IF(OR(J37="Important Low",K37="Important Low"),IF(I37=1,"Important Low with Rejection",""),""))</f>
        <v/>
      </c>
    </row>
    <row r="38" spans="1:12" x14ac:dyDescent="0.55000000000000004">
      <c r="A38" s="1">
        <v>34</v>
      </c>
      <c r="B38" s="1" t="s">
        <v>37</v>
      </c>
      <c r="C38" s="1" t="s">
        <v>4</v>
      </c>
      <c r="D38" s="1" t="s">
        <v>103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2" t="str">
        <f>IF(AND(E38=G38,E38&gt;0,G38&gt;0),"Important High","------")</f>
        <v>------</v>
      </c>
      <c r="K38" s="2" t="str">
        <f>IF(AND(F38=H38,F38&gt;0,H38&gt;0),"Important Low","------")</f>
        <v>------</v>
      </c>
      <c r="L38" s="1" t="str">
        <f>IF(OR(J38="Important High",K38="Important High"),IF(I38=1,"Important High with Rejection",""),IF(OR(J38="Important Low",K38="Important Low"),IF(I38=1,"Important Low with Rejection",""),""))</f>
        <v/>
      </c>
    </row>
    <row r="39" spans="1:12" x14ac:dyDescent="0.55000000000000004">
      <c r="A39" s="1">
        <v>35</v>
      </c>
      <c r="B39" s="1" t="s">
        <v>38</v>
      </c>
      <c r="C39" s="1" t="s">
        <v>4</v>
      </c>
      <c r="D39" s="1" t="s">
        <v>103</v>
      </c>
      <c r="E39" s="1">
        <v>0</v>
      </c>
      <c r="F39" s="1">
        <v>0</v>
      </c>
      <c r="G39" s="1">
        <v>0</v>
      </c>
      <c r="H39" s="1">
        <v>0</v>
      </c>
      <c r="I39" s="1">
        <v>1</v>
      </c>
      <c r="J39" s="2" t="str">
        <f>IF(AND(E39=G39,E39&gt;0,G39&gt;0),"Important High","------")</f>
        <v>------</v>
      </c>
      <c r="K39" s="2" t="str">
        <f>IF(AND(F39=H39,F39&gt;0,H39&gt;0),"Important Low","------")</f>
        <v>------</v>
      </c>
      <c r="L39" s="1" t="str">
        <f>IF(OR(J39="Important High",K39="Important High"),IF(I39=1,"Important High with Rejection",""),IF(OR(J39="Important Low",K39="Important Low"),IF(I39=1,"Important Low with Rejection",""),""))</f>
        <v/>
      </c>
    </row>
    <row r="40" spans="1:12" x14ac:dyDescent="0.55000000000000004">
      <c r="A40" s="1">
        <v>36</v>
      </c>
      <c r="B40" s="1" t="s">
        <v>39</v>
      </c>
      <c r="C40" s="1" t="s">
        <v>4</v>
      </c>
      <c r="D40" s="1" t="s">
        <v>103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2" t="str">
        <f>IF(AND(E40=G40,E40&gt;0,G40&gt;0),"Important High","------")</f>
        <v>------</v>
      </c>
      <c r="K40" s="2" t="str">
        <f>IF(AND(F40=H40,F40&gt;0,H40&gt;0),"Important Low","------")</f>
        <v>------</v>
      </c>
      <c r="L40" s="1" t="str">
        <f>IF(OR(J40="Important High",K40="Important High"),IF(I40=1,"Important High with Rejection",""),IF(OR(J40="Important Low",K40="Important Low"),IF(I40=1,"Important Low with Rejection",""),""))</f>
        <v/>
      </c>
    </row>
    <row r="41" spans="1:12" x14ac:dyDescent="0.55000000000000004">
      <c r="A41" s="1">
        <v>37</v>
      </c>
      <c r="B41" s="1" t="s">
        <v>40</v>
      </c>
      <c r="C41" s="1" t="s">
        <v>4</v>
      </c>
      <c r="D41" s="1" t="s">
        <v>103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2" t="str">
        <f>IF(AND(E41=G41,E41&gt;0,G41&gt;0),"Important High","------")</f>
        <v>------</v>
      </c>
      <c r="K41" s="2" t="str">
        <f>IF(AND(F41=H41,F41&gt;0,H41&gt;0),"Important Low","------")</f>
        <v>------</v>
      </c>
      <c r="L41" s="1" t="str">
        <f>IF(OR(J41="Important High",K41="Important High"),IF(I41=1,"Important High with Rejection",""),IF(OR(J41="Important Low",K41="Important Low"),IF(I41=1,"Important Low with Rejection",""),""))</f>
        <v/>
      </c>
    </row>
    <row r="42" spans="1:12" x14ac:dyDescent="0.55000000000000004">
      <c r="A42" s="1">
        <v>38</v>
      </c>
      <c r="B42" s="1" t="s">
        <v>41</v>
      </c>
      <c r="C42" s="1" t="s">
        <v>4</v>
      </c>
      <c r="D42" s="1" t="s">
        <v>103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2" t="str">
        <f>IF(AND(E42=G42,E42&gt;0,G42&gt;0),"Important High","------")</f>
        <v>------</v>
      </c>
      <c r="K42" s="2" t="str">
        <f>IF(AND(F42=H42,F42&gt;0,H42&gt;0),"Important Low","------")</f>
        <v>------</v>
      </c>
      <c r="L42" s="1" t="str">
        <f>IF(OR(J42="Important High",K42="Important High"),IF(I42=1,"Important High with Rejection",""),IF(OR(J42="Important Low",K42="Important Low"),IF(I42=1,"Important Low with Rejection",""),""))</f>
        <v/>
      </c>
    </row>
    <row r="43" spans="1:12" x14ac:dyDescent="0.55000000000000004">
      <c r="A43" s="1">
        <v>39</v>
      </c>
      <c r="B43" s="1" t="s">
        <v>42</v>
      </c>
      <c r="C43" s="1" t="s">
        <v>4</v>
      </c>
      <c r="D43" s="1" t="s">
        <v>103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2" t="str">
        <f>IF(AND(E43=G43,E43&gt;0,G43&gt;0),"Important High","------")</f>
        <v>------</v>
      </c>
      <c r="K43" s="2" t="str">
        <f>IF(AND(F43=H43,F43&gt;0,H43&gt;0),"Important Low","------")</f>
        <v>------</v>
      </c>
      <c r="L43" s="1" t="str">
        <f>IF(OR(J43="Important High",K43="Important High"),IF(I43=1,"Important High with Rejection",""),IF(OR(J43="Important Low",K43="Important Low"),IF(I43=1,"Important Low with Rejection",""),""))</f>
        <v/>
      </c>
    </row>
    <row r="44" spans="1:12" x14ac:dyDescent="0.55000000000000004">
      <c r="A44" s="1">
        <v>40</v>
      </c>
      <c r="B44" s="1" t="s">
        <v>43</v>
      </c>
      <c r="C44" s="1" t="s">
        <v>4</v>
      </c>
      <c r="D44" s="1" t="s">
        <v>103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2" t="str">
        <f>IF(AND(E44=G44,E44&gt;0,G44&gt;0),"Important High","------")</f>
        <v>------</v>
      </c>
      <c r="K44" s="2" t="str">
        <f>IF(AND(F44=H44,F44&gt;0,H44&gt;0),"Important Low","------")</f>
        <v>------</v>
      </c>
      <c r="L44" s="1" t="str">
        <f>IF(OR(J44="Important High",K44="Important High"),IF(I44=1,"Important High with Rejection",""),IF(OR(J44="Important Low",K44="Important Low"),IF(I44=1,"Important Low with Rejection",""),""))</f>
        <v/>
      </c>
    </row>
    <row r="45" spans="1:12" x14ac:dyDescent="0.55000000000000004">
      <c r="A45" s="1">
        <v>41</v>
      </c>
      <c r="B45" s="1" t="s">
        <v>44</v>
      </c>
      <c r="C45" s="1" t="s">
        <v>4</v>
      </c>
      <c r="D45" s="1" t="s">
        <v>103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2" t="str">
        <f>IF(AND(E45=G45,E45&gt;0,G45&gt;0),"Important High","------")</f>
        <v>------</v>
      </c>
      <c r="K45" s="2" t="str">
        <f>IF(AND(F45=H45,F45&gt;0,H45&gt;0),"Important Low","------")</f>
        <v>------</v>
      </c>
      <c r="L45" s="1" t="str">
        <f>IF(OR(J45="Important High",K45="Important High"),IF(I45=1,"Important High with Rejection",""),IF(OR(J45="Important Low",K45="Important Low"),IF(I45=1,"Important Low with Rejection",""),""))</f>
        <v/>
      </c>
    </row>
    <row r="46" spans="1:12" x14ac:dyDescent="0.55000000000000004">
      <c r="A46" s="1">
        <v>42</v>
      </c>
      <c r="B46" s="1" t="s">
        <v>45</v>
      </c>
      <c r="C46" s="1" t="s">
        <v>4</v>
      </c>
      <c r="D46" s="1" t="s">
        <v>103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2" t="str">
        <f>IF(AND(E46=G46,E46&gt;0,G46&gt;0),"Important High","------")</f>
        <v>------</v>
      </c>
      <c r="K46" s="2" t="str">
        <f>IF(AND(F46=H46,F46&gt;0,H46&gt;0),"Important Low","------")</f>
        <v>------</v>
      </c>
      <c r="L46" s="1" t="str">
        <f>IF(OR(J46="Important High",K46="Important High"),IF(I46=1,"Important High with Rejection",""),IF(OR(J46="Important Low",K46="Important Low"),IF(I46=1,"Important Low with Rejection",""),""))</f>
        <v/>
      </c>
    </row>
    <row r="47" spans="1:12" x14ac:dyDescent="0.55000000000000004">
      <c r="A47" s="1">
        <v>43</v>
      </c>
      <c r="B47" s="1" t="s">
        <v>46</v>
      </c>
      <c r="C47" s="1" t="s">
        <v>4</v>
      </c>
      <c r="D47" s="1" t="s">
        <v>103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2" t="str">
        <f>IF(AND(E47=G47,E47&gt;0,G47&gt;0),"Important High","------")</f>
        <v>------</v>
      </c>
      <c r="K47" s="2" t="str">
        <f>IF(AND(F47=H47,F47&gt;0,H47&gt;0),"Important Low","------")</f>
        <v>------</v>
      </c>
      <c r="L47" s="1" t="str">
        <f>IF(OR(J47="Important High",K47="Important High"),IF(I47=1,"Important High with Rejection",""),IF(OR(J47="Important Low",K47="Important Low"),IF(I47=1,"Important Low with Rejection",""),""))</f>
        <v/>
      </c>
    </row>
    <row r="48" spans="1:12" x14ac:dyDescent="0.55000000000000004">
      <c r="A48" s="1">
        <v>44</v>
      </c>
      <c r="B48" s="1" t="s">
        <v>47</v>
      </c>
      <c r="C48" s="1" t="s">
        <v>4</v>
      </c>
      <c r="D48" s="1" t="s">
        <v>103</v>
      </c>
      <c r="E48" s="1">
        <v>0</v>
      </c>
      <c r="F48" s="1">
        <v>152.59299999999999</v>
      </c>
      <c r="G48" s="1">
        <v>0</v>
      </c>
      <c r="H48" s="1">
        <v>152.59299999999999</v>
      </c>
      <c r="I48" s="1">
        <v>1</v>
      </c>
      <c r="J48" s="2" t="str">
        <f>IF(AND(E48=G48,E48&gt;0,G48&gt;0),"Important High","------")</f>
        <v>------</v>
      </c>
      <c r="K48" s="2" t="str">
        <f>IF(AND(F48=H48,F48&gt;0,H48&gt;0),"Important Low","------")</f>
        <v>Important Low</v>
      </c>
      <c r="L48" s="1" t="str">
        <f>IF(OR(J48="Important High",K48="Important High"),IF(I48=1,"Important High with Rejection",""),IF(OR(J48="Important Low",K48="Important Low"),IF(I48=1,"Important Low with Rejection",""),""))</f>
        <v>Important Low with Rejection</v>
      </c>
    </row>
    <row r="49" spans="1:12" x14ac:dyDescent="0.55000000000000004">
      <c r="A49" s="1">
        <v>45</v>
      </c>
      <c r="B49" s="1" t="s">
        <v>48</v>
      </c>
      <c r="C49" s="1" t="s">
        <v>4</v>
      </c>
      <c r="D49" s="1" t="s">
        <v>103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2" t="str">
        <f>IF(AND(E49=G49,E49&gt;0,G49&gt;0),"Important High","------")</f>
        <v>------</v>
      </c>
      <c r="K49" s="2" t="str">
        <f>IF(AND(F49=H49,F49&gt;0,H49&gt;0),"Important Low","------")</f>
        <v>------</v>
      </c>
      <c r="L49" s="1" t="str">
        <f>IF(OR(J49="Important High",K49="Important High"),IF(I49=1,"Important High with Rejection",""),IF(OR(J49="Important Low",K49="Important Low"),IF(I49=1,"Important Low with Rejection",""),""))</f>
        <v/>
      </c>
    </row>
    <row r="50" spans="1:12" x14ac:dyDescent="0.55000000000000004">
      <c r="A50" s="1">
        <v>46</v>
      </c>
      <c r="B50" s="1" t="s">
        <v>49</v>
      </c>
      <c r="C50" s="1" t="s">
        <v>4</v>
      </c>
      <c r="D50" s="1" t="s">
        <v>103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2" t="str">
        <f>IF(AND(E50=G50,E50&gt;0,G50&gt;0),"Important High","------")</f>
        <v>------</v>
      </c>
      <c r="K50" s="2" t="str">
        <f>IF(AND(F50=H50,F50&gt;0,H50&gt;0),"Important Low","------")</f>
        <v>------</v>
      </c>
      <c r="L50" s="1" t="str">
        <f>IF(OR(J50="Important High",K50="Important High"),IF(I50=1,"Important High with Rejection",""),IF(OR(J50="Important Low",K50="Important Low"),IF(I50=1,"Important Low with Rejection",""),""))</f>
        <v/>
      </c>
    </row>
    <row r="51" spans="1:12" x14ac:dyDescent="0.55000000000000004">
      <c r="A51" s="1">
        <v>47</v>
      </c>
      <c r="B51" s="1" t="s">
        <v>50</v>
      </c>
      <c r="C51" s="1" t="s">
        <v>4</v>
      </c>
      <c r="D51" s="1" t="s">
        <v>103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2" t="str">
        <f>IF(AND(E51=G51,E51&gt;0,G51&gt;0),"Important High","------")</f>
        <v>------</v>
      </c>
      <c r="K51" s="2" t="str">
        <f>IF(AND(F51=H51,F51&gt;0,H51&gt;0),"Important Low","------")</f>
        <v>------</v>
      </c>
      <c r="L51" s="1" t="str">
        <f>IF(OR(J51="Important High",K51="Important High"),IF(I51=1,"Important High with Rejection",""),IF(OR(J51="Important Low",K51="Important Low"),IF(I51=1,"Important Low with Rejection",""),""))</f>
        <v/>
      </c>
    </row>
    <row r="52" spans="1:12" x14ac:dyDescent="0.55000000000000004">
      <c r="A52" s="1">
        <v>48</v>
      </c>
      <c r="B52" s="1" t="s">
        <v>51</v>
      </c>
      <c r="C52" s="1" t="s">
        <v>4</v>
      </c>
      <c r="D52" s="1" t="s">
        <v>103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2" t="str">
        <f>IF(AND(E52=G52,E52&gt;0,G52&gt;0),"Important High","------")</f>
        <v>------</v>
      </c>
      <c r="K52" s="2" t="str">
        <f>IF(AND(F52=H52,F52&gt;0,H52&gt;0),"Important Low","------")</f>
        <v>------</v>
      </c>
      <c r="L52" s="1" t="str">
        <f>IF(OR(J52="Important High",K52="Important High"),IF(I52=1,"Important High with Rejection",""),IF(OR(J52="Important Low",K52="Important Low"),IF(I52=1,"Important Low with Rejection",""),""))</f>
        <v/>
      </c>
    </row>
    <row r="53" spans="1:12" x14ac:dyDescent="0.55000000000000004">
      <c r="A53" s="1">
        <v>49</v>
      </c>
      <c r="B53" s="1" t="s">
        <v>52</v>
      </c>
      <c r="C53" s="1" t="s">
        <v>4</v>
      </c>
      <c r="D53" s="1" t="s">
        <v>103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2" t="str">
        <f>IF(AND(E53=G53,E53&gt;0,G53&gt;0),"Important High","------")</f>
        <v>------</v>
      </c>
      <c r="K53" s="2" t="str">
        <f>IF(AND(F53=H53,F53&gt;0,H53&gt;0),"Important Low","------")</f>
        <v>------</v>
      </c>
      <c r="L53" s="1" t="str">
        <f>IF(OR(J53="Important High",K53="Important High"),IF(I53=1,"Important High with Rejection",""),IF(OR(J53="Important Low",K53="Important Low"),IF(I53=1,"Important Low with Rejection",""),""))</f>
        <v/>
      </c>
    </row>
    <row r="54" spans="1:12" x14ac:dyDescent="0.55000000000000004">
      <c r="A54" s="1">
        <v>50</v>
      </c>
      <c r="B54" s="1" t="s">
        <v>53</v>
      </c>
      <c r="C54" s="1" t="s">
        <v>4</v>
      </c>
      <c r="D54" s="1" t="s">
        <v>103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2" t="str">
        <f>IF(AND(E54=G54,E54&gt;0,G54&gt;0),"Important High","------")</f>
        <v>------</v>
      </c>
      <c r="K54" s="2" t="str">
        <f>IF(AND(F54=H54,F54&gt;0,H54&gt;0),"Important Low","------")</f>
        <v>------</v>
      </c>
      <c r="L54" s="1" t="str">
        <f>IF(OR(J54="Important High",K54="Important High"),IF(I54=1,"Important High with Rejection",""),IF(OR(J54="Important Low",K54="Important Low"),IF(I54=1,"Important Low with Rejection",""),""))</f>
        <v/>
      </c>
    </row>
    <row r="55" spans="1:12" x14ac:dyDescent="0.55000000000000004">
      <c r="A55" s="1">
        <v>51</v>
      </c>
      <c r="B55" s="1" t="s">
        <v>54</v>
      </c>
      <c r="C55" s="1" t="s">
        <v>4</v>
      </c>
      <c r="D55" s="1" t="s">
        <v>103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2" t="str">
        <f>IF(AND(E55=G55,E55&gt;0,G55&gt;0),"Important High","------")</f>
        <v>------</v>
      </c>
      <c r="K55" s="2" t="str">
        <f>IF(AND(F55=H55,F55&gt;0,H55&gt;0),"Important Low","------")</f>
        <v>------</v>
      </c>
      <c r="L55" s="1" t="str">
        <f>IF(OR(J55="Important High",K55="Important High"),IF(I55=1,"Important High with Rejection",""),IF(OR(J55="Important Low",K55="Important Low"),IF(I55=1,"Important Low with Rejection",""),""))</f>
        <v/>
      </c>
    </row>
    <row r="56" spans="1:12" x14ac:dyDescent="0.55000000000000004">
      <c r="A56" s="1">
        <v>52</v>
      </c>
      <c r="B56" s="1" t="s">
        <v>55</v>
      </c>
      <c r="C56" s="1" t="s">
        <v>4</v>
      </c>
      <c r="D56" s="1" t="s">
        <v>103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2" t="str">
        <f>IF(AND(E56=G56,E56&gt;0,G56&gt;0),"Important High","------")</f>
        <v>------</v>
      </c>
      <c r="K56" s="2" t="str">
        <f>IF(AND(F56=H56,F56&gt;0,H56&gt;0),"Important Low","------")</f>
        <v>------</v>
      </c>
      <c r="L56" s="1" t="str">
        <f>IF(OR(J56="Important High",K56="Important High"),IF(I56=1,"Important High with Rejection",""),IF(OR(J56="Important Low",K56="Important Low"),IF(I56=1,"Important Low with Rejection",""),""))</f>
        <v/>
      </c>
    </row>
    <row r="57" spans="1:12" x14ac:dyDescent="0.55000000000000004">
      <c r="A57" s="1">
        <v>53</v>
      </c>
      <c r="B57" s="1" t="s">
        <v>56</v>
      </c>
      <c r="C57" s="1" t="s">
        <v>4</v>
      </c>
      <c r="D57" s="1" t="s">
        <v>103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2" t="str">
        <f>IF(AND(E57=G57,E57&gt;0,G57&gt;0),"Important High","------")</f>
        <v>------</v>
      </c>
      <c r="K57" s="2" t="str">
        <f>IF(AND(F57=H57,F57&gt;0,H57&gt;0),"Important Low","------")</f>
        <v>------</v>
      </c>
      <c r="L57" s="1" t="str">
        <f>IF(OR(J57="Important High",K57="Important High"),IF(I57=1,"Important High with Rejection",""),IF(OR(J57="Important Low",K57="Important Low"),IF(I57=1,"Important Low with Rejection",""),""))</f>
        <v/>
      </c>
    </row>
    <row r="58" spans="1:12" x14ac:dyDescent="0.55000000000000004">
      <c r="A58" s="1">
        <v>54</v>
      </c>
      <c r="B58" s="1" t="s">
        <v>57</v>
      </c>
      <c r="C58" s="1" t="s">
        <v>4</v>
      </c>
      <c r="D58" s="1" t="s">
        <v>103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2" t="str">
        <f>IF(AND(E58=G58,E58&gt;0,G58&gt;0),"Important High","------")</f>
        <v>------</v>
      </c>
      <c r="K58" s="2" t="str">
        <f>IF(AND(F58=H58,F58&gt;0,H58&gt;0),"Important Low","------")</f>
        <v>------</v>
      </c>
      <c r="L58" s="1" t="str">
        <f>IF(OR(J58="Important High",K58="Important High"),IF(I58=1,"Important High with Rejection",""),IF(OR(J58="Important Low",K58="Important Low"),IF(I58=1,"Important Low with Rejection",""),""))</f>
        <v/>
      </c>
    </row>
    <row r="59" spans="1:12" x14ac:dyDescent="0.55000000000000004">
      <c r="A59" s="1">
        <v>55</v>
      </c>
      <c r="B59" s="1" t="s">
        <v>58</v>
      </c>
      <c r="C59" s="1" t="s">
        <v>4</v>
      </c>
      <c r="D59" s="1" t="s">
        <v>103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2" t="str">
        <f>IF(AND(E59=G59,E59&gt;0,G59&gt;0),"Important High","------")</f>
        <v>------</v>
      </c>
      <c r="K59" s="2" t="str">
        <f>IF(AND(F59=H59,F59&gt;0,H59&gt;0),"Important Low","------")</f>
        <v>------</v>
      </c>
      <c r="L59" s="1" t="str">
        <f>IF(OR(J59="Important High",K59="Important High"),IF(I59=1,"Important High with Rejection",""),IF(OR(J59="Important Low",K59="Important Low"),IF(I59=1,"Important Low with Rejection",""),""))</f>
        <v/>
      </c>
    </row>
    <row r="60" spans="1:12" x14ac:dyDescent="0.55000000000000004">
      <c r="A60" s="1">
        <v>56</v>
      </c>
      <c r="B60" s="1" t="s">
        <v>59</v>
      </c>
      <c r="C60" s="1" t="s">
        <v>4</v>
      </c>
      <c r="D60" s="1" t="s">
        <v>103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2" t="str">
        <f>IF(AND(E60=G60,E60&gt;0,G60&gt;0),"Important High","------")</f>
        <v>------</v>
      </c>
      <c r="K60" s="2" t="str">
        <f>IF(AND(F60=H60,F60&gt;0,H60&gt;0),"Important Low","------")</f>
        <v>------</v>
      </c>
      <c r="L60" s="1" t="str">
        <f>IF(OR(J60="Important High",K60="Important High"),IF(I60=1,"Important High with Rejection",""),IF(OR(J60="Important Low",K60="Important Low"),IF(I60=1,"Important Low with Rejection",""),""))</f>
        <v/>
      </c>
    </row>
    <row r="61" spans="1:12" x14ac:dyDescent="0.55000000000000004">
      <c r="A61" s="1">
        <v>57</v>
      </c>
      <c r="B61" s="1" t="s">
        <v>60</v>
      </c>
      <c r="C61" s="1" t="s">
        <v>4</v>
      </c>
      <c r="D61" s="1" t="s">
        <v>103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2" t="str">
        <f>IF(AND(E61=G61,E61&gt;0,G61&gt;0),"Important High","------")</f>
        <v>------</v>
      </c>
      <c r="K61" s="2" t="str">
        <f>IF(AND(F61=H61,F61&gt;0,H61&gt;0),"Important Low","------")</f>
        <v>------</v>
      </c>
      <c r="L61" s="1" t="str">
        <f>IF(OR(J61="Important High",K61="Important High"),IF(I61=1,"Important High with Rejection",""),IF(OR(J61="Important Low",K61="Important Low"),IF(I61=1,"Important Low with Rejection",""),""))</f>
        <v/>
      </c>
    </row>
    <row r="62" spans="1:12" x14ac:dyDescent="0.55000000000000004">
      <c r="A62" s="1">
        <v>58</v>
      </c>
      <c r="B62" s="1" t="s">
        <v>61</v>
      </c>
      <c r="C62" s="1" t="s">
        <v>4</v>
      </c>
      <c r="D62" s="1" t="s">
        <v>103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2" t="str">
        <f>IF(AND(E62=G62,E62&gt;0,G62&gt;0),"Important High","------")</f>
        <v>------</v>
      </c>
      <c r="K62" s="2" t="str">
        <f>IF(AND(F62=H62,F62&gt;0,H62&gt;0),"Important Low","------")</f>
        <v>------</v>
      </c>
      <c r="L62" s="1" t="str">
        <f>IF(OR(J62="Important High",K62="Important High"),IF(I62=1,"Important High with Rejection",""),IF(OR(J62="Important Low",K62="Important Low"),IF(I62=1,"Important Low with Rejection",""),""))</f>
        <v/>
      </c>
    </row>
    <row r="63" spans="1:12" x14ac:dyDescent="0.55000000000000004">
      <c r="A63" s="1">
        <v>59</v>
      </c>
      <c r="B63" s="1" t="s">
        <v>62</v>
      </c>
      <c r="C63" s="1" t="s">
        <v>4</v>
      </c>
      <c r="D63" s="1" t="s">
        <v>103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2" t="str">
        <f>IF(AND(E63=G63,E63&gt;0,G63&gt;0),"Important High","------")</f>
        <v>------</v>
      </c>
      <c r="K63" s="2" t="str">
        <f>IF(AND(F63=H63,F63&gt;0,H63&gt;0),"Important Low","------")</f>
        <v>------</v>
      </c>
      <c r="L63" s="1" t="str">
        <f>IF(OR(J63="Important High",K63="Important High"),IF(I63=1,"Important High with Rejection",""),IF(OR(J63="Important Low",K63="Important Low"),IF(I63=1,"Important Low with Rejection",""),""))</f>
        <v/>
      </c>
    </row>
    <row r="64" spans="1:12" x14ac:dyDescent="0.55000000000000004">
      <c r="A64" s="1">
        <v>60</v>
      </c>
      <c r="B64" s="1" t="s">
        <v>63</v>
      </c>
      <c r="C64" s="1" t="s">
        <v>4</v>
      </c>
      <c r="D64" s="1" t="s">
        <v>103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2" t="str">
        <f>IF(AND(E64=G64,E64&gt;0,G64&gt;0),"Important High","------")</f>
        <v>------</v>
      </c>
      <c r="K64" s="2" t="str">
        <f>IF(AND(F64=H64,F64&gt;0,H64&gt;0),"Important Low","------")</f>
        <v>------</v>
      </c>
      <c r="L64" s="1" t="str">
        <f>IF(OR(J64="Important High",K64="Important High"),IF(I64=1,"Important High with Rejection",""),IF(OR(J64="Important Low",K64="Important Low"),IF(I64=1,"Important Low with Rejection",""),""))</f>
        <v/>
      </c>
    </row>
    <row r="65" spans="1:12" x14ac:dyDescent="0.55000000000000004">
      <c r="A65" s="1">
        <v>61</v>
      </c>
      <c r="B65" s="1" t="s">
        <v>64</v>
      </c>
      <c r="C65" s="1" t="s">
        <v>4</v>
      </c>
      <c r="D65" s="1" t="s">
        <v>103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2" t="str">
        <f>IF(AND(E65=G65,E65&gt;0,G65&gt;0),"Important High","------")</f>
        <v>------</v>
      </c>
      <c r="K65" s="2" t="str">
        <f>IF(AND(F65=H65,F65&gt;0,H65&gt;0),"Important Low","------")</f>
        <v>------</v>
      </c>
      <c r="L65" s="1" t="str">
        <f>IF(OR(J65="Important High",K65="Important High"),IF(I65=1,"Important High with Rejection",""),IF(OR(J65="Important Low",K65="Important Low"),IF(I65=1,"Important Low with Rejection",""),""))</f>
        <v/>
      </c>
    </row>
    <row r="66" spans="1:12" x14ac:dyDescent="0.55000000000000004">
      <c r="A66" s="1">
        <v>62</v>
      </c>
      <c r="B66" s="1" t="s">
        <v>65</v>
      </c>
      <c r="C66" s="1" t="s">
        <v>4</v>
      </c>
      <c r="D66" s="1" t="s">
        <v>103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2" t="str">
        <f>IF(AND(E66=G66,E66&gt;0,G66&gt;0),"Important High","------")</f>
        <v>------</v>
      </c>
      <c r="K66" s="2" t="str">
        <f>IF(AND(F66=H66,F66&gt;0,H66&gt;0),"Important Low","------")</f>
        <v>------</v>
      </c>
      <c r="L66" s="1" t="str">
        <f>IF(OR(J66="Important High",K66="Important High"),IF(I66=1,"Important High with Rejection",""),IF(OR(J66="Important Low",K66="Important Low"),IF(I66=1,"Important Low with Rejection",""),""))</f>
        <v/>
      </c>
    </row>
    <row r="67" spans="1:12" x14ac:dyDescent="0.55000000000000004">
      <c r="A67" s="1">
        <v>63</v>
      </c>
      <c r="B67" s="1" t="s">
        <v>66</v>
      </c>
      <c r="C67" s="1" t="s">
        <v>4</v>
      </c>
      <c r="D67" s="1" t="s">
        <v>103</v>
      </c>
      <c r="E67" s="1">
        <v>152.88800000000001</v>
      </c>
      <c r="F67" s="1">
        <v>0</v>
      </c>
      <c r="G67" s="1">
        <v>152.88800000000001</v>
      </c>
      <c r="H67" s="1">
        <v>0</v>
      </c>
      <c r="I67" s="1">
        <v>0</v>
      </c>
      <c r="J67" s="2" t="str">
        <f>IF(AND(E67=G67,E67&gt;0,G67&gt;0),"Important High","------")</f>
        <v>Important High</v>
      </c>
      <c r="K67" s="2" t="str">
        <f>IF(AND(F67=H67,F67&gt;0,H67&gt;0),"Important Low","------")</f>
        <v>------</v>
      </c>
      <c r="L67" s="1" t="str">
        <f>IF(OR(J67="Important High",K67="Important High"),IF(I67=1,"Important High with Rejection",""),IF(OR(J67="Important Low",K67="Important Low"),IF(I67=1,"Important Low with Rejection",""),""))</f>
        <v/>
      </c>
    </row>
    <row r="68" spans="1:12" x14ac:dyDescent="0.55000000000000004">
      <c r="A68" s="1">
        <v>64</v>
      </c>
      <c r="B68" s="1" t="s">
        <v>67</v>
      </c>
      <c r="C68" s="1" t="s">
        <v>4</v>
      </c>
      <c r="D68" s="1" t="s">
        <v>103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2" t="str">
        <f>IF(AND(E68=G68,E68&gt;0,G68&gt;0),"Important High","------")</f>
        <v>------</v>
      </c>
      <c r="K68" s="2" t="str">
        <f>IF(AND(F68=H68,F68&gt;0,H68&gt;0),"Important Low","------")</f>
        <v>------</v>
      </c>
      <c r="L68" s="1" t="str">
        <f>IF(OR(J68="Important High",K68="Important High"),IF(I68=1,"Important High with Rejection",""),IF(OR(J68="Important Low",K68="Important Low"),IF(I68=1,"Important Low with Rejection",""),""))</f>
        <v/>
      </c>
    </row>
    <row r="69" spans="1:12" x14ac:dyDescent="0.55000000000000004">
      <c r="A69" s="1">
        <v>65</v>
      </c>
      <c r="B69" s="1" t="s">
        <v>68</v>
      </c>
      <c r="C69" s="1" t="s">
        <v>4</v>
      </c>
      <c r="D69" s="1" t="s">
        <v>103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2" t="str">
        <f>IF(AND(E69=G69,E69&gt;0,G69&gt;0),"Important High","------")</f>
        <v>------</v>
      </c>
      <c r="K69" s="2" t="str">
        <f>IF(AND(F69=H69,F69&gt;0,H69&gt;0),"Important Low","------")</f>
        <v>------</v>
      </c>
      <c r="L69" s="1" t="str">
        <f>IF(OR(J69="Important High",K69="Important High"),IF(I69=1,"Important High with Rejection",""),IF(OR(J69="Important Low",K69="Important Low"),IF(I69=1,"Important Low with Rejection",""),""))</f>
        <v/>
      </c>
    </row>
    <row r="70" spans="1:12" x14ac:dyDescent="0.55000000000000004">
      <c r="A70" s="1">
        <v>66</v>
      </c>
      <c r="B70" s="1" t="s">
        <v>69</v>
      </c>
      <c r="C70" s="1" t="s">
        <v>4</v>
      </c>
      <c r="D70" s="1" t="s">
        <v>103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2" t="str">
        <f>IF(AND(E70=G70,E70&gt;0,G70&gt;0),"Important High","------")</f>
        <v>------</v>
      </c>
      <c r="K70" s="2" t="str">
        <f>IF(AND(F70=H70,F70&gt;0,H70&gt;0),"Important Low","------")</f>
        <v>------</v>
      </c>
      <c r="L70" s="1" t="str">
        <f>IF(OR(J70="Important High",K70="Important High"),IF(I70=1,"Important High with Rejection",""),IF(OR(J70="Important Low",K70="Important Low"),IF(I70=1,"Important Low with Rejection",""),""))</f>
        <v/>
      </c>
    </row>
    <row r="71" spans="1:12" x14ac:dyDescent="0.55000000000000004">
      <c r="A71" s="1">
        <v>67</v>
      </c>
      <c r="B71" s="1" t="s">
        <v>70</v>
      </c>
      <c r="C71" s="1" t="s">
        <v>4</v>
      </c>
      <c r="D71" s="1" t="s">
        <v>103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2" t="str">
        <f>IF(AND(E71=G71,E71&gt;0,G71&gt;0),"Important High","------")</f>
        <v>------</v>
      </c>
      <c r="K71" s="2" t="str">
        <f>IF(AND(F71=H71,F71&gt;0,H71&gt;0),"Important Low","------")</f>
        <v>------</v>
      </c>
      <c r="L71" s="1" t="str">
        <f>IF(OR(J71="Important High",K71="Important High"),IF(I71=1,"Important High with Rejection",""),IF(OR(J71="Important Low",K71="Important Low"),IF(I71=1,"Important Low with Rejection",""),""))</f>
        <v/>
      </c>
    </row>
    <row r="72" spans="1:12" x14ac:dyDescent="0.55000000000000004">
      <c r="A72" s="1">
        <v>68</v>
      </c>
      <c r="B72" s="1" t="s">
        <v>71</v>
      </c>
      <c r="C72" s="1" t="s">
        <v>4</v>
      </c>
      <c r="D72" s="1" t="s">
        <v>103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2" t="str">
        <f>IF(AND(E72=G72,E72&gt;0,G72&gt;0),"Important High","------")</f>
        <v>------</v>
      </c>
      <c r="K72" s="2" t="str">
        <f>IF(AND(F72=H72,F72&gt;0,H72&gt;0),"Important Low","------")</f>
        <v>------</v>
      </c>
      <c r="L72" s="1" t="str">
        <f>IF(OR(J72="Important High",K72="Important High"),IF(I72=1,"Important High with Rejection",""),IF(OR(J72="Important Low",K72="Important Low"),IF(I72=1,"Important Low with Rejection",""),""))</f>
        <v/>
      </c>
    </row>
    <row r="73" spans="1:12" x14ac:dyDescent="0.55000000000000004">
      <c r="A73" s="1">
        <v>69</v>
      </c>
      <c r="B73" s="1" t="s">
        <v>72</v>
      </c>
      <c r="C73" s="1" t="s">
        <v>4</v>
      </c>
      <c r="D73" s="1" t="s">
        <v>103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2" t="str">
        <f>IF(AND(E73=G73,E73&gt;0,G73&gt;0),"Important High","------")</f>
        <v>------</v>
      </c>
      <c r="K73" s="2" t="str">
        <f>IF(AND(F73=H73,F73&gt;0,H73&gt;0),"Important Low","------")</f>
        <v>------</v>
      </c>
      <c r="L73" s="1" t="str">
        <f>IF(OR(J73="Important High",K73="Important High"),IF(I73=1,"Important High with Rejection",""),IF(OR(J73="Important Low",K73="Important Low"),IF(I73=1,"Important Low with Rejection",""),""))</f>
        <v/>
      </c>
    </row>
    <row r="74" spans="1:12" x14ac:dyDescent="0.55000000000000004">
      <c r="A74" s="1">
        <v>70</v>
      </c>
      <c r="B74" s="1" t="s">
        <v>73</v>
      </c>
      <c r="C74" s="1" t="s">
        <v>4</v>
      </c>
      <c r="D74" s="1" t="s">
        <v>103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2" t="str">
        <f>IF(AND(E74=G74,E74&gt;0,G74&gt;0),"Important High","------")</f>
        <v>------</v>
      </c>
      <c r="K74" s="2" t="str">
        <f>IF(AND(F74=H74,F74&gt;0,H74&gt;0),"Important Low","------")</f>
        <v>------</v>
      </c>
      <c r="L74" s="1" t="str">
        <f>IF(OR(J74="Important High",K74="Important High"),IF(I74=1,"Important High with Rejection",""),IF(OR(J74="Important Low",K74="Important Low"),IF(I74=1,"Important Low with Rejection",""),""))</f>
        <v/>
      </c>
    </row>
    <row r="75" spans="1:12" x14ac:dyDescent="0.55000000000000004">
      <c r="A75" s="1">
        <v>71</v>
      </c>
      <c r="B75" s="1" t="s">
        <v>74</v>
      </c>
      <c r="C75" s="1" t="s">
        <v>4</v>
      </c>
      <c r="D75" s="1" t="s">
        <v>103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2" t="str">
        <f>IF(AND(E75=G75,E75&gt;0,G75&gt;0),"Important High","------")</f>
        <v>------</v>
      </c>
      <c r="K75" s="2" t="str">
        <f>IF(AND(F75=H75,F75&gt;0,H75&gt;0),"Important Low","------")</f>
        <v>------</v>
      </c>
      <c r="L75" s="1" t="str">
        <f>IF(OR(J75="Important High",K75="Important High"),IF(I75=1,"Important High with Rejection",""),IF(OR(J75="Important Low",K75="Important Low"),IF(I75=1,"Important Low with Rejection",""),""))</f>
        <v/>
      </c>
    </row>
    <row r="76" spans="1:12" x14ac:dyDescent="0.55000000000000004">
      <c r="A76" s="1">
        <v>72</v>
      </c>
      <c r="B76" s="1" t="s">
        <v>75</v>
      </c>
      <c r="C76" s="1" t="s">
        <v>4</v>
      </c>
      <c r="D76" s="1" t="s">
        <v>103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2" t="str">
        <f>IF(AND(E76=G76,E76&gt;0,G76&gt;0),"Important High","------")</f>
        <v>------</v>
      </c>
      <c r="K76" s="2" t="str">
        <f>IF(AND(F76=H76,F76&gt;0,H76&gt;0),"Important Low","------")</f>
        <v>------</v>
      </c>
      <c r="L76" s="1" t="str">
        <f>IF(OR(J76="Important High",K76="Important High"),IF(I76=1,"Important High with Rejection",""),IF(OR(J76="Important Low",K76="Important Low"),IF(I76=1,"Important Low with Rejection",""),""))</f>
        <v/>
      </c>
    </row>
    <row r="77" spans="1:12" x14ac:dyDescent="0.55000000000000004">
      <c r="A77" s="1">
        <v>73</v>
      </c>
      <c r="B77" s="1" t="s">
        <v>76</v>
      </c>
      <c r="C77" s="1" t="s">
        <v>4</v>
      </c>
      <c r="D77" s="1" t="s">
        <v>103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2" t="str">
        <f>IF(AND(E77=G77,E77&gt;0,G77&gt;0),"Important High","------")</f>
        <v>------</v>
      </c>
      <c r="K77" s="2" t="str">
        <f>IF(AND(F77=H77,F77&gt;0,H77&gt;0),"Important Low","------")</f>
        <v>------</v>
      </c>
      <c r="L77" s="1" t="str">
        <f>IF(OR(J77="Important High",K77="Important High"),IF(I77=1,"Important High with Rejection",""),IF(OR(J77="Important Low",K77="Important Low"),IF(I77=1,"Important Low with Rejection",""),""))</f>
        <v/>
      </c>
    </row>
    <row r="78" spans="1:12" x14ac:dyDescent="0.55000000000000004">
      <c r="A78" s="1">
        <v>74</v>
      </c>
      <c r="B78" s="1" t="s">
        <v>77</v>
      </c>
      <c r="C78" s="1" t="s">
        <v>4</v>
      </c>
      <c r="D78" s="1" t="s">
        <v>103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2" t="str">
        <f>IF(AND(E78=G78,E78&gt;0,G78&gt;0),"Important High","------")</f>
        <v>------</v>
      </c>
      <c r="K78" s="2" t="str">
        <f>IF(AND(F78=H78,F78&gt;0,H78&gt;0),"Important Low","------")</f>
        <v>------</v>
      </c>
      <c r="L78" s="1" t="str">
        <f>IF(OR(J78="Important High",K78="Important High"),IF(I78=1,"Important High with Rejection",""),IF(OR(J78="Important Low",K78="Important Low"),IF(I78=1,"Important Low with Rejection",""),""))</f>
        <v/>
      </c>
    </row>
    <row r="79" spans="1:12" x14ac:dyDescent="0.55000000000000004">
      <c r="A79" s="1">
        <v>75</v>
      </c>
      <c r="B79" s="1" t="s">
        <v>78</v>
      </c>
      <c r="C79" s="1" t="s">
        <v>4</v>
      </c>
      <c r="D79" s="1" t="s">
        <v>103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2" t="str">
        <f>IF(AND(E79=G79,E79&gt;0,G79&gt;0),"Important High","------")</f>
        <v>------</v>
      </c>
      <c r="K79" s="2" t="str">
        <f>IF(AND(F79=H79,F79&gt;0,H79&gt;0),"Important Low","------")</f>
        <v>------</v>
      </c>
      <c r="L79" s="1" t="str">
        <f>IF(OR(J79="Important High",K79="Important High"),IF(I79=1,"Important High with Rejection",""),IF(OR(J79="Important Low",K79="Important Low"),IF(I79=1,"Important Low with Rejection",""),""))</f>
        <v/>
      </c>
    </row>
    <row r="80" spans="1:12" x14ac:dyDescent="0.55000000000000004">
      <c r="A80" s="1">
        <v>76</v>
      </c>
      <c r="B80" s="1" t="s">
        <v>79</v>
      </c>
      <c r="C80" s="1" t="s">
        <v>4</v>
      </c>
      <c r="D80" s="1" t="s">
        <v>103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2" t="str">
        <f>IF(AND(E80=G80,E80&gt;0,G80&gt;0),"Important High","------")</f>
        <v>------</v>
      </c>
      <c r="K80" s="2" t="str">
        <f>IF(AND(F80=H80,F80&gt;0,H80&gt;0),"Important Low","------")</f>
        <v>------</v>
      </c>
      <c r="L80" s="1" t="str">
        <f>IF(OR(J80="Important High",K80="Important High"),IF(I80=1,"Important High with Rejection",""),IF(OR(J80="Important Low",K80="Important Low"),IF(I80=1,"Important Low with Rejection",""),""))</f>
        <v/>
      </c>
    </row>
    <row r="81" spans="1:12" x14ac:dyDescent="0.55000000000000004">
      <c r="A81" s="1">
        <v>77</v>
      </c>
      <c r="B81" s="1" t="s">
        <v>80</v>
      </c>
      <c r="C81" s="1" t="s">
        <v>4</v>
      </c>
      <c r="D81" s="1" t="s">
        <v>103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2" t="str">
        <f>IF(AND(E81=G81,E81&gt;0,G81&gt;0),"Important High","------")</f>
        <v>------</v>
      </c>
      <c r="K81" s="2" t="str">
        <f>IF(AND(F81=H81,F81&gt;0,H81&gt;0),"Important Low","------")</f>
        <v>------</v>
      </c>
      <c r="L81" s="1" t="str">
        <f>IF(OR(J81="Important High",K81="Important High"),IF(I81=1,"Important High with Rejection",""),IF(OR(J81="Important Low",K81="Important Low"),IF(I81=1,"Important Low with Rejection",""),""))</f>
        <v/>
      </c>
    </row>
    <row r="82" spans="1:12" x14ac:dyDescent="0.55000000000000004">
      <c r="A82" s="1">
        <v>78</v>
      </c>
      <c r="B82" s="1" t="s">
        <v>81</v>
      </c>
      <c r="C82" s="1" t="s">
        <v>4</v>
      </c>
      <c r="D82" s="1" t="s">
        <v>103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2" t="str">
        <f>IF(AND(E82=G82,E82&gt;0,G82&gt;0),"Important High","------")</f>
        <v>------</v>
      </c>
      <c r="K82" s="2" t="str">
        <f>IF(AND(F82=H82,F82&gt;0,H82&gt;0),"Important Low","------")</f>
        <v>------</v>
      </c>
      <c r="L82" s="1" t="str">
        <f>IF(OR(J82="Important High",K82="Important High"),IF(I82=1,"Important High with Rejection",""),IF(OR(J82="Important Low",K82="Important Low"),IF(I82=1,"Important Low with Rejection",""),""))</f>
        <v/>
      </c>
    </row>
    <row r="83" spans="1:12" x14ac:dyDescent="0.55000000000000004">
      <c r="A83" s="1">
        <v>79</v>
      </c>
      <c r="B83" s="1" t="s">
        <v>82</v>
      </c>
      <c r="C83" s="1" t="s">
        <v>4</v>
      </c>
      <c r="D83" s="1" t="s">
        <v>103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2" t="str">
        <f>IF(AND(E83=G83,E83&gt;0,G83&gt;0),"Important High","------")</f>
        <v>------</v>
      </c>
      <c r="K83" s="2" t="str">
        <f>IF(AND(F83=H83,F83&gt;0,H83&gt;0),"Important Low","------")</f>
        <v>------</v>
      </c>
      <c r="L83" s="1" t="str">
        <f>IF(OR(J83="Important High",K83="Important High"),IF(I83=1,"Important High with Rejection",""),IF(OR(J83="Important Low",K83="Important Low"),IF(I83=1,"Important Low with Rejection",""),""))</f>
        <v/>
      </c>
    </row>
    <row r="84" spans="1:12" x14ac:dyDescent="0.55000000000000004">
      <c r="A84" s="1">
        <v>80</v>
      </c>
      <c r="B84" s="1" t="s">
        <v>83</v>
      </c>
      <c r="C84" s="1" t="s">
        <v>4</v>
      </c>
      <c r="D84" s="1" t="s">
        <v>103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2" t="str">
        <f>IF(AND(E84=G84,E84&gt;0,G84&gt;0),"Important High","------")</f>
        <v>------</v>
      </c>
      <c r="K84" s="2" t="str">
        <f>IF(AND(F84=H84,F84&gt;0,H84&gt;0),"Important Low","------")</f>
        <v>------</v>
      </c>
      <c r="L84" s="1" t="str">
        <f>IF(OR(J84="Important High",K84="Important High"),IF(I84=1,"Important High with Rejection",""),IF(OR(J84="Important Low",K84="Important Low"),IF(I84=1,"Important Low with Rejection",""),""))</f>
        <v/>
      </c>
    </row>
    <row r="85" spans="1:12" x14ac:dyDescent="0.55000000000000004">
      <c r="A85" s="1">
        <v>81</v>
      </c>
      <c r="B85" s="1" t="s">
        <v>84</v>
      </c>
      <c r="C85" s="1" t="s">
        <v>4</v>
      </c>
      <c r="D85" s="1" t="s">
        <v>103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2" t="str">
        <f>IF(AND(E85=G85,E85&gt;0,G85&gt;0),"Important High","------")</f>
        <v>------</v>
      </c>
      <c r="K85" s="2" t="str">
        <f>IF(AND(F85=H85,F85&gt;0,H85&gt;0),"Important Low","------")</f>
        <v>------</v>
      </c>
      <c r="L85" s="1" t="str">
        <f>IF(OR(J85="Important High",K85="Important High"),IF(I85=1,"Important High with Rejection",""),IF(OR(J85="Important Low",K85="Important Low"),IF(I85=1,"Important Low with Rejection",""),""))</f>
        <v/>
      </c>
    </row>
    <row r="86" spans="1:12" x14ac:dyDescent="0.55000000000000004">
      <c r="A86" s="1">
        <v>82</v>
      </c>
      <c r="B86" s="1" t="s">
        <v>85</v>
      </c>
      <c r="C86" s="1" t="s">
        <v>4</v>
      </c>
      <c r="D86" s="1" t="s">
        <v>103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2" t="str">
        <f>IF(AND(E86=G86,E86&gt;0,G86&gt;0),"Important High","------")</f>
        <v>------</v>
      </c>
      <c r="K86" s="2" t="str">
        <f>IF(AND(F86=H86,F86&gt;0,H86&gt;0),"Important Low","------")</f>
        <v>------</v>
      </c>
      <c r="L86" s="1" t="str">
        <f>IF(OR(J86="Important High",K86="Important High"),IF(I86=1,"Important High with Rejection",""),IF(OR(J86="Important Low",K86="Important Low"),IF(I86=1,"Important Low with Rejection",""),""))</f>
        <v/>
      </c>
    </row>
    <row r="87" spans="1:12" x14ac:dyDescent="0.55000000000000004">
      <c r="A87" s="1">
        <v>83</v>
      </c>
      <c r="B87" s="1" t="s">
        <v>86</v>
      </c>
      <c r="C87" s="1" t="s">
        <v>4</v>
      </c>
      <c r="D87" s="1" t="s">
        <v>103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2" t="str">
        <f>IF(AND(E87=G87,E87&gt;0,G87&gt;0),"Important High","------")</f>
        <v>------</v>
      </c>
      <c r="K87" s="2" t="str">
        <f>IF(AND(F87=H87,F87&gt;0,H87&gt;0),"Important Low","------")</f>
        <v>------</v>
      </c>
      <c r="L87" s="1" t="str">
        <f>IF(OR(J87="Important High",K87="Important High"),IF(I87=1,"Important High with Rejection",""),IF(OR(J87="Important Low",K87="Important Low"),IF(I87=1,"Important Low with Rejection",""),""))</f>
        <v/>
      </c>
    </row>
    <row r="88" spans="1:12" x14ac:dyDescent="0.55000000000000004">
      <c r="A88" s="1">
        <v>84</v>
      </c>
      <c r="B88" s="1" t="s">
        <v>87</v>
      </c>
      <c r="C88" s="1" t="s">
        <v>4</v>
      </c>
      <c r="D88" s="1" t="s">
        <v>103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2" t="str">
        <f>IF(AND(E88=G88,E88&gt;0,G88&gt;0),"Important High","------")</f>
        <v>------</v>
      </c>
      <c r="K88" s="2" t="str">
        <f>IF(AND(F88=H88,F88&gt;0,H88&gt;0),"Important Low","------")</f>
        <v>------</v>
      </c>
      <c r="L88" s="1" t="str">
        <f>IF(OR(J88="Important High",K88="Important High"),IF(I88=1,"Important High with Rejection",""),IF(OR(J88="Important Low",K88="Important Low"),IF(I88=1,"Important Low with Rejection",""),""))</f>
        <v/>
      </c>
    </row>
    <row r="89" spans="1:12" x14ac:dyDescent="0.55000000000000004">
      <c r="A89" s="1">
        <v>85</v>
      </c>
      <c r="B89" s="1" t="s">
        <v>88</v>
      </c>
      <c r="C89" s="1" t="s">
        <v>4</v>
      </c>
      <c r="D89" s="1" t="s">
        <v>103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2" t="str">
        <f>IF(AND(E89=G89,E89&gt;0,G89&gt;0),"Important High","------")</f>
        <v>------</v>
      </c>
      <c r="K89" s="2" t="str">
        <f>IF(AND(F89=H89,F89&gt;0,H89&gt;0),"Important Low","------")</f>
        <v>------</v>
      </c>
      <c r="L89" s="1" t="str">
        <f>IF(OR(J89="Important High",K89="Important High"),IF(I89=1,"Important High with Rejection",""),IF(OR(J89="Important Low",K89="Important Low"),IF(I89=1,"Important Low with Rejection",""),""))</f>
        <v/>
      </c>
    </row>
    <row r="90" spans="1:12" x14ac:dyDescent="0.55000000000000004">
      <c r="A90" s="1">
        <v>86</v>
      </c>
      <c r="B90" s="1" t="s">
        <v>89</v>
      </c>
      <c r="C90" s="1" t="s">
        <v>4</v>
      </c>
      <c r="D90" s="1" t="s">
        <v>103</v>
      </c>
      <c r="E90" s="1">
        <v>0</v>
      </c>
      <c r="F90" s="1">
        <v>0</v>
      </c>
      <c r="G90" s="1">
        <v>0</v>
      </c>
      <c r="H90" s="1">
        <v>0</v>
      </c>
      <c r="I90" s="1">
        <v>1</v>
      </c>
      <c r="J90" s="2" t="str">
        <f>IF(AND(E90=G90,E90&gt;0,G90&gt;0),"Important High","------")</f>
        <v>------</v>
      </c>
      <c r="K90" s="2" t="str">
        <f>IF(AND(F90=H90,F90&gt;0,H90&gt;0),"Important Low","------")</f>
        <v>------</v>
      </c>
      <c r="L90" s="1" t="str">
        <f>IF(OR(J90="Important High",K90="Important High"),IF(I90=1,"Important High with Rejection",""),IF(OR(J90="Important Low",K90="Important Low"),IF(I90=1,"Important Low with Rejection",""),""))</f>
        <v/>
      </c>
    </row>
    <row r="91" spans="1:12" x14ac:dyDescent="0.55000000000000004">
      <c r="A91" s="1">
        <v>87</v>
      </c>
      <c r="B91" s="1" t="s">
        <v>90</v>
      </c>
      <c r="C91" s="1" t="s">
        <v>4</v>
      </c>
      <c r="D91" s="1" t="s">
        <v>103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2" t="str">
        <f>IF(AND(E91=G91,E91&gt;0,G91&gt;0),"Important High","------")</f>
        <v>------</v>
      </c>
      <c r="K91" s="2" t="str">
        <f>IF(AND(F91=H91,F91&gt;0,H91&gt;0),"Important Low","------")</f>
        <v>------</v>
      </c>
      <c r="L91" s="1" t="str">
        <f>IF(OR(J91="Important High",K91="Important High"),IF(I91=1,"Important High with Rejection",""),IF(OR(J91="Important Low",K91="Important Low"),IF(I91=1,"Important Low with Rejection",""),""))</f>
        <v/>
      </c>
    </row>
    <row r="92" spans="1:12" x14ac:dyDescent="0.55000000000000004">
      <c r="A92" s="1">
        <v>88</v>
      </c>
      <c r="B92" s="1" t="s">
        <v>91</v>
      </c>
      <c r="C92" s="1" t="s">
        <v>4</v>
      </c>
      <c r="D92" s="1" t="s">
        <v>103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2" t="str">
        <f>IF(AND(E92=G92,E92&gt;0,G92&gt;0),"Important High","------")</f>
        <v>------</v>
      </c>
      <c r="K92" s="2" t="str">
        <f>IF(AND(F92=H92,F92&gt;0,H92&gt;0),"Important Low","------")</f>
        <v>------</v>
      </c>
      <c r="L92" s="1" t="str">
        <f>IF(OR(J92="Important High",K92="Important High"),IF(I92=1,"Important High with Rejection",""),IF(OR(J92="Important Low",K92="Important Low"),IF(I92=1,"Important Low with Rejection",""),""))</f>
        <v/>
      </c>
    </row>
    <row r="93" spans="1:12" x14ac:dyDescent="0.55000000000000004">
      <c r="A93" s="1">
        <v>89</v>
      </c>
      <c r="B93" s="1" t="s">
        <v>92</v>
      </c>
      <c r="C93" s="1" t="s">
        <v>4</v>
      </c>
      <c r="D93" s="1" t="s">
        <v>103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2" t="str">
        <f>IF(AND(E93=G93,E93&gt;0,G93&gt;0),"Important High","------")</f>
        <v>------</v>
      </c>
      <c r="K93" s="2" t="str">
        <f>IF(AND(F93=H93,F93&gt;0,H93&gt;0),"Important Low","------")</f>
        <v>------</v>
      </c>
      <c r="L93" s="1" t="str">
        <f>IF(OR(J93="Important High",K93="Important High"),IF(I93=1,"Important High with Rejection",""),IF(OR(J93="Important Low",K93="Important Low"),IF(I93=1,"Important Low with Rejection",""),""))</f>
        <v/>
      </c>
    </row>
    <row r="94" spans="1:12" x14ac:dyDescent="0.55000000000000004">
      <c r="A94" s="1">
        <v>90</v>
      </c>
      <c r="B94" s="1" t="s">
        <v>93</v>
      </c>
      <c r="C94" s="1" t="s">
        <v>4</v>
      </c>
      <c r="D94" s="1" t="s">
        <v>103</v>
      </c>
      <c r="E94" s="1">
        <v>0</v>
      </c>
      <c r="F94" s="1">
        <v>0</v>
      </c>
      <c r="G94" s="1">
        <v>0</v>
      </c>
      <c r="H94" s="1">
        <v>152.626</v>
      </c>
      <c r="I94" s="1">
        <v>0</v>
      </c>
      <c r="J94" s="2" t="str">
        <f>IF(AND(E94=G94,E94&gt;0,G94&gt;0),"Important High","------")</f>
        <v>------</v>
      </c>
      <c r="K94" s="2" t="str">
        <f>IF(AND(F94=H94,F94&gt;0,H94&gt;0),"Important Low","------")</f>
        <v>------</v>
      </c>
      <c r="L94" s="1" t="str">
        <f>IF(OR(J94="Important High",K94="Important High"),IF(I94=1,"Important High with Rejection",""),IF(OR(J94="Important Low",K94="Important Low"),IF(I94=1,"Important Low with Rejection",""),""))</f>
        <v/>
      </c>
    </row>
    <row r="95" spans="1:12" x14ac:dyDescent="0.55000000000000004">
      <c r="A95" s="1">
        <v>91</v>
      </c>
      <c r="B95" s="1" t="s">
        <v>94</v>
      </c>
      <c r="C95" s="1" t="s">
        <v>4</v>
      </c>
      <c r="D95" s="1" t="s">
        <v>103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2" t="str">
        <f>IF(AND(E95=G95,E95&gt;0,G95&gt;0),"Important High","------")</f>
        <v>------</v>
      </c>
      <c r="K95" s="2" t="str">
        <f>IF(AND(F95=H95,F95&gt;0,H95&gt;0),"Important Low","------")</f>
        <v>------</v>
      </c>
      <c r="L95" s="1" t="str">
        <f>IF(OR(J95="Important High",K95="Important High"),IF(I95=1,"Important High with Rejection",""),IF(OR(J95="Important Low",K95="Important Low"),IF(I95=1,"Important Low with Rejection",""),""))</f>
        <v/>
      </c>
    </row>
    <row r="96" spans="1:12" x14ac:dyDescent="0.55000000000000004">
      <c r="A96" s="1">
        <v>92</v>
      </c>
      <c r="B96" s="1" t="s">
        <v>95</v>
      </c>
      <c r="C96" s="1" t="s">
        <v>4</v>
      </c>
      <c r="D96" s="1" t="s">
        <v>103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2" t="str">
        <f>IF(AND(E96=G96,E96&gt;0,G96&gt;0),"Important High","------")</f>
        <v>------</v>
      </c>
      <c r="K96" s="2" t="str">
        <f>IF(AND(F96=H96,F96&gt;0,H96&gt;0),"Important Low","------")</f>
        <v>------</v>
      </c>
      <c r="L96" s="1" t="str">
        <f>IF(OR(J96="Important High",K96="Important High"),IF(I96=1,"Important High with Rejection",""),IF(OR(J96="Important Low",K96="Important Low"),IF(I96=1,"Important Low with Rejection",""),""))</f>
        <v/>
      </c>
    </row>
    <row r="97" spans="1:12" x14ac:dyDescent="0.55000000000000004">
      <c r="A97" s="1">
        <v>93</v>
      </c>
      <c r="B97" s="1" t="s">
        <v>96</v>
      </c>
      <c r="C97" s="1" t="s">
        <v>4</v>
      </c>
      <c r="D97" s="1" t="s">
        <v>103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2" t="str">
        <f>IF(AND(E97=G97,E97&gt;0,G97&gt;0),"Important High","------")</f>
        <v>------</v>
      </c>
      <c r="K97" s="2" t="str">
        <f>IF(AND(F97=H97,F97&gt;0,H97&gt;0),"Important Low","------")</f>
        <v>------</v>
      </c>
      <c r="L97" s="1" t="str">
        <f>IF(OR(J97="Important High",K97="Important High"),IF(I97=1,"Important High with Rejection",""),IF(OR(J97="Important Low",K97="Important Low"),IF(I97=1,"Important Low with Rejection",""),""))</f>
        <v/>
      </c>
    </row>
    <row r="98" spans="1:12" x14ac:dyDescent="0.55000000000000004">
      <c r="A98" s="1">
        <v>94</v>
      </c>
      <c r="B98" s="1" t="s">
        <v>97</v>
      </c>
      <c r="C98" s="1" t="s">
        <v>4</v>
      </c>
      <c r="D98" s="1" t="s">
        <v>103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2" t="str">
        <f>IF(AND(E98=G98,E98&gt;0,G98&gt;0),"Important High","------")</f>
        <v>------</v>
      </c>
      <c r="K98" s="2" t="str">
        <f>IF(AND(F98=H98,F98&gt;0,H98&gt;0),"Important Low","------")</f>
        <v>------</v>
      </c>
      <c r="L98" s="1" t="str">
        <f>IF(OR(J98="Important High",K98="Important High"),IF(I98=1,"Important High with Rejection",""),IF(OR(J98="Important Low",K98="Important Low"),IF(I98=1,"Important Low with Rejection",""),""))</f>
        <v/>
      </c>
    </row>
    <row r="99" spans="1:12" x14ac:dyDescent="0.55000000000000004">
      <c r="A99" s="1">
        <v>95</v>
      </c>
      <c r="B99" s="1" t="s">
        <v>98</v>
      </c>
      <c r="C99" s="1" t="s">
        <v>4</v>
      </c>
      <c r="D99" s="1" t="s">
        <v>103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2" t="str">
        <f>IF(AND(E99=G99,E99&gt;0,G99&gt;0),"Important High","------")</f>
        <v>------</v>
      </c>
      <c r="K99" s="2" t="str">
        <f>IF(AND(F99=H99,F99&gt;0,H99&gt;0),"Important Low","------")</f>
        <v>------</v>
      </c>
      <c r="L99" s="1" t="str">
        <f>IF(OR(J99="Important High",K99="Important High"),IF(I99=1,"Important High with Rejection",""),IF(OR(J99="Important Low",K99="Important Low"),IF(I99=1,"Important Low with Rejection",""),""))</f>
        <v/>
      </c>
    </row>
    <row r="100" spans="1:12" x14ac:dyDescent="0.55000000000000004">
      <c r="A100" s="1">
        <v>96</v>
      </c>
      <c r="B100" s="1" t="s">
        <v>99</v>
      </c>
      <c r="C100" s="1" t="s">
        <v>4</v>
      </c>
      <c r="D100" s="1" t="s">
        <v>103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2" t="str">
        <f>IF(AND(E100=G100,E100&gt;0,G100&gt;0),"Important High","------")</f>
        <v>------</v>
      </c>
      <c r="K100" s="2" t="str">
        <f>IF(AND(F100=H100,F100&gt;0,H100&gt;0),"Important Low","------")</f>
        <v>------</v>
      </c>
      <c r="L100" s="1" t="str">
        <f>IF(OR(J100="Important High",K100="Important High"),IF(I100=1,"Important High with Rejection",""),IF(OR(J100="Important Low",K100="Important Low"),IF(I100=1,"Important Low with Rejection",""),""))</f>
        <v/>
      </c>
    </row>
    <row r="101" spans="1:12" x14ac:dyDescent="0.55000000000000004">
      <c r="A101" s="1">
        <v>97</v>
      </c>
      <c r="B101" s="1" t="s">
        <v>100</v>
      </c>
      <c r="C101" s="1" t="s">
        <v>4</v>
      </c>
      <c r="D101" s="1" t="s">
        <v>103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2" t="str">
        <f>IF(AND(E101=G101,E101&gt;0,G101&gt;0),"Important High","------")</f>
        <v>------</v>
      </c>
      <c r="K101" s="2" t="str">
        <f>IF(AND(F101=H101,F101&gt;0,H101&gt;0),"Important Low","------")</f>
        <v>------</v>
      </c>
      <c r="L101" s="1" t="str">
        <f>IF(OR(J101="Important High",K101="Important High"),IF(I101=1,"Important High with Rejection",""),IF(OR(J101="Important Low",K101="Important Low"),IF(I101=1,"Important Low with Rejection",""),""))</f>
        <v/>
      </c>
    </row>
    <row r="102" spans="1:12" x14ac:dyDescent="0.55000000000000004">
      <c r="A102" s="1">
        <v>98</v>
      </c>
      <c r="B102" s="1" t="s">
        <v>101</v>
      </c>
      <c r="C102" s="1" t="s">
        <v>4</v>
      </c>
      <c r="D102" s="1" t="s">
        <v>103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2" t="str">
        <f>IF(AND(E102=G102,E102&gt;0,G102&gt;0),"Important High","------")</f>
        <v>------</v>
      </c>
      <c r="K102" s="2" t="str">
        <f>IF(AND(F102=H102,F102&gt;0,H102&gt;0),"Important Low","------")</f>
        <v>------</v>
      </c>
      <c r="L102" s="1" t="str">
        <f>IF(OR(J102="Important High",K102="Important High"),IF(I102=1,"Important High with Rejection",""),IF(OR(J102="Important Low",K102="Important Low"),IF(I102=1,"Important Low with Rejection",""),""))</f>
        <v/>
      </c>
    </row>
    <row r="103" spans="1:12" x14ac:dyDescent="0.55000000000000004">
      <c r="A103" s="1">
        <v>99</v>
      </c>
      <c r="B103" s="1" t="s">
        <v>102</v>
      </c>
      <c r="C103" s="1" t="s">
        <v>4</v>
      </c>
      <c r="D103" s="1" t="s">
        <v>103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2" t="str">
        <f>IF(AND(E103=G103,E103&gt;0,G103&gt;0),"Important High","------")</f>
        <v>------</v>
      </c>
      <c r="K103" s="2" t="str">
        <f>IF(AND(F103=H103,F103&gt;0,H103&gt;0),"Important Low","------")</f>
        <v>------</v>
      </c>
      <c r="L103" s="1" t="str">
        <f>IF(OR(J103="Important High",K103="Important High"),IF(I103=1,"Important High with Rejection",""),IF(OR(J103="Important Low",K103="Important Low"),IF(I103=1,"Important Low with Rejection",""),""))</f>
        <v/>
      </c>
    </row>
    <row r="104" spans="1:12" x14ac:dyDescent="0.55000000000000004">
      <c r="L104" t="str">
        <f>IF(OR(J104="Important High",K104="Important High"),IF(#REF!=1,"Important High with Rejection",""),IF(OR(J104="Important Low",K104="Important Low"),IF(#REF!=1,"Important Low with Rejection",""),""))</f>
        <v/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Important High 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2026-02-14T13:03:22Z</dcterms:created>
  <dcterms:modified xsi:type="dcterms:W3CDTF">2026-02-23T07:25:37Z</dcterms:modified>
</cp:coreProperties>
</file>