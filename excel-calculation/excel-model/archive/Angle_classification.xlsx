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aS Project\trading-alerts-saas-public\excel-calculation\excel-model\"/>
    </mc:Choice>
  </mc:AlternateContent>
  <xr:revisionPtr revIDLastSave="0" documentId="13_ncr:1_{D2DD5C67-DC37-4470-9859-27D454D69931}" xr6:coauthVersionLast="47" xr6:coauthVersionMax="47" xr10:uidLastSave="{00000000-0000-0000-0000-000000000000}"/>
  <bookViews>
    <workbookView xWindow="-7326" yWindow="2376" windowWidth="15306" windowHeight="8952" xr2:uid="{00000000-000D-0000-FFFF-FFFF00000000}"/>
  </bookViews>
  <sheets>
    <sheet name="Angle classification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18" i="4" l="1"/>
  <c r="U18" i="4"/>
  <c r="V18" i="4"/>
  <c r="W18" i="4"/>
  <c r="X18" i="4"/>
  <c r="Y18" i="4"/>
  <c r="T19" i="4"/>
  <c r="U19" i="4"/>
  <c r="V19" i="4"/>
  <c r="W19" i="4"/>
  <c r="X19" i="4"/>
  <c r="Y19" i="4"/>
  <c r="T20" i="4"/>
  <c r="U20" i="4"/>
  <c r="V20" i="4"/>
  <c r="W20" i="4"/>
  <c r="X20" i="4"/>
  <c r="Y20" i="4"/>
  <c r="T21" i="4"/>
  <c r="U21" i="4"/>
  <c r="V21" i="4"/>
  <c r="W21" i="4"/>
  <c r="X21" i="4"/>
  <c r="Y21" i="4"/>
  <c r="T22" i="4"/>
  <c r="U22" i="4"/>
  <c r="V22" i="4"/>
  <c r="W22" i="4"/>
  <c r="X22" i="4"/>
  <c r="Y22" i="4"/>
  <c r="T23" i="4"/>
  <c r="U23" i="4"/>
  <c r="V23" i="4"/>
  <c r="W23" i="4"/>
  <c r="X23" i="4"/>
  <c r="Y23" i="4"/>
  <c r="T24" i="4"/>
  <c r="U24" i="4"/>
  <c r="V24" i="4"/>
  <c r="W24" i="4"/>
  <c r="X24" i="4"/>
  <c r="Y24" i="4"/>
  <c r="T25" i="4"/>
  <c r="U25" i="4"/>
  <c r="V25" i="4"/>
  <c r="W25" i="4"/>
  <c r="X25" i="4"/>
  <c r="Y25" i="4"/>
  <c r="T26" i="4"/>
  <c r="U26" i="4"/>
  <c r="V26" i="4"/>
  <c r="W26" i="4"/>
  <c r="X26" i="4"/>
  <c r="Y26" i="4"/>
  <c r="T27" i="4"/>
  <c r="U27" i="4"/>
  <c r="V27" i="4"/>
  <c r="W27" i="4"/>
  <c r="X27" i="4"/>
  <c r="Y27" i="4"/>
  <c r="T28" i="4"/>
  <c r="U28" i="4"/>
  <c r="V28" i="4"/>
  <c r="W28" i="4"/>
  <c r="X28" i="4"/>
  <c r="Y28" i="4"/>
  <c r="T29" i="4"/>
  <c r="U29" i="4"/>
  <c r="V29" i="4"/>
  <c r="W29" i="4"/>
  <c r="X29" i="4"/>
  <c r="Y29" i="4"/>
  <c r="T30" i="4"/>
  <c r="U30" i="4"/>
  <c r="V30" i="4"/>
  <c r="W30" i="4"/>
  <c r="X30" i="4"/>
  <c r="Y30" i="4"/>
  <c r="T31" i="4"/>
  <c r="U31" i="4"/>
  <c r="V31" i="4"/>
  <c r="W31" i="4"/>
  <c r="X31" i="4"/>
  <c r="Y31" i="4"/>
  <c r="T32" i="4"/>
  <c r="U32" i="4"/>
  <c r="V32" i="4"/>
  <c r="W32" i="4"/>
  <c r="X32" i="4"/>
  <c r="Y32" i="4"/>
  <c r="T33" i="4"/>
  <c r="U33" i="4"/>
  <c r="V33" i="4"/>
  <c r="W33" i="4"/>
  <c r="X33" i="4"/>
  <c r="Y33" i="4"/>
  <c r="T34" i="4"/>
  <c r="U34" i="4"/>
  <c r="V34" i="4"/>
  <c r="W34" i="4"/>
  <c r="X34" i="4"/>
  <c r="Y34" i="4"/>
  <c r="T35" i="4"/>
  <c r="U35" i="4"/>
  <c r="V35" i="4"/>
  <c r="W35" i="4"/>
  <c r="X35" i="4"/>
  <c r="Y35" i="4"/>
  <c r="T36" i="4"/>
  <c r="U36" i="4"/>
  <c r="V36" i="4"/>
  <c r="W36" i="4"/>
  <c r="X36" i="4"/>
  <c r="Y36" i="4"/>
  <c r="T37" i="4"/>
  <c r="U37" i="4"/>
  <c r="V37" i="4"/>
  <c r="W37" i="4"/>
  <c r="X37" i="4"/>
  <c r="Y37" i="4"/>
  <c r="T38" i="4"/>
  <c r="U38" i="4"/>
  <c r="V38" i="4"/>
  <c r="W38" i="4"/>
  <c r="X38" i="4"/>
  <c r="Y38" i="4"/>
  <c r="T39" i="4"/>
  <c r="U39" i="4"/>
  <c r="V39" i="4"/>
  <c r="W39" i="4"/>
  <c r="X39" i="4"/>
  <c r="Y39" i="4"/>
  <c r="T40" i="4"/>
  <c r="U40" i="4"/>
  <c r="V40" i="4"/>
  <c r="W40" i="4"/>
  <c r="X40" i="4"/>
  <c r="Y40" i="4"/>
  <c r="T41" i="4"/>
  <c r="U41" i="4"/>
  <c r="V41" i="4"/>
  <c r="W41" i="4"/>
  <c r="X41" i="4"/>
  <c r="Y41" i="4"/>
  <c r="T42" i="4"/>
  <c r="U42" i="4"/>
  <c r="V42" i="4"/>
  <c r="W42" i="4"/>
  <c r="X42" i="4"/>
  <c r="Y42" i="4"/>
  <c r="T43" i="4"/>
  <c r="U43" i="4"/>
  <c r="V43" i="4"/>
  <c r="W43" i="4"/>
  <c r="X43" i="4"/>
  <c r="Y43" i="4"/>
  <c r="T44" i="4"/>
  <c r="U44" i="4"/>
  <c r="V44" i="4"/>
  <c r="W44" i="4"/>
  <c r="X44" i="4"/>
  <c r="Y44" i="4"/>
  <c r="T45" i="4"/>
  <c r="U45" i="4"/>
  <c r="V45" i="4"/>
  <c r="W45" i="4"/>
  <c r="X45" i="4"/>
  <c r="Y45" i="4"/>
  <c r="T46" i="4"/>
  <c r="U46" i="4"/>
  <c r="V46" i="4"/>
  <c r="W46" i="4"/>
  <c r="X46" i="4"/>
  <c r="Y46" i="4"/>
  <c r="T47" i="4"/>
  <c r="U47" i="4"/>
  <c r="V47" i="4"/>
  <c r="W47" i="4"/>
  <c r="X47" i="4"/>
  <c r="Y47" i="4"/>
  <c r="T48" i="4"/>
  <c r="U48" i="4"/>
  <c r="V48" i="4"/>
  <c r="W48" i="4"/>
  <c r="X48" i="4"/>
  <c r="Y48" i="4"/>
  <c r="T49" i="4"/>
  <c r="U49" i="4"/>
  <c r="V49" i="4"/>
  <c r="W49" i="4"/>
  <c r="X49" i="4"/>
  <c r="Y49" i="4"/>
  <c r="T50" i="4"/>
  <c r="U50" i="4"/>
  <c r="V50" i="4"/>
  <c r="W50" i="4"/>
  <c r="X50" i="4"/>
  <c r="Y50" i="4"/>
  <c r="T51" i="4"/>
  <c r="U51" i="4"/>
  <c r="V51" i="4"/>
  <c r="W51" i="4"/>
  <c r="X51" i="4"/>
  <c r="Y51" i="4"/>
  <c r="T52" i="4"/>
  <c r="U52" i="4"/>
  <c r="V52" i="4"/>
  <c r="W52" i="4"/>
  <c r="X52" i="4"/>
  <c r="Y52" i="4"/>
  <c r="T53" i="4"/>
  <c r="U53" i="4"/>
  <c r="V53" i="4"/>
  <c r="W53" i="4"/>
  <c r="X53" i="4"/>
  <c r="Y53" i="4"/>
  <c r="T54" i="4"/>
  <c r="U54" i="4"/>
  <c r="V54" i="4"/>
  <c r="W54" i="4"/>
  <c r="X54" i="4"/>
  <c r="Y54" i="4"/>
  <c r="T55" i="4"/>
  <c r="U55" i="4"/>
  <c r="V55" i="4"/>
  <c r="W55" i="4"/>
  <c r="X55" i="4"/>
  <c r="Y55" i="4"/>
  <c r="T56" i="4"/>
  <c r="U56" i="4"/>
  <c r="V56" i="4"/>
  <c r="W56" i="4"/>
  <c r="X56" i="4"/>
  <c r="Y56" i="4"/>
  <c r="T57" i="4"/>
  <c r="U57" i="4"/>
  <c r="V57" i="4"/>
  <c r="W57" i="4"/>
  <c r="X57" i="4"/>
  <c r="Y57" i="4"/>
  <c r="T58" i="4"/>
  <c r="U58" i="4"/>
  <c r="V58" i="4"/>
  <c r="W58" i="4"/>
  <c r="X58" i="4"/>
  <c r="Y58" i="4"/>
  <c r="T59" i="4"/>
  <c r="U59" i="4"/>
  <c r="V59" i="4"/>
  <c r="W59" i="4"/>
  <c r="X59" i="4"/>
  <c r="Y59" i="4"/>
  <c r="T60" i="4"/>
  <c r="U60" i="4"/>
  <c r="V60" i="4"/>
  <c r="W60" i="4"/>
  <c r="X60" i="4"/>
  <c r="Y60" i="4"/>
  <c r="T61" i="4"/>
  <c r="U61" i="4"/>
  <c r="V61" i="4"/>
  <c r="W61" i="4"/>
  <c r="X61" i="4"/>
  <c r="Y61" i="4"/>
  <c r="T62" i="4"/>
  <c r="U62" i="4"/>
  <c r="V62" i="4"/>
  <c r="W62" i="4"/>
  <c r="X62" i="4"/>
  <c r="Y62" i="4"/>
  <c r="T63" i="4"/>
  <c r="U63" i="4"/>
  <c r="V63" i="4"/>
  <c r="W63" i="4"/>
  <c r="X63" i="4"/>
  <c r="Y63" i="4"/>
  <c r="T64" i="4"/>
  <c r="U64" i="4"/>
  <c r="V64" i="4"/>
  <c r="W64" i="4"/>
  <c r="X64" i="4"/>
  <c r="Y64" i="4"/>
  <c r="T65" i="4"/>
  <c r="U65" i="4"/>
  <c r="V65" i="4"/>
  <c r="W65" i="4"/>
  <c r="X65" i="4"/>
  <c r="Y65" i="4"/>
  <c r="T66" i="4"/>
  <c r="U66" i="4"/>
  <c r="V66" i="4"/>
  <c r="W66" i="4"/>
  <c r="X66" i="4"/>
  <c r="Y66" i="4"/>
  <c r="T67" i="4"/>
  <c r="U67" i="4"/>
  <c r="V67" i="4"/>
  <c r="W67" i="4"/>
  <c r="X67" i="4"/>
  <c r="Y67" i="4"/>
  <c r="T68" i="4"/>
  <c r="U68" i="4"/>
  <c r="V68" i="4"/>
  <c r="W68" i="4"/>
  <c r="X68" i="4"/>
  <c r="Y68" i="4"/>
  <c r="T69" i="4"/>
  <c r="U69" i="4"/>
  <c r="V69" i="4"/>
  <c r="W69" i="4"/>
  <c r="X69" i="4"/>
  <c r="Y69" i="4"/>
  <c r="T70" i="4"/>
  <c r="U70" i="4"/>
  <c r="V70" i="4"/>
  <c r="W70" i="4"/>
  <c r="X70" i="4"/>
  <c r="Y70" i="4"/>
  <c r="T71" i="4"/>
  <c r="U71" i="4"/>
  <c r="V71" i="4"/>
  <c r="W71" i="4"/>
  <c r="X71" i="4"/>
  <c r="Y71" i="4"/>
  <c r="T72" i="4"/>
  <c r="U72" i="4"/>
  <c r="V72" i="4"/>
  <c r="W72" i="4"/>
  <c r="X72" i="4"/>
  <c r="Y72" i="4"/>
  <c r="T73" i="4"/>
  <c r="U73" i="4"/>
  <c r="V73" i="4"/>
  <c r="W73" i="4"/>
  <c r="X73" i="4"/>
  <c r="Y73" i="4"/>
  <c r="T74" i="4"/>
  <c r="U74" i="4"/>
  <c r="V74" i="4"/>
  <c r="W74" i="4"/>
  <c r="X74" i="4"/>
  <c r="Y74" i="4"/>
  <c r="T75" i="4"/>
  <c r="U75" i="4"/>
  <c r="V75" i="4"/>
  <c r="W75" i="4"/>
  <c r="X75" i="4"/>
  <c r="Y75" i="4"/>
  <c r="T76" i="4"/>
  <c r="U76" i="4"/>
  <c r="V76" i="4"/>
  <c r="W76" i="4"/>
  <c r="X76" i="4"/>
  <c r="Y76" i="4"/>
  <c r="T77" i="4"/>
  <c r="U77" i="4"/>
  <c r="V77" i="4"/>
  <c r="W77" i="4"/>
  <c r="X77" i="4"/>
  <c r="Y77" i="4"/>
  <c r="T78" i="4"/>
  <c r="U78" i="4"/>
  <c r="V78" i="4"/>
  <c r="W78" i="4"/>
  <c r="X78" i="4"/>
  <c r="Y78" i="4"/>
  <c r="T79" i="4"/>
  <c r="U79" i="4"/>
  <c r="V79" i="4"/>
  <c r="W79" i="4"/>
  <c r="X79" i="4"/>
  <c r="Y79" i="4"/>
  <c r="T80" i="4"/>
  <c r="U80" i="4"/>
  <c r="V80" i="4"/>
  <c r="W80" i="4"/>
  <c r="X80" i="4"/>
  <c r="Y80" i="4"/>
  <c r="T81" i="4"/>
  <c r="U81" i="4"/>
  <c r="V81" i="4"/>
  <c r="W81" i="4"/>
  <c r="X81" i="4"/>
  <c r="Y81" i="4"/>
  <c r="T82" i="4"/>
  <c r="U82" i="4"/>
  <c r="V82" i="4"/>
  <c r="W82" i="4"/>
  <c r="X82" i="4"/>
  <c r="Y82" i="4"/>
  <c r="T83" i="4"/>
  <c r="U83" i="4"/>
  <c r="V83" i="4"/>
  <c r="W83" i="4"/>
  <c r="X83" i="4"/>
  <c r="Y83" i="4"/>
  <c r="T84" i="4"/>
  <c r="U84" i="4"/>
  <c r="V84" i="4"/>
  <c r="W84" i="4"/>
  <c r="X84" i="4"/>
  <c r="Y84" i="4"/>
  <c r="T85" i="4"/>
  <c r="U85" i="4"/>
  <c r="V85" i="4"/>
  <c r="W85" i="4"/>
  <c r="X85" i="4"/>
  <c r="Y85" i="4"/>
  <c r="T86" i="4"/>
  <c r="U86" i="4"/>
  <c r="V86" i="4"/>
  <c r="W86" i="4"/>
  <c r="X86" i="4"/>
  <c r="Y86" i="4"/>
  <c r="T87" i="4"/>
  <c r="U87" i="4"/>
  <c r="V87" i="4"/>
  <c r="W87" i="4"/>
  <c r="X87" i="4"/>
  <c r="Y87" i="4"/>
  <c r="T88" i="4"/>
  <c r="U88" i="4"/>
  <c r="V88" i="4"/>
  <c r="W88" i="4"/>
  <c r="X88" i="4"/>
  <c r="Y88" i="4"/>
  <c r="T89" i="4"/>
  <c r="U89" i="4"/>
  <c r="V89" i="4"/>
  <c r="W89" i="4"/>
  <c r="X89" i="4"/>
  <c r="Y89" i="4"/>
  <c r="T90" i="4"/>
  <c r="U90" i="4"/>
  <c r="V90" i="4"/>
  <c r="W90" i="4"/>
  <c r="X90" i="4"/>
  <c r="Y90" i="4"/>
  <c r="T91" i="4"/>
  <c r="U91" i="4"/>
  <c r="V91" i="4"/>
  <c r="W91" i="4"/>
  <c r="X91" i="4"/>
  <c r="Y91" i="4"/>
  <c r="T92" i="4"/>
  <c r="U92" i="4"/>
  <c r="V92" i="4"/>
  <c r="W92" i="4"/>
  <c r="X92" i="4"/>
  <c r="Y92" i="4"/>
  <c r="T93" i="4"/>
  <c r="U93" i="4"/>
  <c r="V93" i="4"/>
  <c r="W93" i="4"/>
  <c r="X93" i="4"/>
  <c r="Y93" i="4"/>
  <c r="T94" i="4"/>
  <c r="U94" i="4"/>
  <c r="V94" i="4"/>
  <c r="W94" i="4"/>
  <c r="X94" i="4"/>
  <c r="Y94" i="4"/>
  <c r="T95" i="4"/>
  <c r="U95" i="4"/>
  <c r="V95" i="4"/>
  <c r="W95" i="4"/>
  <c r="X95" i="4"/>
  <c r="Y95" i="4"/>
  <c r="T96" i="4"/>
  <c r="U96" i="4"/>
  <c r="V96" i="4"/>
  <c r="W96" i="4"/>
  <c r="X96" i="4"/>
  <c r="Y96" i="4"/>
  <c r="T97" i="4"/>
  <c r="U97" i="4"/>
  <c r="V97" i="4"/>
  <c r="W97" i="4"/>
  <c r="X97" i="4"/>
  <c r="Y97" i="4"/>
  <c r="T98" i="4"/>
  <c r="U98" i="4"/>
  <c r="V98" i="4"/>
  <c r="W98" i="4"/>
  <c r="X98" i="4"/>
  <c r="Y98" i="4"/>
  <c r="T99" i="4"/>
  <c r="U99" i="4"/>
  <c r="V99" i="4"/>
  <c r="W99" i="4"/>
  <c r="X99" i="4"/>
  <c r="Y99" i="4"/>
  <c r="T100" i="4"/>
  <c r="U100" i="4"/>
  <c r="V100" i="4"/>
  <c r="W100" i="4"/>
  <c r="X100" i="4"/>
  <c r="Y100" i="4"/>
  <c r="T101" i="4"/>
  <c r="U101" i="4"/>
  <c r="V101" i="4"/>
  <c r="W101" i="4"/>
  <c r="X101" i="4"/>
  <c r="Y101" i="4"/>
  <c r="U17" i="4"/>
  <c r="V17" i="4"/>
  <c r="W17" i="4"/>
  <c r="X17" i="4"/>
  <c r="Y17" i="4"/>
  <c r="T17" i="4"/>
  <c r="V16" i="4"/>
  <c r="W16" i="4"/>
  <c r="X16" i="4"/>
  <c r="Y16" i="4"/>
  <c r="U16" i="4"/>
  <c r="T16" i="4"/>
  <c r="P4" i="4"/>
  <c r="O4" i="4" l="1"/>
  <c r="N3" i="4" l="1"/>
  <c r="Q3" i="4" s="1"/>
  <c r="N4" i="4"/>
  <c r="N5" i="4"/>
  <c r="O5" i="4"/>
  <c r="P5" i="4"/>
  <c r="N6" i="4"/>
  <c r="O6" i="4"/>
  <c r="P6" i="4"/>
  <c r="N7" i="4"/>
  <c r="O7" i="4"/>
  <c r="P7" i="4"/>
  <c r="N8" i="4"/>
  <c r="O8" i="4"/>
  <c r="P8" i="4"/>
  <c r="N9" i="4"/>
  <c r="O9" i="4"/>
  <c r="P9" i="4"/>
  <c r="N10" i="4"/>
  <c r="O10" i="4"/>
  <c r="P10" i="4"/>
  <c r="N11" i="4"/>
  <c r="O11" i="4"/>
  <c r="P11" i="4"/>
  <c r="N12" i="4"/>
  <c r="O12" i="4"/>
  <c r="P12" i="4"/>
  <c r="N13" i="4"/>
  <c r="O13" i="4"/>
  <c r="P13" i="4"/>
  <c r="N14" i="4"/>
  <c r="O14" i="4"/>
  <c r="P14" i="4"/>
  <c r="N15" i="4"/>
  <c r="O15" i="4"/>
  <c r="P15" i="4"/>
  <c r="N16" i="4"/>
  <c r="O16" i="4"/>
  <c r="P16" i="4"/>
  <c r="N17" i="4"/>
  <c r="O17" i="4"/>
  <c r="P17" i="4"/>
  <c r="N18" i="4"/>
  <c r="O18" i="4"/>
  <c r="P18" i="4"/>
  <c r="N19" i="4"/>
  <c r="O19" i="4"/>
  <c r="P19" i="4"/>
  <c r="N20" i="4"/>
  <c r="O20" i="4"/>
  <c r="P20" i="4"/>
  <c r="N21" i="4"/>
  <c r="O21" i="4"/>
  <c r="P21" i="4"/>
  <c r="N22" i="4"/>
  <c r="O22" i="4"/>
  <c r="P22" i="4"/>
  <c r="N23" i="4"/>
  <c r="O23" i="4"/>
  <c r="P23" i="4"/>
  <c r="N24" i="4"/>
  <c r="O24" i="4"/>
  <c r="P24" i="4"/>
  <c r="N25" i="4"/>
  <c r="O25" i="4"/>
  <c r="P25" i="4"/>
  <c r="N26" i="4"/>
  <c r="O26" i="4"/>
  <c r="P26" i="4"/>
  <c r="N27" i="4"/>
  <c r="O27" i="4"/>
  <c r="P27" i="4"/>
  <c r="N28" i="4"/>
  <c r="O28" i="4"/>
  <c r="P28" i="4"/>
  <c r="N29" i="4"/>
  <c r="O29" i="4"/>
  <c r="P29" i="4"/>
  <c r="N30" i="4"/>
  <c r="O30" i="4"/>
  <c r="P30" i="4"/>
  <c r="N31" i="4"/>
  <c r="O31" i="4"/>
  <c r="P31" i="4"/>
  <c r="N32" i="4"/>
  <c r="O32" i="4"/>
  <c r="P32" i="4"/>
  <c r="N33" i="4"/>
  <c r="O33" i="4"/>
  <c r="P33" i="4"/>
  <c r="N34" i="4"/>
  <c r="O34" i="4"/>
  <c r="P34" i="4"/>
  <c r="N35" i="4"/>
  <c r="O35" i="4"/>
  <c r="P35" i="4"/>
  <c r="N36" i="4"/>
  <c r="O36" i="4"/>
  <c r="P36" i="4"/>
  <c r="N37" i="4"/>
  <c r="O37" i="4"/>
  <c r="P37" i="4"/>
  <c r="N38" i="4"/>
  <c r="O38" i="4"/>
  <c r="P38" i="4"/>
  <c r="N39" i="4"/>
  <c r="O39" i="4"/>
  <c r="P39" i="4"/>
  <c r="N40" i="4"/>
  <c r="O40" i="4"/>
  <c r="P40" i="4"/>
  <c r="N41" i="4"/>
  <c r="O41" i="4"/>
  <c r="P41" i="4"/>
  <c r="N42" i="4"/>
  <c r="O42" i="4"/>
  <c r="P42" i="4"/>
  <c r="N43" i="4"/>
  <c r="O43" i="4"/>
  <c r="P43" i="4"/>
  <c r="N44" i="4"/>
  <c r="O44" i="4"/>
  <c r="P44" i="4"/>
  <c r="N45" i="4"/>
  <c r="O45" i="4"/>
  <c r="P45" i="4"/>
  <c r="N46" i="4"/>
  <c r="O46" i="4"/>
  <c r="P46" i="4"/>
  <c r="N47" i="4"/>
  <c r="O47" i="4"/>
  <c r="P47" i="4"/>
  <c r="N48" i="4"/>
  <c r="O48" i="4"/>
  <c r="P48" i="4"/>
  <c r="N49" i="4"/>
  <c r="O49" i="4"/>
  <c r="P49" i="4"/>
  <c r="N50" i="4"/>
  <c r="O50" i="4"/>
  <c r="P50" i="4"/>
  <c r="N51" i="4"/>
  <c r="O51" i="4"/>
  <c r="P51" i="4"/>
  <c r="N52" i="4"/>
  <c r="O52" i="4"/>
  <c r="P52" i="4"/>
  <c r="N53" i="4"/>
  <c r="O53" i="4"/>
  <c r="P53" i="4"/>
  <c r="N54" i="4"/>
  <c r="O54" i="4"/>
  <c r="P54" i="4"/>
  <c r="N55" i="4"/>
  <c r="O55" i="4"/>
  <c r="P55" i="4"/>
  <c r="N56" i="4"/>
  <c r="O56" i="4"/>
  <c r="P56" i="4"/>
  <c r="N57" i="4"/>
  <c r="O57" i="4"/>
  <c r="P57" i="4"/>
  <c r="N58" i="4"/>
  <c r="O58" i="4"/>
  <c r="P58" i="4"/>
  <c r="N59" i="4"/>
  <c r="O59" i="4"/>
  <c r="P59" i="4"/>
  <c r="N60" i="4"/>
  <c r="O60" i="4"/>
  <c r="P60" i="4"/>
  <c r="N61" i="4"/>
  <c r="O61" i="4"/>
  <c r="P61" i="4"/>
  <c r="N62" i="4"/>
  <c r="O62" i="4"/>
  <c r="P62" i="4"/>
  <c r="N63" i="4"/>
  <c r="O63" i="4"/>
  <c r="P63" i="4"/>
  <c r="N64" i="4"/>
  <c r="O64" i="4"/>
  <c r="P64" i="4"/>
  <c r="N65" i="4"/>
  <c r="O65" i="4"/>
  <c r="P65" i="4"/>
  <c r="N66" i="4"/>
  <c r="O66" i="4"/>
  <c r="P66" i="4"/>
  <c r="N67" i="4"/>
  <c r="O67" i="4"/>
  <c r="P67" i="4"/>
  <c r="N68" i="4"/>
  <c r="O68" i="4"/>
  <c r="P68" i="4"/>
  <c r="N69" i="4"/>
  <c r="O69" i="4"/>
  <c r="P69" i="4"/>
  <c r="N70" i="4"/>
  <c r="O70" i="4"/>
  <c r="P70" i="4"/>
  <c r="N71" i="4"/>
  <c r="O71" i="4"/>
  <c r="P71" i="4"/>
  <c r="N72" i="4"/>
  <c r="O72" i="4"/>
  <c r="P72" i="4"/>
  <c r="N73" i="4"/>
  <c r="O73" i="4"/>
  <c r="P73" i="4"/>
  <c r="N74" i="4"/>
  <c r="O74" i="4"/>
  <c r="P74" i="4"/>
  <c r="N75" i="4"/>
  <c r="O75" i="4"/>
  <c r="P75" i="4"/>
  <c r="N76" i="4"/>
  <c r="O76" i="4"/>
  <c r="P76" i="4"/>
  <c r="N77" i="4"/>
  <c r="O77" i="4"/>
  <c r="P77" i="4"/>
  <c r="N78" i="4"/>
  <c r="O78" i="4"/>
  <c r="P78" i="4"/>
  <c r="N79" i="4"/>
  <c r="O79" i="4"/>
  <c r="P79" i="4"/>
  <c r="N80" i="4"/>
  <c r="O80" i="4"/>
  <c r="P80" i="4"/>
  <c r="N81" i="4"/>
  <c r="O81" i="4"/>
  <c r="P81" i="4"/>
  <c r="N82" i="4"/>
  <c r="O82" i="4"/>
  <c r="P82" i="4"/>
  <c r="N83" i="4"/>
  <c r="O83" i="4"/>
  <c r="P83" i="4"/>
  <c r="N84" i="4"/>
  <c r="O84" i="4"/>
  <c r="P84" i="4"/>
  <c r="N85" i="4"/>
  <c r="O85" i="4"/>
  <c r="P85" i="4"/>
  <c r="N86" i="4"/>
  <c r="O86" i="4"/>
  <c r="P86" i="4"/>
  <c r="N87" i="4"/>
  <c r="O87" i="4"/>
  <c r="P87" i="4"/>
  <c r="N88" i="4"/>
  <c r="O88" i="4"/>
  <c r="P88" i="4"/>
  <c r="N89" i="4"/>
  <c r="O89" i="4"/>
  <c r="P89" i="4"/>
  <c r="N90" i="4"/>
  <c r="O90" i="4"/>
  <c r="P90" i="4"/>
  <c r="N91" i="4"/>
  <c r="O91" i="4"/>
  <c r="P91" i="4"/>
  <c r="N92" i="4"/>
  <c r="O92" i="4"/>
  <c r="P92" i="4"/>
  <c r="N93" i="4"/>
  <c r="O93" i="4"/>
  <c r="P93" i="4"/>
  <c r="N94" i="4"/>
  <c r="O94" i="4"/>
  <c r="P94" i="4"/>
  <c r="N95" i="4"/>
  <c r="O95" i="4"/>
  <c r="P95" i="4"/>
  <c r="N96" i="4"/>
  <c r="O96" i="4"/>
  <c r="P96" i="4"/>
  <c r="N97" i="4"/>
  <c r="O97" i="4"/>
  <c r="P97" i="4"/>
  <c r="N98" i="4"/>
  <c r="O98" i="4"/>
  <c r="P98" i="4"/>
  <c r="N99" i="4"/>
  <c r="O99" i="4"/>
  <c r="P99" i="4"/>
  <c r="N100" i="4"/>
  <c r="O100" i="4"/>
  <c r="P100" i="4"/>
  <c r="N101" i="4"/>
  <c r="O101" i="4"/>
  <c r="P101" i="4"/>
  <c r="Q45" i="4" l="1"/>
  <c r="Q16" i="4"/>
  <c r="Q71" i="4"/>
  <c r="Q70" i="4"/>
  <c r="Q95" i="4"/>
  <c r="Q79" i="4"/>
  <c r="Q31" i="4"/>
  <c r="Q24" i="4"/>
  <c r="Q50" i="4"/>
  <c r="Q25" i="4"/>
  <c r="Q11" i="4"/>
  <c r="Q98" i="4"/>
  <c r="Q51" i="4"/>
  <c r="Q67" i="4"/>
  <c r="Q62" i="4"/>
  <c r="Q46" i="4"/>
  <c r="Q85" i="4"/>
  <c r="Q76" i="4"/>
  <c r="Q28" i="4"/>
  <c r="Q39" i="4"/>
  <c r="Q57" i="4"/>
  <c r="Q18" i="4"/>
  <c r="Q97" i="4"/>
  <c r="Q90" i="4"/>
  <c r="Q74" i="4"/>
  <c r="Q12" i="4"/>
  <c r="Q86" i="4"/>
  <c r="Q73" i="4"/>
  <c r="Q40" i="4"/>
  <c r="Q38" i="4"/>
  <c r="Q30" i="4"/>
  <c r="Q64" i="4"/>
  <c r="Q19" i="4"/>
  <c r="Q66" i="4"/>
  <c r="Q44" i="4"/>
  <c r="Q23" i="4"/>
  <c r="Q21" i="4"/>
  <c r="Q58" i="4"/>
  <c r="Q54" i="4"/>
  <c r="Q9" i="4"/>
  <c r="Q72" i="4"/>
  <c r="Q15" i="4"/>
  <c r="Q13" i="4"/>
  <c r="Q93" i="4"/>
  <c r="Q78" i="4"/>
  <c r="Q43" i="4"/>
  <c r="Q33" i="4"/>
  <c r="Q59" i="4"/>
  <c r="Q6" i="4"/>
  <c r="Q26" i="4"/>
  <c r="Q65" i="4"/>
  <c r="Q55" i="4"/>
  <c r="Q49" i="4"/>
  <c r="Q14" i="4"/>
  <c r="Q8" i="4"/>
  <c r="Q94" i="4"/>
  <c r="Q89" i="4"/>
  <c r="Q84" i="4"/>
  <c r="Q47" i="4"/>
  <c r="Q36" i="4"/>
  <c r="Q91" i="4"/>
  <c r="Q81" i="4"/>
  <c r="Q77" i="4"/>
  <c r="Q60" i="4"/>
  <c r="Q101" i="4"/>
  <c r="Q96" i="4"/>
  <c r="Q99" i="4"/>
  <c r="Q69" i="4"/>
  <c r="Q4" i="4"/>
  <c r="Q100" i="4"/>
  <c r="Q87" i="4"/>
  <c r="Q61" i="4"/>
  <c r="Q56" i="4"/>
  <c r="Q42" i="4"/>
  <c r="Q83" i="4"/>
  <c r="Q82" i="4"/>
  <c r="Q80" i="4"/>
  <c r="Q20" i="4"/>
  <c r="Q10" i="4"/>
  <c r="Q53" i="4"/>
  <c r="Q52" i="4"/>
  <c r="Q7" i="4"/>
  <c r="Q5" i="4"/>
  <c r="Q34" i="4"/>
  <c r="Q27" i="4"/>
  <c r="Q41" i="4"/>
  <c r="Q32" i="4"/>
  <c r="Q75" i="4"/>
  <c r="Q48" i="4"/>
  <c r="Q35" i="4"/>
  <c r="Q29" i="4"/>
  <c r="Q17" i="4"/>
  <c r="Q92" i="4"/>
  <c r="Q88" i="4"/>
  <c r="Q68" i="4"/>
  <c r="Q63" i="4"/>
  <c r="Q22" i="4"/>
  <c r="Q37" i="4"/>
  <c r="R65" i="4" l="1"/>
  <c r="R18" i="4"/>
  <c r="AF18" i="4" s="1"/>
  <c r="AM18" i="4" s="1" a="1"/>
  <c r="AM18" i="4" s="1"/>
  <c r="R60" i="4"/>
  <c r="AF60" i="4" s="1"/>
  <c r="R46" i="4"/>
  <c r="AA46" i="4" s="1"/>
  <c r="R57" i="4"/>
  <c r="AA57" i="4" s="1"/>
  <c r="R24" i="4"/>
  <c r="AB24" i="4" s="1"/>
  <c r="R81" i="4"/>
  <c r="AA81" i="4" s="1"/>
  <c r="R100" i="4"/>
  <c r="AD100" i="4" s="1"/>
  <c r="R31" i="4"/>
  <c r="AC31" i="4" s="1"/>
  <c r="AC24" i="4"/>
  <c r="R101" i="4"/>
  <c r="R17" i="4"/>
  <c r="R91" i="4"/>
  <c r="R32" i="4"/>
  <c r="R70" i="4"/>
  <c r="R63" i="4"/>
  <c r="AD46" i="4"/>
  <c r="AB65" i="4"/>
  <c r="AC81" i="4"/>
  <c r="AC57" i="4"/>
  <c r="AF24" i="4"/>
  <c r="R56" i="4"/>
  <c r="R82" i="4"/>
  <c r="R77" i="4"/>
  <c r="R52" i="4"/>
  <c r="R37" i="4"/>
  <c r="AE46" i="4"/>
  <c r="AC18" i="4"/>
  <c r="AB18" i="4"/>
  <c r="AD57" i="4"/>
  <c r="AK57" i="4" s="1" a="1"/>
  <c r="AK57" i="4" s="1"/>
  <c r="AF46" i="4"/>
  <c r="R97" i="4"/>
  <c r="R30" i="4"/>
  <c r="R66" i="4"/>
  <c r="R42" i="4"/>
  <c r="R23" i="4"/>
  <c r="R21" i="4"/>
  <c r="R26" i="4"/>
  <c r="R43" i="4"/>
  <c r="R41" i="4"/>
  <c r="R44" i="4"/>
  <c r="AD18" i="4"/>
  <c r="AE57" i="4"/>
  <c r="R98" i="4"/>
  <c r="AC60" i="4"/>
  <c r="AB60" i="4"/>
  <c r="R38" i="4"/>
  <c r="R28" i="4"/>
  <c r="R62" i="4"/>
  <c r="R88" i="4"/>
  <c r="R95" i="4"/>
  <c r="R73" i="4"/>
  <c r="R68" i="4"/>
  <c r="R22" i="4"/>
  <c r="R86" i="4"/>
  <c r="R59" i="4"/>
  <c r="R83" i="4"/>
  <c r="AD60" i="4"/>
  <c r="AA65" i="4"/>
  <c r="AH65" i="4" s="1" a="1"/>
  <c r="AH65" i="4" s="1"/>
  <c r="R33" i="4"/>
  <c r="R92" i="4"/>
  <c r="AE18" i="4"/>
  <c r="R85" i="4"/>
  <c r="R96" i="4"/>
  <c r="R90" i="4"/>
  <c r="R78" i="4"/>
  <c r="R67" i="4"/>
  <c r="R99" i="4"/>
  <c r="R75" i="4"/>
  <c r="R84" i="4"/>
  <c r="AE60" i="4"/>
  <c r="AL60" i="4" s="1" a="1"/>
  <c r="AL60" i="4" s="1"/>
  <c r="R79" i="4"/>
  <c r="R89" i="4"/>
  <c r="R94" i="4"/>
  <c r="R71" i="4"/>
  <c r="R25" i="4"/>
  <c r="R80" i="4"/>
  <c r="R29" i="4"/>
  <c r="R20" i="4"/>
  <c r="R48" i="4"/>
  <c r="R51" i="4"/>
  <c r="AF81" i="4"/>
  <c r="R61" i="4"/>
  <c r="R53" i="4"/>
  <c r="R50" i="4"/>
  <c r="R55" i="4"/>
  <c r="R35" i="4"/>
  <c r="R69" i="4"/>
  <c r="R19" i="4"/>
  <c r="R34" i="4"/>
  <c r="R87" i="4"/>
  <c r="R64" i="4"/>
  <c r="R58" i="4"/>
  <c r="AC65" i="4"/>
  <c r="AB57" i="4"/>
  <c r="R27" i="4"/>
  <c r="AF57" i="4"/>
  <c r="R93" i="4"/>
  <c r="R45" i="4"/>
  <c r="R54" i="4"/>
  <c r="R39" i="4"/>
  <c r="R40" i="4"/>
  <c r="R76" i="4"/>
  <c r="R47" i="4"/>
  <c r="R74" i="4"/>
  <c r="R49" i="4"/>
  <c r="R72" i="4"/>
  <c r="R36" i="4"/>
  <c r="R16" i="4"/>
  <c r="AK46" i="4" a="1"/>
  <c r="AK46" i="4" s="1"/>
  <c r="AE100" i="4" l="1"/>
  <c r="AC46" i="4"/>
  <c r="AB31" i="4"/>
  <c r="AD81" i="4"/>
  <c r="AF31" i="4"/>
  <c r="AA18" i="4"/>
  <c r="AH18" i="4" s="1" a="1"/>
  <c r="AH18" i="4" s="1"/>
  <c r="AB81" i="4"/>
  <c r="AE81" i="4"/>
  <c r="AA60" i="4"/>
  <c r="AB46" i="4"/>
  <c r="AI46" i="4" s="1" a="1"/>
  <c r="AI46" i="4" s="1"/>
  <c r="AE31" i="4"/>
  <c r="AL31" i="4" s="1" a="1"/>
  <c r="AL31" i="4" s="1"/>
  <c r="AA31" i="4"/>
  <c r="AH31" i="4" s="1" a="1"/>
  <c r="AH31" i="4" s="1"/>
  <c r="AE24" i="4"/>
  <c r="AD31" i="4"/>
  <c r="AA24" i="4"/>
  <c r="AB100" i="4"/>
  <c r="AI100" i="4" s="1" a="1"/>
  <c r="AI100" i="4" s="1"/>
  <c r="AF100" i="4"/>
  <c r="AM100" i="4" s="1" a="1"/>
  <c r="AM100" i="4" s="1"/>
  <c r="AD24" i="4"/>
  <c r="AC100" i="4"/>
  <c r="AJ100" i="4" s="1" a="1"/>
  <c r="AJ100" i="4" s="1"/>
  <c r="AA100" i="4"/>
  <c r="AH100" i="4" s="1" a="1"/>
  <c r="AH100" i="4" s="1"/>
  <c r="AD65" i="4"/>
  <c r="AK65" i="4" s="1" a="1"/>
  <c r="AK65" i="4" s="1"/>
  <c r="AE65" i="4"/>
  <c r="AL65" i="4" s="1" a="1"/>
  <c r="AL65" i="4" s="1"/>
  <c r="AF65" i="4"/>
  <c r="AC99" i="4"/>
  <c r="AJ99" i="4" s="1" a="1"/>
  <c r="AJ99" i="4" s="1"/>
  <c r="AF99" i="4"/>
  <c r="AM99" i="4" s="1" a="1"/>
  <c r="AM99" i="4" s="1"/>
  <c r="AE99" i="4"/>
  <c r="AD99" i="4"/>
  <c r="AA99" i="4"/>
  <c r="AB99" i="4"/>
  <c r="AD16" i="4"/>
  <c r="AK16" i="4" s="1" a="1"/>
  <c r="AK16" i="4" s="1"/>
  <c r="AF16" i="4"/>
  <c r="AM16" i="4" s="1" a="1"/>
  <c r="AM16" i="4" s="1"/>
  <c r="AE16" i="4"/>
  <c r="AL16" i="4" s="1" a="1"/>
  <c r="AL16" i="4" s="1"/>
  <c r="AB16" i="4"/>
  <c r="AI16" i="4" s="1" a="1"/>
  <c r="AI16" i="4" s="1"/>
  <c r="AC16" i="4"/>
  <c r="AJ16" i="4" s="1" a="1"/>
  <c r="AJ16" i="4" s="1"/>
  <c r="AA16" i="4"/>
  <c r="AH16" i="4" s="1" a="1"/>
  <c r="AH16" i="4" s="1"/>
  <c r="AE19" i="4"/>
  <c r="AL19" i="4" s="1" a="1"/>
  <c r="AL19" i="4" s="1"/>
  <c r="AD19" i="4"/>
  <c r="AF19" i="4"/>
  <c r="AC19" i="4"/>
  <c r="AA19" i="4"/>
  <c r="AH19" i="4" s="1" a="1"/>
  <c r="AH19" i="4" s="1"/>
  <c r="AB19" i="4"/>
  <c r="AF80" i="4"/>
  <c r="AM80" i="4" s="1" a="1"/>
  <c r="AM80" i="4" s="1"/>
  <c r="AE80" i="4"/>
  <c r="AL80" i="4" s="1" a="1"/>
  <c r="AL80" i="4" s="1"/>
  <c r="AD80" i="4"/>
  <c r="AK80" i="4" s="1" a="1"/>
  <c r="AK80" i="4" s="1"/>
  <c r="AB80" i="4"/>
  <c r="AI80" i="4" s="1" a="1"/>
  <c r="AI80" i="4" s="1"/>
  <c r="AC80" i="4"/>
  <c r="AJ80" i="4" s="1" a="1"/>
  <c r="AJ80" i="4" s="1"/>
  <c r="AA80" i="4"/>
  <c r="AH80" i="4" s="1" a="1"/>
  <c r="AH80" i="4" s="1"/>
  <c r="AE67" i="4"/>
  <c r="AL67" i="4" s="1" a="1"/>
  <c r="AL67" i="4" s="1"/>
  <c r="AD67" i="4"/>
  <c r="AC67" i="4"/>
  <c r="AB67" i="4"/>
  <c r="AF67" i="4"/>
  <c r="AA67" i="4"/>
  <c r="AC86" i="4"/>
  <c r="AJ86" i="4" s="1" a="1"/>
  <c r="AJ86" i="4" s="1"/>
  <c r="AB86" i="4"/>
  <c r="AF86" i="4"/>
  <c r="AM86" i="4" s="1" a="1"/>
  <c r="AM86" i="4" s="1"/>
  <c r="AE86" i="4"/>
  <c r="AL86" i="4" s="1" a="1"/>
  <c r="AL86" i="4" s="1"/>
  <c r="AD86" i="4"/>
  <c r="AK86" i="4" s="1" a="1"/>
  <c r="AK86" i="4" s="1"/>
  <c r="AA86" i="4"/>
  <c r="AH86" i="4" s="1" a="1"/>
  <c r="AH86" i="4" s="1"/>
  <c r="AF23" i="4"/>
  <c r="AM23" i="4" s="1" a="1"/>
  <c r="AM23" i="4" s="1"/>
  <c r="AE23" i="4"/>
  <c r="AB23" i="4"/>
  <c r="AD23" i="4"/>
  <c r="AC23" i="4"/>
  <c r="AJ23" i="4" s="1" a="1"/>
  <c r="AJ23" i="4" s="1"/>
  <c r="AA23" i="4"/>
  <c r="AF21" i="4"/>
  <c r="AM21" i="4" s="1" a="1"/>
  <c r="AM21" i="4" s="1"/>
  <c r="AE21" i="4"/>
  <c r="AA21" i="4"/>
  <c r="AH21" i="4" s="1" a="1"/>
  <c r="AH21" i="4" s="1"/>
  <c r="AD21" i="4"/>
  <c r="AK21" i="4" s="1" a="1"/>
  <c r="AK21" i="4" s="1"/>
  <c r="AC21" i="4"/>
  <c r="AJ21" i="4" s="1" a="1"/>
  <c r="AJ21" i="4" s="1"/>
  <c r="AB21" i="4"/>
  <c r="AI21" i="4" s="1" a="1"/>
  <c r="AI21" i="4" s="1"/>
  <c r="AA22" i="4"/>
  <c r="AH22" i="4" s="1" a="1"/>
  <c r="AH22" i="4" s="1"/>
  <c r="AF22" i="4"/>
  <c r="AM22" i="4" s="1" a="1"/>
  <c r="AM22" i="4" s="1"/>
  <c r="AE22" i="4"/>
  <c r="AB22" i="4"/>
  <c r="AC22" i="4"/>
  <c r="AD22" i="4"/>
  <c r="AA68" i="4"/>
  <c r="AH68" i="4" s="1" a="1"/>
  <c r="AH68" i="4" s="1"/>
  <c r="AF68" i="4"/>
  <c r="AE68" i="4"/>
  <c r="AL68" i="4" s="1" a="1"/>
  <c r="AL68" i="4" s="1"/>
  <c r="AD68" i="4"/>
  <c r="AK68" i="4" s="1" a="1"/>
  <c r="AK68" i="4" s="1"/>
  <c r="AB68" i="4"/>
  <c r="AI68" i="4" s="1" a="1"/>
  <c r="AI68" i="4" s="1"/>
  <c r="AC68" i="4"/>
  <c r="AJ68" i="4" s="1" a="1"/>
  <c r="AJ68" i="4" s="1"/>
  <c r="AF66" i="4"/>
  <c r="AM66" i="4" s="1" a="1"/>
  <c r="AM66" i="4" s="1"/>
  <c r="AA66" i="4"/>
  <c r="AE66" i="4"/>
  <c r="AD66" i="4"/>
  <c r="AB66" i="4"/>
  <c r="AC66" i="4"/>
  <c r="AC27" i="4"/>
  <c r="AJ27" i="4" s="1" a="1"/>
  <c r="AJ27" i="4" s="1"/>
  <c r="AF27" i="4"/>
  <c r="AE27" i="4"/>
  <c r="AL27" i="4" s="1" a="1"/>
  <c r="AL27" i="4" s="1"/>
  <c r="AD27" i="4"/>
  <c r="AK27" i="4" s="1" a="1"/>
  <c r="AK27" i="4" s="1"/>
  <c r="AB27" i="4"/>
  <c r="AI27" i="4" s="1" a="1"/>
  <c r="AI27" i="4" s="1"/>
  <c r="AA27" i="4"/>
  <c r="AH27" i="4" s="1" a="1"/>
  <c r="AH27" i="4" s="1"/>
  <c r="AE42" i="4"/>
  <c r="AL42" i="4" s="1" a="1"/>
  <c r="AL42" i="4" s="1"/>
  <c r="AF42" i="4"/>
  <c r="AD42" i="4"/>
  <c r="AB42" i="4"/>
  <c r="AC42" i="4"/>
  <c r="AJ42" i="4" s="1" a="1"/>
  <c r="AJ42" i="4" s="1"/>
  <c r="AA42" i="4"/>
  <c r="AB35" i="4"/>
  <c r="AI35" i="4" s="1" a="1"/>
  <c r="AI35" i="4" s="1"/>
  <c r="AA35" i="4"/>
  <c r="AF35" i="4"/>
  <c r="AM35" i="4" s="1" a="1"/>
  <c r="AM35" i="4" s="1"/>
  <c r="AC35" i="4"/>
  <c r="AJ35" i="4" s="1" a="1"/>
  <c r="AJ35" i="4" s="1"/>
  <c r="AE35" i="4"/>
  <c r="AL35" i="4" s="1" a="1"/>
  <c r="AL35" i="4" s="1"/>
  <c r="AD35" i="4"/>
  <c r="AK35" i="4" s="1" a="1"/>
  <c r="AK35" i="4" s="1"/>
  <c r="AA94" i="4"/>
  <c r="AH94" i="4" s="1" a="1"/>
  <c r="AH94" i="4" s="1"/>
  <c r="AC94" i="4"/>
  <c r="AB94" i="4"/>
  <c r="AI94" i="4" s="1" a="1"/>
  <c r="AI94" i="4" s="1"/>
  <c r="AF94" i="4"/>
  <c r="AE94" i="4"/>
  <c r="AL94" i="4" s="1" a="1"/>
  <c r="AL94" i="4" s="1"/>
  <c r="AD94" i="4"/>
  <c r="AF30" i="4"/>
  <c r="AM30" i="4" s="1" a="1"/>
  <c r="AM30" i="4" s="1"/>
  <c r="AE30" i="4"/>
  <c r="AL30" i="4" s="1" a="1"/>
  <c r="AL30" i="4" s="1"/>
  <c r="AD30" i="4"/>
  <c r="AK30" i="4" s="1" a="1"/>
  <c r="AK30" i="4" s="1"/>
  <c r="AB30" i="4"/>
  <c r="AI30" i="4" s="1" a="1"/>
  <c r="AI30" i="4" s="1"/>
  <c r="AC30" i="4"/>
  <c r="AJ30" i="4" s="1" a="1"/>
  <c r="AJ30" i="4" s="1"/>
  <c r="AA30" i="4"/>
  <c r="AH30" i="4" s="1" a="1"/>
  <c r="AH30" i="4" s="1"/>
  <c r="AB29" i="4"/>
  <c r="AI29" i="4" s="1" a="1"/>
  <c r="AI29" i="4" s="1"/>
  <c r="AD29" i="4"/>
  <c r="AK29" i="4" s="1" a="1"/>
  <c r="AK29" i="4" s="1"/>
  <c r="AF29" i="4"/>
  <c r="AE29" i="4"/>
  <c r="AL29" i="4" s="1" a="1"/>
  <c r="AL29" i="4" s="1"/>
  <c r="AC29" i="4"/>
  <c r="AA29" i="4"/>
  <c r="AF36" i="4"/>
  <c r="AM36" i="4" s="1" a="1"/>
  <c r="AM36" i="4" s="1"/>
  <c r="AE36" i="4"/>
  <c r="AD36" i="4"/>
  <c r="AK36" i="4" s="1" a="1"/>
  <c r="AK36" i="4" s="1"/>
  <c r="AB36" i="4"/>
  <c r="AI36" i="4" s="1" a="1"/>
  <c r="AI36" i="4" s="1"/>
  <c r="AC36" i="4"/>
  <c r="AJ36" i="4" s="1" a="1"/>
  <c r="AJ36" i="4" s="1"/>
  <c r="AA36" i="4"/>
  <c r="AH36" i="4" s="1" a="1"/>
  <c r="AH36" i="4" s="1"/>
  <c r="AB98" i="4"/>
  <c r="AI98" i="4" s="1" a="1"/>
  <c r="AI98" i="4" s="1"/>
  <c r="AC98" i="4"/>
  <c r="AA98" i="4"/>
  <c r="AD98" i="4"/>
  <c r="AE98" i="4"/>
  <c r="AL98" i="4" s="1" a="1"/>
  <c r="AL98" i="4" s="1"/>
  <c r="AF98" i="4"/>
  <c r="AE90" i="4"/>
  <c r="AL90" i="4" s="1" a="1"/>
  <c r="AL90" i="4" s="1"/>
  <c r="AF90" i="4"/>
  <c r="AD90" i="4"/>
  <c r="AK90" i="4" s="1" a="1"/>
  <c r="AK90" i="4" s="1"/>
  <c r="AA90" i="4"/>
  <c r="AH90" i="4" s="1" a="1"/>
  <c r="AH90" i="4" s="1"/>
  <c r="AB90" i="4"/>
  <c r="AI90" i="4" s="1" a="1"/>
  <c r="AI90" i="4" s="1"/>
  <c r="AC90" i="4"/>
  <c r="AJ90" i="4" s="1" a="1"/>
  <c r="AJ90" i="4" s="1"/>
  <c r="AA85" i="4"/>
  <c r="AH85" i="4" s="1" a="1"/>
  <c r="AH85" i="4" s="1"/>
  <c r="AB85" i="4"/>
  <c r="AC85" i="4"/>
  <c r="AD85" i="4"/>
  <c r="AF85" i="4"/>
  <c r="AM85" i="4" s="1" a="1"/>
  <c r="AM85" i="4" s="1"/>
  <c r="AE85" i="4"/>
  <c r="AC63" i="4"/>
  <c r="AJ63" i="4" s="1" a="1"/>
  <c r="AJ63" i="4" s="1"/>
  <c r="AB63" i="4"/>
  <c r="AA63" i="4"/>
  <c r="AH63" i="4" s="1" a="1"/>
  <c r="AH63" i="4" s="1"/>
  <c r="AD63" i="4"/>
  <c r="AK63" i="4" s="1" a="1"/>
  <c r="AK63" i="4" s="1"/>
  <c r="AE63" i="4"/>
  <c r="AL63" i="4" s="1" a="1"/>
  <c r="AL63" i="4" s="1"/>
  <c r="AF63" i="4"/>
  <c r="AM63" i="4" s="1" a="1"/>
  <c r="AM63" i="4" s="1"/>
  <c r="AA72" i="4"/>
  <c r="AH72" i="4" s="1" a="1"/>
  <c r="AH72" i="4" s="1"/>
  <c r="AB72" i="4"/>
  <c r="AC72" i="4"/>
  <c r="AD72" i="4"/>
  <c r="AF72" i="4"/>
  <c r="AE72" i="4"/>
  <c r="AE55" i="4"/>
  <c r="AL55" i="4" s="1" a="1"/>
  <c r="AL55" i="4" s="1"/>
  <c r="AA55" i="4"/>
  <c r="AB55" i="4"/>
  <c r="AI55" i="4" s="1" a="1"/>
  <c r="AI55" i="4" s="1"/>
  <c r="AF55" i="4"/>
  <c r="AM55" i="4" s="1" a="1"/>
  <c r="AM55" i="4" s="1"/>
  <c r="AD55" i="4"/>
  <c r="AK55" i="4" s="1" a="1"/>
  <c r="AK55" i="4" s="1"/>
  <c r="AC55" i="4"/>
  <c r="AJ55" i="4" s="1" a="1"/>
  <c r="AJ55" i="4" s="1"/>
  <c r="AD88" i="4"/>
  <c r="AK88" i="4" s="1" a="1"/>
  <c r="AK88" i="4" s="1"/>
  <c r="AE88" i="4"/>
  <c r="AF88" i="4"/>
  <c r="AB88" i="4"/>
  <c r="AC88" i="4"/>
  <c r="AA88" i="4"/>
  <c r="AH88" i="4" s="1" a="1"/>
  <c r="AH88" i="4" s="1"/>
  <c r="AC37" i="4"/>
  <c r="AJ37" i="4" s="1" a="1"/>
  <c r="AJ37" i="4" s="1"/>
  <c r="AA37" i="4"/>
  <c r="AB37" i="4"/>
  <c r="AI37" i="4" s="1" a="1"/>
  <c r="AI37" i="4" s="1"/>
  <c r="AD37" i="4"/>
  <c r="AK37" i="4" s="1" a="1"/>
  <c r="AK37" i="4" s="1"/>
  <c r="AF37" i="4"/>
  <c r="AM37" i="4" s="1" a="1"/>
  <c r="AM37" i="4" s="1"/>
  <c r="AE37" i="4"/>
  <c r="AL37" i="4" s="1" a="1"/>
  <c r="AL37" i="4" s="1"/>
  <c r="AA70" i="4"/>
  <c r="AH70" i="4" s="1" a="1"/>
  <c r="AH70" i="4" s="1"/>
  <c r="AB70" i="4"/>
  <c r="AC70" i="4"/>
  <c r="AF70" i="4"/>
  <c r="AE70" i="4"/>
  <c r="AD70" i="4"/>
  <c r="AB25" i="4"/>
  <c r="AI25" i="4" s="1" a="1"/>
  <c r="AI25" i="4" s="1"/>
  <c r="AF25" i="4"/>
  <c r="AE25" i="4"/>
  <c r="AL25" i="4" s="1" a="1"/>
  <c r="AL25" i="4" s="1"/>
  <c r="AD25" i="4"/>
  <c r="AK25" i="4" s="1" a="1"/>
  <c r="AK25" i="4" s="1"/>
  <c r="AC25" i="4"/>
  <c r="AJ25" i="4" s="1" a="1"/>
  <c r="AJ25" i="4" s="1"/>
  <c r="AA25" i="4"/>
  <c r="AH25" i="4" s="1" a="1"/>
  <c r="AH25" i="4" s="1"/>
  <c r="AB73" i="4"/>
  <c r="AI73" i="4" s="1" a="1"/>
  <c r="AI73" i="4" s="1"/>
  <c r="AF73" i="4"/>
  <c r="AE73" i="4"/>
  <c r="AD73" i="4"/>
  <c r="AC73" i="4"/>
  <c r="AJ73" i="4" s="1" a="1"/>
  <c r="AJ73" i="4" s="1"/>
  <c r="AA73" i="4"/>
  <c r="AH73" i="4" s="1" a="1"/>
  <c r="AH73" i="4" s="1"/>
  <c r="AB62" i="4"/>
  <c r="AI62" i="4" s="1" a="1"/>
  <c r="AI62" i="4" s="1"/>
  <c r="AC62" i="4"/>
  <c r="AF62" i="4"/>
  <c r="AM62" i="4" s="1" a="1"/>
  <c r="AM62" i="4" s="1"/>
  <c r="AE62" i="4"/>
  <c r="AL62" i="4" s="1" a="1"/>
  <c r="AL62" i="4" s="1"/>
  <c r="AD62" i="4"/>
  <c r="AK62" i="4" s="1" a="1"/>
  <c r="AK62" i="4" s="1"/>
  <c r="AA62" i="4"/>
  <c r="AH62" i="4" s="1" a="1"/>
  <c r="AH62" i="4" s="1"/>
  <c r="AD52" i="4"/>
  <c r="AK52" i="4" s="1" a="1"/>
  <c r="AK52" i="4" s="1"/>
  <c r="AB52" i="4"/>
  <c r="AC52" i="4"/>
  <c r="AE52" i="4"/>
  <c r="AA52" i="4"/>
  <c r="AF52" i="4"/>
  <c r="AF32" i="4"/>
  <c r="AM32" i="4" s="1" a="1"/>
  <c r="AM32" i="4" s="1"/>
  <c r="AE32" i="4"/>
  <c r="AD32" i="4"/>
  <c r="AK32" i="4" s="1" a="1"/>
  <c r="AK32" i="4" s="1"/>
  <c r="AB32" i="4"/>
  <c r="AI32" i="4" s="1" a="1"/>
  <c r="AI32" i="4" s="1"/>
  <c r="AC32" i="4"/>
  <c r="AJ32" i="4" s="1" a="1"/>
  <c r="AJ32" i="4" s="1"/>
  <c r="AA32" i="4"/>
  <c r="AH32" i="4" s="1" a="1"/>
  <c r="AH32" i="4" s="1"/>
  <c r="AB74" i="4"/>
  <c r="AI74" i="4" s="1" a="1"/>
  <c r="AI74" i="4" s="1"/>
  <c r="AC74" i="4"/>
  <c r="AA74" i="4"/>
  <c r="AD74" i="4"/>
  <c r="AE74" i="4"/>
  <c r="AF74" i="4"/>
  <c r="AD89" i="4"/>
  <c r="AK89" i="4" s="1" a="1"/>
  <c r="AK89" i="4" s="1"/>
  <c r="AC89" i="4"/>
  <c r="AJ89" i="4" s="1" a="1"/>
  <c r="AJ89" i="4" s="1"/>
  <c r="AA89" i="4"/>
  <c r="AH89" i="4" s="1" a="1"/>
  <c r="AH89" i="4" s="1"/>
  <c r="AE89" i="4"/>
  <c r="AL89" i="4" s="1" a="1"/>
  <c r="AL89" i="4" s="1"/>
  <c r="AB89" i="4"/>
  <c r="AI89" i="4" s="1" a="1"/>
  <c r="AI89" i="4" s="1"/>
  <c r="AF89" i="4"/>
  <c r="AM89" i="4" s="1" a="1"/>
  <c r="AM89" i="4" s="1"/>
  <c r="AB53" i="4"/>
  <c r="AI53" i="4" s="1" a="1"/>
  <c r="AI53" i="4" s="1"/>
  <c r="AD53" i="4"/>
  <c r="AF53" i="4"/>
  <c r="AE53" i="4"/>
  <c r="AC53" i="4"/>
  <c r="AA53" i="4"/>
  <c r="AD76" i="4"/>
  <c r="AK76" i="4" s="1" a="1"/>
  <c r="AK76" i="4" s="1"/>
  <c r="AB76" i="4"/>
  <c r="AC76" i="4"/>
  <c r="AJ76" i="4" s="1" a="1"/>
  <c r="AJ76" i="4" s="1"/>
  <c r="AA76" i="4"/>
  <c r="AH76" i="4" s="1" a="1"/>
  <c r="AH76" i="4" s="1"/>
  <c r="AF76" i="4"/>
  <c r="AM76" i="4" s="1" a="1"/>
  <c r="AM76" i="4" s="1"/>
  <c r="AE76" i="4"/>
  <c r="AL76" i="4" s="1" a="1"/>
  <c r="AL76" i="4" s="1"/>
  <c r="AF92" i="4"/>
  <c r="AM92" i="4" s="1" a="1"/>
  <c r="AM92" i="4" s="1"/>
  <c r="AE92" i="4"/>
  <c r="AD92" i="4"/>
  <c r="AA92" i="4"/>
  <c r="AB92" i="4"/>
  <c r="AI92" i="4" s="1" a="1"/>
  <c r="AI92" i="4" s="1"/>
  <c r="AC92" i="4"/>
  <c r="AJ92" i="4" s="1" a="1"/>
  <c r="AJ92" i="4" s="1"/>
  <c r="AD40" i="4"/>
  <c r="AK40" i="4" s="1" a="1"/>
  <c r="AK40" i="4" s="1"/>
  <c r="AF40" i="4"/>
  <c r="AE40" i="4"/>
  <c r="AL40" i="4" s="1" a="1"/>
  <c r="AL40" i="4" s="1"/>
  <c r="AB40" i="4"/>
  <c r="AI40" i="4" s="1" a="1"/>
  <c r="AI40" i="4" s="1"/>
  <c r="AC40" i="4"/>
  <c r="AJ40" i="4" s="1" a="1"/>
  <c r="AJ40" i="4" s="1"/>
  <c r="AA40" i="4"/>
  <c r="AH40" i="4" s="1" a="1"/>
  <c r="AH40" i="4" s="1"/>
  <c r="AA33" i="4"/>
  <c r="AH33" i="4" s="1" a="1"/>
  <c r="AH33" i="4" s="1"/>
  <c r="AB33" i="4"/>
  <c r="AF33" i="4"/>
  <c r="AE33" i="4"/>
  <c r="AD33" i="4"/>
  <c r="AK33" i="4" s="1" a="1"/>
  <c r="AK33" i="4" s="1"/>
  <c r="AC33" i="4"/>
  <c r="AJ33" i="4" s="1" a="1"/>
  <c r="AJ33" i="4" s="1"/>
  <c r="AD28" i="4"/>
  <c r="AK28" i="4" s="1" a="1"/>
  <c r="AK28" i="4" s="1"/>
  <c r="AB28" i="4"/>
  <c r="AC28" i="4"/>
  <c r="AJ28" i="4" s="1" a="1"/>
  <c r="AJ28" i="4" s="1"/>
  <c r="AA28" i="4"/>
  <c r="AH28" i="4" s="1" a="1"/>
  <c r="AH28" i="4" s="1"/>
  <c r="AF28" i="4"/>
  <c r="AM28" i="4" s="1" a="1"/>
  <c r="AM28" i="4" s="1"/>
  <c r="AE28" i="4"/>
  <c r="AL28" i="4" s="1" a="1"/>
  <c r="AL28" i="4" s="1"/>
  <c r="AF44" i="4"/>
  <c r="AM44" i="4" s="1" a="1"/>
  <c r="AM44" i="4" s="1"/>
  <c r="AE44" i="4"/>
  <c r="AD44" i="4"/>
  <c r="AB44" i="4"/>
  <c r="AC44" i="4"/>
  <c r="AA44" i="4"/>
  <c r="AH44" i="4" s="1" a="1"/>
  <c r="AH44" i="4" s="1"/>
  <c r="AF97" i="4"/>
  <c r="AM97" i="4" s="1" a="1"/>
  <c r="AM97" i="4" s="1"/>
  <c r="AE97" i="4"/>
  <c r="AD97" i="4"/>
  <c r="AK97" i="4" s="1" a="1"/>
  <c r="AK97" i="4" s="1"/>
  <c r="AB97" i="4"/>
  <c r="AI97" i="4" s="1" a="1"/>
  <c r="AI97" i="4" s="1"/>
  <c r="AC97" i="4"/>
  <c r="AJ97" i="4" s="1" a="1"/>
  <c r="AJ97" i="4" s="1"/>
  <c r="AA97" i="4"/>
  <c r="AH97" i="4" s="1" a="1"/>
  <c r="AH97" i="4" s="1"/>
  <c r="AF77" i="4"/>
  <c r="AM77" i="4" s="1" a="1"/>
  <c r="AM77" i="4" s="1"/>
  <c r="AD77" i="4"/>
  <c r="AE77" i="4"/>
  <c r="AC77" i="4"/>
  <c r="AA77" i="4"/>
  <c r="AB77" i="4"/>
  <c r="AE91" i="4"/>
  <c r="AL91" i="4" s="1" a="1"/>
  <c r="AL91" i="4" s="1"/>
  <c r="AF91" i="4"/>
  <c r="AD91" i="4"/>
  <c r="AK91" i="4" s="1" a="1"/>
  <c r="AK91" i="4" s="1"/>
  <c r="AC91" i="4"/>
  <c r="AJ91" i="4" s="1" a="1"/>
  <c r="AJ91" i="4" s="1"/>
  <c r="AB91" i="4"/>
  <c r="AI91" i="4" s="1" a="1"/>
  <c r="AI91" i="4" s="1"/>
  <c r="AA91" i="4"/>
  <c r="AH91" i="4" s="1" a="1"/>
  <c r="AH91" i="4" s="1"/>
  <c r="AF34" i="4"/>
  <c r="AM34" i="4" s="1" a="1"/>
  <c r="AM34" i="4" s="1"/>
  <c r="AE34" i="4"/>
  <c r="AL34" i="4" s="1" a="1"/>
  <c r="AL34" i="4" s="1"/>
  <c r="AA34" i="4"/>
  <c r="AD34" i="4"/>
  <c r="AK34" i="4" s="1" a="1"/>
  <c r="AK34" i="4" s="1"/>
  <c r="AB34" i="4"/>
  <c r="AC34" i="4"/>
  <c r="AA59" i="4"/>
  <c r="AH59" i="4" s="1" a="1"/>
  <c r="AH59" i="4" s="1"/>
  <c r="AB59" i="4"/>
  <c r="AF59" i="4"/>
  <c r="AM59" i="4" s="1" a="1"/>
  <c r="AM59" i="4" s="1"/>
  <c r="AE59" i="4"/>
  <c r="AL59" i="4" s="1" a="1"/>
  <c r="AL59" i="4" s="1"/>
  <c r="AC59" i="4"/>
  <c r="AJ59" i="4" s="1" a="1"/>
  <c r="AJ59" i="4" s="1"/>
  <c r="AD59" i="4"/>
  <c r="AK59" i="4" s="1" a="1"/>
  <c r="AK59" i="4" s="1"/>
  <c r="AF78" i="4"/>
  <c r="AM78" i="4" s="1" a="1"/>
  <c r="AM78" i="4" s="1"/>
  <c r="AE78" i="4"/>
  <c r="AD78" i="4"/>
  <c r="AB78" i="4"/>
  <c r="AC78" i="4"/>
  <c r="AJ78" i="4" s="1" a="1"/>
  <c r="AJ78" i="4" s="1"/>
  <c r="AA78" i="4"/>
  <c r="AF71" i="4"/>
  <c r="AM71" i="4" s="1" a="1"/>
  <c r="AM71" i="4" s="1"/>
  <c r="AE71" i="4"/>
  <c r="AD71" i="4"/>
  <c r="AK71" i="4" s="1" a="1"/>
  <c r="AK71" i="4" s="1"/>
  <c r="AC71" i="4"/>
  <c r="AJ71" i="4" s="1" a="1"/>
  <c r="AJ71" i="4" s="1"/>
  <c r="AA71" i="4"/>
  <c r="AH71" i="4" s="1" a="1"/>
  <c r="AH71" i="4" s="1"/>
  <c r="AB71" i="4"/>
  <c r="AI71" i="4" s="1" a="1"/>
  <c r="AI71" i="4" s="1"/>
  <c r="AC39" i="4"/>
  <c r="AJ39" i="4" s="1" a="1"/>
  <c r="AJ39" i="4" s="1"/>
  <c r="AD39" i="4"/>
  <c r="AA39" i="4"/>
  <c r="AB39" i="4"/>
  <c r="AE39" i="4"/>
  <c r="AL39" i="4" s="1" a="1"/>
  <c r="AL39" i="4" s="1"/>
  <c r="AF39" i="4"/>
  <c r="AM39" i="4" s="1" a="1"/>
  <c r="AM39" i="4" s="1"/>
  <c r="AA58" i="4"/>
  <c r="AH58" i="4" s="1" a="1"/>
  <c r="AH58" i="4" s="1"/>
  <c r="AF58" i="4"/>
  <c r="AM58" i="4" s="1" a="1"/>
  <c r="AM58" i="4" s="1"/>
  <c r="AE58" i="4"/>
  <c r="AL58" i="4" s="1" a="1"/>
  <c r="AL58" i="4" s="1"/>
  <c r="AD58" i="4"/>
  <c r="AK58" i="4" s="1" a="1"/>
  <c r="AK58" i="4" s="1"/>
  <c r="AB58" i="4"/>
  <c r="AI58" i="4" s="1" a="1"/>
  <c r="AI58" i="4" s="1"/>
  <c r="AC58" i="4"/>
  <c r="AJ58" i="4" s="1" a="1"/>
  <c r="AJ58" i="4" s="1"/>
  <c r="AF51" i="4"/>
  <c r="AM51" i="4" s="1" a="1"/>
  <c r="AM51" i="4" s="1"/>
  <c r="AC51" i="4"/>
  <c r="AE51" i="4"/>
  <c r="AD51" i="4"/>
  <c r="AB51" i="4"/>
  <c r="AI51" i="4" s="1" a="1"/>
  <c r="AI51" i="4" s="1"/>
  <c r="AA51" i="4"/>
  <c r="AB38" i="4"/>
  <c r="AI38" i="4" s="1" a="1"/>
  <c r="AI38" i="4" s="1"/>
  <c r="AF38" i="4"/>
  <c r="AE38" i="4"/>
  <c r="AL38" i="4" s="1" a="1"/>
  <c r="AL38" i="4" s="1"/>
  <c r="AD38" i="4"/>
  <c r="AK38" i="4" s="1" a="1"/>
  <c r="AK38" i="4" s="1"/>
  <c r="AC38" i="4"/>
  <c r="AJ38" i="4" s="1" a="1"/>
  <c r="AJ38" i="4" s="1"/>
  <c r="AA38" i="4"/>
  <c r="AH38" i="4" s="1" a="1"/>
  <c r="AH38" i="4" s="1"/>
  <c r="AD41" i="4"/>
  <c r="AK41" i="4" s="1" a="1"/>
  <c r="AK41" i="4" s="1"/>
  <c r="AC41" i="4"/>
  <c r="AF41" i="4"/>
  <c r="AE41" i="4"/>
  <c r="AA41" i="4"/>
  <c r="AB41" i="4"/>
  <c r="AI41" i="4" s="1" a="1"/>
  <c r="AI41" i="4" s="1"/>
  <c r="AF82" i="4"/>
  <c r="AM82" i="4" s="1" a="1"/>
  <c r="AM82" i="4" s="1"/>
  <c r="AE82" i="4"/>
  <c r="AD82" i="4"/>
  <c r="AK82" i="4" s="1" a="1"/>
  <c r="AK82" i="4" s="1"/>
  <c r="AA82" i="4"/>
  <c r="AH82" i="4" s="1" a="1"/>
  <c r="AH82" i="4" s="1"/>
  <c r="AB82" i="4"/>
  <c r="AI82" i="4" s="1" a="1"/>
  <c r="AI82" i="4" s="1"/>
  <c r="AC82" i="4"/>
  <c r="AJ82" i="4" s="1" a="1"/>
  <c r="AJ82" i="4" s="1"/>
  <c r="AD17" i="4"/>
  <c r="AK17" i="4" s="1" a="1"/>
  <c r="AK17" i="4" s="1"/>
  <c r="AB17" i="4"/>
  <c r="AI17" i="4" s="1" a="1"/>
  <c r="AI17" i="4" s="1"/>
  <c r="AF17" i="4"/>
  <c r="AA17" i="4"/>
  <c r="AC17" i="4"/>
  <c r="AJ17" i="4" s="1" a="1"/>
  <c r="AJ17" i="4" s="1"/>
  <c r="AE17" i="4"/>
  <c r="AF93" i="4"/>
  <c r="AM93" i="4" s="1" a="1"/>
  <c r="AM93" i="4" s="1"/>
  <c r="AE93" i="4"/>
  <c r="AL93" i="4" s="1" a="1"/>
  <c r="AL93" i="4" s="1"/>
  <c r="AD93" i="4"/>
  <c r="AK93" i="4" s="1" a="1"/>
  <c r="AK93" i="4" s="1"/>
  <c r="AA93" i="4"/>
  <c r="AH93" i="4" s="1" a="1"/>
  <c r="AH93" i="4" s="1"/>
  <c r="AC93" i="4"/>
  <c r="AJ93" i="4" s="1" a="1"/>
  <c r="AJ93" i="4" s="1"/>
  <c r="AB93" i="4"/>
  <c r="AI93" i="4" s="1" a="1"/>
  <c r="AI93" i="4" s="1"/>
  <c r="AF69" i="4"/>
  <c r="AM69" i="4" s="1" a="1"/>
  <c r="AM69" i="4" s="1"/>
  <c r="AE69" i="4"/>
  <c r="AB69" i="4"/>
  <c r="AD69" i="4"/>
  <c r="AC69" i="4"/>
  <c r="AJ69" i="4" s="1" a="1"/>
  <c r="AJ69" i="4" s="1"/>
  <c r="AA69" i="4"/>
  <c r="AH69" i="4" s="1" a="1"/>
  <c r="AH69" i="4" s="1"/>
  <c r="AA96" i="4"/>
  <c r="AH96" i="4" s="1" a="1"/>
  <c r="AH96" i="4" s="1"/>
  <c r="AD96" i="4"/>
  <c r="AB96" i="4"/>
  <c r="AI96" i="4" s="1" a="1"/>
  <c r="AI96" i="4" s="1"/>
  <c r="AC96" i="4"/>
  <c r="AJ96" i="4" s="1" a="1"/>
  <c r="AJ96" i="4" s="1"/>
  <c r="AF96" i="4"/>
  <c r="AM96" i="4" s="1" a="1"/>
  <c r="AM96" i="4" s="1"/>
  <c r="AE96" i="4"/>
  <c r="AL96" i="4" s="1" a="1"/>
  <c r="AL96" i="4" s="1"/>
  <c r="AB50" i="4"/>
  <c r="AI50" i="4" s="1" a="1"/>
  <c r="AI50" i="4" s="1"/>
  <c r="AC50" i="4"/>
  <c r="AA50" i="4"/>
  <c r="AE50" i="4"/>
  <c r="AD50" i="4"/>
  <c r="AK50" i="4" s="1" a="1"/>
  <c r="AK50" i="4" s="1"/>
  <c r="AF50" i="4"/>
  <c r="AM50" i="4" s="1" a="1"/>
  <c r="AM50" i="4" s="1"/>
  <c r="AB79" i="4"/>
  <c r="AI79" i="4" s="1" a="1"/>
  <c r="AI79" i="4" s="1"/>
  <c r="AE79" i="4"/>
  <c r="AL79" i="4" s="1" a="1"/>
  <c r="AL79" i="4" s="1"/>
  <c r="AA79" i="4"/>
  <c r="AH79" i="4" s="1" a="1"/>
  <c r="AH79" i="4" s="1"/>
  <c r="AF79" i="4"/>
  <c r="AM79" i="4" s="1" a="1"/>
  <c r="AM79" i="4" s="1"/>
  <c r="AD79" i="4"/>
  <c r="AK79" i="4" s="1" a="1"/>
  <c r="AK79" i="4" s="1"/>
  <c r="AC79" i="4"/>
  <c r="AJ79" i="4" s="1" a="1"/>
  <c r="AJ79" i="4" s="1"/>
  <c r="AD61" i="4"/>
  <c r="AK61" i="4" s="1" a="1"/>
  <c r="AK61" i="4" s="1"/>
  <c r="AA61" i="4"/>
  <c r="AB61" i="4"/>
  <c r="AC61" i="4"/>
  <c r="AJ61" i="4" s="1" a="1"/>
  <c r="AJ61" i="4" s="1"/>
  <c r="AF61" i="4"/>
  <c r="AM61" i="4" s="1" a="1"/>
  <c r="AM61" i="4" s="1"/>
  <c r="AE61" i="4"/>
  <c r="AF54" i="4"/>
  <c r="AM54" i="4" s="1" a="1"/>
  <c r="AM54" i="4" s="1"/>
  <c r="AE54" i="4"/>
  <c r="AD54" i="4"/>
  <c r="AK54" i="4" s="1" a="1"/>
  <c r="AK54" i="4" s="1"/>
  <c r="AB54" i="4"/>
  <c r="AI54" i="4" s="1" a="1"/>
  <c r="AI54" i="4" s="1"/>
  <c r="AC54" i="4"/>
  <c r="AJ54" i="4" s="1" a="1"/>
  <c r="AJ54" i="4" s="1"/>
  <c r="AA54" i="4"/>
  <c r="AH54" i="4" s="1" a="1"/>
  <c r="AH54" i="4" s="1"/>
  <c r="AD64" i="4"/>
  <c r="AK64" i="4" s="1" a="1"/>
  <c r="AK64" i="4" s="1"/>
  <c r="AF64" i="4"/>
  <c r="AE64" i="4"/>
  <c r="AB64" i="4"/>
  <c r="AC64" i="4"/>
  <c r="AA64" i="4"/>
  <c r="AA48" i="4"/>
  <c r="AH48" i="4" s="1" a="1"/>
  <c r="AH48" i="4" s="1"/>
  <c r="AC48" i="4"/>
  <c r="AD48" i="4"/>
  <c r="AK48" i="4" s="1" a="1"/>
  <c r="AK48" i="4" s="1"/>
  <c r="AB48" i="4"/>
  <c r="AI48" i="4" s="1" a="1"/>
  <c r="AI48" i="4" s="1"/>
  <c r="AF48" i="4"/>
  <c r="AM48" i="4" s="1" a="1"/>
  <c r="AM48" i="4" s="1"/>
  <c r="AE48" i="4"/>
  <c r="AL48" i="4" s="1" a="1"/>
  <c r="AL48" i="4" s="1"/>
  <c r="AF84" i="4"/>
  <c r="AM84" i="4" s="1" a="1"/>
  <c r="AM84" i="4" s="1"/>
  <c r="AE84" i="4"/>
  <c r="AD84" i="4"/>
  <c r="AB84" i="4"/>
  <c r="AC84" i="4"/>
  <c r="AJ84" i="4" s="1" a="1"/>
  <c r="AJ84" i="4" s="1"/>
  <c r="AA84" i="4"/>
  <c r="AH84" i="4" s="1" a="1"/>
  <c r="AH84" i="4" s="1"/>
  <c r="AB43" i="4"/>
  <c r="AI43" i="4" s="1" a="1"/>
  <c r="AI43" i="4" s="1"/>
  <c r="AE43" i="4"/>
  <c r="AD43" i="4"/>
  <c r="AK43" i="4" s="1" a="1"/>
  <c r="AK43" i="4" s="1"/>
  <c r="AC43" i="4"/>
  <c r="AJ43" i="4" s="1" a="1"/>
  <c r="AJ43" i="4" s="1"/>
  <c r="AA43" i="4"/>
  <c r="AH43" i="4" s="1" a="1"/>
  <c r="AH43" i="4" s="1"/>
  <c r="AF43" i="4"/>
  <c r="AM43" i="4" s="1" a="1"/>
  <c r="AM43" i="4" s="1"/>
  <c r="AF56" i="4"/>
  <c r="AM56" i="4" s="1" a="1"/>
  <c r="AM56" i="4" s="1"/>
  <c r="AE56" i="4"/>
  <c r="AL56" i="4" s="1" a="1"/>
  <c r="AL56" i="4" s="1"/>
  <c r="AD56" i="4"/>
  <c r="AB56" i="4"/>
  <c r="AC56" i="4"/>
  <c r="AJ56" i="4" s="1" a="1"/>
  <c r="AJ56" i="4" s="1"/>
  <c r="AA56" i="4"/>
  <c r="AH56" i="4" s="1" a="1"/>
  <c r="AH56" i="4" s="1"/>
  <c r="AD101" i="4"/>
  <c r="AK101" i="4" s="1" a="1"/>
  <c r="AK101" i="4" s="1"/>
  <c r="AF101" i="4"/>
  <c r="AE101" i="4"/>
  <c r="AL101" i="4" s="1" a="1"/>
  <c r="AL101" i="4" s="1"/>
  <c r="AB101" i="4"/>
  <c r="AI101" i="4" s="1" a="1"/>
  <c r="AI101" i="4" s="1"/>
  <c r="AC101" i="4"/>
  <c r="AJ101" i="4" s="1" a="1"/>
  <c r="AJ101" i="4" s="1"/>
  <c r="AA101" i="4"/>
  <c r="AH101" i="4" s="1" a="1"/>
  <c r="AH101" i="4" s="1"/>
  <c r="AF49" i="4"/>
  <c r="AM49" i="4" s="1" a="1"/>
  <c r="AM49" i="4" s="1"/>
  <c r="AE49" i="4"/>
  <c r="AD49" i="4"/>
  <c r="AC49" i="4"/>
  <c r="AA49" i="4"/>
  <c r="AH49" i="4" s="1" a="1"/>
  <c r="AH49" i="4" s="1"/>
  <c r="AB49" i="4"/>
  <c r="AI49" i="4" s="1" a="1"/>
  <c r="AI49" i="4" s="1"/>
  <c r="AF95" i="4"/>
  <c r="AM95" i="4" s="1" a="1"/>
  <c r="AM95" i="4" s="1"/>
  <c r="AB95" i="4"/>
  <c r="AI95" i="4" s="1" a="1"/>
  <c r="AI95" i="4" s="1"/>
  <c r="AE95" i="4"/>
  <c r="AL95" i="4" s="1" a="1"/>
  <c r="AL95" i="4" s="1"/>
  <c r="AD95" i="4"/>
  <c r="AK95" i="4" s="1" a="1"/>
  <c r="AK95" i="4" s="1"/>
  <c r="AC95" i="4"/>
  <c r="AJ95" i="4" s="1" a="1"/>
  <c r="AJ95" i="4" s="1"/>
  <c r="AA95" i="4"/>
  <c r="AH95" i="4" s="1" a="1"/>
  <c r="AH95" i="4" s="1"/>
  <c r="AF47" i="4"/>
  <c r="AM47" i="4" s="1" a="1"/>
  <c r="AM47" i="4" s="1"/>
  <c r="AE47" i="4"/>
  <c r="AL47" i="4" s="1" a="1"/>
  <c r="AL47" i="4" s="1"/>
  <c r="AD47" i="4"/>
  <c r="AC47" i="4"/>
  <c r="AB47" i="4"/>
  <c r="AI47" i="4" s="1" a="1"/>
  <c r="AI47" i="4" s="1"/>
  <c r="AA47" i="4"/>
  <c r="AH47" i="4" s="1" a="1"/>
  <c r="AH47" i="4" s="1"/>
  <c r="AF45" i="4"/>
  <c r="AM45" i="4" s="1" a="1"/>
  <c r="AM45" i="4" s="1"/>
  <c r="AB45" i="4"/>
  <c r="AE45" i="4"/>
  <c r="AL45" i="4" s="1" a="1"/>
  <c r="AL45" i="4" s="1"/>
  <c r="AD45" i="4"/>
  <c r="AK45" i="4" s="1" a="1"/>
  <c r="AK45" i="4" s="1"/>
  <c r="AC45" i="4"/>
  <c r="AJ45" i="4" s="1" a="1"/>
  <c r="AJ45" i="4" s="1"/>
  <c r="AA45" i="4"/>
  <c r="AH45" i="4" s="1" a="1"/>
  <c r="AH45" i="4" s="1"/>
  <c r="AC87" i="4"/>
  <c r="AJ87" i="4" s="1" a="1"/>
  <c r="AJ87" i="4" s="1"/>
  <c r="AD87" i="4"/>
  <c r="AA87" i="4"/>
  <c r="AE87" i="4"/>
  <c r="AB87" i="4"/>
  <c r="AI87" i="4" s="1" a="1"/>
  <c r="AI87" i="4" s="1"/>
  <c r="AF87" i="4"/>
  <c r="AM87" i="4" s="1" a="1"/>
  <c r="AM87" i="4" s="1"/>
  <c r="AF20" i="4"/>
  <c r="AM20" i="4" s="1" a="1"/>
  <c r="AM20" i="4" s="1"/>
  <c r="AE20" i="4"/>
  <c r="AA20" i="4"/>
  <c r="AH20" i="4" s="1" a="1"/>
  <c r="AH20" i="4" s="1"/>
  <c r="AD20" i="4"/>
  <c r="AK20" i="4" s="1" a="1"/>
  <c r="AK20" i="4" s="1"/>
  <c r="AB20" i="4"/>
  <c r="AI20" i="4" s="1" a="1"/>
  <c r="AI20" i="4" s="1"/>
  <c r="AC20" i="4"/>
  <c r="AJ20" i="4" s="1" a="1"/>
  <c r="AJ20" i="4" s="1"/>
  <c r="AF75" i="4"/>
  <c r="AM75" i="4" s="1" a="1"/>
  <c r="AM75" i="4" s="1"/>
  <c r="AB75" i="4"/>
  <c r="AE75" i="4"/>
  <c r="AC75" i="4"/>
  <c r="AD75" i="4"/>
  <c r="AK75" i="4" s="1" a="1"/>
  <c r="AK75" i="4" s="1"/>
  <c r="AA75" i="4"/>
  <c r="AH75" i="4" s="1" a="1"/>
  <c r="AH75" i="4" s="1"/>
  <c r="AA83" i="4"/>
  <c r="AH83" i="4" s="1" a="1"/>
  <c r="AH83" i="4" s="1"/>
  <c r="AB83" i="4"/>
  <c r="AI83" i="4" s="1" a="1"/>
  <c r="AI83" i="4" s="1"/>
  <c r="AF83" i="4"/>
  <c r="AM83" i="4" s="1" a="1"/>
  <c r="AM83" i="4" s="1"/>
  <c r="AE83" i="4"/>
  <c r="AL83" i="4" s="1" a="1"/>
  <c r="AL83" i="4" s="1"/>
  <c r="AD83" i="4"/>
  <c r="AK83" i="4" s="1" a="1"/>
  <c r="AK83" i="4" s="1"/>
  <c r="AC83" i="4"/>
  <c r="AJ83" i="4" s="1" a="1"/>
  <c r="AJ83" i="4" s="1"/>
  <c r="AB26" i="4"/>
  <c r="AI26" i="4" s="1" a="1"/>
  <c r="AI26" i="4" s="1"/>
  <c r="AC26" i="4"/>
  <c r="AD26" i="4"/>
  <c r="AA26" i="4"/>
  <c r="AF26" i="4"/>
  <c r="AM26" i="4" s="1" a="1"/>
  <c r="AM26" i="4" s="1"/>
  <c r="AE26" i="4"/>
  <c r="AL26" i="4" s="1" a="1"/>
  <c r="AL26" i="4" s="1"/>
  <c r="AI60" i="4" a="1"/>
  <c r="AI60" i="4" s="1"/>
  <c r="AJ47" i="4" a="1"/>
  <c r="AJ47" i="4" s="1"/>
  <c r="AJ24" i="4" a="1"/>
  <c r="AJ24" i="4" s="1"/>
  <c r="AL69" i="4" a="1"/>
  <c r="AL69" i="4" s="1"/>
  <c r="AH24" i="4" a="1"/>
  <c r="AH24" i="4" s="1"/>
  <c r="AL81" i="4" a="1"/>
  <c r="AL81" i="4" s="1"/>
  <c r="AL41" i="4" a="1"/>
  <c r="AL41" i="4" s="1"/>
  <c r="AL77" i="4" a="1"/>
  <c r="AL77" i="4" s="1"/>
  <c r="AI42" i="4" a="1"/>
  <c r="AI42" i="4" s="1"/>
  <c r="AK78" i="4" a="1"/>
  <c r="AK78" i="4" s="1"/>
  <c r="AI78" i="4" a="1"/>
  <c r="AI78" i="4" s="1"/>
  <c r="AK94" i="4" a="1"/>
  <c r="AK94" i="4" s="1"/>
  <c r="AM74" i="4" a="1"/>
  <c r="AM74" i="4" s="1"/>
  <c r="AK98" i="4" a="1"/>
  <c r="AK98" i="4" s="1"/>
  <c r="AL64" i="4" a="1"/>
  <c r="AL64" i="4" s="1"/>
  <c r="AM46" i="4" a="1"/>
  <c r="AM46" i="4" s="1"/>
  <c r="AK23" i="4" a="1"/>
  <c r="AK23" i="4" s="1"/>
  <c r="AL92" i="4" a="1"/>
  <c r="AL92" i="4" s="1"/>
  <c r="AL21" i="4" a="1"/>
  <c r="AL21" i="4" s="1"/>
  <c r="AL88" i="4" a="1"/>
  <c r="AL88" i="4" s="1"/>
  <c r="AL57" i="4" a="1"/>
  <c r="AL57" i="4" s="1"/>
  <c r="AI85" i="4" a="1"/>
  <c r="AI85" i="4" s="1"/>
  <c r="AJ70" i="4" a="1"/>
  <c r="AJ70" i="4" s="1"/>
  <c r="AM67" i="4" a="1"/>
  <c r="AM67" i="4" s="1"/>
  <c r="AJ22" i="4" a="1"/>
  <c r="AJ22" i="4" s="1"/>
  <c r="AI31" i="4" a="1"/>
  <c r="AI31" i="4" s="1"/>
  <c r="AH92" i="4" a="1"/>
  <c r="AH92" i="4" s="1"/>
  <c r="AH34" i="4" a="1"/>
  <c r="AH34" i="4" s="1"/>
  <c r="AJ46" i="4" a="1"/>
  <c r="AJ46" i="4" s="1"/>
  <c r="AM60" i="4" a="1"/>
  <c r="AM60" i="4" s="1"/>
  <c r="AJ66" i="4" a="1"/>
  <c r="AJ66" i="4" s="1"/>
  <c r="AH99" i="4" a="1"/>
  <c r="AH99" i="4" s="1"/>
  <c r="AL66" i="4" a="1"/>
  <c r="AL66" i="4" s="1"/>
  <c r="AI70" i="4" a="1"/>
  <c r="AI70" i="4" s="1"/>
  <c r="AK100" i="4" a="1"/>
  <c r="AK100" i="4" s="1"/>
  <c r="AL32" i="4" a="1"/>
  <c r="AL32" i="4" s="1"/>
  <c r="AK69" i="4" a="1"/>
  <c r="AK69" i="4" s="1"/>
  <c r="AM29" i="4" a="1"/>
  <c r="AM29" i="4" s="1"/>
  <c r="AL85" i="4" a="1"/>
  <c r="AL85" i="4" s="1"/>
  <c r="AJ62" i="4" a="1"/>
  <c r="AJ62" i="4" s="1"/>
  <c r="AI19" i="4" a="1"/>
  <c r="AI19" i="4" s="1"/>
  <c r="AL99" i="4" a="1"/>
  <c r="AL99" i="4" s="1"/>
  <c r="AM98" i="4" a="1"/>
  <c r="AM98" i="4" s="1"/>
  <c r="AH60" i="4" a="1"/>
  <c r="AH60" i="4" s="1"/>
  <c r="AH26" i="4" a="1"/>
  <c r="AH26" i="4" s="1"/>
  <c r="AM31" i="4" a="1"/>
  <c r="AM31" i="4" s="1"/>
  <c r="AJ31" i="4" a="1"/>
  <c r="AJ31" i="4" s="1"/>
  <c r="AL44" i="4" a="1"/>
  <c r="AL44" i="4" s="1"/>
  <c r="AK51" i="4" a="1"/>
  <c r="AK51" i="4" s="1"/>
  <c r="AK47" i="4" a="1"/>
  <c r="AK47" i="4" s="1"/>
  <c r="AH67" i="4" a="1"/>
  <c r="AH67" i="4" s="1"/>
  <c r="AL73" i="4" a="1"/>
  <c r="AL73" i="4" s="1"/>
  <c r="AK96" i="4" a="1"/>
  <c r="AK96" i="4" s="1"/>
  <c r="AJ65" i="4" a="1"/>
  <c r="AJ65" i="4" s="1"/>
  <c r="AL74" i="4" a="1"/>
  <c r="AL74" i="4" s="1"/>
  <c r="AM41" i="4" a="1"/>
  <c r="AM41" i="4" s="1"/>
  <c r="AK56" i="4" a="1"/>
  <c r="AK56" i="4" s="1"/>
  <c r="AI24" i="4" a="1"/>
  <c r="AI24" i="4" s="1"/>
  <c r="AJ50" i="4" a="1"/>
  <c r="AJ50" i="4" s="1"/>
  <c r="AK72" i="4" a="1"/>
  <c r="AK72" i="4" s="1"/>
  <c r="AJ74" i="4" a="1"/>
  <c r="AJ74" i="4" s="1"/>
  <c r="AL78" i="4" a="1"/>
  <c r="AL78" i="4" s="1"/>
  <c r="AH87" i="4" a="1"/>
  <c r="AH87" i="4" s="1"/>
  <c r="AI99" i="4" a="1"/>
  <c r="AI99" i="4" s="1"/>
  <c r="AH23" i="4" a="1"/>
  <c r="AH23" i="4" s="1"/>
  <c r="AL52" i="4" a="1"/>
  <c r="AL52" i="4" s="1"/>
  <c r="AM17" i="4" a="1"/>
  <c r="AM17" i="4" s="1"/>
  <c r="AL100" i="4" a="1"/>
  <c r="AL100" i="4" s="1"/>
  <c r="AJ75" i="4" a="1"/>
  <c r="AJ75" i="4" s="1"/>
  <c r="AH52" i="4" a="1"/>
  <c r="AH52" i="4" s="1"/>
  <c r="AM68" i="4" a="1"/>
  <c r="AM68" i="4" s="1"/>
  <c r="AM27" i="4" a="1"/>
  <c r="AM27" i="4" s="1"/>
  <c r="AJ88" i="4" a="1"/>
  <c r="AJ88" i="4" s="1"/>
  <c r="AJ49" i="4" a="1"/>
  <c r="AJ49" i="4" s="1"/>
  <c r="AL24" i="4" a="1"/>
  <c r="AL24" i="4" s="1"/>
  <c r="AL36" i="4" a="1"/>
  <c r="AL36" i="4" s="1"/>
  <c r="AH55" i="4" a="1"/>
  <c r="AH55" i="4" s="1"/>
  <c r="AJ60" i="4" a="1"/>
  <c r="AJ60" i="4" s="1"/>
  <c r="AM65" i="4" a="1"/>
  <c r="AM65" i="4" s="1"/>
  <c r="AI65" i="4" a="1"/>
  <c r="AI65" i="4" s="1"/>
  <c r="AK81" i="4" a="1"/>
  <c r="AK81" i="4" s="1"/>
  <c r="AI86" i="4" a="1"/>
  <c r="AI86" i="4" s="1"/>
  <c r="AM90" i="4" a="1"/>
  <c r="AM90" i="4" s="1"/>
  <c r="AH98" i="4" a="1"/>
  <c r="AH98" i="4" s="1"/>
  <c r="AI22" i="4" a="1"/>
  <c r="AI22" i="4" s="1"/>
  <c r="AM24" i="4" a="1"/>
  <c r="AM24" i="4" s="1"/>
  <c r="AI34" i="4" a="1"/>
  <c r="AI34" i="4" s="1"/>
  <c r="AH42" i="4" a="1"/>
  <c r="AH42" i="4" s="1"/>
  <c r="AM42" i="4" a="1"/>
  <c r="AM42" i="4" s="1"/>
  <c r="AK53" i="4" a="1"/>
  <c r="AK53" i="4" s="1"/>
  <c r="AH57" i="4" a="1"/>
  <c r="AH57" i="4" s="1"/>
  <c r="AK66" i="4" a="1"/>
  <c r="AK66" i="4" s="1"/>
  <c r="AI75" i="4" a="1"/>
  <c r="AI75" i="4" s="1"/>
  <c r="AJ18" i="4" a="1"/>
  <c r="AJ18" i="4" s="1"/>
  <c r="AL84" i="4" a="1"/>
  <c r="AL84" i="4" s="1"/>
  <c r="AH64" i="4" a="1"/>
  <c r="AH64" i="4" s="1"/>
  <c r="AL54" i="4" a="1"/>
  <c r="AL54" i="4" s="1"/>
  <c r="AM19" i="4" a="1"/>
  <c r="AM19" i="4" s="1"/>
  <c r="AM88" i="4" a="1"/>
  <c r="AM88" i="4" s="1"/>
  <c r="AL75" i="4" a="1"/>
  <c r="AL75" i="4" s="1"/>
  <c r="AM91" i="4" a="1"/>
  <c r="AM91" i="4" s="1"/>
  <c r="AI28" i="4" a="1"/>
  <c r="AI28" i="4" s="1"/>
  <c r="AI64" i="4" a="1"/>
  <c r="AI64" i="4" s="1"/>
  <c r="AK67" i="4" a="1"/>
  <c r="AK67" i="4" s="1"/>
  <c r="AI84" i="4" a="1"/>
  <c r="AI84" i="4" s="1"/>
  <c r="AH35" i="4" a="1"/>
  <c r="AH35" i="4" s="1"/>
  <c r="AI23" i="4" a="1"/>
  <c r="AI23" i="4" s="1"/>
  <c r="AM40" i="4" a="1"/>
  <c r="AM40" i="4" s="1"/>
  <c r="AJ44" i="4" a="1"/>
  <c r="AJ44" i="4" s="1"/>
  <c r="AL51" i="4" a="1"/>
  <c r="AL51" i="4" s="1"/>
  <c r="AK60" i="4" a="1"/>
  <c r="AK60" i="4" s="1"/>
  <c r="AL61" i="4" a="1"/>
  <c r="AL61" i="4" s="1"/>
  <c r="AI67" i="4" a="1"/>
  <c r="AI67" i="4" s="1"/>
  <c r="AK85" i="4" a="1"/>
  <c r="AK85" i="4" s="1"/>
  <c r="AK92" i="4" a="1"/>
  <c r="AK92" i="4" s="1"/>
  <c r="AI63" i="4" a="1"/>
  <c r="AI63" i="4" s="1"/>
  <c r="AI52" i="4" a="1"/>
  <c r="AI52" i="4" s="1"/>
  <c r="AI59" i="4" a="1"/>
  <c r="AI59" i="4" s="1"/>
  <c r="AJ48" i="4" a="1"/>
  <c r="AJ48" i="4" s="1"/>
  <c r="AH29" i="4" a="1"/>
  <c r="AH29" i="4" s="1"/>
  <c r="AI57" i="4" a="1"/>
  <c r="AI57" i="4" s="1"/>
  <c r="AK73" i="4" a="1"/>
  <c r="AK73" i="4" s="1"/>
  <c r="AM81" i="4" a="1"/>
  <c r="AM81" i="4" s="1"/>
  <c r="AJ41" i="4" a="1"/>
  <c r="AJ41" i="4" s="1"/>
  <c r="AH46" i="4" a="1"/>
  <c r="AH46" i="4" s="1"/>
  <c r="AM52" i="4" a="1"/>
  <c r="AM52" i="4" s="1"/>
  <c r="AM53" i="4" a="1"/>
  <c r="AM53" i="4" s="1"/>
  <c r="AI76" i="4" a="1"/>
  <c r="AI76" i="4" s="1"/>
  <c r="AH50" i="4" a="1"/>
  <c r="AH50" i="4" s="1"/>
  <c r="AJ34" i="4" a="1"/>
  <c r="AJ34" i="4" s="1"/>
  <c r="AI45" i="4" a="1"/>
  <c r="AI45" i="4" s="1"/>
  <c r="AJ26" i="4" a="1"/>
  <c r="AJ26" i="4" s="1"/>
  <c r="AI88" i="4" a="1"/>
  <c r="AI88" i="4" s="1"/>
  <c r="AI77" i="4" a="1"/>
  <c r="AI77" i="4" s="1"/>
  <c r="AL43" i="4" a="1"/>
  <c r="AL43" i="4" s="1"/>
  <c r="AK84" i="4" a="1"/>
  <c r="AK84" i="4" s="1"/>
  <c r="AK26" i="4" a="1"/>
  <c r="AK26" i="4" s="1"/>
  <c r="AL18" i="4" a="1"/>
  <c r="AL18" i="4" s="1"/>
  <c r="AM57" i="4" a="1"/>
  <c r="AM57" i="4" s="1"/>
  <c r="AH78" i="4" a="1"/>
  <c r="AH78" i="4" s="1"/>
  <c r="AM38" i="4" a="1"/>
  <c r="AM38" i="4" s="1"/>
  <c r="AL22" i="4" a="1"/>
  <c r="AL22" i="4" s="1"/>
  <c r="AK31" i="4" a="1"/>
  <c r="AK31" i="4" s="1"/>
  <c r="AI33" i="4" a="1"/>
  <c r="AI33" i="4" s="1"/>
  <c r="AL49" i="4" a="1"/>
  <c r="AL49" i="4" s="1"/>
  <c r="AK44" i="4" a="1"/>
  <c r="AK44" i="4" s="1"/>
  <c r="AI56" i="4" a="1"/>
  <c r="AI56" i="4" s="1"/>
  <c r="AH61" i="4" a="1"/>
  <c r="AH61" i="4" s="1"/>
  <c r="AH74" i="4" a="1"/>
  <c r="AH74" i="4" s="1"/>
  <c r="AI66" i="4" a="1"/>
  <c r="AI66" i="4" s="1"/>
  <c r="AJ81" i="4" a="1"/>
  <c r="AJ81" i="4" s="1"/>
  <c r="AK87" i="4" a="1"/>
  <c r="AK87" i="4" s="1"/>
  <c r="AJ85" i="4" a="1"/>
  <c r="AJ85" i="4" s="1"/>
  <c r="AK42" i="4" a="1"/>
  <c r="AK42" i="4" s="1"/>
  <c r="AL53" i="4" a="1"/>
  <c r="AL53" i="4" s="1"/>
  <c r="AL97" i="4" a="1"/>
  <c r="AL97" i="4" s="1"/>
  <c r="AH66" i="4" a="1"/>
  <c r="AH66" i="4" s="1"/>
  <c r="AH77" i="4" a="1"/>
  <c r="AH77" i="4" s="1"/>
  <c r="AJ77" i="4" a="1"/>
  <c r="AJ77" i="4" s="1"/>
  <c r="AM94" i="4" a="1"/>
  <c r="AM94" i="4" s="1"/>
  <c r="AL71" i="4" a="1"/>
  <c r="AL71" i="4" s="1"/>
  <c r="AK99" i="4" a="1"/>
  <c r="AK99" i="4" s="1"/>
  <c r="AL82" i="4" a="1"/>
  <c r="AL82" i="4" s="1"/>
  <c r="AJ19" i="4" a="1"/>
  <c r="AJ19" i="4" s="1"/>
  <c r="AL20" i="4" a="1"/>
  <c r="AL20" i="4" s="1"/>
  <c r="AL23" i="4" a="1"/>
  <c r="AL23" i="4" s="1"/>
  <c r="AI18" i="4" a="1"/>
  <c r="AI18" i="4" s="1"/>
  <c r="AL50" i="4" a="1"/>
  <c r="AL50" i="4" s="1"/>
  <c r="AM64" i="4" a="1"/>
  <c r="AM64" i="4" s="1"/>
  <c r="AM70" i="4" a="1"/>
  <c r="AM70" i="4" s="1"/>
  <c r="AH41" i="4" a="1"/>
  <c r="AH41" i="4" s="1"/>
  <c r="AJ72" i="4" a="1"/>
  <c r="AJ72" i="4" s="1"/>
  <c r="AK19" i="4" a="1"/>
  <c r="AK19" i="4" s="1"/>
  <c r="AJ52" i="4" a="1"/>
  <c r="AJ52" i="4" s="1"/>
  <c r="AJ29" i="4" a="1"/>
  <c r="AJ29" i="4" s="1"/>
  <c r="AK22" i="4" a="1"/>
  <c r="AK22" i="4" s="1"/>
  <c r="AK49" i="4" a="1"/>
  <c r="AK49" i="4" s="1"/>
  <c r="AJ67" i="4" a="1"/>
  <c r="AJ67" i="4" s="1"/>
  <c r="AH37" i="4" a="1"/>
  <c r="AH37" i="4" s="1"/>
  <c r="AI69" i="4" a="1"/>
  <c r="AI69" i="4" s="1"/>
  <c r="AL46" i="4" a="1"/>
  <c r="AL46" i="4" s="1"/>
  <c r="AM33" i="4" a="1"/>
  <c r="AM33" i="4" s="1"/>
  <c r="AL17" i="4" a="1"/>
  <c r="AL17" i="4" s="1"/>
  <c r="AI39" i="4" a="1"/>
  <c r="AI39" i="4" s="1"/>
  <c r="AJ94" i="4" a="1"/>
  <c r="AJ94" i="4" s="1"/>
  <c r="AH39" i="4" a="1"/>
  <c r="AH39" i="4" s="1"/>
  <c r="AJ57" i="4" a="1"/>
  <c r="AJ57" i="4" s="1"/>
  <c r="AL70" i="4" a="1"/>
  <c r="AL70" i="4" s="1"/>
  <c r="AK77" i="4" a="1"/>
  <c r="AK77" i="4" s="1"/>
  <c r="AM72" i="4" a="1"/>
  <c r="AM72" i="4" s="1"/>
  <c r="AI72" i="4" a="1"/>
  <c r="AI72" i="4" s="1"/>
  <c r="AK18" i="4" a="1"/>
  <c r="AK18" i="4" s="1"/>
  <c r="AH17" i="4" a="1"/>
  <c r="AH17" i="4" s="1"/>
  <c r="AK24" i="4" a="1"/>
  <c r="AK24" i="4" s="1"/>
  <c r="AI44" i="4" a="1"/>
  <c r="AI44" i="4" s="1"/>
  <c r="AK39" i="4" a="1"/>
  <c r="AK39" i="4" s="1"/>
  <c r="AI61" i="4" a="1"/>
  <c r="AI61" i="4" s="1"/>
  <c r="AH51" i="4" a="1"/>
  <c r="AH51" i="4" s="1"/>
  <c r="AJ51" i="4" a="1"/>
  <c r="AJ51" i="4" s="1"/>
  <c r="AJ98" i="4" a="1"/>
  <c r="AJ98" i="4" s="1"/>
  <c r="AM25" i="4" a="1"/>
  <c r="AM25" i="4" s="1"/>
  <c r="AM101" i="4" a="1"/>
  <c r="AM101" i="4" s="1"/>
  <c r="AH53" i="4" a="1"/>
  <c r="AH53" i="4" s="1"/>
  <c r="AL72" i="4" a="1"/>
  <c r="AL72" i="4" s="1"/>
  <c r="AK70" i="4" a="1"/>
  <c r="AK70" i="4" s="1"/>
  <c r="AM73" i="4" a="1"/>
  <c r="AM73" i="4" s="1"/>
  <c r="AH81" i="4" a="1"/>
  <c r="AH81" i="4" s="1"/>
  <c r="AK74" i="4" a="1"/>
  <c r="AK74" i="4" s="1"/>
  <c r="AI81" i="4" a="1"/>
  <c r="AI81" i="4" s="1"/>
  <c r="AL33" i="4" a="1"/>
  <c r="AL33" i="4" s="1"/>
  <c r="AJ64" i="4" a="1"/>
  <c r="AJ64" i="4" s="1"/>
  <c r="AL87" i="4" a="1"/>
  <c r="AL87" i="4" s="1"/>
  <c r="AJ53" i="4" a="1"/>
  <c r="AJ53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<sst xmlns="http://schemas.openxmlformats.org/spreadsheetml/2006/main" count="333" uniqueCount="137">
  <si>
    <t>Symbol</t>
  </si>
  <si>
    <t>Timeframe</t>
  </si>
  <si>
    <t>2026.02.13 15:40</t>
  </si>
  <si>
    <t>USDJPY.i</t>
  </si>
  <si>
    <t>2026.02.13 15:45</t>
  </si>
  <si>
    <t>2026.02.13 15:50</t>
  </si>
  <si>
    <t>2026.02.13 15:55</t>
  </si>
  <si>
    <t>2026.02.13 16:00</t>
  </si>
  <si>
    <t>2026.02.13 16:05</t>
  </si>
  <si>
    <t>2026.02.13 16:10</t>
  </si>
  <si>
    <t>2026.02.13 16:15</t>
  </si>
  <si>
    <t>2026.02.13 16:20</t>
  </si>
  <si>
    <t>2026.02.13 16:25</t>
  </si>
  <si>
    <t>2026.02.13 16:30</t>
  </si>
  <si>
    <t>2026.02.13 16:35</t>
  </si>
  <si>
    <t>2026.02.13 16:40</t>
  </si>
  <si>
    <t>2026.02.13 16:45</t>
  </si>
  <si>
    <t>2026.02.13 16:50</t>
  </si>
  <si>
    <t>2026.02.13 16:55</t>
  </si>
  <si>
    <t>2026.02.13 17:00</t>
  </si>
  <si>
    <t>2026.02.13 17:05</t>
  </si>
  <si>
    <t>2026.02.13 17:10</t>
  </si>
  <si>
    <t>2026.02.13 17:15</t>
  </si>
  <si>
    <t>2026.02.13 17:20</t>
  </si>
  <si>
    <t>2026.02.13 17:25</t>
  </si>
  <si>
    <t>2026.02.13 17:30</t>
  </si>
  <si>
    <t>2026.02.13 17:35</t>
  </si>
  <si>
    <t>2026.02.13 17:40</t>
  </si>
  <si>
    <t>2026.02.13 17:45</t>
  </si>
  <si>
    <t>2026.02.13 17:50</t>
  </si>
  <si>
    <t>2026.02.13 17:55</t>
  </si>
  <si>
    <t>2026.02.13 18:00</t>
  </si>
  <si>
    <t>2026.02.13 18:05</t>
  </si>
  <si>
    <t>2026.02.13 18:10</t>
  </si>
  <si>
    <t>2026.02.13 18:15</t>
  </si>
  <si>
    <t>2026.02.13 18:20</t>
  </si>
  <si>
    <t>2026.02.13 18:25</t>
  </si>
  <si>
    <t>2026.02.13 18:30</t>
  </si>
  <si>
    <t>2026.02.13 18:35</t>
  </si>
  <si>
    <t>2026.02.13 18:40</t>
  </si>
  <si>
    <t>2026.02.13 18:45</t>
  </si>
  <si>
    <t>2026.02.13 18:50</t>
  </si>
  <si>
    <t>2026.02.13 18:55</t>
  </si>
  <si>
    <t>2026.02.13 19:00</t>
  </si>
  <si>
    <t>2026.02.13 19:05</t>
  </si>
  <si>
    <t>2026.02.13 19:10</t>
  </si>
  <si>
    <t>2026.02.13 19:15</t>
  </si>
  <si>
    <t>2026.02.13 19:20</t>
  </si>
  <si>
    <t>2026.02.13 19:25</t>
  </si>
  <si>
    <t>2026.02.13 19:30</t>
  </si>
  <si>
    <t>2026.02.13 19:35</t>
  </si>
  <si>
    <t>2026.02.13 19:40</t>
  </si>
  <si>
    <t>2026.02.13 19:45</t>
  </si>
  <si>
    <t>2026.02.13 19:50</t>
  </si>
  <si>
    <t>2026.02.13 19:55</t>
  </si>
  <si>
    <t>2026.02.13 20:00</t>
  </si>
  <si>
    <t>2026.02.13 20:05</t>
  </si>
  <si>
    <t>2026.02.13 20:10</t>
  </si>
  <si>
    <t>2026.02.13 20:15</t>
  </si>
  <si>
    <t>2026.02.13 20:20</t>
  </si>
  <si>
    <t>2026.02.13 20:25</t>
  </si>
  <si>
    <t>2026.02.13 20:30</t>
  </si>
  <si>
    <t>2026.02.13 20:35</t>
  </si>
  <si>
    <t>2026.02.13 20:40</t>
  </si>
  <si>
    <t>2026.02.13 20:45</t>
  </si>
  <si>
    <t>2026.02.13 20:50</t>
  </si>
  <si>
    <t>2026.02.13 20:55</t>
  </si>
  <si>
    <t>2026.02.13 21:00</t>
  </si>
  <si>
    <t>2026.02.13 21:05</t>
  </si>
  <si>
    <t>2026.02.13 21:10</t>
  </si>
  <si>
    <t>2026.02.13 21:15</t>
  </si>
  <si>
    <t>2026.02.13 21:20</t>
  </si>
  <si>
    <t>2026.02.13 21:25</t>
  </si>
  <si>
    <t>2026.02.13 21:30</t>
  </si>
  <si>
    <t>2026.02.13 21:35</t>
  </si>
  <si>
    <t>2026.02.13 21:40</t>
  </si>
  <si>
    <t>2026.02.13 21:45</t>
  </si>
  <si>
    <t>2026.02.13 21:50</t>
  </si>
  <si>
    <t>2026.02.13 21:55</t>
  </si>
  <si>
    <t>2026.02.13 22:00</t>
  </si>
  <si>
    <t>2026.02.13 22:05</t>
  </si>
  <si>
    <t>2026.02.13 22:10</t>
  </si>
  <si>
    <t>2026.02.13 22:15</t>
  </si>
  <si>
    <t>2026.02.13 22:20</t>
  </si>
  <si>
    <t>2026.02.13 22:25</t>
  </si>
  <si>
    <t>2026.02.13 22:30</t>
  </si>
  <si>
    <t>2026.02.13 22:35</t>
  </si>
  <si>
    <t>2026.02.13 22:40</t>
  </si>
  <si>
    <t>2026.02.13 22:45</t>
  </si>
  <si>
    <t>2026.02.13 22:50</t>
  </si>
  <si>
    <t>2026.02.13 22:55</t>
  </si>
  <si>
    <t>2026.02.13 23:00</t>
  </si>
  <si>
    <t>2026.02.13 23:05</t>
  </si>
  <si>
    <t>2026.02.13 23:10</t>
  </si>
  <si>
    <t>2026.02.13 23:15</t>
  </si>
  <si>
    <t>2026.02.13 23:20</t>
  </si>
  <si>
    <t>2026.02.13 23:25</t>
  </si>
  <si>
    <t>2026.02.13 23:30</t>
  </si>
  <si>
    <t>2026.02.13 23:35</t>
  </si>
  <si>
    <t>2026.02.13 23:40</t>
  </si>
  <si>
    <t>2026.02.13 23:45</t>
  </si>
  <si>
    <t>2026.02.13 23:50</t>
  </si>
  <si>
    <t>PERIOD_M5</t>
  </si>
  <si>
    <t>TimeStamp</t>
  </si>
  <si>
    <t>Close</t>
  </si>
  <si>
    <t>High</t>
  </si>
  <si>
    <t>Low</t>
  </si>
  <si>
    <t>H - L</t>
  </si>
  <si>
    <t>I H - Cp I</t>
  </si>
  <si>
    <t>I L - Cp I</t>
  </si>
  <si>
    <t>TR</t>
  </si>
  <si>
    <t>horiz_peak_line_1</t>
  </si>
  <si>
    <t>horiz_peak_line_2</t>
  </si>
  <si>
    <t>horiz_peak_line_3</t>
  </si>
  <si>
    <t>horiz_bottom_line_1</t>
  </si>
  <si>
    <t>horiz_bottom_line_2</t>
  </si>
  <si>
    <t>horiz_bottom_line_3</t>
  </si>
  <si>
    <t>slope_horiz_peak_line_1</t>
  </si>
  <si>
    <t>slope_horiz_peak_line_2</t>
  </si>
  <si>
    <t>slope_horiz_peak_line_3</t>
  </si>
  <si>
    <t>slope_horiz_bottom_line_1</t>
  </si>
  <si>
    <t>slope_horiz_bottom_line_2</t>
  </si>
  <si>
    <t>slope_horiz_bottom_line_3</t>
  </si>
  <si>
    <t>angle_horiz_peak_line_1</t>
  </si>
  <si>
    <t>angle_horiz_peak_line_2</t>
  </si>
  <si>
    <t>angle_horiz_peak_line_3</t>
  </si>
  <si>
    <t>angle_horiz_bottom_line_1</t>
  </si>
  <si>
    <t>angle_horiz_bottom_line_2</t>
  </si>
  <si>
    <t>angle_horiz_bottom_line_3</t>
  </si>
  <si>
    <t>angle_class_p1</t>
  </si>
  <si>
    <t>angle_class_P2</t>
  </si>
  <si>
    <t>angle_class_p3</t>
  </si>
  <si>
    <t>angle_class_b1</t>
  </si>
  <si>
    <t>angle_class_b2</t>
  </si>
  <si>
    <t>angle_class_b3</t>
  </si>
  <si>
    <t>atr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</si>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</sst>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/>
    </xf>
    <xf numFmtId="0" fontId="16" fillId="34" borderId="0" xfId="0" applyFont="1" applyFill="1" applyAlignment="1">
      <alignment horizontal="center" vertical="center" wrapText="1"/>
    </xf>
    <xf numFmtId="0" fontId="16" fillId="33" borderId="0" xfId="0" applyFont="1" applyFill="1" applyAlignment="1">
      <alignment horizontal="center" vertical="center" wrapText="1"/>
    </xf>
    <xf numFmtId="0" fontId="13" fillId="35" borderId="0" xfId="0" applyFont="1" applyFill="1" applyAlignment="1">
      <alignment horizontal="center" vertical="center"/>
    </xf>
    <xf numFmtId="0" fontId="19" fillId="33" borderId="0" xfId="0" applyFont="1" applyFill="1" applyAlignment="1">
      <alignment horizontal="center" vertical="center"/>
    </xf>
    <xf numFmtId="0" fontId="16" fillId="3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164" fontId="18" fillId="0" borderId="0" xfId="0" applyNumberFormat="1" applyFont="1"/>
    <xf numFmtId="165" fontId="18" fillId="0" borderId="0" xfId="0" applyNumberFormat="1" applyFont="1"/>
    <xf numFmtId="0" fontId="13" fillId="35" borderId="0" xfId="0" applyFont="1" applyFill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40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F79371C-37CA-4128-8A00-AC11AD2BDF38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B11ED-ADA3-4BD7-B8BE-0DF761DB1DBE}">
  <dimension ref="A2:AM101"/>
  <sheetViews>
    <sheetView tabSelected="1" topLeftCell="X1" zoomScale="70" zoomScaleNormal="70" workbookViewId="0">
      <selection activeCell="AG9" sqref="AG9"/>
    </sheetView>
  </sheetViews>
  <sheetFormatPr defaultRowHeight="14.4" x14ac:dyDescent="0.55000000000000004"/>
  <cols>
    <col min="1" max="1" width="5.26171875" bestFit="1" customWidth="1"/>
    <col min="2" max="2" width="14.62890625" customWidth="1"/>
    <col min="4" max="4" width="10.41796875" bestFit="1" customWidth="1"/>
    <col min="8" max="10" width="10.7890625" bestFit="1" customWidth="1"/>
    <col min="11" max="13" width="13.20703125" bestFit="1" customWidth="1"/>
    <col min="14" max="16" width="13.20703125" customWidth="1"/>
    <col min="17" max="18" width="7.20703125" bestFit="1" customWidth="1"/>
    <col min="19" max="19" width="2.68359375" customWidth="1"/>
    <col min="20" max="20" width="12.26171875" bestFit="1" customWidth="1"/>
    <col min="21" max="21" width="11.3671875" customWidth="1"/>
    <col min="22" max="22" width="12.26171875" bestFit="1" customWidth="1"/>
    <col min="23" max="23" width="12.3671875" bestFit="1" customWidth="1"/>
    <col min="24" max="24" width="12.26171875" customWidth="1"/>
    <col min="25" max="25" width="12.41796875" customWidth="1"/>
    <col min="26" max="26" width="4.20703125" customWidth="1"/>
    <col min="27" max="27" width="11.26171875" bestFit="1" customWidth="1"/>
    <col min="28" max="29" width="12.26171875" bestFit="1" customWidth="1"/>
    <col min="30" max="30" width="11.68359375" bestFit="1" customWidth="1"/>
    <col min="31" max="31" width="11.26171875" bestFit="1" customWidth="1"/>
    <col min="32" max="32" width="11.68359375" bestFit="1" customWidth="1"/>
    <col min="33" max="33" width="4.15625" customWidth="1"/>
    <col min="34" max="34" width="14.7890625" bestFit="1" customWidth="1"/>
    <col min="35" max="35" width="13.15625" customWidth="1"/>
    <col min="36" max="36" width="14.7890625" bestFit="1" customWidth="1"/>
    <col min="37" max="37" width="13.7890625" customWidth="1"/>
    <col min="38" max="38" width="13" bestFit="1" customWidth="1"/>
    <col min="39" max="39" width="15.15625" bestFit="1" customWidth="1"/>
    <col min="40" max="41" width="18.68359375" bestFit="1" customWidth="1"/>
    <col min="43" max="45" width="16.3671875" bestFit="1" customWidth="1"/>
    <col min="46" max="48" width="18.68359375" bestFit="1" customWidth="1"/>
    <col min="50" max="52" width="19.734375" bestFit="1" customWidth="1"/>
    <col min="53" max="55" width="19.83984375" bestFit="1" customWidth="1"/>
  </cols>
  <sheetData>
    <row r="2" spans="1:39" ht="43.2" x14ac:dyDescent="0.55000000000000004">
      <c r="A2" s="5" t="s">
        <v>136</v>
      </c>
      <c r="B2" s="5" t="s">
        <v>103</v>
      </c>
      <c r="C2" s="5" t="s">
        <v>0</v>
      </c>
      <c r="D2" s="5" t="s">
        <v>1</v>
      </c>
      <c r="E2" s="5" t="s">
        <v>105</v>
      </c>
      <c r="F2" s="5" t="s">
        <v>106</v>
      </c>
      <c r="G2" s="5" t="s">
        <v>104</v>
      </c>
      <c r="H2" s="12" t="s">
        <v>111</v>
      </c>
      <c r="I2" s="12" t="s">
        <v>112</v>
      </c>
      <c r="J2" s="12" t="s">
        <v>113</v>
      </c>
      <c r="K2" s="12" t="s">
        <v>114</v>
      </c>
      <c r="L2" s="12" t="s">
        <v>115</v>
      </c>
      <c r="M2" s="12" t="s">
        <v>116</v>
      </c>
      <c r="N2" s="6" t="s">
        <v>107</v>
      </c>
      <c r="O2" s="6" t="s">
        <v>108</v>
      </c>
      <c r="P2" s="6" t="s">
        <v>109</v>
      </c>
      <c r="Q2" s="6" t="s">
        <v>110</v>
      </c>
      <c r="R2" s="7" t="s">
        <v>135</v>
      </c>
      <c r="S2" s="9"/>
      <c r="T2" s="4" t="s">
        <v>117</v>
      </c>
      <c r="U2" s="4" t="s">
        <v>118</v>
      </c>
      <c r="V2" s="4" t="s">
        <v>119</v>
      </c>
      <c r="W2" s="4" t="s">
        <v>120</v>
      </c>
      <c r="X2" s="4" t="s">
        <v>121</v>
      </c>
      <c r="Y2" s="4" t="s">
        <v>122</v>
      </c>
      <c r="Z2" s="8"/>
      <c r="AA2" s="4" t="s">
        <v>123</v>
      </c>
      <c r="AB2" s="4" t="s">
        <v>124</v>
      </c>
      <c r="AC2" s="4" t="s">
        <v>125</v>
      </c>
      <c r="AD2" s="4" t="s">
        <v>126</v>
      </c>
      <c r="AE2" s="4" t="s">
        <v>127</v>
      </c>
      <c r="AF2" s="4" t="s">
        <v>128</v>
      </c>
      <c r="AG2" s="8"/>
      <c r="AH2" s="3" t="s">
        <v>129</v>
      </c>
      <c r="AI2" s="3" t="s">
        <v>130</v>
      </c>
      <c r="AJ2" s="3" t="s">
        <v>131</v>
      </c>
      <c r="AK2" s="3" t="s">
        <v>132</v>
      </c>
      <c r="AL2" s="3" t="s">
        <v>133</v>
      </c>
      <c r="AM2" s="3" t="s">
        <v>134</v>
      </c>
    </row>
    <row r="3" spans="1:39" x14ac:dyDescent="0.55000000000000004">
      <c r="A3" s="1">
        <v>1</v>
      </c>
      <c r="B3" s="1" t="s">
        <v>2</v>
      </c>
      <c r="C3" s="1" t="s">
        <v>3</v>
      </c>
      <c r="D3" s="1" t="s">
        <v>102</v>
      </c>
      <c r="E3" s="1">
        <v>153.28200000000001</v>
      </c>
      <c r="F3" s="1">
        <v>153.03899999999999</v>
      </c>
      <c r="G3" s="1">
        <v>153.249</v>
      </c>
      <c r="H3" s="1">
        <v>153.03800000000001</v>
      </c>
      <c r="I3" s="1">
        <v>152.911</v>
      </c>
      <c r="J3" s="1">
        <v>153.27099999999999</v>
      </c>
      <c r="K3" s="1">
        <v>152.56</v>
      </c>
      <c r="L3" s="1">
        <v>152.60300000000001</v>
      </c>
      <c r="M3" s="1">
        <v>152.768</v>
      </c>
      <c r="N3" s="10">
        <f t="shared" ref="N3:N34" si="0">E3-F3</f>
        <v>0.24300000000002342</v>
      </c>
      <c r="O3" s="10"/>
      <c r="P3" s="10"/>
      <c r="Q3" s="10">
        <f>N3</f>
        <v>0.24300000000002342</v>
      </c>
      <c r="R3" s="1"/>
      <c r="S3" s="1"/>
      <c r="T3" s="2"/>
      <c r="U3" s="2"/>
      <c r="V3" s="2"/>
      <c r="W3" s="2"/>
      <c r="X3" s="2"/>
      <c r="Y3" s="2"/>
      <c r="Z3" s="1"/>
      <c r="AA3" s="2"/>
      <c r="AB3" s="2"/>
      <c r="AC3" s="2"/>
      <c r="AD3" s="2"/>
      <c r="AE3" s="2"/>
      <c r="AF3" s="2"/>
      <c r="AG3" s="2"/>
      <c r="AH3" s="1"/>
      <c r="AI3" s="1"/>
      <c r="AJ3" s="1"/>
      <c r="AK3" s="1"/>
      <c r="AL3" s="1"/>
      <c r="AM3" s="1"/>
    </row>
    <row r="4" spans="1:39" x14ac:dyDescent="0.55000000000000004">
      <c r="A4" s="1">
        <v>2</v>
      </c>
      <c r="B4" s="1" t="s">
        <v>4</v>
      </c>
      <c r="C4" s="1" t="s">
        <v>3</v>
      </c>
      <c r="D4" s="1" t="s">
        <v>102</v>
      </c>
      <c r="E4" s="1">
        <v>153.274</v>
      </c>
      <c r="F4" s="1">
        <v>153.137</v>
      </c>
      <c r="G4" s="1">
        <v>153.196</v>
      </c>
      <c r="H4" s="1">
        <v>153.036</v>
      </c>
      <c r="I4" s="1">
        <v>152.911</v>
      </c>
      <c r="J4" s="1">
        <v>153.26900000000001</v>
      </c>
      <c r="K4" s="1">
        <v>152.56100000000001</v>
      </c>
      <c r="L4" s="1">
        <v>152.60300000000001</v>
      </c>
      <c r="M4" s="1">
        <v>152.77000000000001</v>
      </c>
      <c r="N4" s="10">
        <f t="shared" si="0"/>
        <v>0.13700000000000045</v>
      </c>
      <c r="O4" s="10">
        <f>ABS(E4-G3)</f>
        <v>2.5000000000005684E-2</v>
      </c>
      <c r="P4" s="10">
        <f>ABS(F4-G3)</f>
        <v>0.11199999999999477</v>
      </c>
      <c r="Q4" s="10">
        <f t="shared" ref="Q4:Q35" si="1">MAX(N4:P4)</f>
        <v>0.13700000000000045</v>
      </c>
      <c r="R4" s="1"/>
      <c r="S4" s="1"/>
      <c r="T4" s="2"/>
      <c r="U4" s="2"/>
      <c r="V4" s="2"/>
      <c r="W4" s="2"/>
      <c r="X4" s="2"/>
      <c r="Y4" s="2"/>
      <c r="Z4" s="1"/>
      <c r="AA4" s="2"/>
      <c r="AB4" s="2"/>
      <c r="AC4" s="2"/>
      <c r="AD4" s="2"/>
      <c r="AE4" s="2"/>
      <c r="AF4" s="2"/>
      <c r="AG4" s="1"/>
      <c r="AH4" s="1"/>
      <c r="AI4" s="1"/>
      <c r="AJ4" s="1"/>
      <c r="AK4" s="1"/>
      <c r="AL4" s="1"/>
      <c r="AM4" s="1"/>
    </row>
    <row r="5" spans="1:39" x14ac:dyDescent="0.55000000000000004">
      <c r="A5" s="1">
        <v>3</v>
      </c>
      <c r="B5" s="1" t="s">
        <v>5</v>
      </c>
      <c r="C5" s="1" t="s">
        <v>3</v>
      </c>
      <c r="D5" s="1" t="s">
        <v>102</v>
      </c>
      <c r="E5" s="1">
        <v>153.19800000000001</v>
      </c>
      <c r="F5" s="1">
        <v>153.02099999999999</v>
      </c>
      <c r="G5" s="1">
        <v>153.05000000000001</v>
      </c>
      <c r="H5" s="1">
        <v>153.03299999999999</v>
      </c>
      <c r="I5" s="1">
        <v>152.91</v>
      </c>
      <c r="J5" s="1">
        <v>153.268</v>
      </c>
      <c r="K5" s="1">
        <v>152.56200000000001</v>
      </c>
      <c r="L5" s="1">
        <v>152.602</v>
      </c>
      <c r="M5" s="1">
        <v>152.77099999999999</v>
      </c>
      <c r="N5" s="10">
        <f t="shared" si="0"/>
        <v>0.17700000000002092</v>
      </c>
      <c r="O5" s="10">
        <f t="shared" ref="O5:O35" si="2">ABS(E5-G4)</f>
        <v>2.0000000000095497E-3</v>
      </c>
      <c r="P5" s="10">
        <f t="shared" ref="P5:P35" si="3">ABS(F5-G4)</f>
        <v>0.17500000000001137</v>
      </c>
      <c r="Q5" s="10">
        <f t="shared" si="1"/>
        <v>0.17700000000002092</v>
      </c>
      <c r="R5" s="1"/>
      <c r="S5" s="1"/>
      <c r="T5" s="2"/>
      <c r="U5" s="2"/>
      <c r="V5" s="2"/>
      <c r="W5" s="2"/>
      <c r="X5" s="2"/>
      <c r="Y5" s="2"/>
      <c r="Z5" s="1"/>
      <c r="AA5" s="2"/>
      <c r="AB5" s="2"/>
      <c r="AC5" s="2"/>
      <c r="AD5" s="2"/>
      <c r="AE5" s="2"/>
      <c r="AF5" s="2"/>
      <c r="AG5" s="1"/>
      <c r="AH5" s="1"/>
      <c r="AI5" s="1"/>
      <c r="AJ5" s="1"/>
      <c r="AK5" s="1"/>
      <c r="AL5" s="1"/>
      <c r="AM5" s="1"/>
    </row>
    <row r="6" spans="1:39" x14ac:dyDescent="0.55000000000000004">
      <c r="A6" s="1">
        <v>4</v>
      </c>
      <c r="B6" s="1" t="s">
        <v>6</v>
      </c>
      <c r="C6" s="1" t="s">
        <v>3</v>
      </c>
      <c r="D6" s="1" t="s">
        <v>102</v>
      </c>
      <c r="E6" s="1">
        <v>153.07</v>
      </c>
      <c r="F6" s="1">
        <v>152.964</v>
      </c>
      <c r="G6" s="1">
        <v>153.06700000000001</v>
      </c>
      <c r="H6" s="1">
        <v>153.03100000000001</v>
      </c>
      <c r="I6" s="1">
        <v>152.91</v>
      </c>
      <c r="J6" s="1">
        <v>153.26599999999999</v>
      </c>
      <c r="K6" s="1">
        <v>152.56200000000001</v>
      </c>
      <c r="L6" s="1">
        <v>152.602</v>
      </c>
      <c r="M6" s="1">
        <v>152.773</v>
      </c>
      <c r="N6" s="10">
        <f t="shared" si="0"/>
        <v>0.10599999999999454</v>
      </c>
      <c r="O6" s="10">
        <f t="shared" si="2"/>
        <v>1.999999999998181E-2</v>
      </c>
      <c r="P6" s="10">
        <f t="shared" si="3"/>
        <v>8.6000000000012733E-2</v>
      </c>
      <c r="Q6" s="10">
        <f t="shared" si="1"/>
        <v>0.10599999999999454</v>
      </c>
      <c r="R6" s="1"/>
      <c r="S6" s="1"/>
      <c r="T6" s="2"/>
      <c r="U6" s="2"/>
      <c r="V6" s="2"/>
      <c r="W6" s="2"/>
      <c r="X6" s="2"/>
      <c r="Y6" s="2"/>
      <c r="Z6" s="1"/>
      <c r="AA6" s="2"/>
      <c r="AB6" s="2"/>
      <c r="AC6" s="2"/>
      <c r="AD6" s="2"/>
      <c r="AE6" s="2"/>
      <c r="AF6" s="2"/>
      <c r="AG6" s="1"/>
      <c r="AH6" s="1"/>
      <c r="AI6" s="1"/>
      <c r="AJ6" s="1"/>
      <c r="AK6" s="1"/>
      <c r="AL6" s="1"/>
      <c r="AM6" s="1"/>
    </row>
    <row r="7" spans="1:39" x14ac:dyDescent="0.55000000000000004">
      <c r="A7" s="1">
        <v>5</v>
      </c>
      <c r="B7" s="1" t="s">
        <v>7</v>
      </c>
      <c r="C7" s="1" t="s">
        <v>3</v>
      </c>
      <c r="D7" s="1" t="s">
        <v>102</v>
      </c>
      <c r="E7" s="1">
        <v>153.124</v>
      </c>
      <c r="F7" s="1">
        <v>153.005</v>
      </c>
      <c r="G7" s="1">
        <v>153.042</v>
      </c>
      <c r="H7" s="1">
        <v>153.029</v>
      </c>
      <c r="I7" s="1">
        <v>152.91</v>
      </c>
      <c r="J7" s="1">
        <v>153.26400000000001</v>
      </c>
      <c r="K7" s="1">
        <v>152.56299999999999</v>
      </c>
      <c r="L7" s="1">
        <v>152.602</v>
      </c>
      <c r="M7" s="1">
        <v>152.774</v>
      </c>
      <c r="N7" s="10">
        <f t="shared" si="0"/>
        <v>0.11899999999999977</v>
      </c>
      <c r="O7" s="10">
        <f t="shared" si="2"/>
        <v>5.6999999999987949E-2</v>
      </c>
      <c r="P7" s="10">
        <f t="shared" si="3"/>
        <v>6.2000000000011823E-2</v>
      </c>
      <c r="Q7" s="10">
        <f t="shared" si="1"/>
        <v>0.11899999999999977</v>
      </c>
      <c r="R7" s="1"/>
      <c r="S7" s="1"/>
      <c r="T7" s="2"/>
      <c r="U7" s="2"/>
      <c r="V7" s="2"/>
      <c r="W7" s="2"/>
      <c r="X7" s="2"/>
      <c r="Y7" s="2"/>
      <c r="Z7" s="1"/>
      <c r="AA7" s="2"/>
      <c r="AB7" s="2"/>
      <c r="AC7" s="2"/>
      <c r="AD7" s="2"/>
      <c r="AE7" s="2"/>
      <c r="AF7" s="2"/>
      <c r="AG7" s="1"/>
      <c r="AH7" s="1"/>
      <c r="AI7" s="1"/>
      <c r="AJ7" s="1"/>
      <c r="AK7" s="1"/>
      <c r="AL7" s="1"/>
      <c r="AM7" s="1"/>
    </row>
    <row r="8" spans="1:39" x14ac:dyDescent="0.55000000000000004">
      <c r="A8" s="1">
        <v>6</v>
      </c>
      <c r="B8" s="1" t="s">
        <v>8</v>
      </c>
      <c r="C8" s="1" t="s">
        <v>3</v>
      </c>
      <c r="D8" s="1" t="s">
        <v>102</v>
      </c>
      <c r="E8" s="1">
        <v>153.101</v>
      </c>
      <c r="F8" s="1">
        <v>153.02199999999999</v>
      </c>
      <c r="G8" s="1">
        <v>153.05000000000001</v>
      </c>
      <c r="H8" s="1">
        <v>153.02600000000001</v>
      </c>
      <c r="I8" s="1">
        <v>152.90899999999999</v>
      </c>
      <c r="J8" s="1">
        <v>153.26300000000001</v>
      </c>
      <c r="K8" s="1">
        <v>152.56399999999999</v>
      </c>
      <c r="L8" s="1">
        <v>152.602</v>
      </c>
      <c r="M8" s="1">
        <v>152.77600000000001</v>
      </c>
      <c r="N8" s="10">
        <f t="shared" si="0"/>
        <v>7.9000000000007731E-2</v>
      </c>
      <c r="O8" s="10">
        <f t="shared" si="2"/>
        <v>5.8999999999997499E-2</v>
      </c>
      <c r="P8" s="10">
        <f t="shared" si="3"/>
        <v>2.0000000000010232E-2</v>
      </c>
      <c r="Q8" s="10">
        <f t="shared" si="1"/>
        <v>7.9000000000007731E-2</v>
      </c>
      <c r="R8" s="1"/>
      <c r="S8" s="1"/>
      <c r="T8" s="2"/>
      <c r="U8" s="2"/>
      <c r="V8" s="2"/>
      <c r="W8" s="2"/>
      <c r="X8" s="2"/>
      <c r="Y8" s="2"/>
      <c r="Z8" s="11"/>
      <c r="AA8" s="2"/>
      <c r="AB8" s="2"/>
      <c r="AC8" s="2"/>
      <c r="AD8" s="2"/>
      <c r="AE8" s="2"/>
      <c r="AF8" s="2"/>
      <c r="AG8" s="1"/>
      <c r="AH8" s="1"/>
      <c r="AI8" s="1"/>
      <c r="AJ8" s="1"/>
      <c r="AK8" s="1"/>
      <c r="AL8" s="1"/>
      <c r="AM8" s="1"/>
    </row>
    <row r="9" spans="1:39" x14ac:dyDescent="0.55000000000000004">
      <c r="A9" s="1">
        <v>7</v>
      </c>
      <c r="B9" s="1" t="s">
        <v>9</v>
      </c>
      <c r="C9" s="1" t="s">
        <v>3</v>
      </c>
      <c r="D9" s="1" t="s">
        <v>102</v>
      </c>
      <c r="E9" s="1">
        <v>153.05099999999999</v>
      </c>
      <c r="F9" s="1">
        <v>152.97200000000001</v>
      </c>
      <c r="G9" s="1">
        <v>153.03299999999999</v>
      </c>
      <c r="H9" s="1">
        <v>153.024</v>
      </c>
      <c r="I9" s="1">
        <v>152.90899999999999</v>
      </c>
      <c r="J9" s="1">
        <v>153.261</v>
      </c>
      <c r="K9" s="1">
        <v>152.565</v>
      </c>
      <c r="L9" s="1">
        <v>152.602</v>
      </c>
      <c r="M9" s="1">
        <v>152.77799999999999</v>
      </c>
      <c r="N9" s="10">
        <f t="shared" si="0"/>
        <v>7.8999999999979309E-2</v>
      </c>
      <c r="O9" s="10">
        <f t="shared" si="2"/>
        <v>9.9999999997635314E-4</v>
      </c>
      <c r="P9" s="10">
        <f t="shared" si="3"/>
        <v>7.8000000000002956E-2</v>
      </c>
      <c r="Q9" s="10">
        <f t="shared" si="1"/>
        <v>7.8999999999979309E-2</v>
      </c>
      <c r="R9" s="1"/>
      <c r="S9" s="1"/>
      <c r="T9" s="2"/>
      <c r="U9" s="2"/>
      <c r="V9" s="2"/>
      <c r="W9" s="2"/>
      <c r="X9" s="2"/>
      <c r="Y9" s="2"/>
      <c r="Z9" s="1"/>
      <c r="AA9" s="2"/>
      <c r="AB9" s="2"/>
      <c r="AC9" s="2"/>
      <c r="AD9" s="2"/>
      <c r="AE9" s="2"/>
      <c r="AF9" s="2"/>
      <c r="AG9" s="1"/>
      <c r="AH9" s="1"/>
      <c r="AI9" s="1"/>
      <c r="AJ9" s="1"/>
      <c r="AK9" s="1"/>
      <c r="AL9" s="1"/>
      <c r="AM9" s="1"/>
    </row>
    <row r="10" spans="1:39" x14ac:dyDescent="0.55000000000000004">
      <c r="A10" s="1">
        <v>8</v>
      </c>
      <c r="B10" s="1" t="s">
        <v>10</v>
      </c>
      <c r="C10" s="1" t="s">
        <v>3</v>
      </c>
      <c r="D10" s="1" t="s">
        <v>102</v>
      </c>
      <c r="E10" s="1">
        <v>153.102</v>
      </c>
      <c r="F10" s="1">
        <v>152.98599999999999</v>
      </c>
      <c r="G10" s="1">
        <v>152.999</v>
      </c>
      <c r="H10" s="1">
        <v>153.02099999999999</v>
      </c>
      <c r="I10" s="1">
        <v>152.90799999999999</v>
      </c>
      <c r="J10" s="1">
        <v>153.25899999999999</v>
      </c>
      <c r="K10" s="1">
        <v>152.565</v>
      </c>
      <c r="L10" s="1">
        <v>152.601</v>
      </c>
      <c r="M10" s="1">
        <v>152.779</v>
      </c>
      <c r="N10" s="10">
        <f t="shared" si="0"/>
        <v>0.11600000000001387</v>
      </c>
      <c r="O10" s="10">
        <f t="shared" si="2"/>
        <v>6.9000000000016826E-2</v>
      </c>
      <c r="P10" s="10">
        <f t="shared" si="3"/>
        <v>4.6999999999997044E-2</v>
      </c>
      <c r="Q10" s="10">
        <f t="shared" si="1"/>
        <v>0.11600000000001387</v>
      </c>
      <c r="R10" s="1"/>
      <c r="S10" s="1"/>
      <c r="T10" s="2"/>
      <c r="U10" s="2"/>
      <c r="V10" s="2"/>
      <c r="W10" s="2"/>
      <c r="X10" s="2"/>
      <c r="Y10" s="2"/>
      <c r="Z10" s="1"/>
      <c r="AA10" s="2"/>
      <c r="AB10" s="2"/>
      <c r="AC10" s="2"/>
      <c r="AD10" s="2"/>
      <c r="AE10" s="2"/>
      <c r="AF10" s="2"/>
      <c r="AG10" s="1"/>
      <c r="AH10" s="1"/>
      <c r="AI10" s="1"/>
      <c r="AJ10" s="1"/>
      <c r="AK10" s="1"/>
      <c r="AL10" s="1"/>
      <c r="AM10" s="1"/>
    </row>
    <row r="11" spans="1:39" x14ac:dyDescent="0.55000000000000004">
      <c r="A11" s="1">
        <v>9</v>
      </c>
      <c r="B11" s="1" t="s">
        <v>11</v>
      </c>
      <c r="C11" s="1" t="s">
        <v>3</v>
      </c>
      <c r="D11" s="1" t="s">
        <v>102</v>
      </c>
      <c r="E11" s="1">
        <v>153.03399999999999</v>
      </c>
      <c r="F11" s="1">
        <v>152.96199999999999</v>
      </c>
      <c r="G11" s="1">
        <v>152.999</v>
      </c>
      <c r="H11" s="1">
        <v>153.01900000000001</v>
      </c>
      <c r="I11" s="1">
        <v>152.90799999999999</v>
      </c>
      <c r="J11" s="1">
        <v>153.25800000000001</v>
      </c>
      <c r="K11" s="1">
        <v>152.566</v>
      </c>
      <c r="L11" s="1">
        <v>152.601</v>
      </c>
      <c r="M11" s="1">
        <v>152.78100000000001</v>
      </c>
      <c r="N11" s="10">
        <f t="shared" si="0"/>
        <v>7.2000000000002728E-2</v>
      </c>
      <c r="O11" s="10">
        <f t="shared" si="2"/>
        <v>3.4999999999996589E-2</v>
      </c>
      <c r="P11" s="10">
        <f t="shared" si="3"/>
        <v>3.7000000000006139E-2</v>
      </c>
      <c r="Q11" s="10">
        <f t="shared" si="1"/>
        <v>7.2000000000002728E-2</v>
      </c>
      <c r="R11" s="1"/>
      <c r="S11" s="1"/>
      <c r="T11" s="2"/>
      <c r="U11" s="2"/>
      <c r="V11" s="2"/>
      <c r="W11" s="2"/>
      <c r="X11" s="2"/>
      <c r="Y11" s="2"/>
      <c r="Z11" s="1"/>
      <c r="AA11" s="2"/>
      <c r="AB11" s="2"/>
      <c r="AC11" s="2"/>
      <c r="AD11" s="2"/>
      <c r="AE11" s="2"/>
      <c r="AF11" s="2"/>
      <c r="AG11" s="1"/>
      <c r="AH11" s="1"/>
      <c r="AI11" s="1"/>
      <c r="AJ11" s="1"/>
      <c r="AK11" s="1"/>
      <c r="AL11" s="1"/>
      <c r="AM11" s="1"/>
    </row>
    <row r="12" spans="1:39" x14ac:dyDescent="0.55000000000000004">
      <c r="A12" s="1">
        <v>10</v>
      </c>
      <c r="B12" s="1" t="s">
        <v>12</v>
      </c>
      <c r="C12" s="1" t="s">
        <v>3</v>
      </c>
      <c r="D12" s="1" t="s">
        <v>102</v>
      </c>
      <c r="E12" s="1">
        <v>153.00399999999999</v>
      </c>
      <c r="F12" s="1">
        <v>152.82400000000001</v>
      </c>
      <c r="G12" s="1">
        <v>152.89699999999999</v>
      </c>
      <c r="H12" s="1">
        <v>153.01599999999999</v>
      </c>
      <c r="I12" s="1">
        <v>152.90799999999999</v>
      </c>
      <c r="J12" s="1">
        <v>153.256</v>
      </c>
      <c r="K12" s="1">
        <v>152.56700000000001</v>
      </c>
      <c r="L12" s="1">
        <v>152.601</v>
      </c>
      <c r="M12" s="1">
        <v>152.78200000000001</v>
      </c>
      <c r="N12" s="10">
        <f t="shared" si="0"/>
        <v>0.1799999999999784</v>
      </c>
      <c r="O12" s="10">
        <f t="shared" si="2"/>
        <v>4.9999999999954525E-3</v>
      </c>
      <c r="P12" s="10">
        <f t="shared" si="3"/>
        <v>0.17499999999998295</v>
      </c>
      <c r="Q12" s="10">
        <f t="shared" si="1"/>
        <v>0.1799999999999784</v>
      </c>
      <c r="R12" s="1"/>
      <c r="S12" s="1"/>
      <c r="T12" s="2"/>
      <c r="U12" s="2"/>
      <c r="V12" s="2"/>
      <c r="W12" s="2"/>
      <c r="X12" s="2"/>
      <c r="Y12" s="2"/>
      <c r="Z12" s="1"/>
      <c r="AA12" s="2"/>
      <c r="AB12" s="2"/>
      <c r="AC12" s="2"/>
      <c r="AD12" s="2"/>
      <c r="AE12" s="2"/>
      <c r="AF12" s="2"/>
      <c r="AG12" s="1"/>
      <c r="AH12" s="1"/>
      <c r="AI12" s="1"/>
      <c r="AJ12" s="1"/>
      <c r="AK12" s="1"/>
      <c r="AL12" s="1"/>
      <c r="AM12" s="1"/>
    </row>
    <row r="13" spans="1:39" x14ac:dyDescent="0.55000000000000004">
      <c r="A13" s="1">
        <v>11</v>
      </c>
      <c r="B13" s="1" t="s">
        <v>13</v>
      </c>
      <c r="C13" s="1" t="s">
        <v>3</v>
      </c>
      <c r="D13" s="1" t="s">
        <v>102</v>
      </c>
      <c r="E13" s="1">
        <v>152.96199999999999</v>
      </c>
      <c r="F13" s="1">
        <v>152.869</v>
      </c>
      <c r="G13" s="1">
        <v>152.91</v>
      </c>
      <c r="H13" s="1">
        <v>153.01400000000001</v>
      </c>
      <c r="I13" s="1">
        <v>152.90700000000001</v>
      </c>
      <c r="J13" s="1">
        <v>153.255</v>
      </c>
      <c r="K13" s="1">
        <v>152.56800000000001</v>
      </c>
      <c r="L13" s="1">
        <v>152.601</v>
      </c>
      <c r="M13" s="1">
        <v>152.78399999999999</v>
      </c>
      <c r="N13" s="10">
        <f t="shared" si="0"/>
        <v>9.2999999999989313E-2</v>
      </c>
      <c r="O13" s="10">
        <f t="shared" si="2"/>
        <v>6.4999999999997726E-2</v>
      </c>
      <c r="P13" s="10">
        <f t="shared" si="3"/>
        <v>2.7999999999991587E-2</v>
      </c>
      <c r="Q13" s="10">
        <f t="shared" si="1"/>
        <v>9.2999999999989313E-2</v>
      </c>
      <c r="R13" s="1"/>
      <c r="S13" s="1"/>
      <c r="T13" s="2"/>
      <c r="U13" s="2"/>
      <c r="V13" s="2"/>
      <c r="W13" s="2"/>
      <c r="X13" s="2"/>
      <c r="Y13" s="2"/>
      <c r="Z13" s="1"/>
      <c r="AA13" s="2"/>
      <c r="AB13" s="2"/>
      <c r="AC13" s="2"/>
      <c r="AD13" s="2"/>
      <c r="AE13" s="2"/>
      <c r="AF13" s="2"/>
      <c r="AG13" s="1"/>
      <c r="AH13" s="1"/>
      <c r="AI13" s="1"/>
      <c r="AJ13" s="1"/>
      <c r="AK13" s="1"/>
      <c r="AL13" s="1"/>
      <c r="AM13" s="1"/>
    </row>
    <row r="14" spans="1:39" x14ac:dyDescent="0.55000000000000004">
      <c r="A14" s="1">
        <v>12</v>
      </c>
      <c r="B14" s="1" t="s">
        <v>14</v>
      </c>
      <c r="C14" s="1" t="s">
        <v>3</v>
      </c>
      <c r="D14" s="1" t="s">
        <v>102</v>
      </c>
      <c r="E14" s="1">
        <v>152.965</v>
      </c>
      <c r="F14" s="1">
        <v>152.87700000000001</v>
      </c>
      <c r="G14" s="1">
        <v>152.87700000000001</v>
      </c>
      <c r="H14" s="1">
        <v>153.012</v>
      </c>
      <c r="I14" s="1">
        <v>152.90700000000001</v>
      </c>
      <c r="J14" s="1">
        <v>153.25299999999999</v>
      </c>
      <c r="K14" s="1">
        <v>152.56899999999999</v>
      </c>
      <c r="L14" s="1">
        <v>152.6</v>
      </c>
      <c r="M14" s="1">
        <v>152.785</v>
      </c>
      <c r="N14" s="10">
        <f t="shared" si="0"/>
        <v>8.7999999999993861E-2</v>
      </c>
      <c r="O14" s="10">
        <f t="shared" si="2"/>
        <v>5.5000000000006821E-2</v>
      </c>
      <c r="P14" s="10">
        <f t="shared" si="3"/>
        <v>3.299999999998704E-2</v>
      </c>
      <c r="Q14" s="10">
        <f t="shared" si="1"/>
        <v>8.7999999999993861E-2</v>
      </c>
      <c r="R14" s="1"/>
      <c r="S14" s="1"/>
      <c r="T14" s="2"/>
      <c r="U14" s="2"/>
      <c r="V14" s="2"/>
      <c r="W14" s="2"/>
      <c r="X14" s="2"/>
      <c r="Y14" s="2"/>
      <c r="Z14" s="1"/>
      <c r="AA14" s="2"/>
      <c r="AB14" s="2"/>
      <c r="AC14" s="2"/>
      <c r="AD14" s="2"/>
      <c r="AE14" s="2"/>
      <c r="AF14" s="2"/>
      <c r="AG14" s="1"/>
      <c r="AH14" s="1"/>
      <c r="AI14" s="1"/>
      <c r="AJ14" s="1"/>
      <c r="AK14" s="1"/>
      <c r="AL14" s="1"/>
      <c r="AM14" s="1"/>
    </row>
    <row r="15" spans="1:39" x14ac:dyDescent="0.55000000000000004">
      <c r="A15" s="1">
        <v>13</v>
      </c>
      <c r="B15" s="1" t="s">
        <v>15</v>
      </c>
      <c r="C15" s="1" t="s">
        <v>3</v>
      </c>
      <c r="D15" s="1" t="s">
        <v>102</v>
      </c>
      <c r="E15" s="1">
        <v>152.96600000000001</v>
      </c>
      <c r="F15" s="1">
        <v>152.78700000000001</v>
      </c>
      <c r="G15" s="1">
        <v>152.96600000000001</v>
      </c>
      <c r="H15" s="1">
        <v>153.00899999999999</v>
      </c>
      <c r="I15" s="1">
        <v>152.90700000000001</v>
      </c>
      <c r="J15" s="1">
        <v>153.251</v>
      </c>
      <c r="K15" s="1">
        <v>152.56899999999999</v>
      </c>
      <c r="L15" s="1">
        <v>152.6</v>
      </c>
      <c r="M15" s="1">
        <v>152.78700000000001</v>
      </c>
      <c r="N15" s="10">
        <f t="shared" si="0"/>
        <v>0.17900000000000205</v>
      </c>
      <c r="O15" s="10">
        <f t="shared" si="2"/>
        <v>8.8999999999998636E-2</v>
      </c>
      <c r="P15" s="10">
        <f t="shared" si="3"/>
        <v>9.0000000000003411E-2</v>
      </c>
      <c r="Q15" s="10">
        <f t="shared" si="1"/>
        <v>0.17900000000000205</v>
      </c>
      <c r="R15" s="1"/>
      <c r="S15" s="1"/>
      <c r="T15" s="2"/>
      <c r="U15" s="2"/>
      <c r="V15" s="2"/>
      <c r="W15" s="2"/>
      <c r="X15" s="2"/>
      <c r="Y15" s="2"/>
      <c r="Z15" s="1"/>
      <c r="AA15" s="2"/>
      <c r="AB15" s="2"/>
      <c r="AC15" s="2"/>
      <c r="AD15" s="2"/>
      <c r="AE15" s="2"/>
      <c r="AF15" s="2"/>
      <c r="AG15" s="1"/>
      <c r="AH15" s="1"/>
      <c r="AI15" s="1"/>
      <c r="AJ15" s="1"/>
      <c r="AK15" s="1"/>
      <c r="AL15" s="1"/>
      <c r="AM15" s="1"/>
    </row>
    <row r="16" spans="1:39" x14ac:dyDescent="0.55000000000000004">
      <c r="A16" s="1">
        <v>14</v>
      </c>
      <c r="B16" s="1" t="s">
        <v>16</v>
      </c>
      <c r="C16" s="1" t="s">
        <v>3</v>
      </c>
      <c r="D16" s="1" t="s">
        <v>102</v>
      </c>
      <c r="E16" s="1">
        <v>153.06700000000001</v>
      </c>
      <c r="F16" s="1">
        <v>152.964</v>
      </c>
      <c r="G16" s="1">
        <v>153.02000000000001</v>
      </c>
      <c r="H16" s="1">
        <v>153.00700000000001</v>
      </c>
      <c r="I16" s="1">
        <v>152.90600000000001</v>
      </c>
      <c r="J16" s="1">
        <v>153.25</v>
      </c>
      <c r="K16" s="1">
        <v>152.57</v>
      </c>
      <c r="L16" s="1">
        <v>152.6</v>
      </c>
      <c r="M16" s="1">
        <v>152.78899999999999</v>
      </c>
      <c r="N16" s="10">
        <f t="shared" si="0"/>
        <v>0.10300000000000864</v>
      </c>
      <c r="O16" s="10">
        <f t="shared" si="2"/>
        <v>0.10099999999999909</v>
      </c>
      <c r="P16" s="10">
        <f t="shared" si="3"/>
        <v>2.0000000000095497E-3</v>
      </c>
      <c r="Q16" s="10">
        <f t="shared" si="1"/>
        <v>0.10300000000000864</v>
      </c>
      <c r="R16" s="10">
        <f>AVERAGE(Q3:Q16)</f>
        <v>0.12650000000000108</v>
      </c>
      <c r="S16" s="1"/>
      <c r="T16" s="2">
        <f>SLOPE(H3:H16,$A3:$A16)</f>
        <v>-2.4109890109893419E-3</v>
      </c>
      <c r="U16" s="2">
        <f>SLOPE(I3:I16,$A3:$A16)</f>
        <v>-3.7582417582347169E-4</v>
      </c>
      <c r="V16" s="2">
        <f>SLOPE(J3:J16,$A3:$A16)</f>
        <v>-1.6263736263735838E-3</v>
      </c>
      <c r="W16" s="2">
        <f>SLOPE(K3:K16,$A3:$A16)</f>
        <v>7.670329670320695E-4</v>
      </c>
      <c r="X16" s="2">
        <f>SLOPE(L3:L16,$A3:$A16)</f>
        <v>-2.3296703296814535E-4</v>
      </c>
      <c r="Y16" s="2">
        <f>SLOPE(M3:M16,$A3:$A16)</f>
        <v>1.5802197802195174E-3</v>
      </c>
      <c r="Z16" s="1"/>
      <c r="AA16" s="2">
        <f>DEGREES(ATAN(T16/$R16))</f>
        <v>-1.0918796196866782</v>
      </c>
      <c r="AB16" s="2">
        <f>DEGREES(ATAN(U16/$R16))</f>
        <v>-0.17022194276632782</v>
      </c>
      <c r="AC16" s="2">
        <f>DEGREES(ATAN(V16/$R16))</f>
        <v>-0.73659455265683238</v>
      </c>
      <c r="AD16" s="2">
        <f t="shared" ref="AD16:AF17" si="4">DEGREES(ATAN(W16/$R16))</f>
        <v>0.34740879980309125</v>
      </c>
      <c r="AE16" s="2">
        <f t="shared" si="4"/>
        <v>-0.10551788667420442</v>
      </c>
      <c r="AF16" s="2">
        <f t="shared" si="4"/>
        <v>0.71569339978002977</v>
      </c>
      <c r="AG16" s="1"/>
      <c r="AH16" s="1" t="str" cm="1">
        <f t="array" ref="AH16">_xlfn.IFS(AA16&gt;3,"Strong + Slope",AA16&gt;1.5,"Moderate + Slope",AA16&gt;0.5,"Sideway + Slope",AA16&gt;=-0.5,"Sideway Flat",AA16&gt;=-1.5,"Sideway - Slope",AA16&gt;=-3,"Moderate - Slope",TRUE,"Strong - Slope")</f>
        <v>Sideway - Slope</v>
      </c>
      <c r="AI16" s="1" t="str" cm="1">
        <f t="array" ref="AI16">_xlfn.IFS(AB16&gt;3,"Strong + Slope",AB16&gt;1.5,"Moderate + Slope",AB16&gt;0.5,"Sideway + Slope",AB16&gt;=-0.5,"Sideway Flat",AB16&gt;=-1.5,"Sideway - Slope",AB16&gt;=-3,"Moderate - Slope",TRUE,"Strong - Slope")</f>
        <v>Sideway Flat</v>
      </c>
      <c r="AJ16" s="1" t="str" cm="1">
        <f t="array" ref="AJ16">_xlfn.IFS(AC16&gt;3,"Strong + Slope",AC16&gt;1.5,"Moderate + Slope",AC16&gt;0.5,"Sideway + Slope",AC16&gt;=-0.5,"Sideway Flat",AC16&gt;=-1.5,"Sideway - Slope",AC16&gt;=-3,"Moderate - Slope",TRUE,"Strong - Slope")</f>
        <v>Sideway - Slope</v>
      </c>
      <c r="AK16" s="1" t="str" cm="1">
        <f t="array" ref="AK16">_xlfn.IFS(AD16&gt;3,"Strong + Slope",AD16&gt;1.5,"Moderate + Slope",AD16&gt;0.5,"Sideway + Slope",AD16&gt;=-0.5,"Sideway Flat",AD16&gt;=-1.5,"Sideway - Slope",AD16&gt;=-3,"Moderate - Slope",TRUE,"Strong - Slope")</f>
        <v>Sideway Flat</v>
      </c>
      <c r="AL16" s="1" t="str" cm="1">
        <f t="array" ref="AL16">_xlfn.IFS(AE16&gt;3,"Strong + Slope",AE16&gt;1.5,"Moderate + Slope",AE16&gt;0.5,"Sideway + Slope",AE16&gt;=-0.5,"Sideway Flat",AE16&gt;=-1.5,"Sideway - Slope",AE16&gt;=-3,"Moderate - Slope",TRUE,"Strong - Slope")</f>
        <v>Sideway Flat</v>
      </c>
      <c r="AM16" s="1" t="str" cm="1">
        <f t="array" ref="AM16">_xlfn.IFS(AF16&gt;3,"Strong + Slope",AF16&gt;1.5,"Moderate + Slope",AF16&gt;0.5,"Sideway + Slope",AF16&gt;=-0.5,"Sideway Flat",AF16&gt;=-1.5,"Sideway - Slope",AF16&gt;=-3,"Moderate - Slope",TRUE,"Strong - Slope")</f>
        <v>Sideway + Slope</v>
      </c>
    </row>
    <row r="17" spans="1:39" x14ac:dyDescent="0.55000000000000004">
      <c r="A17" s="1">
        <v>15</v>
      </c>
      <c r="B17" s="1" t="s">
        <v>17</v>
      </c>
      <c r="C17" s="1" t="s">
        <v>3</v>
      </c>
      <c r="D17" s="1" t="s">
        <v>102</v>
      </c>
      <c r="E17" s="1">
        <v>153.09200000000001</v>
      </c>
      <c r="F17" s="1">
        <v>152.94</v>
      </c>
      <c r="G17" s="1">
        <v>153.04900000000001</v>
      </c>
      <c r="H17" s="1">
        <v>153.00399999999999</v>
      </c>
      <c r="I17" s="1">
        <v>152.90600000000001</v>
      </c>
      <c r="J17" s="1">
        <v>153.24799999999999</v>
      </c>
      <c r="K17" s="1">
        <v>152.571</v>
      </c>
      <c r="L17" s="1">
        <v>152.6</v>
      </c>
      <c r="M17" s="1">
        <v>152.79</v>
      </c>
      <c r="N17" s="10">
        <f t="shared" si="0"/>
        <v>0.15200000000001523</v>
      </c>
      <c r="O17" s="10">
        <f t="shared" si="2"/>
        <v>7.2000000000002728E-2</v>
      </c>
      <c r="P17" s="10">
        <f t="shared" si="3"/>
        <v>8.0000000000012506E-2</v>
      </c>
      <c r="Q17" s="10">
        <f t="shared" si="1"/>
        <v>0.15200000000001523</v>
      </c>
      <c r="R17" s="10">
        <f t="shared" ref="R17:R80" si="5">AVERAGE(Q4:Q17)</f>
        <v>0.12000000000000048</v>
      </c>
      <c r="S17" s="1"/>
      <c r="T17" s="2">
        <f>SLOPE(H4:H17,$A4:$A17)</f>
        <v>-2.4285714285716561E-3</v>
      </c>
      <c r="U17" s="2">
        <f>SLOPE(I4:I17,$A4:$A17)</f>
        <v>-3.736263736253467E-4</v>
      </c>
      <c r="V17" s="2">
        <f>SLOPE(J4:J17,$A4:$A17)</f>
        <v>-1.6241758241763958E-3</v>
      </c>
      <c r="W17" s="2">
        <f>SLOPE(K4:K17,$A4:$A17)</f>
        <v>7.6923076922988224E-4</v>
      </c>
      <c r="X17" s="2">
        <f>SLOPE(L4:L17,$A4:$A17)</f>
        <v>-2.2197802197908189E-4</v>
      </c>
      <c r="Y17" s="2">
        <f>SLOPE(M4:M17,$A4:$A17)</f>
        <v>1.5714285714281417E-3</v>
      </c>
      <c r="Z17" s="1"/>
      <c r="AA17" s="2">
        <f>DEGREES(ATAN(T17/$R17))</f>
        <v>-1.1593991707147204</v>
      </c>
      <c r="AB17" s="2">
        <f>DEGREES(ATAN(U17/$R17))</f>
        <v>-0.17839287623789657</v>
      </c>
      <c r="AC17" s="2">
        <f t="shared" ref="AC17" si="6">DEGREES(ATAN(V17/$R17))</f>
        <v>-0.77543948379793337</v>
      </c>
      <c r="AD17" s="2">
        <f t="shared" si="4"/>
        <v>0.36727560733766951</v>
      </c>
      <c r="AE17" s="2">
        <f t="shared" si="4"/>
        <v>-0.10598657747822585</v>
      </c>
      <c r="AF17" s="2">
        <f t="shared" si="4"/>
        <v>0.75025899041731114</v>
      </c>
      <c r="AG17" s="1"/>
      <c r="AH17" s="1" t="str" cm="1">
        <f t="array" ref="AH17">_xlfn.IFS(AA17&gt;3,"Strong + Slope",AA17&gt;1.5,"Moderate + Slope",AA17&gt;0.5,"Sideway + Slope",AA17&gt;=-0.5,"Sideway Flat",AA17&gt;=-1.5,"Sideway - Slope",AA17&gt;=-3,"Moderate - Slope",TRUE,"Strong - Slope")</f>
        <v>Sideway - Slope</v>
      </c>
      <c r="AI17" s="1" t="str" cm="1">
        <f t="array" ref="AI17">_xlfn.IFS(AB17&gt;3,"Strong + Slope",AB17&gt;1.5,"Moderate + Slope",AB17&gt;0.5,"Sideway + Slope",AB17&gt;=-0.5,"Sideway Flat",AB17&gt;=-1.5,"Sideway - Slope",AB17&gt;=-3,"Moderate - Slope",TRUE,"Strong - Slope")</f>
        <v>Sideway Flat</v>
      </c>
      <c r="AJ17" s="1" t="str" cm="1">
        <f t="array" ref="AJ17">_xlfn.IFS(AC17&gt;3,"Strong + Slope",AC17&gt;1.5,"Moderate + Slope",AC17&gt;0.5,"Sideway + Slope",AC17&gt;=-0.5,"Sideway Flat",AC17&gt;=-1.5,"Sideway - Slope",AC17&gt;=-3,"Moderate - Slope",TRUE,"Strong - Slope")</f>
        <v>Sideway - Slope</v>
      </c>
      <c r="AK17" s="1" t="str" cm="1">
        <f t="array" ref="AK17">_xlfn.IFS(AD17&gt;3,"Strong + Slope",AD17&gt;1.5,"Moderate + Slope",AD17&gt;0.5,"Sideway + Slope",AD17&gt;=-0.5,"Sideway Flat",AD17&gt;=-1.5,"Sideway - Slope",AD17&gt;=-3,"Moderate - Slope",TRUE,"Strong - Slope")</f>
        <v>Sideway Flat</v>
      </c>
      <c r="AL17" s="1" t="str" cm="1">
        <f t="array" ref="AL17">_xlfn.IFS(AE17&gt;3,"Strong + Slope",AE17&gt;1.5,"Moderate + Slope",AE17&gt;0.5,"Sideway + Slope",AE17&gt;=-0.5,"Sideway Flat",AE17&gt;=-1.5,"Sideway - Slope",AE17&gt;=-3,"Moderate - Slope",TRUE,"Strong - Slope")</f>
        <v>Sideway Flat</v>
      </c>
      <c r="AM17" s="1" t="str" cm="1">
        <f t="array" ref="AM17">_xlfn.IFS(AF17&gt;3,"Strong + Slope",AF17&gt;1.5,"Moderate + Slope",AF17&gt;0.5,"Sideway + Slope",AF17&gt;=-0.5,"Sideway Flat",AF17&gt;=-1.5,"Sideway - Slope",AF17&gt;=-3,"Moderate - Slope",TRUE,"Strong - Slope")</f>
        <v>Sideway + Slope</v>
      </c>
    </row>
    <row r="18" spans="1:39" x14ac:dyDescent="0.55000000000000004">
      <c r="A18" s="1">
        <v>16</v>
      </c>
      <c r="B18" s="1" t="s">
        <v>18</v>
      </c>
      <c r="C18" s="1" t="s">
        <v>3</v>
      </c>
      <c r="D18" s="1" t="s">
        <v>102</v>
      </c>
      <c r="E18" s="1">
        <v>153.08000000000001</v>
      </c>
      <c r="F18" s="1">
        <v>152.99700000000001</v>
      </c>
      <c r="G18" s="1">
        <v>153.04499999999999</v>
      </c>
      <c r="H18" s="1">
        <v>153.00200000000001</v>
      </c>
      <c r="I18" s="1">
        <v>152.905</v>
      </c>
      <c r="J18" s="1">
        <v>153.24600000000001</v>
      </c>
      <c r="K18" s="1">
        <v>152.572</v>
      </c>
      <c r="L18" s="1">
        <v>152.59899999999999</v>
      </c>
      <c r="M18" s="1">
        <v>152.792</v>
      </c>
      <c r="N18" s="10">
        <f t="shared" si="0"/>
        <v>8.2999999999998408E-2</v>
      </c>
      <c r="O18" s="10">
        <f t="shared" si="2"/>
        <v>3.1000000000005912E-2</v>
      </c>
      <c r="P18" s="10">
        <f t="shared" si="3"/>
        <v>5.1999999999992497E-2</v>
      </c>
      <c r="Q18" s="10">
        <f t="shared" si="1"/>
        <v>8.2999999999998408E-2</v>
      </c>
      <c r="R18" s="10">
        <f t="shared" si="5"/>
        <v>0.11614285714285748</v>
      </c>
      <c r="S18" s="1"/>
      <c r="T18" s="2">
        <f>SLOPE(H5:H18,$A5:$A18)</f>
        <v>-2.4197802197800304E-3</v>
      </c>
      <c r="U18" s="2">
        <f>SLOPE(I5:I18,$A5:$A18)</f>
        <v>-3.7802197802078467E-4</v>
      </c>
      <c r="V18" s="2">
        <f>SLOPE(J5:J18,$A5:$A18)</f>
        <v>-1.6439560439560855E-3</v>
      </c>
      <c r="W18" s="2">
        <f>SLOPE(K5:K18,$A5:$A18)</f>
        <v>7.846153846148209E-4</v>
      </c>
      <c r="X18" s="2">
        <f>SLOPE(L5:L18,$A5:$A18)</f>
        <v>-2.2637362637470727E-4</v>
      </c>
      <c r="Y18" s="2">
        <f>SLOPE(M5:M18,$A5:$A18)</f>
        <v>1.5890109890110179E-3</v>
      </c>
      <c r="Z18" s="1"/>
      <c r="AA18" s="2">
        <f t="shared" ref="AA18:AA81" si="7">DEGREES(ATAN(T18/$R18))</f>
        <v>-1.1935571585369238</v>
      </c>
      <c r="AB18" s="2">
        <f t="shared" ref="AB18:AB81" si="8">DEGREES(ATAN(U18/$R18))</f>
        <v>-0.18648574655060385</v>
      </c>
      <c r="AC18" s="2">
        <f t="shared" ref="AC18:AC81" si="9">DEGREES(ATAN(V18/$R18))</f>
        <v>-0.81094486196272664</v>
      </c>
      <c r="AD18" s="2">
        <f t="shared" ref="AD18:AD81" si="10">DEGREES(ATAN(W18/$R18))</f>
        <v>0.38706182466300793</v>
      </c>
      <c r="AE18" s="2">
        <f t="shared" ref="AE18:AE81" si="11">DEGREES(ATAN(X18/$R18))</f>
        <v>-0.11167485697258094</v>
      </c>
      <c r="AF18" s="2">
        <f t="shared" ref="AF18:AF81" si="12">DEGREES(ATAN(Y18/$R18))</f>
        <v>0.78384453000648902</v>
      </c>
      <c r="AG18" s="1"/>
      <c r="AH18" s="1" t="str" cm="1">
        <f t="array" ref="AH18">_xlfn.IFS(AA18&gt;3,"Strong + Slope",AA18&gt;1.5,"Moderate + Slope",AA18&gt;0.5,"Sideway + Slope",AA18&gt;=-0.5,"Sideway Flat",AA18&gt;=-1.5,"Sideway - Slope",AA18&gt;=-3,"Moderate - Slope",TRUE,"Strong - Slope")</f>
        <v>Sideway - Slope</v>
      </c>
      <c r="AI18" s="1" t="str" cm="1">
        <f t="array" ref="AI18">_xlfn.IFS(AB18&gt;3,"Strong + Slope",AB18&gt;1.5,"Moderate + Slope",AB18&gt;0.5,"Sideway + Slope",AB18&gt;=-0.5,"Sideway Flat",AB18&gt;=-1.5,"Sideway - Slope",AB18&gt;=-3,"Moderate - Slope",TRUE,"Strong - Slope")</f>
        <v>Sideway Flat</v>
      </c>
      <c r="AJ18" s="1" t="str" cm="1">
        <f t="array" ref="AJ18">_xlfn.IFS(AC18&gt;3,"Strong + Slope",AC18&gt;1.5,"Moderate + Slope",AC18&gt;0.5,"Sideway + Slope",AC18&gt;=-0.5,"Sideway Flat",AC18&gt;=-1.5,"Sideway - Slope",AC18&gt;=-3,"Moderate - Slope",TRUE,"Strong - Slope")</f>
        <v>Sideway - Slope</v>
      </c>
      <c r="AK18" s="1" t="str" cm="1">
        <f t="array" ref="AK18">_xlfn.IFS(AD18&gt;3,"Strong + Slope",AD18&gt;1.5,"Moderate + Slope",AD18&gt;0.5,"Sideway + Slope",AD18&gt;=-0.5,"Sideway Flat",AD18&gt;=-1.5,"Sideway - Slope",AD18&gt;=-3,"Moderate - Slope",TRUE,"Strong - Slope")</f>
        <v>Sideway Flat</v>
      </c>
      <c r="AL18" s="1" t="str" cm="1">
        <f t="array" ref="AL18">_xlfn.IFS(AE18&gt;3,"Strong + Slope",AE18&gt;1.5,"Moderate + Slope",AE18&gt;0.5,"Sideway + Slope",AE18&gt;=-0.5,"Sideway Flat",AE18&gt;=-1.5,"Sideway - Slope",AE18&gt;=-3,"Moderate - Slope",TRUE,"Strong - Slope")</f>
        <v>Sideway Flat</v>
      </c>
      <c r="AM18" s="1" t="str" cm="1">
        <f t="array" ref="AM18">_xlfn.IFS(AF18&gt;3,"Strong + Slope",AF18&gt;1.5,"Moderate + Slope",AF18&gt;0.5,"Sideway + Slope",AF18&gt;=-0.5,"Sideway Flat",AF18&gt;=-1.5,"Sideway - Slope",AF18&gt;=-3,"Moderate - Slope",TRUE,"Strong - Slope")</f>
        <v>Sideway + Slope</v>
      </c>
    </row>
    <row r="19" spans="1:39" x14ac:dyDescent="0.55000000000000004">
      <c r="A19" s="1">
        <v>17</v>
      </c>
      <c r="B19" s="1" t="s">
        <v>19</v>
      </c>
      <c r="C19" s="1" t="s">
        <v>3</v>
      </c>
      <c r="D19" s="1" t="s">
        <v>102</v>
      </c>
      <c r="E19" s="1">
        <v>153.09100000000001</v>
      </c>
      <c r="F19" s="1">
        <v>152.947</v>
      </c>
      <c r="G19" s="1">
        <v>152.96199999999999</v>
      </c>
      <c r="H19" s="1">
        <v>152.999</v>
      </c>
      <c r="I19" s="1">
        <v>152.905</v>
      </c>
      <c r="J19" s="1">
        <v>153.245</v>
      </c>
      <c r="K19" s="1">
        <v>152.572</v>
      </c>
      <c r="L19" s="1">
        <v>152.59899999999999</v>
      </c>
      <c r="M19" s="1">
        <v>152.79300000000001</v>
      </c>
      <c r="N19" s="10">
        <f t="shared" si="0"/>
        <v>0.14400000000000546</v>
      </c>
      <c r="O19" s="10">
        <f t="shared" si="2"/>
        <v>4.6000000000020691E-2</v>
      </c>
      <c r="P19" s="10">
        <f t="shared" si="3"/>
        <v>9.7999999999984766E-2</v>
      </c>
      <c r="Q19" s="10">
        <f t="shared" si="1"/>
        <v>0.14400000000000546</v>
      </c>
      <c r="R19" s="10">
        <f t="shared" si="5"/>
        <v>0.11378571428571352</v>
      </c>
      <c r="S19" s="1"/>
      <c r="T19" s="2">
        <f>SLOPE(H6:H19,$A6:$A19)</f>
        <v>-2.4461538461541575E-3</v>
      </c>
      <c r="U19" s="2">
        <f>SLOPE(I6:I19,$A6:$A19)</f>
        <v>-3.8901098900978565E-4</v>
      </c>
      <c r="V19" s="2">
        <f>SLOPE(J6:J19,$A6:$A19)</f>
        <v>-1.6241758241756462E-3</v>
      </c>
      <c r="W19" s="2">
        <f>SLOPE(K6:K19,$A6:$A19)</f>
        <v>7.8461538461532061E-4</v>
      </c>
      <c r="X19" s="2">
        <f>SLOPE(L6:L19,$A6:$A19)</f>
        <v>-2.4615384615502152E-4</v>
      </c>
      <c r="Y19" s="2">
        <f>SLOPE(M6:M19,$A6:$A19)</f>
        <v>1.571428571428454E-3</v>
      </c>
      <c r="Z19" s="1"/>
      <c r="AA19" s="2">
        <f t="shared" si="7"/>
        <v>-1.2315492069307326</v>
      </c>
      <c r="AB19" s="2">
        <f t="shared" si="8"/>
        <v>-0.19588224371272844</v>
      </c>
      <c r="AC19" s="2">
        <f t="shared" si="9"/>
        <v>-0.81778368359751819</v>
      </c>
      <c r="AD19" s="2">
        <f t="shared" si="10"/>
        <v>0.39507980297151374</v>
      </c>
      <c r="AE19" s="2">
        <f t="shared" si="11"/>
        <v>-0.12394837597163925</v>
      </c>
      <c r="AF19" s="2">
        <f t="shared" si="12"/>
        <v>0.79122851260114435</v>
      </c>
      <c r="AG19" s="1"/>
      <c r="AH19" s="1" t="str" cm="1">
        <f t="array" ref="AH19">_xlfn.IFS(AA19&gt;3,"Strong + Slope",AA19&gt;1.5,"Moderate + Slope",AA19&gt;0.5,"Sideway + Slope",AA19&gt;=-0.5,"Sideway Flat",AA19&gt;=-1.5,"Sideway - Slope",AA19&gt;=-3,"Moderate - Slope",TRUE,"Strong - Slope")</f>
        <v>Sideway - Slope</v>
      </c>
      <c r="AI19" s="1" t="str" cm="1">
        <f t="array" ref="AI19">_xlfn.IFS(AB19&gt;3,"Strong + Slope",AB19&gt;1.5,"Moderate + Slope",AB19&gt;0.5,"Sideway + Slope",AB19&gt;=-0.5,"Sideway Flat",AB19&gt;=-1.5,"Sideway - Slope",AB19&gt;=-3,"Moderate - Slope",TRUE,"Strong - Slope")</f>
        <v>Sideway Flat</v>
      </c>
      <c r="AJ19" s="1" t="str" cm="1">
        <f t="array" ref="AJ19">_xlfn.IFS(AC19&gt;3,"Strong + Slope",AC19&gt;1.5,"Moderate + Slope",AC19&gt;0.5,"Sideway + Slope",AC19&gt;=-0.5,"Sideway Flat",AC19&gt;=-1.5,"Sideway - Slope",AC19&gt;=-3,"Moderate - Slope",TRUE,"Strong - Slope")</f>
        <v>Sideway - Slope</v>
      </c>
      <c r="AK19" s="1" t="str" cm="1">
        <f t="array" ref="AK19">_xlfn.IFS(AD19&gt;3,"Strong + Slope",AD19&gt;1.5,"Moderate + Slope",AD19&gt;0.5,"Sideway + Slope",AD19&gt;=-0.5,"Sideway Flat",AD19&gt;=-1.5,"Sideway - Slope",AD19&gt;=-3,"Moderate - Slope",TRUE,"Strong - Slope")</f>
        <v>Sideway Flat</v>
      </c>
      <c r="AL19" s="1" t="str" cm="1">
        <f t="array" ref="AL19">_xlfn.IFS(AE19&gt;3,"Strong + Slope",AE19&gt;1.5,"Moderate + Slope",AE19&gt;0.5,"Sideway + Slope",AE19&gt;=-0.5,"Sideway Flat",AE19&gt;=-1.5,"Sideway - Slope",AE19&gt;=-3,"Moderate - Slope",TRUE,"Strong - Slope")</f>
        <v>Sideway Flat</v>
      </c>
      <c r="AM19" s="1" t="str" cm="1">
        <f t="array" ref="AM19">_xlfn.IFS(AF19&gt;3,"Strong + Slope",AF19&gt;1.5,"Moderate + Slope",AF19&gt;0.5,"Sideway + Slope",AF19&gt;=-0.5,"Sideway Flat",AF19&gt;=-1.5,"Sideway - Slope",AF19&gt;=-3,"Moderate - Slope",TRUE,"Strong - Slope")</f>
        <v>Sideway + Slope</v>
      </c>
    </row>
    <row r="20" spans="1:39" x14ac:dyDescent="0.55000000000000004">
      <c r="A20" s="1">
        <v>18</v>
      </c>
      <c r="B20" s="1" t="s">
        <v>20</v>
      </c>
      <c r="C20" s="1" t="s">
        <v>3</v>
      </c>
      <c r="D20" s="1" t="s">
        <v>102</v>
      </c>
      <c r="E20" s="1">
        <v>153.04900000000001</v>
      </c>
      <c r="F20" s="1">
        <v>152.911</v>
      </c>
      <c r="G20" s="1">
        <v>153.04599999999999</v>
      </c>
      <c r="H20" s="1">
        <v>152.99700000000001</v>
      </c>
      <c r="I20" s="1">
        <v>152.905</v>
      </c>
      <c r="J20" s="1">
        <v>153.24299999999999</v>
      </c>
      <c r="K20" s="1">
        <v>152.57300000000001</v>
      </c>
      <c r="L20" s="1">
        <v>152.59899999999999</v>
      </c>
      <c r="M20" s="1">
        <v>152.79499999999999</v>
      </c>
      <c r="N20" s="10">
        <f t="shared" si="0"/>
        <v>0.13800000000000523</v>
      </c>
      <c r="O20" s="10">
        <f t="shared" si="2"/>
        <v>8.7000000000017508E-2</v>
      </c>
      <c r="P20" s="10">
        <f t="shared" si="3"/>
        <v>5.0999999999987722E-2</v>
      </c>
      <c r="Q20" s="10">
        <f t="shared" si="1"/>
        <v>0.13800000000000523</v>
      </c>
      <c r="R20" s="10">
        <f t="shared" si="5"/>
        <v>0.11607142857142858</v>
      </c>
      <c r="S20" s="1"/>
      <c r="T20" s="2">
        <f>SLOPE(H7:H20,$A7:$A20)</f>
        <v>-2.4461538461535326E-3</v>
      </c>
      <c r="U20" s="2">
        <f>SLOPE(I7:I20,$A7:$A20)</f>
        <v>-3.7802197802078467E-4</v>
      </c>
      <c r="V20" s="2">
        <f>SLOPE(J7:J20,$A7:$A20)</f>
        <v>-1.6263736263738338E-3</v>
      </c>
      <c r="W20" s="2">
        <f>SLOPE(K7:K20,$A7:$A20)</f>
        <v>7.6923076923138137E-4</v>
      </c>
      <c r="X20" s="2">
        <f>SLOPE(L7:L20,$A7:$A20)</f>
        <v>-2.5274725274845958E-4</v>
      </c>
      <c r="Y20" s="2">
        <f>SLOPE(M7:M20,$A7:$A20)</f>
        <v>1.5802197802192051E-3</v>
      </c>
      <c r="Z20" s="1"/>
      <c r="AA20" s="2">
        <f t="shared" si="7"/>
        <v>-1.2073044111268834</v>
      </c>
      <c r="AB20" s="2">
        <f t="shared" si="8"/>
        <v>-0.18660050619878471</v>
      </c>
      <c r="AC20" s="2">
        <f t="shared" si="9"/>
        <v>-0.80276643638265355</v>
      </c>
      <c r="AD20" s="2">
        <f t="shared" si="10"/>
        <v>0.37970611604356674</v>
      </c>
      <c r="AE20" s="2">
        <f t="shared" si="11"/>
        <v>-0.12476221027167221</v>
      </c>
      <c r="AF20" s="2">
        <f t="shared" si="12"/>
        <v>0.77998808228703764</v>
      </c>
      <c r="AG20" s="1"/>
      <c r="AH20" s="1" t="str" cm="1">
        <f t="array" ref="AH20">_xlfn.IFS(AA20&gt;3,"Strong + Slope",AA20&gt;1.5,"Moderate + Slope",AA20&gt;0.5,"Sideway + Slope",AA20&gt;=-0.5,"Sideway Flat",AA20&gt;=-1.5,"Sideway - Slope",AA20&gt;=-3,"Moderate - Slope",TRUE,"Strong - Slope")</f>
        <v>Sideway - Slope</v>
      </c>
      <c r="AI20" s="1" t="str" cm="1">
        <f t="array" ref="AI20">_xlfn.IFS(AB20&gt;3,"Strong + Slope",AB20&gt;1.5,"Moderate + Slope",AB20&gt;0.5,"Sideway + Slope",AB20&gt;=-0.5,"Sideway Flat",AB20&gt;=-1.5,"Sideway - Slope",AB20&gt;=-3,"Moderate - Slope",TRUE,"Strong - Slope")</f>
        <v>Sideway Flat</v>
      </c>
      <c r="AJ20" s="1" t="str" cm="1">
        <f t="array" ref="AJ20">_xlfn.IFS(AC20&gt;3,"Strong + Slope",AC20&gt;1.5,"Moderate + Slope",AC20&gt;0.5,"Sideway + Slope",AC20&gt;=-0.5,"Sideway Flat",AC20&gt;=-1.5,"Sideway - Slope",AC20&gt;=-3,"Moderate - Slope",TRUE,"Strong - Slope")</f>
        <v>Sideway - Slope</v>
      </c>
      <c r="AK20" s="1" t="str" cm="1">
        <f t="array" ref="AK20">_xlfn.IFS(AD20&gt;3,"Strong + Slope",AD20&gt;1.5,"Moderate + Slope",AD20&gt;0.5,"Sideway + Slope",AD20&gt;=-0.5,"Sideway Flat",AD20&gt;=-1.5,"Sideway - Slope",AD20&gt;=-3,"Moderate - Slope",TRUE,"Strong - Slope")</f>
        <v>Sideway Flat</v>
      </c>
      <c r="AL20" s="1" t="str" cm="1">
        <f t="array" ref="AL20">_xlfn.IFS(AE20&gt;3,"Strong + Slope",AE20&gt;1.5,"Moderate + Slope",AE20&gt;0.5,"Sideway + Slope",AE20&gt;=-0.5,"Sideway Flat",AE20&gt;=-1.5,"Sideway - Slope",AE20&gt;=-3,"Moderate - Slope",TRUE,"Strong - Slope")</f>
        <v>Sideway Flat</v>
      </c>
      <c r="AM20" s="1" t="str" cm="1">
        <f t="array" ref="AM20">_xlfn.IFS(AF20&gt;3,"Strong + Slope",AF20&gt;1.5,"Moderate + Slope",AF20&gt;0.5,"Sideway + Slope",AF20&gt;=-0.5,"Sideway Flat",AF20&gt;=-1.5,"Sideway - Slope",AF20&gt;=-3,"Moderate - Slope",TRUE,"Strong - Slope")</f>
        <v>Sideway + Slope</v>
      </c>
    </row>
    <row r="21" spans="1:39" x14ac:dyDescent="0.55000000000000004">
      <c r="A21" s="1">
        <v>19</v>
      </c>
      <c r="B21" s="1" t="s">
        <v>21</v>
      </c>
      <c r="C21" s="1" t="s">
        <v>3</v>
      </c>
      <c r="D21" s="1" t="s">
        <v>102</v>
      </c>
      <c r="E21" s="1">
        <v>153.15100000000001</v>
      </c>
      <c r="F21" s="1">
        <v>153.036</v>
      </c>
      <c r="G21" s="1">
        <v>153.04599999999999</v>
      </c>
      <c r="H21" s="1">
        <v>152.995</v>
      </c>
      <c r="I21" s="1">
        <v>152.904</v>
      </c>
      <c r="J21" s="1">
        <v>153.24100000000001</v>
      </c>
      <c r="K21" s="1">
        <v>152.57400000000001</v>
      </c>
      <c r="L21" s="1">
        <v>152.59899999999999</v>
      </c>
      <c r="M21" s="1">
        <v>152.79599999999999</v>
      </c>
      <c r="N21" s="10">
        <f t="shared" si="0"/>
        <v>0.11500000000000909</v>
      </c>
      <c r="O21" s="10">
        <f t="shared" si="2"/>
        <v>0.10500000000001819</v>
      </c>
      <c r="P21" s="10">
        <f t="shared" si="3"/>
        <v>9.9999999999909051E-3</v>
      </c>
      <c r="Q21" s="10">
        <f t="shared" si="1"/>
        <v>0.11500000000000909</v>
      </c>
      <c r="R21" s="10">
        <f t="shared" si="5"/>
        <v>0.11578571428571495</v>
      </c>
      <c r="S21" s="1"/>
      <c r="T21" s="2">
        <f>SLOPE(H8:H21,$A8:$A21)</f>
        <v>-2.4197802197799055E-3</v>
      </c>
      <c r="U21" s="2">
        <f>SLOPE(I8:I21,$A8:$A21)</f>
        <v>-3.736263736253467E-4</v>
      </c>
      <c r="V21" s="2">
        <f>SLOPE(J8:J21,$A8:$A21)</f>
        <v>-1.6505494505488988E-3</v>
      </c>
      <c r="W21" s="2">
        <f>SLOPE(K8:K21,$A8:$A21)</f>
        <v>7.6703296703363119E-4</v>
      </c>
      <c r="X21" s="2">
        <f>SLOPE(L8:L21,$A8:$A21)</f>
        <v>-2.4615384615502152E-4</v>
      </c>
      <c r="Y21" s="2">
        <f>SLOPE(M8:M21,$A8:$A21)</f>
        <v>1.5538461538454527E-3</v>
      </c>
      <c r="Z21" s="1"/>
      <c r="AA21" s="2">
        <f t="shared" si="7"/>
        <v>-1.1972376344550522</v>
      </c>
      <c r="AB21" s="2">
        <f t="shared" si="8"/>
        <v>-0.18488584842645539</v>
      </c>
      <c r="AC21" s="2">
        <f t="shared" si="9"/>
        <v>-0.81670794108167089</v>
      </c>
      <c r="AD21" s="2">
        <f t="shared" si="10"/>
        <v>0.37955553637286393</v>
      </c>
      <c r="AE21" s="2">
        <f t="shared" si="11"/>
        <v>-0.12180738647240605</v>
      </c>
      <c r="AF21" s="2">
        <f t="shared" si="12"/>
        <v>0.76886413104915163</v>
      </c>
      <c r="AG21" s="1"/>
      <c r="AH21" s="1" t="str" cm="1">
        <f t="array" ref="AH21">_xlfn.IFS(AA21&gt;3,"Strong + Slope",AA21&gt;1.5,"Moderate + Slope",AA21&gt;0.5,"Sideway + Slope",AA21&gt;=-0.5,"Sideway Flat",AA21&gt;=-1.5,"Sideway - Slope",AA21&gt;=-3,"Moderate - Slope",TRUE,"Strong - Slope")</f>
        <v>Sideway - Slope</v>
      </c>
      <c r="AI21" s="1" t="str" cm="1">
        <f t="array" ref="AI21">_xlfn.IFS(AB21&gt;3,"Strong + Slope",AB21&gt;1.5,"Moderate + Slope",AB21&gt;0.5,"Sideway + Slope",AB21&gt;=-0.5,"Sideway Flat",AB21&gt;=-1.5,"Sideway - Slope",AB21&gt;=-3,"Moderate - Slope",TRUE,"Strong - Slope")</f>
        <v>Sideway Flat</v>
      </c>
      <c r="AJ21" s="1" t="str" cm="1">
        <f t="array" ref="AJ21">_xlfn.IFS(AC21&gt;3,"Strong + Slope",AC21&gt;1.5,"Moderate + Slope",AC21&gt;0.5,"Sideway + Slope",AC21&gt;=-0.5,"Sideway Flat",AC21&gt;=-1.5,"Sideway - Slope",AC21&gt;=-3,"Moderate - Slope",TRUE,"Strong - Slope")</f>
        <v>Sideway - Slope</v>
      </c>
      <c r="AK21" s="1" t="str" cm="1">
        <f t="array" ref="AK21">_xlfn.IFS(AD21&gt;3,"Strong + Slope",AD21&gt;1.5,"Moderate + Slope",AD21&gt;0.5,"Sideway + Slope",AD21&gt;=-0.5,"Sideway Flat",AD21&gt;=-1.5,"Sideway - Slope",AD21&gt;=-3,"Moderate - Slope",TRUE,"Strong - Slope")</f>
        <v>Sideway Flat</v>
      </c>
      <c r="AL21" s="1" t="str" cm="1">
        <f t="array" ref="AL21">_xlfn.IFS(AE21&gt;3,"Strong + Slope",AE21&gt;1.5,"Moderate + Slope",AE21&gt;0.5,"Sideway + Slope",AE21&gt;=-0.5,"Sideway Flat",AE21&gt;=-1.5,"Sideway - Slope",AE21&gt;=-3,"Moderate - Slope",TRUE,"Strong - Slope")</f>
        <v>Sideway Flat</v>
      </c>
      <c r="AM21" s="1" t="str" cm="1">
        <f t="array" ref="AM21">_xlfn.IFS(AF21&gt;3,"Strong + Slope",AF21&gt;1.5,"Moderate + Slope",AF21&gt;0.5,"Sideway + Slope",AF21&gt;=-0.5,"Sideway Flat",AF21&gt;=-1.5,"Sideway - Slope",AF21&gt;=-3,"Moderate - Slope",TRUE,"Strong - Slope")</f>
        <v>Sideway + Slope</v>
      </c>
    </row>
    <row r="22" spans="1:39" x14ac:dyDescent="0.55000000000000004">
      <c r="A22" s="1">
        <v>20</v>
      </c>
      <c r="B22" s="1" t="s">
        <v>22</v>
      </c>
      <c r="C22" s="1" t="s">
        <v>3</v>
      </c>
      <c r="D22" s="1" t="s">
        <v>102</v>
      </c>
      <c r="E22" s="1">
        <v>153.12899999999999</v>
      </c>
      <c r="F22" s="1">
        <v>153.00700000000001</v>
      </c>
      <c r="G22" s="1">
        <v>153.09</v>
      </c>
      <c r="H22" s="1">
        <v>152.99199999999999</v>
      </c>
      <c r="I22" s="1">
        <v>152.904</v>
      </c>
      <c r="J22" s="1">
        <v>153.24</v>
      </c>
      <c r="K22" s="1">
        <v>152.57499999999999</v>
      </c>
      <c r="L22" s="1">
        <v>152.59899999999999</v>
      </c>
      <c r="M22" s="1">
        <v>152.798</v>
      </c>
      <c r="N22" s="10">
        <f t="shared" si="0"/>
        <v>0.12199999999998568</v>
      </c>
      <c r="O22" s="10">
        <f t="shared" si="2"/>
        <v>8.2999999999998408E-2</v>
      </c>
      <c r="P22" s="10">
        <f t="shared" si="3"/>
        <v>3.8999999999987267E-2</v>
      </c>
      <c r="Q22" s="10">
        <f t="shared" si="1"/>
        <v>0.12199999999998568</v>
      </c>
      <c r="R22" s="10">
        <f t="shared" si="5"/>
        <v>0.11885714285714195</v>
      </c>
      <c r="S22" s="1"/>
      <c r="T22" s="2">
        <f>SLOPE(H9:H22,$A9:$A22)</f>
        <v>-2.4285714285710936E-3</v>
      </c>
      <c r="U22" s="2">
        <f>SLOPE(I9:I22,$A9:$A22)</f>
        <v>-3.7582417582347169E-4</v>
      </c>
      <c r="V22" s="2">
        <f>SLOPE(J9:J22,$A9:$A22)</f>
        <v>-1.6351648351638352E-3</v>
      </c>
      <c r="W22" s="2">
        <f>SLOPE(K9:K22,$A9:$A22)</f>
        <v>7.7802197802206996E-4</v>
      </c>
      <c r="X22" s="2">
        <f>SLOPE(L9:L22,$A9:$A22)</f>
        <v>-2.2637362637470727E-4</v>
      </c>
      <c r="Y22" s="2">
        <f>SLOPE(M9:M22,$A9:$A22)</f>
        <v>1.5538461538459525E-3</v>
      </c>
      <c r="Z22" s="1"/>
      <c r="AA22" s="2">
        <f t="shared" si="7"/>
        <v>-1.1705441527080902</v>
      </c>
      <c r="AB22" s="2">
        <f t="shared" si="8"/>
        <v>-0.18116763395750418</v>
      </c>
      <c r="AC22" s="2">
        <f t="shared" si="9"/>
        <v>-0.78819103025539816</v>
      </c>
      <c r="AD22" s="2">
        <f t="shared" si="10"/>
        <v>0.37504467940489666</v>
      </c>
      <c r="AE22" s="2">
        <f t="shared" si="11"/>
        <v>-0.10912459604549281</v>
      </c>
      <c r="AF22" s="2">
        <f t="shared" si="12"/>
        <v>0.74899794037873568</v>
      </c>
      <c r="AG22" s="1"/>
      <c r="AH22" s="1" t="str" cm="1">
        <f t="array" ref="AH22">_xlfn.IFS(AA22&gt;3,"Strong + Slope",AA22&gt;1.5,"Moderate + Slope",AA22&gt;0.5,"Sideway + Slope",AA22&gt;=-0.5,"Sideway Flat",AA22&gt;=-1.5,"Sideway - Slope",AA22&gt;=-3,"Moderate - Slope",TRUE,"Strong - Slope")</f>
        <v>Sideway - Slope</v>
      </c>
      <c r="AI22" s="1" t="str" cm="1">
        <f t="array" ref="AI22">_xlfn.IFS(AB22&gt;3,"Strong + Slope",AB22&gt;1.5,"Moderate + Slope",AB22&gt;0.5,"Sideway + Slope",AB22&gt;=-0.5,"Sideway Flat",AB22&gt;=-1.5,"Sideway - Slope",AB22&gt;=-3,"Moderate - Slope",TRUE,"Strong - Slope")</f>
        <v>Sideway Flat</v>
      </c>
      <c r="AJ22" s="1" t="str" cm="1">
        <f t="array" ref="AJ22">_xlfn.IFS(AC22&gt;3,"Strong + Slope",AC22&gt;1.5,"Moderate + Slope",AC22&gt;0.5,"Sideway + Slope",AC22&gt;=-0.5,"Sideway Flat",AC22&gt;=-1.5,"Sideway - Slope",AC22&gt;=-3,"Moderate - Slope",TRUE,"Strong - Slope")</f>
        <v>Sideway - Slope</v>
      </c>
      <c r="AK22" s="1" t="str" cm="1">
        <f t="array" ref="AK22">_xlfn.IFS(AD22&gt;3,"Strong + Slope",AD22&gt;1.5,"Moderate + Slope",AD22&gt;0.5,"Sideway + Slope",AD22&gt;=-0.5,"Sideway Flat",AD22&gt;=-1.5,"Sideway - Slope",AD22&gt;=-3,"Moderate - Slope",TRUE,"Strong - Slope")</f>
        <v>Sideway Flat</v>
      </c>
      <c r="AL22" s="1" t="str" cm="1">
        <f t="array" ref="AL22">_xlfn.IFS(AE22&gt;3,"Strong + Slope",AE22&gt;1.5,"Moderate + Slope",AE22&gt;0.5,"Sideway + Slope",AE22&gt;=-0.5,"Sideway Flat",AE22&gt;=-1.5,"Sideway - Slope",AE22&gt;=-3,"Moderate - Slope",TRUE,"Strong - Slope")</f>
        <v>Sideway Flat</v>
      </c>
      <c r="AM22" s="1" t="str" cm="1">
        <f t="array" ref="AM22">_xlfn.IFS(AF22&gt;3,"Strong + Slope",AF22&gt;1.5,"Moderate + Slope",AF22&gt;0.5,"Sideway + Slope",AF22&gt;=-0.5,"Sideway Flat",AF22&gt;=-1.5,"Sideway - Slope",AF22&gt;=-3,"Moderate - Slope",TRUE,"Strong - Slope")</f>
        <v>Sideway + Slope</v>
      </c>
    </row>
    <row r="23" spans="1:39" x14ac:dyDescent="0.55000000000000004">
      <c r="A23" s="1">
        <v>21</v>
      </c>
      <c r="B23" s="1" t="s">
        <v>23</v>
      </c>
      <c r="C23" s="1" t="s">
        <v>3</v>
      </c>
      <c r="D23" s="1" t="s">
        <v>102</v>
      </c>
      <c r="E23" s="1">
        <v>153.09200000000001</v>
      </c>
      <c r="F23" s="1">
        <v>152.989</v>
      </c>
      <c r="G23" s="1">
        <v>153.001</v>
      </c>
      <c r="H23" s="1">
        <v>152.99</v>
      </c>
      <c r="I23" s="1">
        <v>152.904</v>
      </c>
      <c r="J23" s="1">
        <v>153.238</v>
      </c>
      <c r="K23" s="1">
        <v>152.57499999999999</v>
      </c>
      <c r="L23" s="1">
        <v>152.59800000000001</v>
      </c>
      <c r="M23" s="1">
        <v>152.80000000000001</v>
      </c>
      <c r="N23" s="10">
        <f t="shared" si="0"/>
        <v>0.10300000000000864</v>
      </c>
      <c r="O23" s="10">
        <f t="shared" si="2"/>
        <v>2.0000000000095497E-3</v>
      </c>
      <c r="P23" s="10">
        <f t="shared" si="3"/>
        <v>0.10099999999999909</v>
      </c>
      <c r="Q23" s="10">
        <f t="shared" si="1"/>
        <v>0.10300000000000864</v>
      </c>
      <c r="R23" s="10">
        <f t="shared" si="5"/>
        <v>0.12057142857142976</v>
      </c>
      <c r="S23" s="1"/>
      <c r="T23" s="2">
        <f>SLOPE(H10:H23,$A10:$A23)</f>
        <v>-2.4109890109883423E-3</v>
      </c>
      <c r="U23" s="2">
        <f>SLOPE(I10:I23,$A10:$A23)</f>
        <v>-3.5604395604359472E-4</v>
      </c>
      <c r="V23" s="2">
        <f>SLOPE(J10:J23,$A10:$A23)</f>
        <v>-1.6417582417573983E-3</v>
      </c>
      <c r="W23" s="2">
        <f>SLOPE(K10:K23,$A10:$A23)</f>
        <v>7.7362637362606978E-4</v>
      </c>
      <c r="X23" s="2">
        <f>SLOPE(L10:L23,$A10:$A23)</f>
        <v>-2.2197802197826985E-4</v>
      </c>
      <c r="Y23" s="2">
        <f>SLOPE(M10:M23,$A10:$A23)</f>
        <v>1.5802197802197672E-3</v>
      </c>
      <c r="Z23" s="1"/>
      <c r="AA23" s="2">
        <f t="shared" si="7"/>
        <v>-1.1455540416945011</v>
      </c>
      <c r="AB23" s="2">
        <f t="shared" si="8"/>
        <v>-0.16919229496343338</v>
      </c>
      <c r="AC23" s="2">
        <f t="shared" si="9"/>
        <v>-0.78011852775658208</v>
      </c>
      <c r="AD23" s="2">
        <f t="shared" si="10"/>
        <v>0.36762372632576157</v>
      </c>
      <c r="AE23" s="2">
        <f t="shared" si="11"/>
        <v>-0.10548427256117177</v>
      </c>
      <c r="AF23" s="2">
        <f t="shared" si="12"/>
        <v>0.75088055035878143</v>
      </c>
      <c r="AG23" s="1"/>
      <c r="AH23" s="1" t="str" cm="1">
        <f t="array" ref="AH23">_xlfn.IFS(AA23&gt;3,"Strong + Slope",AA23&gt;1.5,"Moderate + Slope",AA23&gt;0.5,"Sideway + Slope",AA23&gt;=-0.5,"Sideway Flat",AA23&gt;=-1.5,"Sideway - Slope",AA23&gt;=-3,"Moderate - Slope",TRUE,"Strong - Slope")</f>
        <v>Sideway - Slope</v>
      </c>
      <c r="AI23" s="1" t="str" cm="1">
        <f t="array" ref="AI23">_xlfn.IFS(AB23&gt;3,"Strong + Slope",AB23&gt;1.5,"Moderate + Slope",AB23&gt;0.5,"Sideway + Slope",AB23&gt;=-0.5,"Sideway Flat",AB23&gt;=-1.5,"Sideway - Slope",AB23&gt;=-3,"Moderate - Slope",TRUE,"Strong - Slope")</f>
        <v>Sideway Flat</v>
      </c>
      <c r="AJ23" s="1" t="str" cm="1">
        <f t="array" ref="AJ23">_xlfn.IFS(AC23&gt;3,"Strong + Slope",AC23&gt;1.5,"Moderate + Slope",AC23&gt;0.5,"Sideway + Slope",AC23&gt;=-0.5,"Sideway Flat",AC23&gt;=-1.5,"Sideway - Slope",AC23&gt;=-3,"Moderate - Slope",TRUE,"Strong - Slope")</f>
        <v>Sideway - Slope</v>
      </c>
      <c r="AK23" s="1" t="str" cm="1">
        <f t="array" ref="AK23">_xlfn.IFS(AD23&gt;3,"Strong + Slope",AD23&gt;1.5,"Moderate + Slope",AD23&gt;0.5,"Sideway + Slope",AD23&gt;=-0.5,"Sideway Flat",AD23&gt;=-1.5,"Sideway - Slope",AD23&gt;=-3,"Moderate - Slope",TRUE,"Strong - Slope")</f>
        <v>Sideway Flat</v>
      </c>
      <c r="AL23" s="1" t="str" cm="1">
        <f t="array" ref="AL23">_xlfn.IFS(AE23&gt;3,"Strong + Slope",AE23&gt;1.5,"Moderate + Slope",AE23&gt;0.5,"Sideway + Slope",AE23&gt;=-0.5,"Sideway Flat",AE23&gt;=-1.5,"Sideway - Slope",AE23&gt;=-3,"Moderate - Slope",TRUE,"Strong - Slope")</f>
        <v>Sideway Flat</v>
      </c>
      <c r="AM23" s="1" t="str" cm="1">
        <f t="array" ref="AM23">_xlfn.IFS(AF23&gt;3,"Strong + Slope",AF23&gt;1.5,"Moderate + Slope",AF23&gt;0.5,"Sideway + Slope",AF23&gt;=-0.5,"Sideway Flat",AF23&gt;=-1.5,"Sideway - Slope",AF23&gt;=-3,"Moderate - Slope",TRUE,"Strong - Slope")</f>
        <v>Sideway + Slope</v>
      </c>
    </row>
    <row r="24" spans="1:39" x14ac:dyDescent="0.55000000000000004">
      <c r="A24" s="1">
        <v>22</v>
      </c>
      <c r="B24" s="1" t="s">
        <v>24</v>
      </c>
      <c r="C24" s="1" t="s">
        <v>3</v>
      </c>
      <c r="D24" s="1" t="s">
        <v>102</v>
      </c>
      <c r="E24" s="1">
        <v>153.05199999999999</v>
      </c>
      <c r="F24" s="1">
        <v>152.98400000000001</v>
      </c>
      <c r="G24" s="1">
        <v>153.036</v>
      </c>
      <c r="H24" s="1">
        <v>152.98699999999999</v>
      </c>
      <c r="I24" s="1">
        <v>152.90299999999999</v>
      </c>
      <c r="J24" s="1">
        <v>153.23599999999999</v>
      </c>
      <c r="K24" s="1">
        <v>152.57599999999999</v>
      </c>
      <c r="L24" s="1">
        <v>152.59800000000001</v>
      </c>
      <c r="M24" s="1">
        <v>152.80099999999999</v>
      </c>
      <c r="N24" s="10">
        <f t="shared" si="0"/>
        <v>6.7999999999983629E-2</v>
      </c>
      <c r="O24" s="10">
        <f t="shared" si="2"/>
        <v>5.0999999999987722E-2</v>
      </c>
      <c r="P24" s="10">
        <f t="shared" si="3"/>
        <v>1.6999999999995907E-2</v>
      </c>
      <c r="Q24" s="10">
        <f t="shared" si="1"/>
        <v>6.7999999999983629E-2</v>
      </c>
      <c r="R24" s="10">
        <f t="shared" si="5"/>
        <v>0.11714285714285617</v>
      </c>
      <c r="S24" s="1"/>
      <c r="T24" s="2">
        <f>SLOPE(H11:H24,$A11:$A24)</f>
        <v>-2.4285714285713438E-3</v>
      </c>
      <c r="U24" s="2">
        <f>SLOPE(I11:I24,$A11:$A24)</f>
        <v>-3.7582417582447116E-4</v>
      </c>
      <c r="V24" s="2">
        <f>SLOPE(J11:J24,$A11:$A24)</f>
        <v>-1.670329670329588E-3</v>
      </c>
      <c r="W24" s="2">
        <f>SLOPE(K11:K24,$A11:$A24)</f>
        <v>7.5384615384563064E-4</v>
      </c>
      <c r="X24" s="2">
        <f>SLOPE(L11:L24,$A11:$A24)</f>
        <v>-2.3296703296664617E-4</v>
      </c>
      <c r="Y24" s="2">
        <f>SLOPE(M11:M24,$A11:$A24)</f>
        <v>1.5714285714281417E-3</v>
      </c>
      <c r="Z24" s="1"/>
      <c r="AA24" s="2">
        <f t="shared" si="7"/>
        <v>-1.1876691959995767</v>
      </c>
      <c r="AB24" s="2">
        <f t="shared" si="8"/>
        <v>-0.18381884956442943</v>
      </c>
      <c r="AC24" s="2">
        <f t="shared" si="9"/>
        <v>-0.81692010626649136</v>
      </c>
      <c r="AD24" s="2">
        <f t="shared" si="10"/>
        <v>0.36870883850851843</v>
      </c>
      <c r="AE24" s="2">
        <f t="shared" si="11"/>
        <v>-0.11394642817059872</v>
      </c>
      <c r="AF24" s="2">
        <f t="shared" si="12"/>
        <v>0.76855582135206446</v>
      </c>
      <c r="AG24" s="1"/>
      <c r="AH24" s="1" t="str" cm="1">
        <f t="array" ref="AH24">_xlfn.IFS(AA24&gt;3,"Strong + Slope",AA24&gt;1.5,"Moderate + Slope",AA24&gt;0.5,"Sideway + Slope",AA24&gt;=-0.5,"Sideway Flat",AA24&gt;=-1.5,"Sideway - Slope",AA24&gt;=-3,"Moderate - Slope",TRUE,"Strong - Slope")</f>
        <v>Sideway - Slope</v>
      </c>
      <c r="AI24" s="1" t="str" cm="1">
        <f t="array" ref="AI24">_xlfn.IFS(AB24&gt;3,"Strong + Slope",AB24&gt;1.5,"Moderate + Slope",AB24&gt;0.5,"Sideway + Slope",AB24&gt;=-0.5,"Sideway Flat",AB24&gt;=-1.5,"Sideway - Slope",AB24&gt;=-3,"Moderate - Slope",TRUE,"Strong - Slope")</f>
        <v>Sideway Flat</v>
      </c>
      <c r="AJ24" s="1" t="str" cm="1">
        <f t="array" ref="AJ24">_xlfn.IFS(AC24&gt;3,"Strong + Slope",AC24&gt;1.5,"Moderate + Slope",AC24&gt;0.5,"Sideway + Slope",AC24&gt;=-0.5,"Sideway Flat",AC24&gt;=-1.5,"Sideway - Slope",AC24&gt;=-3,"Moderate - Slope",TRUE,"Strong - Slope")</f>
        <v>Sideway - Slope</v>
      </c>
      <c r="AK24" s="1" t="str" cm="1">
        <f t="array" ref="AK24">_xlfn.IFS(AD24&gt;3,"Strong + Slope",AD24&gt;1.5,"Moderate + Slope",AD24&gt;0.5,"Sideway + Slope",AD24&gt;=-0.5,"Sideway Flat",AD24&gt;=-1.5,"Sideway - Slope",AD24&gt;=-3,"Moderate - Slope",TRUE,"Strong - Slope")</f>
        <v>Sideway Flat</v>
      </c>
      <c r="AL24" s="1" t="str" cm="1">
        <f t="array" ref="AL24">_xlfn.IFS(AE24&gt;3,"Strong + Slope",AE24&gt;1.5,"Moderate + Slope",AE24&gt;0.5,"Sideway + Slope",AE24&gt;=-0.5,"Sideway Flat",AE24&gt;=-1.5,"Sideway - Slope",AE24&gt;=-3,"Moderate - Slope",TRUE,"Strong - Slope")</f>
        <v>Sideway Flat</v>
      </c>
      <c r="AM24" s="1" t="str" cm="1">
        <f t="array" ref="AM24">_xlfn.IFS(AF24&gt;3,"Strong + Slope",AF24&gt;1.5,"Moderate + Slope",AF24&gt;0.5,"Sideway + Slope",AF24&gt;=-0.5,"Sideway Flat",AF24&gt;=-1.5,"Sideway - Slope",AF24&gt;=-3,"Moderate - Slope",TRUE,"Strong - Slope")</f>
        <v>Sideway + Slope</v>
      </c>
    </row>
    <row r="25" spans="1:39" x14ac:dyDescent="0.55000000000000004">
      <c r="A25" s="1">
        <v>23</v>
      </c>
      <c r="B25" s="1" t="s">
        <v>25</v>
      </c>
      <c r="C25" s="1" t="s">
        <v>3</v>
      </c>
      <c r="D25" s="1" t="s">
        <v>102</v>
      </c>
      <c r="E25" s="1">
        <v>153.13</v>
      </c>
      <c r="F25" s="1">
        <v>153.03200000000001</v>
      </c>
      <c r="G25" s="1">
        <v>153.07499999999999</v>
      </c>
      <c r="H25" s="1">
        <v>152.98500000000001</v>
      </c>
      <c r="I25" s="1">
        <v>152.90299999999999</v>
      </c>
      <c r="J25" s="1">
        <v>153.23500000000001</v>
      </c>
      <c r="K25" s="1">
        <v>152.577</v>
      </c>
      <c r="L25" s="1">
        <v>152.59800000000001</v>
      </c>
      <c r="M25" s="1">
        <v>152.803</v>
      </c>
      <c r="N25" s="10">
        <f t="shared" si="0"/>
        <v>9.7999999999984766E-2</v>
      </c>
      <c r="O25" s="10">
        <f t="shared" si="2"/>
        <v>9.3999999999994088E-2</v>
      </c>
      <c r="P25" s="10">
        <f t="shared" si="3"/>
        <v>3.9999999999906777E-3</v>
      </c>
      <c r="Q25" s="10">
        <f t="shared" si="1"/>
        <v>9.7999999999984766E-2</v>
      </c>
      <c r="R25" s="10">
        <f t="shared" si="5"/>
        <v>0.11899999999999775</v>
      </c>
      <c r="S25" s="1"/>
      <c r="T25" s="2">
        <f>SLOPE(H12:H25,$A12:$A25)</f>
        <v>-2.4197802197795932E-3</v>
      </c>
      <c r="U25" s="2">
        <f>SLOPE(I12:I25,$A12:$A25)</f>
        <v>-3.7362637362734559E-4</v>
      </c>
      <c r="V25" s="2">
        <f>SLOPE(J12:J25,$A12:$A25)</f>
        <v>-1.6593406593398998E-3</v>
      </c>
      <c r="W25" s="2">
        <f>SLOPE(K12:K25,$A12:$A25)</f>
        <v>7.4725274725231754E-4</v>
      </c>
      <c r="X25" s="2">
        <f>SLOPE(L12:L25,$A12:$A25)</f>
        <v>-2.307692307682713E-4</v>
      </c>
      <c r="Y25" s="2">
        <f>SLOPE(M12:M25,$A12:$A25)</f>
        <v>1.5890109890107681E-3</v>
      </c>
      <c r="Z25" s="1"/>
      <c r="AA25" s="2">
        <f t="shared" si="7"/>
        <v>-1.1649083176674853</v>
      </c>
      <c r="AB25" s="2">
        <f t="shared" si="8"/>
        <v>-0.17989196622840509</v>
      </c>
      <c r="AC25" s="2">
        <f t="shared" si="9"/>
        <v>-0.79888281832651986</v>
      </c>
      <c r="AD25" s="2">
        <f t="shared" si="10"/>
        <v>0.35978038586167022</v>
      </c>
      <c r="AE25" s="2">
        <f t="shared" si="11"/>
        <v>-0.11110996966396992</v>
      </c>
      <c r="AF25" s="2">
        <f t="shared" si="12"/>
        <v>0.76502699761926873</v>
      </c>
      <c r="AG25" s="1"/>
      <c r="AH25" s="1" t="str" cm="1">
        <f t="array" ref="AH25">_xlfn.IFS(AA25&gt;3,"Strong + Slope",AA25&gt;1.5,"Moderate + Slope",AA25&gt;0.5,"Sideway + Slope",AA25&gt;=-0.5,"Sideway Flat",AA25&gt;=-1.5,"Sideway - Slope",AA25&gt;=-3,"Moderate - Slope",TRUE,"Strong - Slope")</f>
        <v>Sideway - Slope</v>
      </c>
      <c r="AI25" s="1" t="str" cm="1">
        <f t="array" ref="AI25">_xlfn.IFS(AB25&gt;3,"Strong + Slope",AB25&gt;1.5,"Moderate + Slope",AB25&gt;0.5,"Sideway + Slope",AB25&gt;=-0.5,"Sideway Flat",AB25&gt;=-1.5,"Sideway - Slope",AB25&gt;=-3,"Moderate - Slope",TRUE,"Strong - Slope")</f>
        <v>Sideway Flat</v>
      </c>
      <c r="AJ25" s="1" t="str" cm="1">
        <f t="array" ref="AJ25">_xlfn.IFS(AC25&gt;3,"Strong + Slope",AC25&gt;1.5,"Moderate + Slope",AC25&gt;0.5,"Sideway + Slope",AC25&gt;=-0.5,"Sideway Flat",AC25&gt;=-1.5,"Sideway - Slope",AC25&gt;=-3,"Moderate - Slope",TRUE,"Strong - Slope")</f>
        <v>Sideway - Slope</v>
      </c>
      <c r="AK25" s="1" t="str" cm="1">
        <f t="array" ref="AK25">_xlfn.IFS(AD25&gt;3,"Strong + Slope",AD25&gt;1.5,"Moderate + Slope",AD25&gt;0.5,"Sideway + Slope",AD25&gt;=-0.5,"Sideway Flat",AD25&gt;=-1.5,"Sideway - Slope",AD25&gt;=-3,"Moderate - Slope",TRUE,"Strong - Slope")</f>
        <v>Sideway Flat</v>
      </c>
      <c r="AL25" s="1" t="str" cm="1">
        <f t="array" ref="AL25">_xlfn.IFS(AE25&gt;3,"Strong + Slope",AE25&gt;1.5,"Moderate + Slope",AE25&gt;0.5,"Sideway + Slope",AE25&gt;=-0.5,"Sideway Flat",AE25&gt;=-1.5,"Sideway - Slope",AE25&gt;=-3,"Moderate - Slope",TRUE,"Strong - Slope")</f>
        <v>Sideway Flat</v>
      </c>
      <c r="AM25" s="1" t="str" cm="1">
        <f t="array" ref="AM25">_xlfn.IFS(AF25&gt;3,"Strong + Slope",AF25&gt;1.5,"Moderate + Slope",AF25&gt;0.5,"Sideway + Slope",AF25&gt;=-0.5,"Sideway Flat",AF25&gt;=-1.5,"Sideway - Slope",AF25&gt;=-3,"Moderate - Slope",TRUE,"Strong - Slope")</f>
        <v>Sideway + Slope</v>
      </c>
    </row>
    <row r="26" spans="1:39" x14ac:dyDescent="0.55000000000000004">
      <c r="A26" s="1">
        <v>24</v>
      </c>
      <c r="B26" s="1" t="s">
        <v>26</v>
      </c>
      <c r="C26" s="1" t="s">
        <v>3</v>
      </c>
      <c r="D26" s="1" t="s">
        <v>102</v>
      </c>
      <c r="E26" s="1">
        <v>153.09700000000001</v>
      </c>
      <c r="F26" s="1">
        <v>153.06200000000001</v>
      </c>
      <c r="G26" s="1">
        <v>153.072</v>
      </c>
      <c r="H26" s="1">
        <v>152.983</v>
      </c>
      <c r="I26" s="1">
        <v>152.90299999999999</v>
      </c>
      <c r="J26" s="1">
        <v>153.233</v>
      </c>
      <c r="K26" s="1">
        <v>152.578</v>
      </c>
      <c r="L26" s="1">
        <v>152.59800000000001</v>
      </c>
      <c r="M26" s="1">
        <v>152.804</v>
      </c>
      <c r="N26" s="10">
        <f t="shared" si="0"/>
        <v>3.4999999999996589E-2</v>
      </c>
      <c r="O26" s="10">
        <f t="shared" si="2"/>
        <v>2.2000000000019782E-2</v>
      </c>
      <c r="P26" s="10">
        <f t="shared" si="3"/>
        <v>1.2999999999976808E-2</v>
      </c>
      <c r="Q26" s="10">
        <f t="shared" si="1"/>
        <v>3.4999999999996589E-2</v>
      </c>
      <c r="R26" s="10">
        <f t="shared" si="5"/>
        <v>0.10864285714285618</v>
      </c>
      <c r="S26" s="1"/>
      <c r="T26" s="2">
        <f>SLOPE(H13:H26,$A13:$A26)</f>
        <v>-2.4175824175820303E-3</v>
      </c>
      <c r="U26" s="2">
        <f>SLOPE(I13:I26,$A13:$A26)</f>
        <v>-3.49450549452218E-4</v>
      </c>
      <c r="V26" s="2">
        <f>SLOPE(J13:J26,$A13:$A26)</f>
        <v>-1.6703296703288384E-3</v>
      </c>
      <c r="W26" s="2">
        <f>SLOPE(K13:K26,$A13:$A26)</f>
        <v>7.5384615384613035E-4</v>
      </c>
      <c r="X26" s="2">
        <f>SLOPE(L13:L26,$A13:$A26)</f>
        <v>-2.1538461538314521E-4</v>
      </c>
      <c r="Y26" s="2">
        <f>SLOPE(M13:M26,$A13:$A26)</f>
        <v>1.5714285714288913E-3</v>
      </c>
      <c r="Z26" s="1"/>
      <c r="AA26" s="2">
        <f t="shared" si="7"/>
        <v>-1.2747677673073581</v>
      </c>
      <c r="AB26" s="2">
        <f t="shared" si="8"/>
        <v>-0.18429166086298954</v>
      </c>
      <c r="AC26" s="2">
        <f t="shared" si="9"/>
        <v>-0.88082459810397884</v>
      </c>
      <c r="AD26" s="2">
        <f t="shared" si="10"/>
        <v>0.39755498880999041</v>
      </c>
      <c r="AE26" s="2">
        <f t="shared" si="11"/>
        <v>-0.11358881375705147</v>
      </c>
      <c r="AF26" s="2">
        <f t="shared" si="12"/>
        <v>0.82867801173196109</v>
      </c>
      <c r="AG26" s="1"/>
      <c r="AH26" s="1" t="str" cm="1">
        <f t="array" ref="AH26">_xlfn.IFS(AA26&gt;3,"Strong + Slope",AA26&gt;1.5,"Moderate + Slope",AA26&gt;0.5,"Sideway + Slope",AA26&gt;=-0.5,"Sideway Flat",AA26&gt;=-1.5,"Sideway - Slope",AA26&gt;=-3,"Moderate - Slope",TRUE,"Strong - Slope")</f>
        <v>Sideway - Slope</v>
      </c>
      <c r="AI26" s="1" t="str" cm="1">
        <f t="array" ref="AI26">_xlfn.IFS(AB26&gt;3,"Strong + Slope",AB26&gt;1.5,"Moderate + Slope",AB26&gt;0.5,"Sideway + Slope",AB26&gt;=-0.5,"Sideway Flat",AB26&gt;=-1.5,"Sideway - Slope",AB26&gt;=-3,"Moderate - Slope",TRUE,"Strong - Slope")</f>
        <v>Sideway Flat</v>
      </c>
      <c r="AJ26" s="1" t="str" cm="1">
        <f t="array" ref="AJ26">_xlfn.IFS(AC26&gt;3,"Strong + Slope",AC26&gt;1.5,"Moderate + Slope",AC26&gt;0.5,"Sideway + Slope",AC26&gt;=-0.5,"Sideway Flat",AC26&gt;=-1.5,"Sideway - Slope",AC26&gt;=-3,"Moderate - Slope",TRUE,"Strong - Slope")</f>
        <v>Sideway - Slope</v>
      </c>
      <c r="AK26" s="1" t="str" cm="1">
        <f t="array" ref="AK26">_xlfn.IFS(AD26&gt;3,"Strong + Slope",AD26&gt;1.5,"Moderate + Slope",AD26&gt;0.5,"Sideway + Slope",AD26&gt;=-0.5,"Sideway Flat",AD26&gt;=-1.5,"Sideway - Slope",AD26&gt;=-3,"Moderate - Slope",TRUE,"Strong - Slope")</f>
        <v>Sideway Flat</v>
      </c>
      <c r="AL26" s="1" t="str" cm="1">
        <f t="array" ref="AL26">_xlfn.IFS(AE26&gt;3,"Strong + Slope",AE26&gt;1.5,"Moderate + Slope",AE26&gt;0.5,"Sideway + Slope",AE26&gt;=-0.5,"Sideway Flat",AE26&gt;=-1.5,"Sideway - Slope",AE26&gt;=-3,"Moderate - Slope",TRUE,"Strong - Slope")</f>
        <v>Sideway Flat</v>
      </c>
      <c r="AM26" s="1" t="str" cm="1">
        <f t="array" ref="AM26">_xlfn.IFS(AF26&gt;3,"Strong + Slope",AF26&gt;1.5,"Moderate + Slope",AF26&gt;0.5,"Sideway + Slope",AF26&gt;=-0.5,"Sideway Flat",AF26&gt;=-1.5,"Sideway - Slope",AF26&gt;=-3,"Moderate - Slope",TRUE,"Strong - Slope")</f>
        <v>Sideway + Slope</v>
      </c>
    </row>
    <row r="27" spans="1:39" x14ac:dyDescent="0.55000000000000004">
      <c r="A27" s="1">
        <v>25</v>
      </c>
      <c r="B27" s="1" t="s">
        <v>27</v>
      </c>
      <c r="C27" s="1" t="s">
        <v>3</v>
      </c>
      <c r="D27" s="1" t="s">
        <v>102</v>
      </c>
      <c r="E27" s="1">
        <v>153.07400000000001</v>
      </c>
      <c r="F27" s="1">
        <v>152.946</v>
      </c>
      <c r="G27" s="1">
        <v>152.95099999999999</v>
      </c>
      <c r="H27" s="1">
        <v>152.97999999999999</v>
      </c>
      <c r="I27" s="1">
        <v>152.90199999999999</v>
      </c>
      <c r="J27" s="1">
        <v>153.232</v>
      </c>
      <c r="K27" s="1">
        <v>152.578</v>
      </c>
      <c r="L27" s="1">
        <v>152.59700000000001</v>
      </c>
      <c r="M27" s="1">
        <v>152.80600000000001</v>
      </c>
      <c r="N27" s="10">
        <f t="shared" si="0"/>
        <v>0.12800000000001432</v>
      </c>
      <c r="O27" s="10">
        <f t="shared" si="2"/>
        <v>2.0000000000095497E-3</v>
      </c>
      <c r="P27" s="10">
        <f t="shared" si="3"/>
        <v>0.12600000000000477</v>
      </c>
      <c r="Q27" s="10">
        <f t="shared" si="1"/>
        <v>0.12800000000001432</v>
      </c>
      <c r="R27" s="10">
        <f t="shared" si="5"/>
        <v>0.11114285714285797</v>
      </c>
      <c r="S27" s="1"/>
      <c r="T27" s="2">
        <f>SLOPE(H14:H27,$A14:$A27)</f>
        <v>-2.4219780219777182E-3</v>
      </c>
      <c r="U27" s="2">
        <f>SLOPE(I14:I27,$A14:$A27)</f>
        <v>-3.6483516483690686E-4</v>
      </c>
      <c r="V27" s="2">
        <f>SLOPE(J14:J27,$A14:$A27)</f>
        <v>-1.6417582417576481E-3</v>
      </c>
      <c r="W27" s="2">
        <f>SLOPE(K14:K27,$A14:$A27)</f>
        <v>7.4505494505550422E-4</v>
      </c>
      <c r="X27" s="2">
        <f>SLOPE(L14:L27,$A14:$A27)</f>
        <v>-2.1538461538283288E-4</v>
      </c>
      <c r="Y27" s="2">
        <f>SLOPE(M14:M27,$A14:$A27)</f>
        <v>1.5802197802203294E-3</v>
      </c>
      <c r="Z27" s="1"/>
      <c r="AA27" s="2">
        <f t="shared" si="7"/>
        <v>-1.2483677553676076</v>
      </c>
      <c r="AB27" s="2">
        <f t="shared" si="8"/>
        <v>-0.1880772243962312</v>
      </c>
      <c r="AC27" s="2">
        <f t="shared" si="9"/>
        <v>-0.84628899974232596</v>
      </c>
      <c r="AD27" s="2">
        <f t="shared" si="10"/>
        <v>0.38408104242312124</v>
      </c>
      <c r="AE27" s="2">
        <f t="shared" si="11"/>
        <v>-0.11103380192305515</v>
      </c>
      <c r="AF27" s="2">
        <f t="shared" si="12"/>
        <v>0.81457168117986767</v>
      </c>
      <c r="AG27" s="1"/>
      <c r="AH27" s="1" t="str" cm="1">
        <f t="array" ref="AH27">_xlfn.IFS(AA27&gt;3,"Strong + Slope",AA27&gt;1.5,"Moderate + Slope",AA27&gt;0.5,"Sideway + Slope",AA27&gt;=-0.5,"Sideway Flat",AA27&gt;=-1.5,"Sideway - Slope",AA27&gt;=-3,"Moderate - Slope",TRUE,"Strong - Slope")</f>
        <v>Sideway - Slope</v>
      </c>
      <c r="AI27" s="1" t="str" cm="1">
        <f t="array" ref="AI27">_xlfn.IFS(AB27&gt;3,"Strong + Slope",AB27&gt;1.5,"Moderate + Slope",AB27&gt;0.5,"Sideway + Slope",AB27&gt;=-0.5,"Sideway Flat",AB27&gt;=-1.5,"Sideway - Slope",AB27&gt;=-3,"Moderate - Slope",TRUE,"Strong - Slope")</f>
        <v>Sideway Flat</v>
      </c>
      <c r="AJ27" s="1" t="str" cm="1">
        <f t="array" ref="AJ27">_xlfn.IFS(AC27&gt;3,"Strong + Slope",AC27&gt;1.5,"Moderate + Slope",AC27&gt;0.5,"Sideway + Slope",AC27&gt;=-0.5,"Sideway Flat",AC27&gt;=-1.5,"Sideway - Slope",AC27&gt;=-3,"Moderate - Slope",TRUE,"Strong - Slope")</f>
        <v>Sideway - Slope</v>
      </c>
      <c r="AK27" s="1" t="str" cm="1">
        <f t="array" ref="AK27">_xlfn.IFS(AD27&gt;3,"Strong + Slope",AD27&gt;1.5,"Moderate + Slope",AD27&gt;0.5,"Sideway + Slope",AD27&gt;=-0.5,"Sideway Flat",AD27&gt;=-1.5,"Sideway - Slope",AD27&gt;=-3,"Moderate - Slope",TRUE,"Strong - Slope")</f>
        <v>Sideway Flat</v>
      </c>
      <c r="AL27" s="1" t="str" cm="1">
        <f t="array" ref="AL27">_xlfn.IFS(AE27&gt;3,"Strong + Slope",AE27&gt;1.5,"Moderate + Slope",AE27&gt;0.5,"Sideway + Slope",AE27&gt;=-0.5,"Sideway Flat",AE27&gt;=-1.5,"Sideway - Slope",AE27&gt;=-3,"Moderate - Slope",TRUE,"Strong - Slope")</f>
        <v>Sideway Flat</v>
      </c>
      <c r="AM27" s="1" t="str" cm="1">
        <f t="array" ref="AM27">_xlfn.IFS(AF27&gt;3,"Strong + Slope",AF27&gt;1.5,"Moderate + Slope",AF27&gt;0.5,"Sideway + Slope",AF27&gt;=-0.5,"Sideway Flat",AF27&gt;=-1.5,"Sideway - Slope",AF27&gt;=-3,"Moderate - Slope",TRUE,"Strong - Slope")</f>
        <v>Sideway + Slope</v>
      </c>
    </row>
    <row r="28" spans="1:39" x14ac:dyDescent="0.55000000000000004">
      <c r="A28" s="1">
        <v>26</v>
      </c>
      <c r="B28" s="1" t="s">
        <v>28</v>
      </c>
      <c r="C28" s="1" t="s">
        <v>3</v>
      </c>
      <c r="D28" s="1" t="s">
        <v>102</v>
      </c>
      <c r="E28" s="1">
        <v>152.96899999999999</v>
      </c>
      <c r="F28" s="1">
        <v>152.916</v>
      </c>
      <c r="G28" s="1">
        <v>152.94800000000001</v>
      </c>
      <c r="H28" s="1">
        <v>152.97800000000001</v>
      </c>
      <c r="I28" s="1">
        <v>152.90199999999999</v>
      </c>
      <c r="J28" s="1">
        <v>153.22999999999999</v>
      </c>
      <c r="K28" s="1">
        <v>152.57900000000001</v>
      </c>
      <c r="L28" s="1">
        <v>152.59700000000001</v>
      </c>
      <c r="M28" s="1">
        <v>152.80799999999999</v>
      </c>
      <c r="N28" s="10">
        <f t="shared" si="0"/>
        <v>5.2999999999997272E-2</v>
      </c>
      <c r="O28" s="10">
        <f t="shared" si="2"/>
        <v>1.8000000000000682E-2</v>
      </c>
      <c r="P28" s="10">
        <f t="shared" si="3"/>
        <v>3.4999999999996589E-2</v>
      </c>
      <c r="Q28" s="10">
        <f t="shared" si="1"/>
        <v>5.2999999999997272E-2</v>
      </c>
      <c r="R28" s="10">
        <f t="shared" si="5"/>
        <v>0.10864285714285822</v>
      </c>
      <c r="S28" s="1"/>
      <c r="T28" s="2">
        <f>SLOPE(H15:H28,$A15:$A28)</f>
        <v>-2.3999999999994664E-3</v>
      </c>
      <c r="U28" s="2">
        <f>SLOPE(I15:I28,$A15:$A28)</f>
        <v>-3.582417582434688E-4</v>
      </c>
      <c r="V28" s="2">
        <f>SLOPE(J15:J28,$A15:$A28)</f>
        <v>-1.6351648351650846E-3</v>
      </c>
      <c r="W28" s="2">
        <f>SLOPE(K15:K28,$A15:$A28)</f>
        <v>7.5384615384669251E-4</v>
      </c>
      <c r="X28" s="2">
        <f>SLOPE(L15:L28,$A15:$A28)</f>
        <v>-2.3076923076733433E-4</v>
      </c>
      <c r="Y28" s="2">
        <f>SLOPE(M15:M28,$A15:$A28)</f>
        <v>1.5824175824178922E-3</v>
      </c>
      <c r="Z28" s="1"/>
      <c r="AA28" s="2">
        <f t="shared" si="7"/>
        <v>-1.2654997549422258</v>
      </c>
      <c r="AB28" s="2">
        <f t="shared" si="8"/>
        <v>-0.1889278958666441</v>
      </c>
      <c r="AC28" s="2">
        <f t="shared" si="9"/>
        <v>-0.86228375233778309</v>
      </c>
      <c r="AD28" s="2">
        <f t="shared" si="10"/>
        <v>0.3975549888102794</v>
      </c>
      <c r="AE28" s="2">
        <f t="shared" si="11"/>
        <v>-0.12170227686289461</v>
      </c>
      <c r="AF28" s="2">
        <f t="shared" si="12"/>
        <v>0.83447214626501309</v>
      </c>
      <c r="AG28" s="1"/>
      <c r="AH28" s="1" t="str" cm="1">
        <f t="array" ref="AH28">_xlfn.IFS(AA28&gt;3,"Strong + Slope",AA28&gt;1.5,"Moderate + Slope",AA28&gt;0.5,"Sideway + Slope",AA28&gt;=-0.5,"Sideway Flat",AA28&gt;=-1.5,"Sideway - Slope",AA28&gt;=-3,"Moderate - Slope",TRUE,"Strong - Slope")</f>
        <v>Sideway - Slope</v>
      </c>
      <c r="AI28" s="1" t="str" cm="1">
        <f t="array" ref="AI28">_xlfn.IFS(AB28&gt;3,"Strong + Slope",AB28&gt;1.5,"Moderate + Slope",AB28&gt;0.5,"Sideway + Slope",AB28&gt;=-0.5,"Sideway Flat",AB28&gt;=-1.5,"Sideway - Slope",AB28&gt;=-3,"Moderate - Slope",TRUE,"Strong - Slope")</f>
        <v>Sideway Flat</v>
      </c>
      <c r="AJ28" s="1" t="str" cm="1">
        <f t="array" ref="AJ28">_xlfn.IFS(AC28&gt;3,"Strong + Slope",AC28&gt;1.5,"Moderate + Slope",AC28&gt;0.5,"Sideway + Slope",AC28&gt;=-0.5,"Sideway Flat",AC28&gt;=-1.5,"Sideway - Slope",AC28&gt;=-3,"Moderate - Slope",TRUE,"Strong - Slope")</f>
        <v>Sideway - Slope</v>
      </c>
      <c r="AK28" s="1" t="str" cm="1">
        <f t="array" ref="AK28">_xlfn.IFS(AD28&gt;3,"Strong + Slope",AD28&gt;1.5,"Moderate + Slope",AD28&gt;0.5,"Sideway + Slope",AD28&gt;=-0.5,"Sideway Flat",AD28&gt;=-1.5,"Sideway - Slope",AD28&gt;=-3,"Moderate - Slope",TRUE,"Strong - Slope")</f>
        <v>Sideway Flat</v>
      </c>
      <c r="AL28" s="1" t="str" cm="1">
        <f t="array" ref="AL28">_xlfn.IFS(AE28&gt;3,"Strong + Slope",AE28&gt;1.5,"Moderate + Slope",AE28&gt;0.5,"Sideway + Slope",AE28&gt;=-0.5,"Sideway Flat",AE28&gt;=-1.5,"Sideway - Slope",AE28&gt;=-3,"Moderate - Slope",TRUE,"Strong - Slope")</f>
        <v>Sideway Flat</v>
      </c>
      <c r="AM28" s="1" t="str" cm="1">
        <f t="array" ref="AM28">_xlfn.IFS(AF28&gt;3,"Strong + Slope",AF28&gt;1.5,"Moderate + Slope",AF28&gt;0.5,"Sideway + Slope",AF28&gt;=-0.5,"Sideway Flat",AF28&gt;=-1.5,"Sideway - Slope",AF28&gt;=-3,"Moderate - Slope",TRUE,"Strong - Slope")</f>
        <v>Sideway + Slope</v>
      </c>
    </row>
    <row r="29" spans="1:39" x14ac:dyDescent="0.55000000000000004">
      <c r="A29" s="1">
        <v>27</v>
      </c>
      <c r="B29" s="1" t="s">
        <v>29</v>
      </c>
      <c r="C29" s="1" t="s">
        <v>3</v>
      </c>
      <c r="D29" s="1" t="s">
        <v>102</v>
      </c>
      <c r="E29" s="1">
        <v>153.13200000000001</v>
      </c>
      <c r="F29" s="1">
        <v>152.90700000000001</v>
      </c>
      <c r="G29" s="1">
        <v>153.006</v>
      </c>
      <c r="H29" s="1">
        <v>152.97499999999999</v>
      </c>
      <c r="I29" s="1">
        <v>152.90100000000001</v>
      </c>
      <c r="J29" s="1">
        <v>153.22800000000001</v>
      </c>
      <c r="K29" s="1">
        <v>152.58000000000001</v>
      </c>
      <c r="L29" s="1">
        <v>152.59700000000001</v>
      </c>
      <c r="M29" s="1">
        <v>152.809</v>
      </c>
      <c r="N29" s="10">
        <f t="shared" si="0"/>
        <v>0.22499999999999432</v>
      </c>
      <c r="O29" s="10">
        <f t="shared" si="2"/>
        <v>0.1839999999999975</v>
      </c>
      <c r="P29" s="10">
        <f t="shared" si="3"/>
        <v>4.0999999999996817E-2</v>
      </c>
      <c r="Q29" s="10">
        <f t="shared" si="1"/>
        <v>0.22499999999999432</v>
      </c>
      <c r="R29" s="10">
        <f t="shared" si="5"/>
        <v>0.11192857142857195</v>
      </c>
      <c r="S29" s="1"/>
      <c r="T29" s="2">
        <f>SLOPE(H16:H29,$A16:$A29)</f>
        <v>-2.4131868131869673E-3</v>
      </c>
      <c r="U29" s="2">
        <f>SLOPE(I16:I29,$A16:$A29)</f>
        <v>-3.5824175824265673E-4</v>
      </c>
      <c r="V29" s="2">
        <f>SLOPE(J16:J29,$A16:$A29)</f>
        <v>-1.6505494505493986E-3</v>
      </c>
      <c r="W29" s="2">
        <f>SLOPE(K16:K29,$A16:$A29)</f>
        <v>7.4725274725331696E-4</v>
      </c>
      <c r="X29" s="2">
        <f>SLOPE(L16:L29,$A16:$A29)</f>
        <v>-2.3296703296508454E-4</v>
      </c>
      <c r="Y29" s="2">
        <f>SLOPE(M16:M29,$A16:$A29)</f>
        <v>1.5780219780225167E-3</v>
      </c>
      <c r="Z29" s="1"/>
      <c r="AA29" s="2">
        <f t="shared" si="7"/>
        <v>-1.2351091431705692</v>
      </c>
      <c r="AB29" s="2">
        <f t="shared" si="8"/>
        <v>-0.18338186972633319</v>
      </c>
      <c r="AC29" s="2">
        <f t="shared" si="9"/>
        <v>-0.84484830029588454</v>
      </c>
      <c r="AD29" s="2">
        <f t="shared" si="10"/>
        <v>0.38250995275546296</v>
      </c>
      <c r="AE29" s="2">
        <f t="shared" si="11"/>
        <v>-0.11925470243115312</v>
      </c>
      <c r="AF29" s="2">
        <f t="shared" si="12"/>
        <v>0.80772950500219154</v>
      </c>
      <c r="AG29" s="1"/>
      <c r="AH29" s="1" t="str" cm="1">
        <f t="array" ref="AH29">_xlfn.IFS(AA29&gt;3,"Strong + Slope",AA29&gt;1.5,"Moderate + Slope",AA29&gt;0.5,"Sideway + Slope",AA29&gt;=-0.5,"Sideway Flat",AA29&gt;=-1.5,"Sideway - Slope",AA29&gt;=-3,"Moderate - Slope",TRUE,"Strong - Slope")</f>
        <v>Sideway - Slope</v>
      </c>
      <c r="AI29" s="1" t="str" cm="1">
        <f t="array" ref="AI29">_xlfn.IFS(AB29&gt;3,"Strong + Slope",AB29&gt;1.5,"Moderate + Slope",AB29&gt;0.5,"Sideway + Slope",AB29&gt;=-0.5,"Sideway Flat",AB29&gt;=-1.5,"Sideway - Slope",AB29&gt;=-3,"Moderate - Slope",TRUE,"Strong - Slope")</f>
        <v>Sideway Flat</v>
      </c>
      <c r="AJ29" s="1" t="str" cm="1">
        <f t="array" ref="AJ29">_xlfn.IFS(AC29&gt;3,"Strong + Slope",AC29&gt;1.5,"Moderate + Slope",AC29&gt;0.5,"Sideway + Slope",AC29&gt;=-0.5,"Sideway Flat",AC29&gt;=-1.5,"Sideway - Slope",AC29&gt;=-3,"Moderate - Slope",TRUE,"Strong - Slope")</f>
        <v>Sideway - Slope</v>
      </c>
      <c r="AK29" s="1" t="str" cm="1">
        <f t="array" ref="AK29">_xlfn.IFS(AD29&gt;3,"Strong + Slope",AD29&gt;1.5,"Moderate + Slope",AD29&gt;0.5,"Sideway + Slope",AD29&gt;=-0.5,"Sideway Flat",AD29&gt;=-1.5,"Sideway - Slope",AD29&gt;=-3,"Moderate - Slope",TRUE,"Strong - Slope")</f>
        <v>Sideway Flat</v>
      </c>
      <c r="AL29" s="1" t="str" cm="1">
        <f t="array" ref="AL29">_xlfn.IFS(AE29&gt;3,"Strong + Slope",AE29&gt;1.5,"Moderate + Slope",AE29&gt;0.5,"Sideway + Slope",AE29&gt;=-0.5,"Sideway Flat",AE29&gt;=-1.5,"Sideway - Slope",AE29&gt;=-3,"Moderate - Slope",TRUE,"Strong - Slope")</f>
        <v>Sideway Flat</v>
      </c>
      <c r="AM29" s="1" t="str" cm="1">
        <f t="array" ref="AM29">_xlfn.IFS(AF29&gt;3,"Strong + Slope",AF29&gt;1.5,"Moderate + Slope",AF29&gt;0.5,"Sideway + Slope",AF29&gt;=-0.5,"Sideway Flat",AF29&gt;=-1.5,"Sideway - Slope",AF29&gt;=-3,"Moderate - Slope",TRUE,"Strong - Slope")</f>
        <v>Sideway + Slope</v>
      </c>
    </row>
    <row r="30" spans="1:39" x14ac:dyDescent="0.55000000000000004">
      <c r="A30" s="1">
        <v>28</v>
      </c>
      <c r="B30" s="1" t="s">
        <v>30</v>
      </c>
      <c r="C30" s="1" t="s">
        <v>3</v>
      </c>
      <c r="D30" s="1" t="s">
        <v>102</v>
      </c>
      <c r="E30" s="1">
        <v>153.13499999999999</v>
      </c>
      <c r="F30" s="1">
        <v>152.99700000000001</v>
      </c>
      <c r="G30" s="1">
        <v>153.13200000000001</v>
      </c>
      <c r="H30" s="1">
        <v>152.97300000000001</v>
      </c>
      <c r="I30" s="1">
        <v>152.90100000000001</v>
      </c>
      <c r="J30" s="1">
        <v>153.227</v>
      </c>
      <c r="K30" s="1">
        <v>152.58099999999999</v>
      </c>
      <c r="L30" s="1">
        <v>152.59700000000001</v>
      </c>
      <c r="M30" s="1">
        <v>152.81100000000001</v>
      </c>
      <c r="N30" s="10">
        <f t="shared" si="0"/>
        <v>0.13799999999997681</v>
      </c>
      <c r="O30" s="10">
        <f t="shared" si="2"/>
        <v>0.12899999999999068</v>
      </c>
      <c r="P30" s="10">
        <f t="shared" si="3"/>
        <v>8.9999999999861302E-3</v>
      </c>
      <c r="Q30" s="10">
        <f t="shared" si="1"/>
        <v>0.13799999999997681</v>
      </c>
      <c r="R30" s="10">
        <f t="shared" si="5"/>
        <v>0.11442857142856967</v>
      </c>
      <c r="S30" s="1"/>
      <c r="T30" s="2">
        <f>SLOPE(H17:H30,$A17:$A30)</f>
        <v>-2.3999999999997162E-3</v>
      </c>
      <c r="U30" s="2">
        <f>SLOPE(I17:I30,$A17:$A30)</f>
        <v>-3.6483516483540768E-4</v>
      </c>
      <c r="V30" s="2">
        <f>SLOPE(J17:J30,$A17:$A30)</f>
        <v>-1.6263736263735838E-3</v>
      </c>
      <c r="W30" s="2">
        <f>SLOPE(K17:K30,$A17:$A30)</f>
        <v>7.5384615384613035E-4</v>
      </c>
      <c r="X30" s="2">
        <f>SLOPE(L17:L30,$A17:$A30)</f>
        <v>-2.2197802197608356E-4</v>
      </c>
      <c r="Y30" s="2">
        <f>SLOPE(M17:M30,$A17:$A30)</f>
        <v>1.6000000000004563E-3</v>
      </c>
      <c r="Z30" s="1"/>
      <c r="AA30" s="2">
        <f t="shared" si="7"/>
        <v>-1.2015330692715795</v>
      </c>
      <c r="AB30" s="2">
        <f t="shared" si="8"/>
        <v>-0.182676791920379</v>
      </c>
      <c r="AC30" s="2">
        <f t="shared" si="9"/>
        <v>-0.81429025630186835</v>
      </c>
      <c r="AD30" s="2">
        <f t="shared" si="10"/>
        <v>0.37745449093409861</v>
      </c>
      <c r="AE30" s="2">
        <f t="shared" si="11"/>
        <v>-0.11114695998920807</v>
      </c>
      <c r="AF30" s="2">
        <f t="shared" si="12"/>
        <v>0.80108728444071753</v>
      </c>
      <c r="AG30" s="1"/>
      <c r="AH30" s="1" t="str" cm="1">
        <f t="array" ref="AH30">_xlfn.IFS(AA30&gt;3,"Strong + Slope",AA30&gt;1.5,"Moderate + Slope",AA30&gt;0.5,"Sideway + Slope",AA30&gt;=-0.5,"Sideway Flat",AA30&gt;=-1.5,"Sideway - Slope",AA30&gt;=-3,"Moderate - Slope",TRUE,"Strong - Slope")</f>
        <v>Sideway - Slope</v>
      </c>
      <c r="AI30" s="1" t="str" cm="1">
        <f t="array" ref="AI30">_xlfn.IFS(AB30&gt;3,"Strong + Slope",AB30&gt;1.5,"Moderate + Slope",AB30&gt;0.5,"Sideway + Slope",AB30&gt;=-0.5,"Sideway Flat",AB30&gt;=-1.5,"Sideway - Slope",AB30&gt;=-3,"Moderate - Slope",TRUE,"Strong - Slope")</f>
        <v>Sideway Flat</v>
      </c>
      <c r="AJ30" s="1" t="str" cm="1">
        <f t="array" ref="AJ30">_xlfn.IFS(AC30&gt;3,"Strong + Slope",AC30&gt;1.5,"Moderate + Slope",AC30&gt;0.5,"Sideway + Slope",AC30&gt;=-0.5,"Sideway Flat",AC30&gt;=-1.5,"Sideway - Slope",AC30&gt;=-3,"Moderate - Slope",TRUE,"Strong - Slope")</f>
        <v>Sideway - Slope</v>
      </c>
      <c r="AK30" s="1" t="str" cm="1">
        <f t="array" ref="AK30">_xlfn.IFS(AD30&gt;3,"Strong + Slope",AD30&gt;1.5,"Moderate + Slope",AD30&gt;0.5,"Sideway + Slope",AD30&gt;=-0.5,"Sideway Flat",AD30&gt;=-1.5,"Sideway - Slope",AD30&gt;=-3,"Moderate - Slope",TRUE,"Strong - Slope")</f>
        <v>Sideway Flat</v>
      </c>
      <c r="AL30" s="1" t="str" cm="1">
        <f t="array" ref="AL30">_xlfn.IFS(AE30&gt;3,"Strong + Slope",AE30&gt;1.5,"Moderate + Slope",AE30&gt;0.5,"Sideway + Slope",AE30&gt;=-0.5,"Sideway Flat",AE30&gt;=-1.5,"Sideway - Slope",AE30&gt;=-3,"Moderate - Slope",TRUE,"Strong - Slope")</f>
        <v>Sideway Flat</v>
      </c>
      <c r="AM30" s="1" t="str" cm="1">
        <f t="array" ref="AM30">_xlfn.IFS(AF30&gt;3,"Strong + Slope",AF30&gt;1.5,"Moderate + Slope",AF30&gt;0.5,"Sideway + Slope",AF30&gt;=-0.5,"Sideway Flat",AF30&gt;=-1.5,"Sideway - Slope",AF30&gt;=-3,"Moderate - Slope",TRUE,"Strong - Slope")</f>
        <v>Sideway + Slope</v>
      </c>
    </row>
    <row r="31" spans="1:39" x14ac:dyDescent="0.55000000000000004">
      <c r="A31" s="1">
        <v>29</v>
      </c>
      <c r="B31" s="1" t="s">
        <v>31</v>
      </c>
      <c r="C31" s="1" t="s">
        <v>3</v>
      </c>
      <c r="D31" s="1" t="s">
        <v>102</v>
      </c>
      <c r="E31" s="1">
        <v>153.22499999999999</v>
      </c>
      <c r="F31" s="1">
        <v>153.12799999999999</v>
      </c>
      <c r="G31" s="1">
        <v>153.16499999999999</v>
      </c>
      <c r="H31" s="1">
        <v>152.97</v>
      </c>
      <c r="I31" s="1">
        <v>152.90100000000001</v>
      </c>
      <c r="J31" s="1">
        <v>153.22499999999999</v>
      </c>
      <c r="K31" s="1">
        <v>152.58199999999999</v>
      </c>
      <c r="L31" s="1">
        <v>152.596</v>
      </c>
      <c r="M31" s="1">
        <v>152.81200000000001</v>
      </c>
      <c r="N31" s="10">
        <f t="shared" si="0"/>
        <v>9.7000000000008413E-2</v>
      </c>
      <c r="O31" s="10">
        <f t="shared" si="2"/>
        <v>9.2999999999989313E-2</v>
      </c>
      <c r="P31" s="10">
        <f t="shared" si="3"/>
        <v>4.0000000000190994E-3</v>
      </c>
      <c r="Q31" s="10">
        <f t="shared" si="1"/>
        <v>9.7000000000008413E-2</v>
      </c>
      <c r="R31" s="10">
        <f t="shared" si="5"/>
        <v>0.11049999999999775</v>
      </c>
      <c r="S31" s="1"/>
      <c r="T31" s="2">
        <f>SLOPE(H18:H31,$A18:$A31)</f>
        <v>-2.4219780219782178E-3</v>
      </c>
      <c r="U31" s="2">
        <f>SLOPE(I18:I31,$A18:$A31)</f>
        <v>-3.4945054945015666E-4</v>
      </c>
      <c r="V31" s="2">
        <f>SLOPE(J18:J31,$A18:$A31)</f>
        <v>-1.6241758241763958E-3</v>
      </c>
      <c r="W31" s="2">
        <f>SLOPE(K18:K31,$A18:$A31)</f>
        <v>7.7362637362606978E-4</v>
      </c>
      <c r="X31" s="2">
        <f>SLOPE(L18:L31,$A18:$A31)</f>
        <v>-2.2637362637189634E-4</v>
      </c>
      <c r="Y31" s="2">
        <f>SLOPE(M18:M31,$A18:$A31)</f>
        <v>1.5868131868137674E-3</v>
      </c>
      <c r="Z31" s="1"/>
      <c r="AA31" s="2">
        <f t="shared" si="7"/>
        <v>-1.2556280807016587</v>
      </c>
      <c r="AB31" s="2">
        <f t="shared" si="8"/>
        <v>-0.18119434285136812</v>
      </c>
      <c r="AC31" s="2">
        <f t="shared" si="9"/>
        <v>-0.84209700652027286</v>
      </c>
      <c r="AD31" s="2">
        <f t="shared" si="10"/>
        <v>0.40112942922989858</v>
      </c>
      <c r="AE31" s="2">
        <f t="shared" si="11"/>
        <v>-0.11737769447365089</v>
      </c>
      <c r="AF31" s="2">
        <f t="shared" si="12"/>
        <v>0.82272805090020829</v>
      </c>
      <c r="AG31" s="1"/>
      <c r="AH31" s="1" t="str" cm="1">
        <f t="array" ref="AH31">_xlfn.IFS(AA31&gt;3,"Strong + Slope",AA31&gt;1.5,"Moderate + Slope",AA31&gt;0.5,"Sideway + Slope",AA31&gt;=-0.5,"Sideway Flat",AA31&gt;=-1.5,"Sideway - Slope",AA31&gt;=-3,"Moderate - Slope",TRUE,"Strong - Slope")</f>
        <v>Sideway - Slope</v>
      </c>
      <c r="AI31" s="1" t="str" cm="1">
        <f t="array" ref="AI31">_xlfn.IFS(AB31&gt;3,"Strong + Slope",AB31&gt;1.5,"Moderate + Slope",AB31&gt;0.5,"Sideway + Slope",AB31&gt;=-0.5,"Sideway Flat",AB31&gt;=-1.5,"Sideway - Slope",AB31&gt;=-3,"Moderate - Slope",TRUE,"Strong - Slope")</f>
        <v>Sideway Flat</v>
      </c>
      <c r="AJ31" s="1" t="str" cm="1">
        <f t="array" ref="AJ31">_xlfn.IFS(AC31&gt;3,"Strong + Slope",AC31&gt;1.5,"Moderate + Slope",AC31&gt;0.5,"Sideway + Slope",AC31&gt;=-0.5,"Sideway Flat",AC31&gt;=-1.5,"Sideway - Slope",AC31&gt;=-3,"Moderate - Slope",TRUE,"Strong - Slope")</f>
        <v>Sideway - Slope</v>
      </c>
      <c r="AK31" s="1" t="str" cm="1">
        <f t="array" ref="AK31">_xlfn.IFS(AD31&gt;3,"Strong + Slope",AD31&gt;1.5,"Moderate + Slope",AD31&gt;0.5,"Sideway + Slope",AD31&gt;=-0.5,"Sideway Flat",AD31&gt;=-1.5,"Sideway - Slope",AD31&gt;=-3,"Moderate - Slope",TRUE,"Strong - Slope")</f>
        <v>Sideway Flat</v>
      </c>
      <c r="AL31" s="1" t="str" cm="1">
        <f t="array" ref="AL31">_xlfn.IFS(AE31&gt;3,"Strong + Slope",AE31&gt;1.5,"Moderate + Slope",AE31&gt;0.5,"Sideway + Slope",AE31&gt;=-0.5,"Sideway Flat",AE31&gt;=-1.5,"Sideway - Slope",AE31&gt;=-3,"Moderate - Slope",TRUE,"Strong - Slope")</f>
        <v>Sideway Flat</v>
      </c>
      <c r="AM31" s="1" t="str" cm="1">
        <f t="array" ref="AM31">_xlfn.IFS(AF31&gt;3,"Strong + Slope",AF31&gt;1.5,"Moderate + Slope",AF31&gt;0.5,"Sideway + Slope",AF31&gt;=-0.5,"Sideway Flat",AF31&gt;=-1.5,"Sideway - Slope",AF31&gt;=-3,"Moderate - Slope",TRUE,"Strong - Slope")</f>
        <v>Sideway + Slope</v>
      </c>
    </row>
    <row r="32" spans="1:39" x14ac:dyDescent="0.55000000000000004">
      <c r="A32" s="1">
        <v>30</v>
      </c>
      <c r="B32" s="1" t="s">
        <v>32</v>
      </c>
      <c r="C32" s="1" t="s">
        <v>3</v>
      </c>
      <c r="D32" s="1" t="s">
        <v>102</v>
      </c>
      <c r="E32" s="1">
        <v>153.166</v>
      </c>
      <c r="F32" s="1">
        <v>153.07499999999999</v>
      </c>
      <c r="G32" s="1">
        <v>153.161</v>
      </c>
      <c r="H32" s="1">
        <v>152.96799999999999</v>
      </c>
      <c r="I32" s="1">
        <v>152.9</v>
      </c>
      <c r="J32" s="1">
        <v>153.22300000000001</v>
      </c>
      <c r="K32" s="1">
        <v>152.58199999999999</v>
      </c>
      <c r="L32" s="1">
        <v>152.596</v>
      </c>
      <c r="M32" s="1">
        <v>152.81399999999999</v>
      </c>
      <c r="N32" s="10">
        <f t="shared" si="0"/>
        <v>9.1000000000008185E-2</v>
      </c>
      <c r="O32" s="10">
        <f t="shared" si="2"/>
        <v>1.0000000000047748E-3</v>
      </c>
      <c r="P32" s="10">
        <f t="shared" si="3"/>
        <v>9.0000000000003411E-2</v>
      </c>
      <c r="Q32" s="10">
        <f t="shared" si="1"/>
        <v>9.1000000000008185E-2</v>
      </c>
      <c r="R32" s="10">
        <f t="shared" si="5"/>
        <v>0.11107142857142703</v>
      </c>
      <c r="S32" s="1"/>
      <c r="T32" s="2">
        <f>SLOPE(H19:H32,$A19:$A32)</f>
        <v>-2.4175824175827797E-3</v>
      </c>
      <c r="U32" s="2">
        <f>SLOPE(I19:I32,$A19:$A32)</f>
        <v>-3.7362637362565901E-4</v>
      </c>
      <c r="V32" s="2">
        <f>SLOPE(J19:J32,$A19:$A32)</f>
        <v>-1.6439560439560855E-3</v>
      </c>
      <c r="W32" s="2">
        <f>SLOPE(K19:K32,$A19:$A32)</f>
        <v>7.7802197802157025E-4</v>
      </c>
      <c r="X32" s="2">
        <f>SLOPE(L19:L32,$A19:$A32)</f>
        <v>-2.4615384615252287E-4</v>
      </c>
      <c r="Y32" s="2">
        <f>SLOPE(M19:M32,$A19:$A32)</f>
        <v>1.6000000000003939E-3</v>
      </c>
      <c r="Z32" s="1"/>
      <c r="AA32" s="2">
        <f t="shared" si="7"/>
        <v>-1.2469039295629172</v>
      </c>
      <c r="AB32" s="2">
        <f t="shared" si="8"/>
        <v>-0.19273303544935005</v>
      </c>
      <c r="AC32" s="2">
        <f t="shared" si="9"/>
        <v>-0.84796663785024728</v>
      </c>
      <c r="AD32" s="2">
        <f t="shared" si="10"/>
        <v>0.40133315316788015</v>
      </c>
      <c r="AE32" s="2">
        <f t="shared" si="11"/>
        <v>-0.12697732969954195</v>
      </c>
      <c r="AF32" s="2">
        <f t="shared" si="12"/>
        <v>0.82529691214027612</v>
      </c>
      <c r="AG32" s="1"/>
      <c r="AH32" s="1" t="str" cm="1">
        <f t="array" ref="AH32">_xlfn.IFS(AA32&gt;3,"Strong + Slope",AA32&gt;1.5,"Moderate + Slope",AA32&gt;0.5,"Sideway + Slope",AA32&gt;=-0.5,"Sideway Flat",AA32&gt;=-1.5,"Sideway - Slope",AA32&gt;=-3,"Moderate - Slope",TRUE,"Strong - Slope")</f>
        <v>Sideway - Slope</v>
      </c>
      <c r="AI32" s="1" t="str" cm="1">
        <f t="array" ref="AI32">_xlfn.IFS(AB32&gt;3,"Strong + Slope",AB32&gt;1.5,"Moderate + Slope",AB32&gt;0.5,"Sideway + Slope",AB32&gt;=-0.5,"Sideway Flat",AB32&gt;=-1.5,"Sideway - Slope",AB32&gt;=-3,"Moderate - Slope",TRUE,"Strong - Slope")</f>
        <v>Sideway Flat</v>
      </c>
      <c r="AJ32" s="1" t="str" cm="1">
        <f t="array" ref="AJ32">_xlfn.IFS(AC32&gt;3,"Strong + Slope",AC32&gt;1.5,"Moderate + Slope",AC32&gt;0.5,"Sideway + Slope",AC32&gt;=-0.5,"Sideway Flat",AC32&gt;=-1.5,"Sideway - Slope",AC32&gt;=-3,"Moderate - Slope",TRUE,"Strong - Slope")</f>
        <v>Sideway - Slope</v>
      </c>
      <c r="AK32" s="1" t="str" cm="1">
        <f t="array" ref="AK32">_xlfn.IFS(AD32&gt;3,"Strong + Slope",AD32&gt;1.5,"Moderate + Slope",AD32&gt;0.5,"Sideway + Slope",AD32&gt;=-0.5,"Sideway Flat",AD32&gt;=-1.5,"Sideway - Slope",AD32&gt;=-3,"Moderate - Slope",TRUE,"Strong - Slope")</f>
        <v>Sideway Flat</v>
      </c>
      <c r="AL32" s="1" t="str" cm="1">
        <f t="array" ref="AL32">_xlfn.IFS(AE32&gt;3,"Strong + Slope",AE32&gt;1.5,"Moderate + Slope",AE32&gt;0.5,"Sideway + Slope",AE32&gt;=-0.5,"Sideway Flat",AE32&gt;=-1.5,"Sideway - Slope",AE32&gt;=-3,"Moderate - Slope",TRUE,"Strong - Slope")</f>
        <v>Sideway Flat</v>
      </c>
      <c r="AM32" s="1" t="str" cm="1">
        <f t="array" ref="AM32">_xlfn.IFS(AF32&gt;3,"Strong + Slope",AF32&gt;1.5,"Moderate + Slope",AF32&gt;0.5,"Sideway + Slope",AF32&gt;=-0.5,"Sideway Flat",AF32&gt;=-1.5,"Sideway - Slope",AF32&gt;=-3,"Moderate - Slope",TRUE,"Strong - Slope")</f>
        <v>Sideway + Slope</v>
      </c>
    </row>
    <row r="33" spans="1:39" x14ac:dyDescent="0.55000000000000004">
      <c r="A33" s="1">
        <v>31</v>
      </c>
      <c r="B33" s="1" t="s">
        <v>33</v>
      </c>
      <c r="C33" s="1" t="s">
        <v>3</v>
      </c>
      <c r="D33" s="1" t="s">
        <v>102</v>
      </c>
      <c r="E33" s="1">
        <v>153.17400000000001</v>
      </c>
      <c r="F33" s="1">
        <v>153.053</v>
      </c>
      <c r="G33" s="1">
        <v>153.053</v>
      </c>
      <c r="H33" s="1">
        <v>152.96600000000001</v>
      </c>
      <c r="I33" s="1">
        <v>152.9</v>
      </c>
      <c r="J33" s="1">
        <v>153.22200000000001</v>
      </c>
      <c r="K33" s="1">
        <v>152.583</v>
      </c>
      <c r="L33" s="1">
        <v>152.596</v>
      </c>
      <c r="M33" s="1">
        <v>152.815</v>
      </c>
      <c r="N33" s="10">
        <f t="shared" si="0"/>
        <v>0.12100000000000932</v>
      </c>
      <c r="O33" s="10">
        <f t="shared" si="2"/>
        <v>1.300000000000523E-2</v>
      </c>
      <c r="P33" s="10">
        <f t="shared" si="3"/>
        <v>0.10800000000000409</v>
      </c>
      <c r="Q33" s="10">
        <f t="shared" si="1"/>
        <v>0.12100000000000932</v>
      </c>
      <c r="R33" s="10">
        <f t="shared" si="5"/>
        <v>0.10942857142857017</v>
      </c>
      <c r="S33" s="1"/>
      <c r="T33" s="2">
        <f>SLOPE(H20:H33,$A20:$A33)</f>
        <v>-2.4197802197805924E-3</v>
      </c>
      <c r="U33" s="2">
        <f>SLOPE(I20:I33,$A20:$A33)</f>
        <v>-3.7582417582315939E-4</v>
      </c>
      <c r="V33" s="2">
        <f>SLOPE(J20:J33,$A20:$A33)</f>
        <v>-1.6241758241756462E-3</v>
      </c>
      <c r="W33" s="2">
        <f>SLOPE(K20:K33,$A20:$A33)</f>
        <v>7.6703296703263177E-4</v>
      </c>
      <c r="X33" s="2">
        <f>SLOPE(L20:L33,$A20:$A33)</f>
        <v>-2.5274725274639824E-4</v>
      </c>
      <c r="Y33" s="2">
        <f>SLOPE(M20:M33,$A20:$A33)</f>
        <v>1.5780219780225167E-3</v>
      </c>
      <c r="Z33" s="1"/>
      <c r="AA33" s="2">
        <f t="shared" si="7"/>
        <v>-1.266767909708427</v>
      </c>
      <c r="AB33" s="2">
        <f t="shared" si="8"/>
        <v>-0.19677725999763579</v>
      </c>
      <c r="AC33" s="2">
        <f t="shared" si="9"/>
        <v>-0.85034087684902182</v>
      </c>
      <c r="AD33" s="2">
        <f t="shared" si="10"/>
        <v>0.40160473133576519</v>
      </c>
      <c r="AE33" s="2">
        <f t="shared" si="11"/>
        <v>-0.13233586919413157</v>
      </c>
      <c r="AF33" s="2">
        <f t="shared" si="12"/>
        <v>0.82618032604932534</v>
      </c>
      <c r="AG33" s="1"/>
      <c r="AH33" s="1" t="str" cm="1">
        <f t="array" ref="AH33">_xlfn.IFS(AA33&gt;3,"Strong + Slope",AA33&gt;1.5,"Moderate + Slope",AA33&gt;0.5,"Sideway + Slope",AA33&gt;=-0.5,"Sideway Flat",AA33&gt;=-1.5,"Sideway - Slope",AA33&gt;=-3,"Moderate - Slope",TRUE,"Strong - Slope")</f>
        <v>Sideway - Slope</v>
      </c>
      <c r="AI33" s="1" t="str" cm="1">
        <f t="array" ref="AI33">_xlfn.IFS(AB33&gt;3,"Strong + Slope",AB33&gt;1.5,"Moderate + Slope",AB33&gt;0.5,"Sideway + Slope",AB33&gt;=-0.5,"Sideway Flat",AB33&gt;=-1.5,"Sideway - Slope",AB33&gt;=-3,"Moderate - Slope",TRUE,"Strong - Slope")</f>
        <v>Sideway Flat</v>
      </c>
      <c r="AJ33" s="1" t="str" cm="1">
        <f t="array" ref="AJ33">_xlfn.IFS(AC33&gt;3,"Strong + Slope",AC33&gt;1.5,"Moderate + Slope",AC33&gt;0.5,"Sideway + Slope",AC33&gt;=-0.5,"Sideway Flat",AC33&gt;=-1.5,"Sideway - Slope",AC33&gt;=-3,"Moderate - Slope",TRUE,"Strong - Slope")</f>
        <v>Sideway - Slope</v>
      </c>
      <c r="AK33" s="1" t="str" cm="1">
        <f t="array" ref="AK33">_xlfn.IFS(AD33&gt;3,"Strong + Slope",AD33&gt;1.5,"Moderate + Slope",AD33&gt;0.5,"Sideway + Slope",AD33&gt;=-0.5,"Sideway Flat",AD33&gt;=-1.5,"Sideway - Slope",AD33&gt;=-3,"Moderate - Slope",TRUE,"Strong - Slope")</f>
        <v>Sideway Flat</v>
      </c>
      <c r="AL33" s="1" t="str" cm="1">
        <f t="array" ref="AL33">_xlfn.IFS(AE33&gt;3,"Strong + Slope",AE33&gt;1.5,"Moderate + Slope",AE33&gt;0.5,"Sideway + Slope",AE33&gt;=-0.5,"Sideway Flat",AE33&gt;=-1.5,"Sideway - Slope",AE33&gt;=-3,"Moderate - Slope",TRUE,"Strong - Slope")</f>
        <v>Sideway Flat</v>
      </c>
      <c r="AM33" s="1" t="str" cm="1">
        <f t="array" ref="AM33">_xlfn.IFS(AF33&gt;3,"Strong + Slope",AF33&gt;1.5,"Moderate + Slope",AF33&gt;0.5,"Sideway + Slope",AF33&gt;=-0.5,"Sideway Flat",AF33&gt;=-1.5,"Sideway - Slope",AF33&gt;=-3,"Moderate - Slope",TRUE,"Strong - Slope")</f>
        <v>Sideway + Slope</v>
      </c>
    </row>
    <row r="34" spans="1:39" x14ac:dyDescent="0.55000000000000004">
      <c r="A34" s="1">
        <v>32</v>
      </c>
      <c r="B34" s="1" t="s">
        <v>34</v>
      </c>
      <c r="C34" s="1" t="s">
        <v>3</v>
      </c>
      <c r="D34" s="1" t="s">
        <v>102</v>
      </c>
      <c r="E34" s="1">
        <v>153.09399999999999</v>
      </c>
      <c r="F34" s="1">
        <v>153.05199999999999</v>
      </c>
      <c r="G34" s="1">
        <v>153.05699999999999</v>
      </c>
      <c r="H34" s="1">
        <v>152.96299999999999</v>
      </c>
      <c r="I34" s="1">
        <v>152.9</v>
      </c>
      <c r="J34" s="1">
        <v>153.22</v>
      </c>
      <c r="K34" s="1">
        <v>152.584</v>
      </c>
      <c r="L34" s="1">
        <v>152.596</v>
      </c>
      <c r="M34" s="1">
        <v>152.81700000000001</v>
      </c>
      <c r="N34" s="10">
        <f t="shared" si="0"/>
        <v>4.2000000000001592E-2</v>
      </c>
      <c r="O34" s="10">
        <f t="shared" si="2"/>
        <v>4.0999999999996817E-2</v>
      </c>
      <c r="P34" s="10">
        <f t="shared" si="3"/>
        <v>1.0000000000047748E-3</v>
      </c>
      <c r="Q34" s="10">
        <f t="shared" si="1"/>
        <v>4.2000000000001592E-2</v>
      </c>
      <c r="R34" s="10">
        <f t="shared" si="5"/>
        <v>0.10257142857142705</v>
      </c>
      <c r="S34" s="1"/>
      <c r="T34" s="2">
        <f>SLOPE(H21:H34,$A21:$A34)</f>
        <v>-2.4285714285716561E-3</v>
      </c>
      <c r="U34" s="2">
        <f>SLOPE(I21:I34,$A21:$A34)</f>
        <v>-3.5604395604265775E-4</v>
      </c>
      <c r="V34" s="2">
        <f>SLOPE(J21:J34,$A21:$A34)</f>
        <v>-1.6263736263738338E-3</v>
      </c>
      <c r="W34" s="2">
        <f>SLOPE(K21:K34,$A21:$A34)</f>
        <v>7.6923076923081921E-4</v>
      </c>
      <c r="X34" s="2">
        <f>SLOPE(L21:L34,$A21:$A34)</f>
        <v>-2.4615384615352234E-4</v>
      </c>
      <c r="Y34" s="2">
        <f>SLOPE(M21:M34,$A21:$A34)</f>
        <v>1.5824175824179548E-3</v>
      </c>
      <c r="Z34" s="1"/>
      <c r="AA34" s="2">
        <f t="shared" si="7"/>
        <v>-1.3563318958787514</v>
      </c>
      <c r="AB34" s="2">
        <f t="shared" si="8"/>
        <v>-0.19888320123830208</v>
      </c>
      <c r="AC34" s="2">
        <f t="shared" si="9"/>
        <v>-0.90840634594169145</v>
      </c>
      <c r="AD34" s="2">
        <f t="shared" si="10"/>
        <v>0.42967959915196879</v>
      </c>
      <c r="AE34" s="2">
        <f t="shared" si="11"/>
        <v>-0.13749978543764632</v>
      </c>
      <c r="AF34" s="2">
        <f t="shared" si="12"/>
        <v>0.88385877197549889</v>
      </c>
      <c r="AG34" s="1"/>
      <c r="AH34" s="1" t="str" cm="1">
        <f t="array" ref="AH34">_xlfn.IFS(AA34&gt;3,"Strong + Slope",AA34&gt;1.5,"Moderate + Slope",AA34&gt;0.5,"Sideway + Slope",AA34&gt;=-0.5,"Sideway Flat",AA34&gt;=-1.5,"Sideway - Slope",AA34&gt;=-3,"Moderate - Slope",TRUE,"Strong - Slope")</f>
        <v>Sideway - Slope</v>
      </c>
      <c r="AI34" s="1" t="str" cm="1">
        <f t="array" ref="AI34">_xlfn.IFS(AB34&gt;3,"Strong + Slope",AB34&gt;1.5,"Moderate + Slope",AB34&gt;0.5,"Sideway + Slope",AB34&gt;=-0.5,"Sideway Flat",AB34&gt;=-1.5,"Sideway - Slope",AB34&gt;=-3,"Moderate - Slope",TRUE,"Strong - Slope")</f>
        <v>Sideway Flat</v>
      </c>
      <c r="AJ34" s="1" t="str" cm="1">
        <f t="array" ref="AJ34">_xlfn.IFS(AC34&gt;3,"Strong + Slope",AC34&gt;1.5,"Moderate + Slope",AC34&gt;0.5,"Sideway + Slope",AC34&gt;=-0.5,"Sideway Flat",AC34&gt;=-1.5,"Sideway - Slope",AC34&gt;=-3,"Moderate - Slope",TRUE,"Strong - Slope")</f>
        <v>Sideway - Slope</v>
      </c>
      <c r="AK34" s="1" t="str" cm="1">
        <f t="array" ref="AK34">_xlfn.IFS(AD34&gt;3,"Strong + Slope",AD34&gt;1.5,"Moderate + Slope",AD34&gt;0.5,"Sideway + Slope",AD34&gt;=-0.5,"Sideway Flat",AD34&gt;=-1.5,"Sideway - Slope",AD34&gt;=-3,"Moderate - Slope",TRUE,"Strong - Slope")</f>
        <v>Sideway Flat</v>
      </c>
      <c r="AL34" s="1" t="str" cm="1">
        <f t="array" ref="AL34">_xlfn.IFS(AE34&gt;3,"Strong + Slope",AE34&gt;1.5,"Moderate + Slope",AE34&gt;0.5,"Sideway + Slope",AE34&gt;=-0.5,"Sideway Flat",AE34&gt;=-1.5,"Sideway - Slope",AE34&gt;=-3,"Moderate - Slope",TRUE,"Strong - Slope")</f>
        <v>Sideway Flat</v>
      </c>
      <c r="AM34" s="1" t="str" cm="1">
        <f t="array" ref="AM34">_xlfn.IFS(AF34&gt;3,"Strong + Slope",AF34&gt;1.5,"Moderate + Slope",AF34&gt;0.5,"Sideway + Slope",AF34&gt;=-0.5,"Sideway Flat",AF34&gt;=-1.5,"Sideway - Slope",AF34&gt;=-3,"Moderate - Slope",TRUE,"Strong - Slope")</f>
        <v>Sideway + Slope</v>
      </c>
    </row>
    <row r="35" spans="1:39" x14ac:dyDescent="0.55000000000000004">
      <c r="A35" s="1">
        <v>33</v>
      </c>
      <c r="B35" s="1" t="s">
        <v>35</v>
      </c>
      <c r="C35" s="1" t="s">
        <v>3</v>
      </c>
      <c r="D35" s="1" t="s">
        <v>102</v>
      </c>
      <c r="E35" s="1">
        <v>153.05799999999999</v>
      </c>
      <c r="F35" s="1">
        <v>152.87200000000001</v>
      </c>
      <c r="G35" s="1">
        <v>152.89500000000001</v>
      </c>
      <c r="H35" s="1">
        <v>152.96100000000001</v>
      </c>
      <c r="I35" s="1">
        <v>152.899</v>
      </c>
      <c r="J35" s="1">
        <v>153.21799999999999</v>
      </c>
      <c r="K35" s="1">
        <v>152.58500000000001</v>
      </c>
      <c r="L35" s="1">
        <v>152.596</v>
      </c>
      <c r="M35" s="1">
        <v>152.81899999999999</v>
      </c>
      <c r="N35" s="10">
        <f t="shared" ref="N35:N66" si="13">E35-F35</f>
        <v>0.18599999999997863</v>
      </c>
      <c r="O35" s="10">
        <f t="shared" si="2"/>
        <v>1.0000000000047748E-3</v>
      </c>
      <c r="P35" s="10">
        <f t="shared" si="3"/>
        <v>0.18499999999997385</v>
      </c>
      <c r="Q35" s="10">
        <f t="shared" si="1"/>
        <v>0.18599999999997863</v>
      </c>
      <c r="R35" s="10">
        <f t="shared" si="5"/>
        <v>0.10764285714285345</v>
      </c>
      <c r="S35" s="1"/>
      <c r="T35" s="2">
        <f>SLOPE(H22:H35,$A22:$A35)</f>
        <v>-2.4109890109887794E-3</v>
      </c>
      <c r="U35" s="2">
        <f>SLOPE(I22:I35,$A22:$A35)</f>
        <v>-3.7582417582290953E-4</v>
      </c>
      <c r="V35" s="2">
        <f>SLOPE(J22:J35,$A22:$A35)</f>
        <v>-1.6505494505497109E-3</v>
      </c>
      <c r="W35" s="2">
        <f>SLOPE(K22:K35,$A22:$A35)</f>
        <v>7.8461538461613268E-4</v>
      </c>
      <c r="X35" s="2">
        <f>SLOPE(L22:L35,$A22:$A35)</f>
        <v>-2.2637362637389523E-4</v>
      </c>
      <c r="Y35" s="2">
        <f>SLOPE(M22:M35,$A22:$A35)</f>
        <v>1.5802197802195174E-3</v>
      </c>
      <c r="Z35" s="1"/>
      <c r="AA35" s="2">
        <f t="shared" si="7"/>
        <v>-1.2830986202997416</v>
      </c>
      <c r="AB35" s="2">
        <f t="shared" si="8"/>
        <v>-0.20004162087899494</v>
      </c>
      <c r="AC35" s="2">
        <f t="shared" si="9"/>
        <v>-0.87848008935380195</v>
      </c>
      <c r="AD35" s="2">
        <f t="shared" si="10"/>
        <v>0.41762505321961391</v>
      </c>
      <c r="AE35" s="2">
        <f t="shared" si="11"/>
        <v>-0.1204932181076271</v>
      </c>
      <c r="AF35" s="2">
        <f t="shared" si="12"/>
        <v>0.84105367797021979</v>
      </c>
      <c r="AG35" s="1"/>
      <c r="AH35" s="1" t="str" cm="1">
        <f t="array" ref="AH35">_xlfn.IFS(AA35&gt;3,"Strong + Slope",AA35&gt;1.5,"Moderate + Slope",AA35&gt;0.5,"Sideway + Slope",AA35&gt;=-0.5,"Sideway Flat",AA35&gt;=-1.5,"Sideway - Slope",AA35&gt;=-3,"Moderate - Slope",TRUE,"Strong - Slope")</f>
        <v>Sideway - Slope</v>
      </c>
      <c r="AI35" s="1" t="str" cm="1">
        <f t="array" ref="AI35">_xlfn.IFS(AB35&gt;3,"Strong + Slope",AB35&gt;1.5,"Moderate + Slope",AB35&gt;0.5,"Sideway + Slope",AB35&gt;=-0.5,"Sideway Flat",AB35&gt;=-1.5,"Sideway - Slope",AB35&gt;=-3,"Moderate - Slope",TRUE,"Strong - Slope")</f>
        <v>Sideway Flat</v>
      </c>
      <c r="AJ35" s="1" t="str" cm="1">
        <f t="array" ref="AJ35">_xlfn.IFS(AC35&gt;3,"Strong + Slope",AC35&gt;1.5,"Moderate + Slope",AC35&gt;0.5,"Sideway + Slope",AC35&gt;=-0.5,"Sideway Flat",AC35&gt;=-1.5,"Sideway - Slope",AC35&gt;=-3,"Moderate - Slope",TRUE,"Strong - Slope")</f>
        <v>Sideway - Slope</v>
      </c>
      <c r="AK35" s="1" t="str" cm="1">
        <f t="array" ref="AK35">_xlfn.IFS(AD35&gt;3,"Strong + Slope",AD35&gt;1.5,"Moderate + Slope",AD35&gt;0.5,"Sideway + Slope",AD35&gt;=-0.5,"Sideway Flat",AD35&gt;=-1.5,"Sideway - Slope",AD35&gt;=-3,"Moderate - Slope",TRUE,"Strong - Slope")</f>
        <v>Sideway Flat</v>
      </c>
      <c r="AL35" s="1" t="str" cm="1">
        <f t="array" ref="AL35">_xlfn.IFS(AE35&gt;3,"Strong + Slope",AE35&gt;1.5,"Moderate + Slope",AE35&gt;0.5,"Sideway + Slope",AE35&gt;=-0.5,"Sideway Flat",AE35&gt;=-1.5,"Sideway - Slope",AE35&gt;=-3,"Moderate - Slope",TRUE,"Strong - Slope")</f>
        <v>Sideway Flat</v>
      </c>
      <c r="AM35" s="1" t="str" cm="1">
        <f t="array" ref="AM35">_xlfn.IFS(AF35&gt;3,"Strong + Slope",AF35&gt;1.5,"Moderate + Slope",AF35&gt;0.5,"Sideway + Slope",AF35&gt;=-0.5,"Sideway Flat",AF35&gt;=-1.5,"Sideway - Slope",AF35&gt;=-3,"Moderate - Slope",TRUE,"Strong - Slope")</f>
        <v>Sideway + Slope</v>
      </c>
    </row>
    <row r="36" spans="1:39" x14ac:dyDescent="0.55000000000000004">
      <c r="A36" s="1">
        <v>34</v>
      </c>
      <c r="B36" s="1" t="s">
        <v>36</v>
      </c>
      <c r="C36" s="1" t="s">
        <v>3</v>
      </c>
      <c r="D36" s="1" t="s">
        <v>102</v>
      </c>
      <c r="E36" s="1">
        <v>152.90299999999999</v>
      </c>
      <c r="F36" s="1">
        <v>152.815</v>
      </c>
      <c r="G36" s="1">
        <v>152.87</v>
      </c>
      <c r="H36" s="1">
        <v>152.958</v>
      </c>
      <c r="I36" s="1">
        <v>152.899</v>
      </c>
      <c r="J36" s="1">
        <v>153.21700000000001</v>
      </c>
      <c r="K36" s="1">
        <v>152.58500000000001</v>
      </c>
      <c r="L36" s="1">
        <v>152.595</v>
      </c>
      <c r="M36" s="1">
        <v>152.82</v>
      </c>
      <c r="N36" s="10">
        <f t="shared" si="13"/>
        <v>8.7999999999993861E-2</v>
      </c>
      <c r="O36" s="10">
        <f t="shared" ref="O36:O67" si="14">ABS(E36-G35)</f>
        <v>7.9999999999813554E-3</v>
      </c>
      <c r="P36" s="10">
        <f t="shared" ref="P36:P67" si="15">ABS(F36-G35)</f>
        <v>8.0000000000012506E-2</v>
      </c>
      <c r="Q36" s="10">
        <f t="shared" ref="Q36:Q67" si="16">MAX(N36:P36)</f>
        <v>8.7999999999993861E-2</v>
      </c>
      <c r="R36" s="10">
        <f t="shared" si="5"/>
        <v>0.1052142857142826</v>
      </c>
      <c r="S36" s="1"/>
      <c r="T36" s="2">
        <f>SLOPE(H23:H36,$A23:$A36)</f>
        <v>-2.4285714285716561E-3</v>
      </c>
      <c r="U36" s="2">
        <f>SLOPE(I23:I36,$A23:$A36)</f>
        <v>-3.736263736251593E-4</v>
      </c>
      <c r="V36" s="2">
        <f>SLOPE(J23:J36,$A23:$A36)</f>
        <v>-1.6351648351645223E-3</v>
      </c>
      <c r="W36" s="2">
        <f>SLOPE(K23:K36,$A23:$A36)</f>
        <v>7.8461538461607023E-4</v>
      </c>
      <c r="X36" s="2">
        <f>SLOPE(L23:L36,$A23:$A36)</f>
        <v>-2.2197802197908189E-4</v>
      </c>
      <c r="Y36" s="2">
        <f>SLOPE(M23:M36,$A23:$A36)</f>
        <v>1.5714285714281417E-3</v>
      </c>
      <c r="Z36" s="1"/>
      <c r="AA36" s="2">
        <f t="shared" si="7"/>
        <v>-1.3222747105388186</v>
      </c>
      <c r="AB36" s="2">
        <f t="shared" si="8"/>
        <v>-0.2034621458009199</v>
      </c>
      <c r="AC36" s="2">
        <f t="shared" si="9"/>
        <v>-0.89037815968570821</v>
      </c>
      <c r="AD36" s="2">
        <f t="shared" si="10"/>
        <v>0.42726438203515971</v>
      </c>
      <c r="AE36" s="2">
        <f t="shared" si="11"/>
        <v>-0.12088078008929165</v>
      </c>
      <c r="AF36" s="2">
        <f t="shared" si="12"/>
        <v>0.85567782416872729</v>
      </c>
      <c r="AG36" s="1"/>
      <c r="AH36" s="1" t="str" cm="1">
        <f t="array" ref="AH36">_xlfn.IFS(AA36&gt;3,"Strong + Slope",AA36&gt;1.5,"Moderate + Slope",AA36&gt;0.5,"Sideway + Slope",AA36&gt;=-0.5,"Sideway Flat",AA36&gt;=-1.5,"Sideway - Slope",AA36&gt;=-3,"Moderate - Slope",TRUE,"Strong - Slope")</f>
        <v>Sideway - Slope</v>
      </c>
      <c r="AI36" s="1" t="str" cm="1">
        <f t="array" ref="AI36">_xlfn.IFS(AB36&gt;3,"Strong + Slope",AB36&gt;1.5,"Moderate + Slope",AB36&gt;0.5,"Sideway + Slope",AB36&gt;=-0.5,"Sideway Flat",AB36&gt;=-1.5,"Sideway - Slope",AB36&gt;=-3,"Moderate - Slope",TRUE,"Strong - Slope")</f>
        <v>Sideway Flat</v>
      </c>
      <c r="AJ36" s="1" t="str" cm="1">
        <f t="array" ref="AJ36">_xlfn.IFS(AC36&gt;3,"Strong + Slope",AC36&gt;1.5,"Moderate + Slope",AC36&gt;0.5,"Sideway + Slope",AC36&gt;=-0.5,"Sideway Flat",AC36&gt;=-1.5,"Sideway - Slope",AC36&gt;=-3,"Moderate - Slope",TRUE,"Strong - Slope")</f>
        <v>Sideway - Slope</v>
      </c>
      <c r="AK36" s="1" t="str" cm="1">
        <f t="array" ref="AK36">_xlfn.IFS(AD36&gt;3,"Strong + Slope",AD36&gt;1.5,"Moderate + Slope",AD36&gt;0.5,"Sideway + Slope",AD36&gt;=-0.5,"Sideway Flat",AD36&gt;=-1.5,"Sideway - Slope",AD36&gt;=-3,"Moderate - Slope",TRUE,"Strong - Slope")</f>
        <v>Sideway Flat</v>
      </c>
      <c r="AL36" s="1" t="str" cm="1">
        <f t="array" ref="AL36">_xlfn.IFS(AE36&gt;3,"Strong + Slope",AE36&gt;1.5,"Moderate + Slope",AE36&gt;0.5,"Sideway + Slope",AE36&gt;=-0.5,"Sideway Flat",AE36&gt;=-1.5,"Sideway - Slope",AE36&gt;=-3,"Moderate - Slope",TRUE,"Strong - Slope")</f>
        <v>Sideway Flat</v>
      </c>
      <c r="AM36" s="1" t="str" cm="1">
        <f t="array" ref="AM36">_xlfn.IFS(AF36&gt;3,"Strong + Slope",AF36&gt;1.5,"Moderate + Slope",AF36&gt;0.5,"Sideway + Slope",AF36&gt;=-0.5,"Sideway Flat",AF36&gt;=-1.5,"Sideway - Slope",AF36&gt;=-3,"Moderate - Slope",TRUE,"Strong - Slope")</f>
        <v>Sideway + Slope</v>
      </c>
    </row>
    <row r="37" spans="1:39" x14ac:dyDescent="0.55000000000000004">
      <c r="A37" s="1">
        <v>35</v>
      </c>
      <c r="B37" s="1" t="s">
        <v>37</v>
      </c>
      <c r="C37" s="1" t="s">
        <v>3</v>
      </c>
      <c r="D37" s="1" t="s">
        <v>102</v>
      </c>
      <c r="E37" s="1">
        <v>152.881</v>
      </c>
      <c r="F37" s="1">
        <v>152.80099999999999</v>
      </c>
      <c r="G37" s="1">
        <v>152.86199999999999</v>
      </c>
      <c r="H37" s="1">
        <v>152.95599999999999</v>
      </c>
      <c r="I37" s="1">
        <v>152.898</v>
      </c>
      <c r="J37" s="1">
        <v>153.215</v>
      </c>
      <c r="K37" s="1">
        <v>152.58600000000001</v>
      </c>
      <c r="L37" s="1">
        <v>152.595</v>
      </c>
      <c r="M37" s="1">
        <v>152.822</v>
      </c>
      <c r="N37" s="10">
        <f t="shared" si="13"/>
        <v>8.0000000000012506E-2</v>
      </c>
      <c r="O37" s="10">
        <f t="shared" si="14"/>
        <v>1.099999999999568E-2</v>
      </c>
      <c r="P37" s="10">
        <f t="shared" si="15"/>
        <v>6.9000000000016826E-2</v>
      </c>
      <c r="Q37" s="10">
        <f t="shared" si="16"/>
        <v>8.0000000000012506E-2</v>
      </c>
      <c r="R37" s="10">
        <f t="shared" si="5"/>
        <v>0.10357142857142573</v>
      </c>
      <c r="S37" s="1"/>
      <c r="T37" s="2">
        <f>SLOPE(H24:H37,$A24:$A37)</f>
        <v>-2.4197802197805924E-3</v>
      </c>
      <c r="U37" s="2">
        <f>SLOPE(I24:I37,$A24:$A37)</f>
        <v>-3.7802197802097208E-4</v>
      </c>
      <c r="V37" s="2">
        <f>SLOPE(J24:J37,$A24:$A37)</f>
        <v>-1.6417582417579603E-3</v>
      </c>
      <c r="W37" s="2">
        <f>SLOPE(K24:K37,$A24:$A37)</f>
        <v>7.6923076923144382E-4</v>
      </c>
      <c r="X37" s="2">
        <f>SLOPE(L24:L37,$A24:$A37)</f>
        <v>-2.3296703296814535E-4</v>
      </c>
      <c r="Y37" s="2">
        <f>SLOPE(M24:M37,$A24:$A37)</f>
        <v>1.5890109890110179E-3</v>
      </c>
      <c r="Z37" s="1"/>
      <c r="AA37" s="2">
        <f t="shared" si="7"/>
        <v>-1.338380459413778</v>
      </c>
      <c r="AB37" s="2">
        <f t="shared" si="8"/>
        <v>-0.20912106771142755</v>
      </c>
      <c r="AC37" s="2">
        <f t="shared" si="9"/>
        <v>-0.90814563551286831</v>
      </c>
      <c r="AD37" s="2">
        <f t="shared" si="10"/>
        <v>0.42553112183830732</v>
      </c>
      <c r="AE37" s="2">
        <f t="shared" si="11"/>
        <v>-0.12887729200434309</v>
      </c>
      <c r="AF37" s="2">
        <f t="shared" si="12"/>
        <v>0.87897291927931209</v>
      </c>
      <c r="AG37" s="1"/>
      <c r="AH37" s="1" t="str" cm="1">
        <f t="array" ref="AH37">_xlfn.IFS(AA37&gt;3,"Strong + Slope",AA37&gt;1.5,"Moderate + Slope",AA37&gt;0.5,"Sideway + Slope",AA37&gt;=-0.5,"Sideway Flat",AA37&gt;=-1.5,"Sideway - Slope",AA37&gt;=-3,"Moderate - Slope",TRUE,"Strong - Slope")</f>
        <v>Sideway - Slope</v>
      </c>
      <c r="AI37" s="1" t="str" cm="1">
        <f t="array" ref="AI37">_xlfn.IFS(AB37&gt;3,"Strong + Slope",AB37&gt;1.5,"Moderate + Slope",AB37&gt;0.5,"Sideway + Slope",AB37&gt;=-0.5,"Sideway Flat",AB37&gt;=-1.5,"Sideway - Slope",AB37&gt;=-3,"Moderate - Slope",TRUE,"Strong - Slope")</f>
        <v>Sideway Flat</v>
      </c>
      <c r="AJ37" s="1" t="str" cm="1">
        <f t="array" ref="AJ37">_xlfn.IFS(AC37&gt;3,"Strong + Slope",AC37&gt;1.5,"Moderate + Slope",AC37&gt;0.5,"Sideway + Slope",AC37&gt;=-0.5,"Sideway Flat",AC37&gt;=-1.5,"Sideway - Slope",AC37&gt;=-3,"Moderate - Slope",TRUE,"Strong - Slope")</f>
        <v>Sideway - Slope</v>
      </c>
      <c r="AK37" s="1" t="str" cm="1">
        <f t="array" ref="AK37">_xlfn.IFS(AD37&gt;3,"Strong + Slope",AD37&gt;1.5,"Moderate + Slope",AD37&gt;0.5,"Sideway + Slope",AD37&gt;=-0.5,"Sideway Flat",AD37&gt;=-1.5,"Sideway - Slope",AD37&gt;=-3,"Moderate - Slope",TRUE,"Strong - Slope")</f>
        <v>Sideway Flat</v>
      </c>
      <c r="AL37" s="1" t="str" cm="1">
        <f t="array" ref="AL37">_xlfn.IFS(AE37&gt;3,"Strong + Slope",AE37&gt;1.5,"Moderate + Slope",AE37&gt;0.5,"Sideway + Slope",AE37&gt;=-0.5,"Sideway Flat",AE37&gt;=-1.5,"Sideway - Slope",AE37&gt;=-3,"Moderate - Slope",TRUE,"Strong - Slope")</f>
        <v>Sideway Flat</v>
      </c>
      <c r="AM37" s="1" t="str" cm="1">
        <f t="array" ref="AM37">_xlfn.IFS(AF37&gt;3,"Strong + Slope",AF37&gt;1.5,"Moderate + Slope",AF37&gt;0.5,"Sideway + Slope",AF37&gt;=-0.5,"Sideway Flat",AF37&gt;=-1.5,"Sideway - Slope",AF37&gt;=-3,"Moderate - Slope",TRUE,"Strong - Slope")</f>
        <v>Sideway + Slope</v>
      </c>
    </row>
    <row r="38" spans="1:39" x14ac:dyDescent="0.55000000000000004">
      <c r="A38" s="1">
        <v>36</v>
      </c>
      <c r="B38" s="1" t="s">
        <v>38</v>
      </c>
      <c r="C38" s="1" t="s">
        <v>3</v>
      </c>
      <c r="D38" s="1" t="s">
        <v>102</v>
      </c>
      <c r="E38" s="1">
        <v>152.90799999999999</v>
      </c>
      <c r="F38" s="1">
        <v>152.83500000000001</v>
      </c>
      <c r="G38" s="1">
        <v>152.89400000000001</v>
      </c>
      <c r="H38" s="1">
        <v>152.953</v>
      </c>
      <c r="I38" s="1">
        <v>152.898</v>
      </c>
      <c r="J38" s="1">
        <v>153.214</v>
      </c>
      <c r="K38" s="1">
        <v>152.58699999999999</v>
      </c>
      <c r="L38" s="1">
        <v>152.595</v>
      </c>
      <c r="M38" s="1">
        <v>152.82300000000001</v>
      </c>
      <c r="N38" s="10">
        <f t="shared" si="13"/>
        <v>7.2999999999979082E-2</v>
      </c>
      <c r="O38" s="10">
        <f t="shared" si="14"/>
        <v>4.5999999999992269E-2</v>
      </c>
      <c r="P38" s="10">
        <f t="shared" si="15"/>
        <v>2.6999999999986812E-2</v>
      </c>
      <c r="Q38" s="10">
        <f t="shared" si="16"/>
        <v>7.2999999999979082E-2</v>
      </c>
      <c r="R38" s="10">
        <f t="shared" si="5"/>
        <v>0.10392857142856826</v>
      </c>
      <c r="S38" s="1"/>
      <c r="T38" s="2">
        <f>SLOPE(H25:H38,$A25:$A38)</f>
        <v>-2.4461538461543449E-3</v>
      </c>
      <c r="U38" s="2">
        <f>SLOPE(I25:I38,$A25:$A38)</f>
        <v>-3.8901098901034787E-4</v>
      </c>
      <c r="V38" s="2">
        <f>SLOPE(J25:J38,$A25:$A38)</f>
        <v>-1.6417582417584601E-3</v>
      </c>
      <c r="W38" s="2">
        <f>SLOPE(K25:K38,$A25:$A38)</f>
        <v>7.6703296703300647E-4</v>
      </c>
      <c r="X38" s="2">
        <f>SLOPE(L25:L38,$A25:$A38)</f>
        <v>-2.3076923077033267E-4</v>
      </c>
      <c r="Y38" s="2">
        <f>SLOPE(M25:M38,$A25:$A38)</f>
        <v>1.571428571428454E-3</v>
      </c>
      <c r="Z38" s="1"/>
      <c r="AA38" s="2">
        <f t="shared" si="7"/>
        <v>-1.3483146837808802</v>
      </c>
      <c r="AB38" s="2">
        <f t="shared" si="8"/>
        <v>-0.21446059978573626</v>
      </c>
      <c r="AC38" s="2">
        <f t="shared" si="9"/>
        <v>-0.90502538009797084</v>
      </c>
      <c r="AD38" s="2">
        <f t="shared" si="10"/>
        <v>0.42285728779190579</v>
      </c>
      <c r="AE38" s="2">
        <f t="shared" si="11"/>
        <v>-0.12722277476411059</v>
      </c>
      <c r="AF38" s="2">
        <f t="shared" si="12"/>
        <v>0.8662619259616855</v>
      </c>
      <c r="AG38" s="1"/>
      <c r="AH38" s="1" t="str" cm="1">
        <f t="array" ref="AH38">_xlfn.IFS(AA38&gt;3,"Strong + Slope",AA38&gt;1.5,"Moderate + Slope",AA38&gt;0.5,"Sideway + Slope",AA38&gt;=-0.5,"Sideway Flat",AA38&gt;=-1.5,"Sideway - Slope",AA38&gt;=-3,"Moderate - Slope",TRUE,"Strong - Slope")</f>
        <v>Sideway - Slope</v>
      </c>
      <c r="AI38" s="1" t="str" cm="1">
        <f t="array" ref="AI38">_xlfn.IFS(AB38&gt;3,"Strong + Slope",AB38&gt;1.5,"Moderate + Slope",AB38&gt;0.5,"Sideway + Slope",AB38&gt;=-0.5,"Sideway Flat",AB38&gt;=-1.5,"Sideway - Slope",AB38&gt;=-3,"Moderate - Slope",TRUE,"Strong - Slope")</f>
        <v>Sideway Flat</v>
      </c>
      <c r="AJ38" s="1" t="str" cm="1">
        <f t="array" ref="AJ38">_xlfn.IFS(AC38&gt;3,"Strong + Slope",AC38&gt;1.5,"Moderate + Slope",AC38&gt;0.5,"Sideway + Slope",AC38&gt;=-0.5,"Sideway Flat",AC38&gt;=-1.5,"Sideway - Slope",AC38&gt;=-3,"Moderate - Slope",TRUE,"Strong - Slope")</f>
        <v>Sideway - Slope</v>
      </c>
      <c r="AK38" s="1" t="str" cm="1">
        <f t="array" ref="AK38">_xlfn.IFS(AD38&gt;3,"Strong + Slope",AD38&gt;1.5,"Moderate + Slope",AD38&gt;0.5,"Sideway + Slope",AD38&gt;=-0.5,"Sideway Flat",AD38&gt;=-1.5,"Sideway - Slope",AD38&gt;=-3,"Moderate - Slope",TRUE,"Strong - Slope")</f>
        <v>Sideway Flat</v>
      </c>
      <c r="AL38" s="1" t="str" cm="1">
        <f t="array" ref="AL38">_xlfn.IFS(AE38&gt;3,"Strong + Slope",AE38&gt;1.5,"Moderate + Slope",AE38&gt;0.5,"Sideway + Slope",AE38&gt;=-0.5,"Sideway Flat",AE38&gt;=-1.5,"Sideway - Slope",AE38&gt;=-3,"Moderate - Slope",TRUE,"Strong - Slope")</f>
        <v>Sideway Flat</v>
      </c>
      <c r="AM38" s="1" t="str" cm="1">
        <f t="array" ref="AM38">_xlfn.IFS(AF38&gt;3,"Strong + Slope",AF38&gt;1.5,"Moderate + Slope",AF38&gt;0.5,"Sideway + Slope",AF38&gt;=-0.5,"Sideway Flat",AF38&gt;=-1.5,"Sideway - Slope",AF38&gt;=-3,"Moderate - Slope",TRUE,"Strong - Slope")</f>
        <v>Sideway + Slope</v>
      </c>
    </row>
    <row r="39" spans="1:39" x14ac:dyDescent="0.55000000000000004">
      <c r="A39" s="1">
        <v>37</v>
      </c>
      <c r="B39" s="1" t="s">
        <v>39</v>
      </c>
      <c r="C39" s="1" t="s">
        <v>3</v>
      </c>
      <c r="D39" s="1" t="s">
        <v>102</v>
      </c>
      <c r="E39" s="1">
        <v>152.90600000000001</v>
      </c>
      <c r="F39" s="1">
        <v>152.804</v>
      </c>
      <c r="G39" s="1">
        <v>152.80699999999999</v>
      </c>
      <c r="H39" s="1">
        <v>152.95099999999999</v>
      </c>
      <c r="I39" s="1">
        <v>152.898</v>
      </c>
      <c r="J39" s="1">
        <v>153.21199999999999</v>
      </c>
      <c r="K39" s="1">
        <v>152.58799999999999</v>
      </c>
      <c r="L39" s="1">
        <v>152.595</v>
      </c>
      <c r="M39" s="1">
        <v>152.82499999999999</v>
      </c>
      <c r="N39" s="10">
        <f t="shared" si="13"/>
        <v>0.10200000000000387</v>
      </c>
      <c r="O39" s="10">
        <f t="shared" si="14"/>
        <v>1.2000000000000455E-2</v>
      </c>
      <c r="P39" s="10">
        <f t="shared" si="15"/>
        <v>9.0000000000003411E-2</v>
      </c>
      <c r="Q39" s="10">
        <f t="shared" si="16"/>
        <v>0.10200000000000387</v>
      </c>
      <c r="R39" s="10">
        <f t="shared" si="5"/>
        <v>0.10421428571428391</v>
      </c>
      <c r="S39" s="1"/>
      <c r="T39" s="2">
        <f>SLOPE(H26:H39,$A26:$A39)</f>
        <v>-2.4461538461541575E-3</v>
      </c>
      <c r="U39" s="2">
        <f>SLOPE(I26:I39,$A26:$A39)</f>
        <v>-3.7802197802172164E-4</v>
      </c>
      <c r="V39" s="2">
        <f>SLOPE(J26:J39,$A26:$A39)</f>
        <v>-1.6351648351650846E-3</v>
      </c>
      <c r="W39" s="2">
        <f>SLOPE(K26:K39,$A26:$A39)</f>
        <v>7.7802197802169515E-4</v>
      </c>
      <c r="X39" s="2">
        <f>SLOPE(L26:L39,$A26:$A39)</f>
        <v>-2.1538461538564381E-4</v>
      </c>
      <c r="Y39" s="2">
        <f>SLOPE(M26:M39,$A26:$A39)</f>
        <v>1.5802197802192051E-3</v>
      </c>
      <c r="Z39" s="1"/>
      <c r="AA39" s="2">
        <f t="shared" si="7"/>
        <v>-1.344619498028371</v>
      </c>
      <c r="AB39" s="2">
        <f t="shared" si="8"/>
        <v>-0.2078310930380487</v>
      </c>
      <c r="AC39" s="2">
        <f t="shared" si="9"/>
        <v>-0.89892048902894162</v>
      </c>
      <c r="AD39" s="2">
        <f t="shared" si="10"/>
        <v>0.42773931861233844</v>
      </c>
      <c r="AE39" s="2">
        <f t="shared" si="11"/>
        <v>-0.11841574097384124</v>
      </c>
      <c r="AF39" s="2">
        <f t="shared" si="12"/>
        <v>0.86871953693253967</v>
      </c>
      <c r="AG39" s="1"/>
      <c r="AH39" s="1" t="str" cm="1">
        <f t="array" ref="AH39">_xlfn.IFS(AA39&gt;3,"Strong + Slope",AA39&gt;1.5,"Moderate + Slope",AA39&gt;0.5,"Sideway + Slope",AA39&gt;=-0.5,"Sideway Flat",AA39&gt;=-1.5,"Sideway - Slope",AA39&gt;=-3,"Moderate - Slope",TRUE,"Strong - Slope")</f>
        <v>Sideway - Slope</v>
      </c>
      <c r="AI39" s="1" t="str" cm="1">
        <f t="array" ref="AI39">_xlfn.IFS(AB39&gt;3,"Strong + Slope",AB39&gt;1.5,"Moderate + Slope",AB39&gt;0.5,"Sideway + Slope",AB39&gt;=-0.5,"Sideway Flat",AB39&gt;=-1.5,"Sideway - Slope",AB39&gt;=-3,"Moderate - Slope",TRUE,"Strong - Slope")</f>
        <v>Sideway Flat</v>
      </c>
      <c r="AJ39" s="1" t="str" cm="1">
        <f t="array" ref="AJ39">_xlfn.IFS(AC39&gt;3,"Strong + Slope",AC39&gt;1.5,"Moderate + Slope",AC39&gt;0.5,"Sideway + Slope",AC39&gt;=-0.5,"Sideway Flat",AC39&gt;=-1.5,"Sideway - Slope",AC39&gt;=-3,"Moderate - Slope",TRUE,"Strong - Slope")</f>
        <v>Sideway - Slope</v>
      </c>
      <c r="AK39" s="1" t="str" cm="1">
        <f t="array" ref="AK39">_xlfn.IFS(AD39&gt;3,"Strong + Slope",AD39&gt;1.5,"Moderate + Slope",AD39&gt;0.5,"Sideway + Slope",AD39&gt;=-0.5,"Sideway Flat",AD39&gt;=-1.5,"Sideway - Slope",AD39&gt;=-3,"Moderate - Slope",TRUE,"Strong - Slope")</f>
        <v>Sideway Flat</v>
      </c>
      <c r="AL39" s="1" t="str" cm="1">
        <f t="array" ref="AL39">_xlfn.IFS(AE39&gt;3,"Strong + Slope",AE39&gt;1.5,"Moderate + Slope",AE39&gt;0.5,"Sideway + Slope",AE39&gt;=-0.5,"Sideway Flat",AE39&gt;=-1.5,"Sideway - Slope",AE39&gt;=-3,"Moderate - Slope",TRUE,"Strong - Slope")</f>
        <v>Sideway Flat</v>
      </c>
      <c r="AM39" s="1" t="str" cm="1">
        <f t="array" ref="AM39">_xlfn.IFS(AF39&gt;3,"Strong + Slope",AF39&gt;1.5,"Moderate + Slope",AF39&gt;0.5,"Sideway + Slope",AF39&gt;=-0.5,"Sideway Flat",AF39&gt;=-1.5,"Sideway - Slope",AF39&gt;=-3,"Moderate - Slope",TRUE,"Strong - Slope")</f>
        <v>Sideway + Slope</v>
      </c>
    </row>
    <row r="40" spans="1:39" x14ac:dyDescent="0.55000000000000004">
      <c r="A40" s="1">
        <v>38</v>
      </c>
      <c r="B40" s="1" t="s">
        <v>40</v>
      </c>
      <c r="C40" s="1" t="s">
        <v>3</v>
      </c>
      <c r="D40" s="1" t="s">
        <v>102</v>
      </c>
      <c r="E40" s="1">
        <v>152.87299999999999</v>
      </c>
      <c r="F40" s="1">
        <v>152.79</v>
      </c>
      <c r="G40" s="1">
        <v>152.81700000000001</v>
      </c>
      <c r="H40" s="1">
        <v>152.94900000000001</v>
      </c>
      <c r="I40" s="1">
        <v>152.89699999999999</v>
      </c>
      <c r="J40" s="1">
        <v>153.21</v>
      </c>
      <c r="K40" s="1">
        <v>152.58799999999999</v>
      </c>
      <c r="L40" s="1">
        <v>152.59399999999999</v>
      </c>
      <c r="M40" s="1">
        <v>152.827</v>
      </c>
      <c r="N40" s="10">
        <f t="shared" si="13"/>
        <v>8.2999999999998408E-2</v>
      </c>
      <c r="O40" s="10">
        <f t="shared" si="14"/>
        <v>6.6000000000002501E-2</v>
      </c>
      <c r="P40" s="10">
        <f t="shared" si="15"/>
        <v>1.6999999999995907E-2</v>
      </c>
      <c r="Q40" s="10">
        <f t="shared" si="16"/>
        <v>8.2999999999998408E-2</v>
      </c>
      <c r="R40" s="10">
        <f t="shared" si="5"/>
        <v>0.10764285714285547</v>
      </c>
      <c r="S40" s="1"/>
      <c r="T40" s="2">
        <f>SLOPE(H27:H40,$A27:$A40)</f>
        <v>-2.4197802197800304E-3</v>
      </c>
      <c r="U40" s="2">
        <f>SLOPE(I27:I40,$A27:$A40)</f>
        <v>-3.7362637362665848E-4</v>
      </c>
      <c r="V40" s="2">
        <f>SLOPE(J27:J40,$A27:$A40)</f>
        <v>-1.6505494505493986E-3</v>
      </c>
      <c r="W40" s="2">
        <f>SLOPE(K27:K40,$A27:$A40)</f>
        <v>7.7362637362594488E-4</v>
      </c>
      <c r="X40" s="2">
        <f>SLOPE(L27:L40,$A27:$A40)</f>
        <v>-2.1538461538564381E-4</v>
      </c>
      <c r="Y40" s="2">
        <f>SLOPE(M27:M40,$A27:$A40)</f>
        <v>1.5824175824170176E-3</v>
      </c>
      <c r="Z40" s="1"/>
      <c r="AA40" s="2">
        <f t="shared" si="7"/>
        <v>-1.287775620587313</v>
      </c>
      <c r="AB40" s="2">
        <f t="shared" si="8"/>
        <v>-0.19887179626300427</v>
      </c>
      <c r="AC40" s="2">
        <f t="shared" si="9"/>
        <v>-0.87848008935361943</v>
      </c>
      <c r="AD40" s="2">
        <f t="shared" si="10"/>
        <v>0.41177616567287095</v>
      </c>
      <c r="AE40" s="2">
        <f t="shared" si="11"/>
        <v>-0.11464404877337982</v>
      </c>
      <c r="AF40" s="2">
        <f t="shared" si="12"/>
        <v>0.84222326435701178</v>
      </c>
      <c r="AG40" s="1"/>
      <c r="AH40" s="1" t="str" cm="1">
        <f t="array" ref="AH40">_xlfn.IFS(AA40&gt;3,"Strong + Slope",AA40&gt;1.5,"Moderate + Slope",AA40&gt;0.5,"Sideway + Slope",AA40&gt;=-0.5,"Sideway Flat",AA40&gt;=-1.5,"Sideway - Slope",AA40&gt;=-3,"Moderate - Slope",TRUE,"Strong - Slope")</f>
        <v>Sideway - Slope</v>
      </c>
      <c r="AI40" s="1" t="str" cm="1">
        <f t="array" ref="AI40">_xlfn.IFS(AB40&gt;3,"Strong + Slope",AB40&gt;1.5,"Moderate + Slope",AB40&gt;0.5,"Sideway + Slope",AB40&gt;=-0.5,"Sideway Flat",AB40&gt;=-1.5,"Sideway - Slope",AB40&gt;=-3,"Moderate - Slope",TRUE,"Strong - Slope")</f>
        <v>Sideway Flat</v>
      </c>
      <c r="AJ40" s="1" t="str" cm="1">
        <f t="array" ref="AJ40">_xlfn.IFS(AC40&gt;3,"Strong + Slope",AC40&gt;1.5,"Moderate + Slope",AC40&gt;0.5,"Sideway + Slope",AC40&gt;=-0.5,"Sideway Flat",AC40&gt;=-1.5,"Sideway - Slope",AC40&gt;=-3,"Moderate - Slope",TRUE,"Strong - Slope")</f>
        <v>Sideway - Slope</v>
      </c>
      <c r="AK40" s="1" t="str" cm="1">
        <f t="array" ref="AK40">_xlfn.IFS(AD40&gt;3,"Strong + Slope",AD40&gt;1.5,"Moderate + Slope",AD40&gt;0.5,"Sideway + Slope",AD40&gt;=-0.5,"Sideway Flat",AD40&gt;=-1.5,"Sideway - Slope",AD40&gt;=-3,"Moderate - Slope",TRUE,"Strong - Slope")</f>
        <v>Sideway Flat</v>
      </c>
      <c r="AL40" s="1" t="str" cm="1">
        <f t="array" ref="AL40">_xlfn.IFS(AE40&gt;3,"Strong + Slope",AE40&gt;1.5,"Moderate + Slope",AE40&gt;0.5,"Sideway + Slope",AE40&gt;=-0.5,"Sideway Flat",AE40&gt;=-1.5,"Sideway - Slope",AE40&gt;=-3,"Moderate - Slope",TRUE,"Strong - Slope")</f>
        <v>Sideway Flat</v>
      </c>
      <c r="AM40" s="1" t="str" cm="1">
        <f t="array" ref="AM40">_xlfn.IFS(AF40&gt;3,"Strong + Slope",AF40&gt;1.5,"Moderate + Slope",AF40&gt;0.5,"Sideway + Slope",AF40&gt;=-0.5,"Sideway Flat",AF40&gt;=-1.5,"Sideway - Slope",AF40&gt;=-3,"Moderate - Slope",TRUE,"Strong - Slope")</f>
        <v>Sideway + Slope</v>
      </c>
    </row>
    <row r="41" spans="1:39" x14ac:dyDescent="0.55000000000000004">
      <c r="A41" s="1">
        <v>39</v>
      </c>
      <c r="B41" s="1" t="s">
        <v>41</v>
      </c>
      <c r="C41" s="1" t="s">
        <v>3</v>
      </c>
      <c r="D41" s="1" t="s">
        <v>102</v>
      </c>
      <c r="E41" s="1">
        <v>152.83699999999999</v>
      </c>
      <c r="F41" s="1">
        <v>152.74700000000001</v>
      </c>
      <c r="G41" s="1">
        <v>152.77000000000001</v>
      </c>
      <c r="H41" s="1">
        <v>152.946</v>
      </c>
      <c r="I41" s="1">
        <v>152.89699999999999</v>
      </c>
      <c r="J41" s="1">
        <v>153.209</v>
      </c>
      <c r="K41" s="1">
        <v>152.589</v>
      </c>
      <c r="L41" s="1">
        <v>152.59399999999999</v>
      </c>
      <c r="M41" s="1">
        <v>152.828</v>
      </c>
      <c r="N41" s="10">
        <f t="shared" si="13"/>
        <v>8.9999999999974989E-2</v>
      </c>
      <c r="O41" s="10">
        <f t="shared" si="14"/>
        <v>1.999999999998181E-2</v>
      </c>
      <c r="P41" s="10">
        <f t="shared" si="15"/>
        <v>6.9999999999993179E-2</v>
      </c>
      <c r="Q41" s="10">
        <f t="shared" si="16"/>
        <v>8.9999999999974989E-2</v>
      </c>
      <c r="R41" s="10">
        <f t="shared" si="5"/>
        <v>0.10492857142856694</v>
      </c>
      <c r="S41" s="1"/>
      <c r="T41" s="2">
        <f>SLOPE(H28:H41,$A28:$A41)</f>
        <v>-2.4285714285716561E-3</v>
      </c>
      <c r="U41" s="2">
        <f>SLOPE(I28:I41,$A28:$A41)</f>
        <v>-3.7582417582515828E-4</v>
      </c>
      <c r="V41" s="2">
        <f>SLOPE(J28:J41,$A28:$A41)</f>
        <v>-1.6263736263735838E-3</v>
      </c>
      <c r="W41" s="2">
        <f>SLOPE(K28:K41,$A28:$A41)</f>
        <v>7.5384615384575554E-4</v>
      </c>
      <c r="X41" s="2">
        <f>SLOPE(L28:L41,$A28:$A41)</f>
        <v>-2.3076923077033267E-4</v>
      </c>
      <c r="Y41" s="2">
        <f>SLOPE(M28:M41,$A28:$A41)</f>
        <v>1.578021978021892E-3</v>
      </c>
      <c r="Z41" s="1"/>
      <c r="AA41" s="2">
        <f t="shared" si="7"/>
        <v>-1.32587390277804</v>
      </c>
      <c r="AB41" s="2">
        <f t="shared" si="8"/>
        <v>-0.20521624130337279</v>
      </c>
      <c r="AC41" s="2">
        <f t="shared" si="9"/>
        <v>-0.88800297357568159</v>
      </c>
      <c r="AD41" s="2">
        <f t="shared" si="10"/>
        <v>0.41162725582976317</v>
      </c>
      <c r="AE41" s="2">
        <f t="shared" si="11"/>
        <v>-0.12601030840898689</v>
      </c>
      <c r="AF41" s="2">
        <f t="shared" si="12"/>
        <v>0.8616069259876602</v>
      </c>
      <c r="AG41" s="1"/>
      <c r="AH41" s="1" t="str" cm="1">
        <f t="array" ref="AH41">_xlfn.IFS(AA41&gt;3,"Strong + Slope",AA41&gt;1.5,"Moderate + Slope",AA41&gt;0.5,"Sideway + Slope",AA41&gt;=-0.5,"Sideway Flat",AA41&gt;=-1.5,"Sideway - Slope",AA41&gt;=-3,"Moderate - Slope",TRUE,"Strong - Slope")</f>
        <v>Sideway - Slope</v>
      </c>
      <c r="AI41" s="1" t="str" cm="1">
        <f t="array" ref="AI41">_xlfn.IFS(AB41&gt;3,"Strong + Slope",AB41&gt;1.5,"Moderate + Slope",AB41&gt;0.5,"Sideway + Slope",AB41&gt;=-0.5,"Sideway Flat",AB41&gt;=-1.5,"Sideway - Slope",AB41&gt;=-3,"Moderate - Slope",TRUE,"Strong - Slope")</f>
        <v>Sideway Flat</v>
      </c>
      <c r="AJ41" s="1" t="str" cm="1">
        <f t="array" ref="AJ41">_xlfn.IFS(AC41&gt;3,"Strong + Slope",AC41&gt;1.5,"Moderate + Slope",AC41&gt;0.5,"Sideway + Slope",AC41&gt;=-0.5,"Sideway Flat",AC41&gt;=-1.5,"Sideway - Slope",AC41&gt;=-3,"Moderate - Slope",TRUE,"Strong - Slope")</f>
        <v>Sideway - Slope</v>
      </c>
      <c r="AK41" s="1" t="str" cm="1">
        <f t="array" ref="AK41">_xlfn.IFS(AD41&gt;3,"Strong + Slope",AD41&gt;1.5,"Moderate + Slope",AD41&gt;0.5,"Sideway + Slope",AD41&gt;=-0.5,"Sideway Flat",AD41&gt;=-1.5,"Sideway - Slope",AD41&gt;=-3,"Moderate - Slope",TRUE,"Strong - Slope")</f>
        <v>Sideway Flat</v>
      </c>
      <c r="AL41" s="1" t="str" cm="1">
        <f t="array" ref="AL41">_xlfn.IFS(AE41&gt;3,"Strong + Slope",AE41&gt;1.5,"Moderate + Slope",AE41&gt;0.5,"Sideway + Slope",AE41&gt;=-0.5,"Sideway Flat",AE41&gt;=-1.5,"Sideway - Slope",AE41&gt;=-3,"Moderate - Slope",TRUE,"Strong - Slope")</f>
        <v>Sideway Flat</v>
      </c>
      <c r="AM41" s="1" t="str" cm="1">
        <f t="array" ref="AM41">_xlfn.IFS(AF41&gt;3,"Strong + Slope",AF41&gt;1.5,"Moderate + Slope",AF41&gt;0.5,"Sideway + Slope",AF41&gt;=-0.5,"Sideway Flat",AF41&gt;=-1.5,"Sideway - Slope",AF41&gt;=-3,"Moderate - Slope",TRUE,"Strong - Slope")</f>
        <v>Sideway + Slope</v>
      </c>
    </row>
    <row r="42" spans="1:39" x14ac:dyDescent="0.55000000000000004">
      <c r="A42" s="1">
        <v>40</v>
      </c>
      <c r="B42" s="1" t="s">
        <v>42</v>
      </c>
      <c r="C42" s="1" t="s">
        <v>3</v>
      </c>
      <c r="D42" s="1" t="s">
        <v>102</v>
      </c>
      <c r="E42" s="1">
        <v>152.791</v>
      </c>
      <c r="F42" s="1">
        <v>152.74199999999999</v>
      </c>
      <c r="G42" s="1">
        <v>152.79</v>
      </c>
      <c r="H42" s="1">
        <v>152.94399999999999</v>
      </c>
      <c r="I42" s="1">
        <v>152.89699999999999</v>
      </c>
      <c r="J42" s="1">
        <v>153.20699999999999</v>
      </c>
      <c r="K42" s="1">
        <v>152.59</v>
      </c>
      <c r="L42" s="1">
        <v>152.59399999999999</v>
      </c>
      <c r="M42" s="1">
        <v>152.83000000000001</v>
      </c>
      <c r="N42" s="10">
        <f t="shared" si="13"/>
        <v>4.9000000000006594E-2</v>
      </c>
      <c r="O42" s="10">
        <f t="shared" si="14"/>
        <v>2.0999999999986585E-2</v>
      </c>
      <c r="P42" s="10">
        <f t="shared" si="15"/>
        <v>2.8000000000020009E-2</v>
      </c>
      <c r="Q42" s="10">
        <f t="shared" si="16"/>
        <v>4.9000000000006594E-2</v>
      </c>
      <c r="R42" s="10">
        <f t="shared" si="5"/>
        <v>0.10464285714285333</v>
      </c>
      <c r="S42" s="1"/>
      <c r="T42" s="2">
        <f>SLOPE(H29:H42,$A29:$A42)</f>
        <v>-2.4109890109893419E-3</v>
      </c>
      <c r="U42" s="2">
        <f>SLOPE(I29:I42,$A29:$A42)</f>
        <v>-3.5604395604565611E-4</v>
      </c>
      <c r="V42" s="2">
        <f>SLOPE(J29:J42,$A29:$A42)</f>
        <v>-1.6241758241763958E-3</v>
      </c>
      <c r="W42" s="2">
        <f>SLOPE(K29:K42,$A29:$A42)</f>
        <v>7.4725274725269224E-4</v>
      </c>
      <c r="X42" s="2">
        <f>SLOPE(L29:L42,$A29:$A42)</f>
        <v>-2.3296703296814535E-4</v>
      </c>
      <c r="Y42" s="2">
        <f>SLOPE(M29:M42,$A29:$A42)</f>
        <v>1.6000000000000814E-3</v>
      </c>
      <c r="Z42" s="1"/>
      <c r="AA42" s="2">
        <f t="shared" si="7"/>
        <v>-1.3198708691875021</v>
      </c>
      <c r="AB42" s="2">
        <f t="shared" si="8"/>
        <v>-0.19494629484180928</v>
      </c>
      <c r="AC42" s="2">
        <f t="shared" si="9"/>
        <v>-0.88922407862407127</v>
      </c>
      <c r="AD42" s="2">
        <f t="shared" si="10"/>
        <v>0.40914116915487353</v>
      </c>
      <c r="AE42" s="2">
        <f t="shared" si="11"/>
        <v>-0.12755773367033149</v>
      </c>
      <c r="AF42" s="2">
        <f t="shared" si="12"/>
        <v>0.8759900743745419</v>
      </c>
      <c r="AG42" s="1"/>
      <c r="AH42" s="1" t="str" cm="1">
        <f t="array" ref="AH42">_xlfn.IFS(AA42&gt;3,"Strong + Slope",AA42&gt;1.5,"Moderate + Slope",AA42&gt;0.5,"Sideway + Slope",AA42&gt;=-0.5,"Sideway Flat",AA42&gt;=-1.5,"Sideway - Slope",AA42&gt;=-3,"Moderate - Slope",TRUE,"Strong - Slope")</f>
        <v>Sideway - Slope</v>
      </c>
      <c r="AI42" s="1" t="str" cm="1">
        <f t="array" ref="AI42">_xlfn.IFS(AB42&gt;3,"Strong + Slope",AB42&gt;1.5,"Moderate + Slope",AB42&gt;0.5,"Sideway + Slope",AB42&gt;=-0.5,"Sideway Flat",AB42&gt;=-1.5,"Sideway - Slope",AB42&gt;=-3,"Moderate - Slope",TRUE,"Strong - Slope")</f>
        <v>Sideway Flat</v>
      </c>
      <c r="AJ42" s="1" t="str" cm="1">
        <f t="array" ref="AJ42">_xlfn.IFS(AC42&gt;3,"Strong + Slope",AC42&gt;1.5,"Moderate + Slope",AC42&gt;0.5,"Sideway + Slope",AC42&gt;=-0.5,"Sideway Flat",AC42&gt;=-1.5,"Sideway - Slope",AC42&gt;=-3,"Moderate - Slope",TRUE,"Strong - Slope")</f>
        <v>Sideway - Slope</v>
      </c>
      <c r="AK42" s="1" t="str" cm="1">
        <f t="array" ref="AK42">_xlfn.IFS(AD42&gt;3,"Strong + Slope",AD42&gt;1.5,"Moderate + Slope",AD42&gt;0.5,"Sideway + Slope",AD42&gt;=-0.5,"Sideway Flat",AD42&gt;=-1.5,"Sideway - Slope",AD42&gt;=-3,"Moderate - Slope",TRUE,"Strong - Slope")</f>
        <v>Sideway Flat</v>
      </c>
      <c r="AL42" s="1" t="str" cm="1">
        <f t="array" ref="AL42">_xlfn.IFS(AE42&gt;3,"Strong + Slope",AE42&gt;1.5,"Moderate + Slope",AE42&gt;0.5,"Sideway + Slope",AE42&gt;=-0.5,"Sideway Flat",AE42&gt;=-1.5,"Sideway - Slope",AE42&gt;=-3,"Moderate - Slope",TRUE,"Strong - Slope")</f>
        <v>Sideway Flat</v>
      </c>
      <c r="AM42" s="1" t="str" cm="1">
        <f t="array" ref="AM42">_xlfn.IFS(AF42&gt;3,"Strong + Slope",AF42&gt;1.5,"Moderate + Slope",AF42&gt;0.5,"Sideway + Slope",AF42&gt;=-0.5,"Sideway Flat",AF42&gt;=-1.5,"Sideway - Slope",AF42&gt;=-3,"Moderate - Slope",TRUE,"Strong - Slope")</f>
        <v>Sideway + Slope</v>
      </c>
    </row>
    <row r="43" spans="1:39" x14ac:dyDescent="0.55000000000000004">
      <c r="A43" s="1">
        <v>41</v>
      </c>
      <c r="B43" s="1" t="s">
        <v>43</v>
      </c>
      <c r="C43" s="1" t="s">
        <v>3</v>
      </c>
      <c r="D43" s="1" t="s">
        <v>102</v>
      </c>
      <c r="E43" s="1">
        <v>152.79900000000001</v>
      </c>
      <c r="F43" s="1">
        <v>152.76599999999999</v>
      </c>
      <c r="G43" s="1">
        <v>152.78899999999999</v>
      </c>
      <c r="H43" s="1">
        <v>152.941</v>
      </c>
      <c r="I43" s="1">
        <v>152.89599999999999</v>
      </c>
      <c r="J43" s="1">
        <v>153.20500000000001</v>
      </c>
      <c r="K43" s="1">
        <v>152.59100000000001</v>
      </c>
      <c r="L43" s="1">
        <v>152.59399999999999</v>
      </c>
      <c r="M43" s="1">
        <v>152.83099999999999</v>
      </c>
      <c r="N43" s="10">
        <f t="shared" si="13"/>
        <v>3.3000000000015461E-2</v>
      </c>
      <c r="O43" s="10">
        <f t="shared" si="14"/>
        <v>9.0000000000145519E-3</v>
      </c>
      <c r="P43" s="10">
        <f t="shared" si="15"/>
        <v>2.4000000000000909E-2</v>
      </c>
      <c r="Q43" s="10">
        <f t="shared" si="16"/>
        <v>3.3000000000015461E-2</v>
      </c>
      <c r="R43" s="10">
        <f t="shared" si="5"/>
        <v>9.0928571428569124E-2</v>
      </c>
      <c r="S43" s="1"/>
      <c r="T43" s="2">
        <f>SLOPE(H30:H43,$A30:$A43)</f>
        <v>-2.4285714285718434E-3</v>
      </c>
      <c r="U43" s="2">
        <f>SLOPE(I30:I43,$A30:$A43)</f>
        <v>-3.7582417582597035E-4</v>
      </c>
      <c r="V43" s="2">
        <f>SLOPE(J30:J43,$A30:$A43)</f>
        <v>-1.6439560439560855E-3</v>
      </c>
      <c r="W43" s="2">
        <f>SLOPE(K30:K43,$A30:$A43)</f>
        <v>7.5384615384675496E-4</v>
      </c>
      <c r="X43" s="2">
        <f>SLOPE(L30:L43,$A30:$A43)</f>
        <v>-2.2197802197908189E-4</v>
      </c>
      <c r="Y43" s="2">
        <f>SLOPE(M30:M43,$A30:$A43)</f>
        <v>1.5868131868128305E-3</v>
      </c>
      <c r="Z43" s="1"/>
      <c r="AA43" s="2">
        <f t="shared" si="7"/>
        <v>-1.5299241853751377</v>
      </c>
      <c r="AB43" s="2">
        <f t="shared" si="8"/>
        <v>-0.23681243594403731</v>
      </c>
      <c r="AC43" s="2">
        <f t="shared" si="9"/>
        <v>-1.0357743515513034</v>
      </c>
      <c r="AD43" s="2">
        <f t="shared" si="10"/>
        <v>0.4750015622658898</v>
      </c>
      <c r="AE43" s="2">
        <f t="shared" si="11"/>
        <v>-0.13987219131106096</v>
      </c>
      <c r="AF43" s="2">
        <f t="shared" si="12"/>
        <v>0.99977893901433823</v>
      </c>
      <c r="AG43" s="1"/>
      <c r="AH43" s="1" t="str" cm="1">
        <f t="array" ref="AH43">_xlfn.IFS(AA43&gt;3,"Strong + Slope",AA43&gt;1.5,"Moderate + Slope",AA43&gt;0.5,"Sideway + Slope",AA43&gt;=-0.5,"Sideway Flat",AA43&gt;=-1.5,"Sideway - Slope",AA43&gt;=-3,"Moderate - Slope",TRUE,"Strong - Slope")</f>
        <v>Moderate - Slope</v>
      </c>
      <c r="AI43" s="1" t="str" cm="1">
        <f t="array" ref="AI43">_xlfn.IFS(AB43&gt;3,"Strong + Slope",AB43&gt;1.5,"Moderate + Slope",AB43&gt;0.5,"Sideway + Slope",AB43&gt;=-0.5,"Sideway Flat",AB43&gt;=-1.5,"Sideway - Slope",AB43&gt;=-3,"Moderate - Slope",TRUE,"Strong - Slope")</f>
        <v>Sideway Flat</v>
      </c>
      <c r="AJ43" s="1" t="str" cm="1">
        <f t="array" ref="AJ43">_xlfn.IFS(AC43&gt;3,"Strong + Slope",AC43&gt;1.5,"Moderate + Slope",AC43&gt;0.5,"Sideway + Slope",AC43&gt;=-0.5,"Sideway Flat",AC43&gt;=-1.5,"Sideway - Slope",AC43&gt;=-3,"Moderate - Slope",TRUE,"Strong - Slope")</f>
        <v>Sideway - Slope</v>
      </c>
      <c r="AK43" s="1" t="str" cm="1">
        <f t="array" ref="AK43">_xlfn.IFS(AD43&gt;3,"Strong + Slope",AD43&gt;1.5,"Moderate + Slope",AD43&gt;0.5,"Sideway + Slope",AD43&gt;=-0.5,"Sideway Flat",AD43&gt;=-1.5,"Sideway - Slope",AD43&gt;=-3,"Moderate - Slope",TRUE,"Strong - Slope")</f>
        <v>Sideway Flat</v>
      </c>
      <c r="AL43" s="1" t="str" cm="1">
        <f t="array" ref="AL43">_xlfn.IFS(AE43&gt;3,"Strong + Slope",AE43&gt;1.5,"Moderate + Slope",AE43&gt;0.5,"Sideway + Slope",AE43&gt;=-0.5,"Sideway Flat",AE43&gt;=-1.5,"Sideway - Slope",AE43&gt;=-3,"Moderate - Slope",TRUE,"Strong - Slope")</f>
        <v>Sideway Flat</v>
      </c>
      <c r="AM43" s="1" t="str" cm="1">
        <f t="array" ref="AM43">_xlfn.IFS(AF43&gt;3,"Strong + Slope",AF43&gt;1.5,"Moderate + Slope",AF43&gt;0.5,"Sideway + Slope",AF43&gt;=-0.5,"Sideway Flat",AF43&gt;=-1.5,"Sideway - Slope",AF43&gt;=-3,"Moderate - Slope",TRUE,"Strong - Slope")</f>
        <v>Sideway + Slope</v>
      </c>
    </row>
    <row r="44" spans="1:39" x14ac:dyDescent="0.55000000000000004">
      <c r="A44" s="1">
        <v>42</v>
      </c>
      <c r="B44" s="1" t="s">
        <v>44</v>
      </c>
      <c r="C44" s="1" t="s">
        <v>3</v>
      </c>
      <c r="D44" s="1" t="s">
        <v>102</v>
      </c>
      <c r="E44" s="1">
        <v>152.79599999999999</v>
      </c>
      <c r="F44" s="1">
        <v>152.72999999999999</v>
      </c>
      <c r="G44" s="1">
        <v>152.75</v>
      </c>
      <c r="H44" s="1">
        <v>152.93899999999999</v>
      </c>
      <c r="I44" s="1">
        <v>152.89599999999999</v>
      </c>
      <c r="J44" s="1">
        <v>153.20400000000001</v>
      </c>
      <c r="K44" s="1">
        <v>152.59100000000001</v>
      </c>
      <c r="L44" s="1">
        <v>152.59299999999999</v>
      </c>
      <c r="M44" s="1">
        <v>152.833</v>
      </c>
      <c r="N44" s="10">
        <f t="shared" si="13"/>
        <v>6.6000000000002501E-2</v>
      </c>
      <c r="O44" s="10">
        <f t="shared" si="14"/>
        <v>7.0000000000050022E-3</v>
      </c>
      <c r="P44" s="10">
        <f t="shared" si="15"/>
        <v>5.8999999999997499E-2</v>
      </c>
      <c r="Q44" s="10">
        <f t="shared" si="16"/>
        <v>6.6000000000002501E-2</v>
      </c>
      <c r="R44" s="10">
        <f t="shared" si="5"/>
        <v>8.5785714285713813E-2</v>
      </c>
      <c r="S44" s="1"/>
      <c r="T44" s="2">
        <f>SLOPE(H31:H44,$A31:$A44)</f>
        <v>-2.4197802197804051E-3</v>
      </c>
      <c r="U44" s="2">
        <f>SLOPE(I31:I44,$A31:$A44)</f>
        <v>-3.7362637362815766E-4</v>
      </c>
      <c r="V44" s="2">
        <f>SLOPE(J31:J44,$A31:$A44)</f>
        <v>-1.6241758241756462E-3</v>
      </c>
      <c r="W44" s="2">
        <f>SLOPE(K31:K44,$A31:$A44)</f>
        <v>7.4505494505544177E-4</v>
      </c>
      <c r="X44" s="2">
        <f>SLOPE(L31:L44,$A31:$A44)</f>
        <v>-2.2637362637470727E-4</v>
      </c>
      <c r="Y44" s="2">
        <f>SLOPE(M31:M44,$A31:$A44)</f>
        <v>1.5999999999998316E-3</v>
      </c>
      <c r="Z44" s="1"/>
      <c r="AA44" s="2">
        <f t="shared" si="7"/>
        <v>-1.6157287045858753</v>
      </c>
      <c r="AB44" s="2">
        <f t="shared" si="8"/>
        <v>-0.24954130353090917</v>
      </c>
      <c r="AC44" s="2">
        <f t="shared" si="9"/>
        <v>-1.084647997098054</v>
      </c>
      <c r="AD44" s="2">
        <f t="shared" si="10"/>
        <v>0.49760535216669516</v>
      </c>
      <c r="AE44" s="2">
        <f t="shared" si="11"/>
        <v>-0.151193277187817</v>
      </c>
      <c r="AF44" s="2">
        <f t="shared" si="12"/>
        <v>1.0685068049888335</v>
      </c>
      <c r="AG44" s="1"/>
      <c r="AH44" s="1" t="str" cm="1">
        <f t="array" ref="AH44">_xlfn.IFS(AA44&gt;3,"Strong + Slope",AA44&gt;1.5,"Moderate + Slope",AA44&gt;0.5,"Sideway + Slope",AA44&gt;=-0.5,"Sideway Flat",AA44&gt;=-1.5,"Sideway - Slope",AA44&gt;=-3,"Moderate - Slope",TRUE,"Strong - Slope")</f>
        <v>Moderate - Slope</v>
      </c>
      <c r="AI44" s="1" t="str" cm="1">
        <f t="array" ref="AI44">_xlfn.IFS(AB44&gt;3,"Strong + Slope",AB44&gt;1.5,"Moderate + Slope",AB44&gt;0.5,"Sideway + Slope",AB44&gt;=-0.5,"Sideway Flat",AB44&gt;=-1.5,"Sideway - Slope",AB44&gt;=-3,"Moderate - Slope",TRUE,"Strong - Slope")</f>
        <v>Sideway Flat</v>
      </c>
      <c r="AJ44" s="1" t="str" cm="1">
        <f t="array" ref="AJ44">_xlfn.IFS(AC44&gt;3,"Strong + Slope",AC44&gt;1.5,"Moderate + Slope",AC44&gt;0.5,"Sideway + Slope",AC44&gt;=-0.5,"Sideway Flat",AC44&gt;=-1.5,"Sideway - Slope",AC44&gt;=-3,"Moderate - Slope",TRUE,"Strong - Slope")</f>
        <v>Sideway - Slope</v>
      </c>
      <c r="AK44" s="1" t="str" cm="1">
        <f t="array" ref="AK44">_xlfn.IFS(AD44&gt;3,"Strong + Slope",AD44&gt;1.5,"Moderate + Slope",AD44&gt;0.5,"Sideway + Slope",AD44&gt;=-0.5,"Sideway Flat",AD44&gt;=-1.5,"Sideway - Slope",AD44&gt;=-3,"Moderate - Slope",TRUE,"Strong - Slope")</f>
        <v>Sideway Flat</v>
      </c>
      <c r="AL44" s="1" t="str" cm="1">
        <f t="array" ref="AL44">_xlfn.IFS(AE44&gt;3,"Strong + Slope",AE44&gt;1.5,"Moderate + Slope",AE44&gt;0.5,"Sideway + Slope",AE44&gt;=-0.5,"Sideway Flat",AE44&gt;=-1.5,"Sideway - Slope",AE44&gt;=-3,"Moderate - Slope",TRUE,"Strong - Slope")</f>
        <v>Sideway Flat</v>
      </c>
      <c r="AM44" s="1" t="str" cm="1">
        <f t="array" ref="AM44">_xlfn.IFS(AF44&gt;3,"Strong + Slope",AF44&gt;1.5,"Moderate + Slope",AF44&gt;0.5,"Sideway + Slope",AF44&gt;=-0.5,"Sideway Flat",AF44&gt;=-1.5,"Sideway - Slope",AF44&gt;=-3,"Moderate - Slope",TRUE,"Strong - Slope")</f>
        <v>Sideway + Slope</v>
      </c>
    </row>
    <row r="45" spans="1:39" x14ac:dyDescent="0.55000000000000004">
      <c r="A45" s="1">
        <v>43</v>
      </c>
      <c r="B45" s="1" t="s">
        <v>45</v>
      </c>
      <c r="C45" s="1" t="s">
        <v>3</v>
      </c>
      <c r="D45" s="1" t="s">
        <v>102</v>
      </c>
      <c r="E45" s="1">
        <v>152.745</v>
      </c>
      <c r="F45" s="1">
        <v>152.6</v>
      </c>
      <c r="G45" s="1">
        <v>152.661</v>
      </c>
      <c r="H45" s="1">
        <v>152.93600000000001</v>
      </c>
      <c r="I45" s="1">
        <v>152.89500000000001</v>
      </c>
      <c r="J45" s="1">
        <v>153.202</v>
      </c>
      <c r="K45" s="1">
        <v>152.59200000000001</v>
      </c>
      <c r="L45" s="1">
        <v>152.59299999999999</v>
      </c>
      <c r="M45" s="1">
        <v>152.834</v>
      </c>
      <c r="N45" s="10">
        <f t="shared" si="13"/>
        <v>0.14500000000001023</v>
      </c>
      <c r="O45" s="10">
        <f t="shared" si="14"/>
        <v>4.9999999999954525E-3</v>
      </c>
      <c r="P45" s="10">
        <f t="shared" si="15"/>
        <v>0.15000000000000568</v>
      </c>
      <c r="Q45" s="10">
        <f t="shared" si="16"/>
        <v>0.15000000000000568</v>
      </c>
      <c r="R45" s="10">
        <f t="shared" si="5"/>
        <v>8.95714285714279E-2</v>
      </c>
      <c r="S45" s="1"/>
      <c r="T45" s="2">
        <f>SLOPE(H32:H45,$A32:$A45)</f>
        <v>-2.4461538461537828E-3</v>
      </c>
      <c r="U45" s="2">
        <f>SLOPE(I32:I45,$A32:$A45)</f>
        <v>-3.7802197802297096E-4</v>
      </c>
      <c r="V45" s="2">
        <f>SLOPE(J32:J45,$A32:$A45)</f>
        <v>-1.6263736263738338E-3</v>
      </c>
      <c r="W45" s="2">
        <f>SLOPE(K32:K45,$A32:$A45)</f>
        <v>7.5384615384675496E-4</v>
      </c>
      <c r="X45" s="2">
        <f>SLOPE(L32:L45,$A32:$A45)</f>
        <v>-2.4615384615502152E-4</v>
      </c>
      <c r="Y45" s="2">
        <f>SLOPE(M32:M45,$A32:$A45)</f>
        <v>1.5780219780223293E-3</v>
      </c>
      <c r="Z45" s="1"/>
      <c r="AA45" s="2">
        <f t="shared" si="7"/>
        <v>-1.5643321357249487</v>
      </c>
      <c r="AB45" s="2">
        <f t="shared" si="8"/>
        <v>-0.24180629536494985</v>
      </c>
      <c r="AC45" s="2">
        <f t="shared" si="9"/>
        <v>-1.0402212810757123</v>
      </c>
      <c r="AD45" s="2">
        <f t="shared" si="10"/>
        <v>0.4821982183410225</v>
      </c>
      <c r="AE45" s="2">
        <f t="shared" si="11"/>
        <v>-0.15745580054138808</v>
      </c>
      <c r="AF45" s="2">
        <f t="shared" si="12"/>
        <v>1.0093022787908228</v>
      </c>
      <c r="AG45" s="1"/>
      <c r="AH45" s="1" t="str" cm="1">
        <f t="array" ref="AH45">_xlfn.IFS(AA45&gt;3,"Strong + Slope",AA45&gt;1.5,"Moderate + Slope",AA45&gt;0.5,"Sideway + Slope",AA45&gt;=-0.5,"Sideway Flat",AA45&gt;=-1.5,"Sideway - Slope",AA45&gt;=-3,"Moderate - Slope",TRUE,"Strong - Slope")</f>
        <v>Moderate - Slope</v>
      </c>
      <c r="AI45" s="1" t="str" cm="1">
        <f t="array" ref="AI45">_xlfn.IFS(AB45&gt;3,"Strong + Slope",AB45&gt;1.5,"Moderate + Slope",AB45&gt;0.5,"Sideway + Slope",AB45&gt;=-0.5,"Sideway Flat",AB45&gt;=-1.5,"Sideway - Slope",AB45&gt;=-3,"Moderate - Slope",TRUE,"Strong - Slope")</f>
        <v>Sideway Flat</v>
      </c>
      <c r="AJ45" s="1" t="str" cm="1">
        <f t="array" ref="AJ45">_xlfn.IFS(AC45&gt;3,"Strong + Slope",AC45&gt;1.5,"Moderate + Slope",AC45&gt;0.5,"Sideway + Slope",AC45&gt;=-0.5,"Sideway Flat",AC45&gt;=-1.5,"Sideway - Slope",AC45&gt;=-3,"Moderate - Slope",TRUE,"Strong - Slope")</f>
        <v>Sideway - Slope</v>
      </c>
      <c r="AK45" s="1" t="str" cm="1">
        <f t="array" ref="AK45">_xlfn.IFS(AD45&gt;3,"Strong + Slope",AD45&gt;1.5,"Moderate + Slope",AD45&gt;0.5,"Sideway + Slope",AD45&gt;=-0.5,"Sideway Flat",AD45&gt;=-1.5,"Sideway - Slope",AD45&gt;=-3,"Moderate - Slope",TRUE,"Strong - Slope")</f>
        <v>Sideway Flat</v>
      </c>
      <c r="AL45" s="1" t="str" cm="1">
        <f t="array" ref="AL45">_xlfn.IFS(AE45&gt;3,"Strong + Slope",AE45&gt;1.5,"Moderate + Slope",AE45&gt;0.5,"Sideway + Slope",AE45&gt;=-0.5,"Sideway Flat",AE45&gt;=-1.5,"Sideway - Slope",AE45&gt;=-3,"Moderate - Slope",TRUE,"Strong - Slope")</f>
        <v>Sideway Flat</v>
      </c>
      <c r="AM45" s="1" t="str" cm="1">
        <f t="array" ref="AM45">_xlfn.IFS(AF45&gt;3,"Strong + Slope",AF45&gt;1.5,"Moderate + Slope",AF45&gt;0.5,"Sideway + Slope",AF45&gt;=-0.5,"Sideway Flat",AF45&gt;=-1.5,"Sideway - Slope",AF45&gt;=-3,"Moderate - Slope",TRUE,"Strong - Slope")</f>
        <v>Sideway + Slope</v>
      </c>
    </row>
    <row r="46" spans="1:39" x14ac:dyDescent="0.55000000000000004">
      <c r="A46" s="1">
        <v>44</v>
      </c>
      <c r="B46" s="1" t="s">
        <v>46</v>
      </c>
      <c r="C46" s="1" t="s">
        <v>3</v>
      </c>
      <c r="D46" s="1" t="s">
        <v>102</v>
      </c>
      <c r="E46" s="1">
        <v>152.68100000000001</v>
      </c>
      <c r="F46" s="1">
        <v>152.59299999999999</v>
      </c>
      <c r="G46" s="1">
        <v>152.672</v>
      </c>
      <c r="H46" s="1">
        <v>152.934</v>
      </c>
      <c r="I46" s="1">
        <v>152.89500000000001</v>
      </c>
      <c r="J46" s="1">
        <v>153.19999999999999</v>
      </c>
      <c r="K46" s="1">
        <v>152.59299999999999</v>
      </c>
      <c r="L46" s="1">
        <v>152.59299999999999</v>
      </c>
      <c r="M46" s="1">
        <v>152.83600000000001</v>
      </c>
      <c r="N46" s="10">
        <f t="shared" si="13"/>
        <v>8.8000000000022283E-2</v>
      </c>
      <c r="O46" s="10">
        <f t="shared" si="14"/>
        <v>2.0000000000010232E-2</v>
      </c>
      <c r="P46" s="10">
        <f t="shared" si="15"/>
        <v>6.8000000000012051E-2</v>
      </c>
      <c r="Q46" s="10">
        <f t="shared" si="16"/>
        <v>8.8000000000022283E-2</v>
      </c>
      <c r="R46" s="10">
        <f t="shared" si="5"/>
        <v>8.9357142857143204E-2</v>
      </c>
      <c r="S46" s="1"/>
      <c r="T46" s="2">
        <f>SLOPE(H33:H46,$A33:$A46)</f>
        <v>-2.4461538461541575E-3</v>
      </c>
      <c r="U46" s="2">
        <f>SLOPE(I33:I46,$A33:$A46)</f>
        <v>-3.8901098901134734E-4</v>
      </c>
      <c r="V46" s="2">
        <f>SLOPE(J33:J46,$A33:$A46)</f>
        <v>-1.6505494505497109E-3</v>
      </c>
      <c r="W46" s="2">
        <f>SLOPE(K33:K46,$A33:$A46)</f>
        <v>7.4725274725269224E-4</v>
      </c>
      <c r="X46" s="2">
        <f>SLOPE(L33:L46,$A33:$A46)</f>
        <v>-2.5274725274845958E-4</v>
      </c>
      <c r="Y46" s="2">
        <f>SLOPE(M33:M46,$A33:$A46)</f>
        <v>1.5824175824181422E-3</v>
      </c>
      <c r="Z46" s="1"/>
      <c r="AA46" s="2">
        <f t="shared" si="7"/>
        <v>-1.5680816610119344</v>
      </c>
      <c r="AB46" s="2">
        <f t="shared" si="8"/>
        <v>-0.24943218119042804</v>
      </c>
      <c r="AC46" s="2">
        <f t="shared" si="9"/>
        <v>-1.0582115891945636</v>
      </c>
      <c r="AD46" s="2">
        <f t="shared" si="10"/>
        <v>0.4791271216374054</v>
      </c>
      <c r="AE46" s="2">
        <f t="shared" si="11"/>
        <v>-0.16206104832882634</v>
      </c>
      <c r="AF46" s="2">
        <f t="shared" si="12"/>
        <v>1.0145397448366347</v>
      </c>
      <c r="AG46" s="1"/>
      <c r="AH46" s="1" t="str" cm="1">
        <f t="array" ref="AH46">_xlfn.IFS(AA46&gt;3,"Strong + Slope",AA46&gt;1.5,"Moderate + Slope",AA46&gt;0.5,"Sideway + Slope",AA46&gt;=-0.5,"Sideway Flat",AA46&gt;=-1.5,"Sideway - Slope",AA46&gt;=-3,"Moderate - Slope",TRUE,"Strong - Slope")</f>
        <v>Moderate - Slope</v>
      </c>
      <c r="AI46" s="1" t="str" cm="1">
        <f t="array" ref="AI46">_xlfn.IFS(AB46&gt;3,"Strong + Slope",AB46&gt;1.5,"Moderate + Slope",AB46&gt;0.5,"Sideway + Slope",AB46&gt;=-0.5,"Sideway Flat",AB46&gt;=-1.5,"Sideway - Slope",AB46&gt;=-3,"Moderate - Slope",TRUE,"Strong - Slope")</f>
        <v>Sideway Flat</v>
      </c>
      <c r="AJ46" s="1" t="str" cm="1">
        <f t="array" ref="AJ46">_xlfn.IFS(AC46&gt;3,"Strong + Slope",AC46&gt;1.5,"Moderate + Slope",AC46&gt;0.5,"Sideway + Slope",AC46&gt;=-0.5,"Sideway Flat",AC46&gt;=-1.5,"Sideway - Slope",AC46&gt;=-3,"Moderate - Slope",TRUE,"Strong - Slope")</f>
        <v>Sideway - Slope</v>
      </c>
      <c r="AK46" s="1" t="str" cm="1">
        <f t="array" ref="AK46">_xlfn.IFS(AD46&gt;3,"Strong + Slope",AD46&gt;1.5,"Moderate + Slope",AD46&gt;0.5,"Sideway + Slope",AD46&gt;=-0.5,"Sideway Flat",AD46&gt;=-1.5,"Sideway - Slope",AD46&gt;=-3,"Moderate - Slope",TRUE,"Strong - Slope")</f>
        <v>Sideway Flat</v>
      </c>
      <c r="AL46" s="1" t="str" cm="1">
        <f t="array" ref="AL46">_xlfn.IFS(AE46&gt;3,"Strong + Slope",AE46&gt;1.5,"Moderate + Slope",AE46&gt;0.5,"Sideway + Slope",AE46&gt;=-0.5,"Sideway Flat",AE46&gt;=-1.5,"Sideway - Slope",AE46&gt;=-3,"Moderate - Slope",TRUE,"Strong - Slope")</f>
        <v>Sideway Flat</v>
      </c>
      <c r="AM46" s="1" t="str" cm="1">
        <f t="array" ref="AM46">_xlfn.IFS(AF46&gt;3,"Strong + Slope",AF46&gt;1.5,"Moderate + Slope",AF46&gt;0.5,"Sideway + Slope",AF46&gt;=-0.5,"Sideway Flat",AF46&gt;=-1.5,"Sideway - Slope",AF46&gt;=-3,"Moderate - Slope",TRUE,"Strong - Slope")</f>
        <v>Sideway + Slope</v>
      </c>
    </row>
    <row r="47" spans="1:39" x14ac:dyDescent="0.55000000000000004">
      <c r="A47" s="1">
        <v>45</v>
      </c>
      <c r="B47" s="1" t="s">
        <v>47</v>
      </c>
      <c r="C47" s="1" t="s">
        <v>3</v>
      </c>
      <c r="D47" s="1" t="s">
        <v>102</v>
      </c>
      <c r="E47" s="1">
        <v>152.74299999999999</v>
      </c>
      <c r="F47" s="1">
        <v>152.66499999999999</v>
      </c>
      <c r="G47" s="1">
        <v>152.738</v>
      </c>
      <c r="H47" s="1">
        <v>152.93199999999999</v>
      </c>
      <c r="I47" s="1">
        <v>152.89500000000001</v>
      </c>
      <c r="J47" s="1">
        <v>153.19900000000001</v>
      </c>
      <c r="K47" s="1">
        <v>152.59399999999999</v>
      </c>
      <c r="L47" s="1">
        <v>152.59299999999999</v>
      </c>
      <c r="M47" s="1">
        <v>152.83799999999999</v>
      </c>
      <c r="N47" s="10">
        <f t="shared" si="13"/>
        <v>7.8000000000002956E-2</v>
      </c>
      <c r="O47" s="10">
        <f t="shared" si="14"/>
        <v>7.0999999999997954E-2</v>
      </c>
      <c r="P47" s="10">
        <f t="shared" si="15"/>
        <v>7.0000000000050022E-3</v>
      </c>
      <c r="Q47" s="10">
        <f t="shared" si="16"/>
        <v>7.8000000000002956E-2</v>
      </c>
      <c r="R47" s="10">
        <f t="shared" si="5"/>
        <v>8.6285714285714174E-2</v>
      </c>
      <c r="S47" s="1"/>
      <c r="T47" s="2">
        <f>SLOPE(H34:H47,$A34:$A47)</f>
        <v>-2.4197802197805924E-3</v>
      </c>
      <c r="U47" s="2">
        <f>SLOPE(I34:I47,$A34:$A47)</f>
        <v>-3.7802197802172164E-4</v>
      </c>
      <c r="V47" s="2">
        <f>SLOPE(J34:J47,$A34:$A47)</f>
        <v>-1.6351648351645223E-3</v>
      </c>
      <c r="W47" s="2">
        <f>SLOPE(K34:K47,$A34:$A47)</f>
        <v>7.5384615384575554E-4</v>
      </c>
      <c r="X47" s="2">
        <f>SLOPE(L34:L47,$A34:$A47)</f>
        <v>-2.4615384615502152E-4</v>
      </c>
      <c r="Y47" s="2">
        <f>SLOPE(M34:M47,$A34:$A47)</f>
        <v>1.5802197802200796E-3</v>
      </c>
      <c r="Z47" s="1"/>
      <c r="AA47" s="2">
        <f t="shared" si="7"/>
        <v>-1.6063709580709549</v>
      </c>
      <c r="AB47" s="2">
        <f t="shared" si="8"/>
        <v>-0.2510140353239691</v>
      </c>
      <c r="AC47" s="2">
        <f t="shared" si="9"/>
        <v>-1.0856586379826005</v>
      </c>
      <c r="AD47" s="2">
        <f t="shared" si="10"/>
        <v>0.50055915386508676</v>
      </c>
      <c r="AE47" s="2">
        <f t="shared" si="11"/>
        <v>-0.1634516020718616</v>
      </c>
      <c r="AF47" s="2">
        <f t="shared" si="12"/>
        <v>1.0491864692649879</v>
      </c>
      <c r="AG47" s="1"/>
      <c r="AH47" s="1" t="str" cm="1">
        <f t="array" ref="AH47">_xlfn.IFS(AA47&gt;3,"Strong + Slope",AA47&gt;1.5,"Moderate + Slope",AA47&gt;0.5,"Sideway + Slope",AA47&gt;=-0.5,"Sideway Flat",AA47&gt;=-1.5,"Sideway - Slope",AA47&gt;=-3,"Moderate - Slope",TRUE,"Strong - Slope")</f>
        <v>Moderate - Slope</v>
      </c>
      <c r="AI47" s="1" t="str" cm="1">
        <f t="array" ref="AI47">_xlfn.IFS(AB47&gt;3,"Strong + Slope",AB47&gt;1.5,"Moderate + Slope",AB47&gt;0.5,"Sideway + Slope",AB47&gt;=-0.5,"Sideway Flat",AB47&gt;=-1.5,"Sideway - Slope",AB47&gt;=-3,"Moderate - Slope",TRUE,"Strong - Slope")</f>
        <v>Sideway Flat</v>
      </c>
      <c r="AJ47" s="1" t="str" cm="1">
        <f t="array" ref="AJ47">_xlfn.IFS(AC47&gt;3,"Strong + Slope",AC47&gt;1.5,"Moderate + Slope",AC47&gt;0.5,"Sideway + Slope",AC47&gt;=-0.5,"Sideway Flat",AC47&gt;=-1.5,"Sideway - Slope",AC47&gt;=-3,"Moderate - Slope",TRUE,"Strong - Slope")</f>
        <v>Sideway - Slope</v>
      </c>
      <c r="AK47" s="1" t="str" cm="1">
        <f t="array" ref="AK47">_xlfn.IFS(AD47&gt;3,"Strong + Slope",AD47&gt;1.5,"Moderate + Slope",AD47&gt;0.5,"Sideway + Slope",AD47&gt;=-0.5,"Sideway Flat",AD47&gt;=-1.5,"Sideway - Slope",AD47&gt;=-3,"Moderate - Slope",TRUE,"Strong - Slope")</f>
        <v>Sideway + Slope</v>
      </c>
      <c r="AL47" s="1" t="str" cm="1">
        <f t="array" ref="AL47">_xlfn.IFS(AE47&gt;3,"Strong + Slope",AE47&gt;1.5,"Moderate + Slope",AE47&gt;0.5,"Sideway + Slope",AE47&gt;=-0.5,"Sideway Flat",AE47&gt;=-1.5,"Sideway - Slope",AE47&gt;=-3,"Moderate - Slope",TRUE,"Strong - Slope")</f>
        <v>Sideway Flat</v>
      </c>
      <c r="AM47" s="1" t="str" cm="1">
        <f t="array" ref="AM47">_xlfn.IFS(AF47&gt;3,"Strong + Slope",AF47&gt;1.5,"Moderate + Slope",AF47&gt;0.5,"Sideway + Slope",AF47&gt;=-0.5,"Sideway Flat",AF47&gt;=-1.5,"Sideway - Slope",AF47&gt;=-3,"Moderate - Slope",TRUE,"Strong - Slope")</f>
        <v>Sideway + Slope</v>
      </c>
    </row>
    <row r="48" spans="1:39" x14ac:dyDescent="0.55000000000000004">
      <c r="A48" s="1">
        <v>46</v>
      </c>
      <c r="B48" s="1" t="s">
        <v>48</v>
      </c>
      <c r="C48" s="1" t="s">
        <v>3</v>
      </c>
      <c r="D48" s="1" t="s">
        <v>102</v>
      </c>
      <c r="E48" s="1">
        <v>152.74299999999999</v>
      </c>
      <c r="F48" s="1">
        <v>152.69800000000001</v>
      </c>
      <c r="G48" s="1">
        <v>152.69800000000001</v>
      </c>
      <c r="H48" s="1">
        <v>152.929</v>
      </c>
      <c r="I48" s="1">
        <v>152.89400000000001</v>
      </c>
      <c r="J48" s="1">
        <v>153.197</v>
      </c>
      <c r="K48" s="1">
        <v>152.595</v>
      </c>
      <c r="L48" s="1">
        <v>152.59299999999999</v>
      </c>
      <c r="M48" s="1">
        <v>152.839</v>
      </c>
      <c r="N48" s="10">
        <f t="shared" si="13"/>
        <v>4.4999999999987494E-2</v>
      </c>
      <c r="O48" s="10">
        <f t="shared" si="14"/>
        <v>4.9999999999954525E-3</v>
      </c>
      <c r="P48" s="10">
        <f t="shared" si="15"/>
        <v>3.9999999999992042E-2</v>
      </c>
      <c r="Q48" s="10">
        <f t="shared" si="16"/>
        <v>4.4999999999987494E-2</v>
      </c>
      <c r="R48" s="10">
        <f t="shared" si="5"/>
        <v>8.6499999999998883E-2</v>
      </c>
      <c r="S48" s="1"/>
      <c r="T48" s="2">
        <f>SLOPE(H35:H48,$A35:$A48)</f>
        <v>-2.4285714285718434E-3</v>
      </c>
      <c r="U48" s="2">
        <f>SLOPE(I35:I48,$A35:$A48)</f>
        <v>-3.7362637362565901E-4</v>
      </c>
      <c r="V48" s="2">
        <f>SLOPE(J35:J48,$A35:$A48)</f>
        <v>-1.6417582417579603E-3</v>
      </c>
      <c r="W48" s="2">
        <f>SLOPE(K35:K48,$A35:$A48)</f>
        <v>7.7362637362594488E-4</v>
      </c>
      <c r="X48" s="2">
        <f>SLOPE(L35:L48,$A35:$A48)</f>
        <v>-2.2637362637470727E-4</v>
      </c>
      <c r="Y48" s="2">
        <f>SLOPE(M35:M48,$A35:$A48)</f>
        <v>1.5714285714290787E-3</v>
      </c>
      <c r="Z48" s="1"/>
      <c r="AA48" s="2">
        <f t="shared" si="7"/>
        <v>-1.6082121279821291</v>
      </c>
      <c r="AB48" s="2">
        <f t="shared" si="8"/>
        <v>-0.2474807074362933</v>
      </c>
      <c r="AC48" s="2">
        <f t="shared" si="9"/>
        <v>-1.0873355537583187</v>
      </c>
      <c r="AD48" s="2">
        <f t="shared" si="10"/>
        <v>0.51242016570928528</v>
      </c>
      <c r="AE48" s="2">
        <f t="shared" si="11"/>
        <v>-0.14994478351332</v>
      </c>
      <c r="AF48" s="2">
        <f t="shared" si="12"/>
        <v>1.0407667276484165</v>
      </c>
      <c r="AG48" s="1"/>
      <c r="AH48" s="1" t="str" cm="1">
        <f t="array" ref="AH48">_xlfn.IFS(AA48&gt;3,"Strong + Slope",AA48&gt;1.5,"Moderate + Slope",AA48&gt;0.5,"Sideway + Slope",AA48&gt;=-0.5,"Sideway Flat",AA48&gt;=-1.5,"Sideway - Slope",AA48&gt;=-3,"Moderate - Slope",TRUE,"Strong - Slope")</f>
        <v>Moderate - Slope</v>
      </c>
      <c r="AI48" s="1" t="str" cm="1">
        <f t="array" ref="AI48">_xlfn.IFS(AB48&gt;3,"Strong + Slope",AB48&gt;1.5,"Moderate + Slope",AB48&gt;0.5,"Sideway + Slope",AB48&gt;=-0.5,"Sideway Flat",AB48&gt;=-1.5,"Sideway - Slope",AB48&gt;=-3,"Moderate - Slope",TRUE,"Strong - Slope")</f>
        <v>Sideway Flat</v>
      </c>
      <c r="AJ48" s="1" t="str" cm="1">
        <f t="array" ref="AJ48">_xlfn.IFS(AC48&gt;3,"Strong + Slope",AC48&gt;1.5,"Moderate + Slope",AC48&gt;0.5,"Sideway + Slope",AC48&gt;=-0.5,"Sideway Flat",AC48&gt;=-1.5,"Sideway - Slope",AC48&gt;=-3,"Moderate - Slope",TRUE,"Strong - Slope")</f>
        <v>Sideway - Slope</v>
      </c>
      <c r="AK48" s="1" t="str" cm="1">
        <f t="array" ref="AK48">_xlfn.IFS(AD48&gt;3,"Strong + Slope",AD48&gt;1.5,"Moderate + Slope",AD48&gt;0.5,"Sideway + Slope",AD48&gt;=-0.5,"Sideway Flat",AD48&gt;=-1.5,"Sideway - Slope",AD48&gt;=-3,"Moderate - Slope",TRUE,"Strong - Slope")</f>
        <v>Sideway + Slope</v>
      </c>
      <c r="AL48" s="1" t="str" cm="1">
        <f t="array" ref="AL48">_xlfn.IFS(AE48&gt;3,"Strong + Slope",AE48&gt;1.5,"Moderate + Slope",AE48&gt;0.5,"Sideway + Slope",AE48&gt;=-0.5,"Sideway Flat",AE48&gt;=-1.5,"Sideway - Slope",AE48&gt;=-3,"Moderate - Slope",TRUE,"Strong - Slope")</f>
        <v>Sideway Flat</v>
      </c>
      <c r="AM48" s="1" t="str" cm="1">
        <f t="array" ref="AM48">_xlfn.IFS(AF48&gt;3,"Strong + Slope",AF48&gt;1.5,"Moderate + Slope",AF48&gt;0.5,"Sideway + Slope",AF48&gt;=-0.5,"Sideway Flat",AF48&gt;=-1.5,"Sideway - Slope",AF48&gt;=-3,"Moderate - Slope",TRUE,"Strong - Slope")</f>
        <v>Sideway + Slope</v>
      </c>
    </row>
    <row r="49" spans="1:39" x14ac:dyDescent="0.55000000000000004">
      <c r="A49" s="1">
        <v>47</v>
      </c>
      <c r="B49" s="1" t="s">
        <v>49</v>
      </c>
      <c r="C49" s="1" t="s">
        <v>3</v>
      </c>
      <c r="D49" s="1" t="s">
        <v>102</v>
      </c>
      <c r="E49" s="1">
        <v>152.81899999999999</v>
      </c>
      <c r="F49" s="1">
        <v>152.69800000000001</v>
      </c>
      <c r="G49" s="1">
        <v>152.81299999999999</v>
      </c>
      <c r="H49" s="1">
        <v>152.92699999999999</v>
      </c>
      <c r="I49" s="1">
        <v>152.89400000000001</v>
      </c>
      <c r="J49" s="1">
        <v>153.19499999999999</v>
      </c>
      <c r="K49" s="1">
        <v>152.595</v>
      </c>
      <c r="L49" s="1">
        <v>152.59200000000001</v>
      </c>
      <c r="M49" s="1">
        <v>152.84100000000001</v>
      </c>
      <c r="N49" s="10">
        <f t="shared" si="13"/>
        <v>0.1209999999999809</v>
      </c>
      <c r="O49" s="10">
        <f t="shared" si="14"/>
        <v>0.1209999999999809</v>
      </c>
      <c r="P49" s="10">
        <f t="shared" si="15"/>
        <v>0</v>
      </c>
      <c r="Q49" s="10">
        <f t="shared" si="16"/>
        <v>0.1209999999999809</v>
      </c>
      <c r="R49" s="10">
        <f t="shared" si="5"/>
        <v>8.1857142857141893E-2</v>
      </c>
      <c r="S49" s="1"/>
      <c r="T49" s="2">
        <f>SLOPE(H36:H49,$A36:$A49)</f>
        <v>-2.4109890109891546E-3</v>
      </c>
      <c r="U49" s="2">
        <f>SLOPE(I36:I49,$A36:$A49)</f>
        <v>-3.7582417582315939E-4</v>
      </c>
      <c r="V49" s="2">
        <f>SLOPE(J36:J49,$A36:$A49)</f>
        <v>-1.6703296703300251E-3</v>
      </c>
      <c r="W49" s="2">
        <f>SLOPE(K36:K49,$A36:$A49)</f>
        <v>7.7802197802169515E-4</v>
      </c>
      <c r="X49" s="2">
        <f>SLOPE(L36:L49,$A36:$A49)</f>
        <v>-2.2197802197826985E-4</v>
      </c>
      <c r="Y49" s="2">
        <f>SLOPE(M36:M49,$A36:$A49)</f>
        <v>1.5890109890113928E-3</v>
      </c>
      <c r="Z49" s="1"/>
      <c r="AA49" s="2">
        <f t="shared" si="7"/>
        <v>-1.6870802557393196</v>
      </c>
      <c r="AB49" s="2">
        <f t="shared" si="8"/>
        <v>-0.26305569755774316</v>
      </c>
      <c r="AC49" s="2">
        <f t="shared" si="9"/>
        <v>-1.1689824189420885</v>
      </c>
      <c r="AD49" s="2">
        <f t="shared" si="10"/>
        <v>0.54455887271391323</v>
      </c>
      <c r="AE49" s="2">
        <f t="shared" si="11"/>
        <v>-0.15537278952567712</v>
      </c>
      <c r="AF49" s="2">
        <f t="shared" si="12"/>
        <v>1.1120860906637888</v>
      </c>
      <c r="AG49" s="1"/>
      <c r="AH49" s="1" t="str" cm="1">
        <f t="array" ref="AH49">_xlfn.IFS(AA49&gt;3,"Strong + Slope",AA49&gt;1.5,"Moderate + Slope",AA49&gt;0.5,"Sideway + Slope",AA49&gt;=-0.5,"Sideway Flat",AA49&gt;=-1.5,"Sideway - Slope",AA49&gt;=-3,"Moderate - Slope",TRUE,"Strong - Slope")</f>
        <v>Moderate - Slope</v>
      </c>
      <c r="AI49" s="1" t="str" cm="1">
        <f t="array" ref="AI49">_xlfn.IFS(AB49&gt;3,"Strong + Slope",AB49&gt;1.5,"Moderate + Slope",AB49&gt;0.5,"Sideway + Slope",AB49&gt;=-0.5,"Sideway Flat",AB49&gt;=-1.5,"Sideway - Slope",AB49&gt;=-3,"Moderate - Slope",TRUE,"Strong - Slope")</f>
        <v>Sideway Flat</v>
      </c>
      <c r="AJ49" s="1" t="str" cm="1">
        <f t="array" ref="AJ49">_xlfn.IFS(AC49&gt;3,"Strong + Slope",AC49&gt;1.5,"Moderate + Slope",AC49&gt;0.5,"Sideway + Slope",AC49&gt;=-0.5,"Sideway Flat",AC49&gt;=-1.5,"Sideway - Slope",AC49&gt;=-3,"Moderate - Slope",TRUE,"Strong - Slope")</f>
        <v>Sideway - Slope</v>
      </c>
      <c r="AK49" s="1" t="str" cm="1">
        <f t="array" ref="AK49">_xlfn.IFS(AD49&gt;3,"Strong + Slope",AD49&gt;1.5,"Moderate + Slope",AD49&gt;0.5,"Sideway + Slope",AD49&gt;=-0.5,"Sideway Flat",AD49&gt;=-1.5,"Sideway - Slope",AD49&gt;=-3,"Moderate - Slope",TRUE,"Strong - Slope")</f>
        <v>Sideway + Slope</v>
      </c>
      <c r="AL49" s="1" t="str" cm="1">
        <f t="array" ref="AL49">_xlfn.IFS(AE49&gt;3,"Strong + Slope",AE49&gt;1.5,"Moderate + Slope",AE49&gt;0.5,"Sideway + Slope",AE49&gt;=-0.5,"Sideway Flat",AE49&gt;=-1.5,"Sideway - Slope",AE49&gt;=-3,"Moderate - Slope",TRUE,"Strong - Slope")</f>
        <v>Sideway Flat</v>
      </c>
      <c r="AM49" s="1" t="str" cm="1">
        <f t="array" ref="AM49">_xlfn.IFS(AF49&gt;3,"Strong + Slope",AF49&gt;1.5,"Moderate + Slope",AF49&gt;0.5,"Sideway + Slope",AF49&gt;=-0.5,"Sideway Flat",AF49&gt;=-1.5,"Sideway - Slope",AF49&gt;=-3,"Moderate - Slope",TRUE,"Strong - Slope")</f>
        <v>Sideway + Slope</v>
      </c>
    </row>
    <row r="50" spans="1:39" x14ac:dyDescent="0.55000000000000004">
      <c r="A50" s="1">
        <v>48</v>
      </c>
      <c r="B50" s="1" t="s">
        <v>50</v>
      </c>
      <c r="C50" s="1" t="s">
        <v>3</v>
      </c>
      <c r="D50" s="1" t="s">
        <v>102</v>
      </c>
      <c r="E50" s="1">
        <v>152.82300000000001</v>
      </c>
      <c r="F50" s="1">
        <v>152.78899999999999</v>
      </c>
      <c r="G50" s="1">
        <v>152.81899999999999</v>
      </c>
      <c r="H50" s="1">
        <v>152.92400000000001</v>
      </c>
      <c r="I50" s="1">
        <v>152.89400000000001</v>
      </c>
      <c r="J50" s="1">
        <v>153.19399999999999</v>
      </c>
      <c r="K50" s="1">
        <v>152.596</v>
      </c>
      <c r="L50" s="1">
        <v>152.59200000000001</v>
      </c>
      <c r="M50" s="1">
        <v>152.84200000000001</v>
      </c>
      <c r="N50" s="10">
        <f t="shared" si="13"/>
        <v>3.4000000000020236E-2</v>
      </c>
      <c r="O50" s="10">
        <f t="shared" si="14"/>
        <v>1.0000000000019327E-2</v>
      </c>
      <c r="P50" s="10">
        <f t="shared" si="15"/>
        <v>2.4000000000000909E-2</v>
      </c>
      <c r="Q50" s="10">
        <f t="shared" si="16"/>
        <v>3.4000000000020236E-2</v>
      </c>
      <c r="R50" s="10">
        <f t="shared" si="5"/>
        <v>7.800000000000093E-2</v>
      </c>
      <c r="S50" s="1"/>
      <c r="T50" s="2">
        <f>SLOPE(H37:H50,$A37:$A50)</f>
        <v>-2.4285714285712814E-3</v>
      </c>
      <c r="U50" s="2">
        <f>SLOPE(I37:I50,$A37:$A50)</f>
        <v>-3.5604395604265775E-4</v>
      </c>
      <c r="V50" s="2">
        <f>SLOPE(J37:J50,$A37:$A50)</f>
        <v>-1.6593406593410241E-3</v>
      </c>
      <c r="W50" s="2">
        <f>SLOPE(K37:K50,$A37:$A50)</f>
        <v>7.6703296703300647E-4</v>
      </c>
      <c r="X50" s="2">
        <f>SLOPE(L37:L50,$A37:$A50)</f>
        <v>-2.3296703296664617E-4</v>
      </c>
      <c r="Y50" s="2">
        <f>SLOPE(M37:M50,$A37:$A50)</f>
        <v>1.5714285714290787E-3</v>
      </c>
      <c r="Z50" s="1"/>
      <c r="AA50" s="2">
        <f t="shared" si="7"/>
        <v>-1.7833584006567906</v>
      </c>
      <c r="AB50" s="2">
        <f t="shared" si="8"/>
        <v>-0.26153428614658408</v>
      </c>
      <c r="AC50" s="2">
        <f t="shared" si="9"/>
        <v>-1.2187035659844982</v>
      </c>
      <c r="AD50" s="2">
        <f t="shared" si="10"/>
        <v>0.56341455407256413</v>
      </c>
      <c r="AE50" s="2">
        <f t="shared" si="11"/>
        <v>-0.17112805209696094</v>
      </c>
      <c r="AF50" s="2">
        <f t="shared" si="12"/>
        <v>1.1541544428920087</v>
      </c>
      <c r="AG50" s="1"/>
      <c r="AH50" s="1" t="str" cm="1">
        <f t="array" ref="AH50">_xlfn.IFS(AA50&gt;3,"Strong + Slope",AA50&gt;1.5,"Moderate + Slope",AA50&gt;0.5,"Sideway + Slope",AA50&gt;=-0.5,"Sideway Flat",AA50&gt;=-1.5,"Sideway - Slope",AA50&gt;=-3,"Moderate - Slope",TRUE,"Strong - Slope")</f>
        <v>Moderate - Slope</v>
      </c>
      <c r="AI50" s="1" t="str" cm="1">
        <f t="array" ref="AI50">_xlfn.IFS(AB50&gt;3,"Strong + Slope",AB50&gt;1.5,"Moderate + Slope",AB50&gt;0.5,"Sideway + Slope",AB50&gt;=-0.5,"Sideway Flat",AB50&gt;=-1.5,"Sideway - Slope",AB50&gt;=-3,"Moderate - Slope",TRUE,"Strong - Slope")</f>
        <v>Sideway Flat</v>
      </c>
      <c r="AJ50" s="1" t="str" cm="1">
        <f t="array" ref="AJ50">_xlfn.IFS(AC50&gt;3,"Strong + Slope",AC50&gt;1.5,"Moderate + Slope",AC50&gt;0.5,"Sideway + Slope",AC50&gt;=-0.5,"Sideway Flat",AC50&gt;=-1.5,"Sideway - Slope",AC50&gt;=-3,"Moderate - Slope",TRUE,"Strong - Slope")</f>
        <v>Sideway - Slope</v>
      </c>
      <c r="AK50" s="1" t="str" cm="1">
        <f t="array" ref="AK50">_xlfn.IFS(AD50&gt;3,"Strong + Slope",AD50&gt;1.5,"Moderate + Slope",AD50&gt;0.5,"Sideway + Slope",AD50&gt;=-0.5,"Sideway Flat",AD50&gt;=-1.5,"Sideway - Slope",AD50&gt;=-3,"Moderate - Slope",TRUE,"Strong - Slope")</f>
        <v>Sideway + Slope</v>
      </c>
      <c r="AL50" s="1" t="str" cm="1">
        <f t="array" ref="AL50">_xlfn.IFS(AE50&gt;3,"Strong + Slope",AE50&gt;1.5,"Moderate + Slope",AE50&gt;0.5,"Sideway + Slope",AE50&gt;=-0.5,"Sideway Flat",AE50&gt;=-1.5,"Sideway - Slope",AE50&gt;=-3,"Moderate - Slope",TRUE,"Strong - Slope")</f>
        <v>Sideway Flat</v>
      </c>
      <c r="AM50" s="1" t="str" cm="1">
        <f t="array" ref="AM50">_xlfn.IFS(AF50&gt;3,"Strong + Slope",AF50&gt;1.5,"Moderate + Slope",AF50&gt;0.5,"Sideway + Slope",AF50&gt;=-0.5,"Sideway Flat",AF50&gt;=-1.5,"Sideway - Slope",AF50&gt;=-3,"Moderate - Slope",TRUE,"Strong - Slope")</f>
        <v>Sideway + Slope</v>
      </c>
    </row>
    <row r="51" spans="1:39" x14ac:dyDescent="0.55000000000000004">
      <c r="A51" s="1">
        <v>49</v>
      </c>
      <c r="B51" s="1" t="s">
        <v>51</v>
      </c>
      <c r="C51" s="1" t="s">
        <v>3</v>
      </c>
      <c r="D51" s="1" t="s">
        <v>102</v>
      </c>
      <c r="E51" s="1">
        <v>152.87100000000001</v>
      </c>
      <c r="F51" s="1">
        <v>152.798</v>
      </c>
      <c r="G51" s="1">
        <v>152.816</v>
      </c>
      <c r="H51" s="1">
        <v>152.922</v>
      </c>
      <c r="I51" s="1">
        <v>152.893</v>
      </c>
      <c r="J51" s="1">
        <v>153.19200000000001</v>
      </c>
      <c r="K51" s="1">
        <v>152.59700000000001</v>
      </c>
      <c r="L51" s="1">
        <v>152.59200000000001</v>
      </c>
      <c r="M51" s="1">
        <v>152.84399999999999</v>
      </c>
      <c r="N51" s="10">
        <f t="shared" si="13"/>
        <v>7.3000000000007503E-2</v>
      </c>
      <c r="O51" s="10">
        <f t="shared" si="14"/>
        <v>5.2000000000020918E-2</v>
      </c>
      <c r="P51" s="10">
        <f t="shared" si="15"/>
        <v>2.0999999999986585E-2</v>
      </c>
      <c r="Q51" s="10">
        <f t="shared" si="16"/>
        <v>7.3000000000007503E-2</v>
      </c>
      <c r="R51" s="10">
        <f t="shared" si="5"/>
        <v>7.7500000000000568E-2</v>
      </c>
      <c r="S51" s="1"/>
      <c r="T51" s="2">
        <f>SLOPE(H38:H51,$A38:$A51)</f>
        <v>-2.4197802197804051E-3</v>
      </c>
      <c r="U51" s="2">
        <f>SLOPE(I38:I51,$A38:$A51)</f>
        <v>-3.7582417582290953E-4</v>
      </c>
      <c r="V51" s="2">
        <f>SLOPE(J38:J51,$A38:$A51)</f>
        <v>-1.6703296703297129E-3</v>
      </c>
      <c r="W51" s="2">
        <f>SLOPE(K38:K51,$A38:$A51)</f>
        <v>7.6923076923144382E-4</v>
      </c>
      <c r="X51" s="2">
        <f>SLOPE(L38:L51,$A38:$A51)</f>
        <v>-2.307692307682713E-4</v>
      </c>
      <c r="Y51" s="2">
        <f>SLOPE(M38:M51,$A38:$A51)</f>
        <v>1.5802197802200796E-3</v>
      </c>
      <c r="Z51" s="1"/>
      <c r="AA51" s="2">
        <f t="shared" si="7"/>
        <v>-1.7883634460261295</v>
      </c>
      <c r="AB51" s="2">
        <f t="shared" si="8"/>
        <v>-0.2778447783731316</v>
      </c>
      <c r="AC51" s="2">
        <f t="shared" si="9"/>
        <v>-1.2346842080427634</v>
      </c>
      <c r="AD51" s="2">
        <f t="shared" si="10"/>
        <v>0.56867392648951343</v>
      </c>
      <c r="AE51" s="2">
        <f t="shared" si="11"/>
        <v>-0.1706072759583051</v>
      </c>
      <c r="AF51" s="2">
        <f t="shared" si="12"/>
        <v>1.1680952249512697</v>
      </c>
      <c r="AG51" s="1"/>
      <c r="AH51" s="1" t="str" cm="1">
        <f t="array" ref="AH51">_xlfn.IFS(AA51&gt;3,"Strong + Slope",AA51&gt;1.5,"Moderate + Slope",AA51&gt;0.5,"Sideway + Slope",AA51&gt;=-0.5,"Sideway Flat",AA51&gt;=-1.5,"Sideway - Slope",AA51&gt;=-3,"Moderate - Slope",TRUE,"Strong - Slope")</f>
        <v>Moderate - Slope</v>
      </c>
      <c r="AI51" s="1" t="str" cm="1">
        <f t="array" ref="AI51">_xlfn.IFS(AB51&gt;3,"Strong + Slope",AB51&gt;1.5,"Moderate + Slope",AB51&gt;0.5,"Sideway + Slope",AB51&gt;=-0.5,"Sideway Flat",AB51&gt;=-1.5,"Sideway - Slope",AB51&gt;=-3,"Moderate - Slope",TRUE,"Strong - Slope")</f>
        <v>Sideway Flat</v>
      </c>
      <c r="AJ51" s="1" t="str" cm="1">
        <f t="array" ref="AJ51">_xlfn.IFS(AC51&gt;3,"Strong + Slope",AC51&gt;1.5,"Moderate + Slope",AC51&gt;0.5,"Sideway + Slope",AC51&gt;=-0.5,"Sideway Flat",AC51&gt;=-1.5,"Sideway - Slope",AC51&gt;=-3,"Moderate - Slope",TRUE,"Strong - Slope")</f>
        <v>Sideway - Slope</v>
      </c>
      <c r="AK51" s="1" t="str" cm="1">
        <f t="array" ref="AK51">_xlfn.IFS(AD51&gt;3,"Strong + Slope",AD51&gt;1.5,"Moderate + Slope",AD51&gt;0.5,"Sideway + Slope",AD51&gt;=-0.5,"Sideway Flat",AD51&gt;=-1.5,"Sideway - Slope",AD51&gt;=-3,"Moderate - Slope",TRUE,"Strong - Slope")</f>
        <v>Sideway + Slope</v>
      </c>
      <c r="AL51" s="1" t="str" cm="1">
        <f t="array" ref="AL51">_xlfn.IFS(AE51&gt;3,"Strong + Slope",AE51&gt;1.5,"Moderate + Slope",AE51&gt;0.5,"Sideway + Slope",AE51&gt;=-0.5,"Sideway Flat",AE51&gt;=-1.5,"Sideway - Slope",AE51&gt;=-3,"Moderate - Slope",TRUE,"Strong - Slope")</f>
        <v>Sideway Flat</v>
      </c>
      <c r="AM51" s="1" t="str" cm="1">
        <f t="array" ref="AM51">_xlfn.IFS(AF51&gt;3,"Strong + Slope",AF51&gt;1.5,"Moderate + Slope",AF51&gt;0.5,"Sideway + Slope",AF51&gt;=-0.5,"Sideway Flat",AF51&gt;=-1.5,"Sideway - Slope",AF51&gt;=-3,"Moderate - Slope",TRUE,"Strong - Slope")</f>
        <v>Sideway + Slope</v>
      </c>
    </row>
    <row r="52" spans="1:39" x14ac:dyDescent="0.55000000000000004">
      <c r="A52" s="1">
        <v>50</v>
      </c>
      <c r="B52" s="1" t="s">
        <v>52</v>
      </c>
      <c r="C52" s="1" t="s">
        <v>3</v>
      </c>
      <c r="D52" s="1" t="s">
        <v>102</v>
      </c>
      <c r="E52" s="1">
        <v>152.83199999999999</v>
      </c>
      <c r="F52" s="1">
        <v>152.773</v>
      </c>
      <c r="G52" s="1">
        <v>152.82499999999999</v>
      </c>
      <c r="H52" s="1">
        <v>152.91999999999999</v>
      </c>
      <c r="I52" s="1">
        <v>152.893</v>
      </c>
      <c r="J52" s="1">
        <v>153.191</v>
      </c>
      <c r="K52" s="1">
        <v>152.59800000000001</v>
      </c>
      <c r="L52" s="1">
        <v>152.59200000000001</v>
      </c>
      <c r="M52" s="1">
        <v>152.845</v>
      </c>
      <c r="N52" s="10">
        <f t="shared" si="13"/>
        <v>5.8999999999997499E-2</v>
      </c>
      <c r="O52" s="10">
        <f t="shared" si="14"/>
        <v>1.5999999999991132E-2</v>
      </c>
      <c r="P52" s="10">
        <f t="shared" si="15"/>
        <v>4.3000000000006366E-2</v>
      </c>
      <c r="Q52" s="10">
        <f t="shared" si="16"/>
        <v>5.8999999999997499E-2</v>
      </c>
      <c r="R52" s="10">
        <f t="shared" si="5"/>
        <v>7.6500000000001886E-2</v>
      </c>
      <c r="S52" s="1"/>
      <c r="T52" s="2">
        <f>SLOPE(H39:H52,$A39:$A52)</f>
        <v>-2.4175824175827797E-3</v>
      </c>
      <c r="U52" s="2">
        <f>SLOPE(I39:I52,$A39:$A52)</f>
        <v>-3.736263736251593E-4</v>
      </c>
      <c r="V52" s="2">
        <f>SLOPE(J39:J52,$A39:$A52)</f>
        <v>-1.6417582417582728E-3</v>
      </c>
      <c r="W52" s="2">
        <f>SLOPE(K39:K52,$A39:$A52)</f>
        <v>7.8461538461607023E-4</v>
      </c>
      <c r="X52" s="2">
        <f>SLOPE(L39:L52,$A39:$A52)</f>
        <v>-2.1538461538314521E-4</v>
      </c>
      <c r="Y52" s="2">
        <f>SLOPE(M39:M52,$A39:$A52)</f>
        <v>1.5538461538465772E-3</v>
      </c>
      <c r="Z52" s="1"/>
      <c r="AA52" s="2">
        <f t="shared" si="7"/>
        <v>-1.8100808349220643</v>
      </c>
      <c r="AB52" s="2">
        <f t="shared" si="8"/>
        <v>-0.27983064200757862</v>
      </c>
      <c r="AC52" s="2">
        <f t="shared" si="9"/>
        <v>-1.2294298160594292</v>
      </c>
      <c r="AD52" s="2">
        <f t="shared" si="10"/>
        <v>0.58762841624046114</v>
      </c>
      <c r="AE52" s="2">
        <f t="shared" si="11"/>
        <v>-0.16131499118665335</v>
      </c>
      <c r="AF52" s="2">
        <f t="shared" si="12"/>
        <v>1.1636155064471505</v>
      </c>
      <c r="AG52" s="1"/>
      <c r="AH52" s="1" t="str" cm="1">
        <f t="array" ref="AH52">_xlfn.IFS(AA52&gt;3,"Strong + Slope",AA52&gt;1.5,"Moderate + Slope",AA52&gt;0.5,"Sideway + Slope",AA52&gt;=-0.5,"Sideway Flat",AA52&gt;=-1.5,"Sideway - Slope",AA52&gt;=-3,"Moderate - Slope",TRUE,"Strong - Slope")</f>
        <v>Moderate - Slope</v>
      </c>
      <c r="AI52" s="1" t="str" cm="1">
        <f t="array" ref="AI52">_xlfn.IFS(AB52&gt;3,"Strong + Slope",AB52&gt;1.5,"Moderate + Slope",AB52&gt;0.5,"Sideway + Slope",AB52&gt;=-0.5,"Sideway Flat",AB52&gt;=-1.5,"Sideway - Slope",AB52&gt;=-3,"Moderate - Slope",TRUE,"Strong - Slope")</f>
        <v>Sideway Flat</v>
      </c>
      <c r="AJ52" s="1" t="str" cm="1">
        <f t="array" ref="AJ52">_xlfn.IFS(AC52&gt;3,"Strong + Slope",AC52&gt;1.5,"Moderate + Slope",AC52&gt;0.5,"Sideway + Slope",AC52&gt;=-0.5,"Sideway Flat",AC52&gt;=-1.5,"Sideway - Slope",AC52&gt;=-3,"Moderate - Slope",TRUE,"Strong - Slope")</f>
        <v>Sideway - Slope</v>
      </c>
      <c r="AK52" s="1" t="str" cm="1">
        <f t="array" ref="AK52">_xlfn.IFS(AD52&gt;3,"Strong + Slope",AD52&gt;1.5,"Moderate + Slope",AD52&gt;0.5,"Sideway + Slope",AD52&gt;=-0.5,"Sideway Flat",AD52&gt;=-1.5,"Sideway - Slope",AD52&gt;=-3,"Moderate - Slope",TRUE,"Strong - Slope")</f>
        <v>Sideway + Slope</v>
      </c>
      <c r="AL52" s="1" t="str" cm="1">
        <f t="array" ref="AL52">_xlfn.IFS(AE52&gt;3,"Strong + Slope",AE52&gt;1.5,"Moderate + Slope",AE52&gt;0.5,"Sideway + Slope",AE52&gt;=-0.5,"Sideway Flat",AE52&gt;=-1.5,"Sideway - Slope",AE52&gt;=-3,"Moderate - Slope",TRUE,"Strong - Slope")</f>
        <v>Sideway Flat</v>
      </c>
      <c r="AM52" s="1" t="str" cm="1">
        <f t="array" ref="AM52">_xlfn.IFS(AF52&gt;3,"Strong + Slope",AF52&gt;1.5,"Moderate + Slope",AF52&gt;0.5,"Sideway + Slope",AF52&gt;=-0.5,"Sideway Flat",AF52&gt;=-1.5,"Sideway - Slope",AF52&gt;=-3,"Moderate - Slope",TRUE,"Strong - Slope")</f>
        <v>Sideway + Slope</v>
      </c>
    </row>
    <row r="53" spans="1:39" x14ac:dyDescent="0.55000000000000004">
      <c r="A53" s="1">
        <v>51</v>
      </c>
      <c r="B53" s="1" t="s">
        <v>53</v>
      </c>
      <c r="C53" s="1" t="s">
        <v>3</v>
      </c>
      <c r="D53" s="1" t="s">
        <v>102</v>
      </c>
      <c r="E53" s="1">
        <v>152.833</v>
      </c>
      <c r="F53" s="1">
        <v>152.71799999999999</v>
      </c>
      <c r="G53" s="1">
        <v>152.75299999999999</v>
      </c>
      <c r="H53" s="1">
        <v>152.917</v>
      </c>
      <c r="I53" s="1">
        <v>152.892</v>
      </c>
      <c r="J53" s="1">
        <v>153.18899999999999</v>
      </c>
      <c r="K53" s="1">
        <v>152.59800000000001</v>
      </c>
      <c r="L53" s="1">
        <v>152.59100000000001</v>
      </c>
      <c r="M53" s="1">
        <v>152.84700000000001</v>
      </c>
      <c r="N53" s="10">
        <f t="shared" si="13"/>
        <v>0.11500000000000909</v>
      </c>
      <c r="O53" s="10">
        <f t="shared" si="14"/>
        <v>8.0000000000097771E-3</v>
      </c>
      <c r="P53" s="10">
        <f t="shared" si="15"/>
        <v>0.10699999999999932</v>
      </c>
      <c r="Q53" s="10">
        <f t="shared" si="16"/>
        <v>0.11500000000000909</v>
      </c>
      <c r="R53" s="10">
        <f t="shared" si="5"/>
        <v>7.7428571428573692E-2</v>
      </c>
      <c r="S53" s="1"/>
      <c r="T53" s="2">
        <f>SLOPE(H40:H53,$A40:$A53)</f>
        <v>-2.4219780219784052E-3</v>
      </c>
      <c r="U53" s="2">
        <f>SLOPE(I40:I53,$A40:$A53)</f>
        <v>-3.7802197802097208E-4</v>
      </c>
      <c r="V53" s="2">
        <f>SLOPE(J40:J53,$A40:$A53)</f>
        <v>-1.6351648351654593E-3</v>
      </c>
      <c r="W53" s="2">
        <f>SLOPE(K40:K53,$A40:$A53)</f>
        <v>7.8461538461613268E-4</v>
      </c>
      <c r="X53" s="2">
        <f>SLOPE(L40:L53,$A40:$A53)</f>
        <v>-2.1538461538283288E-4</v>
      </c>
      <c r="Y53" s="2">
        <f>SLOPE(M40:M53,$A40:$A53)</f>
        <v>1.5538461538463896E-3</v>
      </c>
      <c r="Z53" s="1"/>
      <c r="AA53" s="2">
        <f t="shared" si="7"/>
        <v>-1.7916369016463931</v>
      </c>
      <c r="AB53" s="2">
        <f t="shared" si="8"/>
        <v>-0.27972738510936518</v>
      </c>
      <c r="AC53" s="2">
        <f t="shared" si="9"/>
        <v>-1.2098133548022816</v>
      </c>
      <c r="AD53" s="2">
        <f t="shared" si="10"/>
        <v>0.5805816973038227</v>
      </c>
      <c r="AE53" s="2">
        <f t="shared" si="11"/>
        <v>-0.15938041184908164</v>
      </c>
      <c r="AF53" s="2">
        <f t="shared" si="12"/>
        <v>1.1496644760253618</v>
      </c>
      <c r="AG53" s="1"/>
      <c r="AH53" s="1" t="str" cm="1">
        <f t="array" ref="AH53">_xlfn.IFS(AA53&gt;3,"Strong + Slope",AA53&gt;1.5,"Moderate + Slope",AA53&gt;0.5,"Sideway + Slope",AA53&gt;=-0.5,"Sideway Flat",AA53&gt;=-1.5,"Sideway - Slope",AA53&gt;=-3,"Moderate - Slope",TRUE,"Strong - Slope")</f>
        <v>Moderate - Slope</v>
      </c>
      <c r="AI53" s="1" t="str" cm="1">
        <f t="array" ref="AI53">_xlfn.IFS(AB53&gt;3,"Strong + Slope",AB53&gt;1.5,"Moderate + Slope",AB53&gt;0.5,"Sideway + Slope",AB53&gt;=-0.5,"Sideway Flat",AB53&gt;=-1.5,"Sideway - Slope",AB53&gt;=-3,"Moderate - Slope",TRUE,"Strong - Slope")</f>
        <v>Sideway Flat</v>
      </c>
      <c r="AJ53" s="1" t="str" cm="1">
        <f t="array" ref="AJ53">_xlfn.IFS(AC53&gt;3,"Strong + Slope",AC53&gt;1.5,"Moderate + Slope",AC53&gt;0.5,"Sideway + Slope",AC53&gt;=-0.5,"Sideway Flat",AC53&gt;=-1.5,"Sideway - Slope",AC53&gt;=-3,"Moderate - Slope",TRUE,"Strong - Slope")</f>
        <v>Sideway - Slope</v>
      </c>
      <c r="AK53" s="1" t="str" cm="1">
        <f t="array" ref="AK53">_xlfn.IFS(AD53&gt;3,"Strong + Slope",AD53&gt;1.5,"Moderate + Slope",AD53&gt;0.5,"Sideway + Slope",AD53&gt;=-0.5,"Sideway Flat",AD53&gt;=-1.5,"Sideway - Slope",AD53&gt;=-3,"Moderate - Slope",TRUE,"Strong - Slope")</f>
        <v>Sideway + Slope</v>
      </c>
      <c r="AL53" s="1" t="str" cm="1">
        <f t="array" ref="AL53">_xlfn.IFS(AE53&gt;3,"Strong + Slope",AE53&gt;1.5,"Moderate + Slope",AE53&gt;0.5,"Sideway + Slope",AE53&gt;=-0.5,"Sideway Flat",AE53&gt;=-1.5,"Sideway - Slope",AE53&gt;=-3,"Moderate - Slope",TRUE,"Strong - Slope")</f>
        <v>Sideway Flat</v>
      </c>
      <c r="AM53" s="1" t="str" cm="1">
        <f t="array" ref="AM53">_xlfn.IFS(AF53&gt;3,"Strong + Slope",AF53&gt;1.5,"Moderate + Slope",AF53&gt;0.5,"Sideway + Slope",AF53&gt;=-0.5,"Sideway Flat",AF53&gt;=-1.5,"Sideway - Slope",AF53&gt;=-3,"Moderate - Slope",TRUE,"Strong - Slope")</f>
        <v>Sideway + Slope</v>
      </c>
    </row>
    <row r="54" spans="1:39" x14ac:dyDescent="0.55000000000000004">
      <c r="A54" s="1">
        <v>52</v>
      </c>
      <c r="B54" s="1" t="s">
        <v>54</v>
      </c>
      <c r="C54" s="1" t="s">
        <v>3</v>
      </c>
      <c r="D54" s="1" t="s">
        <v>102</v>
      </c>
      <c r="E54" s="1">
        <v>152.827</v>
      </c>
      <c r="F54" s="1">
        <v>152.74700000000001</v>
      </c>
      <c r="G54" s="1">
        <v>152.80600000000001</v>
      </c>
      <c r="H54" s="1">
        <v>152.91499999999999</v>
      </c>
      <c r="I54" s="1">
        <v>152.892</v>
      </c>
      <c r="J54" s="1">
        <v>153.18700000000001</v>
      </c>
      <c r="K54" s="1">
        <v>152.59899999999999</v>
      </c>
      <c r="L54" s="1">
        <v>152.59100000000001</v>
      </c>
      <c r="M54" s="1">
        <v>152.84899999999999</v>
      </c>
      <c r="N54" s="10">
        <f t="shared" si="13"/>
        <v>7.9999999999984084E-2</v>
      </c>
      <c r="O54" s="10">
        <f t="shared" si="14"/>
        <v>7.4000000000012278E-2</v>
      </c>
      <c r="P54" s="10">
        <f t="shared" si="15"/>
        <v>5.9999999999718057E-3</v>
      </c>
      <c r="Q54" s="10">
        <f t="shared" si="16"/>
        <v>7.9999999999984084E-2</v>
      </c>
      <c r="R54" s="10">
        <f t="shared" si="5"/>
        <v>7.7214285714286943E-2</v>
      </c>
      <c r="S54" s="1"/>
      <c r="T54" s="2">
        <f>SLOPE(H41:H54,$A41:$A54)</f>
        <v>-2.4000000000000909E-3</v>
      </c>
      <c r="U54" s="2">
        <f>SLOPE(I41:I54,$A41:$A54)</f>
        <v>-3.8901098901034787E-4</v>
      </c>
      <c r="V54" s="2">
        <f>SLOPE(J41:J54,$A41:$A54)</f>
        <v>-1.6505494505495235E-3</v>
      </c>
      <c r="W54" s="2">
        <f>SLOPE(K41:K54,$A41:$A54)</f>
        <v>7.6923076923081921E-4</v>
      </c>
      <c r="X54" s="2">
        <f>SLOPE(L41:L54,$A41:$A54)</f>
        <v>-2.3076923076733433E-4</v>
      </c>
      <c r="Y54" s="2">
        <f>SLOPE(M41:M54,$A41:$A54)</f>
        <v>1.5802197802195174E-3</v>
      </c>
      <c r="Z54" s="1"/>
      <c r="AA54" s="2">
        <f t="shared" si="7"/>
        <v>-1.780313214466136</v>
      </c>
      <c r="AB54" s="2">
        <f t="shared" si="8"/>
        <v>-0.28865771499289816</v>
      </c>
      <c r="AC54" s="2">
        <f t="shared" si="9"/>
        <v>-1.2245806094438612</v>
      </c>
      <c r="AD54" s="2">
        <f t="shared" si="10"/>
        <v>0.57077803887719436</v>
      </c>
      <c r="AE54" s="2">
        <f t="shared" si="11"/>
        <v>-0.17123856647343383</v>
      </c>
      <c r="AF54" s="2">
        <f t="shared" si="12"/>
        <v>1.1724162972433669</v>
      </c>
      <c r="AG54" s="1"/>
      <c r="AH54" s="1" t="str" cm="1">
        <f t="array" ref="AH54">_xlfn.IFS(AA54&gt;3,"Strong + Slope",AA54&gt;1.5,"Moderate + Slope",AA54&gt;0.5,"Sideway + Slope",AA54&gt;=-0.5,"Sideway Flat",AA54&gt;=-1.5,"Sideway - Slope",AA54&gt;=-3,"Moderate - Slope",TRUE,"Strong - Slope")</f>
        <v>Moderate - Slope</v>
      </c>
      <c r="AI54" s="1" t="str" cm="1">
        <f t="array" ref="AI54">_xlfn.IFS(AB54&gt;3,"Strong + Slope",AB54&gt;1.5,"Moderate + Slope",AB54&gt;0.5,"Sideway + Slope",AB54&gt;=-0.5,"Sideway Flat",AB54&gt;=-1.5,"Sideway - Slope",AB54&gt;=-3,"Moderate - Slope",TRUE,"Strong - Slope")</f>
        <v>Sideway Flat</v>
      </c>
      <c r="AJ54" s="1" t="str" cm="1">
        <f t="array" ref="AJ54">_xlfn.IFS(AC54&gt;3,"Strong + Slope",AC54&gt;1.5,"Moderate + Slope",AC54&gt;0.5,"Sideway + Slope",AC54&gt;=-0.5,"Sideway Flat",AC54&gt;=-1.5,"Sideway - Slope",AC54&gt;=-3,"Moderate - Slope",TRUE,"Strong - Slope")</f>
        <v>Sideway - Slope</v>
      </c>
      <c r="AK54" s="1" t="str" cm="1">
        <f t="array" ref="AK54">_xlfn.IFS(AD54&gt;3,"Strong + Slope",AD54&gt;1.5,"Moderate + Slope",AD54&gt;0.5,"Sideway + Slope",AD54&gt;=-0.5,"Sideway Flat",AD54&gt;=-1.5,"Sideway - Slope",AD54&gt;=-3,"Moderate - Slope",TRUE,"Strong - Slope")</f>
        <v>Sideway + Slope</v>
      </c>
      <c r="AL54" s="1" t="str" cm="1">
        <f t="array" ref="AL54">_xlfn.IFS(AE54&gt;3,"Strong + Slope",AE54&gt;1.5,"Moderate + Slope",AE54&gt;0.5,"Sideway + Slope",AE54&gt;=-0.5,"Sideway Flat",AE54&gt;=-1.5,"Sideway - Slope",AE54&gt;=-3,"Moderate - Slope",TRUE,"Strong - Slope")</f>
        <v>Sideway Flat</v>
      </c>
      <c r="AM54" s="1" t="str" cm="1">
        <f t="array" ref="AM54">_xlfn.IFS(AF54&gt;3,"Strong + Slope",AF54&gt;1.5,"Moderate + Slope",AF54&gt;0.5,"Sideway + Slope",AF54&gt;=-0.5,"Sideway Flat",AF54&gt;=-1.5,"Sideway - Slope",AF54&gt;=-3,"Moderate - Slope",TRUE,"Strong - Slope")</f>
        <v>Sideway + Slope</v>
      </c>
    </row>
    <row r="55" spans="1:39" x14ac:dyDescent="0.55000000000000004">
      <c r="A55" s="1">
        <v>53</v>
      </c>
      <c r="B55" s="1" t="s">
        <v>55</v>
      </c>
      <c r="C55" s="1" t="s">
        <v>3</v>
      </c>
      <c r="D55" s="1" t="s">
        <v>102</v>
      </c>
      <c r="E55" s="1">
        <v>152.82400000000001</v>
      </c>
      <c r="F55" s="1">
        <v>152.761</v>
      </c>
      <c r="G55" s="1">
        <v>152.78800000000001</v>
      </c>
      <c r="H55" s="1">
        <v>152.91200000000001</v>
      </c>
      <c r="I55" s="1">
        <v>152.892</v>
      </c>
      <c r="J55" s="1">
        <v>153.18600000000001</v>
      </c>
      <c r="K55" s="1">
        <v>152.6</v>
      </c>
      <c r="L55" s="1">
        <v>152.59100000000001</v>
      </c>
      <c r="M55" s="1">
        <v>152.85</v>
      </c>
      <c r="N55" s="10">
        <f t="shared" si="13"/>
        <v>6.3000000000016598E-2</v>
      </c>
      <c r="O55" s="10">
        <f t="shared" si="14"/>
        <v>1.8000000000000682E-2</v>
      </c>
      <c r="P55" s="10">
        <f t="shared" si="15"/>
        <v>4.5000000000015916E-2</v>
      </c>
      <c r="Q55" s="10">
        <f t="shared" si="16"/>
        <v>6.3000000000016598E-2</v>
      </c>
      <c r="R55" s="10">
        <f t="shared" si="5"/>
        <v>7.5285714285718494E-2</v>
      </c>
      <c r="S55" s="1"/>
      <c r="T55" s="2">
        <f>SLOPE(H42:H55,$A42:$A55)</f>
        <v>-2.4131868131865922E-3</v>
      </c>
      <c r="U55" s="2">
        <f>SLOPE(I42:I55,$A42:$A55)</f>
        <v>-3.7802197802172164E-4</v>
      </c>
      <c r="V55" s="2">
        <f>SLOPE(J42:J55,$A42:$A55)</f>
        <v>-1.6263736263734589E-3</v>
      </c>
      <c r="W55" s="2">
        <f>SLOPE(K42:K55,$A42:$A55)</f>
        <v>7.6703296703263177E-4</v>
      </c>
      <c r="X55" s="2">
        <f>SLOPE(L42:L55,$A42:$A55)</f>
        <v>-2.3296703296508454E-4</v>
      </c>
      <c r="Y55" s="2">
        <f>SLOPE(M42:M55,$A42:$A55)</f>
        <v>1.5714285714281417E-3</v>
      </c>
      <c r="Z55" s="1"/>
      <c r="AA55" s="2">
        <f t="shared" si="7"/>
        <v>-1.8359139829343236</v>
      </c>
      <c r="AB55" s="2">
        <f t="shared" si="8"/>
        <v>-0.28768913317235567</v>
      </c>
      <c r="AC55" s="2">
        <f t="shared" si="9"/>
        <v>-1.2375502312844824</v>
      </c>
      <c r="AD55" s="2">
        <f t="shared" si="10"/>
        <v>0.58372603166939474</v>
      </c>
      <c r="AE55" s="2">
        <f t="shared" si="11"/>
        <v>-0.17729771546383796</v>
      </c>
      <c r="AF55" s="2">
        <f t="shared" si="12"/>
        <v>1.1957534528860261</v>
      </c>
      <c r="AG55" s="1"/>
      <c r="AH55" s="1" t="str" cm="1">
        <f t="array" ref="AH55">_xlfn.IFS(AA55&gt;3,"Strong + Slope",AA55&gt;1.5,"Moderate + Slope",AA55&gt;0.5,"Sideway + Slope",AA55&gt;=-0.5,"Sideway Flat",AA55&gt;=-1.5,"Sideway - Slope",AA55&gt;=-3,"Moderate - Slope",TRUE,"Strong - Slope")</f>
        <v>Moderate - Slope</v>
      </c>
      <c r="AI55" s="1" t="str" cm="1">
        <f t="array" ref="AI55">_xlfn.IFS(AB55&gt;3,"Strong + Slope",AB55&gt;1.5,"Moderate + Slope",AB55&gt;0.5,"Sideway + Slope",AB55&gt;=-0.5,"Sideway Flat",AB55&gt;=-1.5,"Sideway - Slope",AB55&gt;=-3,"Moderate - Slope",TRUE,"Strong - Slope")</f>
        <v>Sideway Flat</v>
      </c>
      <c r="AJ55" s="1" t="str" cm="1">
        <f t="array" ref="AJ55">_xlfn.IFS(AC55&gt;3,"Strong + Slope",AC55&gt;1.5,"Moderate + Slope",AC55&gt;0.5,"Sideway + Slope",AC55&gt;=-0.5,"Sideway Flat",AC55&gt;=-1.5,"Sideway - Slope",AC55&gt;=-3,"Moderate - Slope",TRUE,"Strong - Slope")</f>
        <v>Sideway - Slope</v>
      </c>
      <c r="AK55" s="1" t="str" cm="1">
        <f t="array" ref="AK55">_xlfn.IFS(AD55&gt;3,"Strong + Slope",AD55&gt;1.5,"Moderate + Slope",AD55&gt;0.5,"Sideway + Slope",AD55&gt;=-0.5,"Sideway Flat",AD55&gt;=-1.5,"Sideway - Slope",AD55&gt;=-3,"Moderate - Slope",TRUE,"Strong - Slope")</f>
        <v>Sideway + Slope</v>
      </c>
      <c r="AL55" s="1" t="str" cm="1">
        <f t="array" ref="AL55">_xlfn.IFS(AE55&gt;3,"Strong + Slope",AE55&gt;1.5,"Moderate + Slope",AE55&gt;0.5,"Sideway + Slope",AE55&gt;=-0.5,"Sideway Flat",AE55&gt;=-1.5,"Sideway - Slope",AE55&gt;=-3,"Moderate - Slope",TRUE,"Strong - Slope")</f>
        <v>Sideway Flat</v>
      </c>
      <c r="AM55" s="1" t="str" cm="1">
        <f t="array" ref="AM55">_xlfn.IFS(AF55&gt;3,"Strong + Slope",AF55&gt;1.5,"Moderate + Slope",AF55&gt;0.5,"Sideway + Slope",AF55&gt;=-0.5,"Sideway Flat",AF55&gt;=-1.5,"Sideway - Slope",AF55&gt;=-3,"Moderate - Slope",TRUE,"Strong - Slope")</f>
        <v>Sideway + Slope</v>
      </c>
    </row>
    <row r="56" spans="1:39" x14ac:dyDescent="0.55000000000000004">
      <c r="A56" s="1">
        <v>54</v>
      </c>
      <c r="B56" s="1" t="s">
        <v>56</v>
      </c>
      <c r="C56" s="1" t="s">
        <v>3</v>
      </c>
      <c r="D56" s="1" t="s">
        <v>102</v>
      </c>
      <c r="E56" s="1">
        <v>152.82599999999999</v>
      </c>
      <c r="F56" s="1">
        <v>152.768</v>
      </c>
      <c r="G56" s="1">
        <v>152.81399999999999</v>
      </c>
      <c r="H56" s="1">
        <v>152.91</v>
      </c>
      <c r="I56" s="1">
        <v>152.89099999999999</v>
      </c>
      <c r="J56" s="1">
        <v>153.184</v>
      </c>
      <c r="K56" s="1">
        <v>152.601</v>
      </c>
      <c r="L56" s="1">
        <v>152.59100000000001</v>
      </c>
      <c r="M56" s="1">
        <v>152.852</v>
      </c>
      <c r="N56" s="10">
        <f t="shared" si="13"/>
        <v>5.7999999999992724E-2</v>
      </c>
      <c r="O56" s="10">
        <f t="shared" si="14"/>
        <v>3.7999999999982492E-2</v>
      </c>
      <c r="P56" s="10">
        <f t="shared" si="15"/>
        <v>2.0000000000010232E-2</v>
      </c>
      <c r="Q56" s="10">
        <f t="shared" si="16"/>
        <v>5.7999999999992724E-2</v>
      </c>
      <c r="R56" s="10">
        <f t="shared" si="5"/>
        <v>7.5928571428574648E-2</v>
      </c>
      <c r="S56" s="1"/>
      <c r="T56" s="2">
        <f>SLOPE(H43:H56,$A43:$A56)</f>
        <v>-2.4000000000000909E-3</v>
      </c>
      <c r="U56" s="2">
        <f>SLOPE(I43:I56,$A43:$A56)</f>
        <v>-3.7362637362665848E-4</v>
      </c>
      <c r="V56" s="2">
        <f>SLOPE(J43:J56,$A43:$A56)</f>
        <v>-1.6241758241760211E-3</v>
      </c>
      <c r="W56" s="2">
        <f>SLOPE(K43:K56,$A43:$A56)</f>
        <v>7.7802197802157025E-4</v>
      </c>
      <c r="X56" s="2">
        <f>SLOPE(L43:L56,$A43:$A56)</f>
        <v>-2.2197802197608356E-4</v>
      </c>
      <c r="Y56" s="2">
        <f>SLOPE(M43:M56,$A43:$A56)</f>
        <v>1.5890109890110179E-3</v>
      </c>
      <c r="Z56" s="1"/>
      <c r="AA56" s="2">
        <f t="shared" si="7"/>
        <v>-1.8104397328215869</v>
      </c>
      <c r="AB56" s="2">
        <f t="shared" si="8"/>
        <v>-0.28193657722435861</v>
      </c>
      <c r="AC56" s="2">
        <f t="shared" si="9"/>
        <v>-1.2254178965775817</v>
      </c>
      <c r="AD56" s="2">
        <f t="shared" si="10"/>
        <v>0.58707565305228282</v>
      </c>
      <c r="AE56" s="2">
        <f t="shared" si="11"/>
        <v>-0.16750437062628393</v>
      </c>
      <c r="AF56" s="2">
        <f t="shared" si="12"/>
        <v>1.1988943505958816</v>
      </c>
      <c r="AG56" s="1"/>
      <c r="AH56" s="1" t="str" cm="1">
        <f t="array" ref="AH56">_xlfn.IFS(AA56&gt;3,"Strong + Slope",AA56&gt;1.5,"Moderate + Slope",AA56&gt;0.5,"Sideway + Slope",AA56&gt;=-0.5,"Sideway Flat",AA56&gt;=-1.5,"Sideway - Slope",AA56&gt;=-3,"Moderate - Slope",TRUE,"Strong - Slope")</f>
        <v>Moderate - Slope</v>
      </c>
      <c r="AI56" s="1" t="str" cm="1">
        <f t="array" ref="AI56">_xlfn.IFS(AB56&gt;3,"Strong + Slope",AB56&gt;1.5,"Moderate + Slope",AB56&gt;0.5,"Sideway + Slope",AB56&gt;=-0.5,"Sideway Flat",AB56&gt;=-1.5,"Sideway - Slope",AB56&gt;=-3,"Moderate - Slope",TRUE,"Strong - Slope")</f>
        <v>Sideway Flat</v>
      </c>
      <c r="AJ56" s="1" t="str" cm="1">
        <f t="array" ref="AJ56">_xlfn.IFS(AC56&gt;3,"Strong + Slope",AC56&gt;1.5,"Moderate + Slope",AC56&gt;0.5,"Sideway + Slope",AC56&gt;=-0.5,"Sideway Flat",AC56&gt;=-1.5,"Sideway - Slope",AC56&gt;=-3,"Moderate - Slope",TRUE,"Strong - Slope")</f>
        <v>Sideway - Slope</v>
      </c>
      <c r="AK56" s="1" t="str" cm="1">
        <f t="array" ref="AK56">_xlfn.IFS(AD56&gt;3,"Strong + Slope",AD56&gt;1.5,"Moderate + Slope",AD56&gt;0.5,"Sideway + Slope",AD56&gt;=-0.5,"Sideway Flat",AD56&gt;=-1.5,"Sideway - Slope",AD56&gt;=-3,"Moderate - Slope",TRUE,"Strong - Slope")</f>
        <v>Sideway + Slope</v>
      </c>
      <c r="AL56" s="1" t="str" cm="1">
        <f t="array" ref="AL56">_xlfn.IFS(AE56&gt;3,"Strong + Slope",AE56&gt;1.5,"Moderate + Slope",AE56&gt;0.5,"Sideway + Slope",AE56&gt;=-0.5,"Sideway Flat",AE56&gt;=-1.5,"Sideway - Slope",AE56&gt;=-3,"Moderate - Slope",TRUE,"Strong - Slope")</f>
        <v>Sideway Flat</v>
      </c>
      <c r="AM56" s="1" t="str" cm="1">
        <f t="array" ref="AM56">_xlfn.IFS(AF56&gt;3,"Strong + Slope",AF56&gt;1.5,"Moderate + Slope",AF56&gt;0.5,"Sideway + Slope",AF56&gt;=-0.5,"Sideway Flat",AF56&gt;=-1.5,"Sideway - Slope",AF56&gt;=-3,"Moderate - Slope",TRUE,"Strong - Slope")</f>
        <v>Sideway + Slope</v>
      </c>
    </row>
    <row r="57" spans="1:39" x14ac:dyDescent="0.55000000000000004">
      <c r="A57" s="1">
        <v>55</v>
      </c>
      <c r="B57" s="1" t="s">
        <v>57</v>
      </c>
      <c r="C57" s="1" t="s">
        <v>3</v>
      </c>
      <c r="D57" s="1" t="s">
        <v>102</v>
      </c>
      <c r="E57" s="1">
        <v>152.82400000000001</v>
      </c>
      <c r="F57" s="1">
        <v>152.797</v>
      </c>
      <c r="G57" s="1">
        <v>152.803</v>
      </c>
      <c r="H57" s="1">
        <v>152.90700000000001</v>
      </c>
      <c r="I57" s="1">
        <v>152.89099999999999</v>
      </c>
      <c r="J57" s="1">
        <v>153.18199999999999</v>
      </c>
      <c r="K57" s="1">
        <v>152.601</v>
      </c>
      <c r="L57" s="1">
        <v>152.59</v>
      </c>
      <c r="M57" s="1">
        <v>152.85300000000001</v>
      </c>
      <c r="N57" s="10">
        <f t="shared" si="13"/>
        <v>2.7000000000015234E-2</v>
      </c>
      <c r="O57" s="10">
        <f t="shared" si="14"/>
        <v>1.0000000000019327E-2</v>
      </c>
      <c r="P57" s="10">
        <f t="shared" si="15"/>
        <v>1.6999999999995907E-2</v>
      </c>
      <c r="Q57" s="10">
        <f t="shared" si="16"/>
        <v>2.7000000000015234E-2</v>
      </c>
      <c r="R57" s="10">
        <f t="shared" si="5"/>
        <v>7.5500000000003203E-2</v>
      </c>
      <c r="S57" s="1"/>
      <c r="T57" s="2">
        <f>SLOPE(H44:H57,$A44:$A57)</f>
        <v>-2.4219780219775933E-3</v>
      </c>
      <c r="U57" s="2">
        <f>SLOPE(I44:I57,$A44:$A57)</f>
        <v>-3.7582417582515828E-4</v>
      </c>
      <c r="V57" s="2">
        <f>SLOPE(J44:J57,$A44:$A57)</f>
        <v>-1.6439560439562729E-3</v>
      </c>
      <c r="W57" s="2">
        <f>SLOPE(K44:K57,$A44:$A57)</f>
        <v>7.7362637362606978E-4</v>
      </c>
      <c r="X57" s="2">
        <f>SLOPE(L44:L57,$A44:$A57)</f>
        <v>-2.2637362637189634E-4</v>
      </c>
      <c r="Y57" s="2">
        <f>SLOPE(M44:M57,$A44:$A57)</f>
        <v>1.571428571428454E-3</v>
      </c>
      <c r="Z57" s="1"/>
      <c r="AA57" s="2">
        <f t="shared" si="7"/>
        <v>-1.8373714819070188</v>
      </c>
      <c r="AB57" s="2">
        <f t="shared" si="8"/>
        <v>-0.28520478494351226</v>
      </c>
      <c r="AC57" s="2">
        <f t="shared" si="9"/>
        <v>-1.2473756457581537</v>
      </c>
      <c r="AD57" s="2">
        <f t="shared" si="10"/>
        <v>0.58707251532345361</v>
      </c>
      <c r="AE57" s="2">
        <f t="shared" si="11"/>
        <v>-0.17179092075546618</v>
      </c>
      <c r="AF57" s="2">
        <f t="shared" si="12"/>
        <v>1.1923606210443158</v>
      </c>
      <c r="AG57" s="1"/>
      <c r="AH57" s="1" t="str" cm="1">
        <f t="array" ref="AH57">_xlfn.IFS(AA57&gt;3,"Strong + Slope",AA57&gt;1.5,"Moderate + Slope",AA57&gt;0.5,"Sideway + Slope",AA57&gt;=-0.5,"Sideway Flat",AA57&gt;=-1.5,"Sideway - Slope",AA57&gt;=-3,"Moderate - Slope",TRUE,"Strong - Slope")</f>
        <v>Moderate - Slope</v>
      </c>
      <c r="AI57" s="1" t="str" cm="1">
        <f t="array" ref="AI57">_xlfn.IFS(AB57&gt;3,"Strong + Slope",AB57&gt;1.5,"Moderate + Slope",AB57&gt;0.5,"Sideway + Slope",AB57&gt;=-0.5,"Sideway Flat",AB57&gt;=-1.5,"Sideway - Slope",AB57&gt;=-3,"Moderate - Slope",TRUE,"Strong - Slope")</f>
        <v>Sideway Flat</v>
      </c>
      <c r="AJ57" s="1" t="str" cm="1">
        <f t="array" ref="AJ57">_xlfn.IFS(AC57&gt;3,"Strong + Slope",AC57&gt;1.5,"Moderate + Slope",AC57&gt;0.5,"Sideway + Slope",AC57&gt;=-0.5,"Sideway Flat",AC57&gt;=-1.5,"Sideway - Slope",AC57&gt;=-3,"Moderate - Slope",TRUE,"Strong - Slope")</f>
        <v>Sideway - Slope</v>
      </c>
      <c r="AK57" s="1" t="str" cm="1">
        <f t="array" ref="AK57">_xlfn.IFS(AD57&gt;3,"Strong + Slope",AD57&gt;1.5,"Moderate + Slope",AD57&gt;0.5,"Sideway + Slope",AD57&gt;=-0.5,"Sideway Flat",AD57&gt;=-1.5,"Sideway - Slope",AD57&gt;=-3,"Moderate - Slope",TRUE,"Strong - Slope")</f>
        <v>Sideway + Slope</v>
      </c>
      <c r="AL57" s="1" t="str" cm="1">
        <f t="array" ref="AL57">_xlfn.IFS(AE57&gt;3,"Strong + Slope",AE57&gt;1.5,"Moderate + Slope",AE57&gt;0.5,"Sideway + Slope",AE57&gt;=-0.5,"Sideway Flat",AE57&gt;=-1.5,"Sideway - Slope",AE57&gt;=-3,"Moderate - Slope",TRUE,"Strong - Slope")</f>
        <v>Sideway Flat</v>
      </c>
      <c r="AM57" s="1" t="str" cm="1">
        <f t="array" ref="AM57">_xlfn.IFS(AF57&gt;3,"Strong + Slope",AF57&gt;1.5,"Moderate + Slope",AF57&gt;0.5,"Sideway + Slope",AF57&gt;=-0.5,"Sideway Flat",AF57&gt;=-1.5,"Sideway - Slope",AF57&gt;=-3,"Moderate - Slope",TRUE,"Strong - Slope")</f>
        <v>Sideway + Slope</v>
      </c>
    </row>
    <row r="58" spans="1:39" x14ac:dyDescent="0.55000000000000004">
      <c r="A58" s="1">
        <v>56</v>
      </c>
      <c r="B58" s="1" t="s">
        <v>58</v>
      </c>
      <c r="C58" s="1" t="s">
        <v>3</v>
      </c>
      <c r="D58" s="1" t="s">
        <v>102</v>
      </c>
      <c r="E58" s="1">
        <v>152.84899999999999</v>
      </c>
      <c r="F58" s="1">
        <v>152.80099999999999</v>
      </c>
      <c r="G58" s="1">
        <v>152.83799999999999</v>
      </c>
      <c r="H58" s="1">
        <v>152.905</v>
      </c>
      <c r="I58" s="1">
        <v>152.89099999999999</v>
      </c>
      <c r="J58" s="1">
        <v>153.18100000000001</v>
      </c>
      <c r="K58" s="1">
        <v>152.602</v>
      </c>
      <c r="L58" s="1">
        <v>152.59</v>
      </c>
      <c r="M58" s="1">
        <v>152.85499999999999</v>
      </c>
      <c r="N58" s="10">
        <f t="shared" si="13"/>
        <v>4.8000000000001819E-2</v>
      </c>
      <c r="O58" s="10">
        <f t="shared" si="14"/>
        <v>4.5999999999992269E-2</v>
      </c>
      <c r="P58" s="10">
        <f t="shared" si="15"/>
        <v>2.0000000000095497E-3</v>
      </c>
      <c r="Q58" s="10">
        <f t="shared" si="16"/>
        <v>4.8000000000001819E-2</v>
      </c>
      <c r="R58" s="10">
        <f t="shared" si="5"/>
        <v>7.4214285714288869E-2</v>
      </c>
      <c r="S58" s="1"/>
      <c r="T58" s="2">
        <f>SLOPE(H45:H58,$A45:$A58)</f>
        <v>-2.4175824175820928E-3</v>
      </c>
      <c r="U58" s="2">
        <f>SLOPE(I45:I58,$A45:$A58)</f>
        <v>-3.5604395604565611E-4</v>
      </c>
      <c r="V58" s="2">
        <f>SLOPE(J45:J58,$A45:$A58)</f>
        <v>-1.6241758241754588E-3</v>
      </c>
      <c r="W58" s="2">
        <f>SLOPE(K45:K58,$A45:$A58)</f>
        <v>7.5384615384613035E-4</v>
      </c>
      <c r="X58" s="2">
        <f>SLOPE(L45:L58,$A45:$A58)</f>
        <v>-2.4615384615252287E-4</v>
      </c>
      <c r="Y58" s="2">
        <f>SLOPE(M45:M58,$A45:$A58)</f>
        <v>1.5802197802192051E-3</v>
      </c>
      <c r="Z58" s="1"/>
      <c r="AA58" s="2">
        <f t="shared" si="7"/>
        <v>-1.8657904190622034</v>
      </c>
      <c r="AB58" s="2">
        <f t="shared" si="8"/>
        <v>-0.27487510389864395</v>
      </c>
      <c r="AC58" s="2">
        <f t="shared" si="9"/>
        <v>-1.2537150560428467</v>
      </c>
      <c r="AD58" s="2">
        <f t="shared" si="10"/>
        <v>0.58197309571093592</v>
      </c>
      <c r="AE58" s="2">
        <f t="shared" si="11"/>
        <v>-0.19003786995339894</v>
      </c>
      <c r="AF58" s="2">
        <f t="shared" si="12"/>
        <v>1.2197954078219004</v>
      </c>
      <c r="AG58" s="1"/>
      <c r="AH58" s="1" t="str" cm="1">
        <f t="array" ref="AH58">_xlfn.IFS(AA58&gt;3,"Strong + Slope",AA58&gt;1.5,"Moderate + Slope",AA58&gt;0.5,"Sideway + Slope",AA58&gt;=-0.5,"Sideway Flat",AA58&gt;=-1.5,"Sideway - Slope",AA58&gt;=-3,"Moderate - Slope",TRUE,"Strong - Slope")</f>
        <v>Moderate - Slope</v>
      </c>
      <c r="AI58" s="1" t="str" cm="1">
        <f t="array" ref="AI58">_xlfn.IFS(AB58&gt;3,"Strong + Slope",AB58&gt;1.5,"Moderate + Slope",AB58&gt;0.5,"Sideway + Slope",AB58&gt;=-0.5,"Sideway Flat",AB58&gt;=-1.5,"Sideway - Slope",AB58&gt;=-3,"Moderate - Slope",TRUE,"Strong - Slope")</f>
        <v>Sideway Flat</v>
      </c>
      <c r="AJ58" s="1" t="str" cm="1">
        <f t="array" ref="AJ58">_xlfn.IFS(AC58&gt;3,"Strong + Slope",AC58&gt;1.5,"Moderate + Slope",AC58&gt;0.5,"Sideway + Slope",AC58&gt;=-0.5,"Sideway Flat",AC58&gt;=-1.5,"Sideway - Slope",AC58&gt;=-3,"Moderate - Slope",TRUE,"Strong - Slope")</f>
        <v>Sideway - Slope</v>
      </c>
      <c r="AK58" s="1" t="str" cm="1">
        <f t="array" ref="AK58">_xlfn.IFS(AD58&gt;3,"Strong + Slope",AD58&gt;1.5,"Moderate + Slope",AD58&gt;0.5,"Sideway + Slope",AD58&gt;=-0.5,"Sideway Flat",AD58&gt;=-1.5,"Sideway - Slope",AD58&gt;=-3,"Moderate - Slope",TRUE,"Strong - Slope")</f>
        <v>Sideway + Slope</v>
      </c>
      <c r="AL58" s="1" t="str" cm="1">
        <f t="array" ref="AL58">_xlfn.IFS(AE58&gt;3,"Strong + Slope",AE58&gt;1.5,"Moderate + Slope",AE58&gt;0.5,"Sideway + Slope",AE58&gt;=-0.5,"Sideway Flat",AE58&gt;=-1.5,"Sideway - Slope",AE58&gt;=-3,"Moderate - Slope",TRUE,"Strong - Slope")</f>
        <v>Sideway Flat</v>
      </c>
      <c r="AM58" s="1" t="str" cm="1">
        <f t="array" ref="AM58">_xlfn.IFS(AF58&gt;3,"Strong + Slope",AF58&gt;1.5,"Moderate + Slope",AF58&gt;0.5,"Sideway + Slope",AF58&gt;=-0.5,"Sideway Flat",AF58&gt;=-1.5,"Sideway - Slope",AF58&gt;=-3,"Moderate - Slope",TRUE,"Strong - Slope")</f>
        <v>Sideway + Slope</v>
      </c>
    </row>
    <row r="59" spans="1:39" x14ac:dyDescent="0.55000000000000004">
      <c r="A59" s="1">
        <v>57</v>
      </c>
      <c r="B59" s="1" t="s">
        <v>59</v>
      </c>
      <c r="C59" s="1" t="s">
        <v>3</v>
      </c>
      <c r="D59" s="1" t="s">
        <v>102</v>
      </c>
      <c r="E59" s="1">
        <v>152.87299999999999</v>
      </c>
      <c r="F59" s="1">
        <v>152.83799999999999</v>
      </c>
      <c r="G59" s="1">
        <v>152.864</v>
      </c>
      <c r="H59" s="1">
        <v>152.90299999999999</v>
      </c>
      <c r="I59" s="1">
        <v>152.88999999999999</v>
      </c>
      <c r="J59" s="1">
        <v>153.179</v>
      </c>
      <c r="K59" s="1">
        <v>152.60300000000001</v>
      </c>
      <c r="L59" s="1">
        <v>152.59</v>
      </c>
      <c r="M59" s="1">
        <v>152.857</v>
      </c>
      <c r="N59" s="10">
        <f t="shared" si="13"/>
        <v>3.4999999999996589E-2</v>
      </c>
      <c r="O59" s="10">
        <f t="shared" si="14"/>
        <v>3.4999999999996589E-2</v>
      </c>
      <c r="P59" s="10">
        <f t="shared" si="15"/>
        <v>0</v>
      </c>
      <c r="Q59" s="10">
        <f t="shared" si="16"/>
        <v>3.4999999999996589E-2</v>
      </c>
      <c r="R59" s="10">
        <f t="shared" si="5"/>
        <v>6.6000000000002501E-2</v>
      </c>
      <c r="S59" s="1"/>
      <c r="T59" s="2">
        <f>SLOPE(H46:H59,$A46:$A59)</f>
        <v>-2.419780219779843E-3</v>
      </c>
      <c r="U59" s="2">
        <f>SLOPE(I46:I59,$A46:$A59)</f>
        <v>-3.7582417582597035E-4</v>
      </c>
      <c r="V59" s="2">
        <f>SLOPE(J46:J59,$A46:$A59)</f>
        <v>-1.6263736263732716E-3</v>
      </c>
      <c r="W59" s="2">
        <f>SLOPE(K46:K59,$A46:$A59)</f>
        <v>7.4725274725331696E-4</v>
      </c>
      <c r="X59" s="2">
        <f>SLOPE(L46:L59,$A46:$A59)</f>
        <v>-2.5274725274639824E-4</v>
      </c>
      <c r="Y59" s="2">
        <f>SLOPE(M46:M59,$A46:$A59)</f>
        <v>1.5824175824170176E-3</v>
      </c>
      <c r="Z59" s="1"/>
      <c r="AA59" s="2">
        <f t="shared" si="7"/>
        <v>-2.0997139786540169</v>
      </c>
      <c r="AB59" s="2">
        <f t="shared" si="8"/>
        <v>-0.32625615727500312</v>
      </c>
      <c r="AC59" s="2">
        <f t="shared" si="9"/>
        <v>-1.4115983355699024</v>
      </c>
      <c r="AD59" s="2">
        <f t="shared" si="10"/>
        <v>0.64867574782910553</v>
      </c>
      <c r="AE59" s="2">
        <f t="shared" si="11"/>
        <v>-0.21941333449040035</v>
      </c>
      <c r="AF59" s="2">
        <f t="shared" si="12"/>
        <v>1.3734618456063135</v>
      </c>
      <c r="AG59" s="1"/>
      <c r="AH59" s="1" t="str" cm="1">
        <f t="array" ref="AH59">_xlfn.IFS(AA59&gt;3,"Strong + Slope",AA59&gt;1.5,"Moderate + Slope",AA59&gt;0.5,"Sideway + Slope",AA59&gt;=-0.5,"Sideway Flat",AA59&gt;=-1.5,"Sideway - Slope",AA59&gt;=-3,"Moderate - Slope",TRUE,"Strong - Slope")</f>
        <v>Moderate - Slope</v>
      </c>
      <c r="AI59" s="1" t="str" cm="1">
        <f t="array" ref="AI59">_xlfn.IFS(AB59&gt;3,"Strong + Slope",AB59&gt;1.5,"Moderate + Slope",AB59&gt;0.5,"Sideway + Slope",AB59&gt;=-0.5,"Sideway Flat",AB59&gt;=-1.5,"Sideway - Slope",AB59&gt;=-3,"Moderate - Slope",TRUE,"Strong - Slope")</f>
        <v>Sideway Flat</v>
      </c>
      <c r="AJ59" s="1" t="str" cm="1">
        <f t="array" ref="AJ59">_xlfn.IFS(AC59&gt;3,"Strong + Slope",AC59&gt;1.5,"Moderate + Slope",AC59&gt;0.5,"Sideway + Slope",AC59&gt;=-0.5,"Sideway Flat",AC59&gt;=-1.5,"Sideway - Slope",AC59&gt;=-3,"Moderate - Slope",TRUE,"Strong - Slope")</f>
        <v>Sideway - Slope</v>
      </c>
      <c r="AK59" s="1" t="str" cm="1">
        <f t="array" ref="AK59">_xlfn.IFS(AD59&gt;3,"Strong + Slope",AD59&gt;1.5,"Moderate + Slope",AD59&gt;0.5,"Sideway + Slope",AD59&gt;=-0.5,"Sideway Flat",AD59&gt;=-1.5,"Sideway - Slope",AD59&gt;=-3,"Moderate - Slope",TRUE,"Strong - Slope")</f>
        <v>Sideway + Slope</v>
      </c>
      <c r="AL59" s="1" t="str" cm="1">
        <f t="array" ref="AL59">_xlfn.IFS(AE59&gt;3,"Strong + Slope",AE59&gt;1.5,"Moderate + Slope",AE59&gt;0.5,"Sideway + Slope",AE59&gt;=-0.5,"Sideway Flat",AE59&gt;=-1.5,"Sideway - Slope",AE59&gt;=-3,"Moderate - Slope",TRUE,"Strong - Slope")</f>
        <v>Sideway Flat</v>
      </c>
      <c r="AM59" s="1" t="str" cm="1">
        <f t="array" ref="AM59">_xlfn.IFS(AF59&gt;3,"Strong + Slope",AF59&gt;1.5,"Moderate + Slope",AF59&gt;0.5,"Sideway + Slope",AF59&gt;=-0.5,"Sideway Flat",AF59&gt;=-1.5,"Sideway - Slope",AF59&gt;=-3,"Moderate - Slope",TRUE,"Strong - Slope")</f>
        <v>Sideway + Slope</v>
      </c>
    </row>
    <row r="60" spans="1:39" x14ac:dyDescent="0.55000000000000004">
      <c r="A60" s="1">
        <v>58</v>
      </c>
      <c r="B60" s="1" t="s">
        <v>60</v>
      </c>
      <c r="C60" s="1" t="s">
        <v>3</v>
      </c>
      <c r="D60" s="1" t="s">
        <v>102</v>
      </c>
      <c r="E60" s="1">
        <v>152.86500000000001</v>
      </c>
      <c r="F60" s="1">
        <v>152.81200000000001</v>
      </c>
      <c r="G60" s="1">
        <v>152.81299999999999</v>
      </c>
      <c r="H60" s="1">
        <v>152.9</v>
      </c>
      <c r="I60" s="1">
        <v>152.88999999999999</v>
      </c>
      <c r="J60" s="1">
        <v>153.17699999999999</v>
      </c>
      <c r="K60" s="1">
        <v>152.60400000000001</v>
      </c>
      <c r="L60" s="1">
        <v>152.59</v>
      </c>
      <c r="M60" s="1">
        <v>152.858</v>
      </c>
      <c r="N60" s="10">
        <f t="shared" si="13"/>
        <v>5.2999999999997272E-2</v>
      </c>
      <c r="O60" s="10">
        <f t="shared" si="14"/>
        <v>1.0000000000047748E-3</v>
      </c>
      <c r="P60" s="10">
        <f t="shared" si="15"/>
        <v>5.1999999999992497E-2</v>
      </c>
      <c r="Q60" s="10">
        <f t="shared" si="16"/>
        <v>5.2999999999997272E-2</v>
      </c>
      <c r="R60" s="10">
        <f t="shared" si="5"/>
        <v>6.3500000000000709E-2</v>
      </c>
      <c r="S60" s="1"/>
      <c r="T60" s="2">
        <f>SLOPE(H47:H60,$A47:$A60)</f>
        <v>-2.4285714285708438E-3</v>
      </c>
      <c r="U60" s="2">
        <f>SLOPE(I47:I60,$A47:$A60)</f>
        <v>-3.7362637362815766E-4</v>
      </c>
      <c r="V60" s="2">
        <f>SLOPE(J47:J60,$A47:$A60)</f>
        <v>-1.6505494505497109E-3</v>
      </c>
      <c r="W60" s="2">
        <f>SLOPE(K47:K60,$A47:$A60)</f>
        <v>7.5384615384669251E-4</v>
      </c>
      <c r="X60" s="2">
        <f>SLOPE(L47:L60,$A47:$A60)</f>
        <v>-2.4615384615352234E-4</v>
      </c>
      <c r="Y60" s="2">
        <f>SLOPE(M47:M60,$A47:$A60)</f>
        <v>1.578021978021892E-3</v>
      </c>
      <c r="Z60" s="1"/>
      <c r="AA60" s="2">
        <f t="shared" si="7"/>
        <v>-2.1902221943767093</v>
      </c>
      <c r="AB60" s="2">
        <f t="shared" si="8"/>
        <v>-0.33711759510621703</v>
      </c>
      <c r="AC60" s="2">
        <f t="shared" si="9"/>
        <v>-1.488948472254531</v>
      </c>
      <c r="AD60" s="2">
        <f t="shared" si="10"/>
        <v>0.68016022197596204</v>
      </c>
      <c r="AE60" s="2">
        <f t="shared" si="11"/>
        <v>-0.2221024543682894</v>
      </c>
      <c r="AF60" s="2">
        <f t="shared" si="12"/>
        <v>1.4235495151463426</v>
      </c>
      <c r="AG60" s="1"/>
      <c r="AH60" s="1" t="str" cm="1">
        <f t="array" ref="AH60">_xlfn.IFS(AA60&gt;3,"Strong + Slope",AA60&gt;1.5,"Moderate + Slope",AA60&gt;0.5,"Sideway + Slope",AA60&gt;=-0.5,"Sideway Flat",AA60&gt;=-1.5,"Sideway - Slope",AA60&gt;=-3,"Moderate - Slope",TRUE,"Strong - Slope")</f>
        <v>Moderate - Slope</v>
      </c>
      <c r="AI60" s="1" t="str" cm="1">
        <f t="array" ref="AI60">_xlfn.IFS(AB60&gt;3,"Strong + Slope",AB60&gt;1.5,"Moderate + Slope",AB60&gt;0.5,"Sideway + Slope",AB60&gt;=-0.5,"Sideway Flat",AB60&gt;=-1.5,"Sideway - Slope",AB60&gt;=-3,"Moderate - Slope",TRUE,"Strong - Slope")</f>
        <v>Sideway Flat</v>
      </c>
      <c r="AJ60" s="1" t="str" cm="1">
        <f t="array" ref="AJ60">_xlfn.IFS(AC60&gt;3,"Strong + Slope",AC60&gt;1.5,"Moderate + Slope",AC60&gt;0.5,"Sideway + Slope",AC60&gt;=-0.5,"Sideway Flat",AC60&gt;=-1.5,"Sideway - Slope",AC60&gt;=-3,"Moderate - Slope",TRUE,"Strong - Slope")</f>
        <v>Sideway - Slope</v>
      </c>
      <c r="AK60" s="1" t="str" cm="1">
        <f t="array" ref="AK60">_xlfn.IFS(AD60&gt;3,"Strong + Slope",AD60&gt;1.5,"Moderate + Slope",AD60&gt;0.5,"Sideway + Slope",AD60&gt;=-0.5,"Sideway Flat",AD60&gt;=-1.5,"Sideway - Slope",AD60&gt;=-3,"Moderate - Slope",TRUE,"Strong - Slope")</f>
        <v>Sideway + Slope</v>
      </c>
      <c r="AL60" s="1" t="str" cm="1">
        <f t="array" ref="AL60">_xlfn.IFS(AE60&gt;3,"Strong + Slope",AE60&gt;1.5,"Moderate + Slope",AE60&gt;0.5,"Sideway + Slope",AE60&gt;=-0.5,"Sideway Flat",AE60&gt;=-1.5,"Sideway - Slope",AE60&gt;=-3,"Moderate - Slope",TRUE,"Strong - Slope")</f>
        <v>Sideway Flat</v>
      </c>
      <c r="AM60" s="1" t="str" cm="1">
        <f t="array" ref="AM60">_xlfn.IFS(AF60&gt;3,"Strong + Slope",AF60&gt;1.5,"Moderate + Slope",AF60&gt;0.5,"Sideway + Slope",AF60&gt;=-0.5,"Sideway Flat",AF60&gt;=-1.5,"Sideway - Slope",AF60&gt;=-3,"Moderate - Slope",TRUE,"Strong - Slope")</f>
        <v>Sideway + Slope</v>
      </c>
    </row>
    <row r="61" spans="1:39" x14ac:dyDescent="0.55000000000000004">
      <c r="A61" s="1">
        <v>59</v>
      </c>
      <c r="B61" s="1" t="s">
        <v>61</v>
      </c>
      <c r="C61" s="1" t="s">
        <v>3</v>
      </c>
      <c r="D61" s="1" t="s">
        <v>102</v>
      </c>
      <c r="E61" s="1">
        <v>152.82300000000001</v>
      </c>
      <c r="F61" s="1">
        <v>152.80500000000001</v>
      </c>
      <c r="G61" s="1">
        <v>152.81200000000001</v>
      </c>
      <c r="H61" s="1">
        <v>152.898</v>
      </c>
      <c r="I61" s="1">
        <v>152.88900000000001</v>
      </c>
      <c r="J61" s="1">
        <v>153.17599999999999</v>
      </c>
      <c r="K61" s="1">
        <v>152.60400000000001</v>
      </c>
      <c r="L61" s="1">
        <v>152.59</v>
      </c>
      <c r="M61" s="1">
        <v>152.86000000000001</v>
      </c>
      <c r="N61" s="10">
        <f t="shared" si="13"/>
        <v>1.8000000000000682E-2</v>
      </c>
      <c r="O61" s="10">
        <f t="shared" si="14"/>
        <v>1.0000000000019327E-2</v>
      </c>
      <c r="P61" s="10">
        <f t="shared" si="15"/>
        <v>7.9999999999813554E-3</v>
      </c>
      <c r="Q61" s="10">
        <f t="shared" si="16"/>
        <v>1.8000000000000682E-2</v>
      </c>
      <c r="R61" s="10">
        <f t="shared" si="5"/>
        <v>5.9214285714286267E-2</v>
      </c>
      <c r="S61" s="1"/>
      <c r="T61" s="2">
        <f>SLOPE(H48:H61,$A48:$A61)</f>
        <v>-2.4109890109888419E-3</v>
      </c>
      <c r="U61" s="2">
        <f>SLOPE(I48:I61,$A48:$A61)</f>
        <v>-3.7802197802297096E-4</v>
      </c>
      <c r="V61" s="2">
        <f>SLOPE(J48:J61,$A48:$A61)</f>
        <v>-1.6351648351650846E-3</v>
      </c>
      <c r="W61" s="2">
        <f>SLOPE(K48:K61,$A48:$A61)</f>
        <v>7.4505494505550422E-4</v>
      </c>
      <c r="X61" s="2">
        <f>SLOPE(L48:L61,$A48:$A61)</f>
        <v>-2.2637362637389523E-4</v>
      </c>
      <c r="Y61" s="2">
        <f>SLOPE(M48:M61,$A48:$A61)</f>
        <v>1.6000000000000814E-3</v>
      </c>
      <c r="Z61" s="1"/>
      <c r="AA61" s="2">
        <f t="shared" si="7"/>
        <v>-2.3315865780636584</v>
      </c>
      <c r="AB61" s="2">
        <f t="shared" si="8"/>
        <v>-0.3657693310204887</v>
      </c>
      <c r="AC61" s="2">
        <f t="shared" si="9"/>
        <v>-1.581784523567793</v>
      </c>
      <c r="AD61" s="2">
        <f t="shared" si="10"/>
        <v>0.72087758561225357</v>
      </c>
      <c r="AE61" s="2">
        <f t="shared" si="11"/>
        <v>-0.21903819393690091</v>
      </c>
      <c r="AF61" s="2">
        <f t="shared" si="12"/>
        <v>1.5477843806338352</v>
      </c>
      <c r="AG61" s="1"/>
      <c r="AH61" s="1" t="str" cm="1">
        <f t="array" ref="AH61">_xlfn.IFS(AA61&gt;3,"Strong + Slope",AA61&gt;1.5,"Moderate + Slope",AA61&gt;0.5,"Sideway + Slope",AA61&gt;=-0.5,"Sideway Flat",AA61&gt;=-1.5,"Sideway - Slope",AA61&gt;=-3,"Moderate - Slope",TRUE,"Strong - Slope")</f>
        <v>Moderate - Slope</v>
      </c>
      <c r="AI61" s="1" t="str" cm="1">
        <f t="array" ref="AI61">_xlfn.IFS(AB61&gt;3,"Strong + Slope",AB61&gt;1.5,"Moderate + Slope",AB61&gt;0.5,"Sideway + Slope",AB61&gt;=-0.5,"Sideway Flat",AB61&gt;=-1.5,"Sideway - Slope",AB61&gt;=-3,"Moderate - Slope",TRUE,"Strong - Slope")</f>
        <v>Sideway Flat</v>
      </c>
      <c r="AJ61" s="1" t="str" cm="1">
        <f t="array" ref="AJ61">_xlfn.IFS(AC61&gt;3,"Strong + Slope",AC61&gt;1.5,"Moderate + Slope",AC61&gt;0.5,"Sideway + Slope",AC61&gt;=-0.5,"Sideway Flat",AC61&gt;=-1.5,"Sideway - Slope",AC61&gt;=-3,"Moderate - Slope",TRUE,"Strong - Slope")</f>
        <v>Moderate - Slope</v>
      </c>
      <c r="AK61" s="1" t="str" cm="1">
        <f t="array" ref="AK61">_xlfn.IFS(AD61&gt;3,"Strong + Slope",AD61&gt;1.5,"Moderate + Slope",AD61&gt;0.5,"Sideway + Slope",AD61&gt;=-0.5,"Sideway Flat",AD61&gt;=-1.5,"Sideway - Slope",AD61&gt;=-3,"Moderate - Slope",TRUE,"Strong - Slope")</f>
        <v>Sideway + Slope</v>
      </c>
      <c r="AL61" s="1" t="str" cm="1">
        <f t="array" ref="AL61">_xlfn.IFS(AE61&gt;3,"Strong + Slope",AE61&gt;1.5,"Moderate + Slope",AE61&gt;0.5,"Sideway + Slope",AE61&gt;=-0.5,"Sideway Flat",AE61&gt;=-1.5,"Sideway - Slope",AE61&gt;=-3,"Moderate - Slope",TRUE,"Strong - Slope")</f>
        <v>Sideway Flat</v>
      </c>
      <c r="AM61" s="1" t="str" cm="1">
        <f t="array" ref="AM61">_xlfn.IFS(AF61&gt;3,"Strong + Slope",AF61&gt;1.5,"Moderate + Slope",AF61&gt;0.5,"Sideway + Slope",AF61&gt;=-0.5,"Sideway Flat",AF61&gt;=-1.5,"Sideway - Slope",AF61&gt;=-3,"Moderate - Slope",TRUE,"Strong - Slope")</f>
        <v>Moderate + Slope</v>
      </c>
    </row>
    <row r="62" spans="1:39" x14ac:dyDescent="0.55000000000000004">
      <c r="A62" s="1">
        <v>60</v>
      </c>
      <c r="B62" s="1" t="s">
        <v>62</v>
      </c>
      <c r="C62" s="1" t="s">
        <v>3</v>
      </c>
      <c r="D62" s="1" t="s">
        <v>102</v>
      </c>
      <c r="E62" s="1">
        <v>152.85900000000001</v>
      </c>
      <c r="F62" s="1">
        <v>152.81100000000001</v>
      </c>
      <c r="G62" s="1">
        <v>152.84700000000001</v>
      </c>
      <c r="H62" s="1">
        <v>152.89500000000001</v>
      </c>
      <c r="I62" s="1">
        <v>152.88900000000001</v>
      </c>
      <c r="J62" s="1">
        <v>153.17400000000001</v>
      </c>
      <c r="K62" s="1">
        <v>152.60499999999999</v>
      </c>
      <c r="L62" s="1">
        <v>152.589</v>
      </c>
      <c r="M62" s="1">
        <v>152.86099999999999</v>
      </c>
      <c r="N62" s="10">
        <f t="shared" si="13"/>
        <v>4.8000000000001819E-2</v>
      </c>
      <c r="O62" s="10">
        <f t="shared" si="14"/>
        <v>4.6999999999997044E-2</v>
      </c>
      <c r="P62" s="10">
        <f t="shared" si="15"/>
        <v>1.0000000000047748E-3</v>
      </c>
      <c r="Q62" s="10">
        <f t="shared" si="16"/>
        <v>4.8000000000001819E-2</v>
      </c>
      <c r="R62" s="10">
        <f t="shared" si="5"/>
        <v>5.9428571428573003E-2</v>
      </c>
      <c r="S62" s="1"/>
      <c r="T62" s="2">
        <f>SLOPE(H49:H62,$A49:$A62)</f>
        <v>-2.4285714285708438E-3</v>
      </c>
      <c r="U62" s="2">
        <f>SLOPE(I49:I62,$A49:$A62)</f>
        <v>-3.8901098901134734E-4</v>
      </c>
      <c r="V62" s="2">
        <f>SLOPE(J49:J62,$A49:$A62)</f>
        <v>-1.6417582417581479E-3</v>
      </c>
      <c r="W62" s="2">
        <f>SLOPE(K49:K62,$A49:$A62)</f>
        <v>7.5384615384613035E-4</v>
      </c>
      <c r="X62" s="2">
        <f>SLOPE(L49:L62,$A49:$A62)</f>
        <v>-2.2197802197908189E-4</v>
      </c>
      <c r="Y62" s="2">
        <f>SLOPE(M49:M62,$A49:$A62)</f>
        <v>1.5868131868128305E-3</v>
      </c>
      <c r="Z62" s="1"/>
      <c r="AA62" s="2">
        <f t="shared" si="7"/>
        <v>-2.3401119997573057</v>
      </c>
      <c r="AB62" s="2">
        <f t="shared" si="8"/>
        <v>-0.37504467940518493</v>
      </c>
      <c r="AC62" s="2">
        <f t="shared" si="9"/>
        <v>-1.5824358075722778</v>
      </c>
      <c r="AD62" s="2">
        <f t="shared" si="10"/>
        <v>0.72675289950183575</v>
      </c>
      <c r="AE62" s="2">
        <f t="shared" si="11"/>
        <v>-0.21401060720018311</v>
      </c>
      <c r="AF62" s="2">
        <f t="shared" si="12"/>
        <v>1.5295017000271589</v>
      </c>
      <c r="AG62" s="1"/>
      <c r="AH62" s="1" t="str" cm="1">
        <f t="array" ref="AH62">_xlfn.IFS(AA62&gt;3,"Strong + Slope",AA62&gt;1.5,"Moderate + Slope",AA62&gt;0.5,"Sideway + Slope",AA62&gt;=-0.5,"Sideway Flat",AA62&gt;=-1.5,"Sideway - Slope",AA62&gt;=-3,"Moderate - Slope",TRUE,"Strong - Slope")</f>
        <v>Moderate - Slope</v>
      </c>
      <c r="AI62" s="1" t="str" cm="1">
        <f t="array" ref="AI62">_xlfn.IFS(AB62&gt;3,"Strong + Slope",AB62&gt;1.5,"Moderate + Slope",AB62&gt;0.5,"Sideway + Slope",AB62&gt;=-0.5,"Sideway Flat",AB62&gt;=-1.5,"Sideway - Slope",AB62&gt;=-3,"Moderate - Slope",TRUE,"Strong - Slope")</f>
        <v>Sideway Flat</v>
      </c>
      <c r="AJ62" s="1" t="str" cm="1">
        <f t="array" ref="AJ62">_xlfn.IFS(AC62&gt;3,"Strong + Slope",AC62&gt;1.5,"Moderate + Slope",AC62&gt;0.5,"Sideway + Slope",AC62&gt;=-0.5,"Sideway Flat",AC62&gt;=-1.5,"Sideway - Slope",AC62&gt;=-3,"Moderate - Slope",TRUE,"Strong - Slope")</f>
        <v>Moderate - Slope</v>
      </c>
      <c r="AK62" s="1" t="str" cm="1">
        <f t="array" ref="AK62">_xlfn.IFS(AD62&gt;3,"Strong + Slope",AD62&gt;1.5,"Moderate + Slope",AD62&gt;0.5,"Sideway + Slope",AD62&gt;=-0.5,"Sideway Flat",AD62&gt;=-1.5,"Sideway - Slope",AD62&gt;=-3,"Moderate - Slope",TRUE,"Strong - Slope")</f>
        <v>Sideway + Slope</v>
      </c>
      <c r="AL62" s="1" t="str" cm="1">
        <f t="array" ref="AL62">_xlfn.IFS(AE62&gt;3,"Strong + Slope",AE62&gt;1.5,"Moderate + Slope",AE62&gt;0.5,"Sideway + Slope",AE62&gt;=-0.5,"Sideway Flat",AE62&gt;=-1.5,"Sideway - Slope",AE62&gt;=-3,"Moderate - Slope",TRUE,"Strong - Slope")</f>
        <v>Sideway Flat</v>
      </c>
      <c r="AM62" s="1" t="str" cm="1">
        <f t="array" ref="AM62">_xlfn.IFS(AF62&gt;3,"Strong + Slope",AF62&gt;1.5,"Moderate + Slope",AF62&gt;0.5,"Sideway + Slope",AF62&gt;=-0.5,"Sideway Flat",AF62&gt;=-1.5,"Sideway - Slope",AF62&gt;=-3,"Moderate - Slope",TRUE,"Strong - Slope")</f>
        <v>Moderate + Slope</v>
      </c>
    </row>
    <row r="63" spans="1:39" x14ac:dyDescent="0.55000000000000004">
      <c r="A63" s="1">
        <v>61</v>
      </c>
      <c r="B63" s="1" t="s">
        <v>63</v>
      </c>
      <c r="C63" s="1" t="s">
        <v>3</v>
      </c>
      <c r="D63" s="1" t="s">
        <v>102</v>
      </c>
      <c r="E63" s="1">
        <v>152.84899999999999</v>
      </c>
      <c r="F63" s="1">
        <v>152.803</v>
      </c>
      <c r="G63" s="1">
        <v>152.803</v>
      </c>
      <c r="H63" s="1">
        <v>152.893</v>
      </c>
      <c r="I63" s="1">
        <v>152.88900000000001</v>
      </c>
      <c r="J63" s="1">
        <v>153.173</v>
      </c>
      <c r="K63" s="1">
        <v>152.60599999999999</v>
      </c>
      <c r="L63" s="1">
        <v>152.589</v>
      </c>
      <c r="M63" s="1">
        <v>152.863</v>
      </c>
      <c r="N63" s="10">
        <f t="shared" si="13"/>
        <v>4.5999999999992269E-2</v>
      </c>
      <c r="O63" s="10">
        <f t="shared" si="14"/>
        <v>1.999999999981128E-3</v>
      </c>
      <c r="P63" s="10">
        <f t="shared" si="15"/>
        <v>4.4000000000011141E-2</v>
      </c>
      <c r="Q63" s="10">
        <f t="shared" si="16"/>
        <v>4.5999999999992269E-2</v>
      </c>
      <c r="R63" s="10">
        <f t="shared" si="5"/>
        <v>5.4071428571430956E-2</v>
      </c>
      <c r="S63" s="1"/>
      <c r="T63" s="2">
        <f>SLOPE(H50:H63,$A50:$A63)</f>
        <v>-2.419780219779843E-3</v>
      </c>
      <c r="U63" s="2">
        <f>SLOPE(I50:I63,$A50:$A63)</f>
        <v>-3.7802197802172164E-4</v>
      </c>
      <c r="V63" s="2">
        <f>SLOPE(J50:J63,$A50:$A63)</f>
        <v>-1.6417582417582728E-3</v>
      </c>
      <c r="W63" s="2">
        <f>SLOPE(K50:K63,$A50:$A63)</f>
        <v>7.4725274725231754E-4</v>
      </c>
      <c r="X63" s="2">
        <f>SLOPE(L50:L63,$A50:$A63)</f>
        <v>-2.3296703296814535E-4</v>
      </c>
      <c r="Y63" s="2">
        <f>SLOPE(M50:M63,$A50:$A63)</f>
        <v>1.5999999999998316E-3</v>
      </c>
      <c r="Z63" s="1"/>
      <c r="AA63" s="2">
        <f t="shared" si="7"/>
        <v>-2.5623652828968311</v>
      </c>
      <c r="AB63" s="2">
        <f t="shared" si="8"/>
        <v>-0.4005574036916465</v>
      </c>
      <c r="AC63" s="2">
        <f t="shared" si="9"/>
        <v>-1.739124161197239</v>
      </c>
      <c r="AD63" s="2">
        <f t="shared" si="10"/>
        <v>0.79176201650327926</v>
      </c>
      <c r="AE63" s="2">
        <f t="shared" si="11"/>
        <v>-0.24685763839091154</v>
      </c>
      <c r="AF63" s="2">
        <f t="shared" si="12"/>
        <v>1.6949155481160201</v>
      </c>
      <c r="AG63" s="1"/>
      <c r="AH63" s="1" t="str" cm="1">
        <f t="array" ref="AH63">_xlfn.IFS(AA63&gt;3,"Strong + Slope",AA63&gt;1.5,"Moderate + Slope",AA63&gt;0.5,"Sideway + Slope",AA63&gt;=-0.5,"Sideway Flat",AA63&gt;=-1.5,"Sideway - Slope",AA63&gt;=-3,"Moderate - Slope",TRUE,"Strong - Slope")</f>
        <v>Moderate - Slope</v>
      </c>
      <c r="AI63" s="1" t="str" cm="1">
        <f t="array" ref="AI63">_xlfn.IFS(AB63&gt;3,"Strong + Slope",AB63&gt;1.5,"Moderate + Slope",AB63&gt;0.5,"Sideway + Slope",AB63&gt;=-0.5,"Sideway Flat",AB63&gt;=-1.5,"Sideway - Slope",AB63&gt;=-3,"Moderate - Slope",TRUE,"Strong - Slope")</f>
        <v>Sideway Flat</v>
      </c>
      <c r="AJ63" s="1" t="str" cm="1">
        <f t="array" ref="AJ63">_xlfn.IFS(AC63&gt;3,"Strong + Slope",AC63&gt;1.5,"Moderate + Slope",AC63&gt;0.5,"Sideway + Slope",AC63&gt;=-0.5,"Sideway Flat",AC63&gt;=-1.5,"Sideway - Slope",AC63&gt;=-3,"Moderate - Slope",TRUE,"Strong - Slope")</f>
        <v>Moderate - Slope</v>
      </c>
      <c r="AK63" s="1" t="str" cm="1">
        <f t="array" ref="AK63">_xlfn.IFS(AD63&gt;3,"Strong + Slope",AD63&gt;1.5,"Moderate + Slope",AD63&gt;0.5,"Sideway + Slope",AD63&gt;=-0.5,"Sideway Flat",AD63&gt;=-1.5,"Sideway - Slope",AD63&gt;=-3,"Moderate - Slope",TRUE,"Strong - Slope")</f>
        <v>Sideway + Slope</v>
      </c>
      <c r="AL63" s="1" t="str" cm="1">
        <f t="array" ref="AL63">_xlfn.IFS(AE63&gt;3,"Strong + Slope",AE63&gt;1.5,"Moderate + Slope",AE63&gt;0.5,"Sideway + Slope",AE63&gt;=-0.5,"Sideway Flat",AE63&gt;=-1.5,"Sideway - Slope",AE63&gt;=-3,"Moderate - Slope",TRUE,"Strong - Slope")</f>
        <v>Sideway Flat</v>
      </c>
      <c r="AM63" s="1" t="str" cm="1">
        <f t="array" ref="AM63">_xlfn.IFS(AF63&gt;3,"Strong + Slope",AF63&gt;1.5,"Moderate + Slope",AF63&gt;0.5,"Sideway + Slope",AF63&gt;=-0.5,"Sideway Flat",AF63&gt;=-1.5,"Sideway - Slope",AF63&gt;=-3,"Moderate - Slope",TRUE,"Strong - Slope")</f>
        <v>Moderate + Slope</v>
      </c>
    </row>
    <row r="64" spans="1:39" x14ac:dyDescent="0.55000000000000004">
      <c r="A64" s="1">
        <v>62</v>
      </c>
      <c r="B64" s="1" t="s">
        <v>64</v>
      </c>
      <c r="C64" s="1" t="s">
        <v>3</v>
      </c>
      <c r="D64" s="1" t="s">
        <v>102</v>
      </c>
      <c r="E64" s="1">
        <v>152.84</v>
      </c>
      <c r="F64" s="1">
        <v>152.803</v>
      </c>
      <c r="G64" s="1">
        <v>152.84</v>
      </c>
      <c r="H64" s="1">
        <v>152.88999999999999</v>
      </c>
      <c r="I64" s="1">
        <v>152.88800000000001</v>
      </c>
      <c r="J64" s="1">
        <v>153.17099999999999</v>
      </c>
      <c r="K64" s="1">
        <v>152.607</v>
      </c>
      <c r="L64" s="1">
        <v>152.589</v>
      </c>
      <c r="M64" s="1">
        <v>152.864</v>
      </c>
      <c r="N64" s="10">
        <f t="shared" si="13"/>
        <v>3.7000000000006139E-2</v>
      </c>
      <c r="O64" s="10">
        <f t="shared" si="14"/>
        <v>3.7000000000006139E-2</v>
      </c>
      <c r="P64" s="10">
        <f t="shared" si="15"/>
        <v>0</v>
      </c>
      <c r="Q64" s="10">
        <f t="shared" si="16"/>
        <v>3.7000000000006139E-2</v>
      </c>
      <c r="R64" s="10">
        <f t="shared" si="5"/>
        <v>5.4285714285715665E-2</v>
      </c>
      <c r="S64" s="1"/>
      <c r="T64" s="2">
        <f>SLOPE(H51:H64,$A51:$A64)</f>
        <v>-2.4461538461536579E-3</v>
      </c>
      <c r="U64" s="2">
        <f>SLOPE(I51:I64,$A51:$A64)</f>
        <v>-3.7362637362565901E-4</v>
      </c>
      <c r="V64" s="2">
        <f>SLOPE(J51:J64,$A51:$A64)</f>
        <v>-1.6351648351654593E-3</v>
      </c>
      <c r="W64" s="2">
        <f>SLOPE(K51:K64,$A51:$A64)</f>
        <v>7.5384615384563064E-4</v>
      </c>
      <c r="X64" s="2">
        <f>SLOPE(L51:L64,$A51:$A64)</f>
        <v>-2.3076923077033267E-4</v>
      </c>
      <c r="Y64" s="2">
        <f>SLOPE(M51:M64,$A51:$A64)</f>
        <v>1.5780219780223293E-3</v>
      </c>
      <c r="Z64" s="1"/>
      <c r="AA64" s="2">
        <f t="shared" si="7"/>
        <v>-2.5800442898243379</v>
      </c>
      <c r="AB64" s="2">
        <f t="shared" si="8"/>
        <v>-0.3943371952356276</v>
      </c>
      <c r="AC64" s="2">
        <f t="shared" si="9"/>
        <v>-1.7253107204015432</v>
      </c>
      <c r="AD64" s="2">
        <f t="shared" si="10"/>
        <v>0.79559470718987757</v>
      </c>
      <c r="AE64" s="2">
        <f t="shared" si="11"/>
        <v>-0.24356358746416795</v>
      </c>
      <c r="AF64" s="2">
        <f t="shared" si="12"/>
        <v>1.6650521579024404</v>
      </c>
      <c r="AG64" s="1"/>
      <c r="AH64" s="1" t="str" cm="1">
        <f t="array" ref="AH64">_xlfn.IFS(AA64&gt;3,"Strong + Slope",AA64&gt;1.5,"Moderate + Slope",AA64&gt;0.5,"Sideway + Slope",AA64&gt;=-0.5,"Sideway Flat",AA64&gt;=-1.5,"Sideway - Slope",AA64&gt;=-3,"Moderate - Slope",TRUE,"Strong - Slope")</f>
        <v>Moderate - Slope</v>
      </c>
      <c r="AI64" s="1" t="str" cm="1">
        <f t="array" ref="AI64">_xlfn.IFS(AB64&gt;3,"Strong + Slope",AB64&gt;1.5,"Moderate + Slope",AB64&gt;0.5,"Sideway + Slope",AB64&gt;=-0.5,"Sideway Flat",AB64&gt;=-1.5,"Sideway - Slope",AB64&gt;=-3,"Moderate - Slope",TRUE,"Strong - Slope")</f>
        <v>Sideway Flat</v>
      </c>
      <c r="AJ64" s="1" t="str" cm="1">
        <f t="array" ref="AJ64">_xlfn.IFS(AC64&gt;3,"Strong + Slope",AC64&gt;1.5,"Moderate + Slope",AC64&gt;0.5,"Sideway + Slope",AC64&gt;=-0.5,"Sideway Flat",AC64&gt;=-1.5,"Sideway - Slope",AC64&gt;=-3,"Moderate - Slope",TRUE,"Strong - Slope")</f>
        <v>Moderate - Slope</v>
      </c>
      <c r="AK64" s="1" t="str" cm="1">
        <f t="array" ref="AK64">_xlfn.IFS(AD64&gt;3,"Strong + Slope",AD64&gt;1.5,"Moderate + Slope",AD64&gt;0.5,"Sideway + Slope",AD64&gt;=-0.5,"Sideway Flat",AD64&gt;=-1.5,"Sideway - Slope",AD64&gt;=-3,"Moderate - Slope",TRUE,"Strong - Slope")</f>
        <v>Sideway + Slope</v>
      </c>
      <c r="AL64" s="1" t="str" cm="1">
        <f t="array" ref="AL64">_xlfn.IFS(AE64&gt;3,"Strong + Slope",AE64&gt;1.5,"Moderate + Slope",AE64&gt;0.5,"Sideway + Slope",AE64&gt;=-0.5,"Sideway Flat",AE64&gt;=-1.5,"Sideway - Slope",AE64&gt;=-3,"Moderate - Slope",TRUE,"Strong - Slope")</f>
        <v>Sideway Flat</v>
      </c>
      <c r="AM64" s="1" t="str" cm="1">
        <f t="array" ref="AM64">_xlfn.IFS(AF64&gt;3,"Strong + Slope",AF64&gt;1.5,"Moderate + Slope",AF64&gt;0.5,"Sideway + Slope",AF64&gt;=-0.5,"Sideway Flat",AF64&gt;=-1.5,"Sideway - Slope",AF64&gt;=-3,"Moderate - Slope",TRUE,"Strong - Slope")</f>
        <v>Moderate + Slope</v>
      </c>
    </row>
    <row r="65" spans="1:39" x14ac:dyDescent="0.55000000000000004">
      <c r="A65" s="1">
        <v>63</v>
      </c>
      <c r="B65" s="1" t="s">
        <v>65</v>
      </c>
      <c r="C65" s="1" t="s">
        <v>3</v>
      </c>
      <c r="D65" s="1" t="s">
        <v>102</v>
      </c>
      <c r="E65" s="1">
        <v>152.88800000000001</v>
      </c>
      <c r="F65" s="1">
        <v>152.83600000000001</v>
      </c>
      <c r="G65" s="1">
        <v>152.874</v>
      </c>
      <c r="H65" s="1">
        <v>152.88800000000001</v>
      </c>
      <c r="I65" s="1">
        <v>152.88800000000001</v>
      </c>
      <c r="J65" s="1">
        <v>153.16900000000001</v>
      </c>
      <c r="K65" s="1">
        <v>152.608</v>
      </c>
      <c r="L65" s="1">
        <v>152.589</v>
      </c>
      <c r="M65" s="1">
        <v>152.86600000000001</v>
      </c>
      <c r="N65" s="10">
        <f t="shared" si="13"/>
        <v>5.1999999999992497E-2</v>
      </c>
      <c r="O65" s="10">
        <f t="shared" si="14"/>
        <v>4.8000000000001819E-2</v>
      </c>
      <c r="P65" s="10">
        <f t="shared" si="15"/>
        <v>3.9999999999906777E-3</v>
      </c>
      <c r="Q65" s="10">
        <f t="shared" si="16"/>
        <v>5.1999999999992497E-2</v>
      </c>
      <c r="R65" s="10">
        <f t="shared" si="5"/>
        <v>5.2785714285714595E-2</v>
      </c>
      <c r="S65" s="1"/>
      <c r="T65" s="2">
        <f>SLOPE(H52:H65,$A52:$A65)</f>
        <v>-2.4461538461535326E-3</v>
      </c>
      <c r="U65" s="2">
        <f>SLOPE(I52:I65,$A52:$A65)</f>
        <v>-3.7582417582315939E-4</v>
      </c>
      <c r="V65" s="2">
        <f>SLOPE(J52:J65,$A52:$A65)</f>
        <v>-1.6505494505495235E-3</v>
      </c>
      <c r="W65" s="2">
        <f>SLOPE(K52:K65,$A52:$A65)</f>
        <v>7.7362637362606978E-4</v>
      </c>
      <c r="X65" s="2">
        <f>SLOPE(L52:L65,$A52:$A65)</f>
        <v>-2.1538461538564381E-4</v>
      </c>
      <c r="Y65" s="2">
        <f>SLOPE(M52:M65,$A52:$A65)</f>
        <v>1.5824175824181422E-3</v>
      </c>
      <c r="Z65" s="1"/>
      <c r="AA65" s="2">
        <f t="shared" si="7"/>
        <v>-2.6532575133353542</v>
      </c>
      <c r="AB65" s="2">
        <f t="shared" si="8"/>
        <v>-0.40792808368348932</v>
      </c>
      <c r="AC65" s="2">
        <f t="shared" si="9"/>
        <v>-1.7909905210549257</v>
      </c>
      <c r="AD65" s="2">
        <f t="shared" si="10"/>
        <v>0.83966568347274206</v>
      </c>
      <c r="AE65" s="2">
        <f t="shared" si="11"/>
        <v>-0.23378599898884769</v>
      </c>
      <c r="AF65" s="2">
        <f t="shared" si="12"/>
        <v>1.7171066950663905</v>
      </c>
      <c r="AG65" s="1"/>
      <c r="AH65" s="1" t="str" cm="1">
        <f t="array" ref="AH65">_xlfn.IFS(AA65&gt;3,"Strong + Slope",AA65&gt;1.5,"Moderate + Slope",AA65&gt;0.5,"Sideway + Slope",AA65&gt;=-0.5,"Sideway Flat",AA65&gt;=-1.5,"Sideway - Slope",AA65&gt;=-3,"Moderate - Slope",TRUE,"Strong - Slope")</f>
        <v>Moderate - Slope</v>
      </c>
      <c r="AI65" s="1" t="str" cm="1">
        <f t="array" ref="AI65">_xlfn.IFS(AB65&gt;3,"Strong + Slope",AB65&gt;1.5,"Moderate + Slope",AB65&gt;0.5,"Sideway + Slope",AB65&gt;=-0.5,"Sideway Flat",AB65&gt;=-1.5,"Sideway - Slope",AB65&gt;=-3,"Moderate - Slope",TRUE,"Strong - Slope")</f>
        <v>Sideway Flat</v>
      </c>
      <c r="AJ65" s="1" t="str" cm="1">
        <f t="array" ref="AJ65">_xlfn.IFS(AC65&gt;3,"Strong + Slope",AC65&gt;1.5,"Moderate + Slope",AC65&gt;0.5,"Sideway + Slope",AC65&gt;=-0.5,"Sideway Flat",AC65&gt;=-1.5,"Sideway - Slope",AC65&gt;=-3,"Moderate - Slope",TRUE,"Strong - Slope")</f>
        <v>Moderate - Slope</v>
      </c>
      <c r="AK65" s="1" t="str" cm="1">
        <f t="array" ref="AK65">_xlfn.IFS(AD65&gt;3,"Strong + Slope",AD65&gt;1.5,"Moderate + Slope",AD65&gt;0.5,"Sideway + Slope",AD65&gt;=-0.5,"Sideway Flat",AD65&gt;=-1.5,"Sideway - Slope",AD65&gt;=-3,"Moderate - Slope",TRUE,"Strong - Slope")</f>
        <v>Sideway + Slope</v>
      </c>
      <c r="AL65" s="1" t="str" cm="1">
        <f t="array" ref="AL65">_xlfn.IFS(AE65&gt;3,"Strong + Slope",AE65&gt;1.5,"Moderate + Slope",AE65&gt;0.5,"Sideway + Slope",AE65&gt;=-0.5,"Sideway Flat",AE65&gt;=-1.5,"Sideway - Slope",AE65&gt;=-3,"Moderate - Slope",TRUE,"Strong - Slope")</f>
        <v>Sideway Flat</v>
      </c>
      <c r="AM65" s="1" t="str" cm="1">
        <f t="array" ref="AM65">_xlfn.IFS(AF65&gt;3,"Strong + Slope",AF65&gt;1.5,"Moderate + Slope",AF65&gt;0.5,"Sideway + Slope",AF65&gt;=-0.5,"Sideway Flat",AF65&gt;=-1.5,"Sideway - Slope",AF65&gt;=-3,"Moderate - Slope",TRUE,"Strong - Slope")</f>
        <v>Moderate + Slope</v>
      </c>
    </row>
    <row r="66" spans="1:39" x14ac:dyDescent="0.55000000000000004">
      <c r="A66" s="1">
        <v>64</v>
      </c>
      <c r="B66" s="1" t="s">
        <v>66</v>
      </c>
      <c r="C66" s="1" t="s">
        <v>3</v>
      </c>
      <c r="D66" s="1" t="s">
        <v>102</v>
      </c>
      <c r="E66" s="1">
        <v>152.876</v>
      </c>
      <c r="F66" s="1">
        <v>152.81899999999999</v>
      </c>
      <c r="G66" s="1">
        <v>152.83099999999999</v>
      </c>
      <c r="H66" s="1">
        <v>152.886</v>
      </c>
      <c r="I66" s="1">
        <v>152.88800000000001</v>
      </c>
      <c r="J66" s="1">
        <v>153.16800000000001</v>
      </c>
      <c r="K66" s="1">
        <v>152.608</v>
      </c>
      <c r="L66" s="1">
        <v>152.58799999999999</v>
      </c>
      <c r="M66" s="1">
        <v>152.86799999999999</v>
      </c>
      <c r="N66" s="10">
        <f t="shared" si="13"/>
        <v>5.7000000000016371E-2</v>
      </c>
      <c r="O66" s="10">
        <f t="shared" si="14"/>
        <v>2.0000000000095497E-3</v>
      </c>
      <c r="P66" s="10">
        <f t="shared" si="15"/>
        <v>5.5000000000006821E-2</v>
      </c>
      <c r="Q66" s="10">
        <f t="shared" si="16"/>
        <v>5.7000000000016371E-2</v>
      </c>
      <c r="R66" s="10">
        <f t="shared" si="5"/>
        <v>5.2642857142858802E-2</v>
      </c>
      <c r="S66" s="1"/>
      <c r="T66" s="2">
        <f>SLOPE(H53:H66,$A53:$A66)</f>
        <v>-2.4197802197804051E-3</v>
      </c>
      <c r="U66" s="2">
        <f>SLOPE(I53:I66,$A53:$A66)</f>
        <v>-3.5604395604265775E-4</v>
      </c>
      <c r="V66" s="2">
        <f>SLOPE(J53:J66,$A53:$A66)</f>
        <v>-1.6263736263734589E-3</v>
      </c>
      <c r="W66" s="2">
        <f>SLOPE(K53:K66,$A53:$A66)</f>
        <v>7.7802197802206996E-4</v>
      </c>
      <c r="X66" s="2">
        <f>SLOPE(L53:L66,$A53:$A66)</f>
        <v>-2.1538461538564381E-4</v>
      </c>
      <c r="Y66" s="2">
        <f>SLOPE(M53:M66,$A53:$A66)</f>
        <v>1.5802197802200796E-3</v>
      </c>
      <c r="Z66" s="1"/>
      <c r="AA66" s="2">
        <f t="shared" si="7"/>
        <v>-2.6318038193703304</v>
      </c>
      <c r="AB66" s="2">
        <f t="shared" si="8"/>
        <v>-0.38750755688142369</v>
      </c>
      <c r="AC66" s="2">
        <f t="shared" si="9"/>
        <v>-1.769560383719913</v>
      </c>
      <c r="AD66" s="2">
        <f t="shared" si="10"/>
        <v>0.84672703820833772</v>
      </c>
      <c r="AE66" s="2">
        <f t="shared" si="11"/>
        <v>-0.23442041796722801</v>
      </c>
      <c r="AF66" s="2">
        <f t="shared" si="12"/>
        <v>1.7193737118080104</v>
      </c>
      <c r="AG66" s="1"/>
      <c r="AH66" s="1" t="str" cm="1">
        <f t="array" ref="AH66">_xlfn.IFS(AA66&gt;3,"Strong + Slope",AA66&gt;1.5,"Moderate + Slope",AA66&gt;0.5,"Sideway + Slope",AA66&gt;=-0.5,"Sideway Flat",AA66&gt;=-1.5,"Sideway - Slope",AA66&gt;=-3,"Moderate - Slope",TRUE,"Strong - Slope")</f>
        <v>Moderate - Slope</v>
      </c>
      <c r="AI66" s="1" t="str" cm="1">
        <f t="array" ref="AI66">_xlfn.IFS(AB66&gt;3,"Strong + Slope",AB66&gt;1.5,"Moderate + Slope",AB66&gt;0.5,"Sideway + Slope",AB66&gt;=-0.5,"Sideway Flat",AB66&gt;=-1.5,"Sideway - Slope",AB66&gt;=-3,"Moderate - Slope",TRUE,"Strong - Slope")</f>
        <v>Sideway Flat</v>
      </c>
      <c r="AJ66" s="1" t="str" cm="1">
        <f t="array" ref="AJ66">_xlfn.IFS(AC66&gt;3,"Strong + Slope",AC66&gt;1.5,"Moderate + Slope",AC66&gt;0.5,"Sideway + Slope",AC66&gt;=-0.5,"Sideway Flat",AC66&gt;=-1.5,"Sideway - Slope",AC66&gt;=-3,"Moderate - Slope",TRUE,"Strong - Slope")</f>
        <v>Moderate - Slope</v>
      </c>
      <c r="AK66" s="1" t="str" cm="1">
        <f t="array" ref="AK66">_xlfn.IFS(AD66&gt;3,"Strong + Slope",AD66&gt;1.5,"Moderate + Slope",AD66&gt;0.5,"Sideway + Slope",AD66&gt;=-0.5,"Sideway Flat",AD66&gt;=-1.5,"Sideway - Slope",AD66&gt;=-3,"Moderate - Slope",TRUE,"Strong - Slope")</f>
        <v>Sideway + Slope</v>
      </c>
      <c r="AL66" s="1" t="str" cm="1">
        <f t="array" ref="AL66">_xlfn.IFS(AE66&gt;3,"Strong + Slope",AE66&gt;1.5,"Moderate + Slope",AE66&gt;0.5,"Sideway + Slope",AE66&gt;=-0.5,"Sideway Flat",AE66&gt;=-1.5,"Sideway - Slope",AE66&gt;=-3,"Moderate - Slope",TRUE,"Strong - Slope")</f>
        <v>Sideway Flat</v>
      </c>
      <c r="AM66" s="1" t="str" cm="1">
        <f t="array" ref="AM66">_xlfn.IFS(AF66&gt;3,"Strong + Slope",AF66&gt;1.5,"Moderate + Slope",AF66&gt;0.5,"Sideway + Slope",AF66&gt;=-0.5,"Sideway Flat",AF66&gt;=-1.5,"Sideway - Slope",AF66&gt;=-3,"Moderate - Slope",TRUE,"Strong - Slope")</f>
        <v>Moderate + Slope</v>
      </c>
    </row>
    <row r="67" spans="1:39" x14ac:dyDescent="0.55000000000000004">
      <c r="A67" s="1">
        <v>65</v>
      </c>
      <c r="B67" s="1" t="s">
        <v>67</v>
      </c>
      <c r="C67" s="1" t="s">
        <v>3</v>
      </c>
      <c r="D67" s="1" t="s">
        <v>102</v>
      </c>
      <c r="E67" s="1">
        <v>152.85599999999999</v>
      </c>
      <c r="F67" s="1">
        <v>152.816</v>
      </c>
      <c r="G67" s="1">
        <v>152.84399999999999</v>
      </c>
      <c r="H67" s="1">
        <v>152.88300000000001</v>
      </c>
      <c r="I67" s="1">
        <v>152.887</v>
      </c>
      <c r="J67" s="1">
        <v>153.166</v>
      </c>
      <c r="K67" s="1">
        <v>152.60900000000001</v>
      </c>
      <c r="L67" s="1">
        <v>152.58799999999999</v>
      </c>
      <c r="M67" s="1">
        <v>152.869</v>
      </c>
      <c r="N67" s="10">
        <f t="shared" ref="N67:N101" si="17">E67-F67</f>
        <v>3.9999999999992042E-2</v>
      </c>
      <c r="O67" s="10">
        <f t="shared" si="14"/>
        <v>2.5000000000005684E-2</v>
      </c>
      <c r="P67" s="10">
        <f t="shared" si="15"/>
        <v>1.4999999999986358E-2</v>
      </c>
      <c r="Q67" s="10">
        <f t="shared" si="16"/>
        <v>3.9999999999992042E-2</v>
      </c>
      <c r="R67" s="10">
        <f t="shared" si="5"/>
        <v>4.7285714285714722E-2</v>
      </c>
      <c r="S67" s="1"/>
      <c r="T67" s="2">
        <f>SLOPE(H54:H67,$A54:$A67)</f>
        <v>-2.4285714285712814E-3</v>
      </c>
      <c r="U67" s="2">
        <f>SLOPE(I54:I67,$A54:$A67)</f>
        <v>-3.7582417582290953E-4</v>
      </c>
      <c r="V67" s="2">
        <f>SLOPE(J54:J67,$A54:$A67)</f>
        <v>-1.6241758241760211E-3</v>
      </c>
      <c r="W67" s="2">
        <f>SLOPE(K54:K67,$A54:$A67)</f>
        <v>7.6703296703363119E-4</v>
      </c>
      <c r="X67" s="2">
        <f>SLOPE(L54:L67,$A54:$A67)</f>
        <v>-2.3076923077033267E-4</v>
      </c>
      <c r="Y67" s="2">
        <f>SLOPE(M54:M67,$A54:$A67)</f>
        <v>1.5714285714290787E-3</v>
      </c>
      <c r="Z67" s="1"/>
      <c r="AA67" s="2">
        <f t="shared" si="7"/>
        <v>-2.940100223783177</v>
      </c>
      <c r="AB67" s="2">
        <f t="shared" si="8"/>
        <v>-0.45537401816533501</v>
      </c>
      <c r="AC67" s="2">
        <f t="shared" si="9"/>
        <v>-1.9672294394575978</v>
      </c>
      <c r="AD67" s="2">
        <f t="shared" si="10"/>
        <v>0.9293271423093834</v>
      </c>
      <c r="AE67" s="2">
        <f t="shared" si="11"/>
        <v>-0.27961929291830212</v>
      </c>
      <c r="AF67" s="2">
        <f t="shared" si="12"/>
        <v>1.903388849924865</v>
      </c>
      <c r="AG67" s="1"/>
      <c r="AH67" s="1" t="str" cm="1">
        <f t="array" ref="AH67">_xlfn.IFS(AA67&gt;3,"Strong + Slope",AA67&gt;1.5,"Moderate + Slope",AA67&gt;0.5,"Sideway + Slope",AA67&gt;=-0.5,"Sideway Flat",AA67&gt;=-1.5,"Sideway - Slope",AA67&gt;=-3,"Moderate - Slope",TRUE,"Strong - Slope")</f>
        <v>Moderate - Slope</v>
      </c>
      <c r="AI67" s="1" t="str" cm="1">
        <f t="array" ref="AI67">_xlfn.IFS(AB67&gt;3,"Strong + Slope",AB67&gt;1.5,"Moderate + Slope",AB67&gt;0.5,"Sideway + Slope",AB67&gt;=-0.5,"Sideway Flat",AB67&gt;=-1.5,"Sideway - Slope",AB67&gt;=-3,"Moderate - Slope",TRUE,"Strong - Slope")</f>
        <v>Sideway Flat</v>
      </c>
      <c r="AJ67" s="1" t="str" cm="1">
        <f t="array" ref="AJ67">_xlfn.IFS(AC67&gt;3,"Strong + Slope",AC67&gt;1.5,"Moderate + Slope",AC67&gt;0.5,"Sideway + Slope",AC67&gt;=-0.5,"Sideway Flat",AC67&gt;=-1.5,"Sideway - Slope",AC67&gt;=-3,"Moderate - Slope",TRUE,"Strong - Slope")</f>
        <v>Moderate - Slope</v>
      </c>
      <c r="AK67" s="1" t="str" cm="1">
        <f t="array" ref="AK67">_xlfn.IFS(AD67&gt;3,"Strong + Slope",AD67&gt;1.5,"Moderate + Slope",AD67&gt;0.5,"Sideway + Slope",AD67&gt;=-0.5,"Sideway Flat",AD67&gt;=-1.5,"Sideway - Slope",AD67&gt;=-3,"Moderate - Slope",TRUE,"Strong - Slope")</f>
        <v>Sideway + Slope</v>
      </c>
      <c r="AL67" s="1" t="str" cm="1">
        <f t="array" ref="AL67">_xlfn.IFS(AE67&gt;3,"Strong + Slope",AE67&gt;1.5,"Moderate + Slope",AE67&gt;0.5,"Sideway + Slope",AE67&gt;=-0.5,"Sideway Flat",AE67&gt;=-1.5,"Sideway - Slope",AE67&gt;=-3,"Moderate - Slope",TRUE,"Strong - Slope")</f>
        <v>Sideway Flat</v>
      </c>
      <c r="AM67" s="1" t="str" cm="1">
        <f t="array" ref="AM67">_xlfn.IFS(AF67&gt;3,"Strong + Slope",AF67&gt;1.5,"Moderate + Slope",AF67&gt;0.5,"Sideway + Slope",AF67&gt;=-0.5,"Sideway Flat",AF67&gt;=-1.5,"Sideway - Slope",AF67&gt;=-3,"Moderate - Slope",TRUE,"Strong - Slope")</f>
        <v>Moderate + Slope</v>
      </c>
    </row>
    <row r="68" spans="1:39" x14ac:dyDescent="0.55000000000000004">
      <c r="A68" s="1">
        <v>66</v>
      </c>
      <c r="B68" s="1" t="s">
        <v>68</v>
      </c>
      <c r="C68" s="1" t="s">
        <v>3</v>
      </c>
      <c r="D68" s="1" t="s">
        <v>102</v>
      </c>
      <c r="E68" s="1">
        <v>152.85300000000001</v>
      </c>
      <c r="F68" s="1">
        <v>152.798</v>
      </c>
      <c r="G68" s="1">
        <v>152.81</v>
      </c>
      <c r="H68" s="1">
        <v>152.881</v>
      </c>
      <c r="I68" s="1">
        <v>152.887</v>
      </c>
      <c r="J68" s="1">
        <v>153.16399999999999</v>
      </c>
      <c r="K68" s="1">
        <v>152.61000000000001</v>
      </c>
      <c r="L68" s="1">
        <v>152.58799999999999</v>
      </c>
      <c r="M68" s="1">
        <v>152.87100000000001</v>
      </c>
      <c r="N68" s="10">
        <f t="shared" si="17"/>
        <v>5.5000000000006821E-2</v>
      </c>
      <c r="O68" s="10">
        <f t="shared" ref="O68:O101" si="18">ABS(E68-G67)</f>
        <v>9.0000000000145519E-3</v>
      </c>
      <c r="P68" s="10">
        <f t="shared" ref="P68:P101" si="19">ABS(F68-G67)</f>
        <v>4.5999999999992269E-2</v>
      </c>
      <c r="Q68" s="10">
        <f t="shared" ref="Q68:Q99" si="20">MAX(N68:P68)</f>
        <v>5.5000000000006821E-2</v>
      </c>
      <c r="R68" s="10">
        <f t="shared" si="5"/>
        <v>4.550000000000206E-2</v>
      </c>
      <c r="S68" s="1"/>
      <c r="T68" s="2">
        <f>SLOPE(H55:H68,$A55:$A68)</f>
        <v>-2.4109890109891546E-3</v>
      </c>
      <c r="U68" s="2">
        <f>SLOPE(I55:I68,$A55:$A68)</f>
        <v>-3.736263736251593E-4</v>
      </c>
      <c r="V68" s="2">
        <f>SLOPE(J55:J68,$A55:$A68)</f>
        <v>-1.6439560439562729E-3</v>
      </c>
      <c r="W68" s="2">
        <f>SLOPE(K55:K68,$A55:$A68)</f>
        <v>7.6923076923138137E-4</v>
      </c>
      <c r="X68" s="2">
        <f>SLOPE(L55:L68,$A55:$A68)</f>
        <v>-2.3296703296814535E-4</v>
      </c>
      <c r="Y68" s="2">
        <f>SLOPE(M55:M68,$A55:$A68)</f>
        <v>1.5890109890113928E-3</v>
      </c>
      <c r="Z68" s="1"/>
      <c r="AA68" s="2">
        <f t="shared" si="7"/>
        <v>-3.0331960957118089</v>
      </c>
      <c r="AB68" s="2">
        <f t="shared" si="8"/>
        <v>-0.47047765233285699</v>
      </c>
      <c r="AC68" s="2">
        <f t="shared" si="9"/>
        <v>-2.069248083720657</v>
      </c>
      <c r="AD68" s="2">
        <f t="shared" si="10"/>
        <v>0.96855996138148948</v>
      </c>
      <c r="AE68" s="2">
        <f t="shared" si="11"/>
        <v>-0.29336068379571772</v>
      </c>
      <c r="AF68" s="2">
        <f t="shared" si="12"/>
        <v>2.0001458660752744</v>
      </c>
      <c r="AG68" s="1"/>
      <c r="AH68" s="1" t="str" cm="1">
        <f t="array" ref="AH68">_xlfn.IFS(AA68&gt;3,"Strong + Slope",AA68&gt;1.5,"Moderate + Slope",AA68&gt;0.5,"Sideway + Slope",AA68&gt;=-0.5,"Sideway Flat",AA68&gt;=-1.5,"Sideway - Slope",AA68&gt;=-3,"Moderate - Slope",TRUE,"Strong - Slope")</f>
        <v>Strong - Slope</v>
      </c>
      <c r="AI68" s="1" t="str" cm="1">
        <f t="array" ref="AI68">_xlfn.IFS(AB68&gt;3,"Strong + Slope",AB68&gt;1.5,"Moderate + Slope",AB68&gt;0.5,"Sideway + Slope",AB68&gt;=-0.5,"Sideway Flat",AB68&gt;=-1.5,"Sideway - Slope",AB68&gt;=-3,"Moderate - Slope",TRUE,"Strong - Slope")</f>
        <v>Sideway Flat</v>
      </c>
      <c r="AJ68" s="1" t="str" cm="1">
        <f t="array" ref="AJ68">_xlfn.IFS(AC68&gt;3,"Strong + Slope",AC68&gt;1.5,"Moderate + Slope",AC68&gt;0.5,"Sideway + Slope",AC68&gt;=-0.5,"Sideway Flat",AC68&gt;=-1.5,"Sideway - Slope",AC68&gt;=-3,"Moderate - Slope",TRUE,"Strong - Slope")</f>
        <v>Moderate - Slope</v>
      </c>
      <c r="AK68" s="1" t="str" cm="1">
        <f t="array" ref="AK68">_xlfn.IFS(AD68&gt;3,"Strong + Slope",AD68&gt;1.5,"Moderate + Slope",AD68&gt;0.5,"Sideway + Slope",AD68&gt;=-0.5,"Sideway Flat",AD68&gt;=-1.5,"Sideway - Slope",AD68&gt;=-3,"Moderate - Slope",TRUE,"Strong - Slope")</f>
        <v>Sideway + Slope</v>
      </c>
      <c r="AL68" s="1" t="str" cm="1">
        <f t="array" ref="AL68">_xlfn.IFS(AE68&gt;3,"Strong + Slope",AE68&gt;1.5,"Moderate + Slope",AE68&gt;0.5,"Sideway + Slope",AE68&gt;=-0.5,"Sideway Flat",AE68&gt;=-1.5,"Sideway - Slope",AE68&gt;=-3,"Moderate - Slope",TRUE,"Strong - Slope")</f>
        <v>Sideway Flat</v>
      </c>
      <c r="AM68" s="1" t="str" cm="1">
        <f t="array" ref="AM68">_xlfn.IFS(AF68&gt;3,"Strong + Slope",AF68&gt;1.5,"Moderate + Slope",AF68&gt;0.5,"Sideway + Slope",AF68&gt;=-0.5,"Sideway Flat",AF68&gt;=-1.5,"Sideway - Slope",AF68&gt;=-3,"Moderate - Slope",TRUE,"Strong - Slope")</f>
        <v>Moderate + Slope</v>
      </c>
    </row>
    <row r="69" spans="1:39" x14ac:dyDescent="0.55000000000000004">
      <c r="A69" s="1">
        <v>67</v>
      </c>
      <c r="B69" s="1" t="s">
        <v>69</v>
      </c>
      <c r="C69" s="1" t="s">
        <v>3</v>
      </c>
      <c r="D69" s="1" t="s">
        <v>102</v>
      </c>
      <c r="E69" s="1">
        <v>152.815</v>
      </c>
      <c r="F69" s="1">
        <v>152.80000000000001</v>
      </c>
      <c r="G69" s="1">
        <v>152.809</v>
      </c>
      <c r="H69" s="1">
        <v>152.87799999999999</v>
      </c>
      <c r="I69" s="1">
        <v>152.887</v>
      </c>
      <c r="J69" s="1">
        <v>153.16300000000001</v>
      </c>
      <c r="K69" s="1">
        <v>152.61099999999999</v>
      </c>
      <c r="L69" s="1">
        <v>152.58799999999999</v>
      </c>
      <c r="M69" s="1">
        <v>152.87200000000001</v>
      </c>
      <c r="N69" s="10">
        <f t="shared" si="17"/>
        <v>1.4999999999986358E-2</v>
      </c>
      <c r="O69" s="10">
        <f t="shared" si="18"/>
        <v>4.9999999999954525E-3</v>
      </c>
      <c r="P69" s="10">
        <f t="shared" si="19"/>
        <v>9.9999999999909051E-3</v>
      </c>
      <c r="Q69" s="10">
        <f t="shared" si="20"/>
        <v>1.4999999999986358E-2</v>
      </c>
      <c r="R69" s="10">
        <f t="shared" si="5"/>
        <v>4.2071428571428475E-2</v>
      </c>
      <c r="S69" s="1"/>
      <c r="T69" s="2">
        <f>SLOPE(H56:H69,$A56:$A69)</f>
        <v>-2.4285714285718434E-3</v>
      </c>
      <c r="U69" s="2">
        <f>SLOPE(I56:I69,$A56:$A69)</f>
        <v>-3.494505494494071E-4</v>
      </c>
      <c r="V69" s="2">
        <f>SLOPE(J56:J69,$A56:$A69)</f>
        <v>-1.6241758241754588E-3</v>
      </c>
      <c r="W69" s="2">
        <f>SLOPE(K56:K69,$A56:$A69)</f>
        <v>7.8461538461532061E-4</v>
      </c>
      <c r="X69" s="2">
        <f>SLOPE(L56:L69,$A56:$A69)</f>
        <v>-2.2197802197908189E-4</v>
      </c>
      <c r="Y69" s="2">
        <f>SLOPE(M56:M69,$A56:$A69)</f>
        <v>1.5714285714290787E-3</v>
      </c>
      <c r="Z69" s="1"/>
      <c r="AA69" s="2">
        <f t="shared" si="7"/>
        <v>-3.3037301644939161</v>
      </c>
      <c r="AB69" s="2">
        <f t="shared" si="8"/>
        <v>-0.47589496908540441</v>
      </c>
      <c r="AC69" s="2">
        <f t="shared" si="9"/>
        <v>-2.21081703531397</v>
      </c>
      <c r="AD69" s="2">
        <f t="shared" si="10"/>
        <v>1.0684196087049824</v>
      </c>
      <c r="AE69" s="2">
        <f t="shared" si="11"/>
        <v>-0.30230220882851838</v>
      </c>
      <c r="AF69" s="2">
        <f t="shared" si="12"/>
        <v>2.1390856518051238</v>
      </c>
      <c r="AG69" s="1"/>
      <c r="AH69" s="1" t="str" cm="1">
        <f t="array" ref="AH69">_xlfn.IFS(AA69&gt;3,"Strong + Slope",AA69&gt;1.5,"Moderate + Slope",AA69&gt;0.5,"Sideway + Slope",AA69&gt;=-0.5,"Sideway Flat",AA69&gt;=-1.5,"Sideway - Slope",AA69&gt;=-3,"Moderate - Slope",TRUE,"Strong - Slope")</f>
        <v>Strong - Slope</v>
      </c>
      <c r="AI69" s="1" t="str" cm="1">
        <f t="array" ref="AI69">_xlfn.IFS(AB69&gt;3,"Strong + Slope",AB69&gt;1.5,"Moderate + Slope",AB69&gt;0.5,"Sideway + Slope",AB69&gt;=-0.5,"Sideway Flat",AB69&gt;=-1.5,"Sideway - Slope",AB69&gt;=-3,"Moderate - Slope",TRUE,"Strong - Slope")</f>
        <v>Sideway Flat</v>
      </c>
      <c r="AJ69" s="1" t="str" cm="1">
        <f t="array" ref="AJ69">_xlfn.IFS(AC69&gt;3,"Strong + Slope",AC69&gt;1.5,"Moderate + Slope",AC69&gt;0.5,"Sideway + Slope",AC69&gt;=-0.5,"Sideway Flat",AC69&gt;=-1.5,"Sideway - Slope",AC69&gt;=-3,"Moderate - Slope",TRUE,"Strong - Slope")</f>
        <v>Moderate - Slope</v>
      </c>
      <c r="AK69" s="1" t="str" cm="1">
        <f t="array" ref="AK69">_xlfn.IFS(AD69&gt;3,"Strong + Slope",AD69&gt;1.5,"Moderate + Slope",AD69&gt;0.5,"Sideway + Slope",AD69&gt;=-0.5,"Sideway Flat",AD69&gt;=-1.5,"Sideway - Slope",AD69&gt;=-3,"Moderate - Slope",TRUE,"Strong - Slope")</f>
        <v>Sideway + Slope</v>
      </c>
      <c r="AL69" s="1" t="str" cm="1">
        <f t="array" ref="AL69">_xlfn.IFS(AE69&gt;3,"Strong + Slope",AE69&gt;1.5,"Moderate + Slope",AE69&gt;0.5,"Sideway + Slope",AE69&gt;=-0.5,"Sideway Flat",AE69&gt;=-1.5,"Sideway - Slope",AE69&gt;=-3,"Moderate - Slope",TRUE,"Strong - Slope")</f>
        <v>Sideway Flat</v>
      </c>
      <c r="AM69" s="1" t="str" cm="1">
        <f t="array" ref="AM69">_xlfn.IFS(AF69&gt;3,"Strong + Slope",AF69&gt;1.5,"Moderate + Slope",AF69&gt;0.5,"Sideway + Slope",AF69&gt;=-0.5,"Sideway Flat",AF69&gt;=-1.5,"Sideway - Slope",AF69&gt;=-3,"Moderate - Slope",TRUE,"Strong - Slope")</f>
        <v>Moderate + Slope</v>
      </c>
    </row>
    <row r="70" spans="1:39" x14ac:dyDescent="0.55000000000000004">
      <c r="A70" s="1">
        <v>68</v>
      </c>
      <c r="B70" s="1" t="s">
        <v>70</v>
      </c>
      <c r="C70" s="1" t="s">
        <v>3</v>
      </c>
      <c r="D70" s="1" t="s">
        <v>102</v>
      </c>
      <c r="E70" s="1">
        <v>152.82300000000001</v>
      </c>
      <c r="F70" s="1">
        <v>152.809</v>
      </c>
      <c r="G70" s="1">
        <v>152.81299999999999</v>
      </c>
      <c r="H70" s="1">
        <v>152.876</v>
      </c>
      <c r="I70" s="1">
        <v>152.886</v>
      </c>
      <c r="J70" s="1">
        <v>153.161</v>
      </c>
      <c r="K70" s="1">
        <v>152.61099999999999</v>
      </c>
      <c r="L70" s="1">
        <v>152.58699999999999</v>
      </c>
      <c r="M70" s="1">
        <v>152.874</v>
      </c>
      <c r="N70" s="10">
        <f t="shared" si="17"/>
        <v>1.4000000000010004E-2</v>
      </c>
      <c r="O70" s="10">
        <f t="shared" si="18"/>
        <v>1.4000000000010004E-2</v>
      </c>
      <c r="P70" s="10">
        <f t="shared" si="19"/>
        <v>0</v>
      </c>
      <c r="Q70" s="10">
        <f t="shared" si="20"/>
        <v>1.4000000000010004E-2</v>
      </c>
      <c r="R70" s="10">
        <f t="shared" si="5"/>
        <v>3.8928571428572568E-2</v>
      </c>
      <c r="S70" s="1"/>
      <c r="T70" s="2">
        <f>SLOPE(H57:H70,$A57:$A70)</f>
        <v>-2.4197802197805924E-3</v>
      </c>
      <c r="U70" s="2">
        <f>SLOPE(I57:I70,$A57:$A70)</f>
        <v>-3.6483516483440826E-4</v>
      </c>
      <c r="V70" s="2">
        <f>SLOPE(J57:J70,$A57:$A70)</f>
        <v>-1.6263736263732716E-3</v>
      </c>
      <c r="W70" s="2">
        <f>SLOPE(K57:K70,$A57:$A70)</f>
        <v>7.846153846148209E-4</v>
      </c>
      <c r="X70" s="2">
        <f>SLOPE(L57:L70,$A57:$A70)</f>
        <v>-2.2637362637470727E-4</v>
      </c>
      <c r="Y70" s="2">
        <f>SLOPE(M57:M70,$A57:$A70)</f>
        <v>1.5802197802200796E-3</v>
      </c>
      <c r="Z70" s="1"/>
      <c r="AA70" s="2">
        <f t="shared" si="7"/>
        <v>-3.556900198980931</v>
      </c>
      <c r="AB70" s="2">
        <f t="shared" si="8"/>
        <v>-0.53695531132478092</v>
      </c>
      <c r="AC70" s="2">
        <f t="shared" si="9"/>
        <v>-2.3923350446555149</v>
      </c>
      <c r="AD70" s="2">
        <f t="shared" si="10"/>
        <v>1.1546548581247575</v>
      </c>
      <c r="AE70" s="2">
        <f t="shared" si="11"/>
        <v>-0.33317706540911485</v>
      </c>
      <c r="AF70" s="2">
        <f t="shared" si="12"/>
        <v>2.3245200137821471</v>
      </c>
      <c r="AG70" s="1"/>
      <c r="AH70" s="1" t="str" cm="1">
        <f t="array" ref="AH70">_xlfn.IFS(AA70&gt;3,"Strong + Slope",AA70&gt;1.5,"Moderate + Slope",AA70&gt;0.5,"Sideway + Slope",AA70&gt;=-0.5,"Sideway Flat",AA70&gt;=-1.5,"Sideway - Slope",AA70&gt;=-3,"Moderate - Slope",TRUE,"Strong - Slope")</f>
        <v>Strong - Slope</v>
      </c>
      <c r="AI70" s="1" t="str" cm="1">
        <f t="array" ref="AI70">_xlfn.IFS(AB70&gt;3,"Strong + Slope",AB70&gt;1.5,"Moderate + Slope",AB70&gt;0.5,"Sideway + Slope",AB70&gt;=-0.5,"Sideway Flat",AB70&gt;=-1.5,"Sideway - Slope",AB70&gt;=-3,"Moderate - Slope",TRUE,"Strong - Slope")</f>
        <v>Sideway - Slope</v>
      </c>
      <c r="AJ70" s="1" t="str" cm="1">
        <f t="array" ref="AJ70">_xlfn.IFS(AC70&gt;3,"Strong + Slope",AC70&gt;1.5,"Moderate + Slope",AC70&gt;0.5,"Sideway + Slope",AC70&gt;=-0.5,"Sideway Flat",AC70&gt;=-1.5,"Sideway - Slope",AC70&gt;=-3,"Moderate - Slope",TRUE,"Strong - Slope")</f>
        <v>Moderate - Slope</v>
      </c>
      <c r="AK70" s="1" t="str" cm="1">
        <f t="array" ref="AK70">_xlfn.IFS(AD70&gt;3,"Strong + Slope",AD70&gt;1.5,"Moderate + Slope",AD70&gt;0.5,"Sideway + Slope",AD70&gt;=-0.5,"Sideway Flat",AD70&gt;=-1.5,"Sideway - Slope",AD70&gt;=-3,"Moderate - Slope",TRUE,"Strong - Slope")</f>
        <v>Sideway + Slope</v>
      </c>
      <c r="AL70" s="1" t="str" cm="1">
        <f t="array" ref="AL70">_xlfn.IFS(AE70&gt;3,"Strong + Slope",AE70&gt;1.5,"Moderate + Slope",AE70&gt;0.5,"Sideway + Slope",AE70&gt;=-0.5,"Sideway Flat",AE70&gt;=-1.5,"Sideway - Slope",AE70&gt;=-3,"Moderate - Slope",TRUE,"Strong - Slope")</f>
        <v>Sideway Flat</v>
      </c>
      <c r="AM70" s="1" t="str" cm="1">
        <f t="array" ref="AM70">_xlfn.IFS(AF70&gt;3,"Strong + Slope",AF70&gt;1.5,"Moderate + Slope",AF70&gt;0.5,"Sideway + Slope",AF70&gt;=-0.5,"Sideway Flat",AF70&gt;=-1.5,"Sideway - Slope",AF70&gt;=-3,"Moderate - Slope",TRUE,"Strong - Slope")</f>
        <v>Moderate + Slope</v>
      </c>
    </row>
    <row r="71" spans="1:39" x14ac:dyDescent="0.55000000000000004">
      <c r="A71" s="1">
        <v>69</v>
      </c>
      <c r="B71" s="1" t="s">
        <v>71</v>
      </c>
      <c r="C71" s="1" t="s">
        <v>3</v>
      </c>
      <c r="D71" s="1" t="s">
        <v>102</v>
      </c>
      <c r="E71" s="1">
        <v>152.815</v>
      </c>
      <c r="F71" s="1">
        <v>152.76599999999999</v>
      </c>
      <c r="G71" s="1">
        <v>152.779</v>
      </c>
      <c r="H71" s="1">
        <v>152.87299999999999</v>
      </c>
      <c r="I71" s="1">
        <v>152.886</v>
      </c>
      <c r="J71" s="1">
        <v>153.15899999999999</v>
      </c>
      <c r="K71" s="1">
        <v>152.61199999999999</v>
      </c>
      <c r="L71" s="1">
        <v>152.58699999999999</v>
      </c>
      <c r="M71" s="1">
        <v>152.876</v>
      </c>
      <c r="N71" s="10">
        <f t="shared" si="17"/>
        <v>4.9000000000006594E-2</v>
      </c>
      <c r="O71" s="10">
        <f t="shared" si="18"/>
        <v>2.0000000000095497E-3</v>
      </c>
      <c r="P71" s="10">
        <f t="shared" si="19"/>
        <v>4.6999999999997044E-2</v>
      </c>
      <c r="Q71" s="10">
        <f t="shared" si="20"/>
        <v>4.9000000000006594E-2</v>
      </c>
      <c r="R71" s="10">
        <f t="shared" si="5"/>
        <v>4.0500000000000522E-2</v>
      </c>
      <c r="S71" s="1"/>
      <c r="T71" s="2">
        <f>SLOPE(H58:H71,$A58:$A71)</f>
        <v>-2.4461538461541575E-3</v>
      </c>
      <c r="U71" s="2">
        <f>SLOPE(I58:I71,$A58:$A71)</f>
        <v>-3.5824175824140746E-4</v>
      </c>
      <c r="V71" s="2">
        <f>SLOPE(J58:J71,$A58:$A71)</f>
        <v>-1.6505494505497109E-3</v>
      </c>
      <c r="W71" s="2">
        <f>SLOPE(K58:K71,$A58:$A71)</f>
        <v>7.6923076922988224E-4</v>
      </c>
      <c r="X71" s="2">
        <f>SLOPE(L58:L71,$A58:$A71)</f>
        <v>-2.4615384615502152E-4</v>
      </c>
      <c r="Y71" s="2">
        <f>SLOPE(M58:M71,$A58:$A71)</f>
        <v>1.5824175824181422E-3</v>
      </c>
      <c r="Z71" s="1"/>
      <c r="AA71" s="2">
        <f t="shared" si="7"/>
        <v>-3.4564008599912373</v>
      </c>
      <c r="AB71" s="2">
        <f t="shared" si="8"/>
        <v>-0.5067951972768967</v>
      </c>
      <c r="AC71" s="2">
        <f t="shared" si="9"/>
        <v>-2.3337583270080664</v>
      </c>
      <c r="AD71" s="2">
        <f t="shared" si="10"/>
        <v>1.088108095640234</v>
      </c>
      <c r="AE71" s="2">
        <f t="shared" si="11"/>
        <v>-0.34823216876248358</v>
      </c>
      <c r="AF71" s="2">
        <f t="shared" si="12"/>
        <v>2.237524779107384</v>
      </c>
      <c r="AG71" s="1"/>
      <c r="AH71" s="1" t="str" cm="1">
        <f t="array" ref="AH71">_xlfn.IFS(AA71&gt;3,"Strong + Slope",AA71&gt;1.5,"Moderate + Slope",AA71&gt;0.5,"Sideway + Slope",AA71&gt;=-0.5,"Sideway Flat",AA71&gt;=-1.5,"Sideway - Slope",AA71&gt;=-3,"Moderate - Slope",TRUE,"Strong - Slope")</f>
        <v>Strong - Slope</v>
      </c>
      <c r="AI71" s="1" t="str" cm="1">
        <f t="array" ref="AI71">_xlfn.IFS(AB71&gt;3,"Strong + Slope",AB71&gt;1.5,"Moderate + Slope",AB71&gt;0.5,"Sideway + Slope",AB71&gt;=-0.5,"Sideway Flat",AB71&gt;=-1.5,"Sideway - Slope",AB71&gt;=-3,"Moderate - Slope",TRUE,"Strong - Slope")</f>
        <v>Sideway - Slope</v>
      </c>
      <c r="AJ71" s="1" t="str" cm="1">
        <f t="array" ref="AJ71">_xlfn.IFS(AC71&gt;3,"Strong + Slope",AC71&gt;1.5,"Moderate + Slope",AC71&gt;0.5,"Sideway + Slope",AC71&gt;=-0.5,"Sideway Flat",AC71&gt;=-1.5,"Sideway - Slope",AC71&gt;=-3,"Moderate - Slope",TRUE,"Strong - Slope")</f>
        <v>Moderate - Slope</v>
      </c>
      <c r="AK71" s="1" t="str" cm="1">
        <f t="array" ref="AK71">_xlfn.IFS(AD71&gt;3,"Strong + Slope",AD71&gt;1.5,"Moderate + Slope",AD71&gt;0.5,"Sideway + Slope",AD71&gt;=-0.5,"Sideway Flat",AD71&gt;=-1.5,"Sideway - Slope",AD71&gt;=-3,"Moderate - Slope",TRUE,"Strong - Slope")</f>
        <v>Sideway + Slope</v>
      </c>
      <c r="AL71" s="1" t="str" cm="1">
        <f t="array" ref="AL71">_xlfn.IFS(AE71&gt;3,"Strong + Slope",AE71&gt;1.5,"Moderate + Slope",AE71&gt;0.5,"Sideway + Slope",AE71&gt;=-0.5,"Sideway Flat",AE71&gt;=-1.5,"Sideway - Slope",AE71&gt;=-3,"Moderate - Slope",TRUE,"Strong - Slope")</f>
        <v>Sideway Flat</v>
      </c>
      <c r="AM71" s="1" t="str" cm="1">
        <f t="array" ref="AM71">_xlfn.IFS(AF71&gt;3,"Strong + Slope",AF71&gt;1.5,"Moderate + Slope",AF71&gt;0.5,"Sideway + Slope",AF71&gt;=-0.5,"Sideway Flat",AF71&gt;=-1.5,"Sideway - Slope",AF71&gt;=-3,"Moderate - Slope",TRUE,"Strong - Slope")</f>
        <v>Moderate + Slope</v>
      </c>
    </row>
    <row r="72" spans="1:39" x14ac:dyDescent="0.55000000000000004">
      <c r="A72" s="1">
        <v>70</v>
      </c>
      <c r="B72" s="1" t="s">
        <v>72</v>
      </c>
      <c r="C72" s="1" t="s">
        <v>3</v>
      </c>
      <c r="D72" s="1" t="s">
        <v>102</v>
      </c>
      <c r="E72" s="1">
        <v>152.79</v>
      </c>
      <c r="F72" s="1">
        <v>152.76599999999999</v>
      </c>
      <c r="G72" s="1">
        <v>152.76900000000001</v>
      </c>
      <c r="H72" s="1">
        <v>152.87100000000001</v>
      </c>
      <c r="I72" s="1">
        <v>152.88499999999999</v>
      </c>
      <c r="J72" s="1">
        <v>153.15799999999999</v>
      </c>
      <c r="K72" s="1">
        <v>152.613</v>
      </c>
      <c r="L72" s="1">
        <v>152.58699999999999</v>
      </c>
      <c r="M72" s="1">
        <v>152.87700000000001</v>
      </c>
      <c r="N72" s="10">
        <f t="shared" si="17"/>
        <v>2.4000000000000909E-2</v>
      </c>
      <c r="O72" s="10">
        <f t="shared" si="18"/>
        <v>1.099999999999568E-2</v>
      </c>
      <c r="P72" s="10">
        <f t="shared" si="19"/>
        <v>1.300000000000523E-2</v>
      </c>
      <c r="Q72" s="10">
        <f t="shared" si="20"/>
        <v>2.4000000000000909E-2</v>
      </c>
      <c r="R72" s="10">
        <f t="shared" si="5"/>
        <v>3.8785714285714742E-2</v>
      </c>
      <c r="S72" s="1"/>
      <c r="T72" s="2">
        <f>SLOPE(H59:H72,$A59:$A72)</f>
        <v>-2.4461538461537828E-3</v>
      </c>
      <c r="U72" s="2">
        <f>SLOPE(I59:I72,$A59:$A72)</f>
        <v>-3.5824175824196962E-4</v>
      </c>
      <c r="V72" s="2">
        <f>SLOPE(J59:J72,$A59:$A72)</f>
        <v>-1.6351648351650846E-3</v>
      </c>
      <c r="W72" s="2">
        <f>SLOPE(K59:K72,$A59:$A72)</f>
        <v>7.670329670320695E-4</v>
      </c>
      <c r="X72" s="2">
        <f>SLOPE(L59:L72,$A59:$A72)</f>
        <v>-2.5274725274845958E-4</v>
      </c>
      <c r="Y72" s="2">
        <f>SLOPE(M59:M72,$A59:$A72)</f>
        <v>1.5780219780223293E-3</v>
      </c>
      <c r="Z72" s="1"/>
      <c r="AA72" s="2">
        <f t="shared" si="7"/>
        <v>-3.6087747542544655</v>
      </c>
      <c r="AB72" s="2">
        <f t="shared" si="8"/>
        <v>-0.52919373807832559</v>
      </c>
      <c r="AC72" s="2">
        <f t="shared" si="9"/>
        <v>-2.4141000981806591</v>
      </c>
      <c r="AD72" s="2">
        <f t="shared" si="10"/>
        <v>1.1329435240223293</v>
      </c>
      <c r="AE72" s="2">
        <f t="shared" si="11"/>
        <v>-0.37336287742187796</v>
      </c>
      <c r="AF72" s="2">
        <f t="shared" si="12"/>
        <v>2.3298310312791668</v>
      </c>
      <c r="AG72" s="1"/>
      <c r="AH72" s="1" t="str" cm="1">
        <f t="array" ref="AH72">_xlfn.IFS(AA72&gt;3,"Strong + Slope",AA72&gt;1.5,"Moderate + Slope",AA72&gt;0.5,"Sideway + Slope",AA72&gt;=-0.5,"Sideway Flat",AA72&gt;=-1.5,"Sideway - Slope",AA72&gt;=-3,"Moderate - Slope",TRUE,"Strong - Slope")</f>
        <v>Strong - Slope</v>
      </c>
      <c r="AI72" s="1" t="str" cm="1">
        <f t="array" ref="AI72">_xlfn.IFS(AB72&gt;3,"Strong + Slope",AB72&gt;1.5,"Moderate + Slope",AB72&gt;0.5,"Sideway + Slope",AB72&gt;=-0.5,"Sideway Flat",AB72&gt;=-1.5,"Sideway - Slope",AB72&gt;=-3,"Moderate - Slope",TRUE,"Strong - Slope")</f>
        <v>Sideway - Slope</v>
      </c>
      <c r="AJ72" s="1" t="str" cm="1">
        <f t="array" ref="AJ72">_xlfn.IFS(AC72&gt;3,"Strong + Slope",AC72&gt;1.5,"Moderate + Slope",AC72&gt;0.5,"Sideway + Slope",AC72&gt;=-0.5,"Sideway Flat",AC72&gt;=-1.5,"Sideway - Slope",AC72&gt;=-3,"Moderate - Slope",TRUE,"Strong - Slope")</f>
        <v>Moderate - Slope</v>
      </c>
      <c r="AK72" s="1" t="str" cm="1">
        <f t="array" ref="AK72">_xlfn.IFS(AD72&gt;3,"Strong + Slope",AD72&gt;1.5,"Moderate + Slope",AD72&gt;0.5,"Sideway + Slope",AD72&gt;=-0.5,"Sideway Flat",AD72&gt;=-1.5,"Sideway - Slope",AD72&gt;=-3,"Moderate - Slope",TRUE,"Strong - Slope")</f>
        <v>Sideway + Slope</v>
      </c>
      <c r="AL72" s="1" t="str" cm="1">
        <f t="array" ref="AL72">_xlfn.IFS(AE72&gt;3,"Strong + Slope",AE72&gt;1.5,"Moderate + Slope",AE72&gt;0.5,"Sideway + Slope",AE72&gt;=-0.5,"Sideway Flat",AE72&gt;=-1.5,"Sideway - Slope",AE72&gt;=-3,"Moderate - Slope",TRUE,"Strong - Slope")</f>
        <v>Sideway Flat</v>
      </c>
      <c r="AM72" s="1" t="str" cm="1">
        <f t="array" ref="AM72">_xlfn.IFS(AF72&gt;3,"Strong + Slope",AF72&gt;1.5,"Moderate + Slope",AF72&gt;0.5,"Sideway + Slope",AF72&gt;=-0.5,"Sideway Flat",AF72&gt;=-1.5,"Sideway - Slope",AF72&gt;=-3,"Moderate - Slope",TRUE,"Strong - Slope")</f>
        <v>Moderate + Slope</v>
      </c>
    </row>
    <row r="73" spans="1:39" x14ac:dyDescent="0.55000000000000004">
      <c r="A73" s="1">
        <v>71</v>
      </c>
      <c r="B73" s="1" t="s">
        <v>73</v>
      </c>
      <c r="C73" s="1" t="s">
        <v>3</v>
      </c>
      <c r="D73" s="1" t="s">
        <v>102</v>
      </c>
      <c r="E73" s="1">
        <v>152.792</v>
      </c>
      <c r="F73" s="1">
        <v>152.74199999999999</v>
      </c>
      <c r="G73" s="1">
        <v>152.74299999999999</v>
      </c>
      <c r="H73" s="1">
        <v>152.869</v>
      </c>
      <c r="I73" s="1">
        <v>152.88499999999999</v>
      </c>
      <c r="J73" s="1">
        <v>153.15600000000001</v>
      </c>
      <c r="K73" s="1">
        <v>152.614</v>
      </c>
      <c r="L73" s="1">
        <v>152.58699999999999</v>
      </c>
      <c r="M73" s="1">
        <v>152.87899999999999</v>
      </c>
      <c r="N73" s="10">
        <f t="shared" si="17"/>
        <v>5.0000000000011369E-2</v>
      </c>
      <c r="O73" s="10">
        <f t="shared" si="18"/>
        <v>2.2999999999996135E-2</v>
      </c>
      <c r="P73" s="10">
        <f t="shared" si="19"/>
        <v>2.7000000000015234E-2</v>
      </c>
      <c r="Q73" s="10">
        <f t="shared" si="20"/>
        <v>5.0000000000011369E-2</v>
      </c>
      <c r="R73" s="10">
        <f t="shared" si="5"/>
        <v>3.9857142857144368E-2</v>
      </c>
      <c r="S73" s="1"/>
      <c r="T73" s="2">
        <f>SLOPE(H60:H73,$A60:$A73)</f>
        <v>-2.4197802197804051E-3</v>
      </c>
      <c r="U73" s="2">
        <f>SLOPE(I60:I73,$A60:$A73)</f>
        <v>-3.6483516483609479E-4</v>
      </c>
      <c r="V73" s="2">
        <f>SLOPE(J60:J73,$A60:$A73)</f>
        <v>-1.6417582417581479E-3</v>
      </c>
      <c r="W73" s="2">
        <f>SLOPE(K60:K73,$A60:$A73)</f>
        <v>7.780219780213829E-4</v>
      </c>
      <c r="X73" s="2">
        <f>SLOPE(L60:L73,$A60:$A73)</f>
        <v>-2.4615384615502152E-4</v>
      </c>
      <c r="Y73" s="2">
        <f>SLOPE(M60:M73,$A60:$A73)</f>
        <v>1.5999999999998316E-3</v>
      </c>
      <c r="Z73" s="1"/>
      <c r="AA73" s="2">
        <f t="shared" si="7"/>
        <v>-3.4742387353673823</v>
      </c>
      <c r="AB73" s="2">
        <f t="shared" si="8"/>
        <v>-0.52444630682951399</v>
      </c>
      <c r="AC73" s="2">
        <f t="shared" si="9"/>
        <v>-2.3587408672942116</v>
      </c>
      <c r="AD73" s="2">
        <f t="shared" si="10"/>
        <v>1.1182867580580824</v>
      </c>
      <c r="AE73" s="2">
        <f t="shared" si="11"/>
        <v>-0.35384867496457673</v>
      </c>
      <c r="AF73" s="2">
        <f t="shared" si="12"/>
        <v>2.2988113221781186</v>
      </c>
      <c r="AG73" s="1"/>
      <c r="AH73" s="1" t="str" cm="1">
        <f t="array" ref="AH73">_xlfn.IFS(AA73&gt;3,"Strong + Slope",AA73&gt;1.5,"Moderate + Slope",AA73&gt;0.5,"Sideway + Slope",AA73&gt;=-0.5,"Sideway Flat",AA73&gt;=-1.5,"Sideway - Slope",AA73&gt;=-3,"Moderate - Slope",TRUE,"Strong - Slope")</f>
        <v>Strong - Slope</v>
      </c>
      <c r="AI73" s="1" t="str" cm="1">
        <f t="array" ref="AI73">_xlfn.IFS(AB73&gt;3,"Strong + Slope",AB73&gt;1.5,"Moderate + Slope",AB73&gt;0.5,"Sideway + Slope",AB73&gt;=-0.5,"Sideway Flat",AB73&gt;=-1.5,"Sideway - Slope",AB73&gt;=-3,"Moderate - Slope",TRUE,"Strong - Slope")</f>
        <v>Sideway - Slope</v>
      </c>
      <c r="AJ73" s="1" t="str" cm="1">
        <f t="array" ref="AJ73">_xlfn.IFS(AC73&gt;3,"Strong + Slope",AC73&gt;1.5,"Moderate + Slope",AC73&gt;0.5,"Sideway + Slope",AC73&gt;=-0.5,"Sideway Flat",AC73&gt;=-1.5,"Sideway - Slope",AC73&gt;=-3,"Moderate - Slope",TRUE,"Strong - Slope")</f>
        <v>Moderate - Slope</v>
      </c>
      <c r="AK73" s="1" t="str" cm="1">
        <f t="array" ref="AK73">_xlfn.IFS(AD73&gt;3,"Strong + Slope",AD73&gt;1.5,"Moderate + Slope",AD73&gt;0.5,"Sideway + Slope",AD73&gt;=-0.5,"Sideway Flat",AD73&gt;=-1.5,"Sideway - Slope",AD73&gt;=-3,"Moderate - Slope",TRUE,"Strong - Slope")</f>
        <v>Sideway + Slope</v>
      </c>
      <c r="AL73" s="1" t="str" cm="1">
        <f t="array" ref="AL73">_xlfn.IFS(AE73&gt;3,"Strong + Slope",AE73&gt;1.5,"Moderate + Slope",AE73&gt;0.5,"Sideway + Slope",AE73&gt;=-0.5,"Sideway Flat",AE73&gt;=-1.5,"Sideway - Slope",AE73&gt;=-3,"Moderate - Slope",TRUE,"Strong - Slope")</f>
        <v>Sideway Flat</v>
      </c>
      <c r="AM73" s="1" t="str" cm="1">
        <f t="array" ref="AM73">_xlfn.IFS(AF73&gt;3,"Strong + Slope",AF73&gt;1.5,"Moderate + Slope",AF73&gt;0.5,"Sideway + Slope",AF73&gt;=-0.5,"Sideway Flat",AF73&gt;=-1.5,"Sideway - Slope",AF73&gt;=-3,"Moderate - Slope",TRUE,"Strong - Slope")</f>
        <v>Moderate + Slope</v>
      </c>
    </row>
    <row r="74" spans="1:39" x14ac:dyDescent="0.55000000000000004">
      <c r="A74" s="1">
        <v>72</v>
      </c>
      <c r="B74" s="1" t="s">
        <v>74</v>
      </c>
      <c r="C74" s="1" t="s">
        <v>3</v>
      </c>
      <c r="D74" s="1" t="s">
        <v>102</v>
      </c>
      <c r="E74" s="1">
        <v>152.76499999999999</v>
      </c>
      <c r="F74" s="1">
        <v>152.72999999999999</v>
      </c>
      <c r="G74" s="1">
        <v>152.75399999999999</v>
      </c>
      <c r="H74" s="1">
        <v>152.86600000000001</v>
      </c>
      <c r="I74" s="1">
        <v>152.88499999999999</v>
      </c>
      <c r="J74" s="1">
        <v>153.154</v>
      </c>
      <c r="K74" s="1">
        <v>152.614</v>
      </c>
      <c r="L74" s="1">
        <v>152.58699999999999</v>
      </c>
      <c r="M74" s="1">
        <v>152.88</v>
      </c>
      <c r="N74" s="10">
        <f t="shared" si="17"/>
        <v>3.4999999999996589E-2</v>
      </c>
      <c r="O74" s="10">
        <f t="shared" si="18"/>
        <v>2.199999999999136E-2</v>
      </c>
      <c r="P74" s="10">
        <f t="shared" si="19"/>
        <v>1.300000000000523E-2</v>
      </c>
      <c r="Q74" s="10">
        <f t="shared" si="20"/>
        <v>3.4999999999996589E-2</v>
      </c>
      <c r="R74" s="10">
        <f t="shared" si="5"/>
        <v>3.8571428571430033E-2</v>
      </c>
      <c r="S74" s="1"/>
      <c r="T74" s="2">
        <f>SLOPE(H61:H74,$A61:$A74)</f>
        <v>-2.4285714285710311E-3</v>
      </c>
      <c r="U74" s="2">
        <f>SLOPE(I61:I74,$A61:$A74)</f>
        <v>-3.49450549452218E-4</v>
      </c>
      <c r="V74" s="2">
        <f>SLOPE(J61:J74,$A61:$A74)</f>
        <v>-1.6703296703298378E-3</v>
      </c>
      <c r="W74" s="2">
        <f>SLOPE(K61:K74,$A61:$A74)</f>
        <v>7.7362637362625723E-4</v>
      </c>
      <c r="X74" s="2">
        <f>SLOPE(L61:L74,$A61:$A74)</f>
        <v>-2.2637362637470727E-4</v>
      </c>
      <c r="Y74" s="2">
        <f>SLOPE(M61:M74,$A61:$A74)</f>
        <v>1.5868131868128305E-3</v>
      </c>
      <c r="Z74" s="1"/>
      <c r="AA74" s="2">
        <f t="shared" si="7"/>
        <v>-3.6027562221036686</v>
      </c>
      <c r="AB74" s="2">
        <f t="shared" si="8"/>
        <v>-0.5190757665515483</v>
      </c>
      <c r="AC74" s="2">
        <f t="shared" si="9"/>
        <v>-2.4796355002593402</v>
      </c>
      <c r="AD74" s="2">
        <f t="shared" si="10"/>
        <v>1.1490262458706675</v>
      </c>
      <c r="AE74" s="2">
        <f t="shared" si="11"/>
        <v>-0.33626196772373895</v>
      </c>
      <c r="AF74" s="2">
        <f t="shared" si="12"/>
        <v>2.3557970793448759</v>
      </c>
      <c r="AG74" s="1"/>
      <c r="AH74" s="1" t="str" cm="1">
        <f t="array" ref="AH74">_xlfn.IFS(AA74&gt;3,"Strong + Slope",AA74&gt;1.5,"Moderate + Slope",AA74&gt;0.5,"Sideway + Slope",AA74&gt;=-0.5,"Sideway Flat",AA74&gt;=-1.5,"Sideway - Slope",AA74&gt;=-3,"Moderate - Slope",TRUE,"Strong - Slope")</f>
        <v>Strong - Slope</v>
      </c>
      <c r="AI74" s="1" t="str" cm="1">
        <f t="array" ref="AI74">_xlfn.IFS(AB74&gt;3,"Strong + Slope",AB74&gt;1.5,"Moderate + Slope",AB74&gt;0.5,"Sideway + Slope",AB74&gt;=-0.5,"Sideway Flat",AB74&gt;=-1.5,"Sideway - Slope",AB74&gt;=-3,"Moderate - Slope",TRUE,"Strong - Slope")</f>
        <v>Sideway - Slope</v>
      </c>
      <c r="AJ74" s="1" t="str" cm="1">
        <f t="array" ref="AJ74">_xlfn.IFS(AC74&gt;3,"Strong + Slope",AC74&gt;1.5,"Moderate + Slope",AC74&gt;0.5,"Sideway + Slope",AC74&gt;=-0.5,"Sideway Flat",AC74&gt;=-1.5,"Sideway - Slope",AC74&gt;=-3,"Moderate - Slope",TRUE,"Strong - Slope")</f>
        <v>Moderate - Slope</v>
      </c>
      <c r="AK74" s="1" t="str" cm="1">
        <f t="array" ref="AK74">_xlfn.IFS(AD74&gt;3,"Strong + Slope",AD74&gt;1.5,"Moderate + Slope",AD74&gt;0.5,"Sideway + Slope",AD74&gt;=-0.5,"Sideway Flat",AD74&gt;=-1.5,"Sideway - Slope",AD74&gt;=-3,"Moderate - Slope",TRUE,"Strong - Slope")</f>
        <v>Sideway + Slope</v>
      </c>
      <c r="AL74" s="1" t="str" cm="1">
        <f t="array" ref="AL74">_xlfn.IFS(AE74&gt;3,"Strong + Slope",AE74&gt;1.5,"Moderate + Slope",AE74&gt;0.5,"Sideway + Slope",AE74&gt;=-0.5,"Sideway Flat",AE74&gt;=-1.5,"Sideway - Slope",AE74&gt;=-3,"Moderate - Slope",TRUE,"Strong - Slope")</f>
        <v>Sideway Flat</v>
      </c>
      <c r="AM74" s="1" t="str" cm="1">
        <f t="array" ref="AM74">_xlfn.IFS(AF74&gt;3,"Strong + Slope",AF74&gt;1.5,"Moderate + Slope",AF74&gt;0.5,"Sideway + Slope",AF74&gt;=-0.5,"Sideway Flat",AF74&gt;=-1.5,"Sideway - Slope",AF74&gt;=-3,"Moderate - Slope",TRUE,"Strong - Slope")</f>
        <v>Moderate + Slope</v>
      </c>
    </row>
    <row r="75" spans="1:39" x14ac:dyDescent="0.55000000000000004">
      <c r="A75" s="1">
        <v>73</v>
      </c>
      <c r="B75" s="1" t="s">
        <v>75</v>
      </c>
      <c r="C75" s="1" t="s">
        <v>3</v>
      </c>
      <c r="D75" s="1" t="s">
        <v>102</v>
      </c>
      <c r="E75" s="1">
        <v>152.762</v>
      </c>
      <c r="F75" s="1">
        <v>152.733</v>
      </c>
      <c r="G75" s="1">
        <v>152.73599999999999</v>
      </c>
      <c r="H75" s="1">
        <v>152.864</v>
      </c>
      <c r="I75" s="1">
        <v>152.88399999999999</v>
      </c>
      <c r="J75" s="1">
        <v>153.15299999999999</v>
      </c>
      <c r="K75" s="1">
        <v>152.61500000000001</v>
      </c>
      <c r="L75" s="1">
        <v>152.58600000000001</v>
      </c>
      <c r="M75" s="1">
        <v>152.88200000000001</v>
      </c>
      <c r="N75" s="10">
        <f t="shared" si="17"/>
        <v>2.8999999999996362E-2</v>
      </c>
      <c r="O75" s="10">
        <f t="shared" si="18"/>
        <v>8.0000000000097771E-3</v>
      </c>
      <c r="P75" s="10">
        <f t="shared" si="19"/>
        <v>2.0999999999986585E-2</v>
      </c>
      <c r="Q75" s="10">
        <f t="shared" si="20"/>
        <v>2.8999999999996362E-2</v>
      </c>
      <c r="R75" s="10">
        <f t="shared" si="5"/>
        <v>3.9357142857144013E-2</v>
      </c>
      <c r="S75" s="1"/>
      <c r="T75" s="2">
        <f>SLOPE(H62:H75,$A62:$A75)</f>
        <v>-2.4109890109886545E-3</v>
      </c>
      <c r="U75" s="2">
        <f>SLOPE(I62:I75,$A62:$A75)</f>
        <v>-3.7362637362815766E-4</v>
      </c>
      <c r="V75" s="2">
        <f>SLOPE(J62:J75,$A62:$A75)</f>
        <v>-1.659340659341399E-3</v>
      </c>
      <c r="W75" s="2">
        <f>SLOPE(K62:K75,$A62:$A75)</f>
        <v>7.5384615384669251E-4</v>
      </c>
      <c r="X75" s="2">
        <f>SLOPE(L62:L75,$A62:$A75)</f>
        <v>-2.2197802197826985E-4</v>
      </c>
      <c r="Y75" s="2">
        <f>SLOPE(M62:M75,$A62:$A75)</f>
        <v>1.6000000000000814E-3</v>
      </c>
      <c r="Z75" s="1"/>
      <c r="AA75" s="2">
        <f t="shared" si="7"/>
        <v>-3.5055157542468187</v>
      </c>
      <c r="AB75" s="2">
        <f t="shared" si="8"/>
        <v>-0.54390562225119155</v>
      </c>
      <c r="AC75" s="2">
        <f t="shared" si="9"/>
        <v>-2.4142236177818703</v>
      </c>
      <c r="AD75" s="2">
        <f t="shared" si="10"/>
        <v>1.0973083663059706</v>
      </c>
      <c r="AE75" s="2">
        <f t="shared" si="11"/>
        <v>-0.3231502091611666</v>
      </c>
      <c r="AF75" s="2">
        <f t="shared" si="12"/>
        <v>2.3279838915145432</v>
      </c>
      <c r="AG75" s="1"/>
      <c r="AH75" s="1" t="str" cm="1">
        <f t="array" ref="AH75">_xlfn.IFS(AA75&gt;3,"Strong + Slope",AA75&gt;1.5,"Moderate + Slope",AA75&gt;0.5,"Sideway + Slope",AA75&gt;=-0.5,"Sideway Flat",AA75&gt;=-1.5,"Sideway - Slope",AA75&gt;=-3,"Moderate - Slope",TRUE,"Strong - Slope")</f>
        <v>Strong - Slope</v>
      </c>
      <c r="AI75" s="1" t="str" cm="1">
        <f t="array" ref="AI75">_xlfn.IFS(AB75&gt;3,"Strong + Slope",AB75&gt;1.5,"Moderate + Slope",AB75&gt;0.5,"Sideway + Slope",AB75&gt;=-0.5,"Sideway Flat",AB75&gt;=-1.5,"Sideway - Slope",AB75&gt;=-3,"Moderate - Slope",TRUE,"Strong - Slope")</f>
        <v>Sideway - Slope</v>
      </c>
      <c r="AJ75" s="1" t="str" cm="1">
        <f t="array" ref="AJ75">_xlfn.IFS(AC75&gt;3,"Strong + Slope",AC75&gt;1.5,"Moderate + Slope",AC75&gt;0.5,"Sideway + Slope",AC75&gt;=-0.5,"Sideway Flat",AC75&gt;=-1.5,"Sideway - Slope",AC75&gt;=-3,"Moderate - Slope",TRUE,"Strong - Slope")</f>
        <v>Moderate - Slope</v>
      </c>
      <c r="AK75" s="1" t="str" cm="1">
        <f t="array" ref="AK75">_xlfn.IFS(AD75&gt;3,"Strong + Slope",AD75&gt;1.5,"Moderate + Slope",AD75&gt;0.5,"Sideway + Slope",AD75&gt;=-0.5,"Sideway Flat",AD75&gt;=-1.5,"Sideway - Slope",AD75&gt;=-3,"Moderate - Slope",TRUE,"Strong - Slope")</f>
        <v>Sideway + Slope</v>
      </c>
      <c r="AL75" s="1" t="str" cm="1">
        <f t="array" ref="AL75">_xlfn.IFS(AE75&gt;3,"Strong + Slope",AE75&gt;1.5,"Moderate + Slope",AE75&gt;0.5,"Sideway + Slope",AE75&gt;=-0.5,"Sideway Flat",AE75&gt;=-1.5,"Sideway - Slope",AE75&gt;=-3,"Moderate - Slope",TRUE,"Strong - Slope")</f>
        <v>Sideway Flat</v>
      </c>
      <c r="AM75" s="1" t="str" cm="1">
        <f t="array" ref="AM75">_xlfn.IFS(AF75&gt;3,"Strong + Slope",AF75&gt;1.5,"Moderate + Slope",AF75&gt;0.5,"Sideway + Slope",AF75&gt;=-0.5,"Sideway Flat",AF75&gt;=-1.5,"Sideway - Slope",AF75&gt;=-3,"Moderate - Slope",TRUE,"Strong - Slope")</f>
        <v>Moderate + Slope</v>
      </c>
    </row>
    <row r="76" spans="1:39" x14ac:dyDescent="0.55000000000000004">
      <c r="A76" s="1">
        <v>74</v>
      </c>
      <c r="B76" s="1" t="s">
        <v>76</v>
      </c>
      <c r="C76" s="1" t="s">
        <v>3</v>
      </c>
      <c r="D76" s="1" t="s">
        <v>102</v>
      </c>
      <c r="E76" s="1">
        <v>152.76300000000001</v>
      </c>
      <c r="F76" s="1">
        <v>152.732</v>
      </c>
      <c r="G76" s="1">
        <v>152.76300000000001</v>
      </c>
      <c r="H76" s="1">
        <v>152.86099999999999</v>
      </c>
      <c r="I76" s="1">
        <v>152.88399999999999</v>
      </c>
      <c r="J76" s="1">
        <v>153.15100000000001</v>
      </c>
      <c r="K76" s="1">
        <v>152.61600000000001</v>
      </c>
      <c r="L76" s="1">
        <v>152.58600000000001</v>
      </c>
      <c r="M76" s="1">
        <v>152.88300000000001</v>
      </c>
      <c r="N76" s="10">
        <f t="shared" si="17"/>
        <v>3.1000000000005912E-2</v>
      </c>
      <c r="O76" s="10">
        <f t="shared" si="18"/>
        <v>2.7000000000015234E-2</v>
      </c>
      <c r="P76" s="10">
        <f t="shared" si="19"/>
        <v>3.9999999999906777E-3</v>
      </c>
      <c r="Q76" s="10">
        <f t="shared" si="20"/>
        <v>3.1000000000005912E-2</v>
      </c>
      <c r="R76" s="10">
        <f t="shared" si="5"/>
        <v>3.8142857142858588E-2</v>
      </c>
      <c r="S76" s="1"/>
      <c r="T76" s="2">
        <f>SLOPE(H63:H76,$A63:$A76)</f>
        <v>-2.4285714285710936E-3</v>
      </c>
      <c r="U76" s="2">
        <f>SLOPE(I63:I76,$A63:$A76)</f>
        <v>-3.7582417582597035E-4</v>
      </c>
      <c r="V76" s="2">
        <f>SLOPE(J63:J76,$A63:$A76)</f>
        <v>-1.6703296703298378E-3</v>
      </c>
      <c r="W76" s="2">
        <f>SLOPE(K63:K76,$A63:$A76)</f>
        <v>7.4725274725331696E-4</v>
      </c>
      <c r="X76" s="2">
        <f>SLOPE(L63:L76,$A63:$A76)</f>
        <v>-2.3296703296664617E-4</v>
      </c>
      <c r="Y76" s="2">
        <f>SLOPE(M63:M76,$A63:$A76)</f>
        <v>1.578021978021892E-3</v>
      </c>
      <c r="Z76" s="1"/>
      <c r="AA76" s="2">
        <f t="shared" si="7"/>
        <v>-3.6431282122053972</v>
      </c>
      <c r="AB76" s="2">
        <f t="shared" si="8"/>
        <v>-0.56452095972158278</v>
      </c>
      <c r="AC76" s="2">
        <f t="shared" si="9"/>
        <v>-2.5074612103181484</v>
      </c>
      <c r="AD76" s="2">
        <f t="shared" si="10"/>
        <v>1.1223320872246429</v>
      </c>
      <c r="AE76" s="2">
        <f t="shared" si="11"/>
        <v>-0.34994394172964571</v>
      </c>
      <c r="AF76" s="2">
        <f t="shared" si="12"/>
        <v>2.369053477092971</v>
      </c>
      <c r="AG76" s="1"/>
      <c r="AH76" s="1" t="str" cm="1">
        <f t="array" ref="AH76">_xlfn.IFS(AA76&gt;3,"Strong + Slope",AA76&gt;1.5,"Moderate + Slope",AA76&gt;0.5,"Sideway + Slope",AA76&gt;=-0.5,"Sideway Flat",AA76&gt;=-1.5,"Sideway - Slope",AA76&gt;=-3,"Moderate - Slope",TRUE,"Strong - Slope")</f>
        <v>Strong - Slope</v>
      </c>
      <c r="AI76" s="1" t="str" cm="1">
        <f t="array" ref="AI76">_xlfn.IFS(AB76&gt;3,"Strong + Slope",AB76&gt;1.5,"Moderate + Slope",AB76&gt;0.5,"Sideway + Slope",AB76&gt;=-0.5,"Sideway Flat",AB76&gt;=-1.5,"Sideway - Slope",AB76&gt;=-3,"Moderate - Slope",TRUE,"Strong - Slope")</f>
        <v>Sideway - Slope</v>
      </c>
      <c r="AJ76" s="1" t="str" cm="1">
        <f t="array" ref="AJ76">_xlfn.IFS(AC76&gt;3,"Strong + Slope",AC76&gt;1.5,"Moderate + Slope",AC76&gt;0.5,"Sideway + Slope",AC76&gt;=-0.5,"Sideway Flat",AC76&gt;=-1.5,"Sideway - Slope",AC76&gt;=-3,"Moderate - Slope",TRUE,"Strong - Slope")</f>
        <v>Moderate - Slope</v>
      </c>
      <c r="AK76" s="1" t="str" cm="1">
        <f t="array" ref="AK76">_xlfn.IFS(AD76&gt;3,"Strong + Slope",AD76&gt;1.5,"Moderate + Slope",AD76&gt;0.5,"Sideway + Slope",AD76&gt;=-0.5,"Sideway Flat",AD76&gt;=-1.5,"Sideway - Slope",AD76&gt;=-3,"Moderate - Slope",TRUE,"Strong - Slope")</f>
        <v>Sideway + Slope</v>
      </c>
      <c r="AL76" s="1" t="str" cm="1">
        <f t="array" ref="AL76">_xlfn.IFS(AE76&gt;3,"Strong + Slope",AE76&gt;1.5,"Moderate + Slope",AE76&gt;0.5,"Sideway + Slope",AE76&gt;=-0.5,"Sideway Flat",AE76&gt;=-1.5,"Sideway - Slope",AE76&gt;=-3,"Moderate - Slope",TRUE,"Strong - Slope")</f>
        <v>Sideway Flat</v>
      </c>
      <c r="AM76" s="1" t="str" cm="1">
        <f t="array" ref="AM76">_xlfn.IFS(AF76&gt;3,"Strong + Slope",AF76&gt;1.5,"Moderate + Slope",AF76&gt;0.5,"Sideway + Slope",AF76&gt;=-0.5,"Sideway Flat",AF76&gt;=-1.5,"Sideway - Slope",AF76&gt;=-3,"Moderate - Slope",TRUE,"Strong - Slope")</f>
        <v>Moderate + Slope</v>
      </c>
    </row>
    <row r="77" spans="1:39" x14ac:dyDescent="0.55000000000000004">
      <c r="A77" s="1">
        <v>75</v>
      </c>
      <c r="B77" s="1" t="s">
        <v>77</v>
      </c>
      <c r="C77" s="1" t="s">
        <v>3</v>
      </c>
      <c r="D77" s="1" t="s">
        <v>102</v>
      </c>
      <c r="E77" s="1">
        <v>152.78700000000001</v>
      </c>
      <c r="F77" s="1">
        <v>152.75700000000001</v>
      </c>
      <c r="G77" s="1">
        <v>152.77000000000001</v>
      </c>
      <c r="H77" s="1">
        <v>152.85900000000001</v>
      </c>
      <c r="I77" s="1">
        <v>152.88399999999999</v>
      </c>
      <c r="J77" s="1">
        <v>153.15</v>
      </c>
      <c r="K77" s="1">
        <v>152.61699999999999</v>
      </c>
      <c r="L77" s="1">
        <v>152.58600000000001</v>
      </c>
      <c r="M77" s="1">
        <v>152.88499999999999</v>
      </c>
      <c r="N77" s="10">
        <f t="shared" si="17"/>
        <v>3.0000000000001137E-2</v>
      </c>
      <c r="O77" s="10">
        <f t="shared" si="18"/>
        <v>2.4000000000000909E-2</v>
      </c>
      <c r="P77" s="10">
        <f t="shared" si="19"/>
        <v>6.0000000000002274E-3</v>
      </c>
      <c r="Q77" s="10">
        <f t="shared" si="20"/>
        <v>3.0000000000001137E-2</v>
      </c>
      <c r="R77" s="10">
        <f t="shared" si="5"/>
        <v>3.700000000000208E-2</v>
      </c>
      <c r="S77" s="1"/>
      <c r="T77" s="2">
        <f>SLOPE(H64:H77,$A64:$A77)</f>
        <v>-2.4197802197795932E-3</v>
      </c>
      <c r="U77" s="2">
        <f>SLOPE(I64:I77,$A64:$A77)</f>
        <v>-3.5604395604565611E-4</v>
      </c>
      <c r="V77" s="2">
        <f>SLOPE(J64:J77,$A64:$A77)</f>
        <v>-1.6417582417581479E-3</v>
      </c>
      <c r="W77" s="2">
        <f>SLOPE(K64:K77,$A64:$A77)</f>
        <v>7.5384615384613035E-4</v>
      </c>
      <c r="X77" s="2">
        <f>SLOPE(L64:L77,$A64:$A77)</f>
        <v>-2.307692307682713E-4</v>
      </c>
      <c r="Y77" s="2">
        <f>SLOPE(M64:M77,$A64:$A77)</f>
        <v>1.5824175824170176E-3</v>
      </c>
      <c r="Z77" s="1"/>
      <c r="AA77" s="2">
        <f t="shared" si="7"/>
        <v>-3.7417847705130076</v>
      </c>
      <c r="AB77" s="2">
        <f t="shared" si="8"/>
        <v>-0.55132936145012457</v>
      </c>
      <c r="AC77" s="2">
        <f t="shared" si="9"/>
        <v>-2.5406528891476579</v>
      </c>
      <c r="AD77" s="2">
        <f t="shared" si="10"/>
        <v>1.167195351810447</v>
      </c>
      <c r="AE77" s="2">
        <f t="shared" si="11"/>
        <v>-0.35734950056253334</v>
      </c>
      <c r="AF77" s="2">
        <f t="shared" si="12"/>
        <v>2.4489359555053793</v>
      </c>
      <c r="AG77" s="1"/>
      <c r="AH77" s="1" t="str" cm="1">
        <f t="array" ref="AH77">_xlfn.IFS(AA77&gt;3,"Strong + Slope",AA77&gt;1.5,"Moderate + Slope",AA77&gt;0.5,"Sideway + Slope",AA77&gt;=-0.5,"Sideway Flat",AA77&gt;=-1.5,"Sideway - Slope",AA77&gt;=-3,"Moderate - Slope",TRUE,"Strong - Slope")</f>
        <v>Strong - Slope</v>
      </c>
      <c r="AI77" s="1" t="str" cm="1">
        <f t="array" ref="AI77">_xlfn.IFS(AB77&gt;3,"Strong + Slope",AB77&gt;1.5,"Moderate + Slope",AB77&gt;0.5,"Sideway + Slope",AB77&gt;=-0.5,"Sideway Flat",AB77&gt;=-1.5,"Sideway - Slope",AB77&gt;=-3,"Moderate - Slope",TRUE,"Strong - Slope")</f>
        <v>Sideway - Slope</v>
      </c>
      <c r="AJ77" s="1" t="str" cm="1">
        <f t="array" ref="AJ77">_xlfn.IFS(AC77&gt;3,"Strong + Slope",AC77&gt;1.5,"Moderate + Slope",AC77&gt;0.5,"Sideway + Slope",AC77&gt;=-0.5,"Sideway Flat",AC77&gt;=-1.5,"Sideway - Slope",AC77&gt;=-3,"Moderate - Slope",TRUE,"Strong - Slope")</f>
        <v>Moderate - Slope</v>
      </c>
      <c r="AK77" s="1" t="str" cm="1">
        <f t="array" ref="AK77">_xlfn.IFS(AD77&gt;3,"Strong + Slope",AD77&gt;1.5,"Moderate + Slope",AD77&gt;0.5,"Sideway + Slope",AD77&gt;=-0.5,"Sideway Flat",AD77&gt;=-1.5,"Sideway - Slope",AD77&gt;=-3,"Moderate - Slope",TRUE,"Strong - Slope")</f>
        <v>Sideway + Slope</v>
      </c>
      <c r="AL77" s="1" t="str" cm="1">
        <f t="array" ref="AL77">_xlfn.IFS(AE77&gt;3,"Strong + Slope",AE77&gt;1.5,"Moderate + Slope",AE77&gt;0.5,"Sideway + Slope",AE77&gt;=-0.5,"Sideway Flat",AE77&gt;=-1.5,"Sideway - Slope",AE77&gt;=-3,"Moderate - Slope",TRUE,"Strong - Slope")</f>
        <v>Sideway Flat</v>
      </c>
      <c r="AM77" s="1" t="str" cm="1">
        <f t="array" ref="AM77">_xlfn.IFS(AF77&gt;3,"Strong + Slope",AF77&gt;1.5,"Moderate + Slope",AF77&gt;0.5,"Sideway + Slope",AF77&gt;=-0.5,"Sideway Flat",AF77&gt;=-1.5,"Sideway - Slope",AF77&gt;=-3,"Moderate - Slope",TRUE,"Strong - Slope")</f>
        <v>Moderate + Slope</v>
      </c>
    </row>
    <row r="78" spans="1:39" x14ac:dyDescent="0.55000000000000004">
      <c r="A78" s="1">
        <v>76</v>
      </c>
      <c r="B78" s="1" t="s">
        <v>78</v>
      </c>
      <c r="C78" s="1" t="s">
        <v>3</v>
      </c>
      <c r="D78" s="1" t="s">
        <v>102</v>
      </c>
      <c r="E78" s="1">
        <v>152.78100000000001</v>
      </c>
      <c r="F78" s="1">
        <v>152.74700000000001</v>
      </c>
      <c r="G78" s="1">
        <v>152.77699999999999</v>
      </c>
      <c r="H78" s="1">
        <v>152.85599999999999</v>
      </c>
      <c r="I78" s="1">
        <v>152.88300000000001</v>
      </c>
      <c r="J78" s="1">
        <v>153.148</v>
      </c>
      <c r="K78" s="1">
        <v>152.61699999999999</v>
      </c>
      <c r="L78" s="1">
        <v>152.58600000000001</v>
      </c>
      <c r="M78" s="1">
        <v>152.887</v>
      </c>
      <c r="N78" s="10">
        <f t="shared" si="17"/>
        <v>3.3999999999991815E-2</v>
      </c>
      <c r="O78" s="10">
        <f t="shared" si="18"/>
        <v>1.099999999999568E-2</v>
      </c>
      <c r="P78" s="10">
        <f t="shared" si="19"/>
        <v>2.2999999999996135E-2</v>
      </c>
      <c r="Q78" s="10">
        <f t="shared" si="20"/>
        <v>3.3999999999991815E-2</v>
      </c>
      <c r="R78" s="10">
        <f t="shared" si="5"/>
        <v>3.6785714285715344E-2</v>
      </c>
      <c r="S78" s="1"/>
      <c r="T78" s="2">
        <f>SLOPE(H65:H78,$A65:$A78)</f>
        <v>-2.4461538461538453E-3</v>
      </c>
      <c r="U78" s="2">
        <f>SLOPE(I65:I78,$A65:$A78)</f>
        <v>-3.7582417582515828E-4</v>
      </c>
      <c r="V78" s="2">
        <f>SLOPE(J65:J78,$A65:$A78)</f>
        <v>-1.6351648351650846E-3</v>
      </c>
      <c r="W78" s="2">
        <f>SLOPE(K65:K78,$A65:$A78)</f>
        <v>7.450549450545048E-4</v>
      </c>
      <c r="X78" s="2">
        <f>SLOPE(L65:L78,$A65:$A78)</f>
        <v>-2.1538461538314521E-4</v>
      </c>
      <c r="Y78" s="2">
        <f>SLOPE(M65:M78,$A65:$A78)</f>
        <v>1.5802197802192051E-3</v>
      </c>
      <c r="Z78" s="1"/>
      <c r="AA78" s="2">
        <f t="shared" si="7"/>
        <v>-3.8044185805849828</v>
      </c>
      <c r="AB78" s="2">
        <f t="shared" si="8"/>
        <v>-0.58534652323280723</v>
      </c>
      <c r="AC78" s="2">
        <f t="shared" si="9"/>
        <v>-2.5451839852167408</v>
      </c>
      <c r="AD78" s="2">
        <f t="shared" si="10"/>
        <v>1.1603055391863959</v>
      </c>
      <c r="AE78" s="2">
        <f t="shared" si="11"/>
        <v>-0.33546958796295606</v>
      </c>
      <c r="AF78" s="2">
        <f t="shared" si="12"/>
        <v>2.4597671978773801</v>
      </c>
      <c r="AG78" s="1"/>
      <c r="AH78" s="1" t="str" cm="1">
        <f t="array" ref="AH78">_xlfn.IFS(AA78&gt;3,"Strong + Slope",AA78&gt;1.5,"Moderate + Slope",AA78&gt;0.5,"Sideway + Slope",AA78&gt;=-0.5,"Sideway Flat",AA78&gt;=-1.5,"Sideway - Slope",AA78&gt;=-3,"Moderate - Slope",TRUE,"Strong - Slope")</f>
        <v>Strong - Slope</v>
      </c>
      <c r="AI78" s="1" t="str" cm="1">
        <f t="array" ref="AI78">_xlfn.IFS(AB78&gt;3,"Strong + Slope",AB78&gt;1.5,"Moderate + Slope",AB78&gt;0.5,"Sideway + Slope",AB78&gt;=-0.5,"Sideway Flat",AB78&gt;=-1.5,"Sideway - Slope",AB78&gt;=-3,"Moderate - Slope",TRUE,"Strong - Slope")</f>
        <v>Sideway - Slope</v>
      </c>
      <c r="AJ78" s="1" t="str" cm="1">
        <f t="array" ref="AJ78">_xlfn.IFS(AC78&gt;3,"Strong + Slope",AC78&gt;1.5,"Moderate + Slope",AC78&gt;0.5,"Sideway + Slope",AC78&gt;=-0.5,"Sideway Flat",AC78&gt;=-1.5,"Sideway - Slope",AC78&gt;=-3,"Moderate - Slope",TRUE,"Strong - Slope")</f>
        <v>Moderate - Slope</v>
      </c>
      <c r="AK78" s="1" t="str" cm="1">
        <f t="array" ref="AK78">_xlfn.IFS(AD78&gt;3,"Strong + Slope",AD78&gt;1.5,"Moderate + Slope",AD78&gt;0.5,"Sideway + Slope",AD78&gt;=-0.5,"Sideway Flat",AD78&gt;=-1.5,"Sideway - Slope",AD78&gt;=-3,"Moderate - Slope",TRUE,"Strong - Slope")</f>
        <v>Sideway + Slope</v>
      </c>
      <c r="AL78" s="1" t="str" cm="1">
        <f t="array" ref="AL78">_xlfn.IFS(AE78&gt;3,"Strong + Slope",AE78&gt;1.5,"Moderate + Slope",AE78&gt;0.5,"Sideway + Slope",AE78&gt;=-0.5,"Sideway Flat",AE78&gt;=-1.5,"Sideway - Slope",AE78&gt;=-3,"Moderate - Slope",TRUE,"Strong - Slope")</f>
        <v>Sideway Flat</v>
      </c>
      <c r="AM78" s="1" t="str" cm="1">
        <f t="array" ref="AM78">_xlfn.IFS(AF78&gt;3,"Strong + Slope",AF78&gt;1.5,"Moderate + Slope",AF78&gt;0.5,"Sideway + Slope",AF78&gt;=-0.5,"Sideway Flat",AF78&gt;=-1.5,"Sideway - Slope",AF78&gt;=-3,"Moderate - Slope",TRUE,"Strong - Slope")</f>
        <v>Moderate + Slope</v>
      </c>
    </row>
    <row r="79" spans="1:39" x14ac:dyDescent="0.55000000000000004">
      <c r="A79" s="1">
        <v>77</v>
      </c>
      <c r="B79" s="1" t="s">
        <v>79</v>
      </c>
      <c r="C79" s="1" t="s">
        <v>3</v>
      </c>
      <c r="D79" s="1" t="s">
        <v>102</v>
      </c>
      <c r="E79" s="1">
        <v>152.83600000000001</v>
      </c>
      <c r="F79" s="1">
        <v>152.77699999999999</v>
      </c>
      <c r="G79" s="1">
        <v>152.80099999999999</v>
      </c>
      <c r="H79" s="1">
        <v>152.85400000000001</v>
      </c>
      <c r="I79" s="1">
        <v>152.88300000000001</v>
      </c>
      <c r="J79" s="1">
        <v>153.14599999999999</v>
      </c>
      <c r="K79" s="1">
        <v>152.61799999999999</v>
      </c>
      <c r="L79" s="1">
        <v>152.58500000000001</v>
      </c>
      <c r="M79" s="1">
        <v>152.88800000000001</v>
      </c>
      <c r="N79" s="10">
        <f t="shared" si="17"/>
        <v>5.9000000000025921E-2</v>
      </c>
      <c r="O79" s="10">
        <f t="shared" si="18"/>
        <v>5.9000000000025921E-2</v>
      </c>
      <c r="P79" s="10">
        <f t="shared" si="19"/>
        <v>0</v>
      </c>
      <c r="Q79" s="10">
        <f t="shared" si="20"/>
        <v>5.9000000000025921E-2</v>
      </c>
      <c r="R79" s="10">
        <f t="shared" si="5"/>
        <v>3.7285714285717732E-2</v>
      </c>
      <c r="S79" s="1"/>
      <c r="T79" s="2">
        <f>SLOPE(H66:H79,$A66:$A79)</f>
        <v>-2.4461538461533453E-3</v>
      </c>
      <c r="U79" s="2">
        <f>SLOPE(I66:I79,$A66:$A79)</f>
        <v>-3.7362637362665848E-4</v>
      </c>
      <c r="V79" s="2">
        <f>SLOPE(J66:J79,$A66:$A79)</f>
        <v>-1.6505494505497109E-3</v>
      </c>
      <c r="W79" s="2">
        <f>SLOPE(K66:K79,$A66:$A79)</f>
        <v>7.5384615384563064E-4</v>
      </c>
      <c r="X79" s="2">
        <f>SLOPE(L66:L79,$A66:$A79)</f>
        <v>-2.1538461538283288E-4</v>
      </c>
      <c r="Y79" s="2">
        <f>SLOPE(M66:M79,$A66:$A79)</f>
        <v>1.571428571428454E-3</v>
      </c>
      <c r="Z79" s="1"/>
      <c r="AA79" s="2">
        <f t="shared" si="7"/>
        <v>-3.7535483044287599</v>
      </c>
      <c r="AB79" s="2">
        <f t="shared" si="8"/>
        <v>-0.57412063187418061</v>
      </c>
      <c r="AC79" s="2">
        <f t="shared" si="9"/>
        <v>-2.5346923950696745</v>
      </c>
      <c r="AD79" s="2">
        <f t="shared" si="10"/>
        <v>1.1582537720400088</v>
      </c>
      <c r="AE79" s="2">
        <f t="shared" si="11"/>
        <v>-0.33097105439521157</v>
      </c>
      <c r="AF79" s="2">
        <f t="shared" si="12"/>
        <v>2.4133364328494902</v>
      </c>
      <c r="AG79" s="1"/>
      <c r="AH79" s="1" t="str" cm="1">
        <f t="array" ref="AH79">_xlfn.IFS(AA79&gt;3,"Strong + Slope",AA79&gt;1.5,"Moderate + Slope",AA79&gt;0.5,"Sideway + Slope",AA79&gt;=-0.5,"Sideway Flat",AA79&gt;=-1.5,"Sideway - Slope",AA79&gt;=-3,"Moderate - Slope",TRUE,"Strong - Slope")</f>
        <v>Strong - Slope</v>
      </c>
      <c r="AI79" s="1" t="str" cm="1">
        <f t="array" ref="AI79">_xlfn.IFS(AB79&gt;3,"Strong + Slope",AB79&gt;1.5,"Moderate + Slope",AB79&gt;0.5,"Sideway + Slope",AB79&gt;=-0.5,"Sideway Flat",AB79&gt;=-1.5,"Sideway - Slope",AB79&gt;=-3,"Moderate - Slope",TRUE,"Strong - Slope")</f>
        <v>Sideway - Slope</v>
      </c>
      <c r="AJ79" s="1" t="str" cm="1">
        <f t="array" ref="AJ79">_xlfn.IFS(AC79&gt;3,"Strong + Slope",AC79&gt;1.5,"Moderate + Slope",AC79&gt;0.5,"Sideway + Slope",AC79&gt;=-0.5,"Sideway Flat",AC79&gt;=-1.5,"Sideway - Slope",AC79&gt;=-3,"Moderate - Slope",TRUE,"Strong - Slope")</f>
        <v>Moderate - Slope</v>
      </c>
      <c r="AK79" s="1" t="str" cm="1">
        <f t="array" ref="AK79">_xlfn.IFS(AD79&gt;3,"Strong + Slope",AD79&gt;1.5,"Moderate + Slope",AD79&gt;0.5,"Sideway + Slope",AD79&gt;=-0.5,"Sideway Flat",AD79&gt;=-1.5,"Sideway - Slope",AD79&gt;=-3,"Moderate - Slope",TRUE,"Strong - Slope")</f>
        <v>Sideway + Slope</v>
      </c>
      <c r="AL79" s="1" t="str" cm="1">
        <f t="array" ref="AL79">_xlfn.IFS(AE79&gt;3,"Strong + Slope",AE79&gt;1.5,"Moderate + Slope",AE79&gt;0.5,"Sideway + Slope",AE79&gt;=-0.5,"Sideway Flat",AE79&gt;=-1.5,"Sideway - Slope",AE79&gt;=-3,"Moderate - Slope",TRUE,"Strong - Slope")</f>
        <v>Sideway Flat</v>
      </c>
      <c r="AM79" s="1" t="str" cm="1">
        <f t="array" ref="AM79">_xlfn.IFS(AF79&gt;3,"Strong + Slope",AF79&gt;1.5,"Moderate + Slope",AF79&gt;0.5,"Sideway + Slope",AF79&gt;=-0.5,"Sideway Flat",AF79&gt;=-1.5,"Sideway - Slope",AF79&gt;=-3,"Moderate - Slope",TRUE,"Strong - Slope")</f>
        <v>Moderate + Slope</v>
      </c>
    </row>
    <row r="80" spans="1:39" x14ac:dyDescent="0.55000000000000004">
      <c r="A80" s="1">
        <v>78</v>
      </c>
      <c r="B80" s="1" t="s">
        <v>80</v>
      </c>
      <c r="C80" s="1" t="s">
        <v>3</v>
      </c>
      <c r="D80" s="1" t="s">
        <v>102</v>
      </c>
      <c r="E80" s="1">
        <v>152.815</v>
      </c>
      <c r="F80" s="1">
        <v>152.80099999999999</v>
      </c>
      <c r="G80" s="1">
        <v>152.81200000000001</v>
      </c>
      <c r="H80" s="1">
        <v>152.852</v>
      </c>
      <c r="I80" s="1">
        <v>152.88200000000001</v>
      </c>
      <c r="J80" s="1">
        <v>153.14500000000001</v>
      </c>
      <c r="K80" s="1">
        <v>152.619</v>
      </c>
      <c r="L80" s="1">
        <v>152.58500000000001</v>
      </c>
      <c r="M80" s="1">
        <v>152.88999999999999</v>
      </c>
      <c r="N80" s="10">
        <f t="shared" si="17"/>
        <v>1.4000000000010004E-2</v>
      </c>
      <c r="O80" s="10">
        <f t="shared" si="18"/>
        <v>1.4000000000010004E-2</v>
      </c>
      <c r="P80" s="10">
        <f t="shared" si="19"/>
        <v>0</v>
      </c>
      <c r="Q80" s="10">
        <f t="shared" si="20"/>
        <v>1.4000000000010004E-2</v>
      </c>
      <c r="R80" s="10">
        <f t="shared" si="5"/>
        <v>3.4214285714288702E-2</v>
      </c>
      <c r="S80" s="1"/>
      <c r="T80" s="2">
        <f>SLOPE(H67:H80,$A67:$A80)</f>
        <v>-2.419780219779843E-3</v>
      </c>
      <c r="U80" s="2">
        <f>SLOPE(I67:I80,$A67:$A80)</f>
        <v>-3.7802197802172164E-4</v>
      </c>
      <c r="V80" s="2">
        <f>SLOPE(J67:J80,$A67:$A80)</f>
        <v>-1.6263736263732716E-3</v>
      </c>
      <c r="W80" s="2">
        <f>SLOPE(K67:K80,$A67:$A80)</f>
        <v>7.4725274725231754E-4</v>
      </c>
      <c r="X80" s="2">
        <f>SLOPE(L67:L80,$A67:$A80)</f>
        <v>-2.3076923076733433E-4</v>
      </c>
      <c r="Y80" s="2">
        <f>SLOPE(M67:M80,$A67:$A80)</f>
        <v>1.5890109890102058E-3</v>
      </c>
      <c r="Z80" s="1"/>
      <c r="AA80" s="2">
        <f t="shared" si="7"/>
        <v>-4.0454658495044429</v>
      </c>
      <c r="AB80" s="2">
        <f t="shared" si="8"/>
        <v>-0.63301577654514163</v>
      </c>
      <c r="AC80" s="2">
        <f t="shared" si="9"/>
        <v>-2.7215022105480875</v>
      </c>
      <c r="AD80" s="2">
        <f t="shared" si="10"/>
        <v>1.2511622610315858</v>
      </c>
      <c r="AE80" s="2">
        <f t="shared" si="11"/>
        <v>-0.38644391344823303</v>
      </c>
      <c r="AF80" s="2">
        <f t="shared" si="12"/>
        <v>2.6590720014436782</v>
      </c>
      <c r="AG80" s="1"/>
      <c r="AH80" s="1" t="str" cm="1">
        <f t="array" ref="AH80">_xlfn.IFS(AA80&gt;3,"Strong + Slope",AA80&gt;1.5,"Moderate + Slope",AA80&gt;0.5,"Sideway + Slope",AA80&gt;=-0.5,"Sideway Flat",AA80&gt;=-1.5,"Sideway - Slope",AA80&gt;=-3,"Moderate - Slope",TRUE,"Strong - Slope")</f>
        <v>Strong - Slope</v>
      </c>
      <c r="AI80" s="1" t="str" cm="1">
        <f t="array" ref="AI80">_xlfn.IFS(AB80&gt;3,"Strong + Slope",AB80&gt;1.5,"Moderate + Slope",AB80&gt;0.5,"Sideway + Slope",AB80&gt;=-0.5,"Sideway Flat",AB80&gt;=-1.5,"Sideway - Slope",AB80&gt;=-3,"Moderate - Slope",TRUE,"Strong - Slope")</f>
        <v>Sideway - Slope</v>
      </c>
      <c r="AJ80" s="1" t="str" cm="1">
        <f t="array" ref="AJ80">_xlfn.IFS(AC80&gt;3,"Strong + Slope",AC80&gt;1.5,"Moderate + Slope",AC80&gt;0.5,"Sideway + Slope",AC80&gt;=-0.5,"Sideway Flat",AC80&gt;=-1.5,"Sideway - Slope",AC80&gt;=-3,"Moderate - Slope",TRUE,"Strong - Slope")</f>
        <v>Moderate - Slope</v>
      </c>
      <c r="AK80" s="1" t="str" cm="1">
        <f t="array" ref="AK80">_xlfn.IFS(AD80&gt;3,"Strong + Slope",AD80&gt;1.5,"Moderate + Slope",AD80&gt;0.5,"Sideway + Slope",AD80&gt;=-0.5,"Sideway Flat",AD80&gt;=-1.5,"Sideway - Slope",AD80&gt;=-3,"Moderate - Slope",TRUE,"Strong - Slope")</f>
        <v>Sideway + Slope</v>
      </c>
      <c r="AL80" s="1" t="str" cm="1">
        <f t="array" ref="AL80">_xlfn.IFS(AE80&gt;3,"Strong + Slope",AE80&gt;1.5,"Moderate + Slope",AE80&gt;0.5,"Sideway + Slope",AE80&gt;=-0.5,"Sideway Flat",AE80&gt;=-1.5,"Sideway - Slope",AE80&gt;=-3,"Moderate - Slope",TRUE,"Strong - Slope")</f>
        <v>Sideway Flat</v>
      </c>
      <c r="AM80" s="1" t="str" cm="1">
        <f t="array" ref="AM80">_xlfn.IFS(AF80&gt;3,"Strong + Slope",AF80&gt;1.5,"Moderate + Slope",AF80&gt;0.5,"Sideway + Slope",AF80&gt;=-0.5,"Sideway Flat",AF80&gt;=-1.5,"Sideway - Slope",AF80&gt;=-3,"Moderate - Slope",TRUE,"Strong - Slope")</f>
        <v>Moderate + Slope</v>
      </c>
    </row>
    <row r="81" spans="1:39" x14ac:dyDescent="0.55000000000000004">
      <c r="A81" s="1">
        <v>79</v>
      </c>
      <c r="B81" s="1" t="s">
        <v>81</v>
      </c>
      <c r="C81" s="1" t="s">
        <v>3</v>
      </c>
      <c r="D81" s="1" t="s">
        <v>102</v>
      </c>
      <c r="E81" s="1">
        <v>152.81899999999999</v>
      </c>
      <c r="F81" s="1">
        <v>152.786</v>
      </c>
      <c r="G81" s="1">
        <v>152.786</v>
      </c>
      <c r="H81" s="1">
        <v>152.84899999999999</v>
      </c>
      <c r="I81" s="1">
        <v>152.88200000000001</v>
      </c>
      <c r="J81" s="1">
        <v>153.143</v>
      </c>
      <c r="K81" s="1">
        <v>152.62</v>
      </c>
      <c r="L81" s="1">
        <v>152.58500000000001</v>
      </c>
      <c r="M81" s="1">
        <v>152.89099999999999</v>
      </c>
      <c r="N81" s="10">
        <f t="shared" si="17"/>
        <v>3.299999999998704E-2</v>
      </c>
      <c r="O81" s="10">
        <f t="shared" si="18"/>
        <v>6.9999999999765805E-3</v>
      </c>
      <c r="P81" s="10">
        <f t="shared" si="19"/>
        <v>2.6000000000010459E-2</v>
      </c>
      <c r="Q81" s="10">
        <f t="shared" si="20"/>
        <v>3.299999999998704E-2</v>
      </c>
      <c r="R81" s="10">
        <f t="shared" ref="R81:R101" si="21">AVERAGE(Q68:Q81)</f>
        <v>3.3714285714288347E-2</v>
      </c>
      <c r="S81" s="1"/>
      <c r="T81" s="2">
        <f>SLOPE(H68:H81,$A68:$A81)</f>
        <v>-2.428571428571156E-3</v>
      </c>
      <c r="U81" s="2">
        <f>SLOPE(I68:I81,$A68:$A81)</f>
        <v>-3.8901098901034787E-4</v>
      </c>
      <c r="V81" s="2">
        <f>SLOPE(J68:J81,$A68:$A81)</f>
        <v>-1.6241758241754588E-3</v>
      </c>
      <c r="W81" s="2">
        <f>SLOPE(K68:K81,$A68:$A81)</f>
        <v>7.5384615384613035E-4</v>
      </c>
      <c r="X81" s="2">
        <f>SLOPE(L68:L81,$A68:$A81)</f>
        <v>-2.3296703296508454E-4</v>
      </c>
      <c r="Y81" s="2">
        <f>SLOPE(M68:M81,$A68:$A81)</f>
        <v>1.5714285714274545E-3</v>
      </c>
      <c r="Z81" s="1"/>
      <c r="AA81" s="2">
        <f t="shared" si="7"/>
        <v>-4.1201219125163586</v>
      </c>
      <c r="AB81" s="2">
        <f t="shared" si="8"/>
        <v>-0.66107581158428774</v>
      </c>
      <c r="AC81" s="2">
        <f t="shared" si="9"/>
        <v>-2.7580750401336984</v>
      </c>
      <c r="AD81" s="2">
        <f t="shared" si="10"/>
        <v>1.2809112249908332</v>
      </c>
      <c r="AE81" s="2">
        <f t="shared" si="11"/>
        <v>-0.39590977616216033</v>
      </c>
      <c r="AF81" s="2">
        <f t="shared" si="12"/>
        <v>2.6686345693421729</v>
      </c>
      <c r="AG81" s="1"/>
      <c r="AH81" s="1" t="str" cm="1">
        <f t="array" ref="AH81">_xlfn.IFS(AA81&gt;3,"Strong + Slope",AA81&gt;1.5,"Moderate + Slope",AA81&gt;0.5,"Sideway + Slope",AA81&gt;=-0.5,"Sideway Flat",AA81&gt;=-1.5,"Sideway - Slope",AA81&gt;=-3,"Moderate - Slope",TRUE,"Strong - Slope")</f>
        <v>Strong - Slope</v>
      </c>
      <c r="AI81" s="1" t="str" cm="1">
        <f t="array" ref="AI81">_xlfn.IFS(AB81&gt;3,"Strong + Slope",AB81&gt;1.5,"Moderate + Slope",AB81&gt;0.5,"Sideway + Slope",AB81&gt;=-0.5,"Sideway Flat",AB81&gt;=-1.5,"Sideway - Slope",AB81&gt;=-3,"Moderate - Slope",TRUE,"Strong - Slope")</f>
        <v>Sideway - Slope</v>
      </c>
      <c r="AJ81" s="1" t="str" cm="1">
        <f t="array" ref="AJ81">_xlfn.IFS(AC81&gt;3,"Strong + Slope",AC81&gt;1.5,"Moderate + Slope",AC81&gt;0.5,"Sideway + Slope",AC81&gt;=-0.5,"Sideway Flat",AC81&gt;=-1.5,"Sideway - Slope",AC81&gt;=-3,"Moderate - Slope",TRUE,"Strong - Slope")</f>
        <v>Moderate - Slope</v>
      </c>
      <c r="AK81" s="1" t="str" cm="1">
        <f t="array" ref="AK81">_xlfn.IFS(AD81&gt;3,"Strong + Slope",AD81&gt;1.5,"Moderate + Slope",AD81&gt;0.5,"Sideway + Slope",AD81&gt;=-0.5,"Sideway Flat",AD81&gt;=-1.5,"Sideway - Slope",AD81&gt;=-3,"Moderate - Slope",TRUE,"Strong - Slope")</f>
        <v>Sideway + Slope</v>
      </c>
      <c r="AL81" s="1" t="str" cm="1">
        <f t="array" ref="AL81">_xlfn.IFS(AE81&gt;3,"Strong + Slope",AE81&gt;1.5,"Moderate + Slope",AE81&gt;0.5,"Sideway + Slope",AE81&gt;=-0.5,"Sideway Flat",AE81&gt;=-1.5,"Sideway - Slope",AE81&gt;=-3,"Moderate - Slope",TRUE,"Strong - Slope")</f>
        <v>Sideway Flat</v>
      </c>
      <c r="AM81" s="1" t="str" cm="1">
        <f t="array" ref="AM81">_xlfn.IFS(AF81&gt;3,"Strong + Slope",AF81&gt;1.5,"Moderate + Slope",AF81&gt;0.5,"Sideway + Slope",AF81&gt;=-0.5,"Sideway Flat",AF81&gt;=-1.5,"Sideway - Slope",AF81&gt;=-3,"Moderate - Slope",TRUE,"Strong - Slope")</f>
        <v>Moderate + Slope</v>
      </c>
    </row>
    <row r="82" spans="1:39" x14ac:dyDescent="0.55000000000000004">
      <c r="A82" s="1">
        <v>80</v>
      </c>
      <c r="B82" s="1" t="s">
        <v>82</v>
      </c>
      <c r="C82" s="1" t="s">
        <v>3</v>
      </c>
      <c r="D82" s="1" t="s">
        <v>102</v>
      </c>
      <c r="E82" s="1">
        <v>152.816</v>
      </c>
      <c r="F82" s="1">
        <v>152.786</v>
      </c>
      <c r="G82" s="1">
        <v>152.81399999999999</v>
      </c>
      <c r="H82" s="1">
        <v>152.84700000000001</v>
      </c>
      <c r="I82" s="1">
        <v>152.88200000000001</v>
      </c>
      <c r="J82" s="1">
        <v>153.14099999999999</v>
      </c>
      <c r="K82" s="1">
        <v>152.62100000000001</v>
      </c>
      <c r="L82" s="1">
        <v>152.58500000000001</v>
      </c>
      <c r="M82" s="1">
        <v>152.893</v>
      </c>
      <c r="N82" s="10">
        <f t="shared" si="17"/>
        <v>3.0000000000001137E-2</v>
      </c>
      <c r="O82" s="10">
        <f t="shared" si="18"/>
        <v>3.0000000000001137E-2</v>
      </c>
      <c r="P82" s="10">
        <f t="shared" si="19"/>
        <v>0</v>
      </c>
      <c r="Q82" s="10">
        <f t="shared" si="20"/>
        <v>3.0000000000001137E-2</v>
      </c>
      <c r="R82" s="10">
        <f t="shared" si="21"/>
        <v>3.1928571428573652E-2</v>
      </c>
      <c r="S82" s="1"/>
      <c r="T82" s="2">
        <f>SLOPE(H69:H82,$A69:$A82)</f>
        <v>-2.4109890109885296E-3</v>
      </c>
      <c r="U82" s="2">
        <f>SLOPE(I69:I82,$A69:$A82)</f>
        <v>-3.7802197802097208E-4</v>
      </c>
      <c r="V82" s="2">
        <f>SLOPE(J69:J82,$A69:$A82)</f>
        <v>-1.6439560439562729E-3</v>
      </c>
      <c r="W82" s="2">
        <f>SLOPE(K69:K82,$A69:$A82)</f>
        <v>7.7362637362706919E-4</v>
      </c>
      <c r="X82" s="2">
        <f>SLOPE(L69:L82,$A69:$A82)</f>
        <v>-2.2197802197608356E-4</v>
      </c>
      <c r="Y82" s="2">
        <f>SLOPE(M69:M82,$A69:$A82)</f>
        <v>1.5802197802189551E-3</v>
      </c>
      <c r="Z82" s="1"/>
      <c r="AA82" s="2">
        <f t="shared" ref="AA82:AA101" si="22">DEGREES(ATAN(T82/$R82))</f>
        <v>-4.3183212881680939</v>
      </c>
      <c r="AB82" s="2">
        <f t="shared" ref="AB82:AB101" si="23">DEGREES(ATAN(U82/$R82))</f>
        <v>-0.67832824925974844</v>
      </c>
      <c r="AC82" s="2">
        <f t="shared" ref="AC82:AC101" si="24">DEGREES(ATAN(V82/$R82))</f>
        <v>-2.9474741467035472</v>
      </c>
      <c r="AD82" s="2">
        <f t="shared" ref="AD82:AD101" si="25">DEGREES(ATAN(W82/$R82))</f>
        <v>1.3879999281210176</v>
      </c>
      <c r="AE82" s="2">
        <f t="shared" ref="AE82:AE101" si="26">DEGREES(ATAN(X82/$R82))</f>
        <v>-0.39833285131325163</v>
      </c>
      <c r="AF82" s="2">
        <f t="shared" ref="AF82:AF101" si="27">DEGREES(ATAN(Y82/$R82))</f>
        <v>2.8333903746986255</v>
      </c>
      <c r="AG82" s="1"/>
      <c r="AH82" s="1" t="str" cm="1">
        <f t="array" ref="AH82">_xlfn.IFS(AA82&gt;3,"Strong + Slope",AA82&gt;1.5,"Moderate + Slope",AA82&gt;0.5,"Sideway + Slope",AA82&gt;=-0.5,"Sideway Flat",AA82&gt;=-1.5,"Sideway - Slope",AA82&gt;=-3,"Moderate - Slope",TRUE,"Strong - Slope")</f>
        <v>Strong - Slope</v>
      </c>
      <c r="AI82" s="1" t="str" cm="1">
        <f t="array" ref="AI82">_xlfn.IFS(AB82&gt;3,"Strong + Slope",AB82&gt;1.5,"Moderate + Slope",AB82&gt;0.5,"Sideway + Slope",AB82&gt;=-0.5,"Sideway Flat",AB82&gt;=-1.5,"Sideway - Slope",AB82&gt;=-3,"Moderate - Slope",TRUE,"Strong - Slope")</f>
        <v>Sideway - Slope</v>
      </c>
      <c r="AJ82" s="1" t="str" cm="1">
        <f t="array" ref="AJ82">_xlfn.IFS(AC82&gt;3,"Strong + Slope",AC82&gt;1.5,"Moderate + Slope",AC82&gt;0.5,"Sideway + Slope",AC82&gt;=-0.5,"Sideway Flat",AC82&gt;=-1.5,"Sideway - Slope",AC82&gt;=-3,"Moderate - Slope",TRUE,"Strong - Slope")</f>
        <v>Moderate - Slope</v>
      </c>
      <c r="AK82" s="1" t="str" cm="1">
        <f t="array" ref="AK82">_xlfn.IFS(AD82&gt;3,"Strong + Slope",AD82&gt;1.5,"Moderate + Slope",AD82&gt;0.5,"Sideway + Slope",AD82&gt;=-0.5,"Sideway Flat",AD82&gt;=-1.5,"Sideway - Slope",AD82&gt;=-3,"Moderate - Slope",TRUE,"Strong - Slope")</f>
        <v>Sideway + Slope</v>
      </c>
      <c r="AL82" s="1" t="str" cm="1">
        <f t="array" ref="AL82">_xlfn.IFS(AE82&gt;3,"Strong + Slope",AE82&gt;1.5,"Moderate + Slope",AE82&gt;0.5,"Sideway + Slope",AE82&gt;=-0.5,"Sideway Flat",AE82&gt;=-1.5,"Sideway - Slope",AE82&gt;=-3,"Moderate - Slope",TRUE,"Strong - Slope")</f>
        <v>Sideway Flat</v>
      </c>
      <c r="AM82" s="1" t="str" cm="1">
        <f t="array" ref="AM82">_xlfn.IFS(AF82&gt;3,"Strong + Slope",AF82&gt;1.5,"Moderate + Slope",AF82&gt;0.5,"Sideway + Slope",AF82&gt;=-0.5,"Sideway Flat",AF82&gt;=-1.5,"Sideway - Slope",AF82&gt;=-3,"Moderate - Slope",TRUE,"Strong - Slope")</f>
        <v>Moderate + Slope</v>
      </c>
    </row>
    <row r="83" spans="1:39" x14ac:dyDescent="0.55000000000000004">
      <c r="A83" s="1">
        <v>81</v>
      </c>
      <c r="B83" s="1" t="s">
        <v>83</v>
      </c>
      <c r="C83" s="1" t="s">
        <v>3</v>
      </c>
      <c r="D83" s="1" t="s">
        <v>102</v>
      </c>
      <c r="E83" s="1">
        <v>152.81800000000001</v>
      </c>
      <c r="F83" s="1">
        <v>152.78700000000001</v>
      </c>
      <c r="G83" s="1">
        <v>152.78700000000001</v>
      </c>
      <c r="H83" s="1">
        <v>152.84399999999999</v>
      </c>
      <c r="I83" s="1">
        <v>152.881</v>
      </c>
      <c r="J83" s="1">
        <v>153.13999999999999</v>
      </c>
      <c r="K83" s="1">
        <v>152.62100000000001</v>
      </c>
      <c r="L83" s="1">
        <v>152.584</v>
      </c>
      <c r="M83" s="1">
        <v>152.89400000000001</v>
      </c>
      <c r="N83" s="10">
        <f t="shared" si="17"/>
        <v>3.1000000000005912E-2</v>
      </c>
      <c r="O83" s="10">
        <f t="shared" si="18"/>
        <v>4.0000000000190994E-3</v>
      </c>
      <c r="P83" s="10">
        <f t="shared" si="19"/>
        <v>2.6999999999986812E-2</v>
      </c>
      <c r="Q83" s="10">
        <f t="shared" si="20"/>
        <v>3.1000000000005912E-2</v>
      </c>
      <c r="R83" s="10">
        <f t="shared" si="21"/>
        <v>3.3071428571432193E-2</v>
      </c>
      <c r="S83" s="1"/>
      <c r="T83" s="2">
        <f>SLOPE(H70:H83,$A70:$A83)</f>
        <v>-2.4285714285716561E-3</v>
      </c>
      <c r="U83" s="2">
        <f>SLOPE(I70:I83,$A70:$A83)</f>
        <v>-3.736263736251593E-4</v>
      </c>
      <c r="V83" s="2">
        <f>SLOPE(J70:J83,$A70:$A83)</f>
        <v>-1.6241758241760211E-3</v>
      </c>
      <c r="W83" s="2">
        <f>SLOPE(K70:K83,$A70:$A83)</f>
        <v>7.7802197802263212E-4</v>
      </c>
      <c r="X83" s="2">
        <f>SLOPE(L70:L83,$A70:$A83)</f>
        <v>-2.2637362637189634E-4</v>
      </c>
      <c r="Y83" s="2">
        <f>SLOPE(M70:M83,$A70:$A83)</f>
        <v>1.5538461538459525E-3</v>
      </c>
      <c r="Z83" s="1"/>
      <c r="AA83" s="2">
        <f t="shared" si="22"/>
        <v>-4.1999268084304324</v>
      </c>
      <c r="AB83" s="2">
        <f t="shared" si="23"/>
        <v>-0.64727483962241139</v>
      </c>
      <c r="AC83" s="2">
        <f t="shared" si="24"/>
        <v>-2.8116025219919889</v>
      </c>
      <c r="AD83" s="2">
        <f t="shared" si="25"/>
        <v>1.3476634240519636</v>
      </c>
      <c r="AE83" s="2">
        <f t="shared" si="26"/>
        <v>-0.39218296218672449</v>
      </c>
      <c r="AF83" s="2">
        <f t="shared" si="27"/>
        <v>2.6900380572797493</v>
      </c>
      <c r="AG83" s="1"/>
      <c r="AH83" s="1" t="str" cm="1">
        <f t="array" ref="AH83">_xlfn.IFS(AA83&gt;3,"Strong + Slope",AA83&gt;1.5,"Moderate + Slope",AA83&gt;0.5,"Sideway + Slope",AA83&gt;=-0.5,"Sideway Flat",AA83&gt;=-1.5,"Sideway - Slope",AA83&gt;=-3,"Moderate - Slope",TRUE,"Strong - Slope")</f>
        <v>Strong - Slope</v>
      </c>
      <c r="AI83" s="1" t="str" cm="1">
        <f t="array" ref="AI83">_xlfn.IFS(AB83&gt;3,"Strong + Slope",AB83&gt;1.5,"Moderate + Slope",AB83&gt;0.5,"Sideway + Slope",AB83&gt;=-0.5,"Sideway Flat",AB83&gt;=-1.5,"Sideway - Slope",AB83&gt;=-3,"Moderate - Slope",TRUE,"Strong - Slope")</f>
        <v>Sideway - Slope</v>
      </c>
      <c r="AJ83" s="1" t="str" cm="1">
        <f t="array" ref="AJ83">_xlfn.IFS(AC83&gt;3,"Strong + Slope",AC83&gt;1.5,"Moderate + Slope",AC83&gt;0.5,"Sideway + Slope",AC83&gt;=-0.5,"Sideway Flat",AC83&gt;=-1.5,"Sideway - Slope",AC83&gt;=-3,"Moderate - Slope",TRUE,"Strong - Slope")</f>
        <v>Moderate - Slope</v>
      </c>
      <c r="AK83" s="1" t="str" cm="1">
        <f t="array" ref="AK83">_xlfn.IFS(AD83&gt;3,"Strong + Slope",AD83&gt;1.5,"Moderate + Slope",AD83&gt;0.5,"Sideway + Slope",AD83&gt;=-0.5,"Sideway Flat",AD83&gt;=-1.5,"Sideway - Slope",AD83&gt;=-3,"Moderate - Slope",TRUE,"Strong - Slope")</f>
        <v>Sideway + Slope</v>
      </c>
      <c r="AL83" s="1" t="str" cm="1">
        <f t="array" ref="AL83">_xlfn.IFS(AE83&gt;3,"Strong + Slope",AE83&gt;1.5,"Moderate + Slope",AE83&gt;0.5,"Sideway + Slope",AE83&gt;=-0.5,"Sideway Flat",AE83&gt;=-1.5,"Sideway - Slope",AE83&gt;=-3,"Moderate - Slope",TRUE,"Strong - Slope")</f>
        <v>Sideway Flat</v>
      </c>
      <c r="AM83" s="1" t="str" cm="1">
        <f t="array" ref="AM83">_xlfn.IFS(AF83&gt;3,"Strong + Slope",AF83&gt;1.5,"Moderate + Slope",AF83&gt;0.5,"Sideway + Slope",AF83&gt;=-0.5,"Sideway Flat",AF83&gt;=-1.5,"Sideway - Slope",AF83&gt;=-3,"Moderate - Slope",TRUE,"Strong - Slope")</f>
        <v>Moderate + Slope</v>
      </c>
    </row>
    <row r="84" spans="1:39" x14ac:dyDescent="0.55000000000000004">
      <c r="A84" s="1">
        <v>82</v>
      </c>
      <c r="B84" s="1" t="s">
        <v>84</v>
      </c>
      <c r="C84" s="1" t="s">
        <v>3</v>
      </c>
      <c r="D84" s="1" t="s">
        <v>102</v>
      </c>
      <c r="E84" s="1">
        <v>152.79</v>
      </c>
      <c r="F84" s="1">
        <v>152.71899999999999</v>
      </c>
      <c r="G84" s="1">
        <v>152.72999999999999</v>
      </c>
      <c r="H84" s="1">
        <v>152.84200000000001</v>
      </c>
      <c r="I84" s="1">
        <v>152.881</v>
      </c>
      <c r="J84" s="1">
        <v>153.13800000000001</v>
      </c>
      <c r="K84" s="1">
        <v>152.62200000000001</v>
      </c>
      <c r="L84" s="1">
        <v>152.584</v>
      </c>
      <c r="M84" s="1">
        <v>152.89599999999999</v>
      </c>
      <c r="N84" s="10">
        <f t="shared" si="17"/>
        <v>7.0999999999997954E-2</v>
      </c>
      <c r="O84" s="10">
        <f t="shared" si="18"/>
        <v>2.9999999999859028E-3</v>
      </c>
      <c r="P84" s="10">
        <f t="shared" si="19"/>
        <v>6.8000000000012051E-2</v>
      </c>
      <c r="Q84" s="10">
        <f t="shared" si="20"/>
        <v>7.0999999999997954E-2</v>
      </c>
      <c r="R84" s="10">
        <f t="shared" si="21"/>
        <v>3.7142857142859906E-2</v>
      </c>
      <c r="S84" s="1"/>
      <c r="T84" s="2">
        <f>SLOPE(H71:H84,$A71:$A84)</f>
        <v>-2.4197802197800304E-3</v>
      </c>
      <c r="U84" s="2">
        <f>SLOPE(I71:I84,$A71:$A84)</f>
        <v>-3.7582417582290953E-4</v>
      </c>
      <c r="V84" s="2">
        <f>SLOPE(J71:J84,$A71:$A84)</f>
        <v>-1.6263736263734589E-3</v>
      </c>
      <c r="W84" s="2">
        <f>SLOPE(K71:K84,$A71:$A84)</f>
        <v>7.6703296703363119E-4</v>
      </c>
      <c r="X84" s="2">
        <f>SLOPE(L71:L84,$A71:$A84)</f>
        <v>-2.4615384615252287E-4</v>
      </c>
      <c r="Y84" s="2">
        <f>SLOPE(M71:M84,$A71:$A84)</f>
        <v>1.5538461538454527E-3</v>
      </c>
      <c r="Z84" s="1"/>
      <c r="AA84" s="2">
        <f t="shared" si="22"/>
        <v>-3.7274339401108274</v>
      </c>
      <c r="AB84" s="2">
        <f t="shared" si="23"/>
        <v>-0.57971857726120768</v>
      </c>
      <c r="AC84" s="2">
        <f t="shared" si="24"/>
        <v>-2.5072077425717585</v>
      </c>
      <c r="AD84" s="2">
        <f t="shared" si="25"/>
        <v>1.1830405474839183</v>
      </c>
      <c r="AE84" s="2">
        <f t="shared" si="26"/>
        <v>-0.3797061160411952</v>
      </c>
      <c r="AF84" s="2">
        <f t="shared" si="27"/>
        <v>2.395533116892373</v>
      </c>
      <c r="AG84" s="1"/>
      <c r="AH84" s="1" t="str" cm="1">
        <f t="array" ref="AH84">_xlfn.IFS(AA84&gt;3,"Strong + Slope",AA84&gt;1.5,"Moderate + Slope",AA84&gt;0.5,"Sideway + Slope",AA84&gt;=-0.5,"Sideway Flat",AA84&gt;=-1.5,"Sideway - Slope",AA84&gt;=-3,"Moderate - Slope",TRUE,"Strong - Slope")</f>
        <v>Strong - Slope</v>
      </c>
      <c r="AI84" s="1" t="str" cm="1">
        <f t="array" ref="AI84">_xlfn.IFS(AB84&gt;3,"Strong + Slope",AB84&gt;1.5,"Moderate + Slope",AB84&gt;0.5,"Sideway + Slope",AB84&gt;=-0.5,"Sideway Flat",AB84&gt;=-1.5,"Sideway - Slope",AB84&gt;=-3,"Moderate - Slope",TRUE,"Strong - Slope")</f>
        <v>Sideway - Slope</v>
      </c>
      <c r="AJ84" s="1" t="str" cm="1">
        <f t="array" ref="AJ84">_xlfn.IFS(AC84&gt;3,"Strong + Slope",AC84&gt;1.5,"Moderate + Slope",AC84&gt;0.5,"Sideway + Slope",AC84&gt;=-0.5,"Sideway Flat",AC84&gt;=-1.5,"Sideway - Slope",AC84&gt;=-3,"Moderate - Slope",TRUE,"Strong - Slope")</f>
        <v>Moderate - Slope</v>
      </c>
      <c r="AK84" s="1" t="str" cm="1">
        <f t="array" ref="AK84">_xlfn.IFS(AD84&gt;3,"Strong + Slope",AD84&gt;1.5,"Moderate + Slope",AD84&gt;0.5,"Sideway + Slope",AD84&gt;=-0.5,"Sideway Flat",AD84&gt;=-1.5,"Sideway - Slope",AD84&gt;=-3,"Moderate - Slope",TRUE,"Strong - Slope")</f>
        <v>Sideway + Slope</v>
      </c>
      <c r="AL84" s="1" t="str" cm="1">
        <f t="array" ref="AL84">_xlfn.IFS(AE84&gt;3,"Strong + Slope",AE84&gt;1.5,"Moderate + Slope",AE84&gt;0.5,"Sideway + Slope",AE84&gt;=-0.5,"Sideway Flat",AE84&gt;=-1.5,"Sideway - Slope",AE84&gt;=-3,"Moderate - Slope",TRUE,"Strong - Slope")</f>
        <v>Sideway Flat</v>
      </c>
      <c r="AM84" s="1" t="str" cm="1">
        <f t="array" ref="AM84">_xlfn.IFS(AF84&gt;3,"Strong + Slope",AF84&gt;1.5,"Moderate + Slope",AF84&gt;0.5,"Sideway + Slope",AF84&gt;=-0.5,"Sideway Flat",AF84&gt;=-1.5,"Sideway - Slope",AF84&gt;=-3,"Moderate - Slope",TRUE,"Strong - Slope")</f>
        <v>Moderate + Slope</v>
      </c>
    </row>
    <row r="85" spans="1:39" x14ac:dyDescent="0.55000000000000004">
      <c r="A85" s="1">
        <v>83</v>
      </c>
      <c r="B85" s="1" t="s">
        <v>85</v>
      </c>
      <c r="C85" s="1" t="s">
        <v>3</v>
      </c>
      <c r="D85" s="1" t="s">
        <v>102</v>
      </c>
      <c r="E85" s="1">
        <v>152.73699999999999</v>
      </c>
      <c r="F85" s="1">
        <v>152.702</v>
      </c>
      <c r="G85" s="1">
        <v>152.72800000000001</v>
      </c>
      <c r="H85" s="1">
        <v>152.84</v>
      </c>
      <c r="I85" s="1">
        <v>152.881</v>
      </c>
      <c r="J85" s="1">
        <v>153.136</v>
      </c>
      <c r="K85" s="1">
        <v>152.62299999999999</v>
      </c>
      <c r="L85" s="1">
        <v>152.584</v>
      </c>
      <c r="M85" s="1">
        <v>152.898</v>
      </c>
      <c r="N85" s="10">
        <f t="shared" si="17"/>
        <v>3.4999999999996589E-2</v>
      </c>
      <c r="O85" s="10">
        <f t="shared" si="18"/>
        <v>7.0000000000050022E-3</v>
      </c>
      <c r="P85" s="10">
        <f t="shared" si="19"/>
        <v>2.7999999999991587E-2</v>
      </c>
      <c r="Q85" s="10">
        <f t="shared" si="20"/>
        <v>3.4999999999996589E-2</v>
      </c>
      <c r="R85" s="10">
        <f t="shared" si="21"/>
        <v>3.614285714285919E-2</v>
      </c>
      <c r="S85" s="1"/>
      <c r="T85" s="2">
        <f>SLOPE(H72:H85,$A72:$A85)</f>
        <v>-2.4175824175825924E-3</v>
      </c>
      <c r="U85" s="2">
        <f>SLOPE(I72:I85,$A72:$A85)</f>
        <v>-3.5604395604265775E-4</v>
      </c>
      <c r="V85" s="2">
        <f>SLOPE(J72:J85,$A72:$A85)</f>
        <v>-1.6505494505495235E-3</v>
      </c>
      <c r="W85" s="2">
        <f>SLOPE(K72:K85,$A72:$A85)</f>
        <v>7.6923076923081921E-4</v>
      </c>
      <c r="X85" s="2">
        <f>SLOPE(L72:L85,$A72:$A85)</f>
        <v>-2.5274725274639824E-4</v>
      </c>
      <c r="Y85" s="2">
        <f>SLOPE(M72:M85,$A72:$A85)</f>
        <v>1.5802197802192051E-3</v>
      </c>
      <c r="Z85" s="1"/>
      <c r="AA85" s="2">
        <f t="shared" si="22"/>
        <v>-3.8267930981243841</v>
      </c>
      <c r="AB85" s="2">
        <f t="shared" si="23"/>
        <v>-0.56440353004399124</v>
      </c>
      <c r="AC85" s="2">
        <f t="shared" si="24"/>
        <v>-2.614731239811884</v>
      </c>
      <c r="AD85" s="2">
        <f t="shared" si="25"/>
        <v>1.2192457147179456</v>
      </c>
      <c r="AE85" s="2">
        <f t="shared" si="26"/>
        <v>-0.40066325579077672</v>
      </c>
      <c r="AF85" s="2">
        <f t="shared" si="27"/>
        <v>2.5034628203278322</v>
      </c>
      <c r="AG85" s="1"/>
      <c r="AH85" s="1" t="str" cm="1">
        <f t="array" ref="AH85">_xlfn.IFS(AA85&gt;3,"Strong + Slope",AA85&gt;1.5,"Moderate + Slope",AA85&gt;0.5,"Sideway + Slope",AA85&gt;=-0.5,"Sideway Flat",AA85&gt;=-1.5,"Sideway - Slope",AA85&gt;=-3,"Moderate - Slope",TRUE,"Strong - Slope")</f>
        <v>Strong - Slope</v>
      </c>
      <c r="AI85" s="1" t="str" cm="1">
        <f t="array" ref="AI85">_xlfn.IFS(AB85&gt;3,"Strong + Slope",AB85&gt;1.5,"Moderate + Slope",AB85&gt;0.5,"Sideway + Slope",AB85&gt;=-0.5,"Sideway Flat",AB85&gt;=-1.5,"Sideway - Slope",AB85&gt;=-3,"Moderate - Slope",TRUE,"Strong - Slope")</f>
        <v>Sideway - Slope</v>
      </c>
      <c r="AJ85" s="1" t="str" cm="1">
        <f t="array" ref="AJ85">_xlfn.IFS(AC85&gt;3,"Strong + Slope",AC85&gt;1.5,"Moderate + Slope",AC85&gt;0.5,"Sideway + Slope",AC85&gt;=-0.5,"Sideway Flat",AC85&gt;=-1.5,"Sideway - Slope",AC85&gt;=-3,"Moderate - Slope",TRUE,"Strong - Slope")</f>
        <v>Moderate - Slope</v>
      </c>
      <c r="AK85" s="1" t="str" cm="1">
        <f t="array" ref="AK85">_xlfn.IFS(AD85&gt;3,"Strong + Slope",AD85&gt;1.5,"Moderate + Slope",AD85&gt;0.5,"Sideway + Slope",AD85&gt;=-0.5,"Sideway Flat",AD85&gt;=-1.5,"Sideway - Slope",AD85&gt;=-3,"Moderate - Slope",TRUE,"Strong - Slope")</f>
        <v>Sideway + Slope</v>
      </c>
      <c r="AL85" s="1" t="str" cm="1">
        <f t="array" ref="AL85">_xlfn.IFS(AE85&gt;3,"Strong + Slope",AE85&gt;1.5,"Moderate + Slope",AE85&gt;0.5,"Sideway + Slope",AE85&gt;=-0.5,"Sideway Flat",AE85&gt;=-1.5,"Sideway - Slope",AE85&gt;=-3,"Moderate - Slope",TRUE,"Strong - Slope")</f>
        <v>Sideway Flat</v>
      </c>
      <c r="AM85" s="1" t="str" cm="1">
        <f t="array" ref="AM85">_xlfn.IFS(AF85&gt;3,"Strong + Slope",AF85&gt;1.5,"Moderate + Slope",AF85&gt;0.5,"Sideway + Slope",AF85&gt;=-0.5,"Sideway Flat",AF85&gt;=-1.5,"Sideway - Slope",AF85&gt;=-3,"Moderate - Slope",TRUE,"Strong - Slope")</f>
        <v>Moderate + Slope</v>
      </c>
    </row>
    <row r="86" spans="1:39" x14ac:dyDescent="0.55000000000000004">
      <c r="A86" s="1">
        <v>84</v>
      </c>
      <c r="B86" s="1" t="s">
        <v>86</v>
      </c>
      <c r="C86" s="1" t="s">
        <v>3</v>
      </c>
      <c r="D86" s="1" t="s">
        <v>102</v>
      </c>
      <c r="E86" s="1">
        <v>152.75299999999999</v>
      </c>
      <c r="F86" s="1">
        <v>152.71700000000001</v>
      </c>
      <c r="G86" s="1">
        <v>152.72900000000001</v>
      </c>
      <c r="H86" s="1">
        <v>152.83699999999999</v>
      </c>
      <c r="I86" s="1">
        <v>152.88</v>
      </c>
      <c r="J86" s="1">
        <v>153.13499999999999</v>
      </c>
      <c r="K86" s="1">
        <v>152.624</v>
      </c>
      <c r="L86" s="1">
        <v>152.584</v>
      </c>
      <c r="M86" s="1">
        <v>152.899</v>
      </c>
      <c r="N86" s="10">
        <f t="shared" si="17"/>
        <v>3.5999999999972943E-2</v>
      </c>
      <c r="O86" s="10">
        <f t="shared" si="18"/>
        <v>2.4999999999977263E-2</v>
      </c>
      <c r="P86" s="10">
        <f t="shared" si="19"/>
        <v>1.099999999999568E-2</v>
      </c>
      <c r="Q86" s="10">
        <f t="shared" si="20"/>
        <v>3.5999999999972943E-2</v>
      </c>
      <c r="R86" s="10">
        <f t="shared" si="21"/>
        <v>3.7000000000000047E-2</v>
      </c>
      <c r="S86" s="1"/>
      <c r="T86" s="2">
        <f>SLOPE(H73:H86,$A73:$A86)</f>
        <v>-2.4219780219784052E-3</v>
      </c>
      <c r="U86" s="2">
        <f>SLOPE(I73:I86,$A73:$A86)</f>
        <v>-3.7582417582315939E-4</v>
      </c>
      <c r="V86" s="2">
        <f>SLOPE(J73:J86,$A73:$A86)</f>
        <v>-1.6351648351654593E-3</v>
      </c>
      <c r="W86" s="2">
        <f>SLOPE(K73:K86,$A73:$A86)</f>
        <v>7.8461538461513326E-4</v>
      </c>
      <c r="X86" s="2">
        <f>SLOPE(L73:L86,$A73:$A86)</f>
        <v>-2.4615384615352234E-4</v>
      </c>
      <c r="Y86" s="2">
        <f>SLOPE(M73:M86,$A73:$A86)</f>
        <v>1.571428571428454E-3</v>
      </c>
      <c r="Z86" s="1"/>
      <c r="AA86" s="2">
        <f t="shared" si="22"/>
        <v>-3.7451736355713212</v>
      </c>
      <c r="AB86" s="2">
        <f t="shared" si="23"/>
        <v>-0.58195671928208625</v>
      </c>
      <c r="AC86" s="2">
        <f t="shared" si="24"/>
        <v>-2.5304627535193625</v>
      </c>
      <c r="AD86" s="2">
        <f t="shared" si="25"/>
        <v>1.2148219815421337</v>
      </c>
      <c r="AE86" s="2">
        <f t="shared" si="26"/>
        <v>-0.38117211964969944</v>
      </c>
      <c r="AF86" s="2">
        <f t="shared" si="27"/>
        <v>2.431949945917395</v>
      </c>
      <c r="AG86" s="1"/>
      <c r="AH86" s="1" t="str" cm="1">
        <f t="array" ref="AH86">_xlfn.IFS(AA86&gt;3,"Strong + Slope",AA86&gt;1.5,"Moderate + Slope",AA86&gt;0.5,"Sideway + Slope",AA86&gt;=-0.5,"Sideway Flat",AA86&gt;=-1.5,"Sideway - Slope",AA86&gt;=-3,"Moderate - Slope",TRUE,"Strong - Slope")</f>
        <v>Strong - Slope</v>
      </c>
      <c r="AI86" s="1" t="str" cm="1">
        <f t="array" ref="AI86">_xlfn.IFS(AB86&gt;3,"Strong + Slope",AB86&gt;1.5,"Moderate + Slope",AB86&gt;0.5,"Sideway + Slope",AB86&gt;=-0.5,"Sideway Flat",AB86&gt;=-1.5,"Sideway - Slope",AB86&gt;=-3,"Moderate - Slope",TRUE,"Strong - Slope")</f>
        <v>Sideway - Slope</v>
      </c>
      <c r="AJ86" s="1" t="str" cm="1">
        <f t="array" ref="AJ86">_xlfn.IFS(AC86&gt;3,"Strong + Slope",AC86&gt;1.5,"Moderate + Slope",AC86&gt;0.5,"Sideway + Slope",AC86&gt;=-0.5,"Sideway Flat",AC86&gt;=-1.5,"Sideway - Slope",AC86&gt;=-3,"Moderate - Slope",TRUE,"Strong - Slope")</f>
        <v>Moderate - Slope</v>
      </c>
      <c r="AK86" s="1" t="str" cm="1">
        <f t="array" ref="AK86">_xlfn.IFS(AD86&gt;3,"Strong + Slope",AD86&gt;1.5,"Moderate + Slope",AD86&gt;0.5,"Sideway + Slope",AD86&gt;=-0.5,"Sideway Flat",AD86&gt;=-1.5,"Sideway - Slope",AD86&gt;=-3,"Moderate - Slope",TRUE,"Strong - Slope")</f>
        <v>Sideway + Slope</v>
      </c>
      <c r="AL86" s="1" t="str" cm="1">
        <f t="array" ref="AL86">_xlfn.IFS(AE86&gt;3,"Strong + Slope",AE86&gt;1.5,"Moderate + Slope",AE86&gt;0.5,"Sideway + Slope",AE86&gt;=-0.5,"Sideway Flat",AE86&gt;=-1.5,"Sideway - Slope",AE86&gt;=-3,"Moderate - Slope",TRUE,"Strong - Slope")</f>
        <v>Sideway Flat</v>
      </c>
      <c r="AM86" s="1" t="str" cm="1">
        <f t="array" ref="AM86">_xlfn.IFS(AF86&gt;3,"Strong + Slope",AF86&gt;1.5,"Moderate + Slope",AF86&gt;0.5,"Sideway + Slope",AF86&gt;=-0.5,"Sideway Flat",AF86&gt;=-1.5,"Sideway - Slope",AF86&gt;=-3,"Moderate - Slope",TRUE,"Strong - Slope")</f>
        <v>Moderate + Slope</v>
      </c>
    </row>
    <row r="87" spans="1:39" x14ac:dyDescent="0.55000000000000004">
      <c r="A87" s="1">
        <v>85</v>
      </c>
      <c r="B87" s="1" t="s">
        <v>87</v>
      </c>
      <c r="C87" s="1" t="s">
        <v>3</v>
      </c>
      <c r="D87" s="1" t="s">
        <v>102</v>
      </c>
      <c r="E87" s="1">
        <v>152.749</v>
      </c>
      <c r="F87" s="1">
        <v>152.726</v>
      </c>
      <c r="G87" s="1">
        <v>152.74600000000001</v>
      </c>
      <c r="H87" s="1">
        <v>152.83500000000001</v>
      </c>
      <c r="I87" s="1">
        <v>152.88</v>
      </c>
      <c r="J87" s="1">
        <v>153.13300000000001</v>
      </c>
      <c r="K87" s="1">
        <v>152.624</v>
      </c>
      <c r="L87" s="1">
        <v>152.584</v>
      </c>
      <c r="M87" s="1">
        <v>152.90100000000001</v>
      </c>
      <c r="N87" s="10">
        <f t="shared" si="17"/>
        <v>2.2999999999996135E-2</v>
      </c>
      <c r="O87" s="10">
        <f t="shared" si="18"/>
        <v>1.999999999998181E-2</v>
      </c>
      <c r="P87" s="10">
        <f t="shared" si="19"/>
        <v>3.0000000000143245E-3</v>
      </c>
      <c r="Q87" s="10">
        <f t="shared" si="20"/>
        <v>2.2999999999996135E-2</v>
      </c>
      <c r="R87" s="10">
        <f t="shared" si="21"/>
        <v>3.5071428571427532E-2</v>
      </c>
      <c r="S87" s="1"/>
      <c r="T87" s="2">
        <f>SLOPE(H74:H87,$A74:$A87)</f>
        <v>-2.4000000000002782E-3</v>
      </c>
      <c r="U87" s="2">
        <f>SLOPE(I74:I87,$A74:$A87)</f>
        <v>-3.7362637362565901E-4</v>
      </c>
      <c r="V87" s="2">
        <f>SLOPE(J74:J87,$A74:$A87)</f>
        <v>-1.6417582417582728E-3</v>
      </c>
      <c r="W87" s="2">
        <f>SLOPE(K74:K87,$A74:$A87)</f>
        <v>7.8461538461500836E-4</v>
      </c>
      <c r="X87" s="2">
        <f>SLOPE(L74:L87,$A74:$A87)</f>
        <v>-2.2637362637389523E-4</v>
      </c>
      <c r="Y87" s="2">
        <f>SLOPE(M74:M87,$A74:$A87)</f>
        <v>1.5890109890110179E-3</v>
      </c>
      <c r="Z87" s="1"/>
      <c r="AA87" s="2">
        <f t="shared" si="22"/>
        <v>-3.9147485248723664</v>
      </c>
      <c r="AB87" s="2">
        <f t="shared" si="23"/>
        <v>-0.61036591311076094</v>
      </c>
      <c r="AC87" s="2">
        <f t="shared" si="24"/>
        <v>-2.6801645078325564</v>
      </c>
      <c r="AD87" s="2">
        <f t="shared" si="25"/>
        <v>1.2816031196507311</v>
      </c>
      <c r="AE87" s="2">
        <f t="shared" si="26"/>
        <v>-0.36981878962332448</v>
      </c>
      <c r="AF87" s="2">
        <f t="shared" si="27"/>
        <v>2.5941743876118606</v>
      </c>
      <c r="AG87" s="1"/>
      <c r="AH87" s="1" t="str" cm="1">
        <f t="array" ref="AH87">_xlfn.IFS(AA87&gt;3,"Strong + Slope",AA87&gt;1.5,"Moderate + Slope",AA87&gt;0.5,"Sideway + Slope",AA87&gt;=-0.5,"Sideway Flat",AA87&gt;=-1.5,"Sideway - Slope",AA87&gt;=-3,"Moderate - Slope",TRUE,"Strong - Slope")</f>
        <v>Strong - Slope</v>
      </c>
      <c r="AI87" s="1" t="str" cm="1">
        <f t="array" ref="AI87">_xlfn.IFS(AB87&gt;3,"Strong + Slope",AB87&gt;1.5,"Moderate + Slope",AB87&gt;0.5,"Sideway + Slope",AB87&gt;=-0.5,"Sideway Flat",AB87&gt;=-1.5,"Sideway - Slope",AB87&gt;=-3,"Moderate - Slope",TRUE,"Strong - Slope")</f>
        <v>Sideway - Slope</v>
      </c>
      <c r="AJ87" s="1" t="str" cm="1">
        <f t="array" ref="AJ87">_xlfn.IFS(AC87&gt;3,"Strong + Slope",AC87&gt;1.5,"Moderate + Slope",AC87&gt;0.5,"Sideway + Slope",AC87&gt;=-0.5,"Sideway Flat",AC87&gt;=-1.5,"Sideway - Slope",AC87&gt;=-3,"Moderate - Slope",TRUE,"Strong - Slope")</f>
        <v>Moderate - Slope</v>
      </c>
      <c r="AK87" s="1" t="str" cm="1">
        <f t="array" ref="AK87">_xlfn.IFS(AD87&gt;3,"Strong + Slope",AD87&gt;1.5,"Moderate + Slope",AD87&gt;0.5,"Sideway + Slope",AD87&gt;=-0.5,"Sideway Flat",AD87&gt;=-1.5,"Sideway - Slope",AD87&gt;=-3,"Moderate - Slope",TRUE,"Strong - Slope")</f>
        <v>Sideway + Slope</v>
      </c>
      <c r="AL87" s="1" t="str" cm="1">
        <f t="array" ref="AL87">_xlfn.IFS(AE87&gt;3,"Strong + Slope",AE87&gt;1.5,"Moderate + Slope",AE87&gt;0.5,"Sideway + Slope",AE87&gt;=-0.5,"Sideway Flat",AE87&gt;=-1.5,"Sideway - Slope",AE87&gt;=-3,"Moderate - Slope",TRUE,"Strong - Slope")</f>
        <v>Sideway Flat</v>
      </c>
      <c r="AM87" s="1" t="str" cm="1">
        <f t="array" ref="AM87">_xlfn.IFS(AF87&gt;3,"Strong + Slope",AF87&gt;1.5,"Moderate + Slope",AF87&gt;0.5,"Sideway + Slope",AF87&gt;=-0.5,"Sideway Flat",AF87&gt;=-1.5,"Sideway - Slope",AF87&gt;=-3,"Moderate - Slope",TRUE,"Strong - Slope")</f>
        <v>Moderate + Slope</v>
      </c>
    </row>
    <row r="88" spans="1:39" x14ac:dyDescent="0.55000000000000004">
      <c r="A88" s="1">
        <v>86</v>
      </c>
      <c r="B88" s="1" t="s">
        <v>88</v>
      </c>
      <c r="C88" s="1" t="s">
        <v>3</v>
      </c>
      <c r="D88" s="1" t="s">
        <v>102</v>
      </c>
      <c r="E88" s="1">
        <v>152.79</v>
      </c>
      <c r="F88" s="1">
        <v>152.74100000000001</v>
      </c>
      <c r="G88" s="1">
        <v>152.74199999999999</v>
      </c>
      <c r="H88" s="1">
        <v>152.83199999999999</v>
      </c>
      <c r="I88" s="1">
        <v>152.87899999999999</v>
      </c>
      <c r="J88" s="1">
        <v>153.13200000000001</v>
      </c>
      <c r="K88" s="1">
        <v>152.625</v>
      </c>
      <c r="L88" s="1">
        <v>152.583</v>
      </c>
      <c r="M88" s="1">
        <v>152.90199999999999</v>
      </c>
      <c r="N88" s="10">
        <f t="shared" si="17"/>
        <v>4.8999999999978172E-2</v>
      </c>
      <c r="O88" s="10">
        <f t="shared" si="18"/>
        <v>4.399999999998272E-2</v>
      </c>
      <c r="P88" s="10">
        <f t="shared" si="19"/>
        <v>4.9999999999954525E-3</v>
      </c>
      <c r="Q88" s="10">
        <f t="shared" si="20"/>
        <v>4.8999999999978172E-2</v>
      </c>
      <c r="R88" s="10">
        <f t="shared" si="21"/>
        <v>3.6071428571426215E-2</v>
      </c>
      <c r="S88" s="1"/>
      <c r="T88" s="2">
        <f>SLOPE(H75:H88,$A75:$A88)</f>
        <v>-2.4131868131869673E-3</v>
      </c>
      <c r="U88" s="2">
        <f>SLOPE(I75:I88,$A75:$A88)</f>
        <v>-3.7802197802172164E-4</v>
      </c>
      <c r="V88" s="2">
        <f>SLOPE(J75:J88,$A75:$A88)</f>
        <v>-1.6417582417581479E-3</v>
      </c>
      <c r="W88" s="2">
        <f>SLOPE(K75:K88,$A75:$A88)</f>
        <v>7.692307692304444E-4</v>
      </c>
      <c r="X88" s="2">
        <f>SLOPE(L75:L88,$A75:$A88)</f>
        <v>-2.2197802197908189E-4</v>
      </c>
      <c r="Y88" s="2">
        <f>SLOPE(M75:M88,$A75:$A88)</f>
        <v>1.5714285714281417E-3</v>
      </c>
      <c r="Z88" s="1"/>
      <c r="AA88" s="2">
        <f t="shared" si="22"/>
        <v>-3.8273975210744506</v>
      </c>
      <c r="AB88" s="2">
        <f t="shared" si="23"/>
        <v>-0.60042731603030008</v>
      </c>
      <c r="AC88" s="2">
        <f t="shared" si="24"/>
        <v>-2.6059668027123117</v>
      </c>
      <c r="AD88" s="2">
        <f t="shared" si="25"/>
        <v>1.2216593317052145</v>
      </c>
      <c r="AE88" s="2">
        <f t="shared" si="26"/>
        <v>-0.35258496165821496</v>
      </c>
      <c r="AF88" s="2">
        <f t="shared" si="27"/>
        <v>2.4944765087797709</v>
      </c>
      <c r="AG88" s="1"/>
      <c r="AH88" s="1" t="str" cm="1">
        <f t="array" ref="AH88">_xlfn.IFS(AA88&gt;3,"Strong + Slope",AA88&gt;1.5,"Moderate + Slope",AA88&gt;0.5,"Sideway + Slope",AA88&gt;=-0.5,"Sideway Flat",AA88&gt;=-1.5,"Sideway - Slope",AA88&gt;=-3,"Moderate - Slope",TRUE,"Strong - Slope")</f>
        <v>Strong - Slope</v>
      </c>
      <c r="AI88" s="1" t="str" cm="1">
        <f t="array" ref="AI88">_xlfn.IFS(AB88&gt;3,"Strong + Slope",AB88&gt;1.5,"Moderate + Slope",AB88&gt;0.5,"Sideway + Slope",AB88&gt;=-0.5,"Sideway Flat",AB88&gt;=-1.5,"Sideway - Slope",AB88&gt;=-3,"Moderate - Slope",TRUE,"Strong - Slope")</f>
        <v>Sideway - Slope</v>
      </c>
      <c r="AJ88" s="1" t="str" cm="1">
        <f t="array" ref="AJ88">_xlfn.IFS(AC88&gt;3,"Strong + Slope",AC88&gt;1.5,"Moderate + Slope",AC88&gt;0.5,"Sideway + Slope",AC88&gt;=-0.5,"Sideway Flat",AC88&gt;=-1.5,"Sideway - Slope",AC88&gt;=-3,"Moderate - Slope",TRUE,"Strong - Slope")</f>
        <v>Moderate - Slope</v>
      </c>
      <c r="AK88" s="1" t="str" cm="1">
        <f t="array" ref="AK88">_xlfn.IFS(AD88&gt;3,"Strong + Slope",AD88&gt;1.5,"Moderate + Slope",AD88&gt;0.5,"Sideway + Slope",AD88&gt;=-0.5,"Sideway Flat",AD88&gt;=-1.5,"Sideway - Slope",AD88&gt;=-3,"Moderate - Slope",TRUE,"Strong - Slope")</f>
        <v>Sideway + Slope</v>
      </c>
      <c r="AL88" s="1" t="str" cm="1">
        <f t="array" ref="AL88">_xlfn.IFS(AE88&gt;3,"Strong + Slope",AE88&gt;1.5,"Moderate + Slope",AE88&gt;0.5,"Sideway + Slope",AE88&gt;=-0.5,"Sideway Flat",AE88&gt;=-1.5,"Sideway - Slope",AE88&gt;=-3,"Moderate - Slope",TRUE,"Strong - Slope")</f>
        <v>Sideway Flat</v>
      </c>
      <c r="AM88" s="1" t="str" cm="1">
        <f t="array" ref="AM88">_xlfn.IFS(AF88&gt;3,"Strong + Slope",AF88&gt;1.5,"Moderate + Slope",AF88&gt;0.5,"Sideway + Slope",AF88&gt;=-0.5,"Sideway Flat",AF88&gt;=-1.5,"Sideway - Slope",AF88&gt;=-3,"Moderate - Slope",TRUE,"Strong - Slope")</f>
        <v>Moderate + Slope</v>
      </c>
    </row>
    <row r="89" spans="1:39" x14ac:dyDescent="0.55000000000000004">
      <c r="A89" s="1">
        <v>87</v>
      </c>
      <c r="B89" s="1" t="s">
        <v>89</v>
      </c>
      <c r="C89" s="1" t="s">
        <v>3</v>
      </c>
      <c r="D89" s="1" t="s">
        <v>102</v>
      </c>
      <c r="E89" s="1">
        <v>152.75299999999999</v>
      </c>
      <c r="F89" s="1">
        <v>152.70599999999999</v>
      </c>
      <c r="G89" s="1">
        <v>152.70599999999999</v>
      </c>
      <c r="H89" s="1">
        <v>152.83000000000001</v>
      </c>
      <c r="I89" s="1">
        <v>152.87899999999999</v>
      </c>
      <c r="J89" s="1">
        <v>153.13</v>
      </c>
      <c r="K89" s="1">
        <v>152.626</v>
      </c>
      <c r="L89" s="1">
        <v>152.583</v>
      </c>
      <c r="M89" s="1">
        <v>152.904</v>
      </c>
      <c r="N89" s="10">
        <f t="shared" si="17"/>
        <v>4.6999999999997044E-2</v>
      </c>
      <c r="O89" s="10">
        <f t="shared" si="18"/>
        <v>1.099999999999568E-2</v>
      </c>
      <c r="P89" s="10">
        <f t="shared" si="19"/>
        <v>3.6000000000001364E-2</v>
      </c>
      <c r="Q89" s="10">
        <f t="shared" si="20"/>
        <v>4.6999999999997044E-2</v>
      </c>
      <c r="R89" s="10">
        <f t="shared" si="21"/>
        <v>3.7357142857140549E-2</v>
      </c>
      <c r="S89" s="1"/>
      <c r="T89" s="2">
        <f>SLOPE(H76:H89,$A76:$A89)</f>
        <v>-2.3999999999997162E-3</v>
      </c>
      <c r="U89" s="2">
        <f>SLOPE(I76:I89,$A76:$A89)</f>
        <v>-3.8901098901134734E-4</v>
      </c>
      <c r="V89" s="2">
        <f>SLOPE(J76:J89,$A76:$A89)</f>
        <v>-1.6351648351650846E-3</v>
      </c>
      <c r="W89" s="2">
        <f>SLOPE(K76:K89,$A76:$A89)</f>
        <v>7.6703296703300647E-4</v>
      </c>
      <c r="X89" s="2">
        <f>SLOPE(L76:L89,$A76:$A89)</f>
        <v>-2.3296703296814535E-4</v>
      </c>
      <c r="Y89" s="2">
        <f>SLOPE(M76:M89,$A76:$A89)</f>
        <v>1.5802197802195174E-3</v>
      </c>
      <c r="Z89" s="1"/>
      <c r="AA89" s="2">
        <f t="shared" si="22"/>
        <v>-3.675900831249082</v>
      </c>
      <c r="AB89" s="2">
        <f t="shared" si="23"/>
        <v>-0.59661635138134983</v>
      </c>
      <c r="AC89" s="2">
        <f t="shared" si="24"/>
        <v>-2.5063019459445504</v>
      </c>
      <c r="AD89" s="2">
        <f t="shared" si="25"/>
        <v>1.1762563760920544</v>
      </c>
      <c r="AE89" s="2">
        <f t="shared" si="26"/>
        <v>-0.3573039505039029</v>
      </c>
      <c r="AF89" s="2">
        <f t="shared" si="27"/>
        <v>2.4221868563845752</v>
      </c>
      <c r="AG89" s="1"/>
      <c r="AH89" s="1" t="str" cm="1">
        <f t="array" ref="AH89">_xlfn.IFS(AA89&gt;3,"Strong + Slope",AA89&gt;1.5,"Moderate + Slope",AA89&gt;0.5,"Sideway + Slope",AA89&gt;=-0.5,"Sideway Flat",AA89&gt;=-1.5,"Sideway - Slope",AA89&gt;=-3,"Moderate - Slope",TRUE,"Strong - Slope")</f>
        <v>Strong - Slope</v>
      </c>
      <c r="AI89" s="1" t="str" cm="1">
        <f t="array" ref="AI89">_xlfn.IFS(AB89&gt;3,"Strong + Slope",AB89&gt;1.5,"Moderate + Slope",AB89&gt;0.5,"Sideway + Slope",AB89&gt;=-0.5,"Sideway Flat",AB89&gt;=-1.5,"Sideway - Slope",AB89&gt;=-3,"Moderate - Slope",TRUE,"Strong - Slope")</f>
        <v>Sideway - Slope</v>
      </c>
      <c r="AJ89" s="1" t="str" cm="1">
        <f t="array" ref="AJ89">_xlfn.IFS(AC89&gt;3,"Strong + Slope",AC89&gt;1.5,"Moderate + Slope",AC89&gt;0.5,"Sideway + Slope",AC89&gt;=-0.5,"Sideway Flat",AC89&gt;=-1.5,"Sideway - Slope",AC89&gt;=-3,"Moderate - Slope",TRUE,"Strong - Slope")</f>
        <v>Moderate - Slope</v>
      </c>
      <c r="AK89" s="1" t="str" cm="1">
        <f t="array" ref="AK89">_xlfn.IFS(AD89&gt;3,"Strong + Slope",AD89&gt;1.5,"Moderate + Slope",AD89&gt;0.5,"Sideway + Slope",AD89&gt;=-0.5,"Sideway Flat",AD89&gt;=-1.5,"Sideway - Slope",AD89&gt;=-3,"Moderate - Slope",TRUE,"Strong - Slope")</f>
        <v>Sideway + Slope</v>
      </c>
      <c r="AL89" s="1" t="str" cm="1">
        <f t="array" ref="AL89">_xlfn.IFS(AE89&gt;3,"Strong + Slope",AE89&gt;1.5,"Moderate + Slope",AE89&gt;0.5,"Sideway + Slope",AE89&gt;=-0.5,"Sideway Flat",AE89&gt;=-1.5,"Sideway - Slope",AE89&gt;=-3,"Moderate - Slope",TRUE,"Strong - Slope")</f>
        <v>Sideway Flat</v>
      </c>
      <c r="AM89" s="1" t="str" cm="1">
        <f t="array" ref="AM89">_xlfn.IFS(AF89&gt;3,"Strong + Slope",AF89&gt;1.5,"Moderate + Slope",AF89&gt;0.5,"Sideway + Slope",AF89&gt;=-0.5,"Sideway Flat",AF89&gt;=-1.5,"Sideway - Slope",AF89&gt;=-3,"Moderate - Slope",TRUE,"Strong - Slope")</f>
        <v>Moderate + Slope</v>
      </c>
    </row>
    <row r="90" spans="1:39" x14ac:dyDescent="0.55000000000000004">
      <c r="A90" s="1">
        <v>88</v>
      </c>
      <c r="B90" s="1" t="s">
        <v>90</v>
      </c>
      <c r="C90" s="1" t="s">
        <v>3</v>
      </c>
      <c r="D90" s="1" t="s">
        <v>102</v>
      </c>
      <c r="E90" s="1">
        <v>152.773</v>
      </c>
      <c r="F90" s="1">
        <v>152.66499999999999</v>
      </c>
      <c r="G90" s="1">
        <v>152.75700000000001</v>
      </c>
      <c r="H90" s="1">
        <v>152.827</v>
      </c>
      <c r="I90" s="1">
        <v>152.87899999999999</v>
      </c>
      <c r="J90" s="1">
        <v>153.12799999999999</v>
      </c>
      <c r="K90" s="1">
        <v>152.62700000000001</v>
      </c>
      <c r="L90" s="1">
        <v>152.583</v>
      </c>
      <c r="M90" s="1">
        <v>152.90600000000001</v>
      </c>
      <c r="N90" s="10">
        <f t="shared" si="17"/>
        <v>0.10800000000000409</v>
      </c>
      <c r="O90" s="10">
        <f t="shared" si="18"/>
        <v>6.7000000000007276E-2</v>
      </c>
      <c r="P90" s="10">
        <f t="shared" si="19"/>
        <v>4.0999999999996817E-2</v>
      </c>
      <c r="Q90" s="10">
        <f t="shared" si="20"/>
        <v>0.10800000000000409</v>
      </c>
      <c r="R90" s="10">
        <f t="shared" si="21"/>
        <v>4.2857142857140422E-2</v>
      </c>
      <c r="S90" s="1"/>
      <c r="T90" s="2">
        <f>SLOPE(H77:H90,$A77:$A90)</f>
        <v>-2.4219780219782178E-3</v>
      </c>
      <c r="U90" s="2">
        <f>SLOPE(I77:I90,$A77:$A90)</f>
        <v>-3.7802197802297096E-4</v>
      </c>
      <c r="V90" s="2">
        <f>SLOPE(J77:J90,$A77:$A90)</f>
        <v>-1.6505494505497109E-3</v>
      </c>
      <c r="W90" s="2">
        <f>SLOPE(K77:K90,$A77:$A90)</f>
        <v>7.7802197802269467E-4</v>
      </c>
      <c r="X90" s="2">
        <f>SLOPE(L77:L90,$A77:$A90)</f>
        <v>-2.3076923077033267E-4</v>
      </c>
      <c r="Y90" s="2">
        <f>SLOPE(M77:M90,$A77:$A90)</f>
        <v>1.5824175824179548E-3</v>
      </c>
      <c r="Z90" s="1"/>
      <c r="AA90" s="2">
        <f t="shared" si="22"/>
        <v>-3.2345056856745162</v>
      </c>
      <c r="AB90" s="2">
        <f t="shared" si="23"/>
        <v>-0.50536505198567094</v>
      </c>
      <c r="AC90" s="2">
        <f t="shared" si="24"/>
        <v>-2.2055320609925486</v>
      </c>
      <c r="AD90" s="2">
        <f t="shared" si="25"/>
        <v>1.0400245256858354</v>
      </c>
      <c r="AE90" s="2">
        <f t="shared" si="26"/>
        <v>-0.3085127541827673</v>
      </c>
      <c r="AF90" s="2">
        <f t="shared" si="27"/>
        <v>2.1145758800732772</v>
      </c>
      <c r="AG90" s="1"/>
      <c r="AH90" s="1" t="str" cm="1">
        <f t="array" ref="AH90">_xlfn.IFS(AA90&gt;3,"Strong + Slope",AA90&gt;1.5,"Moderate + Slope",AA90&gt;0.5,"Sideway + Slope",AA90&gt;=-0.5,"Sideway Flat",AA90&gt;=-1.5,"Sideway - Slope",AA90&gt;=-3,"Moderate - Slope",TRUE,"Strong - Slope")</f>
        <v>Strong - Slope</v>
      </c>
      <c r="AI90" s="1" t="str" cm="1">
        <f t="array" ref="AI90">_xlfn.IFS(AB90&gt;3,"Strong + Slope",AB90&gt;1.5,"Moderate + Slope",AB90&gt;0.5,"Sideway + Slope",AB90&gt;=-0.5,"Sideway Flat",AB90&gt;=-1.5,"Sideway - Slope",AB90&gt;=-3,"Moderate - Slope",TRUE,"Strong - Slope")</f>
        <v>Sideway - Slope</v>
      </c>
      <c r="AJ90" s="1" t="str" cm="1">
        <f t="array" ref="AJ90">_xlfn.IFS(AC90&gt;3,"Strong + Slope",AC90&gt;1.5,"Moderate + Slope",AC90&gt;0.5,"Sideway + Slope",AC90&gt;=-0.5,"Sideway Flat",AC90&gt;=-1.5,"Sideway - Slope",AC90&gt;=-3,"Moderate - Slope",TRUE,"Strong - Slope")</f>
        <v>Moderate - Slope</v>
      </c>
      <c r="AK90" s="1" t="str" cm="1">
        <f t="array" ref="AK90">_xlfn.IFS(AD90&gt;3,"Strong + Slope",AD90&gt;1.5,"Moderate + Slope",AD90&gt;0.5,"Sideway + Slope",AD90&gt;=-0.5,"Sideway Flat",AD90&gt;=-1.5,"Sideway - Slope",AD90&gt;=-3,"Moderate - Slope",TRUE,"Strong - Slope")</f>
        <v>Sideway + Slope</v>
      </c>
      <c r="AL90" s="1" t="str" cm="1">
        <f t="array" ref="AL90">_xlfn.IFS(AE90&gt;3,"Strong + Slope",AE90&gt;1.5,"Moderate + Slope",AE90&gt;0.5,"Sideway + Slope",AE90&gt;=-0.5,"Sideway Flat",AE90&gt;=-1.5,"Sideway - Slope",AE90&gt;=-3,"Moderate - Slope",TRUE,"Strong - Slope")</f>
        <v>Sideway Flat</v>
      </c>
      <c r="AM90" s="1" t="str" cm="1">
        <f t="array" ref="AM90">_xlfn.IFS(AF90&gt;3,"Strong + Slope",AF90&gt;1.5,"Moderate + Slope",AF90&gt;0.5,"Sideway + Slope",AF90&gt;=-0.5,"Sideway Flat",AF90&gt;=-1.5,"Sideway - Slope",AF90&gt;=-3,"Moderate - Slope",TRUE,"Strong - Slope")</f>
        <v>Moderate + Slope</v>
      </c>
    </row>
    <row r="91" spans="1:39" x14ac:dyDescent="0.55000000000000004">
      <c r="A91" s="1">
        <v>89</v>
      </c>
      <c r="B91" s="1" t="s">
        <v>91</v>
      </c>
      <c r="C91" s="1" t="s">
        <v>3</v>
      </c>
      <c r="D91" s="1" t="s">
        <v>102</v>
      </c>
      <c r="E91" s="1">
        <v>152.762</v>
      </c>
      <c r="F91" s="1">
        <v>152.63999999999999</v>
      </c>
      <c r="G91" s="1">
        <v>152.649</v>
      </c>
      <c r="H91" s="1">
        <v>152.82499999999999</v>
      </c>
      <c r="I91" s="1">
        <v>152.87799999999999</v>
      </c>
      <c r="J91" s="1">
        <v>153.12700000000001</v>
      </c>
      <c r="K91" s="1">
        <v>152.62700000000001</v>
      </c>
      <c r="L91" s="1">
        <v>152.583</v>
      </c>
      <c r="M91" s="1">
        <v>152.90700000000001</v>
      </c>
      <c r="N91" s="10">
        <f t="shared" si="17"/>
        <v>0.1220000000000141</v>
      </c>
      <c r="O91" s="10">
        <f t="shared" si="18"/>
        <v>4.9999999999954525E-3</v>
      </c>
      <c r="P91" s="10">
        <f t="shared" si="19"/>
        <v>0.11700000000001864</v>
      </c>
      <c r="Q91" s="10">
        <f t="shared" si="20"/>
        <v>0.1220000000000141</v>
      </c>
      <c r="R91" s="10">
        <f t="shared" si="21"/>
        <v>4.942857142856992E-2</v>
      </c>
      <c r="S91" s="1"/>
      <c r="T91" s="2">
        <f>SLOPE(H78:H91,$A78:$A91)</f>
        <v>-2.4175824175827797E-3</v>
      </c>
      <c r="U91" s="2">
        <f>SLOPE(I78:I91,$A78:$A91)</f>
        <v>-3.7362637362815766E-4</v>
      </c>
      <c r="V91" s="2">
        <f>SLOPE(J78:J91,$A78:$A91)</f>
        <v>-1.6263736263732716E-3</v>
      </c>
      <c r="W91" s="2">
        <f>SLOPE(K78:K91,$A78:$A91)</f>
        <v>7.7362637362700674E-4</v>
      </c>
      <c r="X91" s="2">
        <f>SLOPE(L78:L91,$A78:$A91)</f>
        <v>-2.1538461538564381E-4</v>
      </c>
      <c r="Y91" s="2">
        <f>SLOPE(M78:M91,$A78:$A91)</f>
        <v>1.5780219780225167E-3</v>
      </c>
      <c r="Z91" s="1"/>
      <c r="AA91" s="2">
        <f t="shared" si="22"/>
        <v>-2.8001410413490744</v>
      </c>
      <c r="AB91" s="2">
        <f t="shared" si="23"/>
        <v>-0.43308568309543466</v>
      </c>
      <c r="AC91" s="2">
        <f t="shared" si="24"/>
        <v>-1.8845525054853585</v>
      </c>
      <c r="AD91" s="2">
        <f t="shared" si="25"/>
        <v>0.89668598462574001</v>
      </c>
      <c r="AE91" s="2">
        <f t="shared" si="26"/>
        <v>-0.24966433321845002</v>
      </c>
      <c r="AF91" s="2">
        <f t="shared" si="27"/>
        <v>1.8285638868773917</v>
      </c>
      <c r="AG91" s="1"/>
      <c r="AH91" s="1" t="str" cm="1">
        <f t="array" ref="AH91">_xlfn.IFS(AA91&gt;3,"Strong + Slope",AA91&gt;1.5,"Moderate + Slope",AA91&gt;0.5,"Sideway + Slope",AA91&gt;=-0.5,"Sideway Flat",AA91&gt;=-1.5,"Sideway - Slope",AA91&gt;=-3,"Moderate - Slope",TRUE,"Strong - Slope")</f>
        <v>Moderate - Slope</v>
      </c>
      <c r="AI91" s="1" t="str" cm="1">
        <f t="array" ref="AI91">_xlfn.IFS(AB91&gt;3,"Strong + Slope",AB91&gt;1.5,"Moderate + Slope",AB91&gt;0.5,"Sideway + Slope",AB91&gt;=-0.5,"Sideway Flat",AB91&gt;=-1.5,"Sideway - Slope",AB91&gt;=-3,"Moderate - Slope",TRUE,"Strong - Slope")</f>
        <v>Sideway Flat</v>
      </c>
      <c r="AJ91" s="1" t="str" cm="1">
        <f t="array" ref="AJ91">_xlfn.IFS(AC91&gt;3,"Strong + Slope",AC91&gt;1.5,"Moderate + Slope",AC91&gt;0.5,"Sideway + Slope",AC91&gt;=-0.5,"Sideway Flat",AC91&gt;=-1.5,"Sideway - Slope",AC91&gt;=-3,"Moderate - Slope",TRUE,"Strong - Slope")</f>
        <v>Moderate - Slope</v>
      </c>
      <c r="AK91" s="1" t="str" cm="1">
        <f t="array" ref="AK91">_xlfn.IFS(AD91&gt;3,"Strong + Slope",AD91&gt;1.5,"Moderate + Slope",AD91&gt;0.5,"Sideway + Slope",AD91&gt;=-0.5,"Sideway Flat",AD91&gt;=-1.5,"Sideway - Slope",AD91&gt;=-3,"Moderate - Slope",TRUE,"Strong - Slope")</f>
        <v>Sideway + Slope</v>
      </c>
      <c r="AL91" s="1" t="str" cm="1">
        <f t="array" ref="AL91">_xlfn.IFS(AE91&gt;3,"Strong + Slope",AE91&gt;1.5,"Moderate + Slope",AE91&gt;0.5,"Sideway + Slope",AE91&gt;=-0.5,"Sideway Flat",AE91&gt;=-1.5,"Sideway - Slope",AE91&gt;=-3,"Moderate - Slope",TRUE,"Strong - Slope")</f>
        <v>Sideway Flat</v>
      </c>
      <c r="AM91" s="1" t="str" cm="1">
        <f t="array" ref="AM91">_xlfn.IFS(AF91&gt;3,"Strong + Slope",AF91&gt;1.5,"Moderate + Slope",AF91&gt;0.5,"Sideway + Slope",AF91&gt;=-0.5,"Sideway Flat",AF91&gt;=-1.5,"Sideway - Slope",AF91&gt;=-3,"Moderate - Slope",TRUE,"Strong - Slope")</f>
        <v>Moderate + Slope</v>
      </c>
    </row>
    <row r="92" spans="1:39" x14ac:dyDescent="0.55000000000000004">
      <c r="A92" s="1">
        <v>90</v>
      </c>
      <c r="B92" s="1" t="s">
        <v>92</v>
      </c>
      <c r="C92" s="1" t="s">
        <v>3</v>
      </c>
      <c r="D92" s="1" t="s">
        <v>102</v>
      </c>
      <c r="E92" s="1">
        <v>152.66</v>
      </c>
      <c r="F92" s="1">
        <v>152.626</v>
      </c>
      <c r="G92" s="1">
        <v>152.648</v>
      </c>
      <c r="H92" s="1">
        <v>152.82300000000001</v>
      </c>
      <c r="I92" s="1">
        <v>152.87799999999999</v>
      </c>
      <c r="J92" s="1">
        <v>153.125</v>
      </c>
      <c r="K92" s="1">
        <v>152.62799999999999</v>
      </c>
      <c r="L92" s="1">
        <v>152.58199999999999</v>
      </c>
      <c r="M92" s="1">
        <v>152.90899999999999</v>
      </c>
      <c r="N92" s="10">
        <f t="shared" si="17"/>
        <v>3.3999999999991815E-2</v>
      </c>
      <c r="O92" s="10">
        <f t="shared" si="18"/>
        <v>1.099999999999568E-2</v>
      </c>
      <c r="P92" s="10">
        <f t="shared" si="19"/>
        <v>2.2999999999996135E-2</v>
      </c>
      <c r="Q92" s="10">
        <f t="shared" si="20"/>
        <v>3.3999999999991815E-2</v>
      </c>
      <c r="R92" s="10">
        <f t="shared" si="21"/>
        <v>4.942857142856992E-2</v>
      </c>
      <c r="S92" s="1"/>
      <c r="T92" s="2">
        <f>SLOPE(H79:H92,$A79:$A92)</f>
        <v>-2.4197802197805924E-3</v>
      </c>
      <c r="U92" s="2">
        <f>SLOPE(I79:I92,$A79:$A92)</f>
        <v>-3.7582417582597035E-4</v>
      </c>
      <c r="V92" s="2">
        <f>SLOPE(J79:J92,$A79:$A92)</f>
        <v>-1.6241758241754588E-3</v>
      </c>
      <c r="W92" s="2">
        <f>SLOPE(K79:K92,$A79:$A92)</f>
        <v>7.53846153845943E-4</v>
      </c>
      <c r="X92" s="2">
        <f>SLOPE(L79:L92,$A79:$A92)</f>
        <v>-2.1538461538564381E-4</v>
      </c>
      <c r="Y92" s="2">
        <f>SLOPE(M79:M92,$A79:$A92)</f>
        <v>1.6000000000003939E-3</v>
      </c>
      <c r="Z92" s="1"/>
      <c r="AA92" s="2">
        <f t="shared" si="22"/>
        <v>-2.8026825672175568</v>
      </c>
      <c r="AB92" s="2">
        <f t="shared" si="23"/>
        <v>-0.43563314804374181</v>
      </c>
      <c r="AC92" s="2">
        <f t="shared" si="24"/>
        <v>-1.8820076455726851</v>
      </c>
      <c r="AD92" s="2">
        <f t="shared" si="25"/>
        <v>0.87376295539322968</v>
      </c>
      <c r="AE92" s="2">
        <f t="shared" si="26"/>
        <v>-0.24966433321845002</v>
      </c>
      <c r="AF92" s="2">
        <f t="shared" si="27"/>
        <v>1.8540136984662776</v>
      </c>
      <c r="AG92" s="1"/>
      <c r="AH92" s="1" t="str" cm="1">
        <f t="array" ref="AH92">_xlfn.IFS(AA92&gt;3,"Strong + Slope",AA92&gt;1.5,"Moderate + Slope",AA92&gt;0.5,"Sideway + Slope",AA92&gt;=-0.5,"Sideway Flat",AA92&gt;=-1.5,"Sideway - Slope",AA92&gt;=-3,"Moderate - Slope",TRUE,"Strong - Slope")</f>
        <v>Moderate - Slope</v>
      </c>
      <c r="AI92" s="1" t="str" cm="1">
        <f t="array" ref="AI92">_xlfn.IFS(AB92&gt;3,"Strong + Slope",AB92&gt;1.5,"Moderate + Slope",AB92&gt;0.5,"Sideway + Slope",AB92&gt;=-0.5,"Sideway Flat",AB92&gt;=-1.5,"Sideway - Slope",AB92&gt;=-3,"Moderate - Slope",TRUE,"Strong - Slope")</f>
        <v>Sideway Flat</v>
      </c>
      <c r="AJ92" s="1" t="str" cm="1">
        <f t="array" ref="AJ92">_xlfn.IFS(AC92&gt;3,"Strong + Slope",AC92&gt;1.5,"Moderate + Slope",AC92&gt;0.5,"Sideway + Slope",AC92&gt;=-0.5,"Sideway Flat",AC92&gt;=-1.5,"Sideway - Slope",AC92&gt;=-3,"Moderate - Slope",TRUE,"Strong - Slope")</f>
        <v>Moderate - Slope</v>
      </c>
      <c r="AK92" s="1" t="str" cm="1">
        <f t="array" ref="AK92">_xlfn.IFS(AD92&gt;3,"Strong + Slope",AD92&gt;1.5,"Moderate + Slope",AD92&gt;0.5,"Sideway + Slope",AD92&gt;=-0.5,"Sideway Flat",AD92&gt;=-1.5,"Sideway - Slope",AD92&gt;=-3,"Moderate - Slope",TRUE,"Strong - Slope")</f>
        <v>Sideway + Slope</v>
      </c>
      <c r="AL92" s="1" t="str" cm="1">
        <f t="array" ref="AL92">_xlfn.IFS(AE92&gt;3,"Strong + Slope",AE92&gt;1.5,"Moderate + Slope",AE92&gt;0.5,"Sideway + Slope",AE92&gt;=-0.5,"Sideway Flat",AE92&gt;=-1.5,"Sideway - Slope",AE92&gt;=-3,"Moderate - Slope",TRUE,"Strong - Slope")</f>
        <v>Sideway Flat</v>
      </c>
      <c r="AM92" s="1" t="str" cm="1">
        <f t="array" ref="AM92">_xlfn.IFS(AF92&gt;3,"Strong + Slope",AF92&gt;1.5,"Moderate + Slope",AF92&gt;0.5,"Sideway + Slope",AF92&gt;=-0.5,"Sideway Flat",AF92&gt;=-1.5,"Sideway - Slope",AF92&gt;=-3,"Moderate - Slope",TRUE,"Strong - Slope")</f>
        <v>Moderate + Slope</v>
      </c>
    </row>
    <row r="93" spans="1:39" x14ac:dyDescent="0.55000000000000004">
      <c r="A93" s="1">
        <v>91</v>
      </c>
      <c r="B93" s="1" t="s">
        <v>93</v>
      </c>
      <c r="C93" s="1" t="s">
        <v>3</v>
      </c>
      <c r="D93" s="1" t="s">
        <v>102</v>
      </c>
      <c r="E93" s="1">
        <v>152.69200000000001</v>
      </c>
      <c r="F93" s="1">
        <v>152.648</v>
      </c>
      <c r="G93" s="1">
        <v>152.67599999999999</v>
      </c>
      <c r="H93" s="1">
        <v>152.82</v>
      </c>
      <c r="I93" s="1">
        <v>152.87799999999999</v>
      </c>
      <c r="J93" s="1">
        <v>153.12299999999999</v>
      </c>
      <c r="K93" s="1">
        <v>152.62899999999999</v>
      </c>
      <c r="L93" s="1">
        <v>152.58199999999999</v>
      </c>
      <c r="M93" s="1">
        <v>152.91</v>
      </c>
      <c r="N93" s="10">
        <f t="shared" si="17"/>
        <v>4.4000000000011141E-2</v>
      </c>
      <c r="O93" s="10">
        <f t="shared" si="18"/>
        <v>4.4000000000011141E-2</v>
      </c>
      <c r="P93" s="10">
        <f t="shared" si="19"/>
        <v>0</v>
      </c>
      <c r="Q93" s="10">
        <f t="shared" si="20"/>
        <v>4.4000000000011141E-2</v>
      </c>
      <c r="R93" s="10">
        <f t="shared" si="21"/>
        <v>4.8357142857140288E-2</v>
      </c>
      <c r="S93" s="1"/>
      <c r="T93" s="2">
        <f>SLOPE(H80:H93,$A80:$A93)</f>
        <v>-2.4285714285716561E-3</v>
      </c>
      <c r="U93" s="2">
        <f>SLOPE(I80:I93,$A80:$A93)</f>
        <v>-3.5604395604565611E-4</v>
      </c>
      <c r="V93" s="2">
        <f>SLOPE(J80:J93,$A80:$A93)</f>
        <v>-1.6439560439562729E-3</v>
      </c>
      <c r="W93" s="2">
        <f>SLOPE(K80:K93,$A80:$A93)</f>
        <v>7.4725274725200518E-4</v>
      </c>
      <c r="X93" s="2">
        <f>SLOPE(L80:L93,$A80:$A93)</f>
        <v>-2.3076923077033267E-4</v>
      </c>
      <c r="Y93" s="2">
        <f>SLOPE(M80:M93,$A80:$A93)</f>
        <v>1.5868131868137674E-3</v>
      </c>
      <c r="Z93" s="1"/>
      <c r="AA93" s="2">
        <f t="shared" si="22"/>
        <v>-2.8750682094435813</v>
      </c>
      <c r="AB93" s="2">
        <f t="shared" si="23"/>
        <v>-0.42184972434304541</v>
      </c>
      <c r="AC93" s="2">
        <f t="shared" si="24"/>
        <v>-1.9470852832071379</v>
      </c>
      <c r="AD93" s="2">
        <f t="shared" si="25"/>
        <v>0.88530915472949145</v>
      </c>
      <c r="AE93" s="2">
        <f t="shared" si="26"/>
        <v>-0.27342398273542634</v>
      </c>
      <c r="AF93" s="2">
        <f t="shared" si="27"/>
        <v>1.8794552601499399</v>
      </c>
      <c r="AG93" s="1"/>
      <c r="AH93" s="1" t="str" cm="1">
        <f t="array" ref="AH93">_xlfn.IFS(AA93&gt;3,"Strong + Slope",AA93&gt;1.5,"Moderate + Slope",AA93&gt;0.5,"Sideway + Slope",AA93&gt;=-0.5,"Sideway Flat",AA93&gt;=-1.5,"Sideway - Slope",AA93&gt;=-3,"Moderate - Slope",TRUE,"Strong - Slope")</f>
        <v>Moderate - Slope</v>
      </c>
      <c r="AI93" s="1" t="str" cm="1">
        <f t="array" ref="AI93">_xlfn.IFS(AB93&gt;3,"Strong + Slope",AB93&gt;1.5,"Moderate + Slope",AB93&gt;0.5,"Sideway + Slope",AB93&gt;=-0.5,"Sideway Flat",AB93&gt;=-1.5,"Sideway - Slope",AB93&gt;=-3,"Moderate - Slope",TRUE,"Strong - Slope")</f>
        <v>Sideway Flat</v>
      </c>
      <c r="AJ93" s="1" t="str" cm="1">
        <f t="array" ref="AJ93">_xlfn.IFS(AC93&gt;3,"Strong + Slope",AC93&gt;1.5,"Moderate + Slope",AC93&gt;0.5,"Sideway + Slope",AC93&gt;=-0.5,"Sideway Flat",AC93&gt;=-1.5,"Sideway - Slope",AC93&gt;=-3,"Moderate - Slope",TRUE,"Strong - Slope")</f>
        <v>Moderate - Slope</v>
      </c>
      <c r="AK93" s="1" t="str" cm="1">
        <f t="array" ref="AK93">_xlfn.IFS(AD93&gt;3,"Strong + Slope",AD93&gt;1.5,"Moderate + Slope",AD93&gt;0.5,"Sideway + Slope",AD93&gt;=-0.5,"Sideway Flat",AD93&gt;=-1.5,"Sideway - Slope",AD93&gt;=-3,"Moderate - Slope",TRUE,"Strong - Slope")</f>
        <v>Sideway + Slope</v>
      </c>
      <c r="AL93" s="1" t="str" cm="1">
        <f t="array" ref="AL93">_xlfn.IFS(AE93&gt;3,"Strong + Slope",AE93&gt;1.5,"Moderate + Slope",AE93&gt;0.5,"Sideway + Slope",AE93&gt;=-0.5,"Sideway Flat",AE93&gt;=-1.5,"Sideway - Slope",AE93&gt;=-3,"Moderate - Slope",TRUE,"Strong - Slope")</f>
        <v>Sideway Flat</v>
      </c>
      <c r="AM93" s="1" t="str" cm="1">
        <f t="array" ref="AM93">_xlfn.IFS(AF93&gt;3,"Strong + Slope",AF93&gt;1.5,"Moderate + Slope",AF93&gt;0.5,"Sideway + Slope",AF93&gt;=-0.5,"Sideway Flat",AF93&gt;=-1.5,"Sideway - Slope",AF93&gt;=-3,"Moderate - Slope",TRUE,"Strong - Slope")</f>
        <v>Moderate + Slope</v>
      </c>
    </row>
    <row r="94" spans="1:39" x14ac:dyDescent="0.55000000000000004">
      <c r="A94" s="1">
        <v>92</v>
      </c>
      <c r="B94" s="1" t="s">
        <v>94</v>
      </c>
      <c r="C94" s="1" t="s">
        <v>3</v>
      </c>
      <c r="D94" s="1" t="s">
        <v>102</v>
      </c>
      <c r="E94" s="1">
        <v>152.67599999999999</v>
      </c>
      <c r="F94" s="1">
        <v>152.636</v>
      </c>
      <c r="G94" s="1">
        <v>152.642</v>
      </c>
      <c r="H94" s="1">
        <v>152.81800000000001</v>
      </c>
      <c r="I94" s="1">
        <v>152.87700000000001</v>
      </c>
      <c r="J94" s="1">
        <v>153.12200000000001</v>
      </c>
      <c r="K94" s="1">
        <v>152.63</v>
      </c>
      <c r="L94" s="1">
        <v>152.58199999999999</v>
      </c>
      <c r="M94" s="1">
        <v>152.91200000000001</v>
      </c>
      <c r="N94" s="10">
        <f t="shared" si="17"/>
        <v>3.9999999999992042E-2</v>
      </c>
      <c r="O94" s="10">
        <f t="shared" si="18"/>
        <v>0</v>
      </c>
      <c r="P94" s="10">
        <f t="shared" si="19"/>
        <v>3.9999999999992042E-2</v>
      </c>
      <c r="Q94" s="10">
        <f t="shared" si="20"/>
        <v>3.9999999999992042E-2</v>
      </c>
      <c r="R94" s="10">
        <f t="shared" si="21"/>
        <v>5.0214285714281867E-2</v>
      </c>
      <c r="S94" s="1"/>
      <c r="T94" s="2">
        <f>SLOPE(H81:H94,$A81:$A94)</f>
        <v>-2.4109890109887794E-3</v>
      </c>
      <c r="U94" s="2">
        <f>SLOPE(I81:I94,$A81:$A94)</f>
        <v>-3.7582417582515828E-4</v>
      </c>
      <c r="V94" s="2">
        <f>SLOPE(J81:J94,$A81:$A94)</f>
        <v>-1.624175824175209E-3</v>
      </c>
      <c r="W94" s="2">
        <f>SLOPE(K81:K94,$A81:$A94)</f>
        <v>7.5384615384519339E-4</v>
      </c>
      <c r="X94" s="2">
        <f>SLOPE(L81:L94,$A81:$A94)</f>
        <v>-2.3296703296814535E-4</v>
      </c>
      <c r="Y94" s="2">
        <f>SLOPE(M81:M94,$A81:$A94)</f>
        <v>1.6000000000004563E-3</v>
      </c>
      <c r="Z94" s="1"/>
      <c r="AA94" s="2">
        <f t="shared" si="22"/>
        <v>-2.7488888143132622</v>
      </c>
      <c r="AB94" s="2">
        <f t="shared" si="23"/>
        <v>-0.42881695421246108</v>
      </c>
      <c r="AC94" s="2">
        <f t="shared" si="24"/>
        <v>-1.8525801295734245</v>
      </c>
      <c r="AD94" s="2">
        <f t="shared" si="25"/>
        <v>0.86009305896324073</v>
      </c>
      <c r="AE94" s="2">
        <f t="shared" si="26"/>
        <v>-0.26581941365825429</v>
      </c>
      <c r="AF94" s="2">
        <f t="shared" si="27"/>
        <v>1.8250233009023746</v>
      </c>
      <c r="AG94" s="1"/>
      <c r="AH94" s="1" t="str" cm="1">
        <f t="array" ref="AH94">_xlfn.IFS(AA94&gt;3,"Strong + Slope",AA94&gt;1.5,"Moderate + Slope",AA94&gt;0.5,"Sideway + Slope",AA94&gt;=-0.5,"Sideway Flat",AA94&gt;=-1.5,"Sideway - Slope",AA94&gt;=-3,"Moderate - Slope",TRUE,"Strong - Slope")</f>
        <v>Moderate - Slope</v>
      </c>
      <c r="AI94" s="1" t="str" cm="1">
        <f t="array" ref="AI94">_xlfn.IFS(AB94&gt;3,"Strong + Slope",AB94&gt;1.5,"Moderate + Slope",AB94&gt;0.5,"Sideway + Slope",AB94&gt;=-0.5,"Sideway Flat",AB94&gt;=-1.5,"Sideway - Slope",AB94&gt;=-3,"Moderate - Slope",TRUE,"Strong - Slope")</f>
        <v>Sideway Flat</v>
      </c>
      <c r="AJ94" s="1" t="str" cm="1">
        <f t="array" ref="AJ94">_xlfn.IFS(AC94&gt;3,"Strong + Slope",AC94&gt;1.5,"Moderate + Slope",AC94&gt;0.5,"Sideway + Slope",AC94&gt;=-0.5,"Sideway Flat",AC94&gt;=-1.5,"Sideway - Slope",AC94&gt;=-3,"Moderate - Slope",TRUE,"Strong - Slope")</f>
        <v>Moderate - Slope</v>
      </c>
      <c r="AK94" s="1" t="str" cm="1">
        <f t="array" ref="AK94">_xlfn.IFS(AD94&gt;3,"Strong + Slope",AD94&gt;1.5,"Moderate + Slope",AD94&gt;0.5,"Sideway + Slope",AD94&gt;=-0.5,"Sideway Flat",AD94&gt;=-1.5,"Sideway - Slope",AD94&gt;=-3,"Moderate - Slope",TRUE,"Strong - Slope")</f>
        <v>Sideway + Slope</v>
      </c>
      <c r="AL94" s="1" t="str" cm="1">
        <f t="array" ref="AL94">_xlfn.IFS(AE94&gt;3,"Strong + Slope",AE94&gt;1.5,"Moderate + Slope",AE94&gt;0.5,"Sideway + Slope",AE94&gt;=-0.5,"Sideway Flat",AE94&gt;=-1.5,"Sideway - Slope",AE94&gt;=-3,"Moderate - Slope",TRUE,"Strong - Slope")</f>
        <v>Sideway Flat</v>
      </c>
      <c r="AM94" s="1" t="str" cm="1">
        <f t="array" ref="AM94">_xlfn.IFS(AF94&gt;3,"Strong + Slope",AF94&gt;1.5,"Moderate + Slope",AF94&gt;0.5,"Sideway + Slope",AF94&gt;=-0.5,"Sideway Flat",AF94&gt;=-1.5,"Sideway - Slope",AF94&gt;=-3,"Moderate - Slope",TRUE,"Strong - Slope")</f>
        <v>Moderate + Slope</v>
      </c>
    </row>
    <row r="95" spans="1:39" x14ac:dyDescent="0.55000000000000004">
      <c r="A95" s="1">
        <v>93</v>
      </c>
      <c r="B95" s="1" t="s">
        <v>95</v>
      </c>
      <c r="C95" s="1" t="s">
        <v>3</v>
      </c>
      <c r="D95" s="1" t="s">
        <v>102</v>
      </c>
      <c r="E95" s="1">
        <v>152.66200000000001</v>
      </c>
      <c r="F95" s="1">
        <v>152.636</v>
      </c>
      <c r="G95" s="1">
        <v>152.64500000000001</v>
      </c>
      <c r="H95" s="1">
        <v>152.815</v>
      </c>
      <c r="I95" s="1">
        <v>152.87700000000001</v>
      </c>
      <c r="J95" s="1">
        <v>153.12</v>
      </c>
      <c r="K95" s="1">
        <v>152.63</v>
      </c>
      <c r="L95" s="1">
        <v>152.58199999999999</v>
      </c>
      <c r="M95" s="1">
        <v>152.91300000000001</v>
      </c>
      <c r="N95" s="10">
        <f t="shared" si="17"/>
        <v>2.6000000000010459E-2</v>
      </c>
      <c r="O95" s="10">
        <f t="shared" si="18"/>
        <v>2.0000000000010232E-2</v>
      </c>
      <c r="P95" s="10">
        <f t="shared" si="19"/>
        <v>6.0000000000002274E-3</v>
      </c>
      <c r="Q95" s="10">
        <f t="shared" si="20"/>
        <v>2.6000000000010459E-2</v>
      </c>
      <c r="R95" s="10">
        <f t="shared" si="21"/>
        <v>4.9714285714283539E-2</v>
      </c>
      <c r="S95" s="1"/>
      <c r="T95" s="2">
        <f>SLOPE(H82:H95,$A82:$A95)</f>
        <v>-2.4285714285716561E-3</v>
      </c>
      <c r="U95" s="2">
        <f>SLOPE(I82:I95,$A82:$A95)</f>
        <v>-3.7362637362665848E-4</v>
      </c>
      <c r="V95" s="2">
        <f>SLOPE(J82:J95,$A82:$A95)</f>
        <v>-1.6263736263727718E-3</v>
      </c>
      <c r="W95" s="2">
        <f>SLOPE(K82:K95,$A82:$A95)</f>
        <v>7.4505494505394264E-4</v>
      </c>
      <c r="X95" s="2">
        <f>SLOPE(L82:L95,$A82:$A95)</f>
        <v>-2.2197802197908189E-4</v>
      </c>
      <c r="Y95" s="2">
        <f>SLOPE(M82:M95,$A82:$A95)</f>
        <v>1.5780219780225167E-3</v>
      </c>
      <c r="Z95" s="1"/>
      <c r="AA95" s="2">
        <f t="shared" si="22"/>
        <v>-2.7967085032762258</v>
      </c>
      <c r="AB95" s="2">
        <f t="shared" si="23"/>
        <v>-0.43059677890421399</v>
      </c>
      <c r="AC95" s="2">
        <f t="shared" si="24"/>
        <v>-1.8737294867101444</v>
      </c>
      <c r="AD95" s="2">
        <f t="shared" si="25"/>
        <v>0.85861252345453787</v>
      </c>
      <c r="AE95" s="2">
        <f t="shared" si="26"/>
        <v>-0.25582826144454979</v>
      </c>
      <c r="AF95" s="2">
        <f t="shared" si="27"/>
        <v>1.8180619720648388</v>
      </c>
      <c r="AG95" s="1"/>
      <c r="AH95" s="1" t="str" cm="1">
        <f t="array" ref="AH95">_xlfn.IFS(AA95&gt;3,"Strong + Slope",AA95&gt;1.5,"Moderate + Slope",AA95&gt;0.5,"Sideway + Slope",AA95&gt;=-0.5,"Sideway Flat",AA95&gt;=-1.5,"Sideway - Slope",AA95&gt;=-3,"Moderate - Slope",TRUE,"Strong - Slope")</f>
        <v>Moderate - Slope</v>
      </c>
      <c r="AI95" s="1" t="str" cm="1">
        <f t="array" ref="AI95">_xlfn.IFS(AB95&gt;3,"Strong + Slope",AB95&gt;1.5,"Moderate + Slope",AB95&gt;0.5,"Sideway + Slope",AB95&gt;=-0.5,"Sideway Flat",AB95&gt;=-1.5,"Sideway - Slope",AB95&gt;=-3,"Moderate - Slope",TRUE,"Strong - Slope")</f>
        <v>Sideway Flat</v>
      </c>
      <c r="AJ95" s="1" t="str" cm="1">
        <f t="array" ref="AJ95">_xlfn.IFS(AC95&gt;3,"Strong + Slope",AC95&gt;1.5,"Moderate + Slope",AC95&gt;0.5,"Sideway + Slope",AC95&gt;=-0.5,"Sideway Flat",AC95&gt;=-1.5,"Sideway - Slope",AC95&gt;=-3,"Moderate - Slope",TRUE,"Strong - Slope")</f>
        <v>Moderate - Slope</v>
      </c>
      <c r="AK95" s="1" t="str" cm="1">
        <f t="array" ref="AK95">_xlfn.IFS(AD95&gt;3,"Strong + Slope",AD95&gt;1.5,"Moderate + Slope",AD95&gt;0.5,"Sideway + Slope",AD95&gt;=-0.5,"Sideway Flat",AD95&gt;=-1.5,"Sideway - Slope",AD95&gt;=-3,"Moderate - Slope",TRUE,"Strong - Slope")</f>
        <v>Sideway + Slope</v>
      </c>
      <c r="AL95" s="1" t="str" cm="1">
        <f t="array" ref="AL95">_xlfn.IFS(AE95&gt;3,"Strong + Slope",AE95&gt;1.5,"Moderate + Slope",AE95&gt;0.5,"Sideway + Slope",AE95&gt;=-0.5,"Sideway Flat",AE95&gt;=-1.5,"Sideway - Slope",AE95&gt;=-3,"Moderate - Slope",TRUE,"Strong - Slope")</f>
        <v>Sideway Flat</v>
      </c>
      <c r="AM95" s="1" t="str" cm="1">
        <f t="array" ref="AM95">_xlfn.IFS(AF95&gt;3,"Strong + Slope",AF95&gt;1.5,"Moderate + Slope",AF95&gt;0.5,"Sideway + Slope",AF95&gt;=-0.5,"Sideway Flat",AF95&gt;=-1.5,"Sideway - Slope",AF95&gt;=-3,"Moderate - Slope",TRUE,"Strong - Slope")</f>
        <v>Moderate + Slope</v>
      </c>
    </row>
    <row r="96" spans="1:39" x14ac:dyDescent="0.55000000000000004">
      <c r="A96" s="1">
        <v>94</v>
      </c>
      <c r="B96" s="1" t="s">
        <v>96</v>
      </c>
      <c r="C96" s="1" t="s">
        <v>3</v>
      </c>
      <c r="D96" s="1" t="s">
        <v>102</v>
      </c>
      <c r="E96" s="1">
        <v>152.655</v>
      </c>
      <c r="F96" s="1">
        <v>152.63200000000001</v>
      </c>
      <c r="G96" s="1">
        <v>152.65</v>
      </c>
      <c r="H96" s="1">
        <v>152.81299999999999</v>
      </c>
      <c r="I96" s="1">
        <v>152.876</v>
      </c>
      <c r="J96" s="1">
        <v>153.11799999999999</v>
      </c>
      <c r="K96" s="1">
        <v>152.631</v>
      </c>
      <c r="L96" s="1">
        <v>152.58099999999999</v>
      </c>
      <c r="M96" s="1">
        <v>152.91499999999999</v>
      </c>
      <c r="N96" s="10">
        <f t="shared" si="17"/>
        <v>2.2999999999996135E-2</v>
      </c>
      <c r="O96" s="10">
        <f t="shared" si="18"/>
        <v>9.9999999999909051E-3</v>
      </c>
      <c r="P96" s="10">
        <f t="shared" si="19"/>
        <v>1.300000000000523E-2</v>
      </c>
      <c r="Q96" s="10">
        <f t="shared" si="20"/>
        <v>2.2999999999996135E-2</v>
      </c>
      <c r="R96" s="10">
        <f t="shared" si="21"/>
        <v>4.9214285714283178E-2</v>
      </c>
      <c r="S96" s="1"/>
      <c r="T96" s="2">
        <f>SLOPE(H83:H96,$A83:$A96)</f>
        <v>-2.4197802197805924E-3</v>
      </c>
      <c r="U96" s="2">
        <f>SLOPE(I83:I96,$A83:$A96)</f>
        <v>-3.7802197802172164E-4</v>
      </c>
      <c r="V96" s="2">
        <f>SLOPE(J83:J96,$A83:$A96)</f>
        <v>-1.6505494505489613E-3</v>
      </c>
      <c r="W96" s="2">
        <f>SLOPE(K83:K96,$A83:$A96)</f>
        <v>7.5384615384544329E-4</v>
      </c>
      <c r="X96" s="2">
        <f>SLOPE(L83:L96,$A83:$A96)</f>
        <v>-2.2637362637470727E-4</v>
      </c>
      <c r="Y96" s="2">
        <f>SLOPE(M83:M96,$A83:$A96)</f>
        <v>1.5824175824178922E-3</v>
      </c>
      <c r="Z96" s="1"/>
      <c r="AA96" s="2">
        <f t="shared" si="22"/>
        <v>-2.814866245308103</v>
      </c>
      <c r="AB96" s="2">
        <f t="shared" si="23"/>
        <v>-0.44008843455209162</v>
      </c>
      <c r="AC96" s="2">
        <f t="shared" si="24"/>
        <v>-1.9208667303959721</v>
      </c>
      <c r="AD96" s="2">
        <f t="shared" si="25"/>
        <v>0.8775668448213263</v>
      </c>
      <c r="AE96" s="2">
        <f t="shared" si="26"/>
        <v>-0.26354465423009937</v>
      </c>
      <c r="AF96" s="2">
        <f t="shared" si="27"/>
        <v>1.8416324005137668</v>
      </c>
      <c r="AG96" s="1"/>
      <c r="AH96" s="1" t="str" cm="1">
        <f t="array" ref="AH96">_xlfn.IFS(AA96&gt;3,"Strong + Slope",AA96&gt;1.5,"Moderate + Slope",AA96&gt;0.5,"Sideway + Slope",AA96&gt;=-0.5,"Sideway Flat",AA96&gt;=-1.5,"Sideway - Slope",AA96&gt;=-3,"Moderate - Slope",TRUE,"Strong - Slope")</f>
        <v>Moderate - Slope</v>
      </c>
      <c r="AI96" s="1" t="str" cm="1">
        <f t="array" ref="AI96">_xlfn.IFS(AB96&gt;3,"Strong + Slope",AB96&gt;1.5,"Moderate + Slope",AB96&gt;0.5,"Sideway + Slope",AB96&gt;=-0.5,"Sideway Flat",AB96&gt;=-1.5,"Sideway - Slope",AB96&gt;=-3,"Moderate - Slope",TRUE,"Strong - Slope")</f>
        <v>Sideway Flat</v>
      </c>
      <c r="AJ96" s="1" t="str" cm="1">
        <f t="array" ref="AJ96">_xlfn.IFS(AC96&gt;3,"Strong + Slope",AC96&gt;1.5,"Moderate + Slope",AC96&gt;0.5,"Sideway + Slope",AC96&gt;=-0.5,"Sideway Flat",AC96&gt;=-1.5,"Sideway - Slope",AC96&gt;=-3,"Moderate - Slope",TRUE,"Strong - Slope")</f>
        <v>Moderate - Slope</v>
      </c>
      <c r="AK96" s="1" t="str" cm="1">
        <f t="array" ref="AK96">_xlfn.IFS(AD96&gt;3,"Strong + Slope",AD96&gt;1.5,"Moderate + Slope",AD96&gt;0.5,"Sideway + Slope",AD96&gt;=-0.5,"Sideway Flat",AD96&gt;=-1.5,"Sideway - Slope",AD96&gt;=-3,"Moderate - Slope",TRUE,"Strong - Slope")</f>
        <v>Sideway + Slope</v>
      </c>
      <c r="AL96" s="1" t="str" cm="1">
        <f t="array" ref="AL96">_xlfn.IFS(AE96&gt;3,"Strong + Slope",AE96&gt;1.5,"Moderate + Slope",AE96&gt;0.5,"Sideway + Slope",AE96&gt;=-0.5,"Sideway Flat",AE96&gt;=-1.5,"Sideway - Slope",AE96&gt;=-3,"Moderate - Slope",TRUE,"Strong - Slope")</f>
        <v>Sideway Flat</v>
      </c>
      <c r="AM96" s="1" t="str" cm="1">
        <f t="array" ref="AM96">_xlfn.IFS(AF96&gt;3,"Strong + Slope",AF96&gt;1.5,"Moderate + Slope",AF96&gt;0.5,"Sideway + Slope",AF96&gt;=-0.5,"Sideway Flat",AF96&gt;=-1.5,"Sideway - Slope",AF96&gt;=-3,"Moderate - Slope",TRUE,"Strong - Slope")</f>
        <v>Moderate + Slope</v>
      </c>
    </row>
    <row r="97" spans="1:39" x14ac:dyDescent="0.55000000000000004">
      <c r="A97" s="1">
        <v>95</v>
      </c>
      <c r="B97" s="1" t="s">
        <v>97</v>
      </c>
      <c r="C97" s="1" t="s">
        <v>3</v>
      </c>
      <c r="D97" s="1" t="s">
        <v>102</v>
      </c>
      <c r="E97" s="1">
        <v>152.702</v>
      </c>
      <c r="F97" s="1">
        <v>152.65199999999999</v>
      </c>
      <c r="G97" s="1">
        <v>152.69999999999999</v>
      </c>
      <c r="H97" s="1">
        <v>152.81</v>
      </c>
      <c r="I97" s="1">
        <v>152.876</v>
      </c>
      <c r="J97" s="1">
        <v>153.11699999999999</v>
      </c>
      <c r="K97" s="1">
        <v>152.63200000000001</v>
      </c>
      <c r="L97" s="1">
        <v>152.58099999999999</v>
      </c>
      <c r="M97" s="1">
        <v>152.917</v>
      </c>
      <c r="N97" s="10">
        <f t="shared" si="17"/>
        <v>5.0000000000011369E-2</v>
      </c>
      <c r="O97" s="10">
        <f t="shared" si="18"/>
        <v>5.1999999999992497E-2</v>
      </c>
      <c r="P97" s="10">
        <f t="shared" si="19"/>
        <v>1.999999999981128E-3</v>
      </c>
      <c r="Q97" s="10">
        <f t="shared" si="20"/>
        <v>5.1999999999992497E-2</v>
      </c>
      <c r="R97" s="10">
        <f t="shared" si="21"/>
        <v>5.0714285714282221E-2</v>
      </c>
      <c r="S97" s="1"/>
      <c r="T97" s="2">
        <f>SLOPE(H84:H97,$A84:$A97)</f>
        <v>-2.4461538461543449E-3</v>
      </c>
      <c r="U97" s="2">
        <f>SLOPE(I84:I97,$A84:$A97)</f>
        <v>-3.8901098901034787E-4</v>
      </c>
      <c r="V97" s="2">
        <f>SLOPE(J84:J97,$A84:$A97)</f>
        <v>-1.6351648351650221E-3</v>
      </c>
      <c r="W97" s="2">
        <f>SLOPE(K84:K97,$A84:$A97)</f>
        <v>7.4725274725250489E-4</v>
      </c>
      <c r="X97" s="2">
        <f>SLOPE(L84:L97,$A84:$A97)</f>
        <v>-2.4615384615502152E-4</v>
      </c>
      <c r="Y97" s="2">
        <f>SLOPE(M84:M97,$A84:$A97)</f>
        <v>1.5802197802203294E-3</v>
      </c>
      <c r="Z97" s="1"/>
      <c r="AA97" s="2">
        <f t="shared" si="22"/>
        <v>-2.7614655378783057</v>
      </c>
      <c r="AB97" s="2">
        <f t="shared" si="23"/>
        <v>-0.43948663399605431</v>
      </c>
      <c r="AC97" s="2">
        <f t="shared" si="24"/>
        <v>-1.8467301083919732</v>
      </c>
      <c r="AD97" s="2">
        <f t="shared" si="25"/>
        <v>0.84416708243289329</v>
      </c>
      <c r="AE97" s="2">
        <f t="shared" si="26"/>
        <v>-0.27809650760555898</v>
      </c>
      <c r="AF97" s="2">
        <f t="shared" si="27"/>
        <v>1.784716834014433</v>
      </c>
      <c r="AG97" s="1"/>
      <c r="AH97" s="1" t="str" cm="1">
        <f t="array" ref="AH97">_xlfn.IFS(AA97&gt;3,"Strong + Slope",AA97&gt;1.5,"Moderate + Slope",AA97&gt;0.5,"Sideway + Slope",AA97&gt;=-0.5,"Sideway Flat",AA97&gt;=-1.5,"Sideway - Slope",AA97&gt;=-3,"Moderate - Slope",TRUE,"Strong - Slope")</f>
        <v>Moderate - Slope</v>
      </c>
      <c r="AI97" s="1" t="str" cm="1">
        <f t="array" ref="AI97">_xlfn.IFS(AB97&gt;3,"Strong + Slope",AB97&gt;1.5,"Moderate + Slope",AB97&gt;0.5,"Sideway + Slope",AB97&gt;=-0.5,"Sideway Flat",AB97&gt;=-1.5,"Sideway - Slope",AB97&gt;=-3,"Moderate - Slope",TRUE,"Strong - Slope")</f>
        <v>Sideway Flat</v>
      </c>
      <c r="AJ97" s="1" t="str" cm="1">
        <f t="array" ref="AJ97">_xlfn.IFS(AC97&gt;3,"Strong + Slope",AC97&gt;1.5,"Moderate + Slope",AC97&gt;0.5,"Sideway + Slope",AC97&gt;=-0.5,"Sideway Flat",AC97&gt;=-1.5,"Sideway - Slope",AC97&gt;=-3,"Moderate - Slope",TRUE,"Strong - Slope")</f>
        <v>Moderate - Slope</v>
      </c>
      <c r="AK97" s="1" t="str" cm="1">
        <f t="array" ref="AK97">_xlfn.IFS(AD97&gt;3,"Strong + Slope",AD97&gt;1.5,"Moderate + Slope",AD97&gt;0.5,"Sideway + Slope",AD97&gt;=-0.5,"Sideway Flat",AD97&gt;=-1.5,"Sideway - Slope",AD97&gt;=-3,"Moderate - Slope",TRUE,"Strong - Slope")</f>
        <v>Sideway + Slope</v>
      </c>
      <c r="AL97" s="1" t="str" cm="1">
        <f t="array" ref="AL97">_xlfn.IFS(AE97&gt;3,"Strong + Slope",AE97&gt;1.5,"Moderate + Slope",AE97&gt;0.5,"Sideway + Slope",AE97&gt;=-0.5,"Sideway Flat",AE97&gt;=-1.5,"Sideway - Slope",AE97&gt;=-3,"Moderate - Slope",TRUE,"Strong - Slope")</f>
        <v>Sideway Flat</v>
      </c>
      <c r="AM97" s="1" t="str" cm="1">
        <f t="array" ref="AM97">_xlfn.IFS(AF97&gt;3,"Strong + Slope",AF97&gt;1.5,"Moderate + Slope",AF97&gt;0.5,"Sideway + Slope",AF97&gt;=-0.5,"Sideway Flat",AF97&gt;=-1.5,"Sideway - Slope",AF97&gt;=-3,"Moderate - Slope",TRUE,"Strong - Slope")</f>
        <v>Moderate + Slope</v>
      </c>
    </row>
    <row r="98" spans="1:39" x14ac:dyDescent="0.55000000000000004">
      <c r="A98" s="1">
        <v>96</v>
      </c>
      <c r="B98" s="1" t="s">
        <v>98</v>
      </c>
      <c r="C98" s="1" t="s">
        <v>3</v>
      </c>
      <c r="D98" s="1" t="s">
        <v>102</v>
      </c>
      <c r="E98" s="1">
        <v>152.726</v>
      </c>
      <c r="F98" s="1">
        <v>152.68799999999999</v>
      </c>
      <c r="G98" s="1">
        <v>152.72200000000001</v>
      </c>
      <c r="H98" s="1">
        <v>152.80799999999999</v>
      </c>
      <c r="I98" s="1">
        <v>152.876</v>
      </c>
      <c r="J98" s="1">
        <v>153.11500000000001</v>
      </c>
      <c r="K98" s="1">
        <v>152.63300000000001</v>
      </c>
      <c r="L98" s="1">
        <v>152.58099999999999</v>
      </c>
      <c r="M98" s="1">
        <v>152.91800000000001</v>
      </c>
      <c r="N98" s="10">
        <f t="shared" si="17"/>
        <v>3.8000000000010914E-2</v>
      </c>
      <c r="O98" s="10">
        <f t="shared" si="18"/>
        <v>2.6000000000010459E-2</v>
      </c>
      <c r="P98" s="10">
        <f t="shared" si="19"/>
        <v>1.2000000000000455E-2</v>
      </c>
      <c r="Q98" s="10">
        <f t="shared" si="20"/>
        <v>3.8000000000010914E-2</v>
      </c>
      <c r="R98" s="10">
        <f t="shared" si="21"/>
        <v>4.8357142857140288E-2</v>
      </c>
      <c r="S98" s="1"/>
      <c r="T98" s="2">
        <f>SLOPE(H85:H98,$A85:$A98)</f>
        <v>-2.4461538461541575E-3</v>
      </c>
      <c r="U98" s="2">
        <f>SLOPE(I85:I98,$A85:$A98)</f>
        <v>-3.7802197802097208E-4</v>
      </c>
      <c r="V98" s="2">
        <f>SLOPE(J85:J98,$A85:$A98)</f>
        <v>-1.6417582417579603E-3</v>
      </c>
      <c r="W98" s="2">
        <f>SLOPE(K85:K98,$A85:$A98)</f>
        <v>7.5384615384669251E-4</v>
      </c>
      <c r="X98" s="2">
        <f>SLOPE(L85:L98,$A85:$A98)</f>
        <v>-2.5274725274845958E-4</v>
      </c>
      <c r="Y98" s="2">
        <f>SLOPE(M85:M98,$A85:$A98)</f>
        <v>1.5714285714288913E-3</v>
      </c>
      <c r="Z98" s="1"/>
      <c r="AA98" s="2">
        <f t="shared" si="22"/>
        <v>-2.895847880072723</v>
      </c>
      <c r="AB98" s="2">
        <f t="shared" si="23"/>
        <v>-0.44788880079741467</v>
      </c>
      <c r="AC98" s="2">
        <f t="shared" si="24"/>
        <v>-1.9444842276278367</v>
      </c>
      <c r="AD98" s="2">
        <f t="shared" si="25"/>
        <v>0.8931194463130171</v>
      </c>
      <c r="AE98" s="2">
        <f t="shared" si="26"/>
        <v>-0.29946390842297416</v>
      </c>
      <c r="AF98" s="2">
        <f t="shared" si="27"/>
        <v>1.8612462739991009</v>
      </c>
      <c r="AG98" s="1"/>
      <c r="AH98" s="1" t="str" cm="1">
        <f t="array" ref="AH98">_xlfn.IFS(AA98&gt;3,"Strong + Slope",AA98&gt;1.5,"Moderate + Slope",AA98&gt;0.5,"Sideway + Slope",AA98&gt;=-0.5,"Sideway Flat",AA98&gt;=-1.5,"Sideway - Slope",AA98&gt;=-3,"Moderate - Slope",TRUE,"Strong - Slope")</f>
        <v>Moderate - Slope</v>
      </c>
      <c r="AI98" s="1" t="str" cm="1">
        <f t="array" ref="AI98">_xlfn.IFS(AB98&gt;3,"Strong + Slope",AB98&gt;1.5,"Moderate + Slope",AB98&gt;0.5,"Sideway + Slope",AB98&gt;=-0.5,"Sideway Flat",AB98&gt;=-1.5,"Sideway - Slope",AB98&gt;=-3,"Moderate - Slope",TRUE,"Strong - Slope")</f>
        <v>Sideway Flat</v>
      </c>
      <c r="AJ98" s="1" t="str" cm="1">
        <f t="array" ref="AJ98">_xlfn.IFS(AC98&gt;3,"Strong + Slope",AC98&gt;1.5,"Moderate + Slope",AC98&gt;0.5,"Sideway + Slope",AC98&gt;=-0.5,"Sideway Flat",AC98&gt;=-1.5,"Sideway - Slope",AC98&gt;=-3,"Moderate - Slope",TRUE,"Strong - Slope")</f>
        <v>Moderate - Slope</v>
      </c>
      <c r="AK98" s="1" t="str" cm="1">
        <f t="array" ref="AK98">_xlfn.IFS(AD98&gt;3,"Strong + Slope",AD98&gt;1.5,"Moderate + Slope",AD98&gt;0.5,"Sideway + Slope",AD98&gt;=-0.5,"Sideway Flat",AD98&gt;=-1.5,"Sideway - Slope",AD98&gt;=-3,"Moderate - Slope",TRUE,"Strong - Slope")</f>
        <v>Sideway + Slope</v>
      </c>
      <c r="AL98" s="1" t="str" cm="1">
        <f t="array" ref="AL98">_xlfn.IFS(AE98&gt;3,"Strong + Slope",AE98&gt;1.5,"Moderate + Slope",AE98&gt;0.5,"Sideway + Slope",AE98&gt;=-0.5,"Sideway Flat",AE98&gt;=-1.5,"Sideway - Slope",AE98&gt;=-3,"Moderate - Slope",TRUE,"Strong - Slope")</f>
        <v>Sideway Flat</v>
      </c>
      <c r="AM98" s="1" t="str" cm="1">
        <f t="array" ref="AM98">_xlfn.IFS(AF98&gt;3,"Strong + Slope",AF98&gt;1.5,"Moderate + Slope",AF98&gt;0.5,"Sideway + Slope",AF98&gt;=-0.5,"Sideway Flat",AF98&gt;=-1.5,"Sideway - Slope",AF98&gt;=-3,"Moderate - Slope",TRUE,"Strong - Slope")</f>
        <v>Moderate + Slope</v>
      </c>
    </row>
    <row r="99" spans="1:39" x14ac:dyDescent="0.55000000000000004">
      <c r="A99" s="1">
        <v>97</v>
      </c>
      <c r="B99" s="1" t="s">
        <v>99</v>
      </c>
      <c r="C99" s="1" t="s">
        <v>3</v>
      </c>
      <c r="D99" s="1" t="s">
        <v>102</v>
      </c>
      <c r="E99" s="1">
        <v>152.72200000000001</v>
      </c>
      <c r="F99" s="1">
        <v>152.69200000000001</v>
      </c>
      <c r="G99" s="1">
        <v>152.69200000000001</v>
      </c>
      <c r="H99" s="1">
        <v>152.80600000000001</v>
      </c>
      <c r="I99" s="1">
        <v>152.875</v>
      </c>
      <c r="J99" s="1">
        <v>153.113</v>
      </c>
      <c r="K99" s="1">
        <v>152.63399999999999</v>
      </c>
      <c r="L99" s="1">
        <v>152.58099999999999</v>
      </c>
      <c r="M99" s="1">
        <v>152.91999999999999</v>
      </c>
      <c r="N99" s="10">
        <f t="shared" si="17"/>
        <v>3.0000000000001137E-2</v>
      </c>
      <c r="O99" s="10">
        <f t="shared" si="18"/>
        <v>0</v>
      </c>
      <c r="P99" s="10">
        <f t="shared" si="19"/>
        <v>3.0000000000001137E-2</v>
      </c>
      <c r="Q99" s="10">
        <f t="shared" si="20"/>
        <v>3.0000000000001137E-2</v>
      </c>
      <c r="R99" s="10">
        <f t="shared" si="21"/>
        <v>4.799999999999776E-2</v>
      </c>
      <c r="S99" s="1"/>
      <c r="T99" s="2">
        <f>SLOPE(H86:H99,$A86:$A99)</f>
        <v>-2.4197802197800304E-3</v>
      </c>
      <c r="U99" s="2">
        <f>SLOPE(I86:I99,$A86:$A99)</f>
        <v>-3.736263736251593E-4</v>
      </c>
      <c r="V99" s="2">
        <f>SLOPE(J86:J99,$A86:$A99)</f>
        <v>-1.6703296703295253E-3</v>
      </c>
      <c r="W99" s="2">
        <f>SLOPE(K86:K99,$A86:$A99)</f>
        <v>7.7362637362625723E-4</v>
      </c>
      <c r="X99" s="2">
        <f>SLOPE(L86:L99,$A86:$A99)</f>
        <v>-2.4615384615502152E-4</v>
      </c>
      <c r="Y99" s="2">
        <f>SLOPE(M86:M99,$A86:$A99)</f>
        <v>1.5890109890107681E-3</v>
      </c>
      <c r="Z99" s="1"/>
      <c r="AA99" s="2">
        <f t="shared" si="22"/>
        <v>-2.8859567588359498</v>
      </c>
      <c r="AB99" s="2">
        <f t="shared" si="23"/>
        <v>-0.44597462485803158</v>
      </c>
      <c r="AC99" s="2">
        <f t="shared" si="24"/>
        <v>-1.9930049683073794</v>
      </c>
      <c r="AD99" s="2">
        <f t="shared" si="25"/>
        <v>0.92336851371965922</v>
      </c>
      <c r="AE99" s="2">
        <f t="shared" si="26"/>
        <v>-0.29382193465212042</v>
      </c>
      <c r="AF99" s="2">
        <f t="shared" si="27"/>
        <v>1.8960497261584435</v>
      </c>
      <c r="AG99" s="1"/>
      <c r="AH99" s="1" t="str" cm="1">
        <f t="array" ref="AH99">_xlfn.IFS(AA99&gt;3,"Strong + Slope",AA99&gt;1.5,"Moderate + Slope",AA99&gt;0.5,"Sideway + Slope",AA99&gt;=-0.5,"Sideway Flat",AA99&gt;=-1.5,"Sideway - Slope",AA99&gt;=-3,"Moderate - Slope",TRUE,"Strong - Slope")</f>
        <v>Moderate - Slope</v>
      </c>
      <c r="AI99" s="1" t="str" cm="1">
        <f t="array" ref="AI99">_xlfn.IFS(AB99&gt;3,"Strong + Slope",AB99&gt;1.5,"Moderate + Slope",AB99&gt;0.5,"Sideway + Slope",AB99&gt;=-0.5,"Sideway Flat",AB99&gt;=-1.5,"Sideway - Slope",AB99&gt;=-3,"Moderate - Slope",TRUE,"Strong - Slope")</f>
        <v>Sideway Flat</v>
      </c>
      <c r="AJ99" s="1" t="str" cm="1">
        <f t="array" ref="AJ99">_xlfn.IFS(AC99&gt;3,"Strong + Slope",AC99&gt;1.5,"Moderate + Slope",AC99&gt;0.5,"Sideway + Slope",AC99&gt;=-0.5,"Sideway Flat",AC99&gt;=-1.5,"Sideway - Slope",AC99&gt;=-3,"Moderate - Slope",TRUE,"Strong - Slope")</f>
        <v>Moderate - Slope</v>
      </c>
      <c r="AK99" s="1" t="str" cm="1">
        <f t="array" ref="AK99">_xlfn.IFS(AD99&gt;3,"Strong + Slope",AD99&gt;1.5,"Moderate + Slope",AD99&gt;0.5,"Sideway + Slope",AD99&gt;=-0.5,"Sideway Flat",AD99&gt;=-1.5,"Sideway - Slope",AD99&gt;=-3,"Moderate - Slope",TRUE,"Strong - Slope")</f>
        <v>Sideway + Slope</v>
      </c>
      <c r="AL99" s="1" t="str" cm="1">
        <f t="array" ref="AL99">_xlfn.IFS(AE99&gt;3,"Strong + Slope",AE99&gt;1.5,"Moderate + Slope",AE99&gt;0.5,"Sideway + Slope",AE99&gt;=-0.5,"Sideway Flat",AE99&gt;=-1.5,"Sideway - Slope",AE99&gt;=-3,"Moderate - Slope",TRUE,"Strong - Slope")</f>
        <v>Sideway Flat</v>
      </c>
      <c r="AM99" s="1" t="str" cm="1">
        <f t="array" ref="AM99">_xlfn.IFS(AF99&gt;3,"Strong + Slope",AF99&gt;1.5,"Moderate + Slope",AF99&gt;0.5,"Sideway + Slope",AF99&gt;=-0.5,"Sideway Flat",AF99&gt;=-1.5,"Sideway - Slope",AF99&gt;=-3,"Moderate - Slope",TRUE,"Strong - Slope")</f>
        <v>Moderate + Slope</v>
      </c>
    </row>
    <row r="100" spans="1:39" x14ac:dyDescent="0.55000000000000004">
      <c r="A100" s="1">
        <v>98</v>
      </c>
      <c r="B100" s="1" t="s">
        <v>100</v>
      </c>
      <c r="C100" s="1" t="s">
        <v>3</v>
      </c>
      <c r="D100" s="1" t="s">
        <v>102</v>
      </c>
      <c r="E100" s="1">
        <v>152.72999999999999</v>
      </c>
      <c r="F100" s="1">
        <v>152.69200000000001</v>
      </c>
      <c r="G100" s="1">
        <v>152.727</v>
      </c>
      <c r="H100" s="1">
        <v>152.803</v>
      </c>
      <c r="I100" s="1">
        <v>152.875</v>
      </c>
      <c r="J100" s="1">
        <v>153.11199999999999</v>
      </c>
      <c r="K100" s="1">
        <v>152.63399999999999</v>
      </c>
      <c r="L100" s="1">
        <v>152.58099999999999</v>
      </c>
      <c r="M100" s="1">
        <v>152.92099999999999</v>
      </c>
      <c r="N100" s="10">
        <f t="shared" si="17"/>
        <v>3.7999999999982492E-2</v>
      </c>
      <c r="O100" s="10">
        <f t="shared" si="18"/>
        <v>3.7999999999982492E-2</v>
      </c>
      <c r="P100" s="10">
        <f t="shared" si="19"/>
        <v>0</v>
      </c>
      <c r="Q100" s="10">
        <f t="shared" ref="Q100:Q101" si="28">MAX(N100:P100)</f>
        <v>3.7999999999982492E-2</v>
      </c>
      <c r="R100" s="10">
        <f t="shared" si="21"/>
        <v>4.8142857142855586E-2</v>
      </c>
      <c r="S100" s="1"/>
      <c r="T100" s="2">
        <f>SLOPE(H87:H100,$A87:$A100)</f>
        <v>-2.4285714285716561E-3</v>
      </c>
      <c r="U100" s="2">
        <f>SLOPE(I87:I100,$A87:$A100)</f>
        <v>-3.7582417582290953E-4</v>
      </c>
      <c r="V100" s="2">
        <f>SLOPE(J87:J100,$A87:$A100)</f>
        <v>-1.6593406593409616E-3</v>
      </c>
      <c r="W100" s="2">
        <f>SLOPE(K87:K100,$A87:$A100)</f>
        <v>7.780219780213829E-4</v>
      </c>
      <c r="X100" s="2">
        <f>SLOPE(L87:L100,$A87:$A100)</f>
        <v>-2.2637362637470727E-4</v>
      </c>
      <c r="Y100" s="2">
        <f>SLOPE(M87:M100,$A87:$A100)</f>
        <v>1.5714285714281417E-3</v>
      </c>
      <c r="Z100" s="1"/>
      <c r="AA100" s="2">
        <f t="shared" si="22"/>
        <v>-2.8878436347616598</v>
      </c>
      <c r="AB100" s="2">
        <f t="shared" si="23"/>
        <v>-0.44726680123329576</v>
      </c>
      <c r="AC100" s="2">
        <f t="shared" si="24"/>
        <v>-1.974033133846105</v>
      </c>
      <c r="AD100" s="2">
        <f t="shared" si="25"/>
        <v>0.92585895881402813</v>
      </c>
      <c r="AE100" s="2">
        <f t="shared" si="26"/>
        <v>-0.26940980583129781</v>
      </c>
      <c r="AF100" s="2">
        <f t="shared" si="27"/>
        <v>1.8695248870379766</v>
      </c>
      <c r="AG100" s="1"/>
      <c r="AH100" s="1" t="str" cm="1">
        <f t="array" ref="AH100">_xlfn.IFS(AA100&gt;3,"Strong + Slope",AA100&gt;1.5,"Moderate + Slope",AA100&gt;0.5,"Sideway + Slope",AA100&gt;=-0.5,"Sideway Flat",AA100&gt;=-1.5,"Sideway - Slope",AA100&gt;=-3,"Moderate - Slope",TRUE,"Strong - Slope")</f>
        <v>Moderate - Slope</v>
      </c>
      <c r="AI100" s="1" t="str" cm="1">
        <f t="array" ref="AI100">_xlfn.IFS(AB100&gt;3,"Strong + Slope",AB100&gt;1.5,"Moderate + Slope",AB100&gt;0.5,"Sideway + Slope",AB100&gt;=-0.5,"Sideway Flat",AB100&gt;=-1.5,"Sideway - Slope",AB100&gt;=-3,"Moderate - Slope",TRUE,"Strong - Slope")</f>
        <v>Sideway Flat</v>
      </c>
      <c r="AJ100" s="1" t="str" cm="1">
        <f t="array" ref="AJ100">_xlfn.IFS(AC100&gt;3,"Strong + Slope",AC100&gt;1.5,"Moderate + Slope",AC100&gt;0.5,"Sideway + Slope",AC100&gt;=-0.5,"Sideway Flat",AC100&gt;=-1.5,"Sideway - Slope",AC100&gt;=-3,"Moderate - Slope",TRUE,"Strong - Slope")</f>
        <v>Moderate - Slope</v>
      </c>
      <c r="AK100" s="1" t="str" cm="1">
        <f t="array" ref="AK100">_xlfn.IFS(AD100&gt;3,"Strong + Slope",AD100&gt;1.5,"Moderate + Slope",AD100&gt;0.5,"Sideway + Slope",AD100&gt;=-0.5,"Sideway Flat",AD100&gt;=-1.5,"Sideway - Slope",AD100&gt;=-3,"Moderate - Slope",TRUE,"Strong - Slope")</f>
        <v>Sideway + Slope</v>
      </c>
      <c r="AL100" s="1" t="str" cm="1">
        <f t="array" ref="AL100">_xlfn.IFS(AE100&gt;3,"Strong + Slope",AE100&gt;1.5,"Moderate + Slope",AE100&gt;0.5,"Sideway + Slope",AE100&gt;=-0.5,"Sideway Flat",AE100&gt;=-1.5,"Sideway - Slope",AE100&gt;=-3,"Moderate - Slope",TRUE,"Strong - Slope")</f>
        <v>Sideway Flat</v>
      </c>
      <c r="AM100" s="1" t="str" cm="1">
        <f t="array" ref="AM100">_xlfn.IFS(AF100&gt;3,"Strong + Slope",AF100&gt;1.5,"Moderate + Slope",AF100&gt;0.5,"Sideway + Slope",AF100&gt;=-0.5,"Sideway Flat",AF100&gt;=-1.5,"Sideway - Slope",AF100&gt;=-3,"Moderate - Slope",TRUE,"Strong - Slope")</f>
        <v>Moderate + Slope</v>
      </c>
    </row>
    <row r="101" spans="1:39" x14ac:dyDescent="0.55000000000000004">
      <c r="A101" s="1">
        <v>99</v>
      </c>
      <c r="B101" s="1" t="s">
        <v>101</v>
      </c>
      <c r="C101" s="1" t="s">
        <v>3</v>
      </c>
      <c r="D101" s="1" t="s">
        <v>102</v>
      </c>
      <c r="E101" s="1">
        <v>152.72499999999999</v>
      </c>
      <c r="F101" s="1">
        <v>152.703</v>
      </c>
      <c r="G101" s="1">
        <v>152.71199999999999</v>
      </c>
      <c r="H101" s="1">
        <v>152.80099999999999</v>
      </c>
      <c r="I101" s="1">
        <v>152.875</v>
      </c>
      <c r="J101" s="1">
        <v>153.11000000000001</v>
      </c>
      <c r="K101" s="1">
        <v>152.63499999999999</v>
      </c>
      <c r="L101" s="1">
        <v>152.58000000000001</v>
      </c>
      <c r="M101" s="1">
        <v>152.923</v>
      </c>
      <c r="N101" s="10">
        <f t="shared" si="17"/>
        <v>2.199999999999136E-2</v>
      </c>
      <c r="O101" s="10">
        <f t="shared" si="18"/>
        <v>2.0000000000095497E-3</v>
      </c>
      <c r="P101" s="10">
        <f t="shared" si="19"/>
        <v>2.4000000000000909E-2</v>
      </c>
      <c r="Q101" s="10">
        <f t="shared" si="28"/>
        <v>2.4000000000000909E-2</v>
      </c>
      <c r="R101" s="10">
        <f t="shared" si="21"/>
        <v>4.8214285714284495E-2</v>
      </c>
      <c r="S101" s="1"/>
      <c r="T101" s="2">
        <f>SLOPE(H88:H101,$A88:$A101)</f>
        <v>-2.4109890109893419E-3</v>
      </c>
      <c r="U101" s="2">
        <f>SLOPE(I88:I101,$A88:$A101)</f>
        <v>-3.5604395604265775E-4</v>
      </c>
      <c r="V101" s="2">
        <f>SLOPE(J88:J101,$A88:$A101)</f>
        <v>-1.6703296703292755E-3</v>
      </c>
      <c r="W101" s="2">
        <f>SLOPE(K88:K101,$A88:$A101)</f>
        <v>7.670329670320695E-4</v>
      </c>
      <c r="X101" s="2">
        <f>SLOPE(L88:L101,$A88:$A101)</f>
        <v>-2.2197802197826985E-4</v>
      </c>
      <c r="Y101" s="2">
        <f>SLOPE(M88:M101,$A88:$A101)</f>
        <v>1.5802197802197672E-3</v>
      </c>
      <c r="Z101" s="1"/>
      <c r="AA101" s="2">
        <f t="shared" si="22"/>
        <v>-2.8627308835539615</v>
      </c>
      <c r="AB101" s="2">
        <f t="shared" si="23"/>
        <v>-0.42309960407683256</v>
      </c>
      <c r="AC101" s="2">
        <f t="shared" si="24"/>
        <v>-1.9841542642766903</v>
      </c>
      <c r="AD101" s="2">
        <f t="shared" si="25"/>
        <v>0.91143203881861679</v>
      </c>
      <c r="AE101" s="2">
        <f t="shared" si="26"/>
        <v>-0.26378725213832216</v>
      </c>
      <c r="AF101" s="2">
        <f t="shared" si="27"/>
        <v>1.8771931273227107</v>
      </c>
      <c r="AG101" s="1"/>
      <c r="AH101" s="1" t="str" cm="1">
        <f t="array" ref="AH101">_xlfn.IFS(AA101&gt;3,"Strong + Slope",AA101&gt;1.5,"Moderate + Slope",AA101&gt;0.5,"Sideway + Slope",AA101&gt;=-0.5,"Sideway Flat",AA101&gt;=-1.5,"Sideway - Slope",AA101&gt;=-3,"Moderate - Slope",TRUE,"Strong - Slope")</f>
        <v>Moderate - Slope</v>
      </c>
      <c r="AI101" s="1" t="str" cm="1">
        <f t="array" ref="AI101">_xlfn.IFS(AB101&gt;3,"Strong + Slope",AB101&gt;1.5,"Moderate + Slope",AB101&gt;0.5,"Sideway + Slope",AB101&gt;=-0.5,"Sideway Flat",AB101&gt;=-1.5,"Sideway - Slope",AB101&gt;=-3,"Moderate - Slope",TRUE,"Strong - Slope")</f>
        <v>Sideway Flat</v>
      </c>
      <c r="AJ101" s="1" t="str" cm="1">
        <f t="array" ref="AJ101">_xlfn.IFS(AC101&gt;3,"Strong + Slope",AC101&gt;1.5,"Moderate + Slope",AC101&gt;0.5,"Sideway + Slope",AC101&gt;=-0.5,"Sideway Flat",AC101&gt;=-1.5,"Sideway - Slope",AC101&gt;=-3,"Moderate - Slope",TRUE,"Strong - Slope")</f>
        <v>Moderate - Slope</v>
      </c>
      <c r="AK101" s="1" t="str" cm="1">
        <f t="array" ref="AK101">_xlfn.IFS(AD101&gt;3,"Strong + Slope",AD101&gt;1.5,"Moderate + Slope",AD101&gt;0.5,"Sideway + Slope",AD101&gt;=-0.5,"Sideway Flat",AD101&gt;=-1.5,"Sideway - Slope",AD101&gt;=-3,"Moderate - Slope",TRUE,"Strong - Slope")</f>
        <v>Sideway + Slope</v>
      </c>
      <c r="AL101" s="1" t="str" cm="1">
        <f t="array" ref="AL101">_xlfn.IFS(AE101&gt;3,"Strong + Slope",AE101&gt;1.5,"Moderate + Slope",AE101&gt;0.5,"Sideway + Slope",AE101&gt;=-0.5,"Sideway Flat",AE101&gt;=-1.5,"Sideway - Slope",AE101&gt;=-3,"Moderate - Slope",TRUE,"Strong - Slope")</f>
        <v>Sideway Flat</v>
      </c>
      <c r="AM101" s="1" t="str" cm="1">
        <f t="array" ref="AM101">_xlfn.IFS(AF101&gt;3,"Strong + Slope",AF101&gt;1.5,"Moderate + Slope",AF101&gt;0.5,"Sideway + Slope",AF101&gt;=-0.5,"Sideway Flat",AF101&gt;=-1.5,"Sideway - Slope",AF101&gt;=-3,"Moderate - Slope",TRUE,"Strong - Slope")</f>
        <v>Moderate + Slope</v>
      </c>
    </row>
  </sheetData>
  <pageMargins left="0.7" right="0.7" top="0.75" bottom="0.75" header="0.3" footer="0.3"/>
  <pageSetup paperSize="9" orientation="portrait" horizontalDpi="0" verticalDpi="0" r:id="rId1"/>
  <ignoredErrors>
    <ignoredError sqref="T16 T17:Y101 U16:Y1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Angle classification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2026-02-14T13:03:22Z</dcterms:created>
  <dcterms:modified xsi:type="dcterms:W3CDTF">2026-02-28T08:36:29Z</dcterms:modified>
</cp:coreProperties>
</file>